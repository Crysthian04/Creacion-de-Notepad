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ERFIL_HH" sheetId="8" state="visible" r:id="rId8"/>
    <sheet name="PLAN_SEMANAL" sheetId="9" state="visible" r:id="rId9"/>
    <sheet name="ADHERENCIA" sheetId="10" state="visible" r:id="rId10"/>
    <sheet name="COSTOS" sheetId="11" state="visible" r:id="rId11"/>
    <sheet name="BACKLOG" sheetId="12" state="visible" r:id="rId12"/>
    <sheet name="EQUIPOS_CRITICOS" sheetId="13" state="visible" r:id="rId13"/>
    <sheet name="VALIDACION" sheetId="14" state="visible" r:id="rId14"/>
    <sheet name="CAT_CENTROS_COSTO" sheetId="15" state="visible" r:id="rId15"/>
    <sheet name="CAT_PUESTOS" sheetId="16" state="visible" r:id="rId16"/>
    <sheet name="CAT_ACTIVIDADES" sheetId="17" state="visible" r:id="rId17"/>
    <sheet name="CAT_TIPOS_OT" sheetId="18" state="visible" r:id="rId18"/>
    <sheet name="CAT_ESTADOS_ERP" sheetId="19" state="visible" r:id="rId19"/>
    <sheet name="EXPORTAR" sheetId="20" state="visible" r:id="rId20"/>
    <sheet name="_COMPATIBILIDAD" sheetId="21" state="visible" r:id="rId2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8" hidden="1">'PLAN_SEMANAL'!$A$25:$M$225</definedName>
    <definedName name="_xlnm.Print_Area" localSheetId="8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'ADHERENCIA'!$D$5:$D$8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'ADHERENCIA'!$H$5:$H$8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'COSTOS'!$B$9:$J$9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'COSTOS'!$B$17:$J$17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71" headerRowCount="1">
  <autoFilter ref="A8:J171"/>
  <tableColumns count="10">
    <tableColumn id="1" name="id_operacion"/>
    <tableColumn id="2" name="orden"/>
    <tableColumn id="3" name="operacion"/>
    <tableColumn id="4" name="estado_sistema"/>
    <tableColumn id="5" name="prioridad"/>
    <tableColumn id="6" name="estado_instalacion"/>
    <tableColumn id="7" name="precio"/>
    <tableColumn id="8" name="costo_real"/>
    <tableColumn id="9" name="costo_plan_total"/>
    <tableColumn id="10" name="estado_usu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M203" headerRowCount="1">
  <autoFilter ref="A3:AM203"/>
  <tableColumns count="39">
    <tableColumn id="1" name="orden"/>
    <tableColumn id="2" name="operacion"/>
    <tableColumn id="3" name="id_operacion"/>
    <tableColumn id="4" name="descripcion_general"/>
    <tableColumn id="5" name="descripcion_operacion"/>
    <tableColumn id="6" name="equipo"/>
    <tableColumn id="7" name="centro_costo"/>
    <tableColumn id="8" name="puesto_trabajo"/>
    <tableColumn id="9" name="cod_actividad"/>
    <tableColumn id="10" name="tipo_ot"/>
    <tableColumn id="11" name="fecha_inicio"/>
    <tableColumn id="12" name="horas_estimadas"/>
    <tableColumn id="13" name="costo_plan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HHA"/>
    <tableColumn id="31" name="HHD"/>
    <tableColumn id="32" name="costo_servicio"/>
    <tableColumn id="33" name="costo_materiales"/>
    <tableColumn id="34" name="costo_total"/>
    <tableColumn id="35" name="permiso_requerido"/>
    <tableColumn id="36" name="bloqueo_energia"/>
    <tableColumn id="37" name="link_checklist"/>
    <tableColumn id="38" name="abrir_checklist"/>
    <tableColumn id="39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1.2.0 · generado 2026-07-20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3" t="inlineStr">
        <is>
          <t xml:space="preserve">  2. Pegue la exportación de órdenes del ERP en 1_IMPORTAR_ORDENES y cópiela a la tabla ORDENES.</t>
        </is>
      </c>
    </row>
    <row r="13">
      <c r="A13" s="3" t="inlineStr">
        <is>
          <t xml:space="preserve">  3. Pegue la segunda exportación (estados y costos) en 2_IMPORTAR_EJECUCION.</t>
        </is>
      </c>
    </row>
    <row r="14">
      <c r="A14" s="3" t="inlineStr">
        <is>
          <t xml:space="preserve">  4. Complete TECNICOS y los turnos de ASIGNACIONES; asigne técnicos en ORDENES.</t>
        </is>
      </c>
    </row>
    <row r="15">
      <c r="A15" s="3" t="inlineStr">
        <is>
          <t xml:space="preserve">  5. Revise VALIDACION y trabaje con PERFIL_HH, PLAN_SEMANAL, ADHERENCIA, COSTOS y BACKLOG.</t>
        </is>
      </c>
    </row>
    <row r="16">
      <c r="A16" s="3" t="inlineStr"/>
    </row>
    <row r="17">
      <c r="A17" s="4" t="inlineStr">
        <is>
          <t>CONVENCIONES:</t>
        </is>
      </c>
    </row>
    <row r="18">
      <c r="A18" s="3" t="inlineStr">
        <is>
          <t xml:space="preserve">  · Celdas de texto azul = editables por el usuario. El resto se calcula solo.</t>
        </is>
      </c>
    </row>
    <row r="19">
      <c r="A19" s="3" t="inlineStr">
        <is>
          <t xml:space="preserve">  · El libro recalcula automáticamente al abrir (sin macros).</t>
        </is>
      </c>
    </row>
    <row r="20">
      <c r="A20" s="3" t="inlineStr">
        <is>
          <t xml:space="preserve">  · Las fórmulas usan XLOOKUP (Excel 2021/365). Para Excel 2016 vea la hoja _COMPATIBILIDAD.</t>
        </is>
      </c>
    </row>
    <row r="21">
      <c r="A21" s="3" t="inlineStr">
        <is>
          <t xml:space="preserve">  · Los filtros se hacen con los autofiltros de cada tabla y con los selectores de PLAN_SEMANAL.</t>
        </is>
      </c>
    </row>
    <row r="22">
      <c r="A22" s="3" t="inlineStr">
        <is>
          <t xml:space="preserve">  · ORDENES: HHA/HHD agregan las horas del técnico en ese día; HHD negativo (rojo) = sobreasignado.</t>
        </is>
      </c>
    </row>
    <row r="23">
      <c r="A23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</sheetData>
  <dataValidations count="3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Pegue aquí (desde la fila 9) la exportación de su ERP con estas cabeceras exactas.</t>
        </is>
      </c>
    </row>
    <row r="4">
      <c r="A4" s="2" t="inlineStr">
        <is>
          <t>operacion es opcional: si su ERP no maneja operaciones, déjela vacía y el sistema asume "0010".</t>
        </is>
      </c>
    </row>
    <row r="5">
      <c r="A5" s="2" t="inlineStr">
        <is>
          <t>Luego copie los valores dentro de la tabla ORDENES: orden y operacion → columnas A:B;</t>
        </is>
      </c>
    </row>
    <row r="6">
      <c r="A6" s="2" t="inlineStr">
        <is>
          <t>el resto (descripcion_general … costo_plan) → columnas D:M. Las demás columnas se calculan solas.</t>
        </is>
      </c>
    </row>
    <row r="7">
      <c r="A7" s="2" t="inlineStr">
        <is>
          <t>La validación de REGLA-10 (hoja VALIDACION) reporta problemas pero nunca bloquea la importación.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4" customWidth="1" min="4" max="4"/>
    <col width="11" customWidth="1" min="5" max="5"/>
    <col width="16" customWidth="1" min="6" max="6"/>
    <col width="10" customWidth="1" min="7" max="7"/>
    <col width="10" customWidth="1" min="8" max="8"/>
    <col width="15" customWidth="1" min="9" max="9"/>
    <col width="14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id_operacion</t>
        </is>
      </c>
      <c r="B8" s="5" t="inlineStr">
        <is>
          <t>orden</t>
        </is>
      </c>
      <c r="C8" s="5" t="inlineStr">
        <is>
          <t>operacion</t>
        </is>
      </c>
      <c r="D8" s="5" t="inlineStr">
        <is>
          <t>estado_sistema</t>
        </is>
      </c>
      <c r="E8" s="5" t="inlineStr">
        <is>
          <t>prioridad</t>
        </is>
      </c>
      <c r="F8" s="5" t="inlineStr">
        <is>
          <t>estado_instalacion</t>
        </is>
      </c>
      <c r="G8" s="5" t="inlineStr">
        <is>
          <t>precio</t>
        </is>
      </c>
      <c r="H8" s="5" t="inlineStr">
        <is>
          <t>costo_real</t>
        </is>
      </c>
      <c r="I8" s="5" t="inlineStr">
        <is>
          <t>costo_plan_total</t>
        </is>
      </c>
      <c r="J8" s="5" t="inlineStr">
        <is>
          <t>estado_usuario</t>
        </is>
      </c>
    </row>
    <row r="9">
      <c r="A9" s="3">
        <f>$B9&amp;IF($C9="","0010",$C9)</f>
        <v/>
      </c>
      <c r="B9" s="3" t="inlineStr">
        <is>
          <t>OT-000001</t>
        </is>
      </c>
      <c r="C9" s="3" t="inlineStr">
        <is>
          <t>0010</t>
        </is>
      </c>
      <c r="D9" s="3" t="inlineStr">
        <is>
          <t>LIB</t>
        </is>
      </c>
      <c r="E9" s="3" t="inlineStr">
        <is>
          <t>1-ALTA</t>
        </is>
      </c>
      <c r="F9" s="3" t="inlineStr">
        <is>
          <t>OPERATIVO</t>
        </is>
      </c>
      <c r="G9" s="10" t="n">
        <v>100</v>
      </c>
      <c r="H9" s="10" t="n">
        <v>0</v>
      </c>
      <c r="I9" s="10" t="n">
        <v>250</v>
      </c>
      <c r="J9" s="3" t="inlineStr">
        <is>
          <t>LIBERADA</t>
        </is>
      </c>
    </row>
    <row r="10">
      <c r="A10" s="3">
        <f>$B10&amp;IF($C10="","0010",$C10)</f>
        <v/>
      </c>
      <c r="B10" s="3" t="inlineStr">
        <is>
          <t>OT-000002</t>
        </is>
      </c>
      <c r="C10" s="3" t="inlineStr">
        <is>
          <t>0010</t>
        </is>
      </c>
      <c r="D10" s="3" t="inlineStr">
        <is>
          <t>CERR</t>
        </is>
      </c>
      <c r="E10" s="3" t="inlineStr">
        <is>
          <t>2-MEDIA</t>
        </is>
      </c>
      <c r="F10" s="3" t="inlineStr">
        <is>
          <t>PARADO</t>
        </is>
      </c>
      <c r="G10" s="10" t="n">
        <v>80</v>
      </c>
      <c r="H10" s="10" t="n">
        <v>200</v>
      </c>
      <c r="I10" s="10" t="n">
        <v>200</v>
      </c>
      <c r="J10" s="3" t="inlineStr">
        <is>
          <t>CERRADA</t>
        </is>
      </c>
    </row>
    <row r="11">
      <c r="A11" s="3">
        <f>$B11&amp;IF($C11="","0010",$C11)</f>
        <v/>
      </c>
      <c r="B11" s="3" t="inlineStr">
        <is>
          <t>OT-000003</t>
        </is>
      </c>
      <c r="C11" s="3" t="inlineStr">
        <is>
          <t>0010</t>
        </is>
      </c>
      <c r="D11" s="3" t="inlineStr">
        <is>
          <t>CERR</t>
        </is>
      </c>
      <c r="E11" s="3" t="inlineStr">
        <is>
          <t>3-BAJA</t>
        </is>
      </c>
      <c r="F11" s="3" t="inlineStr">
        <is>
          <t>OPERATIVO</t>
        </is>
      </c>
      <c r="G11" s="10" t="n">
        <v>60</v>
      </c>
      <c r="H11" s="10" t="n">
        <v>150</v>
      </c>
      <c r="I11" s="10" t="n">
        <v>150</v>
      </c>
      <c r="J11" s="3" t="inlineStr">
        <is>
          <t>CERRADA</t>
        </is>
      </c>
    </row>
    <row r="12">
      <c r="A12" s="3">
        <f>$B12&amp;IF($C12="","0010",$C12)</f>
        <v/>
      </c>
      <c r="B12" s="3" t="inlineStr">
        <is>
          <t>OT-000004</t>
        </is>
      </c>
      <c r="C12" s="3" t="inlineStr">
        <is>
          <t>0010</t>
        </is>
      </c>
      <c r="D12" s="3" t="inlineStr">
        <is>
          <t>CERR</t>
        </is>
      </c>
      <c r="E12" s="3" t="inlineStr">
        <is>
          <t>1-ALTA</t>
        </is>
      </c>
      <c r="F12" s="3" t="inlineStr">
        <is>
          <t>PARADO</t>
        </is>
      </c>
      <c r="G12" s="10" t="n">
        <v>100</v>
      </c>
      <c r="H12" s="10" t="n">
        <v>250</v>
      </c>
      <c r="I12" s="10" t="n">
        <v>250</v>
      </c>
      <c r="J12" s="3" t="inlineStr">
        <is>
          <t>CERRADA</t>
        </is>
      </c>
    </row>
    <row r="13">
      <c r="A13" s="3">
        <f>$B13&amp;IF($C13="","0010",$C13)</f>
        <v/>
      </c>
      <c r="B13" s="3" t="inlineStr">
        <is>
          <t>OT-000005</t>
        </is>
      </c>
      <c r="C13" s="3" t="inlineStr">
        <is>
          <t>0010</t>
        </is>
      </c>
      <c r="D13" s="3" t="inlineStr">
        <is>
          <t>CERR</t>
        </is>
      </c>
      <c r="E13" s="3" t="inlineStr">
        <is>
          <t>2-MEDIA</t>
        </is>
      </c>
      <c r="F13" s="3" t="inlineStr">
        <is>
          <t>OPERATIVO</t>
        </is>
      </c>
      <c r="G13" s="10" t="n">
        <v>80</v>
      </c>
      <c r="H13" s="10" t="n">
        <v>200</v>
      </c>
      <c r="I13" s="10" t="n">
        <v>200</v>
      </c>
      <c r="J13" s="3" t="inlineStr">
        <is>
          <t>CERRADA</t>
        </is>
      </c>
    </row>
    <row r="14">
      <c r="A14" s="3">
        <f>$B14&amp;IF($C14="","0010",$C14)</f>
        <v/>
      </c>
      <c r="B14" s="3" t="inlineStr">
        <is>
          <t>OT-000006</t>
        </is>
      </c>
      <c r="C14" s="3" t="inlineStr">
        <is>
          <t>0010</t>
        </is>
      </c>
      <c r="D14" s="3" t="inlineStr">
        <is>
          <t>CERR</t>
        </is>
      </c>
      <c r="E14" s="3" t="inlineStr">
        <is>
          <t>3-BAJA</t>
        </is>
      </c>
      <c r="F14" s="3" t="inlineStr">
        <is>
          <t>PARADO</t>
        </is>
      </c>
      <c r="G14" s="10" t="n">
        <v>60</v>
      </c>
      <c r="H14" s="10" t="n">
        <v>150</v>
      </c>
      <c r="I14" s="10" t="n">
        <v>150</v>
      </c>
      <c r="J14" s="3" t="inlineStr">
        <is>
          <t>CERRADA</t>
        </is>
      </c>
    </row>
    <row r="15">
      <c r="A15" s="3">
        <f>$B15&amp;IF($C15="","0010",$C15)</f>
        <v/>
      </c>
      <c r="B15" s="3" t="inlineStr">
        <is>
          <t>OT-000007</t>
        </is>
      </c>
      <c r="C15" s="3" t="inlineStr">
        <is>
          <t>0010</t>
        </is>
      </c>
      <c r="D15" s="3" t="inlineStr">
        <is>
          <t>CERR</t>
        </is>
      </c>
      <c r="E15" s="3" t="inlineStr">
        <is>
          <t>1-ALTA</t>
        </is>
      </c>
      <c r="F15" s="3" t="inlineStr">
        <is>
          <t>OPERATIVO</t>
        </is>
      </c>
      <c r="G15" s="10" t="n">
        <v>100</v>
      </c>
      <c r="H15" s="10" t="n">
        <v>250</v>
      </c>
      <c r="I15" s="10" t="n">
        <v>250</v>
      </c>
      <c r="J15" s="3" t="inlineStr">
        <is>
          <t>CERRADA</t>
        </is>
      </c>
    </row>
    <row r="16">
      <c r="A16" s="3">
        <f>$B16&amp;IF($C16="","0010",$C16)</f>
        <v/>
      </c>
      <c r="B16" s="3" t="inlineStr">
        <is>
          <t>OT-000008</t>
        </is>
      </c>
      <c r="C16" s="3" t="inlineStr">
        <is>
          <t>0010</t>
        </is>
      </c>
      <c r="D16" s="3" t="inlineStr">
        <is>
          <t>CERR</t>
        </is>
      </c>
      <c r="E16" s="3" t="inlineStr">
        <is>
          <t>2-MEDIA</t>
        </is>
      </c>
      <c r="F16" s="3" t="inlineStr">
        <is>
          <t>PARADO</t>
        </is>
      </c>
      <c r="G16" s="10" t="n">
        <v>80</v>
      </c>
      <c r="H16" s="10" t="n">
        <v>200</v>
      </c>
      <c r="I16" s="10" t="n">
        <v>200</v>
      </c>
      <c r="J16" s="3" t="inlineStr">
        <is>
          <t>CERRADA</t>
        </is>
      </c>
    </row>
    <row r="17">
      <c r="A17" s="3">
        <f>$B17&amp;IF($C17="","0010",$C17)</f>
        <v/>
      </c>
      <c r="B17" s="3" t="inlineStr">
        <is>
          <t>OT-000009</t>
        </is>
      </c>
      <c r="C17" s="3" t="inlineStr">
        <is>
          <t>0010</t>
        </is>
      </c>
      <c r="D17" s="3" t="inlineStr">
        <is>
          <t>CERR</t>
        </is>
      </c>
      <c r="E17" s="3" t="inlineStr">
        <is>
          <t>3-BAJA</t>
        </is>
      </c>
      <c r="F17" s="3" t="inlineStr">
        <is>
          <t>OPERATIVO</t>
        </is>
      </c>
      <c r="G17" s="10" t="n">
        <v>60</v>
      </c>
      <c r="H17" s="10" t="n">
        <v>150</v>
      </c>
      <c r="I17" s="10" t="n">
        <v>150</v>
      </c>
      <c r="J17" s="3" t="inlineStr">
        <is>
          <t>CERRADA</t>
        </is>
      </c>
    </row>
    <row r="18">
      <c r="A18" s="3">
        <f>$B18&amp;IF($C18="","0010",$C18)</f>
        <v/>
      </c>
      <c r="B18" s="3" t="inlineStr">
        <is>
          <t>OT-000010</t>
        </is>
      </c>
      <c r="C18" s="3" t="inlineStr">
        <is>
          <t>0010</t>
        </is>
      </c>
      <c r="D18" s="3" t="inlineStr">
        <is>
          <t>CERR</t>
        </is>
      </c>
      <c r="E18" s="3" t="inlineStr">
        <is>
          <t>1-ALTA</t>
        </is>
      </c>
      <c r="F18" s="3" t="inlineStr">
        <is>
          <t>PARADO</t>
        </is>
      </c>
      <c r="G18" s="10" t="n">
        <v>80</v>
      </c>
      <c r="H18" s="10" t="n">
        <v>200</v>
      </c>
      <c r="I18" s="10" t="n">
        <v>200</v>
      </c>
      <c r="J18" s="3" t="inlineStr">
        <is>
          <t>CERRADA</t>
        </is>
      </c>
    </row>
    <row r="19">
      <c r="A19" s="3">
        <f>$B19&amp;IF($C19="","0010",$C19)</f>
        <v/>
      </c>
      <c r="B19" s="3" t="inlineStr">
        <is>
          <t>OT-000011</t>
        </is>
      </c>
      <c r="C19" s="3" t="inlineStr">
        <is>
          <t>0010</t>
        </is>
      </c>
      <c r="D19" s="3" t="inlineStr">
        <is>
          <t>CERR</t>
        </is>
      </c>
      <c r="E19" s="3" t="inlineStr">
        <is>
          <t>2-MEDIA</t>
        </is>
      </c>
      <c r="F19" s="3" t="inlineStr">
        <is>
          <t>OPERATIVO</t>
        </is>
      </c>
      <c r="G19" s="10" t="n">
        <v>160</v>
      </c>
      <c r="H19" s="10" t="n">
        <v>400</v>
      </c>
      <c r="I19" s="10" t="n">
        <v>400</v>
      </c>
      <c r="J19" s="3" t="inlineStr">
        <is>
          <t>CERRADA</t>
        </is>
      </c>
    </row>
    <row r="20">
      <c r="A20" s="3">
        <f>$B20&amp;IF($C20="","0010",$C20)</f>
        <v/>
      </c>
      <c r="B20" s="3" t="inlineStr">
        <is>
          <t>OT-000012</t>
        </is>
      </c>
      <c r="C20" s="3" t="inlineStr">
        <is>
          <t>0010</t>
        </is>
      </c>
      <c r="D20" s="3" t="inlineStr">
        <is>
          <t>CERR</t>
        </is>
      </c>
      <c r="E20" s="3" t="inlineStr">
        <is>
          <t>3-BAJA</t>
        </is>
      </c>
      <c r="F20" s="3" t="inlineStr">
        <is>
          <t>PARADO</t>
        </is>
      </c>
      <c r="G20" s="10" t="n">
        <v>160</v>
      </c>
      <c r="H20" s="10" t="n">
        <v>400</v>
      </c>
      <c r="I20" s="10" t="n">
        <v>400</v>
      </c>
      <c r="J20" s="3" t="inlineStr">
        <is>
          <t>CERRADA</t>
        </is>
      </c>
    </row>
    <row r="21">
      <c r="A21" s="3">
        <f>$B21&amp;IF($C21="","0010",$C21)</f>
        <v/>
      </c>
      <c r="B21" s="3" t="inlineStr">
        <is>
          <t>OT-000013</t>
        </is>
      </c>
      <c r="C21" s="3" t="inlineStr">
        <is>
          <t>0010</t>
        </is>
      </c>
      <c r="D21" s="3" t="inlineStr">
        <is>
          <t>CERR</t>
        </is>
      </c>
      <c r="E21" s="3" t="inlineStr">
        <is>
          <t>1-ALTA</t>
        </is>
      </c>
      <c r="F21" s="3" t="inlineStr">
        <is>
          <t>OPERATIVO</t>
        </is>
      </c>
      <c r="G21" s="10" t="n">
        <v>100</v>
      </c>
      <c r="H21" s="10" t="n">
        <v>250</v>
      </c>
      <c r="I21" s="10" t="n">
        <v>250</v>
      </c>
      <c r="J21" s="3" t="inlineStr">
        <is>
          <t>CERRADA</t>
        </is>
      </c>
    </row>
    <row r="22">
      <c r="A22" s="3">
        <f>$B22&amp;IF($C22="","0010",$C22)</f>
        <v/>
      </c>
      <c r="B22" s="3" t="inlineStr">
        <is>
          <t>OT-000014</t>
        </is>
      </c>
      <c r="C22" s="3" t="inlineStr">
        <is>
          <t>0010</t>
        </is>
      </c>
      <c r="D22" s="3" t="inlineStr">
        <is>
          <t>EJEC</t>
        </is>
      </c>
      <c r="E22" s="3" t="inlineStr">
        <is>
          <t>2-MEDIA</t>
        </is>
      </c>
      <c r="F22" s="3" t="inlineStr">
        <is>
          <t>PARADO</t>
        </is>
      </c>
      <c r="G22" s="10" t="n">
        <v>80</v>
      </c>
      <c r="H22" s="10" t="n">
        <v>0</v>
      </c>
      <c r="I22" s="10" t="n">
        <v>200</v>
      </c>
      <c r="J22" s="3" t="inlineStr">
        <is>
          <t>EN EJECUCION</t>
        </is>
      </c>
    </row>
    <row r="23">
      <c r="A23" s="3">
        <f>$B23&amp;IF($C23="","0010",$C23)</f>
        <v/>
      </c>
      <c r="B23" s="3" t="inlineStr">
        <is>
          <t>OT-000015</t>
        </is>
      </c>
      <c r="C23" s="3" t="inlineStr">
        <is>
          <t>0010</t>
        </is>
      </c>
      <c r="D23" s="3" t="inlineStr">
        <is>
          <t>CERR</t>
        </is>
      </c>
      <c r="E23" s="3" t="inlineStr">
        <is>
          <t>3-BAJA</t>
        </is>
      </c>
      <c r="F23" s="3" t="inlineStr">
        <is>
          <t>OPERATIVO</t>
        </is>
      </c>
      <c r="G23" s="10" t="n">
        <v>60</v>
      </c>
      <c r="H23" s="10" t="n">
        <v>150</v>
      </c>
      <c r="I23" s="10" t="n">
        <v>150</v>
      </c>
      <c r="J23" s="3" t="inlineStr">
        <is>
          <t>CERRADA</t>
        </is>
      </c>
    </row>
    <row r="24">
      <c r="A24" s="3">
        <f>$B24&amp;IF($C24="","0010",$C24)</f>
        <v/>
      </c>
      <c r="B24" s="3" t="inlineStr">
        <is>
          <t>OT-000016</t>
        </is>
      </c>
      <c r="C24" s="3" t="inlineStr">
        <is>
          <t>0010</t>
        </is>
      </c>
      <c r="D24" s="3" t="inlineStr">
        <is>
          <t>EJEC</t>
        </is>
      </c>
      <c r="E24" s="3" t="inlineStr">
        <is>
          <t>1-ALTA</t>
        </is>
      </c>
      <c r="F24" s="3" t="inlineStr">
        <is>
          <t>PARADO</t>
        </is>
      </c>
      <c r="G24" s="10" t="n">
        <v>100</v>
      </c>
      <c r="H24" s="10" t="n">
        <v>0</v>
      </c>
      <c r="I24" s="10" t="n">
        <v>250</v>
      </c>
      <c r="J24" s="3" t="inlineStr">
        <is>
          <t>EN EJECUCION</t>
        </is>
      </c>
    </row>
    <row r="25">
      <c r="A25" s="3">
        <f>$B25&amp;IF($C25="","0010",$C25)</f>
        <v/>
      </c>
      <c r="B25" s="3" t="inlineStr">
        <is>
          <t>OT-000017</t>
        </is>
      </c>
      <c r="C25" s="3" t="inlineStr">
        <is>
          <t>0010</t>
        </is>
      </c>
      <c r="D25" s="3" t="inlineStr">
        <is>
          <t>CERR</t>
        </is>
      </c>
      <c r="E25" s="3" t="inlineStr">
        <is>
          <t>2-MEDIA</t>
        </is>
      </c>
      <c r="F25" s="3" t="inlineStr">
        <is>
          <t>OPERATIVO</t>
        </is>
      </c>
      <c r="G25" s="10" t="n">
        <v>80</v>
      </c>
      <c r="H25" s="10" t="n">
        <v>200</v>
      </c>
      <c r="I25" s="10" t="n">
        <v>200</v>
      </c>
      <c r="J25" s="3" t="inlineStr">
        <is>
          <t>CERRADA</t>
        </is>
      </c>
    </row>
    <row r="26">
      <c r="A26" s="3">
        <f>$B26&amp;IF($C26="","0010",$C26)</f>
        <v/>
      </c>
      <c r="B26" s="3" t="inlineStr">
        <is>
          <t>OT-000018</t>
        </is>
      </c>
      <c r="C26" s="3" t="inlineStr">
        <is>
          <t>0010</t>
        </is>
      </c>
      <c r="D26" s="3" t="inlineStr">
        <is>
          <t>EJEC</t>
        </is>
      </c>
      <c r="E26" s="3" t="inlineStr">
        <is>
          <t>3-BAJA</t>
        </is>
      </c>
      <c r="F26" s="3" t="inlineStr">
        <is>
          <t>PARADO</t>
        </is>
      </c>
      <c r="G26" s="10" t="n">
        <v>60</v>
      </c>
      <c r="H26" s="10" t="n">
        <v>0</v>
      </c>
      <c r="I26" s="10" t="n">
        <v>150</v>
      </c>
      <c r="J26" s="3" t="inlineStr">
        <is>
          <t>EN EJECUCION</t>
        </is>
      </c>
    </row>
    <row r="27">
      <c r="A27" s="3">
        <f>$B27&amp;IF($C27="","0010",$C27)</f>
        <v/>
      </c>
      <c r="B27" s="3" t="inlineStr">
        <is>
          <t>OT-000019</t>
        </is>
      </c>
      <c r="C27" s="3" t="inlineStr">
        <is>
          <t>0010</t>
        </is>
      </c>
      <c r="D27" s="3" t="inlineStr">
        <is>
          <t>CERR</t>
        </is>
      </c>
      <c r="E27" s="3" t="inlineStr">
        <is>
          <t>1-ALTA</t>
        </is>
      </c>
      <c r="F27" s="3" t="inlineStr">
        <is>
          <t>OPERATIVO</t>
        </is>
      </c>
      <c r="G27" s="10" t="n">
        <v>100</v>
      </c>
      <c r="H27" s="10" t="n">
        <v>250</v>
      </c>
      <c r="I27" s="10" t="n">
        <v>250</v>
      </c>
      <c r="J27" s="3" t="inlineStr">
        <is>
          <t>CERRADA</t>
        </is>
      </c>
    </row>
    <row r="28">
      <c r="A28" s="3">
        <f>$B28&amp;IF($C28="","0010",$C28)</f>
        <v/>
      </c>
      <c r="B28" s="3" t="inlineStr">
        <is>
          <t>OT-000020</t>
        </is>
      </c>
      <c r="C28" s="3" t="inlineStr">
        <is>
          <t>0010</t>
        </is>
      </c>
      <c r="D28" s="3" t="inlineStr">
        <is>
          <t>EJEC</t>
        </is>
      </c>
      <c r="E28" s="3" t="inlineStr">
        <is>
          <t>2-MEDIA</t>
        </is>
      </c>
      <c r="F28" s="3" t="inlineStr">
        <is>
          <t>PARADO</t>
        </is>
      </c>
      <c r="G28" s="10" t="n">
        <v>80</v>
      </c>
      <c r="H28" s="10" t="n">
        <v>0</v>
      </c>
      <c r="I28" s="10" t="n">
        <v>200</v>
      </c>
      <c r="J28" s="3" t="inlineStr">
        <is>
          <t>EN EJECUCION</t>
        </is>
      </c>
    </row>
    <row r="29">
      <c r="A29" s="3">
        <f>$B29&amp;IF($C29="","0010",$C29)</f>
        <v/>
      </c>
      <c r="B29" s="3" t="inlineStr">
        <is>
          <t>OT-000021</t>
        </is>
      </c>
      <c r="C29" s="3" t="inlineStr">
        <is>
          <t>0010</t>
        </is>
      </c>
      <c r="D29" s="3" t="inlineStr">
        <is>
          <t>CERR</t>
        </is>
      </c>
      <c r="E29" s="3" t="inlineStr">
        <is>
          <t>3-BAJA</t>
        </is>
      </c>
      <c r="F29" s="3" t="inlineStr">
        <is>
          <t>OPERATIVO</t>
        </is>
      </c>
      <c r="G29" s="10" t="n">
        <v>60</v>
      </c>
      <c r="H29" s="10" t="n">
        <v>150</v>
      </c>
      <c r="I29" s="10" t="n">
        <v>150</v>
      </c>
      <c r="J29" s="3" t="inlineStr">
        <is>
          <t>CERRADA</t>
        </is>
      </c>
    </row>
    <row r="30">
      <c r="A30" s="3">
        <f>$B30&amp;IF($C30="","0010",$C30)</f>
        <v/>
      </c>
      <c r="B30" s="3" t="inlineStr">
        <is>
          <t>OT-000022</t>
        </is>
      </c>
      <c r="C30" s="3" t="inlineStr">
        <is>
          <t>0010</t>
        </is>
      </c>
      <c r="D30" s="3" t="inlineStr">
        <is>
          <t>EJEC</t>
        </is>
      </c>
      <c r="E30" s="3" t="inlineStr">
        <is>
          <t>1-ALTA</t>
        </is>
      </c>
      <c r="F30" s="3" t="inlineStr">
        <is>
          <t>PARADO</t>
        </is>
      </c>
      <c r="G30" s="10" t="n">
        <v>80</v>
      </c>
      <c r="H30" s="10" t="n">
        <v>0</v>
      </c>
      <c r="I30" s="10" t="n">
        <v>200</v>
      </c>
      <c r="J30" s="3" t="inlineStr">
        <is>
          <t>EN EJECUCION</t>
        </is>
      </c>
    </row>
    <row r="31">
      <c r="A31" s="3">
        <f>$B31&amp;IF($C31="","0010",$C31)</f>
        <v/>
      </c>
      <c r="B31" s="3" t="inlineStr">
        <is>
          <t>OT-000023</t>
        </is>
      </c>
      <c r="C31" s="3" t="inlineStr">
        <is>
          <t>0010</t>
        </is>
      </c>
      <c r="D31" s="3" t="inlineStr">
        <is>
          <t>CERR</t>
        </is>
      </c>
      <c r="E31" s="3" t="inlineStr">
        <is>
          <t>2-MEDIA</t>
        </is>
      </c>
      <c r="F31" s="3" t="inlineStr">
        <is>
          <t>OPERATIVO</t>
        </is>
      </c>
      <c r="G31" s="10" t="n">
        <v>160</v>
      </c>
      <c r="H31" s="10" t="n">
        <v>400</v>
      </c>
      <c r="I31" s="10" t="n">
        <v>400</v>
      </c>
      <c r="J31" s="3" t="inlineStr">
        <is>
          <t>CERRADA</t>
        </is>
      </c>
    </row>
    <row r="32">
      <c r="A32" s="3">
        <f>$B32&amp;IF($C32="","0010",$C32)</f>
        <v/>
      </c>
      <c r="B32" s="3" t="inlineStr">
        <is>
          <t>OT-000024</t>
        </is>
      </c>
      <c r="C32" s="3" t="inlineStr">
        <is>
          <t>0010</t>
        </is>
      </c>
      <c r="D32" s="3" t="inlineStr">
        <is>
          <t>EJEC</t>
        </is>
      </c>
      <c r="E32" s="3" t="inlineStr">
        <is>
          <t>3-BAJA</t>
        </is>
      </c>
      <c r="F32" s="3" t="inlineStr">
        <is>
          <t>PARADO</t>
        </is>
      </c>
      <c r="G32" s="10" t="n">
        <v>128</v>
      </c>
      <c r="H32" s="10" t="n">
        <v>0</v>
      </c>
      <c r="I32" s="10" t="n">
        <v>320</v>
      </c>
      <c r="J32" s="3" t="inlineStr">
        <is>
          <t>EN EJECUCION</t>
        </is>
      </c>
    </row>
    <row r="33">
      <c r="A33" s="3">
        <f>$B33&amp;IF($C33="","0010",$C33)</f>
        <v/>
      </c>
      <c r="B33" s="3" t="inlineStr">
        <is>
          <t>OT-000025</t>
        </is>
      </c>
      <c r="C33" s="3" t="inlineStr">
        <is>
          <t>0010</t>
        </is>
      </c>
      <c r="D33" s="3" t="inlineStr">
        <is>
          <t>CERR</t>
        </is>
      </c>
      <c r="E33" s="3" t="inlineStr">
        <is>
          <t>1-ALTA</t>
        </is>
      </c>
      <c r="F33" s="3" t="inlineStr">
        <is>
          <t>OPERATIVO</t>
        </is>
      </c>
      <c r="G33" s="10" t="n">
        <v>112</v>
      </c>
      <c r="H33" s="10" t="n">
        <v>280</v>
      </c>
      <c r="I33" s="10" t="n">
        <v>280</v>
      </c>
      <c r="J33" s="3" t="inlineStr">
        <is>
          <t>CERRADA</t>
        </is>
      </c>
    </row>
    <row r="34">
      <c r="A34" s="3">
        <f>$B34&amp;IF($C34="","0010",$C34)</f>
        <v/>
      </c>
      <c r="B34" s="3" t="inlineStr">
        <is>
          <t>OT-000027</t>
        </is>
      </c>
      <c r="C34" s="3" t="inlineStr">
        <is>
          <t>0010</t>
        </is>
      </c>
      <c r="D34" s="3" t="inlineStr">
        <is>
          <t>LIB</t>
        </is>
      </c>
      <c r="E34" s="3" t="inlineStr">
        <is>
          <t>3-BAJA</t>
        </is>
      </c>
      <c r="F34" s="3" t="inlineStr">
        <is>
          <t>OPERATIVO</t>
        </is>
      </c>
      <c r="G34" s="10" t="n">
        <v>80</v>
      </c>
      <c r="H34" s="10" t="n">
        <v>0</v>
      </c>
      <c r="I34" s="10" t="n">
        <v>200</v>
      </c>
      <c r="J34" s="3" t="inlineStr">
        <is>
          <t>LIBERADA</t>
        </is>
      </c>
    </row>
    <row r="35">
      <c r="A35" s="3">
        <f>$B35&amp;IF($C35="","0010",$C35)</f>
        <v/>
      </c>
      <c r="B35" s="3" t="inlineStr">
        <is>
          <t>OT-000029</t>
        </is>
      </c>
      <c r="C35" s="3" t="inlineStr">
        <is>
          <t>0010</t>
        </is>
      </c>
      <c r="D35" s="3" t="inlineStr">
        <is>
          <t>LIB</t>
        </is>
      </c>
      <c r="E35" s="3" t="inlineStr">
        <is>
          <t>2-MEDIA</t>
        </is>
      </c>
      <c r="F35" s="3" t="inlineStr">
        <is>
          <t>OPERATIVO</t>
        </is>
      </c>
      <c r="G35" s="10" t="n">
        <v>100</v>
      </c>
      <c r="H35" s="10" t="n">
        <v>0</v>
      </c>
      <c r="I35" s="10" t="n">
        <v>250</v>
      </c>
      <c r="J35" s="3" t="inlineStr">
        <is>
          <t>LIBERADA</t>
        </is>
      </c>
    </row>
    <row r="36">
      <c r="A36" s="3">
        <f>$B36&amp;IF($C36="","0010",$C36)</f>
        <v/>
      </c>
      <c r="B36" s="3" t="inlineStr">
        <is>
          <t>OT-000031</t>
        </is>
      </c>
      <c r="C36" s="3" t="inlineStr">
        <is>
          <t>0010</t>
        </is>
      </c>
      <c r="D36" s="3" t="inlineStr">
        <is>
          <t>LIB</t>
        </is>
      </c>
      <c r="E36" s="3" t="inlineStr">
        <is>
          <t>1-ALTA</t>
        </is>
      </c>
      <c r="F36" s="3" t="inlineStr">
        <is>
          <t>OPERATIVO</t>
        </is>
      </c>
      <c r="G36" s="10" t="n">
        <v>60</v>
      </c>
      <c r="H36" s="10" t="n">
        <v>0</v>
      </c>
      <c r="I36" s="10" t="n">
        <v>150</v>
      </c>
      <c r="J36" s="3" t="inlineStr">
        <is>
          <t>LIBERADA</t>
        </is>
      </c>
    </row>
    <row r="37">
      <c r="A37" s="3">
        <f>$B37&amp;IF($C37="","0010",$C37)</f>
        <v/>
      </c>
      <c r="B37" s="3" t="inlineStr">
        <is>
          <t>OT-000033</t>
        </is>
      </c>
      <c r="C37" s="3" t="inlineStr">
        <is>
          <t>0010</t>
        </is>
      </c>
      <c r="D37" s="3" t="inlineStr">
        <is>
          <t>LIB</t>
        </is>
      </c>
      <c r="E37" s="3" t="inlineStr">
        <is>
          <t>3-BAJA</t>
        </is>
      </c>
      <c r="F37" s="3" t="inlineStr">
        <is>
          <t>OPERATIVO</t>
        </is>
      </c>
      <c r="G37" s="10" t="n">
        <v>80</v>
      </c>
      <c r="H37" s="10" t="n">
        <v>0</v>
      </c>
      <c r="I37" s="10" t="n">
        <v>200</v>
      </c>
      <c r="J37" s="3" t="inlineStr">
        <is>
          <t>LIBERADA</t>
        </is>
      </c>
    </row>
    <row r="38">
      <c r="A38" s="3">
        <f>$B38&amp;IF($C38="","0010",$C38)</f>
        <v/>
      </c>
      <c r="B38" s="3" t="inlineStr">
        <is>
          <t>OT-000035</t>
        </is>
      </c>
      <c r="C38" s="3" t="inlineStr">
        <is>
          <t>0010</t>
        </is>
      </c>
      <c r="D38" s="3" t="inlineStr">
        <is>
          <t>LIB</t>
        </is>
      </c>
      <c r="E38" s="3" t="inlineStr">
        <is>
          <t>2-MEDIA</t>
        </is>
      </c>
      <c r="F38" s="3" t="inlineStr">
        <is>
          <t>OPERATIVO</t>
        </is>
      </c>
      <c r="G38" s="10" t="n">
        <v>80</v>
      </c>
      <c r="H38" s="10" t="n">
        <v>0</v>
      </c>
      <c r="I38" s="10" t="n">
        <v>200</v>
      </c>
      <c r="J38" s="3" t="inlineStr">
        <is>
          <t>LIBERADA</t>
        </is>
      </c>
    </row>
    <row r="39">
      <c r="A39" s="3">
        <f>$B39&amp;IF($C39="","0010",$C39)</f>
        <v/>
      </c>
      <c r="B39" s="3" t="inlineStr">
        <is>
          <t>OT-000037</t>
        </is>
      </c>
      <c r="C39" s="3" t="inlineStr">
        <is>
          <t>0010</t>
        </is>
      </c>
      <c r="D39" s="3" t="inlineStr">
        <is>
          <t>LIB</t>
        </is>
      </c>
      <c r="E39" s="3" t="inlineStr">
        <is>
          <t>1-ALTA</t>
        </is>
      </c>
      <c r="F39" s="3" t="inlineStr">
        <is>
          <t>OPERATIVO</t>
        </is>
      </c>
      <c r="G39" s="10" t="n">
        <v>160</v>
      </c>
      <c r="H39" s="10" t="n">
        <v>0</v>
      </c>
      <c r="I39" s="10" t="n">
        <v>400</v>
      </c>
      <c r="J39" s="3" t="inlineStr">
        <is>
          <t>LIBERADA</t>
        </is>
      </c>
    </row>
    <row r="40">
      <c r="A40" s="3">
        <f>$B40&amp;IF($C40="","0010",$C40)</f>
        <v/>
      </c>
      <c r="B40" s="3" t="inlineStr">
        <is>
          <t>OT-000039</t>
        </is>
      </c>
      <c r="C40" s="3" t="inlineStr">
        <is>
          <t>0010</t>
        </is>
      </c>
      <c r="D40" s="3" t="inlineStr">
        <is>
          <t>LIB</t>
        </is>
      </c>
      <c r="E40" s="3" t="inlineStr">
        <is>
          <t>3-BAJA</t>
        </is>
      </c>
      <c r="F40" s="3" t="inlineStr">
        <is>
          <t>OPERATIVO</t>
        </is>
      </c>
      <c r="G40" s="10" t="n">
        <v>80</v>
      </c>
      <c r="H40" s="10" t="n">
        <v>0</v>
      </c>
      <c r="I40" s="10" t="n">
        <v>200</v>
      </c>
      <c r="J40" s="3" t="inlineStr">
        <is>
          <t>LIBERADA</t>
        </is>
      </c>
    </row>
    <row r="41">
      <c r="A41" s="3">
        <f>$B41&amp;IF($C41="","0010",$C41)</f>
        <v/>
      </c>
      <c r="B41" s="3" t="inlineStr">
        <is>
          <t>OT-000041</t>
        </is>
      </c>
      <c r="C41" s="3" t="inlineStr">
        <is>
          <t>0010</t>
        </is>
      </c>
      <c r="D41" s="3" t="inlineStr">
        <is>
          <t>LIB</t>
        </is>
      </c>
      <c r="E41" s="3" t="inlineStr">
        <is>
          <t>2-MEDIA</t>
        </is>
      </c>
      <c r="F41" s="3" t="inlineStr">
        <is>
          <t>OPERATIVO</t>
        </is>
      </c>
      <c r="G41" s="10" t="n">
        <v>100</v>
      </c>
      <c r="H41" s="10" t="n">
        <v>0</v>
      </c>
      <c r="I41" s="10" t="n">
        <v>250</v>
      </c>
      <c r="J41" s="3" t="inlineStr">
        <is>
          <t>LIBERADA</t>
        </is>
      </c>
    </row>
    <row r="42">
      <c r="A42" s="3">
        <f>$B42&amp;IF($C42="","0010",$C42)</f>
        <v/>
      </c>
      <c r="B42" s="3" t="inlineStr">
        <is>
          <t>OT-000043</t>
        </is>
      </c>
      <c r="C42" s="3" t="inlineStr">
        <is>
          <t>0010</t>
        </is>
      </c>
      <c r="D42" s="3" t="inlineStr">
        <is>
          <t>LIB</t>
        </is>
      </c>
      <c r="E42" s="3" t="inlineStr">
        <is>
          <t>1-ALTA</t>
        </is>
      </c>
      <c r="F42" s="3" t="inlineStr">
        <is>
          <t>OPERATIVO</t>
        </is>
      </c>
      <c r="G42" s="10" t="n">
        <v>60</v>
      </c>
      <c r="H42" s="10" t="n">
        <v>0</v>
      </c>
      <c r="I42" s="10" t="n">
        <v>150</v>
      </c>
      <c r="J42" s="3" t="inlineStr">
        <is>
          <t>LIBERADA</t>
        </is>
      </c>
    </row>
    <row r="43">
      <c r="A43" s="3">
        <f>$B43&amp;IF($C43="","0010",$C43)</f>
        <v/>
      </c>
      <c r="B43" s="3" t="inlineStr">
        <is>
          <t>OT-000045</t>
        </is>
      </c>
      <c r="C43" s="3" t="inlineStr">
        <is>
          <t>0010</t>
        </is>
      </c>
      <c r="D43" s="3" t="inlineStr">
        <is>
          <t>LIB</t>
        </is>
      </c>
      <c r="E43" s="3" t="inlineStr">
        <is>
          <t>3-BAJA</t>
        </is>
      </c>
      <c r="F43" s="3" t="inlineStr">
        <is>
          <t>OPERATIVO</t>
        </is>
      </c>
      <c r="G43" s="10" t="n">
        <v>80</v>
      </c>
      <c r="H43" s="10" t="n">
        <v>0</v>
      </c>
      <c r="I43" s="10" t="n">
        <v>200</v>
      </c>
      <c r="J43" s="3" t="inlineStr">
        <is>
          <t>LIBERADA</t>
        </is>
      </c>
    </row>
    <row r="44">
      <c r="A44" s="3">
        <f>$B44&amp;IF($C44="","0010",$C44)</f>
        <v/>
      </c>
      <c r="B44" s="3" t="inlineStr">
        <is>
          <t>OT-000047</t>
        </is>
      </c>
      <c r="C44" s="3" t="inlineStr">
        <is>
          <t>0010</t>
        </is>
      </c>
      <c r="D44" s="3" t="inlineStr">
        <is>
          <t>LIB</t>
        </is>
      </c>
      <c r="E44" s="3" t="inlineStr">
        <is>
          <t>2-MEDIA</t>
        </is>
      </c>
      <c r="F44" s="3" t="inlineStr">
        <is>
          <t>OPERATIVO</t>
        </is>
      </c>
      <c r="G44" s="10" t="n">
        <v>160</v>
      </c>
      <c r="H44" s="10" t="n">
        <v>0</v>
      </c>
      <c r="I44" s="10" t="n">
        <v>400</v>
      </c>
      <c r="J44" s="3" t="inlineStr">
        <is>
          <t>LIBERADA</t>
        </is>
      </c>
    </row>
    <row r="45">
      <c r="A45" s="3">
        <f>$B45&amp;IF($C45="","0010",$C45)</f>
        <v/>
      </c>
      <c r="B45" s="3" t="inlineStr">
        <is>
          <t>OT-000049</t>
        </is>
      </c>
      <c r="C45" s="3" t="inlineStr">
        <is>
          <t>0010</t>
        </is>
      </c>
      <c r="D45" s="3" t="inlineStr">
        <is>
          <t>LIB</t>
        </is>
      </c>
      <c r="E45" s="3" t="inlineStr">
        <is>
          <t>1-ALTA</t>
        </is>
      </c>
      <c r="F45" s="3" t="inlineStr">
        <is>
          <t>OPERATIVO</t>
        </is>
      </c>
      <c r="G45" s="10" t="n">
        <v>100</v>
      </c>
      <c r="H45" s="10" t="n">
        <v>0</v>
      </c>
      <c r="I45" s="10" t="n">
        <v>250</v>
      </c>
      <c r="J45" s="3" t="inlineStr">
        <is>
          <t>LIBERADA</t>
        </is>
      </c>
    </row>
    <row r="46">
      <c r="A46" s="3">
        <f>$B46&amp;IF($C46="","0010",$C46)</f>
        <v/>
      </c>
      <c r="B46" s="3" t="inlineStr">
        <is>
          <t>OT-000050</t>
        </is>
      </c>
      <c r="C46" s="3" t="inlineStr">
        <is>
          <t>0010</t>
        </is>
      </c>
      <c r="D46" s="3" t="inlineStr">
        <is>
          <t>CERR</t>
        </is>
      </c>
      <c r="E46" s="3" t="inlineStr">
        <is>
          <t>2-MEDIA</t>
        </is>
      </c>
      <c r="F46" s="3" t="inlineStr">
        <is>
          <t>PARADO</t>
        </is>
      </c>
      <c r="G46" s="10" t="n">
        <v>80</v>
      </c>
      <c r="H46" s="10" t="n">
        <v>200</v>
      </c>
      <c r="I46" s="10" t="n">
        <v>200</v>
      </c>
      <c r="J46" s="3" t="inlineStr">
        <is>
          <t>CERRADA</t>
        </is>
      </c>
    </row>
    <row r="47">
      <c r="A47" s="3">
        <f>$B47&amp;IF($C47="","0010",$C47)</f>
        <v/>
      </c>
      <c r="B47" s="3" t="inlineStr">
        <is>
          <t>OT-000051</t>
        </is>
      </c>
      <c r="C47" s="3" t="inlineStr">
        <is>
          <t>0010</t>
        </is>
      </c>
      <c r="D47" s="3" t="inlineStr">
        <is>
          <t>CERR</t>
        </is>
      </c>
      <c r="E47" s="3" t="inlineStr">
        <is>
          <t>3-BAJA</t>
        </is>
      </c>
      <c r="F47" s="3" t="inlineStr">
        <is>
          <t>OPERATIVO</t>
        </is>
      </c>
      <c r="G47" s="10" t="n">
        <v>60</v>
      </c>
      <c r="H47" s="10" t="n">
        <v>150</v>
      </c>
      <c r="I47" s="10" t="n">
        <v>150</v>
      </c>
      <c r="J47" s="3" t="inlineStr">
        <is>
          <t>CERRADA</t>
        </is>
      </c>
    </row>
    <row r="48">
      <c r="A48" s="3">
        <f>$B48&amp;IF($C48="","0010",$C48)</f>
        <v/>
      </c>
      <c r="B48" s="3" t="inlineStr">
        <is>
          <t>OT-000052</t>
        </is>
      </c>
      <c r="C48" s="3" t="inlineStr">
        <is>
          <t>0010</t>
        </is>
      </c>
      <c r="D48" s="3" t="inlineStr">
        <is>
          <t>CERR</t>
        </is>
      </c>
      <c r="E48" s="3" t="inlineStr">
        <is>
          <t>1-ALTA</t>
        </is>
      </c>
      <c r="F48" s="3" t="inlineStr">
        <is>
          <t>PARADO</t>
        </is>
      </c>
      <c r="G48" s="10" t="n">
        <v>100</v>
      </c>
      <c r="H48" s="10" t="n">
        <v>250</v>
      </c>
      <c r="I48" s="10" t="n">
        <v>250</v>
      </c>
      <c r="J48" s="3" t="inlineStr">
        <is>
          <t>CERRADA</t>
        </is>
      </c>
    </row>
    <row r="49">
      <c r="A49" s="3">
        <f>$B49&amp;IF($C49="","0010",$C49)</f>
        <v/>
      </c>
      <c r="B49" s="3" t="inlineStr">
        <is>
          <t>OT-000053</t>
        </is>
      </c>
      <c r="C49" s="3" t="inlineStr">
        <is>
          <t>0010</t>
        </is>
      </c>
      <c r="D49" s="3" t="inlineStr">
        <is>
          <t>CERR</t>
        </is>
      </c>
      <c r="E49" s="3" t="inlineStr">
        <is>
          <t>2-MEDIA</t>
        </is>
      </c>
      <c r="F49" s="3" t="inlineStr">
        <is>
          <t>OPERATIVO</t>
        </is>
      </c>
      <c r="G49" s="10" t="n">
        <v>80</v>
      </c>
      <c r="H49" s="10" t="n">
        <v>200</v>
      </c>
      <c r="I49" s="10" t="n">
        <v>200</v>
      </c>
      <c r="J49" s="3" t="inlineStr">
        <is>
          <t>CERRADA</t>
        </is>
      </c>
    </row>
    <row r="50">
      <c r="A50" s="3">
        <f>$B50&amp;IF($C50="","0010",$C50)</f>
        <v/>
      </c>
      <c r="B50" s="3" t="inlineStr">
        <is>
          <t>OT-000054</t>
        </is>
      </c>
      <c r="C50" s="3" t="inlineStr">
        <is>
          <t>0010</t>
        </is>
      </c>
      <c r="D50" s="3" t="inlineStr">
        <is>
          <t>CERR</t>
        </is>
      </c>
      <c r="E50" s="3" t="inlineStr">
        <is>
          <t>3-BAJA</t>
        </is>
      </c>
      <c r="F50" s="3" t="inlineStr">
        <is>
          <t>PARADO</t>
        </is>
      </c>
      <c r="G50" s="10" t="n">
        <v>60</v>
      </c>
      <c r="H50" s="10" t="n">
        <v>150</v>
      </c>
      <c r="I50" s="10" t="n">
        <v>150</v>
      </c>
      <c r="J50" s="3" t="inlineStr">
        <is>
          <t>CERRADA</t>
        </is>
      </c>
    </row>
    <row r="51">
      <c r="A51" s="3">
        <f>$B51&amp;IF($C51="","0010",$C51)</f>
        <v/>
      </c>
      <c r="B51" s="3" t="inlineStr">
        <is>
          <t>OT-000055</t>
        </is>
      </c>
      <c r="C51" s="3" t="inlineStr">
        <is>
          <t>0010</t>
        </is>
      </c>
      <c r="D51" s="3" t="inlineStr">
        <is>
          <t>CERR</t>
        </is>
      </c>
      <c r="E51" s="3" t="inlineStr">
        <is>
          <t>1-ALTA</t>
        </is>
      </c>
      <c r="F51" s="3" t="inlineStr">
        <is>
          <t>OPERATIVO</t>
        </is>
      </c>
      <c r="G51" s="10" t="n">
        <v>100</v>
      </c>
      <c r="H51" s="10" t="n">
        <v>250</v>
      </c>
      <c r="I51" s="10" t="n">
        <v>250</v>
      </c>
      <c r="J51" s="3" t="inlineStr">
        <is>
          <t>CERRADA</t>
        </is>
      </c>
    </row>
    <row r="52">
      <c r="A52" s="3">
        <f>$B52&amp;IF($C52="","0010",$C52)</f>
        <v/>
      </c>
      <c r="B52" s="3" t="inlineStr">
        <is>
          <t>OT-000056</t>
        </is>
      </c>
      <c r="C52" s="3" t="inlineStr">
        <is>
          <t>0010</t>
        </is>
      </c>
      <c r="D52" s="3" t="inlineStr">
        <is>
          <t>CERR</t>
        </is>
      </c>
      <c r="E52" s="3" t="inlineStr">
        <is>
          <t>2-MEDIA</t>
        </is>
      </c>
      <c r="F52" s="3" t="inlineStr">
        <is>
          <t>PARADO</t>
        </is>
      </c>
      <c r="G52" s="10" t="n">
        <v>20</v>
      </c>
      <c r="H52" s="10" t="n">
        <v>50</v>
      </c>
      <c r="I52" s="10" t="n">
        <v>50</v>
      </c>
      <c r="J52" s="3" t="inlineStr">
        <is>
          <t>CERRADA</t>
        </is>
      </c>
    </row>
    <row r="53">
      <c r="A53" s="3">
        <f>$B53&amp;IF($C53="","0010",$C53)</f>
        <v/>
      </c>
      <c r="B53" s="3" t="inlineStr">
        <is>
          <t>OT-000057</t>
        </is>
      </c>
      <c r="C53" s="3" t="inlineStr">
        <is>
          <t>0010</t>
        </is>
      </c>
      <c r="D53" s="3" t="inlineStr">
        <is>
          <t>CERR</t>
        </is>
      </c>
      <c r="E53" s="3" t="inlineStr">
        <is>
          <t>3-BAJA</t>
        </is>
      </c>
      <c r="F53" s="3" t="inlineStr">
        <is>
          <t>OPERATIVO</t>
        </is>
      </c>
      <c r="G53" s="10" t="n">
        <v>160</v>
      </c>
      <c r="H53" s="10" t="n">
        <v>400</v>
      </c>
      <c r="I53" s="10" t="n">
        <v>400</v>
      </c>
      <c r="J53" s="3" t="inlineStr">
        <is>
          <t>CERRADA</t>
        </is>
      </c>
    </row>
    <row r="54">
      <c r="A54" s="3">
        <f>$B54&amp;IF($C54="","0010",$C54)</f>
        <v/>
      </c>
      <c r="B54" s="3" t="inlineStr">
        <is>
          <t>OT-000058</t>
        </is>
      </c>
      <c r="C54" s="3" t="inlineStr">
        <is>
          <t>0010</t>
        </is>
      </c>
      <c r="D54" s="3" t="inlineStr">
        <is>
          <t>CERR</t>
        </is>
      </c>
      <c r="E54" s="3" t="inlineStr">
        <is>
          <t>1-ALTA</t>
        </is>
      </c>
      <c r="F54" s="3" t="inlineStr">
        <is>
          <t>PARADO</t>
        </is>
      </c>
      <c r="G54" s="10" t="n">
        <v>80</v>
      </c>
      <c r="H54" s="10" t="n">
        <v>200</v>
      </c>
      <c r="I54" s="10" t="n">
        <v>200</v>
      </c>
      <c r="J54" s="3" t="inlineStr">
        <is>
          <t>CERRADA</t>
        </is>
      </c>
    </row>
    <row r="55">
      <c r="A55" s="3">
        <f>$B55&amp;IF($C55="","0010",$C55)</f>
        <v/>
      </c>
      <c r="B55" s="3" t="inlineStr">
        <is>
          <t>OT-000059</t>
        </is>
      </c>
      <c r="C55" s="3" t="inlineStr">
        <is>
          <t>0010</t>
        </is>
      </c>
      <c r="D55" s="3" t="inlineStr">
        <is>
          <t>CERR</t>
        </is>
      </c>
      <c r="E55" s="3" t="inlineStr">
        <is>
          <t>2-MEDIA</t>
        </is>
      </c>
      <c r="F55" s="3" t="inlineStr">
        <is>
          <t>OPERATIVO</t>
        </is>
      </c>
      <c r="G55" s="10" t="n">
        <v>100</v>
      </c>
      <c r="H55" s="10" t="n">
        <v>250</v>
      </c>
      <c r="I55" s="10" t="n">
        <v>250</v>
      </c>
      <c r="J55" s="3" t="inlineStr">
        <is>
          <t>CERRADA</t>
        </is>
      </c>
    </row>
    <row r="56">
      <c r="A56" s="3">
        <f>$B56&amp;IF($C56="","0010",$C56)</f>
        <v/>
      </c>
      <c r="B56" s="3" t="inlineStr">
        <is>
          <t>OT-000060</t>
        </is>
      </c>
      <c r="C56" s="3" t="inlineStr">
        <is>
          <t>0010</t>
        </is>
      </c>
      <c r="D56" s="3" t="inlineStr">
        <is>
          <t>EJEC</t>
        </is>
      </c>
      <c r="E56" s="3" t="inlineStr">
        <is>
          <t>3-BAJA</t>
        </is>
      </c>
      <c r="F56" s="3" t="inlineStr">
        <is>
          <t>PARADO</t>
        </is>
      </c>
      <c r="G56" s="10" t="n">
        <v>80</v>
      </c>
      <c r="H56" s="10" t="n">
        <v>0</v>
      </c>
      <c r="I56" s="10" t="n">
        <v>200</v>
      </c>
      <c r="J56" s="3" t="inlineStr">
        <is>
          <t>EN EJECUCION</t>
        </is>
      </c>
    </row>
    <row r="57">
      <c r="A57" s="3">
        <f>$B57&amp;IF($C57="","0010",$C57)</f>
        <v/>
      </c>
      <c r="B57" s="3" t="inlineStr">
        <is>
          <t>OT-000061</t>
        </is>
      </c>
      <c r="C57" s="3" t="inlineStr">
        <is>
          <t>0010</t>
        </is>
      </c>
      <c r="D57" s="3" t="inlineStr">
        <is>
          <t>CERR</t>
        </is>
      </c>
      <c r="E57" s="3" t="inlineStr">
        <is>
          <t>1-ALTA</t>
        </is>
      </c>
      <c r="F57" s="3" t="inlineStr">
        <is>
          <t>OPERATIVO</t>
        </is>
      </c>
      <c r="G57" s="10" t="n">
        <v>60</v>
      </c>
      <c r="H57" s="10" t="n">
        <v>150</v>
      </c>
      <c r="I57" s="10" t="n">
        <v>150</v>
      </c>
      <c r="J57" s="3" t="inlineStr">
        <is>
          <t>CERRADA</t>
        </is>
      </c>
    </row>
    <row r="58">
      <c r="A58" s="3">
        <f>$B58&amp;IF($C58="","0010",$C58)</f>
        <v/>
      </c>
      <c r="B58" s="3" t="inlineStr">
        <is>
          <t>OT-000062</t>
        </is>
      </c>
      <c r="C58" s="3" t="inlineStr">
        <is>
          <t>0010</t>
        </is>
      </c>
      <c r="D58" s="3" t="inlineStr">
        <is>
          <t>EJEC</t>
        </is>
      </c>
      <c r="E58" s="3" t="inlineStr">
        <is>
          <t>2-MEDIA</t>
        </is>
      </c>
      <c r="F58" s="3" t="inlineStr">
        <is>
          <t>PARADO</t>
        </is>
      </c>
      <c r="G58" s="10" t="n">
        <v>100</v>
      </c>
      <c r="H58" s="10" t="n">
        <v>0</v>
      </c>
      <c r="I58" s="10" t="n">
        <v>250</v>
      </c>
      <c r="J58" s="3" t="inlineStr">
        <is>
          <t>EN EJECUCION</t>
        </is>
      </c>
    </row>
    <row r="59">
      <c r="A59" s="3">
        <f>$B59&amp;IF($C59="","0010",$C59)</f>
        <v/>
      </c>
      <c r="B59" s="3" t="inlineStr">
        <is>
          <t>OT-000063</t>
        </is>
      </c>
      <c r="C59" s="3" t="inlineStr">
        <is>
          <t>0010</t>
        </is>
      </c>
      <c r="D59" s="3" t="inlineStr">
        <is>
          <t>CERR</t>
        </is>
      </c>
      <c r="E59" s="3" t="inlineStr">
        <is>
          <t>3-BAJA</t>
        </is>
      </c>
      <c r="F59" s="3" t="inlineStr">
        <is>
          <t>OPERATIVO</t>
        </is>
      </c>
      <c r="G59" s="10" t="n">
        <v>80</v>
      </c>
      <c r="H59" s="10" t="n">
        <v>200</v>
      </c>
      <c r="I59" s="10" t="n">
        <v>200</v>
      </c>
      <c r="J59" s="3" t="inlineStr">
        <is>
          <t>CERRADA</t>
        </is>
      </c>
    </row>
    <row r="60">
      <c r="A60" s="3">
        <f>$B60&amp;IF($C60="","0010",$C60)</f>
        <v/>
      </c>
      <c r="B60" s="3" t="inlineStr">
        <is>
          <t>OT-000064</t>
        </is>
      </c>
      <c r="C60" s="3" t="inlineStr">
        <is>
          <t>0010</t>
        </is>
      </c>
      <c r="D60" s="3" t="inlineStr">
        <is>
          <t>EJEC</t>
        </is>
      </c>
      <c r="E60" s="3" t="inlineStr">
        <is>
          <t>1-ALTA</t>
        </is>
      </c>
      <c r="F60" s="3" t="inlineStr">
        <is>
          <t>PARADO</t>
        </is>
      </c>
      <c r="G60" s="10" t="n">
        <v>60</v>
      </c>
      <c r="H60" s="10" t="n">
        <v>0</v>
      </c>
      <c r="I60" s="10" t="n">
        <v>150</v>
      </c>
      <c r="J60" s="3" t="inlineStr">
        <is>
          <t>EN EJECUCION</t>
        </is>
      </c>
    </row>
    <row r="61">
      <c r="A61" s="3">
        <f>$B61&amp;IF($C61="","0010",$C61)</f>
        <v/>
      </c>
      <c r="B61" s="3" t="inlineStr">
        <is>
          <t>OT-000065</t>
        </is>
      </c>
      <c r="C61" s="3" t="inlineStr">
        <is>
          <t>0010</t>
        </is>
      </c>
      <c r="D61" s="3" t="inlineStr">
        <is>
          <t>CERR</t>
        </is>
      </c>
      <c r="E61" s="3" t="inlineStr">
        <is>
          <t>2-MEDIA</t>
        </is>
      </c>
      <c r="F61" s="3" t="inlineStr">
        <is>
          <t>OPERATIVO</t>
        </is>
      </c>
      <c r="G61" s="10" t="n">
        <v>100</v>
      </c>
      <c r="H61" s="10" t="n">
        <v>250</v>
      </c>
      <c r="I61" s="10" t="n">
        <v>250</v>
      </c>
      <c r="J61" s="3" t="inlineStr">
        <is>
          <t>CERRADA</t>
        </is>
      </c>
    </row>
    <row r="62">
      <c r="A62" s="3">
        <f>$B62&amp;IF($C62="","0010",$C62)</f>
        <v/>
      </c>
      <c r="B62" s="3" t="inlineStr">
        <is>
          <t>OT-000066</t>
        </is>
      </c>
      <c r="C62" s="3" t="inlineStr">
        <is>
          <t>0010</t>
        </is>
      </c>
      <c r="D62" s="3" t="inlineStr">
        <is>
          <t>EJEC</t>
        </is>
      </c>
      <c r="E62" s="3" t="inlineStr">
        <is>
          <t>3-BAJA</t>
        </is>
      </c>
      <c r="F62" s="3" t="inlineStr">
        <is>
          <t>PARADO</t>
        </is>
      </c>
      <c r="G62" s="10" t="n">
        <v>70</v>
      </c>
      <c r="H62" s="10" t="n">
        <v>0</v>
      </c>
      <c r="I62" s="10" t="n">
        <v>175</v>
      </c>
      <c r="J62" s="3" t="inlineStr">
        <is>
          <t>EN EJECUCION</t>
        </is>
      </c>
    </row>
    <row r="63">
      <c r="A63" s="3">
        <f>$B63&amp;IF($C63="","0010",$C63)</f>
        <v/>
      </c>
      <c r="B63" s="3" t="inlineStr">
        <is>
          <t>OT-000067</t>
        </is>
      </c>
      <c r="C63" s="3" t="inlineStr">
        <is>
          <t>0010</t>
        </is>
      </c>
      <c r="D63" s="3" t="inlineStr">
        <is>
          <t>CERR</t>
        </is>
      </c>
      <c r="E63" s="3" t="inlineStr">
        <is>
          <t>1-ALTA</t>
        </is>
      </c>
      <c r="F63" s="3" t="inlineStr">
        <is>
          <t>OPERATIVO</t>
        </is>
      </c>
      <c r="G63" s="10" t="n">
        <v>160</v>
      </c>
      <c r="H63" s="10" t="n">
        <v>400</v>
      </c>
      <c r="I63" s="10" t="n">
        <v>400</v>
      </c>
      <c r="J63" s="3" t="inlineStr">
        <is>
          <t>CERRADA</t>
        </is>
      </c>
    </row>
    <row r="64">
      <c r="A64" s="3">
        <f>$B64&amp;IF($C64="","0010",$C64)</f>
        <v/>
      </c>
      <c r="B64" s="3" t="inlineStr">
        <is>
          <t>OT-000068</t>
        </is>
      </c>
      <c r="C64" s="3" t="inlineStr">
        <is>
          <t>0010</t>
        </is>
      </c>
      <c r="D64" s="3" t="inlineStr">
        <is>
          <t>EJEC</t>
        </is>
      </c>
      <c r="E64" s="3" t="inlineStr">
        <is>
          <t>2-MEDIA</t>
        </is>
      </c>
      <c r="F64" s="3" t="inlineStr">
        <is>
          <t>PARADO</t>
        </is>
      </c>
      <c r="G64" s="10" t="n">
        <v>160</v>
      </c>
      <c r="H64" s="10" t="n">
        <v>0</v>
      </c>
      <c r="I64" s="10" t="n">
        <v>400</v>
      </c>
      <c r="J64" s="3" t="inlineStr">
        <is>
          <t>EN EJECUCION</t>
        </is>
      </c>
    </row>
    <row r="65">
      <c r="A65" s="3">
        <f>$B65&amp;IF($C65="","0010",$C65)</f>
        <v/>
      </c>
      <c r="B65" s="3" t="inlineStr">
        <is>
          <t>OT-000069</t>
        </is>
      </c>
      <c r="C65" s="3" t="inlineStr">
        <is>
          <t>0010</t>
        </is>
      </c>
      <c r="D65" s="3" t="inlineStr">
        <is>
          <t>LIB</t>
        </is>
      </c>
      <c r="E65" s="3" t="inlineStr">
        <is>
          <t>3-BAJA</t>
        </is>
      </c>
      <c r="F65" s="3" t="inlineStr">
        <is>
          <t>OPERATIVO</t>
        </is>
      </c>
      <c r="G65" s="10" t="n">
        <v>100</v>
      </c>
      <c r="H65" s="10" t="n">
        <v>0</v>
      </c>
      <c r="I65" s="10" t="n">
        <v>250</v>
      </c>
      <c r="J65" s="3" t="inlineStr">
        <is>
          <t>LIBERADA</t>
        </is>
      </c>
    </row>
    <row r="66">
      <c r="A66" s="3">
        <f>$B66&amp;IF($C66="","0010",$C66)</f>
        <v/>
      </c>
      <c r="B66" s="3" t="inlineStr">
        <is>
          <t>OT-000071</t>
        </is>
      </c>
      <c r="C66" s="3" t="inlineStr">
        <is>
          <t>0010</t>
        </is>
      </c>
      <c r="D66" s="3" t="inlineStr">
        <is>
          <t>LIB</t>
        </is>
      </c>
      <c r="E66" s="3" t="inlineStr">
        <is>
          <t>2-MEDIA</t>
        </is>
      </c>
      <c r="F66" s="3" t="inlineStr">
        <is>
          <t>OPERATIVO</t>
        </is>
      </c>
      <c r="G66" s="10" t="n">
        <v>60</v>
      </c>
      <c r="H66" s="10" t="n">
        <v>0</v>
      </c>
      <c r="I66" s="10" t="n">
        <v>150</v>
      </c>
      <c r="J66" s="3" t="inlineStr">
        <is>
          <t>LIBERADA</t>
        </is>
      </c>
    </row>
    <row r="67">
      <c r="A67" s="3">
        <f>$B67&amp;IF($C67="","0010",$C67)</f>
        <v/>
      </c>
      <c r="B67" s="3" t="inlineStr">
        <is>
          <t>OT-000073</t>
        </is>
      </c>
      <c r="C67" s="3" t="inlineStr">
        <is>
          <t>0010</t>
        </is>
      </c>
      <c r="D67" s="3" t="inlineStr">
        <is>
          <t>LIB</t>
        </is>
      </c>
      <c r="E67" s="3" t="inlineStr">
        <is>
          <t>1-ALTA</t>
        </is>
      </c>
      <c r="F67" s="3" t="inlineStr">
        <is>
          <t>OPERATIVO</t>
        </is>
      </c>
      <c r="G67" s="10" t="n">
        <v>80</v>
      </c>
      <c r="H67" s="10" t="n">
        <v>0</v>
      </c>
      <c r="I67" s="10" t="n">
        <v>200</v>
      </c>
      <c r="J67" s="3" t="inlineStr">
        <is>
          <t>LIBERADA</t>
        </is>
      </c>
    </row>
    <row r="68">
      <c r="A68" s="3">
        <f>$B68&amp;IF($C68="","0010",$C68)</f>
        <v/>
      </c>
      <c r="B68" s="3" t="inlineStr">
        <is>
          <t>OT-000075</t>
        </is>
      </c>
      <c r="C68" s="3" t="inlineStr">
        <is>
          <t>0010</t>
        </is>
      </c>
      <c r="D68" s="3" t="inlineStr">
        <is>
          <t>LIB</t>
        </is>
      </c>
      <c r="E68" s="3" t="inlineStr">
        <is>
          <t>3-BAJA</t>
        </is>
      </c>
      <c r="F68" s="3" t="inlineStr">
        <is>
          <t>OPERATIVO</t>
        </is>
      </c>
      <c r="G68" s="10" t="n">
        <v>100</v>
      </c>
      <c r="H68" s="10" t="n">
        <v>0</v>
      </c>
      <c r="I68" s="10" t="n">
        <v>250</v>
      </c>
      <c r="J68" s="3" t="inlineStr">
        <is>
          <t>LIBERADA</t>
        </is>
      </c>
    </row>
    <row r="69">
      <c r="A69" s="3">
        <f>$B69&amp;IF($C69="","0010",$C69)</f>
        <v/>
      </c>
      <c r="B69" s="3" t="inlineStr">
        <is>
          <t>OT-000077</t>
        </is>
      </c>
      <c r="C69" s="3" t="inlineStr">
        <is>
          <t>0010</t>
        </is>
      </c>
      <c r="D69" s="3" t="inlineStr">
        <is>
          <t>LIB</t>
        </is>
      </c>
      <c r="E69" s="3" t="inlineStr">
        <is>
          <t>2-MEDIA</t>
        </is>
      </c>
      <c r="F69" s="3" t="inlineStr">
        <is>
          <t>OPERATIVO</t>
        </is>
      </c>
      <c r="G69" s="10" t="n">
        <v>160</v>
      </c>
      <c r="H69" s="10" t="n">
        <v>0</v>
      </c>
      <c r="I69" s="10" t="n">
        <v>400</v>
      </c>
      <c r="J69" s="3" t="inlineStr">
        <is>
          <t>LIBERADA</t>
        </is>
      </c>
    </row>
    <row r="70">
      <c r="A70" s="3">
        <f>$B70&amp;IF($C70="","0010",$C70)</f>
        <v/>
      </c>
      <c r="B70" s="3" t="inlineStr">
        <is>
          <t>OT-000079</t>
        </is>
      </c>
      <c r="C70" s="3" t="inlineStr">
        <is>
          <t>0010</t>
        </is>
      </c>
      <c r="D70" s="3" t="inlineStr">
        <is>
          <t>LIB</t>
        </is>
      </c>
      <c r="E70" s="3" t="inlineStr">
        <is>
          <t>1-ALTA</t>
        </is>
      </c>
      <c r="F70" s="3" t="inlineStr">
        <is>
          <t>OPERATIVO</t>
        </is>
      </c>
      <c r="G70" s="10" t="n">
        <v>80</v>
      </c>
      <c r="H70" s="10" t="n">
        <v>0</v>
      </c>
      <c r="I70" s="10" t="n">
        <v>200</v>
      </c>
      <c r="J70" s="3" t="inlineStr">
        <is>
          <t>LIBERADA</t>
        </is>
      </c>
    </row>
    <row r="71">
      <c r="A71" s="3">
        <f>$B71&amp;IF($C71="","0010",$C71)</f>
        <v/>
      </c>
      <c r="B71" s="3" t="inlineStr">
        <is>
          <t>OT-000081</t>
        </is>
      </c>
      <c r="C71" s="3" t="inlineStr">
        <is>
          <t>0010</t>
        </is>
      </c>
      <c r="D71" s="3" t="inlineStr">
        <is>
          <t>LIB</t>
        </is>
      </c>
      <c r="E71" s="3" t="inlineStr">
        <is>
          <t>3-BAJA</t>
        </is>
      </c>
      <c r="F71" s="3" t="inlineStr">
        <is>
          <t>OPERATIVO</t>
        </is>
      </c>
      <c r="G71" s="10" t="n">
        <v>100</v>
      </c>
      <c r="H71" s="10" t="n">
        <v>0</v>
      </c>
      <c r="I71" s="10" t="n">
        <v>250</v>
      </c>
      <c r="J71" s="3" t="inlineStr">
        <is>
          <t>LIBERADA</t>
        </is>
      </c>
    </row>
    <row r="72">
      <c r="A72" s="3">
        <f>$B72&amp;IF($C72="","0010",$C72)</f>
        <v/>
      </c>
      <c r="B72" s="3" t="inlineStr">
        <is>
          <t>OT-000083</t>
        </is>
      </c>
      <c r="C72" s="3" t="inlineStr">
        <is>
          <t>0010</t>
        </is>
      </c>
      <c r="D72" s="3" t="inlineStr">
        <is>
          <t>LIB</t>
        </is>
      </c>
      <c r="E72" s="3" t="inlineStr">
        <is>
          <t>2-MEDIA</t>
        </is>
      </c>
      <c r="F72" s="3" t="inlineStr">
        <is>
          <t>OPERATIVO</t>
        </is>
      </c>
      <c r="G72" s="10" t="n">
        <v>80</v>
      </c>
      <c r="H72" s="10" t="n">
        <v>0</v>
      </c>
      <c r="I72" s="10" t="n">
        <v>200</v>
      </c>
      <c r="J72" s="3" t="inlineStr">
        <is>
          <t>LIBERADA</t>
        </is>
      </c>
    </row>
    <row r="73">
      <c r="A73" s="3">
        <f>$B73&amp;IF($C73="","0010",$C73)</f>
        <v/>
      </c>
      <c r="B73" s="3" t="inlineStr">
        <is>
          <t>OT-000085</t>
        </is>
      </c>
      <c r="C73" s="3" t="inlineStr">
        <is>
          <t>0010</t>
        </is>
      </c>
      <c r="D73" s="3" t="inlineStr">
        <is>
          <t>LIB</t>
        </is>
      </c>
      <c r="E73" s="3" t="inlineStr">
        <is>
          <t>1-ALTA</t>
        </is>
      </c>
      <c r="F73" s="3" t="inlineStr">
        <is>
          <t>OPERATIVO</t>
        </is>
      </c>
      <c r="G73" s="10" t="n">
        <v>100</v>
      </c>
      <c r="H73" s="10" t="n">
        <v>0</v>
      </c>
      <c r="I73" s="10" t="n">
        <v>250</v>
      </c>
      <c r="J73" s="3" t="inlineStr">
        <is>
          <t>LIBERADA</t>
        </is>
      </c>
    </row>
    <row r="74">
      <c r="A74" s="3">
        <f>$B74&amp;IF($C74="","0010",$C74)</f>
        <v/>
      </c>
      <c r="B74" s="3" t="inlineStr">
        <is>
          <t>OT-000086</t>
        </is>
      </c>
      <c r="C74" s="3" t="inlineStr">
        <is>
          <t>0010</t>
        </is>
      </c>
      <c r="D74" s="3" t="inlineStr">
        <is>
          <t>CERR</t>
        </is>
      </c>
      <c r="E74" s="3" t="inlineStr">
        <is>
          <t>2-MEDIA</t>
        </is>
      </c>
      <c r="F74" s="3" t="inlineStr">
        <is>
          <t>PARADO</t>
        </is>
      </c>
      <c r="G74" s="10" t="n">
        <v>80</v>
      </c>
      <c r="H74" s="10" t="n">
        <v>200</v>
      </c>
      <c r="I74" s="10" t="n">
        <v>200</v>
      </c>
      <c r="J74" s="3" t="inlineStr">
        <is>
          <t>CERRADA</t>
        </is>
      </c>
    </row>
    <row r="75">
      <c r="A75" s="3">
        <f>$B75&amp;IF($C75="","0010",$C75)</f>
        <v/>
      </c>
      <c r="B75" s="3" t="inlineStr">
        <is>
          <t>OT-000087</t>
        </is>
      </c>
      <c r="C75" s="3" t="inlineStr">
        <is>
          <t>0010</t>
        </is>
      </c>
      <c r="D75" s="3" t="inlineStr">
        <is>
          <t>CERR</t>
        </is>
      </c>
      <c r="E75" s="3" t="inlineStr">
        <is>
          <t>3-BAJA</t>
        </is>
      </c>
      <c r="F75" s="3" t="inlineStr">
        <is>
          <t>OPERATIVO</t>
        </is>
      </c>
      <c r="G75" s="10" t="n">
        <v>60</v>
      </c>
      <c r="H75" s="10" t="n">
        <v>150</v>
      </c>
      <c r="I75" s="10" t="n">
        <v>150</v>
      </c>
      <c r="J75" s="3" t="inlineStr">
        <is>
          <t>CERRADA</t>
        </is>
      </c>
    </row>
    <row r="76">
      <c r="A76" s="3">
        <f>$B76&amp;IF($C76="","0010",$C76)</f>
        <v/>
      </c>
      <c r="B76" s="3" t="inlineStr">
        <is>
          <t>OT-000088</t>
        </is>
      </c>
      <c r="C76" s="3" t="inlineStr">
        <is>
          <t>0010</t>
        </is>
      </c>
      <c r="D76" s="3" t="inlineStr">
        <is>
          <t>CERR</t>
        </is>
      </c>
      <c r="E76" s="3" t="inlineStr">
        <is>
          <t>1-ALTA</t>
        </is>
      </c>
      <c r="F76" s="3" t="inlineStr">
        <is>
          <t>PARADO</t>
        </is>
      </c>
      <c r="G76" s="10" t="n">
        <v>100</v>
      </c>
      <c r="H76" s="10" t="n">
        <v>250</v>
      </c>
      <c r="I76" s="10" t="n">
        <v>250</v>
      </c>
      <c r="J76" s="3" t="inlineStr">
        <is>
          <t>CERRADA</t>
        </is>
      </c>
    </row>
    <row r="77">
      <c r="A77" s="3">
        <f>$B77&amp;IF($C77="","0010",$C77)</f>
        <v/>
      </c>
      <c r="B77" s="3" t="inlineStr">
        <is>
          <t>OT-000089</t>
        </is>
      </c>
      <c r="C77" s="3" t="inlineStr">
        <is>
          <t>0010</t>
        </is>
      </c>
      <c r="D77" s="3" t="inlineStr">
        <is>
          <t>CERR</t>
        </is>
      </c>
      <c r="E77" s="3" t="inlineStr">
        <is>
          <t>2-MEDIA</t>
        </is>
      </c>
      <c r="F77" s="3" t="inlineStr">
        <is>
          <t>OPERATIVO</t>
        </is>
      </c>
      <c r="G77" s="10" t="n">
        <v>60</v>
      </c>
      <c r="H77" s="10" t="n">
        <v>150</v>
      </c>
      <c r="I77" s="10" t="n">
        <v>150</v>
      </c>
      <c r="J77" s="3" t="inlineStr">
        <is>
          <t>CERRADA</t>
        </is>
      </c>
    </row>
    <row r="78">
      <c r="A78" s="3">
        <f>$B78&amp;IF($C78="","0010",$C78)</f>
        <v/>
      </c>
      <c r="B78" s="3" t="inlineStr">
        <is>
          <t>OT-000090</t>
        </is>
      </c>
      <c r="C78" s="3" t="inlineStr">
        <is>
          <t>0010</t>
        </is>
      </c>
      <c r="D78" s="3" t="inlineStr">
        <is>
          <t>CERR</t>
        </is>
      </c>
      <c r="E78" s="3" t="inlineStr">
        <is>
          <t>3-BAJA</t>
        </is>
      </c>
      <c r="F78" s="3" t="inlineStr">
        <is>
          <t>PARADO</t>
        </is>
      </c>
      <c r="G78" s="10" t="n">
        <v>160</v>
      </c>
      <c r="H78" s="10" t="n">
        <v>400</v>
      </c>
      <c r="I78" s="10" t="n">
        <v>400</v>
      </c>
      <c r="J78" s="3" t="inlineStr">
        <is>
          <t>CERRADA</t>
        </is>
      </c>
    </row>
    <row r="79">
      <c r="A79" s="3">
        <f>$B79&amp;IF($C79="","0010",$C79)</f>
        <v/>
      </c>
      <c r="B79" s="3" t="inlineStr">
        <is>
          <t>OT-000091</t>
        </is>
      </c>
      <c r="C79" s="3" t="inlineStr">
        <is>
          <t>0010</t>
        </is>
      </c>
      <c r="D79" s="3" t="inlineStr">
        <is>
          <t>CERR</t>
        </is>
      </c>
      <c r="E79" s="3" t="inlineStr">
        <is>
          <t>1-ALTA</t>
        </is>
      </c>
      <c r="F79" s="3" t="inlineStr">
        <is>
          <t>OPERATIVO</t>
        </is>
      </c>
      <c r="G79" s="10" t="n">
        <v>100</v>
      </c>
      <c r="H79" s="10" t="n">
        <v>250</v>
      </c>
      <c r="I79" s="10" t="n">
        <v>250</v>
      </c>
      <c r="J79" s="3" t="inlineStr">
        <is>
          <t>CERRADA</t>
        </is>
      </c>
    </row>
    <row r="80">
      <c r="A80" s="3">
        <f>$B80&amp;IF($C80="","0010",$C80)</f>
        <v/>
      </c>
      <c r="B80" s="3" t="inlineStr">
        <is>
          <t>OT-000092</t>
        </is>
      </c>
      <c r="C80" s="3" t="inlineStr">
        <is>
          <t>0010</t>
        </is>
      </c>
      <c r="D80" s="3" t="inlineStr">
        <is>
          <t>EJEC</t>
        </is>
      </c>
      <c r="E80" s="3" t="inlineStr">
        <is>
          <t>2-MEDIA</t>
        </is>
      </c>
      <c r="F80" s="3" t="inlineStr">
        <is>
          <t>PARADO</t>
        </is>
      </c>
      <c r="G80" s="10" t="n">
        <v>80</v>
      </c>
      <c r="H80" s="10" t="n">
        <v>0</v>
      </c>
      <c r="I80" s="10" t="n">
        <v>200</v>
      </c>
      <c r="J80" s="3" t="inlineStr">
        <is>
          <t>EN EJECUCION</t>
        </is>
      </c>
    </row>
    <row r="81">
      <c r="A81" s="3">
        <f>$B81&amp;IF($C81="","0010",$C81)</f>
        <v/>
      </c>
      <c r="B81" s="3" t="inlineStr">
        <is>
          <t>OT-000093</t>
        </is>
      </c>
      <c r="C81" s="3" t="inlineStr">
        <is>
          <t>0010</t>
        </is>
      </c>
      <c r="D81" s="3" t="inlineStr">
        <is>
          <t>CERR</t>
        </is>
      </c>
      <c r="E81" s="3" t="inlineStr">
        <is>
          <t>3-BAJA</t>
        </is>
      </c>
      <c r="F81" s="3" t="inlineStr">
        <is>
          <t>OPERATIVO</t>
        </is>
      </c>
      <c r="G81" s="10" t="n">
        <v>60</v>
      </c>
      <c r="H81" s="10" t="n">
        <v>150</v>
      </c>
      <c r="I81" s="10" t="n">
        <v>150</v>
      </c>
      <c r="J81" s="3" t="inlineStr">
        <is>
          <t>CERRADA</t>
        </is>
      </c>
    </row>
    <row r="82">
      <c r="A82" s="3">
        <f>$B82&amp;IF($C82="","0010",$C82)</f>
        <v/>
      </c>
      <c r="B82" s="3" t="inlineStr">
        <is>
          <t>OT-000094</t>
        </is>
      </c>
      <c r="C82" s="3" t="inlineStr">
        <is>
          <t>0010</t>
        </is>
      </c>
      <c r="D82" s="3" t="inlineStr">
        <is>
          <t>EJEC</t>
        </is>
      </c>
      <c r="E82" s="3" t="inlineStr">
        <is>
          <t>1-ALTA</t>
        </is>
      </c>
      <c r="F82" s="3" t="inlineStr">
        <is>
          <t>PARADO</t>
        </is>
      </c>
      <c r="G82" s="10" t="n">
        <v>100</v>
      </c>
      <c r="H82" s="10" t="n">
        <v>0</v>
      </c>
      <c r="I82" s="10" t="n">
        <v>250</v>
      </c>
      <c r="J82" s="3" t="inlineStr">
        <is>
          <t>EN EJECUCION</t>
        </is>
      </c>
    </row>
    <row r="83">
      <c r="A83" s="3">
        <f>$B83&amp;IF($C83="","0010",$C83)</f>
        <v/>
      </c>
      <c r="B83" s="3" t="inlineStr">
        <is>
          <t>OT-000095</t>
        </is>
      </c>
      <c r="C83" s="3" t="inlineStr">
        <is>
          <t>0010</t>
        </is>
      </c>
      <c r="D83" s="3" t="inlineStr">
        <is>
          <t>CERR</t>
        </is>
      </c>
      <c r="E83" s="3" t="inlineStr">
        <is>
          <t>2-MEDIA</t>
        </is>
      </c>
      <c r="F83" s="3" t="inlineStr">
        <is>
          <t>OPERATIVO</t>
        </is>
      </c>
      <c r="G83" s="10" t="n">
        <v>110</v>
      </c>
      <c r="H83" s="10" t="n">
        <v>275</v>
      </c>
      <c r="I83" s="10" t="n">
        <v>275</v>
      </c>
      <c r="J83" s="3" t="inlineStr">
        <is>
          <t>CERRADA</t>
        </is>
      </c>
    </row>
    <row r="84">
      <c r="A84" s="3">
        <f>$B84&amp;IF($C84="","0010",$C84)</f>
        <v/>
      </c>
      <c r="B84" s="3" t="inlineStr">
        <is>
          <t>OT-000096</t>
        </is>
      </c>
      <c r="C84" s="3" t="inlineStr">
        <is>
          <t>0010</t>
        </is>
      </c>
      <c r="D84" s="3" t="inlineStr">
        <is>
          <t>EJEC</t>
        </is>
      </c>
      <c r="E84" s="3" t="inlineStr">
        <is>
          <t>3-BAJA</t>
        </is>
      </c>
      <c r="F84" s="3" t="inlineStr">
        <is>
          <t>PARADO</t>
        </is>
      </c>
      <c r="G84" s="10" t="n">
        <v>160</v>
      </c>
      <c r="H84" s="10" t="n">
        <v>0</v>
      </c>
      <c r="I84" s="10" t="n">
        <v>400</v>
      </c>
      <c r="J84" s="3" t="inlineStr">
        <is>
          <t>EN EJECUCION</t>
        </is>
      </c>
    </row>
    <row r="85">
      <c r="A85" s="3">
        <f>$B85&amp;IF($C85="","0010",$C85)</f>
        <v/>
      </c>
      <c r="B85" s="3" t="inlineStr">
        <is>
          <t>OT-000097</t>
        </is>
      </c>
      <c r="C85" s="3" t="inlineStr">
        <is>
          <t>0010</t>
        </is>
      </c>
      <c r="D85" s="3" t="inlineStr">
        <is>
          <t>LIB</t>
        </is>
      </c>
      <c r="E85" s="3" t="inlineStr">
        <is>
          <t>1-ALTA</t>
        </is>
      </c>
      <c r="F85" s="3" t="inlineStr">
        <is>
          <t>OPERATIVO</t>
        </is>
      </c>
      <c r="G85" s="10" t="n">
        <v>100</v>
      </c>
      <c r="H85" s="10" t="n">
        <v>0</v>
      </c>
      <c r="I85" s="10" t="n">
        <v>250</v>
      </c>
      <c r="J85" s="3" t="inlineStr">
        <is>
          <t>LIBERADA</t>
        </is>
      </c>
    </row>
    <row r="86">
      <c r="A86" s="3">
        <f>$B86&amp;IF($C86="","0010",$C86)</f>
        <v/>
      </c>
      <c r="B86" s="3" t="inlineStr">
        <is>
          <t>OT-000099</t>
        </is>
      </c>
      <c r="C86" s="3" t="inlineStr">
        <is>
          <t>0010</t>
        </is>
      </c>
      <c r="D86" s="3" t="inlineStr">
        <is>
          <t>LIB</t>
        </is>
      </c>
      <c r="E86" s="3" t="inlineStr">
        <is>
          <t>3-BAJA</t>
        </is>
      </c>
      <c r="F86" s="3" t="inlineStr">
        <is>
          <t>OPERATIVO</t>
        </is>
      </c>
      <c r="G86" s="10" t="n">
        <v>60</v>
      </c>
      <c r="H86" s="10" t="n">
        <v>0</v>
      </c>
      <c r="I86" s="10" t="n">
        <v>150</v>
      </c>
      <c r="J86" s="3" t="inlineStr">
        <is>
          <t>LIBERADA</t>
        </is>
      </c>
    </row>
    <row r="87">
      <c r="A87" s="3">
        <f>$B87&amp;IF($C87="","0010",$C87)</f>
        <v/>
      </c>
      <c r="B87" s="3" t="inlineStr">
        <is>
          <t>OT-000101</t>
        </is>
      </c>
      <c r="C87" s="3" t="inlineStr">
        <is>
          <t>0010</t>
        </is>
      </c>
      <c r="D87" s="3" t="inlineStr">
        <is>
          <t>LIB</t>
        </is>
      </c>
      <c r="E87" s="3" t="inlineStr">
        <is>
          <t>2-MEDIA</t>
        </is>
      </c>
      <c r="F87" s="3" t="inlineStr">
        <is>
          <t>OPERATIVO</t>
        </is>
      </c>
      <c r="G87" s="10" t="n">
        <v>112</v>
      </c>
      <c r="H87" s="10" t="n">
        <v>0</v>
      </c>
      <c r="I87" s="10" t="n">
        <v>280</v>
      </c>
      <c r="J87" s="3" t="inlineStr">
        <is>
          <t>LIBERADA</t>
        </is>
      </c>
    </row>
    <row r="88">
      <c r="A88" s="3">
        <f>$B88&amp;IF($C88="","0010",$C88)</f>
        <v/>
      </c>
      <c r="B88" s="3" t="inlineStr">
        <is>
          <t>OT-000103</t>
        </is>
      </c>
      <c r="C88" s="3" t="inlineStr">
        <is>
          <t>0010</t>
        </is>
      </c>
      <c r="D88" s="3" t="inlineStr">
        <is>
          <t>LIB</t>
        </is>
      </c>
      <c r="E88" s="3" t="inlineStr">
        <is>
          <t>1-ALTA</t>
        </is>
      </c>
      <c r="F88" s="3" t="inlineStr">
        <is>
          <t>OPERATIVO</t>
        </is>
      </c>
      <c r="G88" s="10" t="n">
        <v>80</v>
      </c>
      <c r="H88" s="10" t="n">
        <v>0</v>
      </c>
      <c r="I88" s="10" t="n">
        <v>200</v>
      </c>
      <c r="J88" s="3" t="inlineStr">
        <is>
          <t>LIBERADA</t>
        </is>
      </c>
    </row>
    <row r="89">
      <c r="A89" s="3">
        <f>$B89&amp;IF($C89="","0010",$C89)</f>
        <v/>
      </c>
      <c r="B89" s="3" t="inlineStr">
        <is>
          <t>OT-000105</t>
        </is>
      </c>
      <c r="C89" s="3" t="inlineStr">
        <is>
          <t>0010</t>
        </is>
      </c>
      <c r="D89" s="3" t="inlineStr">
        <is>
          <t>LIB</t>
        </is>
      </c>
      <c r="E89" s="3" t="inlineStr">
        <is>
          <t>3-BAJA</t>
        </is>
      </c>
      <c r="F89" s="3" t="inlineStr">
        <is>
          <t>OPERATIVO</t>
        </is>
      </c>
      <c r="G89" s="10" t="n">
        <v>60</v>
      </c>
      <c r="H89" s="10" t="n">
        <v>0</v>
      </c>
      <c r="I89" s="10" t="n">
        <v>150</v>
      </c>
      <c r="J89" s="3" t="inlineStr">
        <is>
          <t>LIBERADA</t>
        </is>
      </c>
    </row>
    <row r="90">
      <c r="A90" s="3">
        <f>$B90&amp;IF($C90="","0010",$C90)</f>
        <v/>
      </c>
      <c r="B90" s="3" t="inlineStr">
        <is>
          <t>OT-000107</t>
        </is>
      </c>
      <c r="C90" s="3" t="inlineStr">
        <is>
          <t>0010</t>
        </is>
      </c>
      <c r="D90" s="3" t="inlineStr">
        <is>
          <t>CERR</t>
        </is>
      </c>
      <c r="E90" s="3" t="inlineStr">
        <is>
          <t>2-MEDIA</t>
        </is>
      </c>
      <c r="F90" s="3" t="inlineStr">
        <is>
          <t>OPERATIVO</t>
        </is>
      </c>
      <c r="G90" s="10" t="n">
        <v>100</v>
      </c>
      <c r="H90" s="10" t="n">
        <v>250</v>
      </c>
      <c r="I90" s="10" t="n">
        <v>250</v>
      </c>
      <c r="J90" s="3" t="inlineStr">
        <is>
          <t>CERRADA</t>
        </is>
      </c>
    </row>
    <row r="91">
      <c r="A91" s="3">
        <f>$B91&amp;IF($C91="","0010",$C91)</f>
        <v/>
      </c>
      <c r="B91" s="3" t="inlineStr">
        <is>
          <t>OT-000108</t>
        </is>
      </c>
      <c r="C91" s="3" t="inlineStr">
        <is>
          <t>0010</t>
        </is>
      </c>
      <c r="D91" s="3" t="inlineStr">
        <is>
          <t>CERR</t>
        </is>
      </c>
      <c r="E91" s="3" t="inlineStr">
        <is>
          <t>3-BAJA</t>
        </is>
      </c>
      <c r="F91" s="3" t="inlineStr">
        <is>
          <t>PARADO</t>
        </is>
      </c>
      <c r="G91" s="10" t="n">
        <v>80</v>
      </c>
      <c r="H91" s="10" t="n">
        <v>200</v>
      </c>
      <c r="I91" s="10" t="n">
        <v>200</v>
      </c>
      <c r="J91" s="3" t="inlineStr">
        <is>
          <t>CERRADA</t>
        </is>
      </c>
    </row>
    <row r="92">
      <c r="A92" s="3">
        <f>$B92&amp;IF($C92="","0010",$C92)</f>
        <v/>
      </c>
      <c r="B92" s="3" t="inlineStr">
        <is>
          <t>OT-000109</t>
        </is>
      </c>
      <c r="C92" s="3" t="inlineStr">
        <is>
          <t>0010</t>
        </is>
      </c>
      <c r="D92" s="3" t="inlineStr">
        <is>
          <t>LIB</t>
        </is>
      </c>
      <c r="E92" s="3" t="inlineStr">
        <is>
          <t>1-ALTA</t>
        </is>
      </c>
      <c r="F92" s="3" t="inlineStr">
        <is>
          <t>OPERATIVO</t>
        </is>
      </c>
      <c r="G92" s="10" t="n">
        <v>60</v>
      </c>
      <c r="H92" s="10" t="n">
        <v>0</v>
      </c>
      <c r="I92" s="10" t="n">
        <v>150</v>
      </c>
      <c r="J92" s="3" t="inlineStr">
        <is>
          <t>LIBERADA</t>
        </is>
      </c>
    </row>
    <row r="93">
      <c r="A93" s="3">
        <f>$B93&amp;IF($C93="","0010",$C93)</f>
        <v/>
      </c>
      <c r="B93" s="3" t="inlineStr">
        <is>
          <t>OT-000110</t>
        </is>
      </c>
      <c r="C93" s="3" t="inlineStr">
        <is>
          <t>0010</t>
        </is>
      </c>
      <c r="D93" s="3" t="inlineStr">
        <is>
          <t>CERR</t>
        </is>
      </c>
      <c r="E93" s="3" t="inlineStr">
        <is>
          <t>2-MEDIA</t>
        </is>
      </c>
      <c r="F93" s="3" t="inlineStr">
        <is>
          <t>PARADO</t>
        </is>
      </c>
      <c r="G93" s="10" t="n">
        <v>60</v>
      </c>
      <c r="H93" s="10" t="n">
        <v>150</v>
      </c>
      <c r="I93" s="10" t="n">
        <v>150</v>
      </c>
      <c r="J93" s="3" t="inlineStr">
        <is>
          <t>CERRADA</t>
        </is>
      </c>
    </row>
    <row r="94">
      <c r="A94" s="3">
        <f>$B94&amp;IF($C94="","0010",$C94)</f>
        <v/>
      </c>
      <c r="B94" s="3" t="inlineStr">
        <is>
          <t>OT-000111</t>
        </is>
      </c>
      <c r="C94" s="3" t="inlineStr">
        <is>
          <t>0010</t>
        </is>
      </c>
      <c r="D94" s="3" t="inlineStr">
        <is>
          <t>CERR</t>
        </is>
      </c>
      <c r="E94" s="3" t="inlineStr">
        <is>
          <t>3-BAJA</t>
        </is>
      </c>
      <c r="F94" s="3" t="inlineStr">
        <is>
          <t>OPERATIVO</t>
        </is>
      </c>
      <c r="G94" s="10" t="n">
        <v>128</v>
      </c>
      <c r="H94" s="10" t="n">
        <v>320</v>
      </c>
      <c r="I94" s="10" t="n">
        <v>320</v>
      </c>
      <c r="J94" s="3" t="inlineStr">
        <is>
          <t>CERRADA</t>
        </is>
      </c>
    </row>
    <row r="95">
      <c r="A95" s="3">
        <f>$B95&amp;IF($C95="","0010",$C95)</f>
        <v/>
      </c>
      <c r="B95" s="3" t="inlineStr">
        <is>
          <t>OT-000112</t>
        </is>
      </c>
      <c r="C95" s="3" t="inlineStr">
        <is>
          <t>0010</t>
        </is>
      </c>
      <c r="D95" s="3" t="inlineStr">
        <is>
          <t>EJEC</t>
        </is>
      </c>
      <c r="E95" s="3" t="inlineStr">
        <is>
          <t>1-ALTA</t>
        </is>
      </c>
      <c r="F95" s="3" t="inlineStr">
        <is>
          <t>PARADO</t>
        </is>
      </c>
      <c r="G95" s="10" t="n">
        <v>100</v>
      </c>
      <c r="H95" s="10" t="n">
        <v>0</v>
      </c>
      <c r="I95" s="10" t="n">
        <v>250</v>
      </c>
      <c r="J95" s="3" t="inlineStr">
        <is>
          <t>EN EJECUCION</t>
        </is>
      </c>
    </row>
    <row r="96">
      <c r="A96" s="3">
        <f>$B96&amp;IF($C96="","0010",$C96)</f>
        <v/>
      </c>
      <c r="B96" s="3" t="inlineStr">
        <is>
          <t>OT-000113</t>
        </is>
      </c>
      <c r="C96" s="3" t="inlineStr">
        <is>
          <t>0010</t>
        </is>
      </c>
      <c r="D96" s="3" t="inlineStr">
        <is>
          <t>CERR</t>
        </is>
      </c>
      <c r="E96" s="3" t="inlineStr">
        <is>
          <t>2-MEDIA</t>
        </is>
      </c>
      <c r="F96" s="3" t="inlineStr">
        <is>
          <t>OPERATIVO</t>
        </is>
      </c>
      <c r="G96" s="10" t="n">
        <v>80</v>
      </c>
      <c r="H96" s="10" t="n">
        <v>200</v>
      </c>
      <c r="I96" s="10" t="n">
        <v>200</v>
      </c>
      <c r="J96" s="3" t="inlineStr">
        <is>
          <t>CERRADA</t>
        </is>
      </c>
    </row>
    <row r="97">
      <c r="A97" s="3">
        <f>$B97&amp;IF($C97="","0010",$C97)</f>
        <v/>
      </c>
      <c r="B97" s="3" t="inlineStr">
        <is>
          <t>OT-000114</t>
        </is>
      </c>
      <c r="C97" s="3" t="inlineStr">
        <is>
          <t>0010</t>
        </is>
      </c>
      <c r="D97" s="3" t="inlineStr">
        <is>
          <t>EJEC</t>
        </is>
      </c>
      <c r="E97" s="3" t="inlineStr">
        <is>
          <t>3-BAJA</t>
        </is>
      </c>
      <c r="F97" s="3" t="inlineStr">
        <is>
          <t>PARADO</t>
        </is>
      </c>
      <c r="G97" s="10" t="n">
        <v>60</v>
      </c>
      <c r="H97" s="10" t="n">
        <v>0</v>
      </c>
      <c r="I97" s="10" t="n">
        <v>150</v>
      </c>
      <c r="J97" s="3" t="inlineStr">
        <is>
          <t>EN EJECUCION</t>
        </is>
      </c>
    </row>
    <row r="98">
      <c r="A98" s="3">
        <f>$B98&amp;IF($C98="","0010",$C98)</f>
        <v/>
      </c>
      <c r="B98" s="3" t="inlineStr">
        <is>
          <t>OT-000115</t>
        </is>
      </c>
      <c r="C98" s="3" t="inlineStr">
        <is>
          <t>0010</t>
        </is>
      </c>
      <c r="D98" s="3" t="inlineStr">
        <is>
          <t>CERR</t>
        </is>
      </c>
      <c r="E98" s="3" t="inlineStr">
        <is>
          <t>1-ALTA</t>
        </is>
      </c>
      <c r="F98" s="3" t="inlineStr">
        <is>
          <t>OPERATIVO</t>
        </is>
      </c>
      <c r="G98" s="10" t="n">
        <v>100</v>
      </c>
      <c r="H98" s="10" t="n">
        <v>250</v>
      </c>
      <c r="I98" s="10" t="n">
        <v>250</v>
      </c>
      <c r="J98" s="3" t="inlineStr">
        <is>
          <t>CERRADA</t>
        </is>
      </c>
    </row>
    <row r="99">
      <c r="A99" s="3">
        <f>$B99&amp;IF($C99="","0010",$C99)</f>
        <v/>
      </c>
      <c r="B99" s="3" t="inlineStr">
        <is>
          <t>OT-000116</t>
        </is>
      </c>
      <c r="C99" s="3" t="inlineStr">
        <is>
          <t>0010</t>
        </is>
      </c>
      <c r="D99" s="3" t="inlineStr">
        <is>
          <t>EJEC</t>
        </is>
      </c>
      <c r="E99" s="3" t="inlineStr">
        <is>
          <t>2-MEDIA</t>
        </is>
      </c>
      <c r="F99" s="3" t="inlineStr">
        <is>
          <t>PARADO</t>
        </is>
      </c>
      <c r="G99" s="10" t="n">
        <v>20</v>
      </c>
      <c r="H99" s="10" t="n">
        <v>0</v>
      </c>
      <c r="I99" s="10" t="n">
        <v>50</v>
      </c>
      <c r="J99" s="3" t="inlineStr">
        <is>
          <t>EN EJECUCION</t>
        </is>
      </c>
    </row>
    <row r="100">
      <c r="A100" s="3">
        <f>$B100&amp;IF($C100="","0010",$C100)</f>
        <v/>
      </c>
      <c r="B100" s="3" t="inlineStr">
        <is>
          <t>OT-000117</t>
        </is>
      </c>
      <c r="C100" s="3" t="inlineStr">
        <is>
          <t>0010</t>
        </is>
      </c>
      <c r="D100" s="3" t="inlineStr">
        <is>
          <t>CERR</t>
        </is>
      </c>
      <c r="E100" s="3" t="inlineStr">
        <is>
          <t>3-BAJA</t>
        </is>
      </c>
      <c r="F100" s="3" t="inlineStr">
        <is>
          <t>OPERATIVO</t>
        </is>
      </c>
      <c r="G100" s="10" t="n">
        <v>144</v>
      </c>
      <c r="H100" s="10" t="n">
        <v>360</v>
      </c>
      <c r="I100" s="10" t="n">
        <v>360</v>
      </c>
      <c r="J100" s="3" t="inlineStr">
        <is>
          <t>CERRADA</t>
        </is>
      </c>
    </row>
    <row r="101">
      <c r="A101" s="3">
        <f>$B101&amp;IF($C101="","0010",$C101)</f>
        <v/>
      </c>
      <c r="B101" s="3" t="inlineStr">
        <is>
          <t>OT-000119</t>
        </is>
      </c>
      <c r="C101" s="3" t="inlineStr">
        <is>
          <t>0010</t>
        </is>
      </c>
      <c r="D101" s="3" t="inlineStr">
        <is>
          <t>LIB</t>
        </is>
      </c>
      <c r="E101" s="3" t="inlineStr">
        <is>
          <t>2-MEDIA</t>
        </is>
      </c>
      <c r="F101" s="3" t="inlineStr">
        <is>
          <t>OPERATIVO</t>
        </is>
      </c>
      <c r="G101" s="10" t="n">
        <v>80</v>
      </c>
      <c r="H101" s="10" t="n">
        <v>0</v>
      </c>
      <c r="I101" s="10" t="n">
        <v>200</v>
      </c>
      <c r="J101" s="3" t="inlineStr">
        <is>
          <t>LIBERADA</t>
        </is>
      </c>
    </row>
    <row r="102">
      <c r="A102" s="3">
        <f>$B102&amp;IF($C102="","0010",$C102)</f>
        <v/>
      </c>
      <c r="B102" s="3" t="inlineStr">
        <is>
          <t>OT-000121</t>
        </is>
      </c>
      <c r="C102" s="3" t="inlineStr">
        <is>
          <t>0010</t>
        </is>
      </c>
      <c r="D102" s="3" t="inlineStr">
        <is>
          <t>LIB</t>
        </is>
      </c>
      <c r="E102" s="3" t="inlineStr">
        <is>
          <t>1-ALTA</t>
        </is>
      </c>
      <c r="F102" s="3" t="inlineStr">
        <is>
          <t>OPERATIVO</t>
        </is>
      </c>
      <c r="G102" s="10" t="n">
        <v>112</v>
      </c>
      <c r="H102" s="10" t="n">
        <v>0</v>
      </c>
      <c r="I102" s="10" t="n">
        <v>280</v>
      </c>
      <c r="J102" s="3" t="inlineStr">
        <is>
          <t>LIBERADA</t>
        </is>
      </c>
    </row>
    <row r="103">
      <c r="A103" s="3">
        <f>$B103&amp;IF($C103="","0010",$C103)</f>
        <v/>
      </c>
      <c r="B103" s="3" t="inlineStr">
        <is>
          <t>OT-000123</t>
        </is>
      </c>
      <c r="C103" s="3" t="inlineStr">
        <is>
          <t>0010</t>
        </is>
      </c>
      <c r="D103" s="3" t="inlineStr">
        <is>
          <t>LIB</t>
        </is>
      </c>
      <c r="E103" s="3" t="inlineStr">
        <is>
          <t>3-BAJA</t>
        </is>
      </c>
      <c r="F103" s="3" t="inlineStr">
        <is>
          <t>OPERATIVO</t>
        </is>
      </c>
      <c r="G103" s="10" t="n">
        <v>80</v>
      </c>
      <c r="H103" s="10" t="n">
        <v>0</v>
      </c>
      <c r="I103" s="10" t="n">
        <v>200</v>
      </c>
      <c r="J103" s="3" t="inlineStr">
        <is>
          <t>LIBERADA</t>
        </is>
      </c>
    </row>
    <row r="104">
      <c r="A104" s="3">
        <f>$B104&amp;IF($C104="","0010",$C104)</f>
        <v/>
      </c>
      <c r="B104" s="3" t="inlineStr">
        <is>
          <t>OT-000125</t>
        </is>
      </c>
      <c r="C104" s="3" t="inlineStr">
        <is>
          <t>0010</t>
        </is>
      </c>
      <c r="D104" s="3" t="inlineStr">
        <is>
          <t>LIB</t>
        </is>
      </c>
      <c r="E104" s="3" t="inlineStr">
        <is>
          <t>2-MEDIA</t>
        </is>
      </c>
      <c r="F104" s="3" t="inlineStr">
        <is>
          <t>OPERATIVO</t>
        </is>
      </c>
      <c r="G104" s="10" t="n">
        <v>96</v>
      </c>
      <c r="H104" s="10" t="n">
        <v>0</v>
      </c>
      <c r="I104" s="10" t="n">
        <v>240</v>
      </c>
      <c r="J104" s="3" t="inlineStr">
        <is>
          <t>LIBERADA</t>
        </is>
      </c>
    </row>
    <row r="105">
      <c r="A105" s="3">
        <f>$B105&amp;IF($C105="","0010",$C105)</f>
        <v/>
      </c>
      <c r="B105" s="3" t="inlineStr">
        <is>
          <t>OT-000126</t>
        </is>
      </c>
      <c r="C105" s="3" t="inlineStr">
        <is>
          <t>0010</t>
        </is>
      </c>
      <c r="D105" s="3" t="inlineStr">
        <is>
          <t>EJEC</t>
        </is>
      </c>
      <c r="E105" s="3" t="inlineStr">
        <is>
          <t>3-BAJA</t>
        </is>
      </c>
      <c r="F105" s="3" t="inlineStr">
        <is>
          <t>PARADO</t>
        </is>
      </c>
      <c r="G105" s="10" t="n">
        <v>100</v>
      </c>
      <c r="H105" s="10" t="n">
        <v>0</v>
      </c>
      <c r="I105" s="10" t="n">
        <v>250</v>
      </c>
      <c r="J105" s="3" t="inlineStr">
        <is>
          <t>EN EJECUCION</t>
        </is>
      </c>
    </row>
    <row r="106">
      <c r="A106" s="3">
        <f>$B106&amp;IF($C106="","0010",$C106)</f>
        <v/>
      </c>
      <c r="B106" s="3" t="inlineStr">
        <is>
          <t>OT-000127</t>
        </is>
      </c>
      <c r="C106" s="3" t="inlineStr">
        <is>
          <t>0010</t>
        </is>
      </c>
      <c r="D106" s="3" t="inlineStr">
        <is>
          <t>CERR</t>
        </is>
      </c>
      <c r="E106" s="3" t="inlineStr">
        <is>
          <t>1-ALTA</t>
        </is>
      </c>
      <c r="F106" s="3" t="inlineStr">
        <is>
          <t>OPERATIVO</t>
        </is>
      </c>
      <c r="G106" s="10" t="n">
        <v>60</v>
      </c>
      <c r="H106" s="10" t="n">
        <v>150</v>
      </c>
      <c r="I106" s="10" t="n">
        <v>150</v>
      </c>
      <c r="J106" s="3" t="inlineStr">
        <is>
          <t>CERRADA</t>
        </is>
      </c>
    </row>
    <row r="107">
      <c r="A107" s="3">
        <f>$B107&amp;IF($C107="","0010",$C107)</f>
        <v/>
      </c>
      <c r="B107" s="3" t="inlineStr">
        <is>
          <t>OT-000129</t>
        </is>
      </c>
      <c r="C107" s="3" t="inlineStr">
        <is>
          <t>0010</t>
        </is>
      </c>
      <c r="D107" s="3" t="inlineStr">
        <is>
          <t>LIB</t>
        </is>
      </c>
      <c r="E107" s="3" t="inlineStr">
        <is>
          <t>3-BAJA</t>
        </is>
      </c>
      <c r="F107" s="3" t="inlineStr">
        <is>
          <t>OPERATIVO</t>
        </is>
      </c>
      <c r="G107" s="10" t="n">
        <v>20</v>
      </c>
      <c r="H107" s="10" t="n">
        <v>0</v>
      </c>
      <c r="I107" s="10" t="n">
        <v>50</v>
      </c>
      <c r="J107" s="3" t="inlineStr">
        <is>
          <t>LIBERADA</t>
        </is>
      </c>
    </row>
    <row r="108">
      <c r="A108" s="3">
        <f>$B108&amp;IF($C108="","0010",$C108)</f>
        <v/>
      </c>
      <c r="B108" s="3" t="inlineStr">
        <is>
          <t>OT-000001</t>
        </is>
      </c>
      <c r="C108" s="3" t="inlineStr">
        <is>
          <t>0020</t>
        </is>
      </c>
      <c r="D108" s="3" t="inlineStr">
        <is>
          <t>CERR</t>
        </is>
      </c>
      <c r="E108" s="3" t="inlineStr">
        <is>
          <t>1-ALTA</t>
        </is>
      </c>
      <c r="F108" s="3" t="inlineStr">
        <is>
          <t>PARADO</t>
        </is>
      </c>
      <c r="G108" s="10" t="n">
        <v>20</v>
      </c>
      <c r="H108" s="10" t="n">
        <v>50</v>
      </c>
      <c r="I108" s="10" t="n">
        <v>50</v>
      </c>
      <c r="J108" s="3" t="inlineStr">
        <is>
          <t>CERRADA</t>
        </is>
      </c>
    </row>
    <row r="109">
      <c r="A109" s="3">
        <f>$B109&amp;IF($C109="","0010",$C109)</f>
        <v/>
      </c>
      <c r="B109" s="3" t="inlineStr">
        <is>
          <t>OT-000041</t>
        </is>
      </c>
      <c r="C109" s="3" t="inlineStr">
        <is>
          <t>0020</t>
        </is>
      </c>
      <c r="D109" s="3" t="inlineStr">
        <is>
          <t>LIB</t>
        </is>
      </c>
      <c r="E109" s="3" t="inlineStr">
        <is>
          <t>2-MEDIA</t>
        </is>
      </c>
      <c r="F109" s="3" t="inlineStr">
        <is>
          <t>OPERATIVO</t>
        </is>
      </c>
      <c r="G109" s="10" t="n">
        <v>20</v>
      </c>
      <c r="H109" s="10" t="n">
        <v>0</v>
      </c>
      <c r="I109" s="10" t="n">
        <v>50</v>
      </c>
      <c r="J109" s="3" t="inlineStr">
        <is>
          <t>LIBERADA</t>
        </is>
      </c>
    </row>
    <row r="110">
      <c r="A110" s="3">
        <f>$B110&amp;IF($C110="","0010",$C110)</f>
        <v/>
      </c>
      <c r="B110" s="3" t="inlineStr">
        <is>
          <t>OT-000121</t>
        </is>
      </c>
      <c r="C110" s="3" t="inlineStr">
        <is>
          <t>0020</t>
        </is>
      </c>
      <c r="D110" s="3" t="inlineStr">
        <is>
          <t>LIB</t>
        </is>
      </c>
      <c r="E110" s="3" t="inlineStr">
        <is>
          <t>1-ALTA</t>
        </is>
      </c>
      <c r="F110" s="3" t="inlineStr">
        <is>
          <t>OPERATIVO</t>
        </is>
      </c>
      <c r="G110" s="10" t="n">
        <v>32</v>
      </c>
      <c r="H110" s="10" t="n">
        <v>0</v>
      </c>
      <c r="I110" s="10" t="n">
        <v>80</v>
      </c>
      <c r="J110" s="3" t="inlineStr">
        <is>
          <t>LIBERADA</t>
        </is>
      </c>
    </row>
    <row r="111">
      <c r="A111" s="3">
        <f>$B111&amp;IF($C111="","0010",$C111)</f>
        <v/>
      </c>
      <c r="B111" s="3" t="inlineStr">
        <is>
          <t>OT-000134</t>
        </is>
      </c>
      <c r="C111" s="3" t="inlineStr">
        <is>
          <t>0010</t>
        </is>
      </c>
      <c r="D111" s="3" t="inlineStr">
        <is>
          <t>ABIE</t>
        </is>
      </c>
      <c r="E111" s="3" t="inlineStr">
        <is>
          <t>2-MEDIA</t>
        </is>
      </c>
      <c r="F111" s="3" t="inlineStr">
        <is>
          <t>PARADO</t>
        </is>
      </c>
      <c r="G111" s="10" t="n">
        <v>64</v>
      </c>
      <c r="H111" s="10" t="n">
        <v>0</v>
      </c>
      <c r="I111" s="10" t="n">
        <v>160</v>
      </c>
      <c r="J111" s="3" t="inlineStr">
        <is>
          <t>ABIERTA</t>
        </is>
      </c>
    </row>
    <row r="112">
      <c r="A112" s="3">
        <f>$B112&amp;IF($C112="","0010",$C112)</f>
        <v/>
      </c>
      <c r="B112" s="3" t="inlineStr">
        <is>
          <t>OT-000135</t>
        </is>
      </c>
      <c r="C112" s="3" t="inlineStr">
        <is>
          <t>0010</t>
        </is>
      </c>
      <c r="D112" s="3" t="inlineStr">
        <is>
          <t>EJEC</t>
        </is>
      </c>
      <c r="E112" s="3" t="inlineStr">
        <is>
          <t>3-BAJA</t>
        </is>
      </c>
      <c r="F112" s="3" t="inlineStr">
        <is>
          <t>OPERATIVO</t>
        </is>
      </c>
      <c r="G112" s="10" t="n">
        <v>96</v>
      </c>
      <c r="H112" s="10" t="n">
        <v>0</v>
      </c>
      <c r="I112" s="10" t="n">
        <v>240</v>
      </c>
      <c r="J112" s="3" t="inlineStr">
        <is>
          <t>EN EJECUCION</t>
        </is>
      </c>
    </row>
    <row r="113">
      <c r="A113" s="3">
        <f>$B113&amp;IF($C113="","0010",$C113)</f>
        <v/>
      </c>
      <c r="B113" s="3" t="inlineStr">
        <is>
          <t>OT-000136</t>
        </is>
      </c>
      <c r="C113" s="3" t="inlineStr">
        <is>
          <t>0010</t>
        </is>
      </c>
      <c r="D113" s="3" t="inlineStr">
        <is>
          <t>ABIE</t>
        </is>
      </c>
      <c r="E113" s="3" t="inlineStr">
        <is>
          <t>1-ALTA</t>
        </is>
      </c>
      <c r="F113" s="3" t="inlineStr">
        <is>
          <t>PARADO</t>
        </is>
      </c>
      <c r="G113" s="10" t="n">
        <v>128</v>
      </c>
      <c r="H113" s="10" t="n">
        <v>0</v>
      </c>
      <c r="I113" s="10" t="n">
        <v>320</v>
      </c>
      <c r="J113" s="3" t="inlineStr">
        <is>
          <t>ABIERTA</t>
        </is>
      </c>
    </row>
    <row r="114">
      <c r="A114" s="3">
        <f>$B114&amp;IF($C114="","0010",$C114)</f>
        <v/>
      </c>
      <c r="B114" s="3" t="inlineStr">
        <is>
          <t>OT-000137</t>
        </is>
      </c>
      <c r="C114" s="3" t="inlineStr">
        <is>
          <t>0010</t>
        </is>
      </c>
      <c r="D114" s="3" t="inlineStr">
        <is>
          <t>EJEC</t>
        </is>
      </c>
      <c r="E114" s="3" t="inlineStr">
        <is>
          <t>2-MEDIA</t>
        </is>
      </c>
      <c r="F114" s="3" t="inlineStr">
        <is>
          <t>OPERATIVO</t>
        </is>
      </c>
      <c r="G114" s="10" t="n">
        <v>40</v>
      </c>
      <c r="H114" s="10" t="n">
        <v>0</v>
      </c>
      <c r="I114" s="10" t="n">
        <v>100</v>
      </c>
      <c r="J114" s="3" t="inlineStr">
        <is>
          <t>EN EJECUCION</t>
        </is>
      </c>
    </row>
    <row r="115">
      <c r="A115" s="3">
        <f>$B115&amp;IF($C115="","0010",$C115)</f>
        <v/>
      </c>
      <c r="B115" s="3" t="inlineStr">
        <is>
          <t>OT-000138</t>
        </is>
      </c>
      <c r="C115" s="3" t="inlineStr">
        <is>
          <t>0010</t>
        </is>
      </c>
      <c r="D115" s="3" t="inlineStr">
        <is>
          <t>ABIE</t>
        </is>
      </c>
      <c r="E115" s="3" t="inlineStr">
        <is>
          <t>3-BAJA</t>
        </is>
      </c>
      <c r="F115" s="3" t="inlineStr">
        <is>
          <t>PARADO</t>
        </is>
      </c>
      <c r="G115" s="10" t="n">
        <v>96</v>
      </c>
      <c r="H115" s="10" t="n">
        <v>0</v>
      </c>
      <c r="I115" s="10" t="n">
        <v>240</v>
      </c>
      <c r="J115" s="3" t="inlineStr">
        <is>
          <t>ABIERTA</t>
        </is>
      </c>
    </row>
    <row r="116">
      <c r="A116" s="3">
        <f>$B116&amp;IF($C116="","0010",$C116)</f>
        <v/>
      </c>
      <c r="B116" s="3" t="inlineStr">
        <is>
          <t>OT-000139</t>
        </is>
      </c>
      <c r="C116" s="3" t="inlineStr">
        <is>
          <t>0010</t>
        </is>
      </c>
      <c r="D116" s="3" t="inlineStr">
        <is>
          <t>EJEC</t>
        </is>
      </c>
      <c r="E116" s="3" t="inlineStr">
        <is>
          <t>1-ALTA</t>
        </is>
      </c>
      <c r="F116" s="3" t="inlineStr">
        <is>
          <t>OPERATIVO</t>
        </is>
      </c>
      <c r="G116" s="10" t="n">
        <v>128</v>
      </c>
      <c r="H116" s="10" t="n">
        <v>0</v>
      </c>
      <c r="I116" s="10" t="n">
        <v>320</v>
      </c>
      <c r="J116" s="3" t="inlineStr">
        <is>
          <t>EN EJECUCION</t>
        </is>
      </c>
    </row>
    <row r="117">
      <c r="A117" s="3">
        <f>$B117&amp;IF($C117="","0010",$C117)</f>
        <v/>
      </c>
      <c r="B117" s="3" t="inlineStr">
        <is>
          <t>OT-000140</t>
        </is>
      </c>
      <c r="C117" s="3" t="inlineStr">
        <is>
          <t>0010</t>
        </is>
      </c>
      <c r="D117" s="3" t="inlineStr">
        <is>
          <t>ABIE</t>
        </is>
      </c>
      <c r="E117" s="3" t="inlineStr">
        <is>
          <t>2-MEDIA</t>
        </is>
      </c>
      <c r="F117" s="3" t="inlineStr">
        <is>
          <t>PARADO</t>
        </is>
      </c>
      <c r="G117" s="10" t="n">
        <v>64</v>
      </c>
      <c r="H117" s="10" t="n">
        <v>0</v>
      </c>
      <c r="I117" s="10" t="n">
        <v>160</v>
      </c>
      <c r="J117" s="3" t="inlineStr">
        <is>
          <t>ABIERTA</t>
        </is>
      </c>
    </row>
    <row r="118">
      <c r="A118" s="3">
        <f>$B118&amp;IF($C118="","0010",$C118)</f>
        <v/>
      </c>
      <c r="B118" s="3" t="inlineStr">
        <is>
          <t>OT-000141</t>
        </is>
      </c>
      <c r="C118" s="3" t="inlineStr">
        <is>
          <t>0010</t>
        </is>
      </c>
      <c r="D118" s="3" t="inlineStr">
        <is>
          <t>EJEC</t>
        </is>
      </c>
      <c r="E118" s="3" t="inlineStr">
        <is>
          <t>3-BAJA</t>
        </is>
      </c>
      <c r="F118" s="3" t="inlineStr">
        <is>
          <t>OPERATIVO</t>
        </is>
      </c>
      <c r="G118" s="10" t="n">
        <v>60</v>
      </c>
      <c r="H118" s="10" t="n">
        <v>0</v>
      </c>
      <c r="I118" s="10" t="n">
        <v>150</v>
      </c>
      <c r="J118" s="3" t="inlineStr">
        <is>
          <t>EN EJECUCION</t>
        </is>
      </c>
    </row>
    <row r="119">
      <c r="A119" s="3">
        <f>$B119&amp;IF($C119="","0010",$C119)</f>
        <v/>
      </c>
      <c r="B119" s="3" t="inlineStr">
        <is>
          <t>OT-000142</t>
        </is>
      </c>
      <c r="C119" s="3" t="inlineStr">
        <is>
          <t>0010</t>
        </is>
      </c>
      <c r="D119" s="3" t="inlineStr">
        <is>
          <t>ABIE</t>
        </is>
      </c>
      <c r="E119" s="3" t="inlineStr">
        <is>
          <t>1-ALTA</t>
        </is>
      </c>
      <c r="F119" s="3" t="inlineStr">
        <is>
          <t>PARADO</t>
        </is>
      </c>
      <c r="G119" s="10" t="n">
        <v>64</v>
      </c>
      <c r="H119" s="10" t="n">
        <v>0</v>
      </c>
      <c r="I119" s="10" t="n">
        <v>160</v>
      </c>
      <c r="J119" s="3" t="inlineStr">
        <is>
          <t>ABIERTA</t>
        </is>
      </c>
    </row>
    <row r="120">
      <c r="A120" s="3">
        <f>$B120&amp;IF($C120="","0010",$C120)</f>
        <v/>
      </c>
      <c r="B120" s="3" t="inlineStr">
        <is>
          <t>OT-000143</t>
        </is>
      </c>
      <c r="C120" s="3" t="inlineStr">
        <is>
          <t>0010</t>
        </is>
      </c>
      <c r="D120" s="3" t="inlineStr">
        <is>
          <t>EJEC</t>
        </is>
      </c>
      <c r="E120" s="3" t="inlineStr">
        <is>
          <t>2-MEDIA</t>
        </is>
      </c>
      <c r="F120" s="3" t="inlineStr">
        <is>
          <t>OPERATIVO</t>
        </is>
      </c>
      <c r="G120" s="10" t="n">
        <v>96</v>
      </c>
      <c r="H120" s="10" t="n">
        <v>0</v>
      </c>
      <c r="I120" s="10" t="n">
        <v>240</v>
      </c>
      <c r="J120" s="3" t="inlineStr">
        <is>
          <t>EN EJECUCION</t>
        </is>
      </c>
    </row>
    <row r="121">
      <c r="A121" s="3">
        <f>$B121&amp;IF($C121="","0010",$C121)</f>
        <v/>
      </c>
      <c r="B121" s="3" t="inlineStr">
        <is>
          <t>OT-000144</t>
        </is>
      </c>
      <c r="C121" s="3" t="inlineStr">
        <is>
          <t>0010</t>
        </is>
      </c>
      <c r="D121" s="3" t="inlineStr">
        <is>
          <t>ABIE</t>
        </is>
      </c>
      <c r="E121" s="3" t="inlineStr">
        <is>
          <t>3-BAJA</t>
        </is>
      </c>
      <c r="F121" s="3" t="inlineStr">
        <is>
          <t>PARADO</t>
        </is>
      </c>
      <c r="G121" s="10" t="n">
        <v>128</v>
      </c>
      <c r="H121" s="10" t="n">
        <v>0</v>
      </c>
      <c r="I121" s="10" t="n">
        <v>320</v>
      </c>
      <c r="J121" s="3" t="inlineStr">
        <is>
          <t>ABIERTA</t>
        </is>
      </c>
    </row>
    <row r="122">
      <c r="A122" s="3">
        <f>$B122&amp;IF($C122="","0010",$C122)</f>
        <v/>
      </c>
      <c r="B122" s="3" t="inlineStr">
        <is>
          <t>OT-000145</t>
        </is>
      </c>
      <c r="C122" s="3" t="inlineStr">
        <is>
          <t>0010</t>
        </is>
      </c>
      <c r="D122" s="3" t="inlineStr">
        <is>
          <t>EJEC</t>
        </is>
      </c>
      <c r="E122" s="3" t="inlineStr">
        <is>
          <t>1-ALTA</t>
        </is>
      </c>
      <c r="F122" s="3" t="inlineStr">
        <is>
          <t>OPERATIVO</t>
        </is>
      </c>
      <c r="G122" s="10" t="n">
        <v>40</v>
      </c>
      <c r="H122" s="10" t="n">
        <v>0</v>
      </c>
      <c r="I122" s="10" t="n">
        <v>100</v>
      </c>
      <c r="J122" s="3" t="inlineStr">
        <is>
          <t>EN EJECUCION</t>
        </is>
      </c>
    </row>
    <row r="123">
      <c r="A123" s="3">
        <f>$B123&amp;IF($C123="","0010",$C123)</f>
        <v/>
      </c>
      <c r="B123" s="3" t="inlineStr">
        <is>
          <t>OT-000146</t>
        </is>
      </c>
      <c r="C123" s="3" t="inlineStr">
        <is>
          <t>0010</t>
        </is>
      </c>
      <c r="D123" s="3" t="inlineStr">
        <is>
          <t>ABIE</t>
        </is>
      </c>
      <c r="E123" s="3" t="inlineStr">
        <is>
          <t>2-MEDIA</t>
        </is>
      </c>
      <c r="F123" s="3" t="inlineStr">
        <is>
          <t>PARADO</t>
        </is>
      </c>
      <c r="G123" s="10" t="n">
        <v>96</v>
      </c>
      <c r="H123" s="10" t="n">
        <v>0</v>
      </c>
      <c r="I123" s="10" t="n">
        <v>240</v>
      </c>
      <c r="J123" s="3" t="inlineStr">
        <is>
          <t>ABIERTA</t>
        </is>
      </c>
    </row>
    <row r="124">
      <c r="A124" s="3">
        <f>$B124&amp;IF($C124="","0010",$C124)</f>
        <v/>
      </c>
      <c r="B124" s="3" t="inlineStr">
        <is>
          <t>OT-000147</t>
        </is>
      </c>
      <c r="C124" s="3" t="inlineStr">
        <is>
          <t>0010</t>
        </is>
      </c>
      <c r="D124" s="3" t="inlineStr">
        <is>
          <t>EJEC</t>
        </is>
      </c>
      <c r="E124" s="3" t="inlineStr">
        <is>
          <t>3-BAJA</t>
        </is>
      </c>
      <c r="F124" s="3" t="inlineStr">
        <is>
          <t>OPERATIVO</t>
        </is>
      </c>
      <c r="G124" s="10" t="n">
        <v>128</v>
      </c>
      <c r="H124" s="10" t="n">
        <v>0</v>
      </c>
      <c r="I124" s="10" t="n">
        <v>320</v>
      </c>
      <c r="J124" s="3" t="inlineStr">
        <is>
          <t>EN EJECUCION</t>
        </is>
      </c>
    </row>
    <row r="125">
      <c r="A125" s="3">
        <f>$B125&amp;IF($C125="","0010",$C125)</f>
        <v/>
      </c>
      <c r="B125" s="3" t="inlineStr">
        <is>
          <t>OT-000148</t>
        </is>
      </c>
      <c r="C125" s="3" t="inlineStr">
        <is>
          <t>0010</t>
        </is>
      </c>
      <c r="D125" s="3" t="inlineStr">
        <is>
          <t>ABIE</t>
        </is>
      </c>
      <c r="E125" s="3" t="inlineStr">
        <is>
          <t>1-ALTA</t>
        </is>
      </c>
      <c r="F125" s="3" t="inlineStr">
        <is>
          <t>PARADO</t>
        </is>
      </c>
      <c r="G125" s="10" t="n">
        <v>64</v>
      </c>
      <c r="H125" s="10" t="n">
        <v>0</v>
      </c>
      <c r="I125" s="10" t="n">
        <v>160</v>
      </c>
      <c r="J125" s="3" t="inlineStr">
        <is>
          <t>ABIERTA</t>
        </is>
      </c>
    </row>
    <row r="126">
      <c r="A126" s="3">
        <f>$B126&amp;IF($C126="","0010",$C126)</f>
        <v/>
      </c>
      <c r="B126" s="3" t="inlineStr">
        <is>
          <t>OT-000149</t>
        </is>
      </c>
      <c r="C126" s="3" t="inlineStr">
        <is>
          <t>0010</t>
        </is>
      </c>
      <c r="D126" s="3" t="inlineStr">
        <is>
          <t>EJEC</t>
        </is>
      </c>
      <c r="E126" s="3" t="inlineStr">
        <is>
          <t>2-MEDIA</t>
        </is>
      </c>
      <c r="F126" s="3" t="inlineStr">
        <is>
          <t>OPERATIVO</t>
        </is>
      </c>
      <c r="G126" s="10" t="n">
        <v>96</v>
      </c>
      <c r="H126" s="10" t="n">
        <v>0</v>
      </c>
      <c r="I126" s="10" t="n">
        <v>240</v>
      </c>
      <c r="J126" s="3" t="inlineStr">
        <is>
          <t>EN EJECUCION</t>
        </is>
      </c>
    </row>
    <row r="127">
      <c r="A127" s="3">
        <f>$B127&amp;IF($C127="","0010",$C127)</f>
        <v/>
      </c>
      <c r="B127" s="3" t="inlineStr">
        <is>
          <t>OT-000150</t>
        </is>
      </c>
      <c r="C127" s="3" t="inlineStr">
        <is>
          <t>0010</t>
        </is>
      </c>
      <c r="D127" s="3" t="inlineStr">
        <is>
          <t>ABIE</t>
        </is>
      </c>
      <c r="E127" s="3" t="inlineStr">
        <is>
          <t>3-BAJA</t>
        </is>
      </c>
      <c r="F127" s="3" t="inlineStr">
        <is>
          <t>PARADO</t>
        </is>
      </c>
      <c r="G127" s="10" t="n">
        <v>128</v>
      </c>
      <c r="H127" s="10" t="n">
        <v>0</v>
      </c>
      <c r="I127" s="10" t="n">
        <v>320</v>
      </c>
      <c r="J127" s="3" t="inlineStr">
        <is>
          <t>ABIERTA</t>
        </is>
      </c>
    </row>
    <row r="128">
      <c r="A128" s="3">
        <f>$B128&amp;IF($C128="","0010",$C128)</f>
        <v/>
      </c>
      <c r="B128" s="3" t="inlineStr">
        <is>
          <t>OT-000151</t>
        </is>
      </c>
      <c r="C128" s="3" t="inlineStr">
        <is>
          <t>0010</t>
        </is>
      </c>
      <c r="D128" s="3" t="inlineStr">
        <is>
          <t>EJEC</t>
        </is>
      </c>
      <c r="E128" s="3" t="inlineStr">
        <is>
          <t>1-ALTA</t>
        </is>
      </c>
      <c r="F128" s="3" t="inlineStr">
        <is>
          <t>OPERATIVO</t>
        </is>
      </c>
      <c r="G128" s="10" t="n">
        <v>40</v>
      </c>
      <c r="H128" s="10" t="n">
        <v>0</v>
      </c>
      <c r="I128" s="10" t="n">
        <v>100</v>
      </c>
      <c r="J128" s="3" t="inlineStr">
        <is>
          <t>EN EJECUCION</t>
        </is>
      </c>
    </row>
    <row r="129">
      <c r="A129" s="3">
        <f>$B129&amp;IF($C129="","0010",$C129)</f>
        <v/>
      </c>
      <c r="B129" s="3" t="inlineStr">
        <is>
          <t>OT-000152</t>
        </is>
      </c>
      <c r="C129" s="3" t="inlineStr">
        <is>
          <t>0010</t>
        </is>
      </c>
      <c r="D129" s="3" t="inlineStr">
        <is>
          <t>ABIE</t>
        </is>
      </c>
      <c r="E129" s="3" t="inlineStr">
        <is>
          <t>2-MEDIA</t>
        </is>
      </c>
      <c r="F129" s="3" t="inlineStr">
        <is>
          <t>PARADO</t>
        </is>
      </c>
      <c r="G129" s="10" t="n">
        <v>96</v>
      </c>
      <c r="H129" s="10" t="n">
        <v>0</v>
      </c>
      <c r="I129" s="10" t="n">
        <v>240</v>
      </c>
      <c r="J129" s="3" t="inlineStr">
        <is>
          <t>ABIERTA</t>
        </is>
      </c>
    </row>
    <row r="130">
      <c r="A130" s="3">
        <f>$B130&amp;IF($C130="","0010",$C130)</f>
        <v/>
      </c>
      <c r="B130" s="3" t="inlineStr">
        <is>
          <t>OT-000153</t>
        </is>
      </c>
      <c r="C130" s="3" t="inlineStr">
        <is>
          <t>0010</t>
        </is>
      </c>
      <c r="D130" s="3" t="inlineStr">
        <is>
          <t>EJEC</t>
        </is>
      </c>
      <c r="E130" s="3" t="inlineStr">
        <is>
          <t>3-BAJA</t>
        </is>
      </c>
      <c r="F130" s="3" t="inlineStr">
        <is>
          <t>OPERATIVO</t>
        </is>
      </c>
      <c r="G130" s="10" t="n">
        <v>128</v>
      </c>
      <c r="H130" s="10" t="n">
        <v>0</v>
      </c>
      <c r="I130" s="10" t="n">
        <v>320</v>
      </c>
      <c r="J130" s="3" t="inlineStr">
        <is>
          <t>EN EJECUCION</t>
        </is>
      </c>
    </row>
    <row r="131">
      <c r="A131" s="3">
        <f>$B131&amp;IF($C131="","0010",$C131)</f>
        <v/>
      </c>
      <c r="B131" s="3" t="inlineStr">
        <is>
          <t>OT-000154</t>
        </is>
      </c>
      <c r="C131" s="3" t="inlineStr">
        <is>
          <t>0010</t>
        </is>
      </c>
      <c r="D131" s="3" t="inlineStr">
        <is>
          <t>ABIE</t>
        </is>
      </c>
      <c r="E131" s="3" t="inlineStr">
        <is>
          <t>1-ALTA</t>
        </is>
      </c>
      <c r="F131" s="3" t="inlineStr">
        <is>
          <t>PARADO</t>
        </is>
      </c>
      <c r="G131" s="10" t="n">
        <v>64</v>
      </c>
      <c r="H131" s="10" t="n">
        <v>0</v>
      </c>
      <c r="I131" s="10" t="n">
        <v>160</v>
      </c>
      <c r="J131" s="3" t="inlineStr">
        <is>
          <t>ABIERTA</t>
        </is>
      </c>
    </row>
    <row r="132">
      <c r="A132" s="3">
        <f>$B132&amp;IF($C132="","0010",$C132)</f>
        <v/>
      </c>
      <c r="B132" s="3" t="inlineStr">
        <is>
          <t>OT-000155</t>
        </is>
      </c>
      <c r="C132" s="3" t="inlineStr">
        <is>
          <t>0010</t>
        </is>
      </c>
      <c r="D132" s="3" t="inlineStr">
        <is>
          <t>EJEC</t>
        </is>
      </c>
      <c r="E132" s="3" t="inlineStr">
        <is>
          <t>2-MEDIA</t>
        </is>
      </c>
      <c r="F132" s="3" t="inlineStr">
        <is>
          <t>OPERATIVO</t>
        </is>
      </c>
      <c r="G132" s="10" t="n">
        <v>96</v>
      </c>
      <c r="H132" s="10" t="n">
        <v>0</v>
      </c>
      <c r="I132" s="10" t="n">
        <v>240</v>
      </c>
      <c r="J132" s="3" t="inlineStr">
        <is>
          <t>EN EJECUCION</t>
        </is>
      </c>
    </row>
    <row r="133">
      <c r="A133" s="3">
        <f>$B133&amp;IF($C133="","0010",$C133)</f>
        <v/>
      </c>
      <c r="B133" s="3" t="inlineStr">
        <is>
          <t>OT-000156</t>
        </is>
      </c>
      <c r="C133" s="3" t="inlineStr">
        <is>
          <t>0010</t>
        </is>
      </c>
      <c r="D133" s="3" t="inlineStr">
        <is>
          <t>ABIE</t>
        </is>
      </c>
      <c r="E133" s="3" t="inlineStr">
        <is>
          <t>3-BAJA</t>
        </is>
      </c>
      <c r="F133" s="3" t="inlineStr">
        <is>
          <t>PARADO</t>
        </is>
      </c>
      <c r="G133" s="10" t="n">
        <v>128</v>
      </c>
      <c r="H133" s="10" t="n">
        <v>0</v>
      </c>
      <c r="I133" s="10" t="n">
        <v>320</v>
      </c>
      <c r="J133" s="3" t="inlineStr">
        <is>
          <t>ABIERTA</t>
        </is>
      </c>
    </row>
    <row r="134">
      <c r="A134" s="3">
        <f>$B134&amp;IF($C134="","0010",$C134)</f>
        <v/>
      </c>
      <c r="B134" s="3" t="inlineStr">
        <is>
          <t>OT-000157</t>
        </is>
      </c>
      <c r="C134" s="3" t="inlineStr">
        <is>
          <t>0010</t>
        </is>
      </c>
      <c r="D134" s="3" t="inlineStr">
        <is>
          <t>EJEC</t>
        </is>
      </c>
      <c r="E134" s="3" t="inlineStr">
        <is>
          <t>1-ALTA</t>
        </is>
      </c>
      <c r="F134" s="3" t="inlineStr">
        <is>
          <t>OPERATIVO</t>
        </is>
      </c>
      <c r="G134" s="10" t="n">
        <v>40</v>
      </c>
      <c r="H134" s="10" t="n">
        <v>0</v>
      </c>
      <c r="I134" s="10" t="n">
        <v>100</v>
      </c>
      <c r="J134" s="3" t="inlineStr">
        <is>
          <t>EN EJECUCION</t>
        </is>
      </c>
    </row>
    <row r="135">
      <c r="A135" s="3">
        <f>$B135&amp;IF($C135="","0010",$C135)</f>
        <v/>
      </c>
      <c r="B135" s="3" t="inlineStr">
        <is>
          <t>OT-000158</t>
        </is>
      </c>
      <c r="C135" s="3" t="inlineStr">
        <is>
          <t>0010</t>
        </is>
      </c>
      <c r="D135" s="3" t="inlineStr">
        <is>
          <t>ABIE</t>
        </is>
      </c>
      <c r="E135" s="3" t="inlineStr">
        <is>
          <t>2-MEDIA</t>
        </is>
      </c>
      <c r="F135" s="3" t="inlineStr">
        <is>
          <t>PARADO</t>
        </is>
      </c>
      <c r="G135" s="10" t="n">
        <v>64</v>
      </c>
      <c r="H135" s="10" t="n">
        <v>0</v>
      </c>
      <c r="I135" s="10" t="n">
        <v>160</v>
      </c>
      <c r="J135" s="3" t="inlineStr">
        <is>
          <t>ABIERTA</t>
        </is>
      </c>
    </row>
    <row r="136">
      <c r="A136" s="3">
        <f>$B136&amp;IF($C136="","0010",$C136)</f>
        <v/>
      </c>
      <c r="B136" s="3" t="inlineStr">
        <is>
          <t>OT-000159</t>
        </is>
      </c>
      <c r="C136" s="3" t="inlineStr">
        <is>
          <t>0010</t>
        </is>
      </c>
      <c r="D136" s="3" t="inlineStr">
        <is>
          <t>EJEC</t>
        </is>
      </c>
      <c r="E136" s="3" t="inlineStr">
        <is>
          <t>3-BAJA</t>
        </is>
      </c>
      <c r="F136" s="3" t="inlineStr">
        <is>
          <t>OPERATIVO</t>
        </is>
      </c>
      <c r="G136" s="10" t="n">
        <v>96</v>
      </c>
      <c r="H136" s="10" t="n">
        <v>0</v>
      </c>
      <c r="I136" s="10" t="n">
        <v>240</v>
      </c>
      <c r="J136" s="3" t="inlineStr">
        <is>
          <t>EN EJECUCION</t>
        </is>
      </c>
    </row>
    <row r="137">
      <c r="A137" s="3">
        <f>$B137&amp;IF($C137="","0010",$C137)</f>
        <v/>
      </c>
      <c r="B137" s="3" t="inlineStr">
        <is>
          <t>OT-000160</t>
        </is>
      </c>
      <c r="C137" s="3" t="inlineStr">
        <is>
          <t>0010</t>
        </is>
      </c>
      <c r="D137" s="3" t="inlineStr">
        <is>
          <t>ABIE</t>
        </is>
      </c>
      <c r="E137" s="3" t="inlineStr">
        <is>
          <t>1-ALTA</t>
        </is>
      </c>
      <c r="F137" s="3" t="inlineStr">
        <is>
          <t>PARADO</t>
        </is>
      </c>
      <c r="G137" s="10" t="n">
        <v>128</v>
      </c>
      <c r="H137" s="10" t="n">
        <v>0</v>
      </c>
      <c r="I137" s="10" t="n">
        <v>320</v>
      </c>
      <c r="J137" s="3" t="inlineStr">
        <is>
          <t>ABIERTA</t>
        </is>
      </c>
    </row>
    <row r="138">
      <c r="A138" s="3">
        <f>$B138&amp;IF($C138="","0010",$C138)</f>
        <v/>
      </c>
      <c r="B138" s="3" t="inlineStr">
        <is>
          <t>OT-000161</t>
        </is>
      </c>
      <c r="C138" s="3" t="inlineStr">
        <is>
          <t>0010</t>
        </is>
      </c>
      <c r="D138" s="3" t="inlineStr">
        <is>
          <t>EJEC</t>
        </is>
      </c>
      <c r="E138" s="3" t="inlineStr">
        <is>
          <t>2-MEDIA</t>
        </is>
      </c>
      <c r="F138" s="3" t="inlineStr">
        <is>
          <t>OPERATIVO</t>
        </is>
      </c>
      <c r="G138" s="10" t="n">
        <v>40</v>
      </c>
      <c r="H138" s="10" t="n">
        <v>0</v>
      </c>
      <c r="I138" s="10" t="n">
        <v>100</v>
      </c>
      <c r="J138" s="3" t="inlineStr">
        <is>
          <t>EN EJECUCION</t>
        </is>
      </c>
    </row>
    <row r="139">
      <c r="A139" s="3">
        <f>$B139&amp;IF($C139="","0010",$C139)</f>
        <v/>
      </c>
      <c r="B139" s="3" t="inlineStr">
        <is>
          <t>OT-000162</t>
        </is>
      </c>
      <c r="C139" s="3" t="inlineStr">
        <is>
          <t>0010</t>
        </is>
      </c>
      <c r="D139" s="3" t="inlineStr">
        <is>
          <t>CERR</t>
        </is>
      </c>
      <c r="E139" s="3" t="inlineStr">
        <is>
          <t>3-BAJA</t>
        </is>
      </c>
      <c r="F139" s="3" t="inlineStr">
        <is>
          <t>PARADO</t>
        </is>
      </c>
      <c r="G139" s="10" t="n">
        <v>200</v>
      </c>
      <c r="H139" s="10" t="n">
        <v>100</v>
      </c>
      <c r="I139" s="10" t="n">
        <v>100</v>
      </c>
      <c r="J139" s="3" t="inlineStr">
        <is>
          <t>CERRADA</t>
        </is>
      </c>
    </row>
    <row r="140">
      <c r="A140" s="3">
        <f>$B140&amp;IF($C140="","0010",$C140)</f>
        <v/>
      </c>
      <c r="B140" s="3" t="inlineStr">
        <is>
          <t>OT-000163</t>
        </is>
      </c>
      <c r="C140" s="3" t="inlineStr">
        <is>
          <t>0010</t>
        </is>
      </c>
      <c r="D140" s="3" t="inlineStr">
        <is>
          <t>CERR</t>
        </is>
      </c>
      <c r="E140" s="3" t="inlineStr">
        <is>
          <t>1-ALTA</t>
        </is>
      </c>
      <c r="F140" s="3" t="inlineStr">
        <is>
          <t>OPERATIVO</t>
        </is>
      </c>
      <c r="G140" s="10" t="n">
        <v>96</v>
      </c>
      <c r="H140" s="10" t="n">
        <v>240</v>
      </c>
      <c r="I140" s="10" t="n">
        <v>240</v>
      </c>
      <c r="J140" s="3" t="inlineStr">
        <is>
          <t>CERRADA</t>
        </is>
      </c>
    </row>
    <row r="141">
      <c r="A141" s="3">
        <f>$B141&amp;IF($C141="","0010",$C141)</f>
        <v/>
      </c>
      <c r="B141" s="3" t="inlineStr">
        <is>
          <t>OT-000164</t>
        </is>
      </c>
      <c r="C141" s="3" t="inlineStr">
        <is>
          <t>0010</t>
        </is>
      </c>
      <c r="D141" s="3" t="inlineStr">
        <is>
          <t>CERR</t>
        </is>
      </c>
      <c r="E141" s="3" t="inlineStr">
        <is>
          <t>2-MEDIA</t>
        </is>
      </c>
      <c r="F141" s="3" t="inlineStr">
        <is>
          <t>PARADO</t>
        </is>
      </c>
      <c r="G141" s="10" t="n">
        <v>80</v>
      </c>
      <c r="H141" s="10" t="n">
        <v>200</v>
      </c>
      <c r="I141" s="10" t="n">
        <v>200</v>
      </c>
      <c r="J141" s="3" t="inlineStr">
        <is>
          <t>CERRADA</t>
        </is>
      </c>
    </row>
    <row r="142">
      <c r="A142" s="3">
        <f>$B142&amp;IF($C142="","0010",$C142)</f>
        <v/>
      </c>
      <c r="B142" s="3" t="inlineStr">
        <is>
          <t>OT-000165</t>
        </is>
      </c>
      <c r="C142" s="3" t="inlineStr">
        <is>
          <t>0010</t>
        </is>
      </c>
      <c r="D142" s="3" t="inlineStr">
        <is>
          <t>CERR</t>
        </is>
      </c>
      <c r="E142" s="3" t="inlineStr">
        <is>
          <t>3-BAJA</t>
        </is>
      </c>
      <c r="F142" s="3" t="inlineStr">
        <is>
          <t>OPERATIVO</t>
        </is>
      </c>
      <c r="G142" s="10" t="n">
        <v>64</v>
      </c>
      <c r="H142" s="10" t="n">
        <v>160</v>
      </c>
      <c r="I142" s="10" t="n">
        <v>160</v>
      </c>
      <c r="J142" s="3" t="inlineStr">
        <is>
          <t>CERRADA</t>
        </is>
      </c>
    </row>
    <row r="143">
      <c r="A143" s="3">
        <f>$B143&amp;IF($C143="","0010",$C143)</f>
        <v/>
      </c>
      <c r="B143" s="3" t="inlineStr">
        <is>
          <t>OT-000166</t>
        </is>
      </c>
      <c r="C143" s="3" t="inlineStr">
        <is>
          <t>0010</t>
        </is>
      </c>
      <c r="D143" s="3" t="inlineStr">
        <is>
          <t>CERR</t>
        </is>
      </c>
      <c r="E143" s="3" t="inlineStr">
        <is>
          <t>1-ALTA</t>
        </is>
      </c>
      <c r="F143" s="3" t="inlineStr">
        <is>
          <t>PARADO</t>
        </is>
      </c>
      <c r="G143" s="10" t="n">
        <v>60</v>
      </c>
      <c r="H143" s="10" t="n">
        <v>150</v>
      </c>
      <c r="I143" s="10" t="n">
        <v>150</v>
      </c>
      <c r="J143" s="3" t="inlineStr">
        <is>
          <t>CERRADA</t>
        </is>
      </c>
    </row>
    <row r="144">
      <c r="A144" s="3">
        <f>$B144&amp;IF($C144="","0010",$C144)</f>
        <v/>
      </c>
      <c r="B144" s="3" t="inlineStr">
        <is>
          <t>OT-000167</t>
        </is>
      </c>
      <c r="C144" s="3" t="inlineStr">
        <is>
          <t>0010</t>
        </is>
      </c>
      <c r="D144" s="3" t="inlineStr">
        <is>
          <t>CERR</t>
        </is>
      </c>
      <c r="E144" s="3" t="inlineStr">
        <is>
          <t>2-MEDIA</t>
        </is>
      </c>
      <c r="F144" s="3" t="inlineStr">
        <is>
          <t>OPERATIVO</t>
        </is>
      </c>
      <c r="G144" s="10" t="n">
        <v>128</v>
      </c>
      <c r="H144" s="10" t="n">
        <v>320</v>
      </c>
      <c r="I144" s="10" t="n">
        <v>320</v>
      </c>
      <c r="J144" s="3" t="inlineStr">
        <is>
          <t>CERRADA</t>
        </is>
      </c>
    </row>
    <row r="145">
      <c r="A145" s="3">
        <f>$B145&amp;IF($C145="","0010",$C145)</f>
        <v/>
      </c>
      <c r="B145" s="3" t="inlineStr">
        <is>
          <t>OT-000168</t>
        </is>
      </c>
      <c r="C145" s="3" t="inlineStr">
        <is>
          <t>0010</t>
        </is>
      </c>
      <c r="D145" s="3" t="inlineStr">
        <is>
          <t>CERR</t>
        </is>
      </c>
      <c r="E145" s="3" t="inlineStr">
        <is>
          <t>3-BAJA</t>
        </is>
      </c>
      <c r="F145" s="3" t="inlineStr">
        <is>
          <t>PARADO</t>
        </is>
      </c>
      <c r="G145" s="10" t="n">
        <v>40</v>
      </c>
      <c r="H145" s="10" t="n">
        <v>100</v>
      </c>
      <c r="I145" s="10" t="n">
        <v>100</v>
      </c>
      <c r="J145" s="3" t="inlineStr">
        <is>
          <t>CERRADA</t>
        </is>
      </c>
    </row>
    <row r="146">
      <c r="A146" s="3">
        <f>$B146&amp;IF($C146="","0010",$C146)</f>
        <v/>
      </c>
      <c r="B146" s="3" t="inlineStr">
        <is>
          <t>OT-000169</t>
        </is>
      </c>
      <c r="C146" s="3" t="inlineStr">
        <is>
          <t>0010</t>
        </is>
      </c>
      <c r="D146" s="3" t="inlineStr">
        <is>
          <t>CERR</t>
        </is>
      </c>
      <c r="E146" s="3" t="inlineStr">
        <is>
          <t>1-ALTA</t>
        </is>
      </c>
      <c r="F146" s="3" t="inlineStr">
        <is>
          <t>OPERATIVO</t>
        </is>
      </c>
      <c r="G146" s="10" t="n">
        <v>340</v>
      </c>
      <c r="H146" s="10" t="n">
        <v>240</v>
      </c>
      <c r="I146" s="10" t="n">
        <v>240</v>
      </c>
      <c r="J146" s="3" t="inlineStr">
        <is>
          <t>CERRADA</t>
        </is>
      </c>
    </row>
    <row r="147">
      <c r="A147" s="3">
        <f>$B147&amp;IF($C147="","0010",$C147)</f>
        <v/>
      </c>
      <c r="B147" s="3" t="inlineStr">
        <is>
          <t>OT-000170</t>
        </is>
      </c>
      <c r="C147" s="3" t="inlineStr">
        <is>
          <t>0010</t>
        </is>
      </c>
      <c r="D147" s="3" t="inlineStr">
        <is>
          <t>CERR</t>
        </is>
      </c>
      <c r="E147" s="3" t="inlineStr">
        <is>
          <t>2-MEDIA</t>
        </is>
      </c>
      <c r="F147" s="3" t="inlineStr">
        <is>
          <t>PARADO</t>
        </is>
      </c>
      <c r="G147" s="10" t="n">
        <v>80</v>
      </c>
      <c r="H147" s="10" t="n">
        <v>200</v>
      </c>
      <c r="I147" s="10" t="n">
        <v>200</v>
      </c>
      <c r="J147" s="3" t="inlineStr">
        <is>
          <t>CERRADA</t>
        </is>
      </c>
    </row>
    <row r="148">
      <c r="A148" s="3">
        <f>$B148&amp;IF($C148="","0010",$C148)</f>
        <v/>
      </c>
      <c r="B148" s="3" t="inlineStr">
        <is>
          <t>OT-000171</t>
        </is>
      </c>
      <c r="C148" s="3" t="inlineStr">
        <is>
          <t>0010</t>
        </is>
      </c>
      <c r="D148" s="3" t="inlineStr">
        <is>
          <t>CERR</t>
        </is>
      </c>
      <c r="E148" s="3" t="inlineStr">
        <is>
          <t>3-BAJA</t>
        </is>
      </c>
      <c r="F148" s="3" t="inlineStr">
        <is>
          <t>OPERATIVO</t>
        </is>
      </c>
      <c r="G148" s="10" t="n">
        <v>64</v>
      </c>
      <c r="H148" s="10" t="n">
        <v>160</v>
      </c>
      <c r="I148" s="10" t="n">
        <v>160</v>
      </c>
      <c r="J148" s="3" t="inlineStr">
        <is>
          <t>CERRADA</t>
        </is>
      </c>
    </row>
    <row r="149">
      <c r="A149" s="3">
        <f>$B149&amp;IF($C149="","0010",$C149)</f>
        <v/>
      </c>
      <c r="B149" s="3" t="inlineStr">
        <is>
          <t>OT-000172</t>
        </is>
      </c>
      <c r="C149" s="3" t="inlineStr">
        <is>
          <t>0010</t>
        </is>
      </c>
      <c r="D149" s="3" t="inlineStr">
        <is>
          <t>CERR</t>
        </is>
      </c>
      <c r="E149" s="3" t="inlineStr">
        <is>
          <t>1-ALTA</t>
        </is>
      </c>
      <c r="F149" s="3" t="inlineStr">
        <is>
          <t>PARADO</t>
        </is>
      </c>
      <c r="G149" s="10" t="n">
        <v>60</v>
      </c>
      <c r="H149" s="10" t="n">
        <v>150</v>
      </c>
      <c r="I149" s="10" t="n">
        <v>150</v>
      </c>
      <c r="J149" s="3" t="inlineStr">
        <is>
          <t>CERRADA</t>
        </is>
      </c>
    </row>
    <row r="150">
      <c r="A150" s="3">
        <f>$B150&amp;IF($C150="","0010",$C150)</f>
        <v/>
      </c>
      <c r="B150" s="3" t="inlineStr">
        <is>
          <t>OT-000173</t>
        </is>
      </c>
      <c r="C150" s="3" t="inlineStr">
        <is>
          <t>0010</t>
        </is>
      </c>
      <c r="D150" s="3" t="inlineStr">
        <is>
          <t>CERR</t>
        </is>
      </c>
      <c r="E150" s="3" t="inlineStr">
        <is>
          <t>2-MEDIA</t>
        </is>
      </c>
      <c r="F150" s="3" t="inlineStr">
        <is>
          <t>OPERATIVO</t>
        </is>
      </c>
      <c r="G150" s="10" t="n">
        <v>128</v>
      </c>
      <c r="H150" s="10" t="n">
        <v>320</v>
      </c>
      <c r="I150" s="10" t="n">
        <v>320</v>
      </c>
      <c r="J150" s="3" t="inlineStr">
        <is>
          <t>CERRADA</t>
        </is>
      </c>
    </row>
    <row r="151">
      <c r="A151" s="3">
        <f>$B151&amp;IF($C151="","0010",$C151)</f>
        <v/>
      </c>
      <c r="B151" s="3" t="inlineStr">
        <is>
          <t>OT-000174</t>
        </is>
      </c>
      <c r="C151" s="3" t="inlineStr">
        <is>
          <t>0010</t>
        </is>
      </c>
      <c r="D151" s="3" t="inlineStr">
        <is>
          <t>CERR</t>
        </is>
      </c>
      <c r="E151" s="3" t="inlineStr">
        <is>
          <t>3-BAJA</t>
        </is>
      </c>
      <c r="F151" s="3" t="inlineStr">
        <is>
          <t>PARADO</t>
        </is>
      </c>
      <c r="G151" s="10" t="n">
        <v>40</v>
      </c>
      <c r="H151" s="10" t="n">
        <v>100</v>
      </c>
      <c r="I151" s="10" t="n">
        <v>100</v>
      </c>
      <c r="J151" s="3" t="inlineStr">
        <is>
          <t>CERRADA</t>
        </is>
      </c>
    </row>
    <row r="152">
      <c r="A152" s="3">
        <f>$B152&amp;IF($C152="","0010",$C152)</f>
        <v/>
      </c>
      <c r="B152" s="3" t="inlineStr">
        <is>
          <t>OT-000175</t>
        </is>
      </c>
      <c r="C152" s="3" t="inlineStr">
        <is>
          <t>0010</t>
        </is>
      </c>
      <c r="D152" s="3" t="inlineStr">
        <is>
          <t>CERR</t>
        </is>
      </c>
      <c r="E152" s="3" t="inlineStr">
        <is>
          <t>1-ALTA</t>
        </is>
      </c>
      <c r="F152" s="3" t="inlineStr">
        <is>
          <t>OPERATIVO</t>
        </is>
      </c>
      <c r="G152" s="10" t="n">
        <v>96</v>
      </c>
      <c r="H152" s="10" t="n">
        <v>240</v>
      </c>
      <c r="I152" s="10" t="n">
        <v>240</v>
      </c>
      <c r="J152" s="3" t="inlineStr">
        <is>
          <t>CERRADA</t>
        </is>
      </c>
    </row>
    <row r="153">
      <c r="A153" s="3">
        <f>$B153&amp;IF($C153="","0010",$C153)</f>
        <v/>
      </c>
      <c r="B153" s="3" t="inlineStr">
        <is>
          <t>OT-000176</t>
        </is>
      </c>
      <c r="C153" s="3" t="inlineStr">
        <is>
          <t>0010</t>
        </is>
      </c>
      <c r="D153" s="3" t="inlineStr">
        <is>
          <t>CERR</t>
        </is>
      </c>
      <c r="E153" s="3" t="inlineStr">
        <is>
          <t>2-MEDIA</t>
        </is>
      </c>
      <c r="F153" s="3" t="inlineStr">
        <is>
          <t>PARADO</t>
        </is>
      </c>
      <c r="G153" s="10" t="n">
        <v>80</v>
      </c>
      <c r="H153" s="10" t="n">
        <v>200</v>
      </c>
      <c r="I153" s="10" t="n">
        <v>200</v>
      </c>
      <c r="J153" s="3" t="inlineStr">
        <is>
          <t>CERRADA</t>
        </is>
      </c>
    </row>
    <row r="154">
      <c r="A154" s="3">
        <f>$B154&amp;IF($C154="","0010",$C154)</f>
        <v/>
      </c>
      <c r="B154" s="3" t="inlineStr">
        <is>
          <t>OT-000900</t>
        </is>
      </c>
      <c r="C154" s="3" t="inlineStr">
        <is>
          <t>0010</t>
        </is>
      </c>
      <c r="D154" s="3" t="inlineStr">
        <is>
          <t>EJEC</t>
        </is>
      </c>
      <c r="E154" s="3" t="inlineStr">
        <is>
          <t>3-BAJA</t>
        </is>
      </c>
      <c r="F154" s="3" t="inlineStr">
        <is>
          <t>OPERATIVO</t>
        </is>
      </c>
      <c r="G154" s="10" t="n">
        <v>96</v>
      </c>
      <c r="H154" s="10" t="n">
        <v>0</v>
      </c>
      <c r="I154" s="10" t="n">
        <v>240</v>
      </c>
      <c r="J154" s="3" t="inlineStr">
        <is>
          <t>EN EJECUCION</t>
        </is>
      </c>
    </row>
    <row r="155">
      <c r="A155" s="3">
        <f>$B155&amp;IF($C155="","0010",$C155)</f>
        <v/>
      </c>
      <c r="B155" s="3" t="inlineStr">
        <is>
          <t>OT-000903</t>
        </is>
      </c>
      <c r="C155" s="3" t="inlineStr">
        <is>
          <t>0010</t>
        </is>
      </c>
      <c r="D155" s="3" t="inlineStr">
        <is>
          <t>EJEC</t>
        </is>
      </c>
      <c r="E155" s="3" t="inlineStr">
        <is>
          <t>1-ALTA</t>
        </is>
      </c>
      <c r="F155" s="3" t="inlineStr">
        <is>
          <t>OPERATIVO</t>
        </is>
      </c>
      <c r="G155" s="10" t="n">
        <v>0</v>
      </c>
      <c r="H155" s="10" t="n">
        <v>0</v>
      </c>
      <c r="I155" s="10" t="n">
        <v>0</v>
      </c>
      <c r="J155" s="3" t="inlineStr">
        <is>
          <t>EN EJECUCION</t>
        </is>
      </c>
    </row>
    <row r="156">
      <c r="A156" s="3">
        <f>$B156&amp;IF($C156="","0010",$C156)</f>
        <v/>
      </c>
      <c r="B156" s="3" t="inlineStr">
        <is>
          <t>OT-000904</t>
        </is>
      </c>
      <c r="C156" s="3" t="inlineStr">
        <is>
          <t>0010</t>
        </is>
      </c>
      <c r="D156" s="3" t="inlineStr">
        <is>
          <t>EJEC</t>
        </is>
      </c>
      <c r="E156" s="3" t="inlineStr">
        <is>
          <t>2-MEDIA</t>
        </is>
      </c>
      <c r="F156" s="3" t="inlineStr">
        <is>
          <t>PARADO</t>
        </is>
      </c>
      <c r="G156" s="10" t="n">
        <v>0</v>
      </c>
      <c r="H156" s="10" t="n">
        <v>0</v>
      </c>
      <c r="I156" s="10" t="n">
        <v>0</v>
      </c>
      <c r="J156" s="3" t="inlineStr">
        <is>
          <t>EN EJECUCION</t>
        </is>
      </c>
    </row>
    <row r="157">
      <c r="A157" s="3">
        <f>$B157&amp;IF($C157="","0010",$C157)</f>
        <v/>
      </c>
      <c r="B157" s="3" t="inlineStr">
        <is>
          <t>OT-000905</t>
        </is>
      </c>
      <c r="C157" s="3" t="inlineStr">
        <is>
          <t>0010</t>
        </is>
      </c>
      <c r="D157" s="3" t="inlineStr">
        <is>
          <t>EJEC</t>
        </is>
      </c>
      <c r="E157" s="3" t="inlineStr">
        <is>
          <t>3-BAJA</t>
        </is>
      </c>
      <c r="F157" s="3" t="inlineStr">
        <is>
          <t>OPERATIVO</t>
        </is>
      </c>
      <c r="G157" s="10" t="n">
        <v>64</v>
      </c>
      <c r="H157" s="10" t="n">
        <v>0</v>
      </c>
      <c r="I157" s="10" t="n">
        <v>160</v>
      </c>
      <c r="J157" s="3" t="inlineStr">
        <is>
          <t>EN EJECUCION</t>
        </is>
      </c>
    </row>
    <row r="158">
      <c r="A158" s="3">
        <f>$B158&amp;IF($C158="","0010",$C158)</f>
        <v/>
      </c>
      <c r="B158" s="3" t="inlineStr">
        <is>
          <t>OT-000906</t>
        </is>
      </c>
      <c r="C158" s="3" t="inlineStr">
        <is>
          <t>0010</t>
        </is>
      </c>
      <c r="D158" s="3" t="inlineStr">
        <is>
          <t>EJEC</t>
        </is>
      </c>
      <c r="E158" s="3" t="inlineStr">
        <is>
          <t>1-ALTA</t>
        </is>
      </c>
      <c r="F158" s="3" t="inlineStr">
        <is>
          <t>PARADO</t>
        </is>
      </c>
      <c r="G158" s="10" t="n">
        <v>64</v>
      </c>
      <c r="H158" s="10" t="n">
        <v>0</v>
      </c>
      <c r="I158" s="10" t="n">
        <v>160</v>
      </c>
      <c r="J158" s="3" t="inlineStr">
        <is>
          <t>EN EJECUCION</t>
        </is>
      </c>
    </row>
    <row r="159">
      <c r="A159" s="3">
        <f>$B159&amp;IF($C159="","0010",$C159)</f>
        <v/>
      </c>
      <c r="B159" s="3" t="inlineStr">
        <is>
          <t>OT-000907</t>
        </is>
      </c>
      <c r="C159" s="3" t="inlineStr">
        <is>
          <t>0010</t>
        </is>
      </c>
      <c r="D159" s="3" t="inlineStr">
        <is>
          <t>EJEC</t>
        </is>
      </c>
      <c r="E159" s="3" t="inlineStr">
        <is>
          <t>2-MEDIA</t>
        </is>
      </c>
      <c r="F159" s="3" t="inlineStr">
        <is>
          <t>OPERATIVO</t>
        </is>
      </c>
      <c r="G159" s="10" t="n">
        <v>64</v>
      </c>
      <c r="H159" s="10" t="n">
        <v>0</v>
      </c>
      <c r="I159" s="10" t="n">
        <v>160</v>
      </c>
      <c r="J159" s="3" t="inlineStr">
        <is>
          <t>EN EJECUCION</t>
        </is>
      </c>
    </row>
    <row r="160">
      <c r="A160" s="3">
        <f>$B160&amp;IF($C160="","0010",$C160)</f>
        <v/>
      </c>
      <c r="B160" s="3" t="inlineStr">
        <is>
          <t>OT-000908</t>
        </is>
      </c>
      <c r="C160" s="3" t="inlineStr">
        <is>
          <t>0010</t>
        </is>
      </c>
      <c r="D160" s="3" t="inlineStr">
        <is>
          <t>EJEC</t>
        </is>
      </c>
      <c r="E160" s="3" t="inlineStr">
        <is>
          <t>3-BAJA</t>
        </is>
      </c>
      <c r="F160" s="3" t="inlineStr">
        <is>
          <t>PARADO</t>
        </is>
      </c>
      <c r="G160" s="10" t="n">
        <v>64</v>
      </c>
      <c r="H160" s="10" t="n">
        <v>0</v>
      </c>
      <c r="I160" s="10" t="n">
        <v>160</v>
      </c>
      <c r="J160" s="3" t="inlineStr">
        <is>
          <t>EN EJECUCION</t>
        </is>
      </c>
    </row>
    <row r="161">
      <c r="A161" s="3">
        <f>$B161&amp;IF($C161="","0010",$C161)</f>
        <v/>
      </c>
      <c r="B161" s="3" t="inlineStr">
        <is>
          <t>OT-000909</t>
        </is>
      </c>
      <c r="C161" s="3" t="inlineStr">
        <is>
          <t>0010</t>
        </is>
      </c>
      <c r="D161" s="3" t="inlineStr">
        <is>
          <t>EJEC</t>
        </is>
      </c>
      <c r="E161" s="3" t="inlineStr">
        <is>
          <t>1-ALTA</t>
        </is>
      </c>
      <c r="F161" s="3" t="inlineStr">
        <is>
          <t>OPERATIVO</t>
        </is>
      </c>
      <c r="G161" s="10" t="n">
        <v>64</v>
      </c>
      <c r="H161" s="10" t="n">
        <v>0</v>
      </c>
      <c r="I161" s="10" t="n">
        <v>160</v>
      </c>
      <c r="J161" s="3" t="inlineStr">
        <is>
          <t>EN EJECUCION</t>
        </is>
      </c>
    </row>
    <row r="162">
      <c r="A162" s="3">
        <f>$B162&amp;IF($C162="","0010",$C162)</f>
        <v/>
      </c>
      <c r="B162" s="3" t="inlineStr">
        <is>
          <t>OT-000194</t>
        </is>
      </c>
      <c r="C162" s="3" t="inlineStr">
        <is>
          <t>0010</t>
        </is>
      </c>
      <c r="D162" s="3" t="inlineStr">
        <is>
          <t>ABIE</t>
        </is>
      </c>
      <c r="E162" s="3" t="inlineStr">
        <is>
          <t>2-MEDIA</t>
        </is>
      </c>
      <c r="F162" s="3" t="inlineStr">
        <is>
          <t>PARADO</t>
        </is>
      </c>
      <c r="G162" s="10" t="n">
        <v>32</v>
      </c>
      <c r="H162" s="10" t="n">
        <v>0</v>
      </c>
      <c r="I162" s="10" t="n">
        <v>80</v>
      </c>
      <c r="J162" s="3" t="inlineStr">
        <is>
          <t>ABIERTA</t>
        </is>
      </c>
    </row>
    <row r="163">
      <c r="A163" s="3">
        <f>$B163&amp;IF($C163="","0010",$C163)</f>
        <v/>
      </c>
      <c r="B163" s="3" t="inlineStr">
        <is>
          <t>OT-000195</t>
        </is>
      </c>
      <c r="C163" s="3" t="inlineStr">
        <is>
          <t>0010</t>
        </is>
      </c>
      <c r="D163" s="3" t="inlineStr">
        <is>
          <t>EJEC</t>
        </is>
      </c>
      <c r="E163" s="3" t="inlineStr">
        <is>
          <t>3-BAJA</t>
        </is>
      </c>
      <c r="F163" s="3" t="inlineStr">
        <is>
          <t>OPERATIVO</t>
        </is>
      </c>
      <c r="G163" s="10" t="n">
        <v>32</v>
      </c>
      <c r="H163" s="10" t="n">
        <v>0</v>
      </c>
      <c r="I163" s="10" t="n">
        <v>80</v>
      </c>
      <c r="J163" s="3" t="inlineStr">
        <is>
          <t>EN EJECUCION</t>
        </is>
      </c>
    </row>
    <row r="164">
      <c r="A164" s="3">
        <f>$B164&amp;IF($C164="","0010",$C164)</f>
        <v/>
      </c>
      <c r="B164" s="3" t="inlineStr">
        <is>
          <t>OT-000196</t>
        </is>
      </c>
      <c r="C164" s="3" t="inlineStr">
        <is>
          <t>0010</t>
        </is>
      </c>
      <c r="D164" s="3" t="inlineStr">
        <is>
          <t>ABIE</t>
        </is>
      </c>
      <c r="E164" s="3" t="inlineStr">
        <is>
          <t>1-ALTA</t>
        </is>
      </c>
      <c r="F164" s="3" t="inlineStr">
        <is>
          <t>PARADO</t>
        </is>
      </c>
      <c r="G164" s="10" t="n">
        <v>32</v>
      </c>
      <c r="H164" s="10" t="n">
        <v>0</v>
      </c>
      <c r="I164" s="10" t="n">
        <v>80</v>
      </c>
      <c r="J164" s="3" t="inlineStr">
        <is>
          <t>ABIERTA</t>
        </is>
      </c>
    </row>
    <row r="165">
      <c r="A165" s="3">
        <f>$B165&amp;IF($C165="","0010",$C165)</f>
        <v/>
      </c>
      <c r="B165" s="3" t="inlineStr">
        <is>
          <t>OT-000197</t>
        </is>
      </c>
      <c r="C165" s="3" t="inlineStr">
        <is>
          <t>0010</t>
        </is>
      </c>
      <c r="D165" s="3" t="inlineStr">
        <is>
          <t>EJEC</t>
        </is>
      </c>
      <c r="E165" s="3" t="inlineStr">
        <is>
          <t>2-MEDIA</t>
        </is>
      </c>
      <c r="F165" s="3" t="inlineStr">
        <is>
          <t>OPERATIVO</t>
        </is>
      </c>
      <c r="G165" s="10" t="n">
        <v>32</v>
      </c>
      <c r="H165" s="10" t="n">
        <v>0</v>
      </c>
      <c r="I165" s="10" t="n">
        <v>80</v>
      </c>
      <c r="J165" s="3" t="inlineStr">
        <is>
          <t>EN EJECUCION</t>
        </is>
      </c>
    </row>
    <row r="166">
      <c r="A166" s="3">
        <f>$B166&amp;IF($C166="","0010",$C166)</f>
        <v/>
      </c>
      <c r="B166" s="3" t="inlineStr">
        <is>
          <t>OT-000198</t>
        </is>
      </c>
      <c r="C166" s="3" t="inlineStr">
        <is>
          <t>0010</t>
        </is>
      </c>
      <c r="D166" s="3" t="inlineStr">
        <is>
          <t>ABIE</t>
        </is>
      </c>
      <c r="E166" s="3" t="inlineStr">
        <is>
          <t>3-BAJA</t>
        </is>
      </c>
      <c r="F166" s="3" t="inlineStr">
        <is>
          <t>PARADO</t>
        </is>
      </c>
      <c r="G166" s="10" t="n">
        <v>32</v>
      </c>
      <c r="H166" s="10" t="n">
        <v>0</v>
      </c>
      <c r="I166" s="10" t="n">
        <v>80</v>
      </c>
      <c r="J166" s="3" t="inlineStr">
        <is>
          <t>ABIERTA</t>
        </is>
      </c>
    </row>
    <row r="167">
      <c r="A167" s="3">
        <f>$B167&amp;IF($C167="","0010",$C167)</f>
        <v/>
      </c>
      <c r="B167" s="3" t="inlineStr">
        <is>
          <t>OT-000199</t>
        </is>
      </c>
      <c r="C167" s="3" t="inlineStr">
        <is>
          <t>0010</t>
        </is>
      </c>
      <c r="D167" s="3" t="inlineStr">
        <is>
          <t>EJEC</t>
        </is>
      </c>
      <c r="E167" s="3" t="inlineStr">
        <is>
          <t>1-ALTA</t>
        </is>
      </c>
      <c r="F167" s="3" t="inlineStr">
        <is>
          <t>OPERATIVO</t>
        </is>
      </c>
      <c r="G167" s="10" t="n">
        <v>32</v>
      </c>
      <c r="H167" s="10" t="n">
        <v>0</v>
      </c>
      <c r="I167" s="10" t="n">
        <v>80</v>
      </c>
      <c r="J167" s="3" t="inlineStr">
        <is>
          <t>EN EJECUCION</t>
        </is>
      </c>
    </row>
    <row r="168">
      <c r="A168" s="3">
        <f>$B168&amp;IF($C168="","0010",$C168)</f>
        <v/>
      </c>
      <c r="B168" s="3" t="inlineStr">
        <is>
          <t>OT-000200</t>
        </is>
      </c>
      <c r="C168" s="3" t="inlineStr">
        <is>
          <t>0010</t>
        </is>
      </c>
      <c r="D168" s="3" t="inlineStr">
        <is>
          <t>ABIE</t>
        </is>
      </c>
      <c r="E168" s="3" t="inlineStr">
        <is>
          <t>2-MEDIA</t>
        </is>
      </c>
      <c r="F168" s="3" t="inlineStr">
        <is>
          <t>PARADO</t>
        </is>
      </c>
      <c r="G168" s="10" t="n">
        <v>32</v>
      </c>
      <c r="H168" s="10" t="n">
        <v>0</v>
      </c>
      <c r="I168" s="10" t="n">
        <v>80</v>
      </c>
      <c r="J168" s="3" t="inlineStr">
        <is>
          <t>ABIERTA</t>
        </is>
      </c>
    </row>
    <row r="169">
      <c r="A169" s="3">
        <f>$B169&amp;IF($C169="","0010",$C169)</f>
        <v/>
      </c>
      <c r="B169" s="3" t="inlineStr">
        <is>
          <t>OT-000990</t>
        </is>
      </c>
      <c r="C169" s="3" t="inlineStr">
        <is>
          <t>0010</t>
        </is>
      </c>
      <c r="D169" s="3" t="inlineStr">
        <is>
          <t>LIB</t>
        </is>
      </c>
      <c r="E169" s="3" t="inlineStr">
        <is>
          <t>2-MEDIA</t>
        </is>
      </c>
      <c r="F169" s="3" t="inlineStr">
        <is>
          <t>OPERATIVO</t>
        </is>
      </c>
      <c r="G169" s="10" t="n">
        <v>50</v>
      </c>
      <c r="H169" s="10" t="n">
        <v>0</v>
      </c>
      <c r="I169" s="10" t="n">
        <v>150</v>
      </c>
      <c r="J169" s="3" t="inlineStr">
        <is>
          <t>LIBERADA</t>
        </is>
      </c>
    </row>
    <row r="170">
      <c r="A170" s="3">
        <f>$B170&amp;IF($C170="","0010",$C170)</f>
        <v/>
      </c>
      <c r="B170" s="3" t="inlineStr">
        <is>
          <t>OT-000991</t>
        </is>
      </c>
      <c r="C170" s="3" t="inlineStr">
        <is>
          <t>0010</t>
        </is>
      </c>
      <c r="D170" s="3" t="inlineStr">
        <is>
          <t>LIB</t>
        </is>
      </c>
      <c r="E170" s="3" t="inlineStr">
        <is>
          <t>2-MEDIA</t>
        </is>
      </c>
      <c r="F170" s="3" t="inlineStr">
        <is>
          <t>OPERATIVO</t>
        </is>
      </c>
      <c r="G170" s="10" t="n">
        <v>50</v>
      </c>
      <c r="H170" s="10" t="n">
        <v>0</v>
      </c>
      <c r="I170" s="10" t="n">
        <v>150</v>
      </c>
      <c r="J170" s="3" t="inlineStr">
        <is>
          <t>LIBERADA</t>
        </is>
      </c>
    </row>
    <row r="171">
      <c r="A171" s="3">
        <f>$B171&amp;IF($C171="","0010",$C171)</f>
        <v/>
      </c>
      <c r="B171" s="3" t="inlineStr">
        <is>
          <t>OT-000992</t>
        </is>
      </c>
      <c r="C171" s="3" t="inlineStr">
        <is>
          <t>0010</t>
        </is>
      </c>
      <c r="D171" s="3" t="inlineStr">
        <is>
          <t>LIB</t>
        </is>
      </c>
      <c r="E171" s="3" t="inlineStr">
        <is>
          <t>2-MEDIA</t>
        </is>
      </c>
      <c r="F171" s="3" t="inlineStr">
        <is>
          <t>OPERATIVO</t>
        </is>
      </c>
      <c r="G171" s="10" t="n">
        <v>50</v>
      </c>
      <c r="H171" s="10" t="n">
        <v>0</v>
      </c>
      <c r="I171" s="10" t="n">
        <v>150</v>
      </c>
      <c r="J171" s="3" t="inlineStr">
        <is>
          <t>LIBERADA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M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3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id_operacion</t>
        </is>
      </c>
      <c r="D3" s="5" t="inlineStr">
        <is>
          <t>descripcion_general</t>
        </is>
      </c>
      <c r="E3" s="5" t="inlineStr">
        <is>
          <t>descripcion_operacion</t>
        </is>
      </c>
      <c r="F3" s="5" t="inlineStr">
        <is>
          <t>equipo</t>
        </is>
      </c>
      <c r="G3" s="5" t="inlineStr">
        <is>
          <t>centro_costo</t>
        </is>
      </c>
      <c r="H3" s="5" t="inlineStr">
        <is>
          <t>puesto_trabajo</t>
        </is>
      </c>
      <c r="I3" s="5" t="inlineStr">
        <is>
          <t>cod_actividad</t>
        </is>
      </c>
      <c r="J3" s="5" t="inlineStr">
        <is>
          <t>tipo_ot</t>
        </is>
      </c>
      <c r="K3" s="5" t="inlineStr">
        <is>
          <t>fecha_inicio</t>
        </is>
      </c>
      <c r="L3" s="5" t="inlineStr">
        <is>
          <t>horas_estimadas</t>
        </is>
      </c>
      <c r="M3" s="5" t="inlineStr">
        <is>
          <t>costo_plan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HHA</t>
        </is>
      </c>
      <c r="AE3" s="5" t="inlineStr">
        <is>
          <t>HHD</t>
        </is>
      </c>
      <c r="AF3" s="5" t="inlineStr">
        <is>
          <t>costo_servicio</t>
        </is>
      </c>
      <c r="AG3" s="5" t="inlineStr">
        <is>
          <t>costo_materiales</t>
        </is>
      </c>
      <c r="AH3" s="5" t="inlineStr">
        <is>
          <t>costo_total</t>
        </is>
      </c>
      <c r="AI3" s="5" t="inlineStr">
        <is>
          <t>permiso_requerido</t>
        </is>
      </c>
      <c r="AJ3" s="5" t="inlineStr">
        <is>
          <t>bloqueo_energia</t>
        </is>
      </c>
      <c r="AK3" s="5" t="inlineStr">
        <is>
          <t>link_checklist</t>
        </is>
      </c>
      <c r="AL3" s="5" t="inlineStr">
        <is>
          <t>abrir_checklist</t>
        </is>
      </c>
      <c r="AM3" s="5" t="inlineStr">
        <is>
          <t>observaciones</t>
        </is>
      </c>
    </row>
    <row r="4">
      <c r="A4" s="3" t="inlineStr">
        <is>
          <t>OT-000001</t>
        </is>
      </c>
      <c r="B4" s="3" t="inlineStr">
        <is>
          <t>0010</t>
        </is>
      </c>
      <c r="C4" s="3">
        <f>$A4&amp;IF($B4="","0010",$B4)</f>
        <v/>
      </c>
      <c r="D4" s="3" t="inlineStr">
        <is>
          <t>Lubricación programada — EQ-102</t>
        </is>
      </c>
      <c r="E4" s="3" t="inlineStr">
        <is>
          <t>Lubricación programada en EQ-102</t>
        </is>
      </c>
      <c r="F4" s="3" t="inlineStr">
        <is>
          <t>EQ-102</t>
        </is>
      </c>
      <c r="G4" s="3" t="inlineStr">
        <is>
          <t>CC-110</t>
        </is>
      </c>
      <c r="H4" s="3" t="inlineStr">
        <is>
          <t>PU-MEC</t>
        </is>
      </c>
      <c r="I4" s="3" t="inlineStr">
        <is>
          <t>ACT-02</t>
        </is>
      </c>
      <c r="J4" s="3" t="inlineStr">
        <is>
          <t>TIPO-P2</t>
        </is>
      </c>
      <c r="K4" s="11" t="n">
        <v>46216</v>
      </c>
      <c r="L4" s="3" t="n">
        <v>10</v>
      </c>
      <c r="M4" s="10" t="n">
        <v>250</v>
      </c>
      <c r="N4" s="3">
        <f>IFERROR(INDEX('CAT_ESTADOS_ERP'!$B$4:$B$7,MATCH(IFERROR(INDEX('2_IMPORTAR_EJECUCION'!$D$9:$D$171,MATCH($C4,'2_IMPORTAR_EJECUCION'!$A$9:$A$171,0)),""),'CAT_ESTADOS_ERP'!$A$4:$A$7,0)),"Pendiente")</f>
        <v/>
      </c>
      <c r="O4" s="3">
        <f>IF($K4="","","S"&amp;IF(_xlfn.ISOWEEKNUM($K4)=53,1,_xlfn.ISOWEEKNUM($K4)))</f>
        <v/>
      </c>
      <c r="P4" s="3">
        <f>IF($K4="","",YEAR($K4))</f>
        <v/>
      </c>
      <c r="Q4" s="3">
        <f>IF($K4="","",MONTH($K4))</f>
        <v/>
      </c>
      <c r="R4" s="3">
        <f>IF($K4="","",INDEX(lista_dias,WEEKDAY($K4,2)))</f>
        <v/>
      </c>
      <c r="S4" s="3">
        <f>IFERROR(INDEX('CAT_TIPOS_OT'!$C$4:$C$7,MATCH($J4,'CAT_TIPOS_OT'!$A$4:$A$7,0)),"sin_clasificar")</f>
        <v/>
      </c>
      <c r="T4" s="3">
        <f>IFERROR(INDEX('CAT_CENTROS_COSTO'!$E$4:$E$9,MATCH($G4,'CAT_CENTROS_COSTO'!$A$4:$A$9,0)),"(sin catálogo)")</f>
        <v/>
      </c>
      <c r="U4" s="3">
        <f>IFERROR(INDEX('CAT_CENTROS_COSTO'!$D$4:$D$9,MATCH($G4,'CAT_CENTROS_COSTO'!$A$4:$A$9,0)),"(sin catálogo)")</f>
        <v/>
      </c>
      <c r="V4" s="3">
        <f>IFERROR(INDEX('CAT_CENTROS_COSTO'!$F$4:$F$9,MATCH($G4,'CAT_CENTROS_COSTO'!$A$4:$A$9,0)),"(sin catálogo)")</f>
        <v/>
      </c>
      <c r="W4" s="3">
        <f>IFERROR(INDEX('CAT_PUESTOS'!$B$4:$B$8,MATCH($H4,'CAT_PUESTOS'!$A$4:$A$8,0)),"(sin catálogo)")</f>
        <v/>
      </c>
      <c r="X4" s="3">
        <f>IFERROR(INDEX('CAT_ACTIVIDADES'!$B$4:$B$8,MATCH($I4,'CAT_ACTIVIDADES'!$A$4:$A$8,0)),"(sin catálogo)")</f>
        <v/>
      </c>
      <c r="Y4" s="12">
        <f>IF($K4="","",TODAY()-$K4)</f>
        <v/>
      </c>
      <c r="Z4" s="3">
        <f>IF($Y4="","",IF($Y4&lt;0,"FUTURO",IF($Y4&gt;p_dias_backlog_max,"BACKLOG","MES CORRIENTE")))</f>
        <v/>
      </c>
      <c r="AA4" s="3">
        <f>IF($Y4="",FALSE,AND($Y4&gt;p_dias_backlog_min,$Y4&lt;=p_dias_backlog_max))</f>
        <v/>
      </c>
      <c r="AB4" s="6" t="inlineStr">
        <is>
          <t>Técnico 01</t>
        </is>
      </c>
      <c r="AC4" s="3">
        <f>IF($AB4="","",IFERROR(INDEX('ASIGNACIONES'!$F$4:$F$339,MATCH($O4&amp;"|"&amp;$R4&amp;"|"&amp;$AB4,'ASIGNACIONES'!$I$4:$I$339,0)),""))</f>
        <v/>
      </c>
      <c r="AD4" s="13">
        <f>IF($AB4="","",SUMIFS('ORDENES'!$L$4:$L$203,'ORDENES'!$AB$4:$AB$203,$AB4,'ORDENES'!$O$4:$O$203,$O4,'ORDENES'!$R$4:$R$203,$R4))</f>
        <v/>
      </c>
      <c r="AE4" s="13">
        <f>IF($AD4="","",p_factor_productividad*IFERROR(INDEX('ASIGNACIONES'!$H$4:$H$339,MATCH($O4&amp;"|"&amp;$R4&amp;"|"&amp;$AB4,'ASIGNACIONES'!$I$4:$I$339,0)),0)-$AD4)</f>
        <v/>
      </c>
      <c r="AF4" s="10">
        <f>IFERROR(INDEX('2_IMPORTAR_EJECUCION'!$G$9:$G$171,MATCH($C4,'2_IMPORTAR_EJECUCION'!$A$9:$A$171,0)),0)</f>
        <v/>
      </c>
      <c r="AG4" s="10">
        <f>MAX(0,IFERROR(INDEX('2_IMPORTAR_EJECUCION'!$I$9:$I$171,MATCH($C4,'2_IMPORTAR_EJECUCION'!$A$9:$A$171,0)),0)-$AF4)</f>
        <v/>
      </c>
      <c r="AH4" s="10">
        <f>$AF4+$AG4</f>
        <v/>
      </c>
      <c r="AI4" s="6" t="inlineStr"/>
      <c r="AJ4" s="6" t="inlineStr"/>
      <c r="AK4" s="6" t="inlineStr">
        <is>
          <t>ACT-02.pdf</t>
        </is>
      </c>
      <c r="AL4" s="3">
        <f>IF($AK4="","",HYPERLINK(p_ruta_base_checklists&amp;$AK4,"abrir"))</f>
        <v/>
      </c>
      <c r="AM4" s="6" t="inlineStr"/>
    </row>
    <row r="5">
      <c r="A5" s="3" t="inlineStr">
        <is>
          <t>OT-000002</t>
        </is>
      </c>
      <c r="B5" s="3" t="inlineStr">
        <is>
          <t>0010</t>
        </is>
      </c>
      <c r="C5" s="3">
        <f>$A5&amp;IF($B5="","0010",$B5)</f>
        <v/>
      </c>
      <c r="D5" s="3" t="inlineStr">
        <is>
          <t>Análisis predictivo — EQ-108</t>
        </is>
      </c>
      <c r="E5" s="3" t="inlineStr">
        <is>
          <t>Análisis predictivo en EQ-108</t>
        </is>
      </c>
      <c r="F5" s="3" t="inlineStr">
        <is>
          <t>EQ-108</t>
        </is>
      </c>
      <c r="G5" s="3" t="inlineStr">
        <is>
          <t>CC-210</t>
        </is>
      </c>
      <c r="H5" s="3" t="inlineStr">
        <is>
          <t>PU-MEC</t>
        </is>
      </c>
      <c r="I5" s="3" t="inlineStr">
        <is>
          <t>ACT-04</t>
        </is>
      </c>
      <c r="J5" s="3" t="inlineStr">
        <is>
          <t>TIPO-P1</t>
        </is>
      </c>
      <c r="K5" s="11" t="n">
        <v>46217</v>
      </c>
      <c r="L5" s="3" t="n">
        <v>8</v>
      </c>
      <c r="M5" s="10" t="n">
        <v>200</v>
      </c>
      <c r="N5" s="3">
        <f>IFERROR(INDEX('CAT_ESTADOS_ERP'!$B$4:$B$7,MATCH(IFERROR(INDEX('2_IMPORTAR_EJECUCION'!$D$9:$D$171,MATCH($C5,'2_IMPORTAR_EJECUCION'!$A$9:$A$171,0)),""),'CAT_ESTADOS_ERP'!$A$4:$A$7,0)),"Pendiente")</f>
        <v/>
      </c>
      <c r="O5" s="3">
        <f>IF($K5="","","S"&amp;IF(_xlfn.ISOWEEKNUM($K5)=53,1,_xlfn.ISOWEEKNUM($K5)))</f>
        <v/>
      </c>
      <c r="P5" s="3">
        <f>IF($K5="","",YEAR($K5))</f>
        <v/>
      </c>
      <c r="Q5" s="3">
        <f>IF($K5="","",MONTH($K5))</f>
        <v/>
      </c>
      <c r="R5" s="3">
        <f>IF($K5="","",INDEX(lista_dias,WEEKDAY($K5,2)))</f>
        <v/>
      </c>
      <c r="S5" s="3">
        <f>IFERROR(INDEX('CAT_TIPOS_OT'!$C$4:$C$7,MATCH($J5,'CAT_TIPOS_OT'!$A$4:$A$7,0)),"sin_clasificar")</f>
        <v/>
      </c>
      <c r="T5" s="3">
        <f>IFERROR(INDEX('CAT_CENTROS_COSTO'!$E$4:$E$9,MATCH($G5,'CAT_CENTROS_COSTO'!$A$4:$A$9,0)),"(sin catálogo)")</f>
        <v/>
      </c>
      <c r="U5" s="3">
        <f>IFERROR(INDEX('CAT_CENTROS_COSTO'!$D$4:$D$9,MATCH($G5,'CAT_CENTROS_COSTO'!$A$4:$A$9,0)),"(sin catálogo)")</f>
        <v/>
      </c>
      <c r="V5" s="3">
        <f>IFERROR(INDEX('CAT_CENTROS_COSTO'!$F$4:$F$9,MATCH($G5,'CAT_CENTROS_COSTO'!$A$4:$A$9,0)),"(sin catálogo)")</f>
        <v/>
      </c>
      <c r="W5" s="3">
        <f>IFERROR(INDEX('CAT_PUESTOS'!$B$4:$B$8,MATCH($H5,'CAT_PUESTOS'!$A$4:$A$8,0)),"(sin catálogo)")</f>
        <v/>
      </c>
      <c r="X5" s="3">
        <f>IFERROR(INDEX('CAT_ACTIVIDADES'!$B$4:$B$8,MATCH($I5,'CAT_ACTIVIDADES'!$A$4:$A$8,0)),"(sin catálogo)")</f>
        <v/>
      </c>
      <c r="Y5" s="12">
        <f>IF($K5="","",TODAY()-$K5)</f>
        <v/>
      </c>
      <c r="Z5" s="3">
        <f>IF($Y5="","",IF($Y5&lt;0,"FUTURO",IF($Y5&gt;p_dias_backlog_max,"BACKLOG","MES CORRIENTE")))</f>
        <v/>
      </c>
      <c r="AA5" s="3">
        <f>IF($Y5="",FALSE,AND($Y5&gt;p_dias_backlog_min,$Y5&lt;=p_dias_backlog_max))</f>
        <v/>
      </c>
      <c r="AB5" s="6" t="inlineStr">
        <is>
          <t>Técnico 02</t>
        </is>
      </c>
      <c r="AC5" s="3">
        <f>IF($AB5="","",IFERROR(INDEX('ASIGNACIONES'!$F$4:$F$339,MATCH($O5&amp;"|"&amp;$R5&amp;"|"&amp;$AB5,'ASIGNACIONES'!$I$4:$I$339,0)),""))</f>
        <v/>
      </c>
      <c r="AD5" s="13">
        <f>IF($AB5="","",SUMIFS('ORDENES'!$L$4:$L$203,'ORDENES'!$AB$4:$AB$203,$AB5,'ORDENES'!$O$4:$O$203,$O5,'ORDENES'!$R$4:$R$203,$R5))</f>
        <v/>
      </c>
      <c r="AE5" s="13">
        <f>IF($AD5="","",p_factor_productividad*IFERROR(INDEX('ASIGNACIONES'!$H$4:$H$339,MATCH($O5&amp;"|"&amp;$R5&amp;"|"&amp;$AB5,'ASIGNACIONES'!$I$4:$I$339,0)),0)-$AD5)</f>
        <v/>
      </c>
      <c r="AF5" s="10">
        <f>IFERROR(INDEX('2_IMPORTAR_EJECUCION'!$G$9:$G$171,MATCH($C5,'2_IMPORTAR_EJECUCION'!$A$9:$A$171,0)),0)</f>
        <v/>
      </c>
      <c r="AG5" s="10">
        <f>MAX(0,IFERROR(INDEX('2_IMPORTAR_EJECUCION'!$I$9:$I$171,MATCH($C5,'2_IMPORTAR_EJECUCION'!$A$9:$A$171,0)),0)-$AF5)</f>
        <v/>
      </c>
      <c r="AH5" s="10">
        <f>$AF5+$AG5</f>
        <v/>
      </c>
      <c r="AI5" s="6" t="inlineStr"/>
      <c r="AJ5" s="6" t="inlineStr"/>
      <c r="AK5" s="6" t="inlineStr">
        <is>
          <t>ACT-04.pdf</t>
        </is>
      </c>
      <c r="AL5" s="3">
        <f>IF($AK5="","",HYPERLINK(p_ruta_base_checklists&amp;$AK5,"abrir"))</f>
        <v/>
      </c>
      <c r="AM5" s="6" t="inlineStr"/>
    </row>
    <row r="6">
      <c r="A6" s="3" t="inlineStr">
        <is>
          <t>OT-000003</t>
        </is>
      </c>
      <c r="B6" s="3" t="inlineStr">
        <is>
          <t>0010</t>
        </is>
      </c>
      <c r="C6" s="3">
        <f>$A6&amp;IF($B6="","0010",$B6)</f>
        <v/>
      </c>
      <c r="D6" s="3" t="inlineStr">
        <is>
          <t>Inspección de rutina — EQ-110</t>
        </is>
      </c>
      <c r="E6" s="3" t="inlineStr">
        <is>
          <t>Inspección de rutina en EQ-110</t>
        </is>
      </c>
      <c r="F6" s="3" t="inlineStr">
        <is>
          <t>EQ-110</t>
        </is>
      </c>
      <c r="G6" s="3" t="inlineStr">
        <is>
          <t>CC-310</t>
        </is>
      </c>
      <c r="H6" s="3" t="inlineStr">
        <is>
          <t>PU-MEC</t>
        </is>
      </c>
      <c r="I6" s="3" t="inlineStr">
        <is>
          <t>ACT-01</t>
        </is>
      </c>
      <c r="J6" s="3" t="inlineStr">
        <is>
          <t>TIPO-P2</t>
        </is>
      </c>
      <c r="K6" s="11" t="n">
        <v>46218</v>
      </c>
      <c r="L6" s="3" t="n">
        <v>6</v>
      </c>
      <c r="M6" s="10" t="n">
        <v>150</v>
      </c>
      <c r="N6" s="3">
        <f>IFERROR(INDEX('CAT_ESTADOS_ERP'!$B$4:$B$7,MATCH(IFERROR(INDEX('2_IMPORTAR_EJECUCION'!$D$9:$D$171,MATCH($C6,'2_IMPORTAR_EJECUCION'!$A$9:$A$171,0)),""),'CAT_ESTADOS_ERP'!$A$4:$A$7,0)),"Pendiente")</f>
        <v/>
      </c>
      <c r="O6" s="3">
        <f>IF($K6="","","S"&amp;IF(_xlfn.ISOWEEKNUM($K6)=53,1,_xlfn.ISOWEEKNUM($K6)))</f>
        <v/>
      </c>
      <c r="P6" s="3">
        <f>IF($K6="","",YEAR($K6))</f>
        <v/>
      </c>
      <c r="Q6" s="3">
        <f>IF($K6="","",MONTH($K6))</f>
        <v/>
      </c>
      <c r="R6" s="3">
        <f>IF($K6="","",INDEX(lista_dias,WEEKDAY($K6,2)))</f>
        <v/>
      </c>
      <c r="S6" s="3">
        <f>IFERROR(INDEX('CAT_TIPOS_OT'!$C$4:$C$7,MATCH($J6,'CAT_TIPOS_OT'!$A$4:$A$7,0)),"sin_clasificar")</f>
        <v/>
      </c>
      <c r="T6" s="3">
        <f>IFERROR(INDEX('CAT_CENTROS_COSTO'!$E$4:$E$9,MATCH($G6,'CAT_CENTROS_COSTO'!$A$4:$A$9,0)),"(sin catálogo)")</f>
        <v/>
      </c>
      <c r="U6" s="3">
        <f>IFERROR(INDEX('CAT_CENTROS_COSTO'!$D$4:$D$9,MATCH($G6,'CAT_CENTROS_COSTO'!$A$4:$A$9,0)),"(sin catálogo)")</f>
        <v/>
      </c>
      <c r="V6" s="3">
        <f>IFERROR(INDEX('CAT_CENTROS_COSTO'!$F$4:$F$9,MATCH($G6,'CAT_CENTROS_COSTO'!$A$4:$A$9,0)),"(sin catálogo)")</f>
        <v/>
      </c>
      <c r="W6" s="3">
        <f>IFERROR(INDEX('CAT_PUESTOS'!$B$4:$B$8,MATCH($H6,'CAT_PUESTOS'!$A$4:$A$8,0)),"(sin catálogo)")</f>
        <v/>
      </c>
      <c r="X6" s="3">
        <f>IFERROR(INDEX('CAT_ACTIVIDADES'!$B$4:$B$8,MATCH($I6,'CAT_ACTIVIDADES'!$A$4:$A$8,0)),"(sin catálogo)")</f>
        <v/>
      </c>
      <c r="Y6" s="12">
        <f>IF($K6="","",TODAY()-$K6)</f>
        <v/>
      </c>
      <c r="Z6" s="3">
        <f>IF($Y6="","",IF($Y6&lt;0,"FUTURO",IF($Y6&gt;p_dias_backlog_max,"BACKLOG","MES CORRIENTE")))</f>
        <v/>
      </c>
      <c r="AA6" s="3">
        <f>IF($Y6="",FALSE,AND($Y6&gt;p_dias_backlog_min,$Y6&lt;=p_dias_backlog_max))</f>
        <v/>
      </c>
      <c r="AB6" s="6" t="inlineStr">
        <is>
          <t>Técnico 03</t>
        </is>
      </c>
      <c r="AC6" s="3">
        <f>IF($AB6="","",IFERROR(INDEX('ASIGNACIONES'!$F$4:$F$339,MATCH($O6&amp;"|"&amp;$R6&amp;"|"&amp;$AB6,'ASIGNACIONES'!$I$4:$I$339,0)),""))</f>
        <v/>
      </c>
      <c r="AD6" s="13">
        <f>IF($AB6="","",SUMIFS('ORDENES'!$L$4:$L$203,'ORDENES'!$AB$4:$AB$203,$AB6,'ORDENES'!$O$4:$O$203,$O6,'ORDENES'!$R$4:$R$203,$R6))</f>
        <v/>
      </c>
      <c r="AE6" s="13">
        <f>IF($AD6="","",p_factor_productividad*IFERROR(INDEX('ASIGNACIONES'!$H$4:$H$339,MATCH($O6&amp;"|"&amp;$R6&amp;"|"&amp;$AB6,'ASIGNACIONES'!$I$4:$I$339,0)),0)-$AD6)</f>
        <v/>
      </c>
      <c r="AF6" s="10">
        <f>IFERROR(INDEX('2_IMPORTAR_EJECUCION'!$G$9:$G$171,MATCH($C6,'2_IMPORTAR_EJECUCION'!$A$9:$A$171,0)),0)</f>
        <v/>
      </c>
      <c r="AG6" s="10">
        <f>MAX(0,IFERROR(INDEX('2_IMPORTAR_EJECUCION'!$I$9:$I$171,MATCH($C6,'2_IMPORTAR_EJECUCION'!$A$9:$A$171,0)),0)-$AF6)</f>
        <v/>
      </c>
      <c r="AH6" s="10">
        <f>$AF6+$AG6</f>
        <v/>
      </c>
      <c r="AI6" s="6" t="inlineStr"/>
      <c r="AJ6" s="6" t="inlineStr"/>
      <c r="AK6" s="6" t="inlineStr">
        <is>
          <t>ACT-01.pdf</t>
        </is>
      </c>
      <c r="AL6" s="3">
        <f>IF($AK6="","",HYPERLINK(p_ruta_base_checklists&amp;$AK6,"abrir"))</f>
        <v/>
      </c>
      <c r="AM6" s="6" t="inlineStr"/>
    </row>
    <row r="7">
      <c r="A7" s="3" t="inlineStr">
        <is>
          <t>OT-000004</t>
        </is>
      </c>
      <c r="B7" s="3" t="inlineStr">
        <is>
          <t>0010</t>
        </is>
      </c>
      <c r="C7" s="3">
        <f>$A7&amp;IF($B7="","0010",$B7)</f>
        <v/>
      </c>
      <c r="D7" s="3" t="inlineStr">
        <is>
          <t>Lubricación programada — EQ-105</t>
        </is>
      </c>
      <c r="E7" s="3" t="inlineStr">
        <is>
          <t>Lubricación programada en EQ-105</t>
        </is>
      </c>
      <c r="F7" s="3" t="inlineStr">
        <is>
          <t>EQ-105</t>
        </is>
      </c>
      <c r="G7" s="3" t="inlineStr">
        <is>
          <t>CC-110</t>
        </is>
      </c>
      <c r="H7" s="3" t="inlineStr">
        <is>
          <t>PU-MEC</t>
        </is>
      </c>
      <c r="I7" s="3" t="inlineStr">
        <is>
          <t>ACT-02</t>
        </is>
      </c>
      <c r="J7" s="3" t="inlineStr">
        <is>
          <t>TIPO-P1</t>
        </is>
      </c>
      <c r="K7" s="11" t="n">
        <v>46219</v>
      </c>
      <c r="L7" s="3" t="n">
        <v>10</v>
      </c>
      <c r="M7" s="10" t="n">
        <v>250</v>
      </c>
      <c r="N7" s="3">
        <f>IFERROR(INDEX('CAT_ESTADOS_ERP'!$B$4:$B$7,MATCH(IFERROR(INDEX('2_IMPORTAR_EJECUCION'!$D$9:$D$171,MATCH($C7,'2_IMPORTAR_EJECUCION'!$A$9:$A$171,0)),""),'CAT_ESTADOS_ERP'!$A$4:$A$7,0)),"Pendiente")</f>
        <v/>
      </c>
      <c r="O7" s="3">
        <f>IF($K7="","","S"&amp;IF(_xlfn.ISOWEEKNUM($K7)=53,1,_xlfn.ISOWEEKNUM($K7)))</f>
        <v/>
      </c>
      <c r="P7" s="3">
        <f>IF($K7="","",YEAR($K7))</f>
        <v/>
      </c>
      <c r="Q7" s="3">
        <f>IF($K7="","",MONTH($K7))</f>
        <v/>
      </c>
      <c r="R7" s="3">
        <f>IF($K7="","",INDEX(lista_dias,WEEKDAY($K7,2)))</f>
        <v/>
      </c>
      <c r="S7" s="3">
        <f>IFERROR(INDEX('CAT_TIPOS_OT'!$C$4:$C$7,MATCH($J7,'CAT_TIPOS_OT'!$A$4:$A$7,0)),"sin_clasificar")</f>
        <v/>
      </c>
      <c r="T7" s="3">
        <f>IFERROR(INDEX('CAT_CENTROS_COSTO'!$E$4:$E$9,MATCH($G7,'CAT_CENTROS_COSTO'!$A$4:$A$9,0)),"(sin catálogo)")</f>
        <v/>
      </c>
      <c r="U7" s="3">
        <f>IFERROR(INDEX('CAT_CENTROS_COSTO'!$D$4:$D$9,MATCH($G7,'CAT_CENTROS_COSTO'!$A$4:$A$9,0)),"(sin catálogo)")</f>
        <v/>
      </c>
      <c r="V7" s="3">
        <f>IFERROR(INDEX('CAT_CENTROS_COSTO'!$F$4:$F$9,MATCH($G7,'CAT_CENTROS_COSTO'!$A$4:$A$9,0)),"(sin catálogo)")</f>
        <v/>
      </c>
      <c r="W7" s="3">
        <f>IFERROR(INDEX('CAT_PUESTOS'!$B$4:$B$8,MATCH($H7,'CAT_PUESTOS'!$A$4:$A$8,0)),"(sin catálogo)")</f>
        <v/>
      </c>
      <c r="X7" s="3">
        <f>IFERROR(INDEX('CAT_ACTIVIDADES'!$B$4:$B$8,MATCH($I7,'CAT_ACTIVIDADES'!$A$4:$A$8,0)),"(sin catálogo)")</f>
        <v/>
      </c>
      <c r="Y7" s="12">
        <f>IF($K7="","",TODAY()-$K7)</f>
        <v/>
      </c>
      <c r="Z7" s="3">
        <f>IF($Y7="","",IF($Y7&lt;0,"FUTURO",IF($Y7&gt;p_dias_backlog_max,"BACKLOG","MES CORRIENTE")))</f>
        <v/>
      </c>
      <c r="AA7" s="3">
        <f>IF($Y7="",FALSE,AND($Y7&gt;p_dias_backlog_min,$Y7&lt;=p_dias_backlog_max))</f>
        <v/>
      </c>
      <c r="AB7" s="6" t="inlineStr">
        <is>
          <t>Técnico 04</t>
        </is>
      </c>
      <c r="AC7" s="3">
        <f>IF($AB7="","",IFERROR(INDEX('ASIGNACIONES'!$F$4:$F$339,MATCH($O7&amp;"|"&amp;$R7&amp;"|"&amp;$AB7,'ASIGNACIONES'!$I$4:$I$339,0)),""))</f>
        <v/>
      </c>
      <c r="AD7" s="13">
        <f>IF($AB7="","",SUMIFS('ORDENES'!$L$4:$L$203,'ORDENES'!$AB$4:$AB$203,$AB7,'ORDENES'!$O$4:$O$203,$O7,'ORDENES'!$R$4:$R$203,$R7))</f>
        <v/>
      </c>
      <c r="AE7" s="13">
        <f>IF($AD7="","",p_factor_productividad*IFERROR(INDEX('ASIGNACIONES'!$H$4:$H$339,MATCH($O7&amp;"|"&amp;$R7&amp;"|"&amp;$AB7,'ASIGNACIONES'!$I$4:$I$339,0)),0)-$AD7)</f>
        <v/>
      </c>
      <c r="AF7" s="10">
        <f>IFERROR(INDEX('2_IMPORTAR_EJECUCION'!$G$9:$G$171,MATCH($C7,'2_IMPORTAR_EJECUCION'!$A$9:$A$171,0)),0)</f>
        <v/>
      </c>
      <c r="AG7" s="10">
        <f>MAX(0,IFERROR(INDEX('2_IMPORTAR_EJECUCION'!$I$9:$I$171,MATCH($C7,'2_IMPORTAR_EJECUCION'!$A$9:$A$171,0)),0)-$AF7)</f>
        <v/>
      </c>
      <c r="AH7" s="10">
        <f>$AF7+$AG7</f>
        <v/>
      </c>
      <c r="AI7" s="6" t="inlineStr"/>
      <c r="AJ7" s="6" t="inlineStr"/>
      <c r="AK7" s="6" t="inlineStr">
        <is>
          <t>ACT-02.pdf</t>
        </is>
      </c>
      <c r="AL7" s="3">
        <f>IF($AK7="","",HYPERLINK(p_ruta_base_checklists&amp;$AK7,"abrir"))</f>
        <v/>
      </c>
      <c r="AM7" s="6" t="inlineStr"/>
    </row>
    <row r="8">
      <c r="A8" s="3" t="inlineStr">
        <is>
          <t>OT-000005</t>
        </is>
      </c>
      <c r="B8" s="3" t="inlineStr">
        <is>
          <t>0010</t>
        </is>
      </c>
      <c r="C8" s="3">
        <f>$A8&amp;IF($B8="","0010",$B8)</f>
        <v/>
      </c>
      <c r="D8" s="3" t="inlineStr">
        <is>
          <t>Análisis predictivo — EQ-107</t>
        </is>
      </c>
      <c r="E8" s="3" t="inlineStr">
        <is>
          <t>Análisis predictivo en EQ-107</t>
        </is>
      </c>
      <c r="F8" s="3" t="inlineStr">
        <is>
          <t>EQ-107</t>
        </is>
      </c>
      <c r="G8" s="3" t="inlineStr">
        <is>
          <t>CC-210</t>
        </is>
      </c>
      <c r="H8" s="3" t="inlineStr">
        <is>
          <t>PU-MEC</t>
        </is>
      </c>
      <c r="I8" s="3" t="inlineStr">
        <is>
          <t>ACT-04</t>
        </is>
      </c>
      <c r="J8" s="3" t="inlineStr">
        <is>
          <t>TIPO-P2</t>
        </is>
      </c>
      <c r="K8" s="11" t="n">
        <v>46220</v>
      </c>
      <c r="L8" s="3" t="n">
        <v>8</v>
      </c>
      <c r="M8" s="10" t="n">
        <v>200</v>
      </c>
      <c r="N8" s="3">
        <f>IFERROR(INDEX('CAT_ESTADOS_ERP'!$B$4:$B$7,MATCH(IFERROR(INDEX('2_IMPORTAR_EJECUCION'!$D$9:$D$171,MATCH($C8,'2_IMPORTAR_EJECUCION'!$A$9:$A$171,0)),""),'CAT_ESTADOS_ERP'!$A$4:$A$7,0)),"Pendiente")</f>
        <v/>
      </c>
      <c r="O8" s="3">
        <f>IF($K8="","","S"&amp;IF(_xlfn.ISOWEEKNUM($K8)=53,1,_xlfn.ISOWEEKNUM($K8)))</f>
        <v/>
      </c>
      <c r="P8" s="3">
        <f>IF($K8="","",YEAR($K8))</f>
        <v/>
      </c>
      <c r="Q8" s="3">
        <f>IF($K8="","",MONTH($K8))</f>
        <v/>
      </c>
      <c r="R8" s="3">
        <f>IF($K8="","",INDEX(lista_dias,WEEKDAY($K8,2)))</f>
        <v/>
      </c>
      <c r="S8" s="3">
        <f>IFERROR(INDEX('CAT_TIPOS_OT'!$C$4:$C$7,MATCH($J8,'CAT_TIPOS_OT'!$A$4:$A$7,0)),"sin_clasificar")</f>
        <v/>
      </c>
      <c r="T8" s="3">
        <f>IFERROR(INDEX('CAT_CENTROS_COSTO'!$E$4:$E$9,MATCH($G8,'CAT_CENTROS_COSTO'!$A$4:$A$9,0)),"(sin catálogo)")</f>
        <v/>
      </c>
      <c r="U8" s="3">
        <f>IFERROR(INDEX('CAT_CENTROS_COSTO'!$D$4:$D$9,MATCH($G8,'CAT_CENTROS_COSTO'!$A$4:$A$9,0)),"(sin catálogo)")</f>
        <v/>
      </c>
      <c r="V8" s="3">
        <f>IFERROR(INDEX('CAT_CENTROS_COSTO'!$F$4:$F$9,MATCH($G8,'CAT_CENTROS_COSTO'!$A$4:$A$9,0)),"(sin catálogo)")</f>
        <v/>
      </c>
      <c r="W8" s="3">
        <f>IFERROR(INDEX('CAT_PUESTOS'!$B$4:$B$8,MATCH($H8,'CAT_PUESTOS'!$A$4:$A$8,0)),"(sin catálogo)")</f>
        <v/>
      </c>
      <c r="X8" s="3">
        <f>IFERROR(INDEX('CAT_ACTIVIDADES'!$B$4:$B$8,MATCH($I8,'CAT_ACTIVIDADES'!$A$4:$A$8,0)),"(sin catálogo)")</f>
        <v/>
      </c>
      <c r="Y8" s="12">
        <f>IF($K8="","",TODAY()-$K8)</f>
        <v/>
      </c>
      <c r="Z8" s="3">
        <f>IF($Y8="","",IF($Y8&lt;0,"FUTURO",IF($Y8&gt;p_dias_backlog_max,"BACKLOG","MES CORRIENTE")))</f>
        <v/>
      </c>
      <c r="AA8" s="3">
        <f>IF($Y8="",FALSE,AND($Y8&gt;p_dias_backlog_min,$Y8&lt;=p_dias_backlog_max))</f>
        <v/>
      </c>
      <c r="AB8" s="6" t="inlineStr">
        <is>
          <t>Técnico 01</t>
        </is>
      </c>
      <c r="AC8" s="3">
        <f>IF($AB8="","",IFERROR(INDEX('ASIGNACIONES'!$F$4:$F$339,MATCH($O8&amp;"|"&amp;$R8&amp;"|"&amp;$AB8,'ASIGNACIONES'!$I$4:$I$339,0)),""))</f>
        <v/>
      </c>
      <c r="AD8" s="13">
        <f>IF($AB8="","",SUMIFS('ORDENES'!$L$4:$L$203,'ORDENES'!$AB$4:$AB$203,$AB8,'ORDENES'!$O$4:$O$203,$O8,'ORDENES'!$R$4:$R$203,$R8))</f>
        <v/>
      </c>
      <c r="AE8" s="13">
        <f>IF($AD8="","",p_factor_productividad*IFERROR(INDEX('ASIGNACIONES'!$H$4:$H$339,MATCH($O8&amp;"|"&amp;$R8&amp;"|"&amp;$AB8,'ASIGNACIONES'!$I$4:$I$339,0)),0)-$AD8)</f>
        <v/>
      </c>
      <c r="AF8" s="10">
        <f>IFERROR(INDEX('2_IMPORTAR_EJECUCION'!$G$9:$G$171,MATCH($C8,'2_IMPORTAR_EJECUCION'!$A$9:$A$171,0)),0)</f>
        <v/>
      </c>
      <c r="AG8" s="10">
        <f>MAX(0,IFERROR(INDEX('2_IMPORTAR_EJECUCION'!$I$9:$I$171,MATCH($C8,'2_IMPORTAR_EJECUCION'!$A$9:$A$171,0)),0)-$AF8)</f>
        <v/>
      </c>
      <c r="AH8" s="10">
        <f>$AF8+$AG8</f>
        <v/>
      </c>
      <c r="AI8" s="6" t="inlineStr"/>
      <c r="AJ8" s="6" t="inlineStr"/>
      <c r="AK8" s="6" t="inlineStr">
        <is>
          <t>ACT-04.pdf</t>
        </is>
      </c>
      <c r="AL8" s="3">
        <f>IF($AK8="","",HYPERLINK(p_ruta_base_checklists&amp;$AK8,"abrir"))</f>
        <v/>
      </c>
      <c r="AM8" s="6" t="inlineStr"/>
    </row>
    <row r="9">
      <c r="A9" s="3" t="inlineStr">
        <is>
          <t>OT-000006</t>
        </is>
      </c>
      <c r="B9" s="3" t="inlineStr">
        <is>
          <t>0010</t>
        </is>
      </c>
      <c r="C9" s="3">
        <f>$A9&amp;IF($B9="","0010",$B9)</f>
        <v/>
      </c>
      <c r="D9" s="3" t="inlineStr">
        <is>
          <t>Inspección de rutina — EQ-110</t>
        </is>
      </c>
      <c r="E9" s="3" t="inlineStr">
        <is>
          <t>Inspección de rutina en EQ-110</t>
        </is>
      </c>
      <c r="F9" s="3" t="inlineStr">
        <is>
          <t>EQ-110</t>
        </is>
      </c>
      <c r="G9" s="3" t="inlineStr">
        <is>
          <t>CC-310</t>
        </is>
      </c>
      <c r="H9" s="3" t="inlineStr">
        <is>
          <t>PU-MEC</t>
        </is>
      </c>
      <c r="I9" s="3" t="inlineStr">
        <is>
          <t>ACT-01</t>
        </is>
      </c>
      <c r="J9" s="3" t="inlineStr">
        <is>
          <t>TIPO-P1</t>
        </is>
      </c>
      <c r="K9" s="11" t="n">
        <v>46216</v>
      </c>
      <c r="L9" s="3" t="n">
        <v>6</v>
      </c>
      <c r="M9" s="10" t="n">
        <v>150</v>
      </c>
      <c r="N9" s="3">
        <f>IFERROR(INDEX('CAT_ESTADOS_ERP'!$B$4:$B$7,MATCH(IFERROR(INDEX('2_IMPORTAR_EJECUCION'!$D$9:$D$171,MATCH($C9,'2_IMPORTAR_EJECUCION'!$A$9:$A$171,0)),""),'CAT_ESTADOS_ERP'!$A$4:$A$7,0)),"Pendiente")</f>
        <v/>
      </c>
      <c r="O9" s="3">
        <f>IF($K9="","","S"&amp;IF(_xlfn.ISOWEEKNUM($K9)=53,1,_xlfn.ISOWEEKNUM($K9)))</f>
        <v/>
      </c>
      <c r="P9" s="3">
        <f>IF($K9="","",YEAR($K9))</f>
        <v/>
      </c>
      <c r="Q9" s="3">
        <f>IF($K9="","",MONTH($K9))</f>
        <v/>
      </c>
      <c r="R9" s="3">
        <f>IF($K9="","",INDEX(lista_dias,WEEKDAY($K9,2)))</f>
        <v/>
      </c>
      <c r="S9" s="3">
        <f>IFERROR(INDEX('CAT_TIPOS_OT'!$C$4:$C$7,MATCH($J9,'CAT_TIPOS_OT'!$A$4:$A$7,0)),"sin_clasificar")</f>
        <v/>
      </c>
      <c r="T9" s="3">
        <f>IFERROR(INDEX('CAT_CENTROS_COSTO'!$E$4:$E$9,MATCH($G9,'CAT_CENTROS_COSTO'!$A$4:$A$9,0)),"(sin catálogo)")</f>
        <v/>
      </c>
      <c r="U9" s="3">
        <f>IFERROR(INDEX('CAT_CENTROS_COSTO'!$D$4:$D$9,MATCH($G9,'CAT_CENTROS_COSTO'!$A$4:$A$9,0)),"(sin catálogo)")</f>
        <v/>
      </c>
      <c r="V9" s="3">
        <f>IFERROR(INDEX('CAT_CENTROS_COSTO'!$F$4:$F$9,MATCH($G9,'CAT_CENTROS_COSTO'!$A$4:$A$9,0)),"(sin catálogo)")</f>
        <v/>
      </c>
      <c r="W9" s="3">
        <f>IFERROR(INDEX('CAT_PUESTOS'!$B$4:$B$8,MATCH($H9,'CAT_PUESTOS'!$A$4:$A$8,0)),"(sin catálogo)")</f>
        <v/>
      </c>
      <c r="X9" s="3">
        <f>IFERROR(INDEX('CAT_ACTIVIDADES'!$B$4:$B$8,MATCH($I9,'CAT_ACTIVIDADES'!$A$4:$A$8,0)),"(sin catálogo)")</f>
        <v/>
      </c>
      <c r="Y9" s="12">
        <f>IF($K9="","",TODAY()-$K9)</f>
        <v/>
      </c>
      <c r="Z9" s="3">
        <f>IF($Y9="","",IF($Y9&lt;0,"FUTURO",IF($Y9&gt;p_dias_backlog_max,"BACKLOG","MES CORRIENTE")))</f>
        <v/>
      </c>
      <c r="AA9" s="3">
        <f>IF($Y9="",FALSE,AND($Y9&gt;p_dias_backlog_min,$Y9&lt;=p_dias_backlog_max))</f>
        <v/>
      </c>
      <c r="AB9" s="6" t="inlineStr">
        <is>
          <t>Técnico 02</t>
        </is>
      </c>
      <c r="AC9" s="3">
        <f>IF($AB9="","",IFERROR(INDEX('ASIGNACIONES'!$F$4:$F$339,MATCH($O9&amp;"|"&amp;$R9&amp;"|"&amp;$AB9,'ASIGNACIONES'!$I$4:$I$339,0)),""))</f>
        <v/>
      </c>
      <c r="AD9" s="13">
        <f>IF($AB9="","",SUMIFS('ORDENES'!$L$4:$L$203,'ORDENES'!$AB$4:$AB$203,$AB9,'ORDENES'!$O$4:$O$203,$O9,'ORDENES'!$R$4:$R$203,$R9))</f>
        <v/>
      </c>
      <c r="AE9" s="13">
        <f>IF($AD9="","",p_factor_productividad*IFERROR(INDEX('ASIGNACIONES'!$H$4:$H$339,MATCH($O9&amp;"|"&amp;$R9&amp;"|"&amp;$AB9,'ASIGNACIONES'!$I$4:$I$339,0)),0)-$AD9)</f>
        <v/>
      </c>
      <c r="AF9" s="10">
        <f>IFERROR(INDEX('2_IMPORTAR_EJECUCION'!$G$9:$G$171,MATCH($C9,'2_IMPORTAR_EJECUCION'!$A$9:$A$171,0)),0)</f>
        <v/>
      </c>
      <c r="AG9" s="10">
        <f>MAX(0,IFERROR(INDEX('2_IMPORTAR_EJECUCION'!$I$9:$I$171,MATCH($C9,'2_IMPORTAR_EJECUCION'!$A$9:$A$171,0)),0)-$AF9)</f>
        <v/>
      </c>
      <c r="AH9" s="10">
        <f>$AF9+$AG9</f>
        <v/>
      </c>
      <c r="AI9" s="6" t="inlineStr"/>
      <c r="AJ9" s="6" t="inlineStr"/>
      <c r="AK9" s="6" t="inlineStr">
        <is>
          <t>ACT-01.pdf</t>
        </is>
      </c>
      <c r="AL9" s="3">
        <f>IF($AK9="","",HYPERLINK(p_ruta_base_checklists&amp;$AK9,"abrir"))</f>
        <v/>
      </c>
      <c r="AM9" s="6" t="inlineStr"/>
    </row>
    <row r="10">
      <c r="A10" s="3" t="inlineStr">
        <is>
          <t>OT-000007</t>
        </is>
      </c>
      <c r="B10" s="3" t="inlineStr">
        <is>
          <t>0010</t>
        </is>
      </c>
      <c r="C10" s="3">
        <f>$A10&amp;IF($B10="","0010",$B10)</f>
        <v/>
      </c>
      <c r="D10" s="3" t="inlineStr">
        <is>
          <t>Lubricación programada — EQ-103</t>
        </is>
      </c>
      <c r="E10" s="3" t="inlineStr">
        <is>
          <t>Lubricación programada en EQ-103</t>
        </is>
      </c>
      <c r="F10" s="3" t="inlineStr">
        <is>
          <t>EQ-103</t>
        </is>
      </c>
      <c r="G10" s="3" t="inlineStr">
        <is>
          <t>CC-110</t>
        </is>
      </c>
      <c r="H10" s="3" t="inlineStr">
        <is>
          <t>PU-MEC</t>
        </is>
      </c>
      <c r="I10" s="3" t="inlineStr">
        <is>
          <t>ACT-02</t>
        </is>
      </c>
      <c r="J10" s="3" t="inlineStr">
        <is>
          <t>TIPO-P2</t>
        </is>
      </c>
      <c r="K10" s="11" t="n">
        <v>46217</v>
      </c>
      <c r="L10" s="3" t="n">
        <v>10</v>
      </c>
      <c r="M10" s="10" t="n">
        <v>250</v>
      </c>
      <c r="N10" s="3">
        <f>IFERROR(INDEX('CAT_ESTADOS_ERP'!$B$4:$B$7,MATCH(IFERROR(INDEX('2_IMPORTAR_EJECUCION'!$D$9:$D$171,MATCH($C10,'2_IMPORTAR_EJECUCION'!$A$9:$A$171,0)),""),'CAT_ESTADOS_ERP'!$A$4:$A$7,0)),"Pendiente")</f>
        <v/>
      </c>
      <c r="O10" s="3">
        <f>IF($K10="","","S"&amp;IF(_xlfn.ISOWEEKNUM($K10)=53,1,_xlfn.ISOWEEKNUM($K10)))</f>
        <v/>
      </c>
      <c r="P10" s="3">
        <f>IF($K10="","",YEAR($K10))</f>
        <v/>
      </c>
      <c r="Q10" s="3">
        <f>IF($K10="","",MONTH($K10))</f>
        <v/>
      </c>
      <c r="R10" s="3">
        <f>IF($K10="","",INDEX(lista_dias,WEEKDAY($K10,2)))</f>
        <v/>
      </c>
      <c r="S10" s="3">
        <f>IFERROR(INDEX('CAT_TIPOS_OT'!$C$4:$C$7,MATCH($J10,'CAT_TIPOS_OT'!$A$4:$A$7,0)),"sin_clasificar")</f>
        <v/>
      </c>
      <c r="T10" s="3">
        <f>IFERROR(INDEX('CAT_CENTROS_COSTO'!$E$4:$E$9,MATCH($G10,'CAT_CENTROS_COSTO'!$A$4:$A$9,0)),"(sin catálogo)")</f>
        <v/>
      </c>
      <c r="U10" s="3">
        <f>IFERROR(INDEX('CAT_CENTROS_COSTO'!$D$4:$D$9,MATCH($G10,'CAT_CENTROS_COSTO'!$A$4:$A$9,0)),"(sin catálogo)")</f>
        <v/>
      </c>
      <c r="V10" s="3">
        <f>IFERROR(INDEX('CAT_CENTROS_COSTO'!$F$4:$F$9,MATCH($G10,'CAT_CENTROS_COSTO'!$A$4:$A$9,0)),"(sin catálogo)")</f>
        <v/>
      </c>
      <c r="W10" s="3">
        <f>IFERROR(INDEX('CAT_PUESTOS'!$B$4:$B$8,MATCH($H10,'CAT_PUESTOS'!$A$4:$A$8,0)),"(sin catálogo)")</f>
        <v/>
      </c>
      <c r="X10" s="3">
        <f>IFERROR(INDEX('CAT_ACTIVIDADES'!$B$4:$B$8,MATCH($I10,'CAT_ACTIVIDADES'!$A$4:$A$8,0)),"(sin catálogo)")</f>
        <v/>
      </c>
      <c r="Y10" s="12">
        <f>IF($K10="","",TODAY()-$K10)</f>
        <v/>
      </c>
      <c r="Z10" s="3">
        <f>IF($Y10="","",IF($Y10&lt;0,"FUTURO",IF($Y10&gt;p_dias_backlog_max,"BACKLOG","MES CORRIENTE")))</f>
        <v/>
      </c>
      <c r="AA10" s="3">
        <f>IF($Y10="",FALSE,AND($Y10&gt;p_dias_backlog_min,$Y10&lt;=p_dias_backlog_max))</f>
        <v/>
      </c>
      <c r="AB10" s="6" t="inlineStr">
        <is>
          <t>Técnico 03</t>
        </is>
      </c>
      <c r="AC10" s="3">
        <f>IF($AB10="","",IFERROR(INDEX('ASIGNACIONES'!$F$4:$F$339,MATCH($O10&amp;"|"&amp;$R10&amp;"|"&amp;$AB10,'ASIGNACIONES'!$I$4:$I$339,0)),""))</f>
        <v/>
      </c>
      <c r="AD10" s="13">
        <f>IF($AB10="","",SUMIFS('ORDENES'!$L$4:$L$203,'ORDENES'!$AB$4:$AB$203,$AB10,'ORDENES'!$O$4:$O$203,$O10,'ORDENES'!$R$4:$R$203,$R10))</f>
        <v/>
      </c>
      <c r="AE10" s="13">
        <f>IF($AD10="","",p_factor_productividad*IFERROR(INDEX('ASIGNACIONES'!$H$4:$H$339,MATCH($O10&amp;"|"&amp;$R10&amp;"|"&amp;$AB10,'ASIGNACIONES'!$I$4:$I$339,0)),0)-$AD10)</f>
        <v/>
      </c>
      <c r="AF10" s="10">
        <f>IFERROR(INDEX('2_IMPORTAR_EJECUCION'!$G$9:$G$171,MATCH($C10,'2_IMPORTAR_EJECUCION'!$A$9:$A$171,0)),0)</f>
        <v/>
      </c>
      <c r="AG10" s="10">
        <f>MAX(0,IFERROR(INDEX('2_IMPORTAR_EJECUCION'!$I$9:$I$171,MATCH($C10,'2_IMPORTAR_EJECUCION'!$A$9:$A$171,0)),0)-$AF10)</f>
        <v/>
      </c>
      <c r="AH10" s="10">
        <f>$AF10+$AG10</f>
        <v/>
      </c>
      <c r="AI10" s="6" t="inlineStr"/>
      <c r="AJ10" s="6" t="inlineStr"/>
      <c r="AK10" s="6" t="inlineStr">
        <is>
          <t>ACT-02.pdf</t>
        </is>
      </c>
      <c r="AL10" s="3">
        <f>IF($AK10="","",HYPERLINK(p_ruta_base_checklists&amp;$AK10,"abrir"))</f>
        <v/>
      </c>
      <c r="AM10" s="6" t="inlineStr"/>
    </row>
    <row r="11">
      <c r="A11" s="3" t="inlineStr">
        <is>
          <t>OT-000008</t>
        </is>
      </c>
      <c r="B11" s="3" t="inlineStr">
        <is>
          <t>0010</t>
        </is>
      </c>
      <c r="C11" s="3">
        <f>$A11&amp;IF($B11="","0010",$B11)</f>
        <v/>
      </c>
      <c r="D11" s="3" t="inlineStr">
        <is>
          <t>Análisis predictivo — EQ-106</t>
        </is>
      </c>
      <c r="E11" s="3" t="inlineStr">
        <is>
          <t>Análisis predictivo en EQ-106</t>
        </is>
      </c>
      <c r="F11" s="3" t="inlineStr">
        <is>
          <t>EQ-106</t>
        </is>
      </c>
      <c r="G11" s="3" t="inlineStr">
        <is>
          <t>CC-210</t>
        </is>
      </c>
      <c r="H11" s="3" t="inlineStr">
        <is>
          <t>PU-MEC</t>
        </is>
      </c>
      <c r="I11" s="3" t="inlineStr">
        <is>
          <t>ACT-04</t>
        </is>
      </c>
      <c r="J11" s="3" t="inlineStr">
        <is>
          <t>TIPO-P1</t>
        </is>
      </c>
      <c r="K11" s="11" t="n">
        <v>46218</v>
      </c>
      <c r="L11" s="3" t="n">
        <v>8</v>
      </c>
      <c r="M11" s="10" t="n">
        <v>200</v>
      </c>
      <c r="N11" s="3">
        <f>IFERROR(INDEX('CAT_ESTADOS_ERP'!$B$4:$B$7,MATCH(IFERROR(INDEX('2_IMPORTAR_EJECUCION'!$D$9:$D$171,MATCH($C11,'2_IMPORTAR_EJECUCION'!$A$9:$A$171,0)),""),'CAT_ESTADOS_ERP'!$A$4:$A$7,0)),"Pendiente")</f>
        <v/>
      </c>
      <c r="O11" s="3">
        <f>IF($K11="","","S"&amp;IF(_xlfn.ISOWEEKNUM($K11)=53,1,_xlfn.ISOWEEKNUM($K11)))</f>
        <v/>
      </c>
      <c r="P11" s="3">
        <f>IF($K11="","",YEAR($K11))</f>
        <v/>
      </c>
      <c r="Q11" s="3">
        <f>IF($K11="","",MONTH($K11))</f>
        <v/>
      </c>
      <c r="R11" s="3">
        <f>IF($K11="","",INDEX(lista_dias,WEEKDAY($K11,2)))</f>
        <v/>
      </c>
      <c r="S11" s="3">
        <f>IFERROR(INDEX('CAT_TIPOS_OT'!$C$4:$C$7,MATCH($J11,'CAT_TIPOS_OT'!$A$4:$A$7,0)),"sin_clasificar")</f>
        <v/>
      </c>
      <c r="T11" s="3">
        <f>IFERROR(INDEX('CAT_CENTROS_COSTO'!$E$4:$E$9,MATCH($G11,'CAT_CENTROS_COSTO'!$A$4:$A$9,0)),"(sin catálogo)")</f>
        <v/>
      </c>
      <c r="U11" s="3">
        <f>IFERROR(INDEX('CAT_CENTROS_COSTO'!$D$4:$D$9,MATCH($G11,'CAT_CENTROS_COSTO'!$A$4:$A$9,0)),"(sin catálogo)")</f>
        <v/>
      </c>
      <c r="V11" s="3">
        <f>IFERROR(INDEX('CAT_CENTROS_COSTO'!$F$4:$F$9,MATCH($G11,'CAT_CENTROS_COSTO'!$A$4:$A$9,0)),"(sin catálogo)")</f>
        <v/>
      </c>
      <c r="W11" s="3">
        <f>IFERROR(INDEX('CAT_PUESTOS'!$B$4:$B$8,MATCH($H11,'CAT_PUESTOS'!$A$4:$A$8,0)),"(sin catálogo)")</f>
        <v/>
      </c>
      <c r="X11" s="3">
        <f>IFERROR(INDEX('CAT_ACTIVIDADES'!$B$4:$B$8,MATCH($I11,'CAT_ACTIVIDADES'!$A$4:$A$8,0)),"(sin catálogo)")</f>
        <v/>
      </c>
      <c r="Y11" s="12">
        <f>IF($K11="","",TODAY()-$K11)</f>
        <v/>
      </c>
      <c r="Z11" s="3">
        <f>IF($Y11="","",IF($Y11&lt;0,"FUTURO",IF($Y11&gt;p_dias_backlog_max,"BACKLOG","MES CORRIENTE")))</f>
        <v/>
      </c>
      <c r="AA11" s="3">
        <f>IF($Y11="",FALSE,AND($Y11&gt;p_dias_backlog_min,$Y11&lt;=p_dias_backlog_max))</f>
        <v/>
      </c>
      <c r="AB11" s="6" t="inlineStr">
        <is>
          <t>Técnico 04</t>
        </is>
      </c>
      <c r="AC11" s="3">
        <f>IF($AB11="","",IFERROR(INDEX('ASIGNACIONES'!$F$4:$F$339,MATCH($O11&amp;"|"&amp;$R11&amp;"|"&amp;$AB11,'ASIGNACIONES'!$I$4:$I$339,0)),""))</f>
        <v/>
      </c>
      <c r="AD11" s="13">
        <f>IF($AB11="","",SUMIFS('ORDENES'!$L$4:$L$203,'ORDENES'!$AB$4:$AB$203,$AB11,'ORDENES'!$O$4:$O$203,$O11,'ORDENES'!$R$4:$R$203,$R11))</f>
        <v/>
      </c>
      <c r="AE11" s="13">
        <f>IF($AD11="","",p_factor_productividad*IFERROR(INDEX('ASIGNACIONES'!$H$4:$H$339,MATCH($O11&amp;"|"&amp;$R11&amp;"|"&amp;$AB11,'ASIGNACIONES'!$I$4:$I$339,0)),0)-$AD11)</f>
        <v/>
      </c>
      <c r="AF11" s="10">
        <f>IFERROR(INDEX('2_IMPORTAR_EJECUCION'!$G$9:$G$171,MATCH($C11,'2_IMPORTAR_EJECUCION'!$A$9:$A$171,0)),0)</f>
        <v/>
      </c>
      <c r="AG11" s="10">
        <f>MAX(0,IFERROR(INDEX('2_IMPORTAR_EJECUCION'!$I$9:$I$171,MATCH($C11,'2_IMPORTAR_EJECUCION'!$A$9:$A$171,0)),0)-$AF11)</f>
        <v/>
      </c>
      <c r="AH11" s="10">
        <f>$AF11+$AG11</f>
        <v/>
      </c>
      <c r="AI11" s="6" t="inlineStr"/>
      <c r="AJ11" s="6" t="inlineStr"/>
      <c r="AK11" s="6" t="inlineStr">
        <is>
          <t>ACT-04.pdf</t>
        </is>
      </c>
      <c r="AL11" s="3">
        <f>IF($AK11="","",HYPERLINK(p_ruta_base_checklists&amp;$AK11,"abrir"))</f>
        <v/>
      </c>
      <c r="AM11" s="6" t="inlineStr"/>
    </row>
    <row r="12">
      <c r="A12" s="3" t="inlineStr">
        <is>
          <t>OT-000009</t>
        </is>
      </c>
      <c r="B12" s="3" t="inlineStr">
        <is>
          <t>0010</t>
        </is>
      </c>
      <c r="C12" s="3">
        <f>$A12&amp;IF($B12="","0010",$B12)</f>
        <v/>
      </c>
      <c r="D12" s="3" t="inlineStr">
        <is>
          <t>Inspección de rutina — EQ-110</t>
        </is>
      </c>
      <c r="E12" s="3" t="inlineStr">
        <is>
          <t>Inspección de rutina en EQ-110</t>
        </is>
      </c>
      <c r="F12" s="3" t="inlineStr">
        <is>
          <t>EQ-110</t>
        </is>
      </c>
      <c r="G12" s="3" t="inlineStr">
        <is>
          <t>CC-310</t>
        </is>
      </c>
      <c r="H12" s="3" t="inlineStr">
        <is>
          <t>PU-MEC</t>
        </is>
      </c>
      <c r="I12" s="3" t="inlineStr">
        <is>
          <t>ACT-01</t>
        </is>
      </c>
      <c r="J12" s="3" t="inlineStr">
        <is>
          <t>TIPO-P2</t>
        </is>
      </c>
      <c r="K12" s="11" t="n">
        <v>46219</v>
      </c>
      <c r="L12" s="3" t="n">
        <v>6</v>
      </c>
      <c r="M12" s="10" t="n">
        <v>150</v>
      </c>
      <c r="N12" s="3">
        <f>IFERROR(INDEX('CAT_ESTADOS_ERP'!$B$4:$B$7,MATCH(IFERROR(INDEX('2_IMPORTAR_EJECUCION'!$D$9:$D$171,MATCH($C12,'2_IMPORTAR_EJECUCION'!$A$9:$A$171,0)),""),'CAT_ESTADOS_ERP'!$A$4:$A$7,0)),"Pendiente")</f>
        <v/>
      </c>
      <c r="O12" s="3">
        <f>IF($K12="","","S"&amp;IF(_xlfn.ISOWEEKNUM($K12)=53,1,_xlfn.ISOWEEKNUM($K12)))</f>
        <v/>
      </c>
      <c r="P12" s="3">
        <f>IF($K12="","",YEAR($K12))</f>
        <v/>
      </c>
      <c r="Q12" s="3">
        <f>IF($K12="","",MONTH($K12))</f>
        <v/>
      </c>
      <c r="R12" s="3">
        <f>IF($K12="","",INDEX(lista_dias,WEEKDAY($K12,2)))</f>
        <v/>
      </c>
      <c r="S12" s="3">
        <f>IFERROR(INDEX('CAT_TIPOS_OT'!$C$4:$C$7,MATCH($J12,'CAT_TIPOS_OT'!$A$4:$A$7,0)),"sin_clasificar")</f>
        <v/>
      </c>
      <c r="T12" s="3">
        <f>IFERROR(INDEX('CAT_CENTROS_COSTO'!$E$4:$E$9,MATCH($G12,'CAT_CENTROS_COSTO'!$A$4:$A$9,0)),"(sin catálogo)")</f>
        <v/>
      </c>
      <c r="U12" s="3">
        <f>IFERROR(INDEX('CAT_CENTROS_COSTO'!$D$4:$D$9,MATCH($G12,'CAT_CENTROS_COSTO'!$A$4:$A$9,0)),"(sin catálogo)")</f>
        <v/>
      </c>
      <c r="V12" s="3">
        <f>IFERROR(INDEX('CAT_CENTROS_COSTO'!$F$4:$F$9,MATCH($G12,'CAT_CENTROS_COSTO'!$A$4:$A$9,0)),"(sin catálogo)")</f>
        <v/>
      </c>
      <c r="W12" s="3">
        <f>IFERROR(INDEX('CAT_PUESTOS'!$B$4:$B$8,MATCH($H12,'CAT_PUESTOS'!$A$4:$A$8,0)),"(sin catálogo)")</f>
        <v/>
      </c>
      <c r="X12" s="3">
        <f>IFERROR(INDEX('CAT_ACTIVIDADES'!$B$4:$B$8,MATCH($I12,'CAT_ACTIVIDADES'!$A$4:$A$8,0)),"(sin catálogo)")</f>
        <v/>
      </c>
      <c r="Y12" s="12">
        <f>IF($K12="","",TODAY()-$K12)</f>
        <v/>
      </c>
      <c r="Z12" s="3">
        <f>IF($Y12="","",IF($Y12&lt;0,"FUTURO",IF($Y12&gt;p_dias_backlog_max,"BACKLOG","MES CORRIENTE")))</f>
        <v/>
      </c>
      <c r="AA12" s="3">
        <f>IF($Y12="",FALSE,AND($Y12&gt;p_dias_backlog_min,$Y12&lt;=p_dias_backlog_max))</f>
        <v/>
      </c>
      <c r="AB12" s="6" t="inlineStr">
        <is>
          <t>Técnico 01</t>
        </is>
      </c>
      <c r="AC12" s="3">
        <f>IF($AB12="","",IFERROR(INDEX('ASIGNACIONES'!$F$4:$F$339,MATCH($O12&amp;"|"&amp;$R12&amp;"|"&amp;$AB12,'ASIGNACIONES'!$I$4:$I$339,0)),""))</f>
        <v/>
      </c>
      <c r="AD12" s="13">
        <f>IF($AB12="","",SUMIFS('ORDENES'!$L$4:$L$203,'ORDENES'!$AB$4:$AB$203,$AB12,'ORDENES'!$O$4:$O$203,$O12,'ORDENES'!$R$4:$R$203,$R12))</f>
        <v/>
      </c>
      <c r="AE12" s="13">
        <f>IF($AD12="","",p_factor_productividad*IFERROR(INDEX('ASIGNACIONES'!$H$4:$H$339,MATCH($O12&amp;"|"&amp;$R12&amp;"|"&amp;$AB12,'ASIGNACIONES'!$I$4:$I$339,0)),0)-$AD12)</f>
        <v/>
      </c>
      <c r="AF12" s="10">
        <f>IFERROR(INDEX('2_IMPORTAR_EJECUCION'!$G$9:$G$171,MATCH($C12,'2_IMPORTAR_EJECUCION'!$A$9:$A$171,0)),0)</f>
        <v/>
      </c>
      <c r="AG12" s="10">
        <f>MAX(0,IFERROR(INDEX('2_IMPORTAR_EJECUCION'!$I$9:$I$171,MATCH($C12,'2_IMPORTAR_EJECUCION'!$A$9:$A$171,0)),0)-$AF12)</f>
        <v/>
      </c>
      <c r="AH12" s="10">
        <f>$AF12+$AG12</f>
        <v/>
      </c>
      <c r="AI12" s="6" t="inlineStr"/>
      <c r="AJ12" s="6" t="inlineStr"/>
      <c r="AK12" s="6" t="inlineStr">
        <is>
          <t>ACT-01.pdf</t>
        </is>
      </c>
      <c r="AL12" s="3">
        <f>IF($AK12="","",HYPERLINK(p_ruta_base_checklists&amp;$AK12,"abrir"))</f>
        <v/>
      </c>
      <c r="AM12" s="6" t="inlineStr"/>
    </row>
    <row r="13">
      <c r="A13" s="3" t="inlineStr">
        <is>
          <t>OT-000010</t>
        </is>
      </c>
      <c r="B13" s="3" t="inlineStr">
        <is>
          <t>0010</t>
        </is>
      </c>
      <c r="C13" s="3">
        <f>$A13&amp;IF($B13="","0010",$B13)</f>
        <v/>
      </c>
      <c r="D13" s="3" t="inlineStr">
        <is>
          <t>Lubricación programada — EQ-101</t>
        </is>
      </c>
      <c r="E13" s="3" t="inlineStr">
        <is>
          <t>Lubricación programada en EQ-101</t>
        </is>
      </c>
      <c r="F13" s="3" t="inlineStr">
        <is>
          <t>EQ-101</t>
        </is>
      </c>
      <c r="G13" s="3" t="inlineStr">
        <is>
          <t>CC-110</t>
        </is>
      </c>
      <c r="H13" s="3" t="inlineStr">
        <is>
          <t>PU-MEC</t>
        </is>
      </c>
      <c r="I13" s="3" t="inlineStr">
        <is>
          <t>ACT-02</t>
        </is>
      </c>
      <c r="J13" s="3" t="inlineStr">
        <is>
          <t>TIPO-P1</t>
        </is>
      </c>
      <c r="K13" s="11" t="n">
        <v>46220</v>
      </c>
      <c r="L13" s="3" t="n">
        <v>8</v>
      </c>
      <c r="M13" s="10" t="n">
        <v>200</v>
      </c>
      <c r="N13" s="3">
        <f>IFERROR(INDEX('CAT_ESTADOS_ERP'!$B$4:$B$7,MATCH(IFERROR(INDEX('2_IMPORTAR_EJECUCION'!$D$9:$D$171,MATCH($C13,'2_IMPORTAR_EJECUCION'!$A$9:$A$171,0)),""),'CAT_ESTADOS_ERP'!$A$4:$A$7,0)),"Pendiente")</f>
        <v/>
      </c>
      <c r="O13" s="3">
        <f>IF($K13="","","S"&amp;IF(_xlfn.ISOWEEKNUM($K13)=53,1,_xlfn.ISOWEEKNUM($K13)))</f>
        <v/>
      </c>
      <c r="P13" s="3">
        <f>IF($K13="","",YEAR($K13))</f>
        <v/>
      </c>
      <c r="Q13" s="3">
        <f>IF($K13="","",MONTH($K13))</f>
        <v/>
      </c>
      <c r="R13" s="3">
        <f>IF($K13="","",INDEX(lista_dias,WEEKDAY($K13,2)))</f>
        <v/>
      </c>
      <c r="S13" s="3">
        <f>IFERROR(INDEX('CAT_TIPOS_OT'!$C$4:$C$7,MATCH($J13,'CAT_TIPOS_OT'!$A$4:$A$7,0)),"sin_clasificar")</f>
        <v/>
      </c>
      <c r="T13" s="3">
        <f>IFERROR(INDEX('CAT_CENTROS_COSTO'!$E$4:$E$9,MATCH($G13,'CAT_CENTROS_COSTO'!$A$4:$A$9,0)),"(sin catálogo)")</f>
        <v/>
      </c>
      <c r="U13" s="3">
        <f>IFERROR(INDEX('CAT_CENTROS_COSTO'!$D$4:$D$9,MATCH($G13,'CAT_CENTROS_COSTO'!$A$4:$A$9,0)),"(sin catálogo)")</f>
        <v/>
      </c>
      <c r="V13" s="3">
        <f>IFERROR(INDEX('CAT_CENTROS_COSTO'!$F$4:$F$9,MATCH($G13,'CAT_CENTROS_COSTO'!$A$4:$A$9,0)),"(sin catálogo)")</f>
        <v/>
      </c>
      <c r="W13" s="3">
        <f>IFERROR(INDEX('CAT_PUESTOS'!$B$4:$B$8,MATCH($H13,'CAT_PUESTOS'!$A$4:$A$8,0)),"(sin catálogo)")</f>
        <v/>
      </c>
      <c r="X13" s="3">
        <f>IFERROR(INDEX('CAT_ACTIVIDADES'!$B$4:$B$8,MATCH($I13,'CAT_ACTIVIDADES'!$A$4:$A$8,0)),"(sin catálogo)")</f>
        <v/>
      </c>
      <c r="Y13" s="12">
        <f>IF($K13="","",TODAY()-$K13)</f>
        <v/>
      </c>
      <c r="Z13" s="3">
        <f>IF($Y13="","",IF($Y13&lt;0,"FUTURO",IF($Y13&gt;p_dias_backlog_max,"BACKLOG","MES CORRIENTE")))</f>
        <v/>
      </c>
      <c r="AA13" s="3">
        <f>IF($Y13="",FALSE,AND($Y13&gt;p_dias_backlog_min,$Y13&lt;=p_dias_backlog_max))</f>
        <v/>
      </c>
      <c r="AB13" s="6" t="inlineStr">
        <is>
          <t>Técnico 02</t>
        </is>
      </c>
      <c r="AC13" s="3">
        <f>IF($AB13="","",IFERROR(INDEX('ASIGNACIONES'!$F$4:$F$339,MATCH($O13&amp;"|"&amp;$R13&amp;"|"&amp;$AB13,'ASIGNACIONES'!$I$4:$I$339,0)),""))</f>
        <v/>
      </c>
      <c r="AD13" s="13">
        <f>IF($AB13="","",SUMIFS('ORDENES'!$L$4:$L$203,'ORDENES'!$AB$4:$AB$203,$AB13,'ORDENES'!$O$4:$O$203,$O13,'ORDENES'!$R$4:$R$203,$R13))</f>
        <v/>
      </c>
      <c r="AE13" s="13">
        <f>IF($AD13="","",p_factor_productividad*IFERROR(INDEX('ASIGNACIONES'!$H$4:$H$339,MATCH($O13&amp;"|"&amp;$R13&amp;"|"&amp;$AB13,'ASIGNACIONES'!$I$4:$I$339,0)),0)-$AD13)</f>
        <v/>
      </c>
      <c r="AF13" s="10">
        <f>IFERROR(INDEX('2_IMPORTAR_EJECUCION'!$G$9:$G$171,MATCH($C13,'2_IMPORTAR_EJECUCION'!$A$9:$A$171,0)),0)</f>
        <v/>
      </c>
      <c r="AG13" s="10">
        <f>MAX(0,IFERROR(INDEX('2_IMPORTAR_EJECUCION'!$I$9:$I$171,MATCH($C13,'2_IMPORTAR_EJECUCION'!$A$9:$A$171,0)),0)-$AF13)</f>
        <v/>
      </c>
      <c r="AH13" s="10">
        <f>$AF13+$AG13</f>
        <v/>
      </c>
      <c r="AI13" s="6" t="inlineStr"/>
      <c r="AJ13" s="6" t="inlineStr"/>
      <c r="AK13" s="6" t="inlineStr">
        <is>
          <t>ACT-02.pdf</t>
        </is>
      </c>
      <c r="AL13" s="3">
        <f>IF($AK13="","",HYPERLINK(p_ruta_base_checklists&amp;$AK13,"abrir"))</f>
        <v/>
      </c>
      <c r="AM13" s="6" t="inlineStr"/>
    </row>
    <row r="14">
      <c r="A14" s="3" t="inlineStr">
        <is>
          <t>OT-000011</t>
        </is>
      </c>
      <c r="B14" s="3" t="inlineStr">
        <is>
          <t>0010</t>
        </is>
      </c>
      <c r="C14" s="3">
        <f>$A14&amp;IF($B14="","0010",$B14)</f>
        <v/>
      </c>
      <c r="D14" s="3" t="inlineStr">
        <is>
          <t>Reparación de falla — EQ-109</t>
        </is>
      </c>
      <c r="E14" s="3" t="inlineStr">
        <is>
          <t>Reparación de falla en EQ-109</t>
        </is>
      </c>
      <c r="F14" s="3" t="inlineStr">
        <is>
          <t>EQ-109</t>
        </is>
      </c>
      <c r="G14" s="3" t="inlineStr">
        <is>
          <t>CC-210</t>
        </is>
      </c>
      <c r="H14" s="3" t="inlineStr">
        <is>
          <t>PU-MEC</t>
        </is>
      </c>
      <c r="I14" s="3" t="inlineStr">
        <is>
          <t>ACT-03</t>
        </is>
      </c>
      <c r="J14" s="3" t="inlineStr">
        <is>
          <t>TIPO-C2</t>
        </is>
      </c>
      <c r="K14" s="11" t="n">
        <v>46216</v>
      </c>
      <c r="L14" s="3" t="n">
        <v>10</v>
      </c>
      <c r="M14" s="10" t="n">
        <v>400</v>
      </c>
      <c r="N14" s="3">
        <f>IFERROR(INDEX('CAT_ESTADOS_ERP'!$B$4:$B$7,MATCH(IFERROR(INDEX('2_IMPORTAR_EJECUCION'!$D$9:$D$171,MATCH($C14,'2_IMPORTAR_EJECUCION'!$A$9:$A$171,0)),""),'CAT_ESTADOS_ERP'!$A$4:$A$7,0)),"Pendiente")</f>
        <v/>
      </c>
      <c r="O14" s="3">
        <f>IF($K14="","","S"&amp;IF(_xlfn.ISOWEEKNUM($K14)=53,1,_xlfn.ISOWEEKNUM($K14)))</f>
        <v/>
      </c>
      <c r="P14" s="3">
        <f>IF($K14="","",YEAR($K14))</f>
        <v/>
      </c>
      <c r="Q14" s="3">
        <f>IF($K14="","",MONTH($K14))</f>
        <v/>
      </c>
      <c r="R14" s="3">
        <f>IF($K14="","",INDEX(lista_dias,WEEKDAY($K14,2)))</f>
        <v/>
      </c>
      <c r="S14" s="3">
        <f>IFERROR(INDEX('CAT_TIPOS_OT'!$C$4:$C$7,MATCH($J14,'CAT_TIPOS_OT'!$A$4:$A$7,0)),"sin_clasificar")</f>
        <v/>
      </c>
      <c r="T14" s="3">
        <f>IFERROR(INDEX('CAT_CENTROS_COSTO'!$E$4:$E$9,MATCH($G14,'CAT_CENTROS_COSTO'!$A$4:$A$9,0)),"(sin catálogo)")</f>
        <v/>
      </c>
      <c r="U14" s="3">
        <f>IFERROR(INDEX('CAT_CENTROS_COSTO'!$D$4:$D$9,MATCH($G14,'CAT_CENTROS_COSTO'!$A$4:$A$9,0)),"(sin catálogo)")</f>
        <v/>
      </c>
      <c r="V14" s="3">
        <f>IFERROR(INDEX('CAT_CENTROS_COSTO'!$F$4:$F$9,MATCH($G14,'CAT_CENTROS_COSTO'!$A$4:$A$9,0)),"(sin catálogo)")</f>
        <v/>
      </c>
      <c r="W14" s="3">
        <f>IFERROR(INDEX('CAT_PUESTOS'!$B$4:$B$8,MATCH($H14,'CAT_PUESTOS'!$A$4:$A$8,0)),"(sin catálogo)")</f>
        <v/>
      </c>
      <c r="X14" s="3">
        <f>IFERROR(INDEX('CAT_ACTIVIDADES'!$B$4:$B$8,MATCH($I14,'CAT_ACTIVIDADES'!$A$4:$A$8,0)),"(sin catálogo)")</f>
        <v/>
      </c>
      <c r="Y14" s="12">
        <f>IF($K14="","",TODAY()-$K14)</f>
        <v/>
      </c>
      <c r="Z14" s="3">
        <f>IF($Y14="","",IF($Y14&lt;0,"FUTURO",IF($Y14&gt;p_dias_backlog_max,"BACKLOG","MES CORRIENTE")))</f>
        <v/>
      </c>
      <c r="AA14" s="3">
        <f>IF($Y14="",FALSE,AND($Y14&gt;p_dias_backlog_min,$Y14&lt;=p_dias_backlog_max))</f>
        <v/>
      </c>
      <c r="AB14" s="6" t="inlineStr">
        <is>
          <t>Técnico 03</t>
        </is>
      </c>
      <c r="AC14" s="3">
        <f>IF($AB14="","",IFERROR(INDEX('ASIGNACIONES'!$F$4:$F$339,MATCH($O14&amp;"|"&amp;$R14&amp;"|"&amp;$AB14,'ASIGNACIONES'!$I$4:$I$339,0)),""))</f>
        <v/>
      </c>
      <c r="AD14" s="13">
        <f>IF($AB14="","",SUMIFS('ORDENES'!$L$4:$L$203,'ORDENES'!$AB$4:$AB$203,$AB14,'ORDENES'!$O$4:$O$203,$O14,'ORDENES'!$R$4:$R$203,$R14))</f>
        <v/>
      </c>
      <c r="AE14" s="13">
        <f>IF($AD14="","",p_factor_productividad*IFERROR(INDEX('ASIGNACIONES'!$H$4:$H$339,MATCH($O14&amp;"|"&amp;$R14&amp;"|"&amp;$AB14,'ASIGNACIONES'!$I$4:$I$339,0)),0)-$AD14)</f>
        <v/>
      </c>
      <c r="AF14" s="10">
        <f>IFERROR(INDEX('2_IMPORTAR_EJECUCION'!$G$9:$G$171,MATCH($C14,'2_IMPORTAR_EJECUCION'!$A$9:$A$171,0)),0)</f>
        <v/>
      </c>
      <c r="AG14" s="10">
        <f>MAX(0,IFERROR(INDEX('2_IMPORTAR_EJECUCION'!$I$9:$I$171,MATCH($C14,'2_IMPORTAR_EJECUCION'!$A$9:$A$171,0)),0)-$AF14)</f>
        <v/>
      </c>
      <c r="AH14" s="10">
        <f>$AF14+$AG14</f>
        <v/>
      </c>
      <c r="AI14" s="6" t="inlineStr"/>
      <c r="AJ14" s="6" t="inlineStr"/>
      <c r="AK14" s="6" t="inlineStr"/>
      <c r="AL14" s="3">
        <f>IF($AK14="","",HYPERLINK(p_ruta_base_checklists&amp;$AK14,"abrir"))</f>
        <v/>
      </c>
      <c r="AM14" s="6" t="inlineStr"/>
    </row>
    <row r="15">
      <c r="A15" s="3" t="inlineStr">
        <is>
          <t>OT-000012</t>
        </is>
      </c>
      <c r="B15" s="3" t="inlineStr">
        <is>
          <t>0010</t>
        </is>
      </c>
      <c r="C15" s="3">
        <f>$A15&amp;IF($B15="","0010",$B15)</f>
        <v/>
      </c>
      <c r="D15" s="3" t="inlineStr">
        <is>
          <t>Reparación de falla — EQ-110</t>
        </is>
      </c>
      <c r="E15" s="3" t="inlineStr">
        <is>
          <t>Reparación de falla en EQ-110</t>
        </is>
      </c>
      <c r="F15" s="3" t="inlineStr">
        <is>
          <t>EQ-110</t>
        </is>
      </c>
      <c r="G15" s="3" t="inlineStr">
        <is>
          <t>CC-310</t>
        </is>
      </c>
      <c r="H15" s="3" t="inlineStr">
        <is>
          <t>PU-MEC</t>
        </is>
      </c>
      <c r="I15" s="3" t="inlineStr">
        <is>
          <t>ACT-03</t>
        </is>
      </c>
      <c r="J15" s="3" t="inlineStr">
        <is>
          <t>TIPO-C1</t>
        </is>
      </c>
      <c r="K15" s="11" t="n">
        <v>46217</v>
      </c>
      <c r="L15" s="3" t="n">
        <v>10</v>
      </c>
      <c r="M15" s="10" t="n">
        <v>400</v>
      </c>
      <c r="N15" s="3">
        <f>IFERROR(INDEX('CAT_ESTADOS_ERP'!$B$4:$B$7,MATCH(IFERROR(INDEX('2_IMPORTAR_EJECUCION'!$D$9:$D$171,MATCH($C15,'2_IMPORTAR_EJECUCION'!$A$9:$A$171,0)),""),'CAT_ESTADOS_ERP'!$A$4:$A$7,0)),"Pendiente")</f>
        <v/>
      </c>
      <c r="O15" s="3">
        <f>IF($K15="","","S"&amp;IF(_xlfn.ISOWEEKNUM($K15)=53,1,_xlfn.ISOWEEKNUM($K15)))</f>
        <v/>
      </c>
      <c r="P15" s="3">
        <f>IF($K15="","",YEAR($K15))</f>
        <v/>
      </c>
      <c r="Q15" s="3">
        <f>IF($K15="","",MONTH($K15))</f>
        <v/>
      </c>
      <c r="R15" s="3">
        <f>IF($K15="","",INDEX(lista_dias,WEEKDAY($K15,2)))</f>
        <v/>
      </c>
      <c r="S15" s="3">
        <f>IFERROR(INDEX('CAT_TIPOS_OT'!$C$4:$C$7,MATCH($J15,'CAT_TIPOS_OT'!$A$4:$A$7,0)),"sin_clasificar")</f>
        <v/>
      </c>
      <c r="T15" s="3">
        <f>IFERROR(INDEX('CAT_CENTROS_COSTO'!$E$4:$E$9,MATCH($G15,'CAT_CENTROS_COSTO'!$A$4:$A$9,0)),"(sin catálogo)")</f>
        <v/>
      </c>
      <c r="U15" s="3">
        <f>IFERROR(INDEX('CAT_CENTROS_COSTO'!$D$4:$D$9,MATCH($G15,'CAT_CENTROS_COSTO'!$A$4:$A$9,0)),"(sin catálogo)")</f>
        <v/>
      </c>
      <c r="V15" s="3">
        <f>IFERROR(INDEX('CAT_CENTROS_COSTO'!$F$4:$F$9,MATCH($G15,'CAT_CENTROS_COSTO'!$A$4:$A$9,0)),"(sin catálogo)")</f>
        <v/>
      </c>
      <c r="W15" s="3">
        <f>IFERROR(INDEX('CAT_PUESTOS'!$B$4:$B$8,MATCH($H15,'CAT_PUESTOS'!$A$4:$A$8,0)),"(sin catálogo)")</f>
        <v/>
      </c>
      <c r="X15" s="3">
        <f>IFERROR(INDEX('CAT_ACTIVIDADES'!$B$4:$B$8,MATCH($I15,'CAT_ACTIVIDADES'!$A$4:$A$8,0)),"(sin catálogo)")</f>
        <v/>
      </c>
      <c r="Y15" s="12">
        <f>IF($K15="","",TODAY()-$K15)</f>
        <v/>
      </c>
      <c r="Z15" s="3">
        <f>IF($Y15="","",IF($Y15&lt;0,"FUTURO",IF($Y15&gt;p_dias_backlog_max,"BACKLOG","MES CORRIENTE")))</f>
        <v/>
      </c>
      <c r="AA15" s="3">
        <f>IF($Y15="",FALSE,AND($Y15&gt;p_dias_backlog_min,$Y15&lt;=p_dias_backlog_max))</f>
        <v/>
      </c>
      <c r="AB15" s="6" t="inlineStr"/>
      <c r="AC15" s="3">
        <f>IF($AB15="","",IFERROR(INDEX('ASIGNACIONES'!$F$4:$F$339,MATCH($O15&amp;"|"&amp;$R15&amp;"|"&amp;$AB15,'ASIGNACIONES'!$I$4:$I$339,0)),""))</f>
        <v/>
      </c>
      <c r="AD15" s="13">
        <f>IF($AB15="","",SUMIFS('ORDENES'!$L$4:$L$203,'ORDENES'!$AB$4:$AB$203,$AB15,'ORDENES'!$O$4:$O$203,$O15,'ORDENES'!$R$4:$R$203,$R15))</f>
        <v/>
      </c>
      <c r="AE15" s="13">
        <f>IF($AD15="","",p_factor_productividad*IFERROR(INDEX('ASIGNACIONES'!$H$4:$H$339,MATCH($O15&amp;"|"&amp;$R15&amp;"|"&amp;$AB15,'ASIGNACIONES'!$I$4:$I$339,0)),0)-$AD15)</f>
        <v/>
      </c>
      <c r="AF15" s="10">
        <f>IFERROR(INDEX('2_IMPORTAR_EJECUCION'!$G$9:$G$171,MATCH($C15,'2_IMPORTAR_EJECUCION'!$A$9:$A$171,0)),0)</f>
        <v/>
      </c>
      <c r="AG15" s="10">
        <f>MAX(0,IFERROR(INDEX('2_IMPORTAR_EJECUCION'!$I$9:$I$171,MATCH($C15,'2_IMPORTAR_EJECUCION'!$A$9:$A$171,0)),0)-$AF15)</f>
        <v/>
      </c>
      <c r="AH15" s="10">
        <f>$AF15+$AG15</f>
        <v/>
      </c>
      <c r="AI15" s="6" t="inlineStr">
        <is>
          <t>PT-CALIENTE</t>
        </is>
      </c>
      <c r="AJ15" s="6" t="inlineStr">
        <is>
          <t>LOTO</t>
        </is>
      </c>
      <c r="AK15" s="6" t="inlineStr"/>
      <c r="AL15" s="3">
        <f>IF($AK15="","",HYPERLINK(p_ruta_base_checklists&amp;$AK15,"abrir"))</f>
        <v/>
      </c>
      <c r="AM15" s="6" t="inlineStr"/>
    </row>
    <row r="16">
      <c r="A16" s="3" t="inlineStr">
        <is>
          <t>OT-000013</t>
        </is>
      </c>
      <c r="B16" s="3" t="inlineStr">
        <is>
          <t>0010</t>
        </is>
      </c>
      <c r="C16" s="3">
        <f>$A16&amp;IF($B16="","0010",$B16)</f>
        <v/>
      </c>
      <c r="D16" s="3" t="inlineStr">
        <is>
          <t>Lubricación programada — EQ-104</t>
        </is>
      </c>
      <c r="E16" s="3" t="inlineStr">
        <is>
          <t>Lubricación programada en EQ-104</t>
        </is>
      </c>
      <c r="F16" s="3" t="inlineStr">
        <is>
          <t>EQ-104</t>
        </is>
      </c>
      <c r="G16" s="3" t="inlineStr">
        <is>
          <t>CC-110</t>
        </is>
      </c>
      <c r="H16" s="3" t="inlineStr">
        <is>
          <t>PU-MEC</t>
        </is>
      </c>
      <c r="I16" s="3" t="inlineStr">
        <is>
          <t>ACT-02</t>
        </is>
      </c>
      <c r="J16" s="3" t="inlineStr">
        <is>
          <t>TIPO-P2</t>
        </is>
      </c>
      <c r="K16" s="11" t="n">
        <v>46225</v>
      </c>
      <c r="L16" s="3" t="n">
        <v>10</v>
      </c>
      <c r="M16" s="10" t="n">
        <v>250</v>
      </c>
      <c r="N16" s="3">
        <f>IFERROR(INDEX('CAT_ESTADOS_ERP'!$B$4:$B$7,MATCH(IFERROR(INDEX('2_IMPORTAR_EJECUCION'!$D$9:$D$171,MATCH($C16,'2_IMPORTAR_EJECUCION'!$A$9:$A$171,0)),""),'CAT_ESTADOS_ERP'!$A$4:$A$7,0)),"Pendiente")</f>
        <v/>
      </c>
      <c r="O16" s="3">
        <f>IF($K16="","","S"&amp;IF(_xlfn.ISOWEEKNUM($K16)=53,1,_xlfn.ISOWEEKNUM($K16)))</f>
        <v/>
      </c>
      <c r="P16" s="3">
        <f>IF($K16="","",YEAR($K16))</f>
        <v/>
      </c>
      <c r="Q16" s="3">
        <f>IF($K16="","",MONTH($K16))</f>
        <v/>
      </c>
      <c r="R16" s="3">
        <f>IF($K16="","",INDEX(lista_dias,WEEKDAY($K16,2)))</f>
        <v/>
      </c>
      <c r="S16" s="3">
        <f>IFERROR(INDEX('CAT_TIPOS_OT'!$C$4:$C$7,MATCH($J16,'CAT_TIPOS_OT'!$A$4:$A$7,0)),"sin_clasificar")</f>
        <v/>
      </c>
      <c r="T16" s="3">
        <f>IFERROR(INDEX('CAT_CENTROS_COSTO'!$E$4:$E$9,MATCH($G16,'CAT_CENTROS_COSTO'!$A$4:$A$9,0)),"(sin catálogo)")</f>
        <v/>
      </c>
      <c r="U16" s="3">
        <f>IFERROR(INDEX('CAT_CENTROS_COSTO'!$D$4:$D$9,MATCH($G16,'CAT_CENTROS_COSTO'!$A$4:$A$9,0)),"(sin catálogo)")</f>
        <v/>
      </c>
      <c r="V16" s="3">
        <f>IFERROR(INDEX('CAT_CENTROS_COSTO'!$F$4:$F$9,MATCH($G16,'CAT_CENTROS_COSTO'!$A$4:$A$9,0)),"(sin catálogo)")</f>
        <v/>
      </c>
      <c r="W16" s="3">
        <f>IFERROR(INDEX('CAT_PUESTOS'!$B$4:$B$8,MATCH($H16,'CAT_PUESTOS'!$A$4:$A$8,0)),"(sin catálogo)")</f>
        <v/>
      </c>
      <c r="X16" s="3">
        <f>IFERROR(INDEX('CAT_ACTIVIDADES'!$B$4:$B$8,MATCH($I16,'CAT_ACTIVIDADES'!$A$4:$A$8,0)),"(sin catálogo)")</f>
        <v/>
      </c>
      <c r="Y16" s="12">
        <f>IF($K16="","",TODAY()-$K16)</f>
        <v/>
      </c>
      <c r="Z16" s="3">
        <f>IF($Y16="","",IF($Y16&lt;0,"FUTURO",IF($Y16&gt;p_dias_backlog_max,"BACKLOG","MES CORRIENTE")))</f>
        <v/>
      </c>
      <c r="AA16" s="3">
        <f>IF($Y16="",FALSE,AND($Y16&gt;p_dias_backlog_min,$Y16&lt;=p_dias_backlog_max))</f>
        <v/>
      </c>
      <c r="AB16" s="6" t="inlineStr">
        <is>
          <t>Técnico 01</t>
        </is>
      </c>
      <c r="AC16" s="3">
        <f>IF($AB16="","",IFERROR(INDEX('ASIGNACIONES'!$F$4:$F$339,MATCH($O16&amp;"|"&amp;$R16&amp;"|"&amp;$AB16,'ASIGNACIONES'!$I$4:$I$339,0)),""))</f>
        <v/>
      </c>
      <c r="AD16" s="13">
        <f>IF($AB16="","",SUMIFS('ORDENES'!$L$4:$L$203,'ORDENES'!$AB$4:$AB$203,$AB16,'ORDENES'!$O$4:$O$203,$O16,'ORDENES'!$R$4:$R$203,$R16))</f>
        <v/>
      </c>
      <c r="AE16" s="13">
        <f>IF($AD16="","",p_factor_productividad*IFERROR(INDEX('ASIGNACIONES'!$H$4:$H$339,MATCH($O16&amp;"|"&amp;$R16&amp;"|"&amp;$AB16,'ASIGNACIONES'!$I$4:$I$339,0)),0)-$AD16)</f>
        <v/>
      </c>
      <c r="AF16" s="10">
        <f>IFERROR(INDEX('2_IMPORTAR_EJECUCION'!$G$9:$G$171,MATCH($C16,'2_IMPORTAR_EJECUCION'!$A$9:$A$171,0)),0)</f>
        <v/>
      </c>
      <c r="AG16" s="10">
        <f>MAX(0,IFERROR(INDEX('2_IMPORTAR_EJECUCION'!$I$9:$I$171,MATCH($C16,'2_IMPORTAR_EJECUCION'!$A$9:$A$171,0)),0)-$AF16)</f>
        <v/>
      </c>
      <c r="AH16" s="10">
        <f>$AF16+$AG16</f>
        <v/>
      </c>
      <c r="AI16" s="6" t="inlineStr"/>
      <c r="AJ16" s="6" t="inlineStr"/>
      <c r="AK16" s="6" t="inlineStr">
        <is>
          <t>ACT-02.pdf</t>
        </is>
      </c>
      <c r="AL16" s="3">
        <f>IF($AK16="","",HYPERLINK(p_ruta_base_checklists&amp;$AK16,"abrir"))</f>
        <v/>
      </c>
      <c r="AM16" s="6" t="inlineStr"/>
    </row>
    <row r="17">
      <c r="A17" s="3" t="inlineStr">
        <is>
          <t>OT-000014</t>
        </is>
      </c>
      <c r="B17" s="3" t="inlineStr">
        <is>
          <t>0010</t>
        </is>
      </c>
      <c r="C17" s="3">
        <f>$A17&amp;IF($B17="","0010",$B17)</f>
        <v/>
      </c>
      <c r="D17" s="3" t="inlineStr">
        <is>
          <t>Análisis predictivo — EQ-108</t>
        </is>
      </c>
      <c r="E17" s="3" t="inlineStr">
        <is>
          <t>Análisis predictivo en EQ-108</t>
        </is>
      </c>
      <c r="F17" s="3" t="inlineStr">
        <is>
          <t>EQ-108</t>
        </is>
      </c>
      <c r="G17" s="3" t="inlineStr">
        <is>
          <t>CC-210</t>
        </is>
      </c>
      <c r="H17" s="3" t="inlineStr">
        <is>
          <t>PU-MEC</t>
        </is>
      </c>
      <c r="I17" s="3" t="inlineStr">
        <is>
          <t>ACT-04</t>
        </is>
      </c>
      <c r="J17" s="3" t="inlineStr">
        <is>
          <t>TIPO-P1</t>
        </is>
      </c>
      <c r="K17" s="11" t="n">
        <v>46226</v>
      </c>
      <c r="L17" s="3" t="n">
        <v>8</v>
      </c>
      <c r="M17" s="10" t="n">
        <v>200</v>
      </c>
      <c r="N17" s="3">
        <f>IFERROR(INDEX('CAT_ESTADOS_ERP'!$B$4:$B$7,MATCH(IFERROR(INDEX('2_IMPORTAR_EJECUCION'!$D$9:$D$171,MATCH($C17,'2_IMPORTAR_EJECUCION'!$A$9:$A$171,0)),""),'CAT_ESTADOS_ERP'!$A$4:$A$7,0)),"Pendiente")</f>
        <v/>
      </c>
      <c r="O17" s="3">
        <f>IF($K17="","","S"&amp;IF(_xlfn.ISOWEEKNUM($K17)=53,1,_xlfn.ISOWEEKNUM($K17)))</f>
        <v/>
      </c>
      <c r="P17" s="3">
        <f>IF($K17="","",YEAR($K17))</f>
        <v/>
      </c>
      <c r="Q17" s="3">
        <f>IF($K17="","",MONTH($K17))</f>
        <v/>
      </c>
      <c r="R17" s="3">
        <f>IF($K17="","",INDEX(lista_dias,WEEKDAY($K17,2)))</f>
        <v/>
      </c>
      <c r="S17" s="3">
        <f>IFERROR(INDEX('CAT_TIPOS_OT'!$C$4:$C$7,MATCH($J17,'CAT_TIPOS_OT'!$A$4:$A$7,0)),"sin_clasificar")</f>
        <v/>
      </c>
      <c r="T17" s="3">
        <f>IFERROR(INDEX('CAT_CENTROS_COSTO'!$E$4:$E$9,MATCH($G17,'CAT_CENTROS_COSTO'!$A$4:$A$9,0)),"(sin catálogo)")</f>
        <v/>
      </c>
      <c r="U17" s="3">
        <f>IFERROR(INDEX('CAT_CENTROS_COSTO'!$D$4:$D$9,MATCH($G17,'CAT_CENTROS_COSTO'!$A$4:$A$9,0)),"(sin catálogo)")</f>
        <v/>
      </c>
      <c r="V17" s="3">
        <f>IFERROR(INDEX('CAT_CENTROS_COSTO'!$F$4:$F$9,MATCH($G17,'CAT_CENTROS_COSTO'!$A$4:$A$9,0)),"(sin catálogo)")</f>
        <v/>
      </c>
      <c r="W17" s="3">
        <f>IFERROR(INDEX('CAT_PUESTOS'!$B$4:$B$8,MATCH($H17,'CAT_PUESTOS'!$A$4:$A$8,0)),"(sin catálogo)")</f>
        <v/>
      </c>
      <c r="X17" s="3">
        <f>IFERROR(INDEX('CAT_ACTIVIDADES'!$B$4:$B$8,MATCH($I17,'CAT_ACTIVIDADES'!$A$4:$A$8,0)),"(sin catálogo)")</f>
        <v/>
      </c>
      <c r="Y17" s="12">
        <f>IF($K17="","",TODAY()-$K17)</f>
        <v/>
      </c>
      <c r="Z17" s="3">
        <f>IF($Y17="","",IF($Y17&lt;0,"FUTURO",IF($Y17&gt;p_dias_backlog_max,"BACKLOG","MES CORRIENTE")))</f>
        <v/>
      </c>
      <c r="AA17" s="3">
        <f>IF($Y17="",FALSE,AND($Y17&gt;p_dias_backlog_min,$Y17&lt;=p_dias_backlog_max))</f>
        <v/>
      </c>
      <c r="AB17" s="6" t="inlineStr">
        <is>
          <t>Técnico 02</t>
        </is>
      </c>
      <c r="AC17" s="3">
        <f>IF($AB17="","",IFERROR(INDEX('ASIGNACIONES'!$F$4:$F$339,MATCH($O17&amp;"|"&amp;$R17&amp;"|"&amp;$AB17,'ASIGNACIONES'!$I$4:$I$339,0)),""))</f>
        <v/>
      </c>
      <c r="AD17" s="13">
        <f>IF($AB17="","",SUMIFS('ORDENES'!$L$4:$L$203,'ORDENES'!$AB$4:$AB$203,$AB17,'ORDENES'!$O$4:$O$203,$O17,'ORDENES'!$R$4:$R$203,$R17))</f>
        <v/>
      </c>
      <c r="AE17" s="13">
        <f>IF($AD17="","",p_factor_productividad*IFERROR(INDEX('ASIGNACIONES'!$H$4:$H$339,MATCH($O17&amp;"|"&amp;$R17&amp;"|"&amp;$AB17,'ASIGNACIONES'!$I$4:$I$339,0)),0)-$AD17)</f>
        <v/>
      </c>
      <c r="AF17" s="10">
        <f>IFERROR(INDEX('2_IMPORTAR_EJECUCION'!$G$9:$G$171,MATCH($C17,'2_IMPORTAR_EJECUCION'!$A$9:$A$171,0)),0)</f>
        <v/>
      </c>
      <c r="AG17" s="10">
        <f>MAX(0,IFERROR(INDEX('2_IMPORTAR_EJECUCION'!$I$9:$I$171,MATCH($C17,'2_IMPORTAR_EJECUCION'!$A$9:$A$171,0)),0)-$AF17)</f>
        <v/>
      </c>
      <c r="AH17" s="10">
        <f>$AF17+$AG17</f>
        <v/>
      </c>
      <c r="AI17" s="6" t="inlineStr"/>
      <c r="AJ17" s="6" t="inlineStr"/>
      <c r="AK17" s="6" t="inlineStr">
        <is>
          <t>ACT-04.pdf</t>
        </is>
      </c>
      <c r="AL17" s="3">
        <f>IF($AK17="","",HYPERLINK(p_ruta_base_checklists&amp;$AK17,"abrir"))</f>
        <v/>
      </c>
      <c r="AM17" s="6" t="inlineStr"/>
    </row>
    <row r="18">
      <c r="A18" s="3" t="inlineStr">
        <is>
          <t>OT-000015</t>
        </is>
      </c>
      <c r="B18" s="3" t="inlineStr">
        <is>
          <t>0010</t>
        </is>
      </c>
      <c r="C18" s="3">
        <f>$A18&amp;IF($B18="","0010",$B18)</f>
        <v/>
      </c>
      <c r="D18" s="3" t="inlineStr">
        <is>
          <t>Inspección de rutina — EQ-110</t>
        </is>
      </c>
      <c r="E18" s="3" t="inlineStr">
        <is>
          <t>Inspección de rutina en EQ-110</t>
        </is>
      </c>
      <c r="F18" s="3" t="inlineStr">
        <is>
          <t>EQ-110</t>
        </is>
      </c>
      <c r="G18" s="3" t="inlineStr">
        <is>
          <t>CC-310</t>
        </is>
      </c>
      <c r="H18" s="3" t="inlineStr">
        <is>
          <t>PU-MEC</t>
        </is>
      </c>
      <c r="I18" s="3" t="inlineStr">
        <is>
          <t>ACT-01</t>
        </is>
      </c>
      <c r="J18" s="3" t="inlineStr">
        <is>
          <t>TIPO-P2</t>
        </is>
      </c>
      <c r="K18" s="11" t="n">
        <v>46227</v>
      </c>
      <c r="L18" s="3" t="n">
        <v>6</v>
      </c>
      <c r="M18" s="10" t="n">
        <v>150</v>
      </c>
      <c r="N18" s="3">
        <f>IFERROR(INDEX('CAT_ESTADOS_ERP'!$B$4:$B$7,MATCH(IFERROR(INDEX('2_IMPORTAR_EJECUCION'!$D$9:$D$171,MATCH($C18,'2_IMPORTAR_EJECUCION'!$A$9:$A$171,0)),""),'CAT_ESTADOS_ERP'!$A$4:$A$7,0)),"Pendiente")</f>
        <v/>
      </c>
      <c r="O18" s="3">
        <f>IF($K18="","","S"&amp;IF(_xlfn.ISOWEEKNUM($K18)=53,1,_xlfn.ISOWEEKNUM($K18)))</f>
        <v/>
      </c>
      <c r="P18" s="3">
        <f>IF($K18="","",YEAR($K18))</f>
        <v/>
      </c>
      <c r="Q18" s="3">
        <f>IF($K18="","",MONTH($K18))</f>
        <v/>
      </c>
      <c r="R18" s="3">
        <f>IF($K18="","",INDEX(lista_dias,WEEKDAY($K18,2)))</f>
        <v/>
      </c>
      <c r="S18" s="3">
        <f>IFERROR(INDEX('CAT_TIPOS_OT'!$C$4:$C$7,MATCH($J18,'CAT_TIPOS_OT'!$A$4:$A$7,0)),"sin_clasificar")</f>
        <v/>
      </c>
      <c r="T18" s="3">
        <f>IFERROR(INDEX('CAT_CENTROS_COSTO'!$E$4:$E$9,MATCH($G18,'CAT_CENTROS_COSTO'!$A$4:$A$9,0)),"(sin catálogo)")</f>
        <v/>
      </c>
      <c r="U18" s="3">
        <f>IFERROR(INDEX('CAT_CENTROS_COSTO'!$D$4:$D$9,MATCH($G18,'CAT_CENTROS_COSTO'!$A$4:$A$9,0)),"(sin catálogo)")</f>
        <v/>
      </c>
      <c r="V18" s="3">
        <f>IFERROR(INDEX('CAT_CENTROS_COSTO'!$F$4:$F$9,MATCH($G18,'CAT_CENTROS_COSTO'!$A$4:$A$9,0)),"(sin catálogo)")</f>
        <v/>
      </c>
      <c r="W18" s="3">
        <f>IFERROR(INDEX('CAT_PUESTOS'!$B$4:$B$8,MATCH($H18,'CAT_PUESTOS'!$A$4:$A$8,0)),"(sin catálogo)")</f>
        <v/>
      </c>
      <c r="X18" s="3">
        <f>IFERROR(INDEX('CAT_ACTIVIDADES'!$B$4:$B$8,MATCH($I18,'CAT_ACTIVIDADES'!$A$4:$A$8,0)),"(sin catálogo)")</f>
        <v/>
      </c>
      <c r="Y18" s="12">
        <f>IF($K18="","",TODAY()-$K18)</f>
        <v/>
      </c>
      <c r="Z18" s="3">
        <f>IF($Y18="","",IF($Y18&lt;0,"FUTURO",IF($Y18&gt;p_dias_backlog_max,"BACKLOG","MES CORRIENTE")))</f>
        <v/>
      </c>
      <c r="AA18" s="3">
        <f>IF($Y18="",FALSE,AND($Y18&gt;p_dias_backlog_min,$Y18&lt;=p_dias_backlog_max))</f>
        <v/>
      </c>
      <c r="AB18" s="6" t="inlineStr">
        <is>
          <t>Técnico 03</t>
        </is>
      </c>
      <c r="AC18" s="3">
        <f>IF($AB18="","",IFERROR(INDEX('ASIGNACIONES'!$F$4:$F$339,MATCH($O18&amp;"|"&amp;$R18&amp;"|"&amp;$AB18,'ASIGNACIONES'!$I$4:$I$339,0)),""))</f>
        <v/>
      </c>
      <c r="AD18" s="13">
        <f>IF($AB18="","",SUMIFS('ORDENES'!$L$4:$L$203,'ORDENES'!$AB$4:$AB$203,$AB18,'ORDENES'!$O$4:$O$203,$O18,'ORDENES'!$R$4:$R$203,$R18))</f>
        <v/>
      </c>
      <c r="AE18" s="13">
        <f>IF($AD18="","",p_factor_productividad*IFERROR(INDEX('ASIGNACIONES'!$H$4:$H$339,MATCH($O18&amp;"|"&amp;$R18&amp;"|"&amp;$AB18,'ASIGNACIONES'!$I$4:$I$339,0)),0)-$AD18)</f>
        <v/>
      </c>
      <c r="AF18" s="10">
        <f>IFERROR(INDEX('2_IMPORTAR_EJECUCION'!$G$9:$G$171,MATCH($C18,'2_IMPORTAR_EJECUCION'!$A$9:$A$171,0)),0)</f>
        <v/>
      </c>
      <c r="AG18" s="10">
        <f>MAX(0,IFERROR(INDEX('2_IMPORTAR_EJECUCION'!$I$9:$I$171,MATCH($C18,'2_IMPORTAR_EJECUCION'!$A$9:$A$171,0)),0)-$AF18)</f>
        <v/>
      </c>
      <c r="AH18" s="10">
        <f>$AF18+$AG18</f>
        <v/>
      </c>
      <c r="AI18" s="6" t="inlineStr"/>
      <c r="AJ18" s="6" t="inlineStr"/>
      <c r="AK18" s="6" t="inlineStr">
        <is>
          <t>ACT-01.pdf</t>
        </is>
      </c>
      <c r="AL18" s="3">
        <f>IF($AK18="","",HYPERLINK(p_ruta_base_checklists&amp;$AK18,"abrir"))</f>
        <v/>
      </c>
      <c r="AM18" s="6" t="inlineStr"/>
    </row>
    <row r="19">
      <c r="A19" s="3" t="inlineStr">
        <is>
          <t>OT-000016</t>
        </is>
      </c>
      <c r="B19" s="3" t="inlineStr">
        <is>
          <t>0010</t>
        </is>
      </c>
      <c r="C19" s="3">
        <f>$A19&amp;IF($B19="","0010",$B19)</f>
        <v/>
      </c>
      <c r="D19" s="3" t="inlineStr">
        <is>
          <t>Lubricación programada — EQ-102</t>
        </is>
      </c>
      <c r="E19" s="3" t="inlineStr">
        <is>
          <t>Lubricación programada en EQ-102</t>
        </is>
      </c>
      <c r="F19" s="3" t="inlineStr">
        <is>
          <t>EQ-102</t>
        </is>
      </c>
      <c r="G19" s="3" t="inlineStr">
        <is>
          <t>CC-110</t>
        </is>
      </c>
      <c r="H19" s="3" t="inlineStr">
        <is>
          <t>PU-MEC</t>
        </is>
      </c>
      <c r="I19" s="3" t="inlineStr">
        <is>
          <t>ACT-02</t>
        </is>
      </c>
      <c r="J19" s="3" t="inlineStr">
        <is>
          <t>TIPO-P1</t>
        </is>
      </c>
      <c r="K19" s="11" t="n">
        <v>46223</v>
      </c>
      <c r="L19" s="3" t="n">
        <v>10</v>
      </c>
      <c r="M19" s="10" t="n">
        <v>250</v>
      </c>
      <c r="N19" s="3">
        <f>IFERROR(INDEX('CAT_ESTADOS_ERP'!$B$4:$B$7,MATCH(IFERROR(INDEX('2_IMPORTAR_EJECUCION'!$D$9:$D$171,MATCH($C19,'2_IMPORTAR_EJECUCION'!$A$9:$A$171,0)),""),'CAT_ESTADOS_ERP'!$A$4:$A$7,0)),"Pendiente")</f>
        <v/>
      </c>
      <c r="O19" s="3">
        <f>IF($K19="","","S"&amp;IF(_xlfn.ISOWEEKNUM($K19)=53,1,_xlfn.ISOWEEKNUM($K19)))</f>
        <v/>
      </c>
      <c r="P19" s="3">
        <f>IF($K19="","",YEAR($K19))</f>
        <v/>
      </c>
      <c r="Q19" s="3">
        <f>IF($K19="","",MONTH($K19))</f>
        <v/>
      </c>
      <c r="R19" s="3">
        <f>IF($K19="","",INDEX(lista_dias,WEEKDAY($K19,2)))</f>
        <v/>
      </c>
      <c r="S19" s="3">
        <f>IFERROR(INDEX('CAT_TIPOS_OT'!$C$4:$C$7,MATCH($J19,'CAT_TIPOS_OT'!$A$4:$A$7,0)),"sin_clasificar")</f>
        <v/>
      </c>
      <c r="T19" s="3">
        <f>IFERROR(INDEX('CAT_CENTROS_COSTO'!$E$4:$E$9,MATCH($G19,'CAT_CENTROS_COSTO'!$A$4:$A$9,0)),"(sin catálogo)")</f>
        <v/>
      </c>
      <c r="U19" s="3">
        <f>IFERROR(INDEX('CAT_CENTROS_COSTO'!$D$4:$D$9,MATCH($G19,'CAT_CENTROS_COSTO'!$A$4:$A$9,0)),"(sin catálogo)")</f>
        <v/>
      </c>
      <c r="V19" s="3">
        <f>IFERROR(INDEX('CAT_CENTROS_COSTO'!$F$4:$F$9,MATCH($G19,'CAT_CENTROS_COSTO'!$A$4:$A$9,0)),"(sin catálogo)")</f>
        <v/>
      </c>
      <c r="W19" s="3">
        <f>IFERROR(INDEX('CAT_PUESTOS'!$B$4:$B$8,MATCH($H19,'CAT_PUESTOS'!$A$4:$A$8,0)),"(sin catálogo)")</f>
        <v/>
      </c>
      <c r="X19" s="3">
        <f>IFERROR(INDEX('CAT_ACTIVIDADES'!$B$4:$B$8,MATCH($I19,'CAT_ACTIVIDADES'!$A$4:$A$8,0)),"(sin catálogo)")</f>
        <v/>
      </c>
      <c r="Y19" s="12">
        <f>IF($K19="","",TODAY()-$K19)</f>
        <v/>
      </c>
      <c r="Z19" s="3">
        <f>IF($Y19="","",IF($Y19&lt;0,"FUTURO",IF($Y19&gt;p_dias_backlog_max,"BACKLOG","MES CORRIENTE")))</f>
        <v/>
      </c>
      <c r="AA19" s="3">
        <f>IF($Y19="",FALSE,AND($Y19&gt;p_dias_backlog_min,$Y19&lt;=p_dias_backlog_max))</f>
        <v/>
      </c>
      <c r="AB19" s="6" t="inlineStr">
        <is>
          <t>Técnico 04</t>
        </is>
      </c>
      <c r="AC19" s="3">
        <f>IF($AB19="","",IFERROR(INDEX('ASIGNACIONES'!$F$4:$F$339,MATCH($O19&amp;"|"&amp;$R19&amp;"|"&amp;$AB19,'ASIGNACIONES'!$I$4:$I$339,0)),""))</f>
        <v/>
      </c>
      <c r="AD19" s="13">
        <f>IF($AB19="","",SUMIFS('ORDENES'!$L$4:$L$203,'ORDENES'!$AB$4:$AB$203,$AB19,'ORDENES'!$O$4:$O$203,$O19,'ORDENES'!$R$4:$R$203,$R19))</f>
        <v/>
      </c>
      <c r="AE19" s="13">
        <f>IF($AD19="","",p_factor_productividad*IFERROR(INDEX('ASIGNACIONES'!$H$4:$H$339,MATCH($O19&amp;"|"&amp;$R19&amp;"|"&amp;$AB19,'ASIGNACIONES'!$I$4:$I$339,0)),0)-$AD19)</f>
        <v/>
      </c>
      <c r="AF19" s="10">
        <f>IFERROR(INDEX('2_IMPORTAR_EJECUCION'!$G$9:$G$171,MATCH($C19,'2_IMPORTAR_EJECUCION'!$A$9:$A$171,0)),0)</f>
        <v/>
      </c>
      <c r="AG19" s="10">
        <f>MAX(0,IFERROR(INDEX('2_IMPORTAR_EJECUCION'!$I$9:$I$171,MATCH($C19,'2_IMPORTAR_EJECUCION'!$A$9:$A$171,0)),0)-$AF19)</f>
        <v/>
      </c>
      <c r="AH19" s="10">
        <f>$AF19+$AG19</f>
        <v/>
      </c>
      <c r="AI19" s="6" t="inlineStr"/>
      <c r="AJ19" s="6" t="inlineStr"/>
      <c r="AK19" s="6" t="inlineStr">
        <is>
          <t>ACT-02.pdf</t>
        </is>
      </c>
      <c r="AL19" s="3">
        <f>IF($AK19="","",HYPERLINK(p_ruta_base_checklists&amp;$AK19,"abrir"))</f>
        <v/>
      </c>
      <c r="AM19" s="6" t="inlineStr"/>
    </row>
    <row r="20">
      <c r="A20" s="3" t="inlineStr">
        <is>
          <t>OT-000017</t>
        </is>
      </c>
      <c r="B20" s="3" t="inlineStr">
        <is>
          <t>0010</t>
        </is>
      </c>
      <c r="C20" s="3">
        <f>$A20&amp;IF($B20="","0010",$B20)</f>
        <v/>
      </c>
      <c r="D20" s="3" t="inlineStr">
        <is>
          <t>Análisis predictivo — EQ-107</t>
        </is>
      </c>
      <c r="E20" s="3" t="inlineStr">
        <is>
          <t>Análisis predictivo en EQ-107</t>
        </is>
      </c>
      <c r="F20" s="3" t="inlineStr">
        <is>
          <t>EQ-107</t>
        </is>
      </c>
      <c r="G20" s="3" t="inlineStr">
        <is>
          <t>CC-210</t>
        </is>
      </c>
      <c r="H20" s="3" t="inlineStr">
        <is>
          <t>PU-MEC</t>
        </is>
      </c>
      <c r="I20" s="3" t="inlineStr">
        <is>
          <t>ACT-04</t>
        </is>
      </c>
      <c r="J20" s="3" t="inlineStr">
        <is>
          <t>TIPO-P2</t>
        </is>
      </c>
      <c r="K20" s="11" t="n">
        <v>46224</v>
      </c>
      <c r="L20" s="3" t="n">
        <v>8</v>
      </c>
      <c r="M20" s="10" t="n">
        <v>200</v>
      </c>
      <c r="N20" s="3">
        <f>IFERROR(INDEX('CAT_ESTADOS_ERP'!$B$4:$B$7,MATCH(IFERROR(INDEX('2_IMPORTAR_EJECUCION'!$D$9:$D$171,MATCH($C20,'2_IMPORTAR_EJECUCION'!$A$9:$A$171,0)),""),'CAT_ESTADOS_ERP'!$A$4:$A$7,0)),"Pendiente")</f>
        <v/>
      </c>
      <c r="O20" s="3">
        <f>IF($K20="","","S"&amp;IF(_xlfn.ISOWEEKNUM($K20)=53,1,_xlfn.ISOWEEKNUM($K20)))</f>
        <v/>
      </c>
      <c r="P20" s="3">
        <f>IF($K20="","",YEAR($K20))</f>
        <v/>
      </c>
      <c r="Q20" s="3">
        <f>IF($K20="","",MONTH($K20))</f>
        <v/>
      </c>
      <c r="R20" s="3">
        <f>IF($K20="","",INDEX(lista_dias,WEEKDAY($K20,2)))</f>
        <v/>
      </c>
      <c r="S20" s="3">
        <f>IFERROR(INDEX('CAT_TIPOS_OT'!$C$4:$C$7,MATCH($J20,'CAT_TIPOS_OT'!$A$4:$A$7,0)),"sin_clasificar")</f>
        <v/>
      </c>
      <c r="T20" s="3">
        <f>IFERROR(INDEX('CAT_CENTROS_COSTO'!$E$4:$E$9,MATCH($G20,'CAT_CENTROS_COSTO'!$A$4:$A$9,0)),"(sin catálogo)")</f>
        <v/>
      </c>
      <c r="U20" s="3">
        <f>IFERROR(INDEX('CAT_CENTROS_COSTO'!$D$4:$D$9,MATCH($G20,'CAT_CENTROS_COSTO'!$A$4:$A$9,0)),"(sin catálogo)")</f>
        <v/>
      </c>
      <c r="V20" s="3">
        <f>IFERROR(INDEX('CAT_CENTROS_COSTO'!$F$4:$F$9,MATCH($G20,'CAT_CENTROS_COSTO'!$A$4:$A$9,0)),"(sin catálogo)")</f>
        <v/>
      </c>
      <c r="W20" s="3">
        <f>IFERROR(INDEX('CAT_PUESTOS'!$B$4:$B$8,MATCH($H20,'CAT_PUESTOS'!$A$4:$A$8,0)),"(sin catálogo)")</f>
        <v/>
      </c>
      <c r="X20" s="3">
        <f>IFERROR(INDEX('CAT_ACTIVIDADES'!$B$4:$B$8,MATCH($I20,'CAT_ACTIVIDADES'!$A$4:$A$8,0)),"(sin catálogo)")</f>
        <v/>
      </c>
      <c r="Y20" s="12">
        <f>IF($K20="","",TODAY()-$K20)</f>
        <v/>
      </c>
      <c r="Z20" s="3">
        <f>IF($Y20="","",IF($Y20&lt;0,"FUTURO",IF($Y20&gt;p_dias_backlog_max,"BACKLOG","MES CORRIENTE")))</f>
        <v/>
      </c>
      <c r="AA20" s="3">
        <f>IF($Y20="",FALSE,AND($Y20&gt;p_dias_backlog_min,$Y20&lt;=p_dias_backlog_max))</f>
        <v/>
      </c>
      <c r="AB20" s="6" t="inlineStr">
        <is>
          <t>Técnico 01</t>
        </is>
      </c>
      <c r="AC20" s="3">
        <f>IF($AB20="","",IFERROR(INDEX('ASIGNACIONES'!$F$4:$F$339,MATCH($O20&amp;"|"&amp;$R20&amp;"|"&amp;$AB20,'ASIGNACIONES'!$I$4:$I$339,0)),""))</f>
        <v/>
      </c>
      <c r="AD20" s="13">
        <f>IF($AB20="","",SUMIFS('ORDENES'!$L$4:$L$203,'ORDENES'!$AB$4:$AB$203,$AB20,'ORDENES'!$O$4:$O$203,$O20,'ORDENES'!$R$4:$R$203,$R20))</f>
        <v/>
      </c>
      <c r="AE20" s="13">
        <f>IF($AD20="","",p_factor_productividad*IFERROR(INDEX('ASIGNACIONES'!$H$4:$H$339,MATCH($O20&amp;"|"&amp;$R20&amp;"|"&amp;$AB20,'ASIGNACIONES'!$I$4:$I$339,0)),0)-$AD20)</f>
        <v/>
      </c>
      <c r="AF20" s="10">
        <f>IFERROR(INDEX('2_IMPORTAR_EJECUCION'!$G$9:$G$171,MATCH($C20,'2_IMPORTAR_EJECUCION'!$A$9:$A$171,0)),0)</f>
        <v/>
      </c>
      <c r="AG20" s="10">
        <f>MAX(0,IFERROR(INDEX('2_IMPORTAR_EJECUCION'!$I$9:$I$171,MATCH($C20,'2_IMPORTAR_EJECUCION'!$A$9:$A$171,0)),0)-$AF20)</f>
        <v/>
      </c>
      <c r="AH20" s="10">
        <f>$AF20+$AG20</f>
        <v/>
      </c>
      <c r="AI20" s="6" t="inlineStr"/>
      <c r="AJ20" s="6" t="inlineStr"/>
      <c r="AK20" s="6" t="inlineStr">
        <is>
          <t>ACT-04.pdf</t>
        </is>
      </c>
      <c r="AL20" s="3">
        <f>IF($AK20="","",HYPERLINK(p_ruta_base_checklists&amp;$AK20,"abrir"))</f>
        <v/>
      </c>
      <c r="AM20" s="6" t="inlineStr"/>
    </row>
    <row r="21">
      <c r="A21" s="3" t="inlineStr">
        <is>
          <t>OT-000018</t>
        </is>
      </c>
      <c r="B21" s="3" t="inlineStr">
        <is>
          <t>0010</t>
        </is>
      </c>
      <c r="C21" s="3">
        <f>$A21&amp;IF($B21="","0010",$B21)</f>
        <v/>
      </c>
      <c r="D21" s="3" t="inlineStr">
        <is>
          <t>Inspección de rutina — EQ-110</t>
        </is>
      </c>
      <c r="E21" s="3" t="inlineStr">
        <is>
          <t>Inspección de rutina en EQ-110</t>
        </is>
      </c>
      <c r="F21" s="3" t="inlineStr">
        <is>
          <t>EQ-110</t>
        </is>
      </c>
      <c r="G21" s="3" t="inlineStr">
        <is>
          <t>CC-310</t>
        </is>
      </c>
      <c r="H21" s="3" t="inlineStr">
        <is>
          <t>PU-MEC</t>
        </is>
      </c>
      <c r="I21" s="3" t="inlineStr">
        <is>
          <t>ACT-01</t>
        </is>
      </c>
      <c r="J21" s="3" t="inlineStr">
        <is>
          <t>TIPO-P1</t>
        </is>
      </c>
      <c r="K21" s="11" t="n">
        <v>46225</v>
      </c>
      <c r="L21" s="3" t="n">
        <v>6</v>
      </c>
      <c r="M21" s="10" t="n">
        <v>150</v>
      </c>
      <c r="N21" s="3">
        <f>IFERROR(INDEX('CAT_ESTADOS_ERP'!$B$4:$B$7,MATCH(IFERROR(INDEX('2_IMPORTAR_EJECUCION'!$D$9:$D$171,MATCH($C21,'2_IMPORTAR_EJECUCION'!$A$9:$A$171,0)),""),'CAT_ESTADOS_ERP'!$A$4:$A$7,0)),"Pendiente")</f>
        <v/>
      </c>
      <c r="O21" s="3">
        <f>IF($K21="","","S"&amp;IF(_xlfn.ISOWEEKNUM($K21)=53,1,_xlfn.ISOWEEKNUM($K21)))</f>
        <v/>
      </c>
      <c r="P21" s="3">
        <f>IF($K21="","",YEAR($K21))</f>
        <v/>
      </c>
      <c r="Q21" s="3">
        <f>IF($K21="","",MONTH($K21))</f>
        <v/>
      </c>
      <c r="R21" s="3">
        <f>IF($K21="","",INDEX(lista_dias,WEEKDAY($K21,2)))</f>
        <v/>
      </c>
      <c r="S21" s="3">
        <f>IFERROR(INDEX('CAT_TIPOS_OT'!$C$4:$C$7,MATCH($J21,'CAT_TIPOS_OT'!$A$4:$A$7,0)),"sin_clasificar")</f>
        <v/>
      </c>
      <c r="T21" s="3">
        <f>IFERROR(INDEX('CAT_CENTROS_COSTO'!$E$4:$E$9,MATCH($G21,'CAT_CENTROS_COSTO'!$A$4:$A$9,0)),"(sin catálogo)")</f>
        <v/>
      </c>
      <c r="U21" s="3">
        <f>IFERROR(INDEX('CAT_CENTROS_COSTO'!$D$4:$D$9,MATCH($G21,'CAT_CENTROS_COSTO'!$A$4:$A$9,0)),"(sin catálogo)")</f>
        <v/>
      </c>
      <c r="V21" s="3">
        <f>IFERROR(INDEX('CAT_CENTROS_COSTO'!$F$4:$F$9,MATCH($G21,'CAT_CENTROS_COSTO'!$A$4:$A$9,0)),"(sin catálogo)")</f>
        <v/>
      </c>
      <c r="W21" s="3">
        <f>IFERROR(INDEX('CAT_PUESTOS'!$B$4:$B$8,MATCH($H21,'CAT_PUESTOS'!$A$4:$A$8,0)),"(sin catálogo)")</f>
        <v/>
      </c>
      <c r="X21" s="3">
        <f>IFERROR(INDEX('CAT_ACTIVIDADES'!$B$4:$B$8,MATCH($I21,'CAT_ACTIVIDADES'!$A$4:$A$8,0)),"(sin catálogo)")</f>
        <v/>
      </c>
      <c r="Y21" s="12">
        <f>IF($K21="","",TODAY()-$K21)</f>
        <v/>
      </c>
      <c r="Z21" s="3">
        <f>IF($Y21="","",IF($Y21&lt;0,"FUTURO",IF($Y21&gt;p_dias_backlog_max,"BACKLOG","MES CORRIENTE")))</f>
        <v/>
      </c>
      <c r="AA21" s="3">
        <f>IF($Y21="",FALSE,AND($Y21&gt;p_dias_backlog_min,$Y21&lt;=p_dias_backlog_max))</f>
        <v/>
      </c>
      <c r="AB21" s="6" t="inlineStr">
        <is>
          <t>Técnico 02</t>
        </is>
      </c>
      <c r="AC21" s="3">
        <f>IF($AB21="","",IFERROR(INDEX('ASIGNACIONES'!$F$4:$F$339,MATCH($O21&amp;"|"&amp;$R21&amp;"|"&amp;$AB21,'ASIGNACIONES'!$I$4:$I$339,0)),""))</f>
        <v/>
      </c>
      <c r="AD21" s="13">
        <f>IF($AB21="","",SUMIFS('ORDENES'!$L$4:$L$203,'ORDENES'!$AB$4:$AB$203,$AB21,'ORDENES'!$O$4:$O$203,$O21,'ORDENES'!$R$4:$R$203,$R21))</f>
        <v/>
      </c>
      <c r="AE21" s="13">
        <f>IF($AD21="","",p_factor_productividad*IFERROR(INDEX('ASIGNACIONES'!$H$4:$H$339,MATCH($O21&amp;"|"&amp;$R21&amp;"|"&amp;$AB21,'ASIGNACIONES'!$I$4:$I$339,0)),0)-$AD21)</f>
        <v/>
      </c>
      <c r="AF21" s="10">
        <f>IFERROR(INDEX('2_IMPORTAR_EJECUCION'!$G$9:$G$171,MATCH($C21,'2_IMPORTAR_EJECUCION'!$A$9:$A$171,0)),0)</f>
        <v/>
      </c>
      <c r="AG21" s="10">
        <f>MAX(0,IFERROR(INDEX('2_IMPORTAR_EJECUCION'!$I$9:$I$171,MATCH($C21,'2_IMPORTAR_EJECUCION'!$A$9:$A$171,0)),0)-$AF21)</f>
        <v/>
      </c>
      <c r="AH21" s="10">
        <f>$AF21+$AG21</f>
        <v/>
      </c>
      <c r="AI21" s="6" t="inlineStr"/>
      <c r="AJ21" s="6" t="inlineStr"/>
      <c r="AK21" s="6" t="inlineStr">
        <is>
          <t>ACT-01.pdf</t>
        </is>
      </c>
      <c r="AL21" s="3">
        <f>IF($AK21="","",HYPERLINK(p_ruta_base_checklists&amp;$AK21,"abrir"))</f>
        <v/>
      </c>
      <c r="AM21" s="6" t="inlineStr"/>
    </row>
    <row r="22">
      <c r="A22" s="3" t="inlineStr">
        <is>
          <t>OT-000019</t>
        </is>
      </c>
      <c r="B22" s="3" t="inlineStr">
        <is>
          <t>0010</t>
        </is>
      </c>
      <c r="C22" s="3">
        <f>$A22&amp;IF($B22="","0010",$B22)</f>
        <v/>
      </c>
      <c r="D22" s="3" t="inlineStr">
        <is>
          <t>Lubricación programada — EQ-105</t>
        </is>
      </c>
      <c r="E22" s="3" t="inlineStr">
        <is>
          <t>Lubricación programada en EQ-105</t>
        </is>
      </c>
      <c r="F22" s="3" t="inlineStr">
        <is>
          <t>EQ-105</t>
        </is>
      </c>
      <c r="G22" s="3" t="inlineStr">
        <is>
          <t>CC-110</t>
        </is>
      </c>
      <c r="H22" s="3" t="inlineStr">
        <is>
          <t>PU-MEC</t>
        </is>
      </c>
      <c r="I22" s="3" t="inlineStr">
        <is>
          <t>ACT-02</t>
        </is>
      </c>
      <c r="J22" s="3" t="inlineStr">
        <is>
          <t>TIPO-P2</t>
        </is>
      </c>
      <c r="K22" s="11" t="n">
        <v>46226</v>
      </c>
      <c r="L22" s="3" t="n">
        <v>10</v>
      </c>
      <c r="M22" s="10" t="n">
        <v>250</v>
      </c>
      <c r="N22" s="3">
        <f>IFERROR(INDEX('CAT_ESTADOS_ERP'!$B$4:$B$7,MATCH(IFERROR(INDEX('2_IMPORTAR_EJECUCION'!$D$9:$D$171,MATCH($C22,'2_IMPORTAR_EJECUCION'!$A$9:$A$171,0)),""),'CAT_ESTADOS_ERP'!$A$4:$A$7,0)),"Pendiente")</f>
        <v/>
      </c>
      <c r="O22" s="3">
        <f>IF($K22="","","S"&amp;IF(_xlfn.ISOWEEKNUM($K22)=53,1,_xlfn.ISOWEEKNUM($K22)))</f>
        <v/>
      </c>
      <c r="P22" s="3">
        <f>IF($K22="","",YEAR($K22))</f>
        <v/>
      </c>
      <c r="Q22" s="3">
        <f>IF($K22="","",MONTH($K22))</f>
        <v/>
      </c>
      <c r="R22" s="3">
        <f>IF($K22="","",INDEX(lista_dias,WEEKDAY($K22,2)))</f>
        <v/>
      </c>
      <c r="S22" s="3">
        <f>IFERROR(INDEX('CAT_TIPOS_OT'!$C$4:$C$7,MATCH($J22,'CAT_TIPOS_OT'!$A$4:$A$7,0)),"sin_clasificar")</f>
        <v/>
      </c>
      <c r="T22" s="3">
        <f>IFERROR(INDEX('CAT_CENTROS_COSTO'!$E$4:$E$9,MATCH($G22,'CAT_CENTROS_COSTO'!$A$4:$A$9,0)),"(sin catálogo)")</f>
        <v/>
      </c>
      <c r="U22" s="3">
        <f>IFERROR(INDEX('CAT_CENTROS_COSTO'!$D$4:$D$9,MATCH($G22,'CAT_CENTROS_COSTO'!$A$4:$A$9,0)),"(sin catálogo)")</f>
        <v/>
      </c>
      <c r="V22" s="3">
        <f>IFERROR(INDEX('CAT_CENTROS_COSTO'!$F$4:$F$9,MATCH($G22,'CAT_CENTROS_COSTO'!$A$4:$A$9,0)),"(sin catálogo)")</f>
        <v/>
      </c>
      <c r="W22" s="3">
        <f>IFERROR(INDEX('CAT_PUESTOS'!$B$4:$B$8,MATCH($H22,'CAT_PUESTOS'!$A$4:$A$8,0)),"(sin catálogo)")</f>
        <v/>
      </c>
      <c r="X22" s="3">
        <f>IFERROR(INDEX('CAT_ACTIVIDADES'!$B$4:$B$8,MATCH($I22,'CAT_ACTIVIDADES'!$A$4:$A$8,0)),"(sin catálogo)")</f>
        <v/>
      </c>
      <c r="Y22" s="12">
        <f>IF($K22="","",TODAY()-$K22)</f>
        <v/>
      </c>
      <c r="Z22" s="3">
        <f>IF($Y22="","",IF($Y22&lt;0,"FUTURO",IF($Y22&gt;p_dias_backlog_max,"BACKLOG","MES CORRIENTE")))</f>
        <v/>
      </c>
      <c r="AA22" s="3">
        <f>IF($Y22="",FALSE,AND($Y22&gt;p_dias_backlog_min,$Y22&lt;=p_dias_backlog_max))</f>
        <v/>
      </c>
      <c r="AB22" s="6" t="inlineStr">
        <is>
          <t>Técnico 03</t>
        </is>
      </c>
      <c r="AC22" s="3">
        <f>IF($AB22="","",IFERROR(INDEX('ASIGNACIONES'!$F$4:$F$339,MATCH($O22&amp;"|"&amp;$R22&amp;"|"&amp;$AB22,'ASIGNACIONES'!$I$4:$I$339,0)),""))</f>
        <v/>
      </c>
      <c r="AD22" s="13">
        <f>IF($AB22="","",SUMIFS('ORDENES'!$L$4:$L$203,'ORDENES'!$AB$4:$AB$203,$AB22,'ORDENES'!$O$4:$O$203,$O22,'ORDENES'!$R$4:$R$203,$R22))</f>
        <v/>
      </c>
      <c r="AE22" s="13">
        <f>IF($AD22="","",p_factor_productividad*IFERROR(INDEX('ASIGNACIONES'!$H$4:$H$339,MATCH($O22&amp;"|"&amp;$R22&amp;"|"&amp;$AB22,'ASIGNACIONES'!$I$4:$I$339,0)),0)-$AD22)</f>
        <v/>
      </c>
      <c r="AF22" s="10">
        <f>IFERROR(INDEX('2_IMPORTAR_EJECUCION'!$G$9:$G$171,MATCH($C22,'2_IMPORTAR_EJECUCION'!$A$9:$A$171,0)),0)</f>
        <v/>
      </c>
      <c r="AG22" s="10">
        <f>MAX(0,IFERROR(INDEX('2_IMPORTAR_EJECUCION'!$I$9:$I$171,MATCH($C22,'2_IMPORTAR_EJECUCION'!$A$9:$A$171,0)),0)-$AF22)</f>
        <v/>
      </c>
      <c r="AH22" s="10">
        <f>$AF22+$AG22</f>
        <v/>
      </c>
      <c r="AI22" s="6" t="inlineStr"/>
      <c r="AJ22" s="6" t="inlineStr"/>
      <c r="AK22" s="6" t="inlineStr">
        <is>
          <t>ACT-02.pdf</t>
        </is>
      </c>
      <c r="AL22" s="3">
        <f>IF($AK22="","",HYPERLINK(p_ruta_base_checklists&amp;$AK22,"abrir"))</f>
        <v/>
      </c>
      <c r="AM22" s="6" t="inlineStr"/>
    </row>
    <row r="23">
      <c r="A23" s="3" t="inlineStr">
        <is>
          <t>OT-000020</t>
        </is>
      </c>
      <c r="B23" s="3" t="inlineStr">
        <is>
          <t>0010</t>
        </is>
      </c>
      <c r="C23" s="3">
        <f>$A23&amp;IF($B23="","0010",$B23)</f>
        <v/>
      </c>
      <c r="D23" s="3" t="inlineStr">
        <is>
          <t>Análisis predictivo — EQ-106</t>
        </is>
      </c>
      <c r="E23" s="3" t="inlineStr">
        <is>
          <t>Análisis predictivo en EQ-106</t>
        </is>
      </c>
      <c r="F23" s="3" t="inlineStr">
        <is>
          <t>EQ-106</t>
        </is>
      </c>
      <c r="G23" s="3" t="inlineStr">
        <is>
          <t>CC-210</t>
        </is>
      </c>
      <c r="H23" s="3" t="inlineStr">
        <is>
          <t>PU-MEC</t>
        </is>
      </c>
      <c r="I23" s="3" t="inlineStr">
        <is>
          <t>ACT-04</t>
        </is>
      </c>
      <c r="J23" s="3" t="inlineStr">
        <is>
          <t>TIPO-P1</t>
        </is>
      </c>
      <c r="K23" s="11" t="n">
        <v>46227</v>
      </c>
      <c r="L23" s="3" t="n">
        <v>8</v>
      </c>
      <c r="M23" s="10" t="n">
        <v>200</v>
      </c>
      <c r="N23" s="3">
        <f>IFERROR(INDEX('CAT_ESTADOS_ERP'!$B$4:$B$7,MATCH(IFERROR(INDEX('2_IMPORTAR_EJECUCION'!$D$9:$D$171,MATCH($C23,'2_IMPORTAR_EJECUCION'!$A$9:$A$171,0)),""),'CAT_ESTADOS_ERP'!$A$4:$A$7,0)),"Pendiente")</f>
        <v/>
      </c>
      <c r="O23" s="3">
        <f>IF($K23="","","S"&amp;IF(_xlfn.ISOWEEKNUM($K23)=53,1,_xlfn.ISOWEEKNUM($K23)))</f>
        <v/>
      </c>
      <c r="P23" s="3">
        <f>IF($K23="","",YEAR($K23))</f>
        <v/>
      </c>
      <c r="Q23" s="3">
        <f>IF($K23="","",MONTH($K23))</f>
        <v/>
      </c>
      <c r="R23" s="3">
        <f>IF($K23="","",INDEX(lista_dias,WEEKDAY($K23,2)))</f>
        <v/>
      </c>
      <c r="S23" s="3">
        <f>IFERROR(INDEX('CAT_TIPOS_OT'!$C$4:$C$7,MATCH($J23,'CAT_TIPOS_OT'!$A$4:$A$7,0)),"sin_clasificar")</f>
        <v/>
      </c>
      <c r="T23" s="3">
        <f>IFERROR(INDEX('CAT_CENTROS_COSTO'!$E$4:$E$9,MATCH($G23,'CAT_CENTROS_COSTO'!$A$4:$A$9,0)),"(sin catálogo)")</f>
        <v/>
      </c>
      <c r="U23" s="3">
        <f>IFERROR(INDEX('CAT_CENTROS_COSTO'!$D$4:$D$9,MATCH($G23,'CAT_CENTROS_COSTO'!$A$4:$A$9,0)),"(sin catálogo)")</f>
        <v/>
      </c>
      <c r="V23" s="3">
        <f>IFERROR(INDEX('CAT_CENTROS_COSTO'!$F$4:$F$9,MATCH($G23,'CAT_CENTROS_COSTO'!$A$4:$A$9,0)),"(sin catálogo)")</f>
        <v/>
      </c>
      <c r="W23" s="3">
        <f>IFERROR(INDEX('CAT_PUESTOS'!$B$4:$B$8,MATCH($H23,'CAT_PUESTOS'!$A$4:$A$8,0)),"(sin catálogo)")</f>
        <v/>
      </c>
      <c r="X23" s="3">
        <f>IFERROR(INDEX('CAT_ACTIVIDADES'!$B$4:$B$8,MATCH($I23,'CAT_ACTIVIDADES'!$A$4:$A$8,0)),"(sin catálogo)")</f>
        <v/>
      </c>
      <c r="Y23" s="12">
        <f>IF($K23="","",TODAY()-$K23)</f>
        <v/>
      </c>
      <c r="Z23" s="3">
        <f>IF($Y23="","",IF($Y23&lt;0,"FUTURO",IF($Y23&gt;p_dias_backlog_max,"BACKLOG","MES CORRIENTE")))</f>
        <v/>
      </c>
      <c r="AA23" s="3">
        <f>IF($Y23="",FALSE,AND($Y23&gt;p_dias_backlog_min,$Y23&lt;=p_dias_backlog_max))</f>
        <v/>
      </c>
      <c r="AB23" s="6" t="inlineStr">
        <is>
          <t>Técnico 04</t>
        </is>
      </c>
      <c r="AC23" s="3">
        <f>IF($AB23="","",IFERROR(INDEX('ASIGNACIONES'!$F$4:$F$339,MATCH($O23&amp;"|"&amp;$R23&amp;"|"&amp;$AB23,'ASIGNACIONES'!$I$4:$I$339,0)),""))</f>
        <v/>
      </c>
      <c r="AD23" s="13">
        <f>IF($AB23="","",SUMIFS('ORDENES'!$L$4:$L$203,'ORDENES'!$AB$4:$AB$203,$AB23,'ORDENES'!$O$4:$O$203,$O23,'ORDENES'!$R$4:$R$203,$R23))</f>
        <v/>
      </c>
      <c r="AE23" s="13">
        <f>IF($AD23="","",p_factor_productividad*IFERROR(INDEX('ASIGNACIONES'!$H$4:$H$339,MATCH($O23&amp;"|"&amp;$R23&amp;"|"&amp;$AB23,'ASIGNACIONES'!$I$4:$I$339,0)),0)-$AD23)</f>
        <v/>
      </c>
      <c r="AF23" s="10">
        <f>IFERROR(INDEX('2_IMPORTAR_EJECUCION'!$G$9:$G$171,MATCH($C23,'2_IMPORTAR_EJECUCION'!$A$9:$A$171,0)),0)</f>
        <v/>
      </c>
      <c r="AG23" s="10">
        <f>MAX(0,IFERROR(INDEX('2_IMPORTAR_EJECUCION'!$I$9:$I$171,MATCH($C23,'2_IMPORTAR_EJECUCION'!$A$9:$A$171,0)),0)-$AF23)</f>
        <v/>
      </c>
      <c r="AH23" s="10">
        <f>$AF23+$AG23</f>
        <v/>
      </c>
      <c r="AI23" s="6" t="inlineStr"/>
      <c r="AJ23" s="6" t="inlineStr"/>
      <c r="AK23" s="6" t="inlineStr">
        <is>
          <t>ACT-04.pdf</t>
        </is>
      </c>
      <c r="AL23" s="3">
        <f>IF($AK23="","",HYPERLINK(p_ruta_base_checklists&amp;$AK23,"abrir"))</f>
        <v/>
      </c>
      <c r="AM23" s="6" t="inlineStr"/>
    </row>
    <row r="24">
      <c r="A24" s="3" t="inlineStr">
        <is>
          <t>OT-000021</t>
        </is>
      </c>
      <c r="B24" s="3" t="inlineStr">
        <is>
          <t>0010</t>
        </is>
      </c>
      <c r="C24" s="3">
        <f>$A24&amp;IF($B24="","0010",$B24)</f>
        <v/>
      </c>
      <c r="D24" s="3" t="inlineStr">
        <is>
          <t>Inspección de rutina — EQ-110</t>
        </is>
      </c>
      <c r="E24" s="3" t="inlineStr">
        <is>
          <t>Inspección de rutina en EQ-110</t>
        </is>
      </c>
      <c r="F24" s="3" t="inlineStr">
        <is>
          <t>EQ-110</t>
        </is>
      </c>
      <c r="G24" s="3" t="inlineStr">
        <is>
          <t>CC-310</t>
        </is>
      </c>
      <c r="H24" s="3" t="inlineStr">
        <is>
          <t>PU-MEC</t>
        </is>
      </c>
      <c r="I24" s="3" t="inlineStr">
        <is>
          <t>ACT-01</t>
        </is>
      </c>
      <c r="J24" s="3" t="inlineStr">
        <is>
          <t>TIPO-P2</t>
        </is>
      </c>
      <c r="K24" s="11" t="n">
        <v>46223</v>
      </c>
      <c r="L24" s="3" t="n">
        <v>6</v>
      </c>
      <c r="M24" s="10" t="n">
        <v>150</v>
      </c>
      <c r="N24" s="3">
        <f>IFERROR(INDEX('CAT_ESTADOS_ERP'!$B$4:$B$7,MATCH(IFERROR(INDEX('2_IMPORTAR_EJECUCION'!$D$9:$D$171,MATCH($C24,'2_IMPORTAR_EJECUCION'!$A$9:$A$171,0)),""),'CAT_ESTADOS_ERP'!$A$4:$A$7,0)),"Pendiente")</f>
        <v/>
      </c>
      <c r="O24" s="3">
        <f>IF($K24="","","S"&amp;IF(_xlfn.ISOWEEKNUM($K24)=53,1,_xlfn.ISOWEEKNUM($K24)))</f>
        <v/>
      </c>
      <c r="P24" s="3">
        <f>IF($K24="","",YEAR($K24))</f>
        <v/>
      </c>
      <c r="Q24" s="3">
        <f>IF($K24="","",MONTH($K24))</f>
        <v/>
      </c>
      <c r="R24" s="3">
        <f>IF($K24="","",INDEX(lista_dias,WEEKDAY($K24,2)))</f>
        <v/>
      </c>
      <c r="S24" s="3">
        <f>IFERROR(INDEX('CAT_TIPOS_OT'!$C$4:$C$7,MATCH($J24,'CAT_TIPOS_OT'!$A$4:$A$7,0)),"sin_clasificar")</f>
        <v/>
      </c>
      <c r="T24" s="3">
        <f>IFERROR(INDEX('CAT_CENTROS_COSTO'!$E$4:$E$9,MATCH($G24,'CAT_CENTROS_COSTO'!$A$4:$A$9,0)),"(sin catálogo)")</f>
        <v/>
      </c>
      <c r="U24" s="3">
        <f>IFERROR(INDEX('CAT_CENTROS_COSTO'!$D$4:$D$9,MATCH($G24,'CAT_CENTROS_COSTO'!$A$4:$A$9,0)),"(sin catálogo)")</f>
        <v/>
      </c>
      <c r="V24" s="3">
        <f>IFERROR(INDEX('CAT_CENTROS_COSTO'!$F$4:$F$9,MATCH($G24,'CAT_CENTROS_COSTO'!$A$4:$A$9,0)),"(sin catálogo)")</f>
        <v/>
      </c>
      <c r="W24" s="3">
        <f>IFERROR(INDEX('CAT_PUESTOS'!$B$4:$B$8,MATCH($H24,'CAT_PUESTOS'!$A$4:$A$8,0)),"(sin catálogo)")</f>
        <v/>
      </c>
      <c r="X24" s="3">
        <f>IFERROR(INDEX('CAT_ACTIVIDADES'!$B$4:$B$8,MATCH($I24,'CAT_ACTIVIDADES'!$A$4:$A$8,0)),"(sin catálogo)")</f>
        <v/>
      </c>
      <c r="Y24" s="12">
        <f>IF($K24="","",TODAY()-$K24)</f>
        <v/>
      </c>
      <c r="Z24" s="3">
        <f>IF($Y24="","",IF($Y24&lt;0,"FUTURO",IF($Y24&gt;p_dias_backlog_max,"BACKLOG","MES CORRIENTE")))</f>
        <v/>
      </c>
      <c r="AA24" s="3">
        <f>IF($Y24="",FALSE,AND($Y24&gt;p_dias_backlog_min,$Y24&lt;=p_dias_backlog_max))</f>
        <v/>
      </c>
      <c r="AB24" s="6" t="inlineStr">
        <is>
          <t>Técnico 01</t>
        </is>
      </c>
      <c r="AC24" s="3">
        <f>IF($AB24="","",IFERROR(INDEX('ASIGNACIONES'!$F$4:$F$339,MATCH($O24&amp;"|"&amp;$R24&amp;"|"&amp;$AB24,'ASIGNACIONES'!$I$4:$I$339,0)),""))</f>
        <v/>
      </c>
      <c r="AD24" s="13">
        <f>IF($AB24="","",SUMIFS('ORDENES'!$L$4:$L$203,'ORDENES'!$AB$4:$AB$203,$AB24,'ORDENES'!$O$4:$O$203,$O24,'ORDENES'!$R$4:$R$203,$R24))</f>
        <v/>
      </c>
      <c r="AE24" s="13">
        <f>IF($AD24="","",p_factor_productividad*IFERROR(INDEX('ASIGNACIONES'!$H$4:$H$339,MATCH($O24&amp;"|"&amp;$R24&amp;"|"&amp;$AB24,'ASIGNACIONES'!$I$4:$I$339,0)),0)-$AD24)</f>
        <v/>
      </c>
      <c r="AF24" s="10">
        <f>IFERROR(INDEX('2_IMPORTAR_EJECUCION'!$G$9:$G$171,MATCH($C24,'2_IMPORTAR_EJECUCION'!$A$9:$A$171,0)),0)</f>
        <v/>
      </c>
      <c r="AG24" s="10">
        <f>MAX(0,IFERROR(INDEX('2_IMPORTAR_EJECUCION'!$I$9:$I$171,MATCH($C24,'2_IMPORTAR_EJECUCION'!$A$9:$A$171,0)),0)-$AF24)</f>
        <v/>
      </c>
      <c r="AH24" s="10">
        <f>$AF24+$AG24</f>
        <v/>
      </c>
      <c r="AI24" s="6" t="inlineStr"/>
      <c r="AJ24" s="6" t="inlineStr"/>
      <c r="AK24" s="6" t="inlineStr">
        <is>
          <t>ACT-01.pdf</t>
        </is>
      </c>
      <c r="AL24" s="3">
        <f>IF($AK24="","",HYPERLINK(p_ruta_base_checklists&amp;$AK24,"abrir"))</f>
        <v/>
      </c>
      <c r="AM24" s="6" t="inlineStr"/>
    </row>
    <row r="25">
      <c r="A25" s="3" t="inlineStr">
        <is>
          <t>OT-000022</t>
        </is>
      </c>
      <c r="B25" s="3" t="inlineStr">
        <is>
          <t>0010</t>
        </is>
      </c>
      <c r="C25" s="3">
        <f>$A25&amp;IF($B25="","0010",$B25)</f>
        <v/>
      </c>
      <c r="D25" s="3" t="inlineStr">
        <is>
          <t>Lubricación programada — EQ-103</t>
        </is>
      </c>
      <c r="E25" s="3" t="inlineStr">
        <is>
          <t>Lubricación programada en EQ-103</t>
        </is>
      </c>
      <c r="F25" s="3" t="inlineStr">
        <is>
          <t>EQ-103</t>
        </is>
      </c>
      <c r="G25" s="3" t="inlineStr">
        <is>
          <t>CC-110</t>
        </is>
      </c>
      <c r="H25" s="3" t="inlineStr">
        <is>
          <t>PU-MEC</t>
        </is>
      </c>
      <c r="I25" s="3" t="inlineStr">
        <is>
          <t>ACT-02</t>
        </is>
      </c>
      <c r="J25" s="3" t="inlineStr">
        <is>
          <t>TIPO-P1</t>
        </is>
      </c>
      <c r="K25" s="11" t="n">
        <v>46224</v>
      </c>
      <c r="L25" s="3" t="n">
        <v>8</v>
      </c>
      <c r="M25" s="10" t="n">
        <v>200</v>
      </c>
      <c r="N25" s="3">
        <f>IFERROR(INDEX('CAT_ESTADOS_ERP'!$B$4:$B$7,MATCH(IFERROR(INDEX('2_IMPORTAR_EJECUCION'!$D$9:$D$171,MATCH($C25,'2_IMPORTAR_EJECUCION'!$A$9:$A$171,0)),""),'CAT_ESTADOS_ERP'!$A$4:$A$7,0)),"Pendiente")</f>
        <v/>
      </c>
      <c r="O25" s="3">
        <f>IF($K25="","","S"&amp;IF(_xlfn.ISOWEEKNUM($K25)=53,1,_xlfn.ISOWEEKNUM($K25)))</f>
        <v/>
      </c>
      <c r="P25" s="3">
        <f>IF($K25="","",YEAR($K25))</f>
        <v/>
      </c>
      <c r="Q25" s="3">
        <f>IF($K25="","",MONTH($K25))</f>
        <v/>
      </c>
      <c r="R25" s="3">
        <f>IF($K25="","",INDEX(lista_dias,WEEKDAY($K25,2)))</f>
        <v/>
      </c>
      <c r="S25" s="3">
        <f>IFERROR(INDEX('CAT_TIPOS_OT'!$C$4:$C$7,MATCH($J25,'CAT_TIPOS_OT'!$A$4:$A$7,0)),"sin_clasificar")</f>
        <v/>
      </c>
      <c r="T25" s="3">
        <f>IFERROR(INDEX('CAT_CENTROS_COSTO'!$E$4:$E$9,MATCH($G25,'CAT_CENTROS_COSTO'!$A$4:$A$9,0)),"(sin catálogo)")</f>
        <v/>
      </c>
      <c r="U25" s="3">
        <f>IFERROR(INDEX('CAT_CENTROS_COSTO'!$D$4:$D$9,MATCH($G25,'CAT_CENTROS_COSTO'!$A$4:$A$9,0)),"(sin catálogo)")</f>
        <v/>
      </c>
      <c r="V25" s="3">
        <f>IFERROR(INDEX('CAT_CENTROS_COSTO'!$F$4:$F$9,MATCH($G25,'CAT_CENTROS_COSTO'!$A$4:$A$9,0)),"(sin catálogo)")</f>
        <v/>
      </c>
      <c r="W25" s="3">
        <f>IFERROR(INDEX('CAT_PUESTOS'!$B$4:$B$8,MATCH($H25,'CAT_PUESTOS'!$A$4:$A$8,0)),"(sin catálogo)")</f>
        <v/>
      </c>
      <c r="X25" s="3">
        <f>IFERROR(INDEX('CAT_ACTIVIDADES'!$B$4:$B$8,MATCH($I25,'CAT_ACTIVIDADES'!$A$4:$A$8,0)),"(sin catálogo)")</f>
        <v/>
      </c>
      <c r="Y25" s="12">
        <f>IF($K25="","",TODAY()-$K25)</f>
        <v/>
      </c>
      <c r="Z25" s="3">
        <f>IF($Y25="","",IF($Y25&lt;0,"FUTURO",IF($Y25&gt;p_dias_backlog_max,"BACKLOG","MES CORRIENTE")))</f>
        <v/>
      </c>
      <c r="AA25" s="3">
        <f>IF($Y25="",FALSE,AND($Y25&gt;p_dias_backlog_min,$Y25&lt;=p_dias_backlog_max))</f>
        <v/>
      </c>
      <c r="AB25" s="6" t="inlineStr">
        <is>
          <t>Técnico 02</t>
        </is>
      </c>
      <c r="AC25" s="3">
        <f>IF($AB25="","",IFERROR(INDEX('ASIGNACIONES'!$F$4:$F$339,MATCH($O25&amp;"|"&amp;$R25&amp;"|"&amp;$AB25,'ASIGNACIONES'!$I$4:$I$339,0)),""))</f>
        <v/>
      </c>
      <c r="AD25" s="13">
        <f>IF($AB25="","",SUMIFS('ORDENES'!$L$4:$L$203,'ORDENES'!$AB$4:$AB$203,$AB25,'ORDENES'!$O$4:$O$203,$O25,'ORDENES'!$R$4:$R$203,$R25))</f>
        <v/>
      </c>
      <c r="AE25" s="13">
        <f>IF($AD25="","",p_factor_productividad*IFERROR(INDEX('ASIGNACIONES'!$H$4:$H$339,MATCH($O25&amp;"|"&amp;$R25&amp;"|"&amp;$AB25,'ASIGNACIONES'!$I$4:$I$339,0)),0)-$AD25)</f>
        <v/>
      </c>
      <c r="AF25" s="10">
        <f>IFERROR(INDEX('2_IMPORTAR_EJECUCION'!$G$9:$G$171,MATCH($C25,'2_IMPORTAR_EJECUCION'!$A$9:$A$171,0)),0)</f>
        <v/>
      </c>
      <c r="AG25" s="10">
        <f>MAX(0,IFERROR(INDEX('2_IMPORTAR_EJECUCION'!$I$9:$I$171,MATCH($C25,'2_IMPORTAR_EJECUCION'!$A$9:$A$171,0)),0)-$AF25)</f>
        <v/>
      </c>
      <c r="AH25" s="10">
        <f>$AF25+$AG25</f>
        <v/>
      </c>
      <c r="AI25" s="6" t="inlineStr"/>
      <c r="AJ25" s="6" t="inlineStr"/>
      <c r="AK25" s="6" t="inlineStr">
        <is>
          <t>ACT-02.pdf</t>
        </is>
      </c>
      <c r="AL25" s="3">
        <f>IF($AK25="","",HYPERLINK(p_ruta_base_checklists&amp;$AK25,"abrir"))</f>
        <v/>
      </c>
      <c r="AM25" s="6" t="inlineStr"/>
    </row>
    <row r="26">
      <c r="A26" s="3" t="inlineStr">
        <is>
          <t>OT-000023</t>
        </is>
      </c>
      <c r="B26" s="3" t="inlineStr">
        <is>
          <t>0010</t>
        </is>
      </c>
      <c r="C26" s="3">
        <f>$A26&amp;IF($B26="","0010",$B26)</f>
        <v/>
      </c>
      <c r="D26" s="3" t="inlineStr">
        <is>
          <t>Reparación de falla — EQ-109</t>
        </is>
      </c>
      <c r="E26" s="3" t="inlineStr">
        <is>
          <t>Reparación de falla en EQ-109</t>
        </is>
      </c>
      <c r="F26" s="3" t="inlineStr">
        <is>
          <t>EQ-109</t>
        </is>
      </c>
      <c r="G26" s="3" t="inlineStr">
        <is>
          <t>CC-210</t>
        </is>
      </c>
      <c r="H26" s="3" t="inlineStr">
        <is>
          <t>PU-MEC</t>
        </is>
      </c>
      <c r="I26" s="3" t="inlineStr">
        <is>
          <t>ACT-03</t>
        </is>
      </c>
      <c r="J26" s="3" t="inlineStr">
        <is>
          <t>TIPO-C2</t>
        </is>
      </c>
      <c r="K26" s="11" t="n">
        <v>46225</v>
      </c>
      <c r="L26" s="3" t="n">
        <v>10</v>
      </c>
      <c r="M26" s="10" t="n">
        <v>400</v>
      </c>
      <c r="N26" s="3">
        <f>IFERROR(INDEX('CAT_ESTADOS_ERP'!$B$4:$B$7,MATCH(IFERROR(INDEX('2_IMPORTAR_EJECUCION'!$D$9:$D$171,MATCH($C26,'2_IMPORTAR_EJECUCION'!$A$9:$A$171,0)),""),'CAT_ESTADOS_ERP'!$A$4:$A$7,0)),"Pendiente")</f>
        <v/>
      </c>
      <c r="O26" s="3">
        <f>IF($K26="","","S"&amp;IF(_xlfn.ISOWEEKNUM($K26)=53,1,_xlfn.ISOWEEKNUM($K26)))</f>
        <v/>
      </c>
      <c r="P26" s="3">
        <f>IF($K26="","",YEAR($K26))</f>
        <v/>
      </c>
      <c r="Q26" s="3">
        <f>IF($K26="","",MONTH($K26))</f>
        <v/>
      </c>
      <c r="R26" s="3">
        <f>IF($K26="","",INDEX(lista_dias,WEEKDAY($K26,2)))</f>
        <v/>
      </c>
      <c r="S26" s="3">
        <f>IFERROR(INDEX('CAT_TIPOS_OT'!$C$4:$C$7,MATCH($J26,'CAT_TIPOS_OT'!$A$4:$A$7,0)),"sin_clasificar")</f>
        <v/>
      </c>
      <c r="T26" s="3">
        <f>IFERROR(INDEX('CAT_CENTROS_COSTO'!$E$4:$E$9,MATCH($G26,'CAT_CENTROS_COSTO'!$A$4:$A$9,0)),"(sin catálogo)")</f>
        <v/>
      </c>
      <c r="U26" s="3">
        <f>IFERROR(INDEX('CAT_CENTROS_COSTO'!$D$4:$D$9,MATCH($G26,'CAT_CENTROS_COSTO'!$A$4:$A$9,0)),"(sin catálogo)")</f>
        <v/>
      </c>
      <c r="V26" s="3">
        <f>IFERROR(INDEX('CAT_CENTROS_COSTO'!$F$4:$F$9,MATCH($G26,'CAT_CENTROS_COSTO'!$A$4:$A$9,0)),"(sin catálogo)")</f>
        <v/>
      </c>
      <c r="W26" s="3">
        <f>IFERROR(INDEX('CAT_PUESTOS'!$B$4:$B$8,MATCH($H26,'CAT_PUESTOS'!$A$4:$A$8,0)),"(sin catálogo)")</f>
        <v/>
      </c>
      <c r="X26" s="3">
        <f>IFERROR(INDEX('CAT_ACTIVIDADES'!$B$4:$B$8,MATCH($I26,'CAT_ACTIVIDADES'!$A$4:$A$8,0)),"(sin catálogo)")</f>
        <v/>
      </c>
      <c r="Y26" s="12">
        <f>IF($K26="","",TODAY()-$K26)</f>
        <v/>
      </c>
      <c r="Z26" s="3">
        <f>IF($Y26="","",IF($Y26&lt;0,"FUTURO",IF($Y26&gt;p_dias_backlog_max,"BACKLOG","MES CORRIENTE")))</f>
        <v/>
      </c>
      <c r="AA26" s="3">
        <f>IF($Y26="",FALSE,AND($Y26&gt;p_dias_backlog_min,$Y26&lt;=p_dias_backlog_max))</f>
        <v/>
      </c>
      <c r="AB26" s="6" t="inlineStr">
        <is>
          <t>Técnico 03</t>
        </is>
      </c>
      <c r="AC26" s="3">
        <f>IF($AB26="","",IFERROR(INDEX('ASIGNACIONES'!$F$4:$F$339,MATCH($O26&amp;"|"&amp;$R26&amp;"|"&amp;$AB26,'ASIGNACIONES'!$I$4:$I$339,0)),""))</f>
        <v/>
      </c>
      <c r="AD26" s="13">
        <f>IF($AB26="","",SUMIFS('ORDENES'!$L$4:$L$203,'ORDENES'!$AB$4:$AB$203,$AB26,'ORDENES'!$O$4:$O$203,$O26,'ORDENES'!$R$4:$R$203,$R26))</f>
        <v/>
      </c>
      <c r="AE26" s="13">
        <f>IF($AD26="","",p_factor_productividad*IFERROR(INDEX('ASIGNACIONES'!$H$4:$H$339,MATCH($O26&amp;"|"&amp;$R26&amp;"|"&amp;$AB26,'ASIGNACIONES'!$I$4:$I$339,0)),0)-$AD26)</f>
        <v/>
      </c>
      <c r="AF26" s="10">
        <f>IFERROR(INDEX('2_IMPORTAR_EJECUCION'!$G$9:$G$171,MATCH($C26,'2_IMPORTAR_EJECUCION'!$A$9:$A$171,0)),0)</f>
        <v/>
      </c>
      <c r="AG26" s="10">
        <f>MAX(0,IFERROR(INDEX('2_IMPORTAR_EJECUCION'!$I$9:$I$171,MATCH($C26,'2_IMPORTAR_EJECUCION'!$A$9:$A$171,0)),0)-$AF26)</f>
        <v/>
      </c>
      <c r="AH26" s="10">
        <f>$AF26+$AG26</f>
        <v/>
      </c>
      <c r="AI26" s="6" t="inlineStr"/>
      <c r="AJ26" s="6" t="inlineStr"/>
      <c r="AK26" s="6" t="inlineStr"/>
      <c r="AL26" s="3">
        <f>IF($AK26="","",HYPERLINK(p_ruta_base_checklists&amp;$AK26,"abrir"))</f>
        <v/>
      </c>
      <c r="AM26" s="6" t="inlineStr"/>
    </row>
    <row r="27">
      <c r="A27" s="3" t="inlineStr">
        <is>
          <t>OT-000024</t>
        </is>
      </c>
      <c r="B27" s="3" t="inlineStr">
        <is>
          <t>0010</t>
        </is>
      </c>
      <c r="C27" s="3">
        <f>$A27&amp;IF($B27="","0010",$B27)</f>
        <v/>
      </c>
      <c r="D27" s="3" t="inlineStr">
        <is>
          <t>Reparación de falla — EQ-110</t>
        </is>
      </c>
      <c r="E27" s="3" t="inlineStr">
        <is>
          <t>Reparación de falla en EQ-110</t>
        </is>
      </c>
      <c r="F27" s="3" t="inlineStr">
        <is>
          <t>EQ-110</t>
        </is>
      </c>
      <c r="G27" s="3" t="inlineStr">
        <is>
          <t>CC-310</t>
        </is>
      </c>
      <c r="H27" s="3" t="inlineStr">
        <is>
          <t>PU-MEC</t>
        </is>
      </c>
      <c r="I27" s="3" t="inlineStr">
        <is>
          <t>ACT-03</t>
        </is>
      </c>
      <c r="J27" s="3" t="inlineStr">
        <is>
          <t>TIPO-C1</t>
        </is>
      </c>
      <c r="K27" s="11" t="n">
        <v>46226</v>
      </c>
      <c r="L27" s="3" t="n">
        <v>8</v>
      </c>
      <c r="M27" s="10" t="n">
        <v>320</v>
      </c>
      <c r="N27" s="3">
        <f>IFERROR(INDEX('CAT_ESTADOS_ERP'!$B$4:$B$7,MATCH(IFERROR(INDEX('2_IMPORTAR_EJECUCION'!$D$9:$D$171,MATCH($C27,'2_IMPORTAR_EJECUCION'!$A$9:$A$171,0)),""),'CAT_ESTADOS_ERP'!$A$4:$A$7,0)),"Pendiente")</f>
        <v/>
      </c>
      <c r="O27" s="3">
        <f>IF($K27="","","S"&amp;IF(_xlfn.ISOWEEKNUM($K27)=53,1,_xlfn.ISOWEEKNUM($K27)))</f>
        <v/>
      </c>
      <c r="P27" s="3">
        <f>IF($K27="","",YEAR($K27))</f>
        <v/>
      </c>
      <c r="Q27" s="3">
        <f>IF($K27="","",MONTH($K27))</f>
        <v/>
      </c>
      <c r="R27" s="3">
        <f>IF($K27="","",INDEX(lista_dias,WEEKDAY($K27,2)))</f>
        <v/>
      </c>
      <c r="S27" s="3">
        <f>IFERROR(INDEX('CAT_TIPOS_OT'!$C$4:$C$7,MATCH($J27,'CAT_TIPOS_OT'!$A$4:$A$7,0)),"sin_clasificar")</f>
        <v/>
      </c>
      <c r="T27" s="3">
        <f>IFERROR(INDEX('CAT_CENTROS_COSTO'!$E$4:$E$9,MATCH($G27,'CAT_CENTROS_COSTO'!$A$4:$A$9,0)),"(sin catálogo)")</f>
        <v/>
      </c>
      <c r="U27" s="3">
        <f>IFERROR(INDEX('CAT_CENTROS_COSTO'!$D$4:$D$9,MATCH($G27,'CAT_CENTROS_COSTO'!$A$4:$A$9,0)),"(sin catálogo)")</f>
        <v/>
      </c>
      <c r="V27" s="3">
        <f>IFERROR(INDEX('CAT_CENTROS_COSTO'!$F$4:$F$9,MATCH($G27,'CAT_CENTROS_COSTO'!$A$4:$A$9,0)),"(sin catálogo)")</f>
        <v/>
      </c>
      <c r="W27" s="3">
        <f>IFERROR(INDEX('CAT_PUESTOS'!$B$4:$B$8,MATCH($H27,'CAT_PUESTOS'!$A$4:$A$8,0)),"(sin catálogo)")</f>
        <v/>
      </c>
      <c r="X27" s="3">
        <f>IFERROR(INDEX('CAT_ACTIVIDADES'!$B$4:$B$8,MATCH($I27,'CAT_ACTIVIDADES'!$A$4:$A$8,0)),"(sin catálogo)")</f>
        <v/>
      </c>
      <c r="Y27" s="12">
        <f>IF($K27="","",TODAY()-$K27)</f>
        <v/>
      </c>
      <c r="Z27" s="3">
        <f>IF($Y27="","",IF($Y27&lt;0,"FUTURO",IF($Y27&gt;p_dias_backlog_max,"BACKLOG","MES CORRIENTE")))</f>
        <v/>
      </c>
      <c r="AA27" s="3">
        <f>IF($Y27="",FALSE,AND($Y27&gt;p_dias_backlog_min,$Y27&lt;=p_dias_backlog_max))</f>
        <v/>
      </c>
      <c r="AB27" s="6" t="inlineStr"/>
      <c r="AC27" s="3">
        <f>IF($AB27="","",IFERROR(INDEX('ASIGNACIONES'!$F$4:$F$339,MATCH($O27&amp;"|"&amp;$R27&amp;"|"&amp;$AB27,'ASIGNACIONES'!$I$4:$I$339,0)),""))</f>
        <v/>
      </c>
      <c r="AD27" s="13">
        <f>IF($AB27="","",SUMIFS('ORDENES'!$L$4:$L$203,'ORDENES'!$AB$4:$AB$203,$AB27,'ORDENES'!$O$4:$O$203,$O27,'ORDENES'!$R$4:$R$203,$R27))</f>
        <v/>
      </c>
      <c r="AE27" s="13">
        <f>IF($AD27="","",p_factor_productividad*IFERROR(INDEX('ASIGNACIONES'!$H$4:$H$339,MATCH($O27&amp;"|"&amp;$R27&amp;"|"&amp;$AB27,'ASIGNACIONES'!$I$4:$I$339,0)),0)-$AD27)</f>
        <v/>
      </c>
      <c r="AF27" s="10">
        <f>IFERROR(INDEX('2_IMPORTAR_EJECUCION'!$G$9:$G$171,MATCH($C27,'2_IMPORTAR_EJECUCION'!$A$9:$A$171,0)),0)</f>
        <v/>
      </c>
      <c r="AG27" s="10">
        <f>MAX(0,IFERROR(INDEX('2_IMPORTAR_EJECUCION'!$I$9:$I$171,MATCH($C27,'2_IMPORTAR_EJECUCION'!$A$9:$A$171,0)),0)-$AF27)</f>
        <v/>
      </c>
      <c r="AH27" s="10">
        <f>$AF27+$AG27</f>
        <v/>
      </c>
      <c r="AI27" s="6" t="inlineStr">
        <is>
          <t>PT-CALIENTE</t>
        </is>
      </c>
      <c r="AJ27" s="6" t="inlineStr">
        <is>
          <t>LOTO</t>
        </is>
      </c>
      <c r="AK27" s="6" t="inlineStr"/>
      <c r="AL27" s="3">
        <f>IF($AK27="","",HYPERLINK(p_ruta_base_checklists&amp;$AK27,"abrir"))</f>
        <v/>
      </c>
      <c r="AM27" s="6" t="inlineStr"/>
    </row>
    <row r="28">
      <c r="A28" s="3" t="inlineStr">
        <is>
          <t>OT-000025</t>
        </is>
      </c>
      <c r="B28" s="3" t="inlineStr">
        <is>
          <t>0010</t>
        </is>
      </c>
      <c r="C28" s="3">
        <f>$A28&amp;IF($B28="","0010",$B28)</f>
        <v/>
      </c>
      <c r="D28" s="3" t="inlineStr">
        <is>
          <t>Reparación de falla — EQ-101</t>
        </is>
      </c>
      <c r="E28" s="3" t="inlineStr">
        <is>
          <t>Reparación de falla en EQ-101</t>
        </is>
      </c>
      <c r="F28" s="3" t="inlineStr">
        <is>
          <t>EQ-101</t>
        </is>
      </c>
      <c r="G28" s="3" t="inlineStr">
        <is>
          <t>CC-110</t>
        </is>
      </c>
      <c r="H28" s="3" t="inlineStr">
        <is>
          <t>PU-MEC</t>
        </is>
      </c>
      <c r="I28" s="3" t="inlineStr">
        <is>
          <t>ACT-03</t>
        </is>
      </c>
      <c r="J28" s="3" t="inlineStr">
        <is>
          <t>TIPO-C2</t>
        </is>
      </c>
      <c r="K28" s="11" t="n">
        <v>46227</v>
      </c>
      <c r="L28" s="3" t="n">
        <v>7</v>
      </c>
      <c r="M28" s="10" t="n">
        <v>280</v>
      </c>
      <c r="N28" s="3">
        <f>IFERROR(INDEX('CAT_ESTADOS_ERP'!$B$4:$B$7,MATCH(IFERROR(INDEX('2_IMPORTAR_EJECUCION'!$D$9:$D$171,MATCH($C28,'2_IMPORTAR_EJECUCION'!$A$9:$A$171,0)),""),'CAT_ESTADOS_ERP'!$A$4:$A$7,0)),"Pendiente")</f>
        <v/>
      </c>
      <c r="O28" s="3">
        <f>IF($K28="","","S"&amp;IF(_xlfn.ISOWEEKNUM($K28)=53,1,_xlfn.ISOWEEKNUM($K28)))</f>
        <v/>
      </c>
      <c r="P28" s="3">
        <f>IF($K28="","",YEAR($K28))</f>
        <v/>
      </c>
      <c r="Q28" s="3">
        <f>IF($K28="","",MONTH($K28))</f>
        <v/>
      </c>
      <c r="R28" s="3">
        <f>IF($K28="","",INDEX(lista_dias,WEEKDAY($K28,2)))</f>
        <v/>
      </c>
      <c r="S28" s="3">
        <f>IFERROR(INDEX('CAT_TIPOS_OT'!$C$4:$C$7,MATCH($J28,'CAT_TIPOS_OT'!$A$4:$A$7,0)),"sin_clasificar")</f>
        <v/>
      </c>
      <c r="T28" s="3">
        <f>IFERROR(INDEX('CAT_CENTROS_COSTO'!$E$4:$E$9,MATCH($G28,'CAT_CENTROS_COSTO'!$A$4:$A$9,0)),"(sin catálogo)")</f>
        <v/>
      </c>
      <c r="U28" s="3">
        <f>IFERROR(INDEX('CAT_CENTROS_COSTO'!$D$4:$D$9,MATCH($G28,'CAT_CENTROS_COSTO'!$A$4:$A$9,0)),"(sin catálogo)")</f>
        <v/>
      </c>
      <c r="V28" s="3">
        <f>IFERROR(INDEX('CAT_CENTROS_COSTO'!$F$4:$F$9,MATCH($G28,'CAT_CENTROS_COSTO'!$A$4:$A$9,0)),"(sin catálogo)")</f>
        <v/>
      </c>
      <c r="W28" s="3">
        <f>IFERROR(INDEX('CAT_PUESTOS'!$B$4:$B$8,MATCH($H28,'CAT_PUESTOS'!$A$4:$A$8,0)),"(sin catálogo)")</f>
        <v/>
      </c>
      <c r="X28" s="3">
        <f>IFERROR(INDEX('CAT_ACTIVIDADES'!$B$4:$B$8,MATCH($I28,'CAT_ACTIVIDADES'!$A$4:$A$8,0)),"(sin catálogo)")</f>
        <v/>
      </c>
      <c r="Y28" s="12">
        <f>IF($K28="","",TODAY()-$K28)</f>
        <v/>
      </c>
      <c r="Z28" s="3">
        <f>IF($Y28="","",IF($Y28&lt;0,"FUTURO",IF($Y28&gt;p_dias_backlog_max,"BACKLOG","MES CORRIENTE")))</f>
        <v/>
      </c>
      <c r="AA28" s="3">
        <f>IF($Y28="",FALSE,AND($Y28&gt;p_dias_backlog_min,$Y28&lt;=p_dias_backlog_max))</f>
        <v/>
      </c>
      <c r="AB28" s="6" t="inlineStr">
        <is>
          <t>Técnico 01</t>
        </is>
      </c>
      <c r="AC28" s="3">
        <f>IF($AB28="","",IFERROR(INDEX('ASIGNACIONES'!$F$4:$F$339,MATCH($O28&amp;"|"&amp;$R28&amp;"|"&amp;$AB28,'ASIGNACIONES'!$I$4:$I$339,0)),""))</f>
        <v/>
      </c>
      <c r="AD28" s="13">
        <f>IF($AB28="","",SUMIFS('ORDENES'!$L$4:$L$203,'ORDENES'!$AB$4:$AB$203,$AB28,'ORDENES'!$O$4:$O$203,$O28,'ORDENES'!$R$4:$R$203,$R28))</f>
        <v/>
      </c>
      <c r="AE28" s="13">
        <f>IF($AD28="","",p_factor_productividad*IFERROR(INDEX('ASIGNACIONES'!$H$4:$H$339,MATCH($O28&amp;"|"&amp;$R28&amp;"|"&amp;$AB28,'ASIGNACIONES'!$I$4:$I$339,0)),0)-$AD28)</f>
        <v/>
      </c>
      <c r="AF28" s="10">
        <f>IFERROR(INDEX('2_IMPORTAR_EJECUCION'!$G$9:$G$171,MATCH($C28,'2_IMPORTAR_EJECUCION'!$A$9:$A$171,0)),0)</f>
        <v/>
      </c>
      <c r="AG28" s="10">
        <f>MAX(0,IFERROR(INDEX('2_IMPORTAR_EJECUCION'!$I$9:$I$171,MATCH($C28,'2_IMPORTAR_EJECUCION'!$A$9:$A$171,0)),0)-$AF28)</f>
        <v/>
      </c>
      <c r="AH28" s="10">
        <f>$AF28+$AG28</f>
        <v/>
      </c>
      <c r="AI28" s="6" t="inlineStr"/>
      <c r="AJ28" s="6" t="inlineStr"/>
      <c r="AK28" s="6" t="inlineStr"/>
      <c r="AL28" s="3">
        <f>IF($AK28="","",HYPERLINK(p_ruta_base_checklists&amp;$AK28,"abrir"))</f>
        <v/>
      </c>
      <c r="AM28" s="6" t="inlineStr"/>
    </row>
    <row r="29">
      <c r="A29" s="3" t="inlineStr">
        <is>
          <t>OT-000026</t>
        </is>
      </c>
      <c r="B29" s="3" t="inlineStr">
        <is>
          <t>0010</t>
        </is>
      </c>
      <c r="C29" s="3">
        <f>$A29&amp;IF($B29="","0010",$B29)</f>
        <v/>
      </c>
      <c r="D29" s="3" t="inlineStr">
        <is>
          <t>Análisis predictivo — EQ-108</t>
        </is>
      </c>
      <c r="E29" s="3" t="inlineStr">
        <is>
          <t>Análisis predictivo en EQ-108</t>
        </is>
      </c>
      <c r="F29" s="3" t="inlineStr">
        <is>
          <t>EQ-108</t>
        </is>
      </c>
      <c r="G29" s="3" t="inlineStr">
        <is>
          <t>CC-210</t>
        </is>
      </c>
      <c r="H29" s="3" t="inlineStr">
        <is>
          <t>PU-MEC</t>
        </is>
      </c>
      <c r="I29" s="3" t="inlineStr">
        <is>
          <t>ACT-04</t>
        </is>
      </c>
      <c r="J29" s="3" t="inlineStr">
        <is>
          <t>TIPO-P1</t>
        </is>
      </c>
      <c r="K29" s="11" t="n">
        <v>46230</v>
      </c>
      <c r="L29" s="3" t="n">
        <v>10</v>
      </c>
      <c r="M29" s="10" t="n">
        <v>250</v>
      </c>
      <c r="N29" s="3">
        <f>IFERROR(INDEX('CAT_ESTADOS_ERP'!$B$4:$B$7,MATCH(IFERROR(INDEX('2_IMPORTAR_EJECUCION'!$D$9:$D$171,MATCH($C29,'2_IMPORTAR_EJECUCION'!$A$9:$A$171,0)),""),'CAT_ESTADOS_ERP'!$A$4:$A$7,0)),"Pendiente")</f>
        <v/>
      </c>
      <c r="O29" s="3">
        <f>IF($K29="","","S"&amp;IF(_xlfn.ISOWEEKNUM($K29)=53,1,_xlfn.ISOWEEKNUM($K29)))</f>
        <v/>
      </c>
      <c r="P29" s="3">
        <f>IF($K29="","",YEAR($K29))</f>
        <v/>
      </c>
      <c r="Q29" s="3">
        <f>IF($K29="","",MONTH($K29))</f>
        <v/>
      </c>
      <c r="R29" s="3">
        <f>IF($K29="","",INDEX(lista_dias,WEEKDAY($K29,2)))</f>
        <v/>
      </c>
      <c r="S29" s="3">
        <f>IFERROR(INDEX('CAT_TIPOS_OT'!$C$4:$C$7,MATCH($J29,'CAT_TIPOS_OT'!$A$4:$A$7,0)),"sin_clasificar")</f>
        <v/>
      </c>
      <c r="T29" s="3">
        <f>IFERROR(INDEX('CAT_CENTROS_COSTO'!$E$4:$E$9,MATCH($G29,'CAT_CENTROS_COSTO'!$A$4:$A$9,0)),"(sin catálogo)")</f>
        <v/>
      </c>
      <c r="U29" s="3">
        <f>IFERROR(INDEX('CAT_CENTROS_COSTO'!$D$4:$D$9,MATCH($G29,'CAT_CENTROS_COSTO'!$A$4:$A$9,0)),"(sin catálogo)")</f>
        <v/>
      </c>
      <c r="V29" s="3">
        <f>IFERROR(INDEX('CAT_CENTROS_COSTO'!$F$4:$F$9,MATCH($G29,'CAT_CENTROS_COSTO'!$A$4:$A$9,0)),"(sin catálogo)")</f>
        <v/>
      </c>
      <c r="W29" s="3">
        <f>IFERROR(INDEX('CAT_PUESTOS'!$B$4:$B$8,MATCH($H29,'CAT_PUESTOS'!$A$4:$A$8,0)),"(sin catálogo)")</f>
        <v/>
      </c>
      <c r="X29" s="3">
        <f>IFERROR(INDEX('CAT_ACTIVIDADES'!$B$4:$B$8,MATCH($I29,'CAT_ACTIVIDADES'!$A$4:$A$8,0)),"(sin catálogo)")</f>
        <v/>
      </c>
      <c r="Y29" s="12">
        <f>IF($K29="","",TODAY()-$K29)</f>
        <v/>
      </c>
      <c r="Z29" s="3">
        <f>IF($Y29="","",IF($Y29&lt;0,"FUTURO",IF($Y29&gt;p_dias_backlog_max,"BACKLOG","MES CORRIENTE")))</f>
        <v/>
      </c>
      <c r="AA29" s="3">
        <f>IF($Y29="",FALSE,AND($Y29&gt;p_dias_backlog_min,$Y29&lt;=p_dias_backlog_max))</f>
        <v/>
      </c>
      <c r="AB29" s="6" t="inlineStr">
        <is>
          <t>Técnico 04</t>
        </is>
      </c>
      <c r="AC29" s="3">
        <f>IF($AB29="","",IFERROR(INDEX('ASIGNACIONES'!$F$4:$F$339,MATCH($O29&amp;"|"&amp;$R29&amp;"|"&amp;$AB29,'ASIGNACIONES'!$I$4:$I$339,0)),""))</f>
        <v/>
      </c>
      <c r="AD29" s="13">
        <f>IF($AB29="","",SUMIFS('ORDENES'!$L$4:$L$203,'ORDENES'!$AB$4:$AB$203,$AB29,'ORDENES'!$O$4:$O$203,$O29,'ORDENES'!$R$4:$R$203,$R29))</f>
        <v/>
      </c>
      <c r="AE29" s="13">
        <f>IF($AD29="","",p_factor_productividad*IFERROR(INDEX('ASIGNACIONES'!$H$4:$H$339,MATCH($O29&amp;"|"&amp;$R29&amp;"|"&amp;$AB29,'ASIGNACIONES'!$I$4:$I$339,0)),0)-$AD29)</f>
        <v/>
      </c>
      <c r="AF29" s="10">
        <f>IFERROR(INDEX('2_IMPORTAR_EJECUCION'!$G$9:$G$171,MATCH($C29,'2_IMPORTAR_EJECUCION'!$A$9:$A$171,0)),0)</f>
        <v/>
      </c>
      <c r="AG29" s="10">
        <f>MAX(0,IFERROR(INDEX('2_IMPORTAR_EJECUCION'!$I$9:$I$171,MATCH($C29,'2_IMPORTAR_EJECUCION'!$A$9:$A$171,0)),0)-$AF29)</f>
        <v/>
      </c>
      <c r="AH29" s="10">
        <f>$AF29+$AG29</f>
        <v/>
      </c>
      <c r="AI29" s="6" t="inlineStr"/>
      <c r="AJ29" s="6" t="inlineStr"/>
      <c r="AK29" s="6" t="inlineStr">
        <is>
          <t>ACT-04.pdf</t>
        </is>
      </c>
      <c r="AL29" s="3">
        <f>IF($AK29="","",HYPERLINK(p_ruta_base_checklists&amp;$AK29,"abrir"))</f>
        <v/>
      </c>
      <c r="AM29" s="6" t="inlineStr">
        <is>
          <t>Demo: asignada a técnico de vacaciones (HHD = −HHA)</t>
        </is>
      </c>
    </row>
    <row r="30">
      <c r="A30" s="3" t="inlineStr">
        <is>
          <t>OT-000027</t>
        </is>
      </c>
      <c r="B30" s="3" t="inlineStr">
        <is>
          <t>0010</t>
        </is>
      </c>
      <c r="C30" s="3">
        <f>$A30&amp;IF($B30="","0010",$B30)</f>
        <v/>
      </c>
      <c r="D30" s="3" t="inlineStr">
        <is>
          <t>Inspección de rutina — EQ-110</t>
        </is>
      </c>
      <c r="E30" s="3" t="inlineStr">
        <is>
          <t>Inspección de rutina en EQ-110</t>
        </is>
      </c>
      <c r="F30" s="3" t="inlineStr">
        <is>
          <t>EQ-110</t>
        </is>
      </c>
      <c r="G30" s="3" t="inlineStr">
        <is>
          <t>CC-310</t>
        </is>
      </c>
      <c r="H30" s="3" t="inlineStr">
        <is>
          <t>PU-MEC</t>
        </is>
      </c>
      <c r="I30" s="3" t="inlineStr">
        <is>
          <t>ACT-01</t>
        </is>
      </c>
      <c r="J30" s="3" t="inlineStr">
        <is>
          <t>TIPO-P2</t>
        </is>
      </c>
      <c r="K30" s="11" t="n">
        <v>46231</v>
      </c>
      <c r="L30" s="3" t="n">
        <v>8</v>
      </c>
      <c r="M30" s="10" t="n">
        <v>200</v>
      </c>
      <c r="N30" s="3">
        <f>IFERROR(INDEX('CAT_ESTADOS_ERP'!$B$4:$B$7,MATCH(IFERROR(INDEX('2_IMPORTAR_EJECUCION'!$D$9:$D$171,MATCH($C30,'2_IMPORTAR_EJECUCION'!$A$9:$A$171,0)),""),'CAT_ESTADOS_ERP'!$A$4:$A$7,0)),"Pendiente")</f>
        <v/>
      </c>
      <c r="O30" s="3">
        <f>IF($K30="","","S"&amp;IF(_xlfn.ISOWEEKNUM($K30)=53,1,_xlfn.ISOWEEKNUM($K30)))</f>
        <v/>
      </c>
      <c r="P30" s="3">
        <f>IF($K30="","",YEAR($K30))</f>
        <v/>
      </c>
      <c r="Q30" s="3">
        <f>IF($K30="","",MONTH($K30))</f>
        <v/>
      </c>
      <c r="R30" s="3">
        <f>IF($K30="","",INDEX(lista_dias,WEEKDAY($K30,2)))</f>
        <v/>
      </c>
      <c r="S30" s="3">
        <f>IFERROR(INDEX('CAT_TIPOS_OT'!$C$4:$C$7,MATCH($J30,'CAT_TIPOS_OT'!$A$4:$A$7,0)),"sin_clasificar")</f>
        <v/>
      </c>
      <c r="T30" s="3">
        <f>IFERROR(INDEX('CAT_CENTROS_COSTO'!$E$4:$E$9,MATCH($G30,'CAT_CENTROS_COSTO'!$A$4:$A$9,0)),"(sin catálogo)")</f>
        <v/>
      </c>
      <c r="U30" s="3">
        <f>IFERROR(INDEX('CAT_CENTROS_COSTO'!$D$4:$D$9,MATCH($G30,'CAT_CENTROS_COSTO'!$A$4:$A$9,0)),"(sin catálogo)")</f>
        <v/>
      </c>
      <c r="V30" s="3">
        <f>IFERROR(INDEX('CAT_CENTROS_COSTO'!$F$4:$F$9,MATCH($G30,'CAT_CENTROS_COSTO'!$A$4:$A$9,0)),"(sin catálogo)")</f>
        <v/>
      </c>
      <c r="W30" s="3">
        <f>IFERROR(INDEX('CAT_PUESTOS'!$B$4:$B$8,MATCH($H30,'CAT_PUESTOS'!$A$4:$A$8,0)),"(sin catálogo)")</f>
        <v/>
      </c>
      <c r="X30" s="3">
        <f>IFERROR(INDEX('CAT_ACTIVIDADES'!$B$4:$B$8,MATCH($I30,'CAT_ACTIVIDADES'!$A$4:$A$8,0)),"(sin catálogo)")</f>
        <v/>
      </c>
      <c r="Y30" s="12">
        <f>IF($K30="","",TODAY()-$K30)</f>
        <v/>
      </c>
      <c r="Z30" s="3">
        <f>IF($Y30="","",IF($Y30&lt;0,"FUTURO",IF($Y30&gt;p_dias_backlog_max,"BACKLOG","MES CORRIENTE")))</f>
        <v/>
      </c>
      <c r="AA30" s="3">
        <f>IF($Y30="",FALSE,AND($Y30&gt;p_dias_backlog_min,$Y30&lt;=p_dias_backlog_max))</f>
        <v/>
      </c>
      <c r="AB30" s="6" t="inlineStr">
        <is>
          <t>Técnico 03</t>
        </is>
      </c>
      <c r="AC30" s="3">
        <f>IF($AB30="","",IFERROR(INDEX('ASIGNACIONES'!$F$4:$F$339,MATCH($O30&amp;"|"&amp;$R30&amp;"|"&amp;$AB30,'ASIGNACIONES'!$I$4:$I$339,0)),""))</f>
        <v/>
      </c>
      <c r="AD30" s="13">
        <f>IF($AB30="","",SUMIFS('ORDENES'!$L$4:$L$203,'ORDENES'!$AB$4:$AB$203,$AB30,'ORDENES'!$O$4:$O$203,$O30,'ORDENES'!$R$4:$R$203,$R30))</f>
        <v/>
      </c>
      <c r="AE30" s="13">
        <f>IF($AD30="","",p_factor_productividad*IFERROR(INDEX('ASIGNACIONES'!$H$4:$H$339,MATCH($O30&amp;"|"&amp;$R30&amp;"|"&amp;$AB30,'ASIGNACIONES'!$I$4:$I$339,0)),0)-$AD30)</f>
        <v/>
      </c>
      <c r="AF30" s="10">
        <f>IFERROR(INDEX('2_IMPORTAR_EJECUCION'!$G$9:$G$171,MATCH($C30,'2_IMPORTAR_EJECUCION'!$A$9:$A$171,0)),0)</f>
        <v/>
      </c>
      <c r="AG30" s="10">
        <f>MAX(0,IFERROR(INDEX('2_IMPORTAR_EJECUCION'!$I$9:$I$171,MATCH($C30,'2_IMPORTAR_EJECUCION'!$A$9:$A$171,0)),0)-$AF30)</f>
        <v/>
      </c>
      <c r="AH30" s="10">
        <f>$AF30+$AG30</f>
        <v/>
      </c>
      <c r="AI30" s="6" t="inlineStr"/>
      <c r="AJ30" s="6" t="inlineStr"/>
      <c r="AK30" s="6" t="inlineStr">
        <is>
          <t>ACT-01.pdf</t>
        </is>
      </c>
      <c r="AL30" s="3">
        <f>IF($AK30="","",HYPERLINK(p_ruta_base_checklists&amp;$AK30,"abrir"))</f>
        <v/>
      </c>
      <c r="AM30" s="6" t="inlineStr"/>
    </row>
    <row r="31">
      <c r="A31" s="3" t="inlineStr">
        <is>
          <t>OT-000028</t>
        </is>
      </c>
      <c r="B31" s="3" t="inlineStr">
        <is>
          <t>0010</t>
        </is>
      </c>
      <c r="C31" s="3">
        <f>$A31&amp;IF($B31="","0010",$B31)</f>
        <v/>
      </c>
      <c r="D31" s="3" t="inlineStr">
        <is>
          <t>Lubricación programada — EQ-104</t>
        </is>
      </c>
      <c r="E31" s="3" t="inlineStr">
        <is>
          <t>Lubricación programada en EQ-104</t>
        </is>
      </c>
      <c r="F31" s="3" t="inlineStr">
        <is>
          <t>EQ-104</t>
        </is>
      </c>
      <c r="G31" s="3" t="inlineStr">
        <is>
          <t>CC-110</t>
        </is>
      </c>
      <c r="H31" s="3" t="inlineStr">
        <is>
          <t>PU-MEC</t>
        </is>
      </c>
      <c r="I31" s="3" t="inlineStr">
        <is>
          <t>ACT-02</t>
        </is>
      </c>
      <c r="J31" s="3" t="inlineStr">
        <is>
          <t>TIPO-P1</t>
        </is>
      </c>
      <c r="K31" s="11" t="n">
        <v>46232</v>
      </c>
      <c r="L31" s="3" t="n">
        <v>6</v>
      </c>
      <c r="M31" s="10" t="n">
        <v>150</v>
      </c>
      <c r="N31" s="3">
        <f>IFERROR(INDEX('CAT_ESTADOS_ERP'!$B$4:$B$7,MATCH(IFERROR(INDEX('2_IMPORTAR_EJECUCION'!$D$9:$D$171,MATCH($C31,'2_IMPORTAR_EJECUCION'!$A$9:$A$171,0)),""),'CAT_ESTADOS_ERP'!$A$4:$A$7,0)),"Pendiente")</f>
        <v/>
      </c>
      <c r="O31" s="3">
        <f>IF($K31="","","S"&amp;IF(_xlfn.ISOWEEKNUM($K31)=53,1,_xlfn.ISOWEEKNUM($K31)))</f>
        <v/>
      </c>
      <c r="P31" s="3">
        <f>IF($K31="","",YEAR($K31))</f>
        <v/>
      </c>
      <c r="Q31" s="3">
        <f>IF($K31="","",MONTH($K31))</f>
        <v/>
      </c>
      <c r="R31" s="3">
        <f>IF($K31="","",INDEX(lista_dias,WEEKDAY($K31,2)))</f>
        <v/>
      </c>
      <c r="S31" s="3">
        <f>IFERROR(INDEX('CAT_TIPOS_OT'!$C$4:$C$7,MATCH($J31,'CAT_TIPOS_OT'!$A$4:$A$7,0)),"sin_clasificar")</f>
        <v/>
      </c>
      <c r="T31" s="3">
        <f>IFERROR(INDEX('CAT_CENTROS_COSTO'!$E$4:$E$9,MATCH($G31,'CAT_CENTROS_COSTO'!$A$4:$A$9,0)),"(sin catálogo)")</f>
        <v/>
      </c>
      <c r="U31" s="3">
        <f>IFERROR(INDEX('CAT_CENTROS_COSTO'!$D$4:$D$9,MATCH($G31,'CAT_CENTROS_COSTO'!$A$4:$A$9,0)),"(sin catálogo)")</f>
        <v/>
      </c>
      <c r="V31" s="3">
        <f>IFERROR(INDEX('CAT_CENTROS_COSTO'!$F$4:$F$9,MATCH($G31,'CAT_CENTROS_COSTO'!$A$4:$A$9,0)),"(sin catálogo)")</f>
        <v/>
      </c>
      <c r="W31" s="3">
        <f>IFERROR(INDEX('CAT_PUESTOS'!$B$4:$B$8,MATCH($H31,'CAT_PUESTOS'!$A$4:$A$8,0)),"(sin catálogo)")</f>
        <v/>
      </c>
      <c r="X31" s="3">
        <f>IFERROR(INDEX('CAT_ACTIVIDADES'!$B$4:$B$8,MATCH($I31,'CAT_ACTIVIDADES'!$A$4:$A$8,0)),"(sin catálogo)")</f>
        <v/>
      </c>
      <c r="Y31" s="12">
        <f>IF($K31="","",TODAY()-$K31)</f>
        <v/>
      </c>
      <c r="Z31" s="3">
        <f>IF($Y31="","",IF($Y31&lt;0,"FUTURO",IF($Y31&gt;p_dias_backlog_max,"BACKLOG","MES CORRIENTE")))</f>
        <v/>
      </c>
      <c r="AA31" s="3">
        <f>IF($Y31="",FALSE,AND($Y31&gt;p_dias_backlog_min,$Y31&lt;=p_dias_backlog_max))</f>
        <v/>
      </c>
      <c r="AB31" s="6" t="inlineStr">
        <is>
          <t>Técnico 01</t>
        </is>
      </c>
      <c r="AC31" s="3">
        <f>IF($AB31="","",IFERROR(INDEX('ASIGNACIONES'!$F$4:$F$339,MATCH($O31&amp;"|"&amp;$R31&amp;"|"&amp;$AB31,'ASIGNACIONES'!$I$4:$I$339,0)),""))</f>
        <v/>
      </c>
      <c r="AD31" s="13">
        <f>IF($AB31="","",SUMIFS('ORDENES'!$L$4:$L$203,'ORDENES'!$AB$4:$AB$203,$AB31,'ORDENES'!$O$4:$O$203,$O31,'ORDENES'!$R$4:$R$203,$R31))</f>
        <v/>
      </c>
      <c r="AE31" s="13">
        <f>IF($AD31="","",p_factor_productividad*IFERROR(INDEX('ASIGNACIONES'!$H$4:$H$339,MATCH($O31&amp;"|"&amp;$R31&amp;"|"&amp;$AB31,'ASIGNACIONES'!$I$4:$I$339,0)),0)-$AD31)</f>
        <v/>
      </c>
      <c r="AF31" s="10">
        <f>IFERROR(INDEX('2_IMPORTAR_EJECUCION'!$G$9:$G$171,MATCH($C31,'2_IMPORTAR_EJECUCION'!$A$9:$A$171,0)),0)</f>
        <v/>
      </c>
      <c r="AG31" s="10">
        <f>MAX(0,IFERROR(INDEX('2_IMPORTAR_EJECUCION'!$I$9:$I$171,MATCH($C31,'2_IMPORTAR_EJECUCION'!$A$9:$A$171,0)),0)-$AF31)</f>
        <v/>
      </c>
      <c r="AH31" s="10">
        <f>$AF31+$AG31</f>
        <v/>
      </c>
      <c r="AI31" s="6" t="inlineStr"/>
      <c r="AJ31" s="6" t="inlineStr"/>
      <c r="AK31" s="6" t="inlineStr">
        <is>
          <t>ACT-02.pdf</t>
        </is>
      </c>
      <c r="AL31" s="3">
        <f>IF($AK31="","",HYPERLINK(p_ruta_base_checklists&amp;$AK31,"abrir"))</f>
        <v/>
      </c>
      <c r="AM31" s="6" t="inlineStr"/>
    </row>
    <row r="32">
      <c r="A32" s="3" t="inlineStr">
        <is>
          <t>OT-000029</t>
        </is>
      </c>
      <c r="B32" s="3" t="inlineStr">
        <is>
          <t>0010</t>
        </is>
      </c>
      <c r="C32" s="3">
        <f>$A32&amp;IF($B32="","0010",$B32)</f>
        <v/>
      </c>
      <c r="D32" s="3" t="inlineStr">
        <is>
          <t>Análisis predictivo — EQ-107</t>
        </is>
      </c>
      <c r="E32" s="3" t="inlineStr">
        <is>
          <t>Análisis predictivo en EQ-107</t>
        </is>
      </c>
      <c r="F32" s="3" t="inlineStr">
        <is>
          <t>EQ-107</t>
        </is>
      </c>
      <c r="G32" s="3" t="inlineStr">
        <is>
          <t>CC-210</t>
        </is>
      </c>
      <c r="H32" s="3" t="inlineStr">
        <is>
          <t>PU-MEC</t>
        </is>
      </c>
      <c r="I32" s="3" t="inlineStr">
        <is>
          <t>ACT-04</t>
        </is>
      </c>
      <c r="J32" s="3" t="inlineStr">
        <is>
          <t>TIPO-P2</t>
        </is>
      </c>
      <c r="K32" s="11" t="n">
        <v>46233</v>
      </c>
      <c r="L32" s="3" t="n">
        <v>10</v>
      </c>
      <c r="M32" s="10" t="n">
        <v>250</v>
      </c>
      <c r="N32" s="3">
        <f>IFERROR(INDEX('CAT_ESTADOS_ERP'!$B$4:$B$7,MATCH(IFERROR(INDEX('2_IMPORTAR_EJECUCION'!$D$9:$D$171,MATCH($C32,'2_IMPORTAR_EJECUCION'!$A$9:$A$171,0)),""),'CAT_ESTADOS_ERP'!$A$4:$A$7,0)),"Pendiente")</f>
        <v/>
      </c>
      <c r="O32" s="3">
        <f>IF($K32="","","S"&amp;IF(_xlfn.ISOWEEKNUM($K32)=53,1,_xlfn.ISOWEEKNUM($K32)))</f>
        <v/>
      </c>
      <c r="P32" s="3">
        <f>IF($K32="","",YEAR($K32))</f>
        <v/>
      </c>
      <c r="Q32" s="3">
        <f>IF($K32="","",MONTH($K32))</f>
        <v/>
      </c>
      <c r="R32" s="3">
        <f>IF($K32="","",INDEX(lista_dias,WEEKDAY($K32,2)))</f>
        <v/>
      </c>
      <c r="S32" s="3">
        <f>IFERROR(INDEX('CAT_TIPOS_OT'!$C$4:$C$7,MATCH($J32,'CAT_TIPOS_OT'!$A$4:$A$7,0)),"sin_clasificar")</f>
        <v/>
      </c>
      <c r="T32" s="3">
        <f>IFERROR(INDEX('CAT_CENTROS_COSTO'!$E$4:$E$9,MATCH($G32,'CAT_CENTROS_COSTO'!$A$4:$A$9,0)),"(sin catálogo)")</f>
        <v/>
      </c>
      <c r="U32" s="3">
        <f>IFERROR(INDEX('CAT_CENTROS_COSTO'!$D$4:$D$9,MATCH($G32,'CAT_CENTROS_COSTO'!$A$4:$A$9,0)),"(sin catálogo)")</f>
        <v/>
      </c>
      <c r="V32" s="3">
        <f>IFERROR(INDEX('CAT_CENTROS_COSTO'!$F$4:$F$9,MATCH($G32,'CAT_CENTROS_COSTO'!$A$4:$A$9,0)),"(sin catálogo)")</f>
        <v/>
      </c>
      <c r="W32" s="3">
        <f>IFERROR(INDEX('CAT_PUESTOS'!$B$4:$B$8,MATCH($H32,'CAT_PUESTOS'!$A$4:$A$8,0)),"(sin catálogo)")</f>
        <v/>
      </c>
      <c r="X32" s="3">
        <f>IFERROR(INDEX('CAT_ACTIVIDADES'!$B$4:$B$8,MATCH($I32,'CAT_ACTIVIDADES'!$A$4:$A$8,0)),"(sin catálogo)")</f>
        <v/>
      </c>
      <c r="Y32" s="12">
        <f>IF($K32="","",TODAY()-$K32)</f>
        <v/>
      </c>
      <c r="Z32" s="3">
        <f>IF($Y32="","",IF($Y32&lt;0,"FUTURO",IF($Y32&gt;p_dias_backlog_max,"BACKLOG","MES CORRIENTE")))</f>
        <v/>
      </c>
      <c r="AA32" s="3">
        <f>IF($Y32="",FALSE,AND($Y32&gt;p_dias_backlog_min,$Y32&lt;=p_dias_backlog_max))</f>
        <v/>
      </c>
      <c r="AB32" s="6" t="inlineStr">
        <is>
          <t>Técnico 02</t>
        </is>
      </c>
      <c r="AC32" s="3">
        <f>IF($AB32="","",IFERROR(INDEX('ASIGNACIONES'!$F$4:$F$339,MATCH($O32&amp;"|"&amp;$R32&amp;"|"&amp;$AB32,'ASIGNACIONES'!$I$4:$I$339,0)),""))</f>
        <v/>
      </c>
      <c r="AD32" s="13">
        <f>IF($AB32="","",SUMIFS('ORDENES'!$L$4:$L$203,'ORDENES'!$AB$4:$AB$203,$AB32,'ORDENES'!$O$4:$O$203,$O32,'ORDENES'!$R$4:$R$203,$R32))</f>
        <v/>
      </c>
      <c r="AE32" s="13">
        <f>IF($AD32="","",p_factor_productividad*IFERROR(INDEX('ASIGNACIONES'!$H$4:$H$339,MATCH($O32&amp;"|"&amp;$R32&amp;"|"&amp;$AB32,'ASIGNACIONES'!$I$4:$I$339,0)),0)-$AD32)</f>
        <v/>
      </c>
      <c r="AF32" s="10">
        <f>IFERROR(INDEX('2_IMPORTAR_EJECUCION'!$G$9:$G$171,MATCH($C32,'2_IMPORTAR_EJECUCION'!$A$9:$A$171,0)),0)</f>
        <v/>
      </c>
      <c r="AG32" s="10">
        <f>MAX(0,IFERROR(INDEX('2_IMPORTAR_EJECUCION'!$I$9:$I$171,MATCH($C32,'2_IMPORTAR_EJECUCION'!$A$9:$A$171,0)),0)-$AF32)</f>
        <v/>
      </c>
      <c r="AH32" s="10">
        <f>$AF32+$AG32</f>
        <v/>
      </c>
      <c r="AI32" s="6" t="inlineStr"/>
      <c r="AJ32" s="6" t="inlineStr"/>
      <c r="AK32" s="6" t="inlineStr">
        <is>
          <t>ACT-04.pdf</t>
        </is>
      </c>
      <c r="AL32" s="3">
        <f>IF($AK32="","",HYPERLINK(p_ruta_base_checklists&amp;$AK32,"abrir"))</f>
        <v/>
      </c>
      <c r="AM32" s="6" t="inlineStr"/>
    </row>
    <row r="33">
      <c r="A33" s="3" t="inlineStr">
        <is>
          <t>OT-000030</t>
        </is>
      </c>
      <c r="B33" s="3" t="inlineStr">
        <is>
          <t>0010</t>
        </is>
      </c>
      <c r="C33" s="3">
        <f>$A33&amp;IF($B33="","0010",$B33)</f>
        <v/>
      </c>
      <c r="D33" s="3" t="inlineStr">
        <is>
          <t>Inspección de rutina — EQ-110</t>
        </is>
      </c>
      <c r="E33" s="3" t="inlineStr">
        <is>
          <t>Inspección de rutina en EQ-110</t>
        </is>
      </c>
      <c r="F33" s="3" t="inlineStr">
        <is>
          <t>EQ-110</t>
        </is>
      </c>
      <c r="G33" s="3" t="inlineStr">
        <is>
          <t>CC-310</t>
        </is>
      </c>
      <c r="H33" s="3" t="inlineStr">
        <is>
          <t>PU-MEC</t>
        </is>
      </c>
      <c r="I33" s="3" t="inlineStr">
        <is>
          <t>ACT-01</t>
        </is>
      </c>
      <c r="J33" s="3" t="inlineStr">
        <is>
          <t>TIPO-P1</t>
        </is>
      </c>
      <c r="K33" s="11" t="n">
        <v>46234</v>
      </c>
      <c r="L33" s="3" t="n">
        <v>8</v>
      </c>
      <c r="M33" s="10" t="n">
        <v>200</v>
      </c>
      <c r="N33" s="3">
        <f>IFERROR(INDEX('CAT_ESTADOS_ERP'!$B$4:$B$7,MATCH(IFERROR(INDEX('2_IMPORTAR_EJECUCION'!$D$9:$D$171,MATCH($C33,'2_IMPORTAR_EJECUCION'!$A$9:$A$171,0)),""),'CAT_ESTADOS_ERP'!$A$4:$A$7,0)),"Pendiente")</f>
        <v/>
      </c>
      <c r="O33" s="3">
        <f>IF($K33="","","S"&amp;IF(_xlfn.ISOWEEKNUM($K33)=53,1,_xlfn.ISOWEEKNUM($K33)))</f>
        <v/>
      </c>
      <c r="P33" s="3">
        <f>IF($K33="","",YEAR($K33))</f>
        <v/>
      </c>
      <c r="Q33" s="3">
        <f>IF($K33="","",MONTH($K33))</f>
        <v/>
      </c>
      <c r="R33" s="3">
        <f>IF($K33="","",INDEX(lista_dias,WEEKDAY($K33,2)))</f>
        <v/>
      </c>
      <c r="S33" s="3">
        <f>IFERROR(INDEX('CAT_TIPOS_OT'!$C$4:$C$7,MATCH($J33,'CAT_TIPOS_OT'!$A$4:$A$7,0)),"sin_clasificar")</f>
        <v/>
      </c>
      <c r="T33" s="3">
        <f>IFERROR(INDEX('CAT_CENTROS_COSTO'!$E$4:$E$9,MATCH($G33,'CAT_CENTROS_COSTO'!$A$4:$A$9,0)),"(sin catálogo)")</f>
        <v/>
      </c>
      <c r="U33" s="3">
        <f>IFERROR(INDEX('CAT_CENTROS_COSTO'!$D$4:$D$9,MATCH($G33,'CAT_CENTROS_COSTO'!$A$4:$A$9,0)),"(sin catálogo)")</f>
        <v/>
      </c>
      <c r="V33" s="3">
        <f>IFERROR(INDEX('CAT_CENTROS_COSTO'!$F$4:$F$9,MATCH($G33,'CAT_CENTROS_COSTO'!$A$4:$A$9,0)),"(sin catálogo)")</f>
        <v/>
      </c>
      <c r="W33" s="3">
        <f>IFERROR(INDEX('CAT_PUESTOS'!$B$4:$B$8,MATCH($H33,'CAT_PUESTOS'!$A$4:$A$8,0)),"(sin catálogo)")</f>
        <v/>
      </c>
      <c r="X33" s="3">
        <f>IFERROR(INDEX('CAT_ACTIVIDADES'!$B$4:$B$8,MATCH($I33,'CAT_ACTIVIDADES'!$A$4:$A$8,0)),"(sin catálogo)")</f>
        <v/>
      </c>
      <c r="Y33" s="12">
        <f>IF($K33="","",TODAY()-$K33)</f>
        <v/>
      </c>
      <c r="Z33" s="3">
        <f>IF($Y33="","",IF($Y33&lt;0,"FUTURO",IF($Y33&gt;p_dias_backlog_max,"BACKLOG","MES CORRIENTE")))</f>
        <v/>
      </c>
      <c r="AA33" s="3">
        <f>IF($Y33="",FALSE,AND($Y33&gt;p_dias_backlog_min,$Y33&lt;=p_dias_backlog_max))</f>
        <v/>
      </c>
      <c r="AB33" s="6" t="inlineStr">
        <is>
          <t>Técnico 03</t>
        </is>
      </c>
      <c r="AC33" s="3">
        <f>IF($AB33="","",IFERROR(INDEX('ASIGNACIONES'!$F$4:$F$339,MATCH($O33&amp;"|"&amp;$R33&amp;"|"&amp;$AB33,'ASIGNACIONES'!$I$4:$I$339,0)),""))</f>
        <v/>
      </c>
      <c r="AD33" s="13">
        <f>IF($AB33="","",SUMIFS('ORDENES'!$L$4:$L$203,'ORDENES'!$AB$4:$AB$203,$AB33,'ORDENES'!$O$4:$O$203,$O33,'ORDENES'!$R$4:$R$203,$R33))</f>
        <v/>
      </c>
      <c r="AE33" s="13">
        <f>IF($AD33="","",p_factor_productividad*IFERROR(INDEX('ASIGNACIONES'!$H$4:$H$339,MATCH($O33&amp;"|"&amp;$R33&amp;"|"&amp;$AB33,'ASIGNACIONES'!$I$4:$I$339,0)),0)-$AD33)</f>
        <v/>
      </c>
      <c r="AF33" s="10">
        <f>IFERROR(INDEX('2_IMPORTAR_EJECUCION'!$G$9:$G$171,MATCH($C33,'2_IMPORTAR_EJECUCION'!$A$9:$A$171,0)),0)</f>
        <v/>
      </c>
      <c r="AG33" s="10">
        <f>MAX(0,IFERROR(INDEX('2_IMPORTAR_EJECUCION'!$I$9:$I$171,MATCH($C33,'2_IMPORTAR_EJECUCION'!$A$9:$A$171,0)),0)-$AF33)</f>
        <v/>
      </c>
      <c r="AH33" s="10">
        <f>$AF33+$AG33</f>
        <v/>
      </c>
      <c r="AI33" s="6" t="inlineStr"/>
      <c r="AJ33" s="6" t="inlineStr"/>
      <c r="AK33" s="6" t="inlineStr">
        <is>
          <t>ACT-01.pdf</t>
        </is>
      </c>
      <c r="AL33" s="3">
        <f>IF($AK33="","",HYPERLINK(p_ruta_base_checklists&amp;$AK33,"abrir"))</f>
        <v/>
      </c>
      <c r="AM33" s="6" t="inlineStr"/>
    </row>
    <row r="34">
      <c r="A34" s="3" t="inlineStr">
        <is>
          <t>OT-000031</t>
        </is>
      </c>
      <c r="B34" s="3" t="inlineStr">
        <is>
          <t>0010</t>
        </is>
      </c>
      <c r="C34" s="3">
        <f>$A34&amp;IF($B34="","0010",$B34)</f>
        <v/>
      </c>
      <c r="D34" s="3" t="inlineStr">
        <is>
          <t>Lubricación programada — EQ-102</t>
        </is>
      </c>
      <c r="E34" s="3" t="inlineStr">
        <is>
          <t>Lubricación programada en EQ-102</t>
        </is>
      </c>
      <c r="F34" s="3" t="inlineStr">
        <is>
          <t>EQ-102</t>
        </is>
      </c>
      <c r="G34" s="3" t="inlineStr">
        <is>
          <t>CC-110</t>
        </is>
      </c>
      <c r="H34" s="3" t="inlineStr">
        <is>
          <t>PU-MEC</t>
        </is>
      </c>
      <c r="I34" s="3" t="inlineStr">
        <is>
          <t>ACT-02</t>
        </is>
      </c>
      <c r="J34" s="3" t="inlineStr">
        <is>
          <t>TIPO-P2</t>
        </is>
      </c>
      <c r="K34" s="11" t="n">
        <v>46230</v>
      </c>
      <c r="L34" s="3" t="n">
        <v>6</v>
      </c>
      <c r="M34" s="10" t="n">
        <v>150</v>
      </c>
      <c r="N34" s="3">
        <f>IFERROR(INDEX('CAT_ESTADOS_ERP'!$B$4:$B$7,MATCH(IFERROR(INDEX('2_IMPORTAR_EJECUCION'!$D$9:$D$171,MATCH($C34,'2_IMPORTAR_EJECUCION'!$A$9:$A$171,0)),""),'CAT_ESTADOS_ERP'!$A$4:$A$7,0)),"Pendiente")</f>
        <v/>
      </c>
      <c r="O34" s="3">
        <f>IF($K34="","","S"&amp;IF(_xlfn.ISOWEEKNUM($K34)=53,1,_xlfn.ISOWEEKNUM($K34)))</f>
        <v/>
      </c>
      <c r="P34" s="3">
        <f>IF($K34="","",YEAR($K34))</f>
        <v/>
      </c>
      <c r="Q34" s="3">
        <f>IF($K34="","",MONTH($K34))</f>
        <v/>
      </c>
      <c r="R34" s="3">
        <f>IF($K34="","",INDEX(lista_dias,WEEKDAY($K34,2)))</f>
        <v/>
      </c>
      <c r="S34" s="3">
        <f>IFERROR(INDEX('CAT_TIPOS_OT'!$C$4:$C$7,MATCH($J34,'CAT_TIPOS_OT'!$A$4:$A$7,0)),"sin_clasificar")</f>
        <v/>
      </c>
      <c r="T34" s="3">
        <f>IFERROR(INDEX('CAT_CENTROS_COSTO'!$E$4:$E$9,MATCH($G34,'CAT_CENTROS_COSTO'!$A$4:$A$9,0)),"(sin catálogo)")</f>
        <v/>
      </c>
      <c r="U34" s="3">
        <f>IFERROR(INDEX('CAT_CENTROS_COSTO'!$D$4:$D$9,MATCH($G34,'CAT_CENTROS_COSTO'!$A$4:$A$9,0)),"(sin catálogo)")</f>
        <v/>
      </c>
      <c r="V34" s="3">
        <f>IFERROR(INDEX('CAT_CENTROS_COSTO'!$F$4:$F$9,MATCH($G34,'CAT_CENTROS_COSTO'!$A$4:$A$9,0)),"(sin catálogo)")</f>
        <v/>
      </c>
      <c r="W34" s="3">
        <f>IFERROR(INDEX('CAT_PUESTOS'!$B$4:$B$8,MATCH($H34,'CAT_PUESTOS'!$A$4:$A$8,0)),"(sin catálogo)")</f>
        <v/>
      </c>
      <c r="X34" s="3">
        <f>IFERROR(INDEX('CAT_ACTIVIDADES'!$B$4:$B$8,MATCH($I34,'CAT_ACTIVIDADES'!$A$4:$A$8,0)),"(sin catálogo)")</f>
        <v/>
      </c>
      <c r="Y34" s="12">
        <f>IF($K34="","",TODAY()-$K34)</f>
        <v/>
      </c>
      <c r="Z34" s="3">
        <f>IF($Y34="","",IF($Y34&lt;0,"FUTURO",IF($Y34&gt;p_dias_backlog_max,"BACKLOG","MES CORRIENTE")))</f>
        <v/>
      </c>
      <c r="AA34" s="3">
        <f>IF($Y34="",FALSE,AND($Y34&gt;p_dias_backlog_min,$Y34&lt;=p_dias_backlog_max))</f>
        <v/>
      </c>
      <c r="AB34" s="6" t="inlineStr">
        <is>
          <t>Técnico 01</t>
        </is>
      </c>
      <c r="AC34" s="3">
        <f>IF($AB34="","",IFERROR(INDEX('ASIGNACIONES'!$F$4:$F$339,MATCH($O34&amp;"|"&amp;$R34&amp;"|"&amp;$AB34,'ASIGNACIONES'!$I$4:$I$339,0)),""))</f>
        <v/>
      </c>
      <c r="AD34" s="13">
        <f>IF($AB34="","",SUMIFS('ORDENES'!$L$4:$L$203,'ORDENES'!$AB$4:$AB$203,$AB34,'ORDENES'!$O$4:$O$203,$O34,'ORDENES'!$R$4:$R$203,$R34))</f>
        <v/>
      </c>
      <c r="AE34" s="13">
        <f>IF($AD34="","",p_factor_productividad*IFERROR(INDEX('ASIGNACIONES'!$H$4:$H$339,MATCH($O34&amp;"|"&amp;$R34&amp;"|"&amp;$AB34,'ASIGNACIONES'!$I$4:$I$339,0)),0)-$AD34)</f>
        <v/>
      </c>
      <c r="AF34" s="10">
        <f>IFERROR(INDEX('2_IMPORTAR_EJECUCION'!$G$9:$G$171,MATCH($C34,'2_IMPORTAR_EJECUCION'!$A$9:$A$171,0)),0)</f>
        <v/>
      </c>
      <c r="AG34" s="10">
        <f>MAX(0,IFERROR(INDEX('2_IMPORTAR_EJECUCION'!$I$9:$I$171,MATCH($C34,'2_IMPORTAR_EJECUCION'!$A$9:$A$171,0)),0)-$AF34)</f>
        <v/>
      </c>
      <c r="AH34" s="10">
        <f>$AF34+$AG34</f>
        <v/>
      </c>
      <c r="AI34" s="6" t="inlineStr"/>
      <c r="AJ34" s="6" t="inlineStr"/>
      <c r="AK34" s="6" t="inlineStr">
        <is>
          <t>ACT-02.pdf</t>
        </is>
      </c>
      <c r="AL34" s="3">
        <f>IF($AK34="","",HYPERLINK(p_ruta_base_checklists&amp;$AK34,"abrir"))</f>
        <v/>
      </c>
      <c r="AM34" s="6" t="inlineStr"/>
    </row>
    <row r="35">
      <c r="A35" s="3" t="inlineStr">
        <is>
          <t>OT-000032</t>
        </is>
      </c>
      <c r="B35" s="3" t="inlineStr">
        <is>
          <t>0010</t>
        </is>
      </c>
      <c r="C35" s="3">
        <f>$A35&amp;IF($B35="","0010",$B35)</f>
        <v/>
      </c>
      <c r="D35" s="3" t="inlineStr">
        <is>
          <t>Análisis predictivo — EQ-106</t>
        </is>
      </c>
      <c r="E35" s="3" t="inlineStr">
        <is>
          <t>Análisis predictivo en EQ-106</t>
        </is>
      </c>
      <c r="F35" s="3" t="inlineStr">
        <is>
          <t>EQ-106</t>
        </is>
      </c>
      <c r="G35" s="3" t="inlineStr">
        <is>
          <t>CC-210</t>
        </is>
      </c>
      <c r="H35" s="3" t="inlineStr">
        <is>
          <t>PU-MEC</t>
        </is>
      </c>
      <c r="I35" s="3" t="inlineStr">
        <is>
          <t>ACT-04</t>
        </is>
      </c>
      <c r="J35" s="3" t="inlineStr">
        <is>
          <t>TIPO-P1</t>
        </is>
      </c>
      <c r="K35" s="11" t="n">
        <v>46231</v>
      </c>
      <c r="L35" s="3" t="n">
        <v>10</v>
      </c>
      <c r="M35" s="10" t="n">
        <v>250</v>
      </c>
      <c r="N35" s="3">
        <f>IFERROR(INDEX('CAT_ESTADOS_ERP'!$B$4:$B$7,MATCH(IFERROR(INDEX('2_IMPORTAR_EJECUCION'!$D$9:$D$171,MATCH($C35,'2_IMPORTAR_EJECUCION'!$A$9:$A$171,0)),""),'CAT_ESTADOS_ERP'!$A$4:$A$7,0)),"Pendiente")</f>
        <v/>
      </c>
      <c r="O35" s="3">
        <f>IF($K35="","","S"&amp;IF(_xlfn.ISOWEEKNUM($K35)=53,1,_xlfn.ISOWEEKNUM($K35)))</f>
        <v/>
      </c>
      <c r="P35" s="3">
        <f>IF($K35="","",YEAR($K35))</f>
        <v/>
      </c>
      <c r="Q35" s="3">
        <f>IF($K35="","",MONTH($K35))</f>
        <v/>
      </c>
      <c r="R35" s="3">
        <f>IF($K35="","",INDEX(lista_dias,WEEKDAY($K35,2)))</f>
        <v/>
      </c>
      <c r="S35" s="3">
        <f>IFERROR(INDEX('CAT_TIPOS_OT'!$C$4:$C$7,MATCH($J35,'CAT_TIPOS_OT'!$A$4:$A$7,0)),"sin_clasificar")</f>
        <v/>
      </c>
      <c r="T35" s="3">
        <f>IFERROR(INDEX('CAT_CENTROS_COSTO'!$E$4:$E$9,MATCH($G35,'CAT_CENTROS_COSTO'!$A$4:$A$9,0)),"(sin catálogo)")</f>
        <v/>
      </c>
      <c r="U35" s="3">
        <f>IFERROR(INDEX('CAT_CENTROS_COSTO'!$D$4:$D$9,MATCH($G35,'CAT_CENTROS_COSTO'!$A$4:$A$9,0)),"(sin catálogo)")</f>
        <v/>
      </c>
      <c r="V35" s="3">
        <f>IFERROR(INDEX('CAT_CENTROS_COSTO'!$F$4:$F$9,MATCH($G35,'CAT_CENTROS_COSTO'!$A$4:$A$9,0)),"(sin catálogo)")</f>
        <v/>
      </c>
      <c r="W35" s="3">
        <f>IFERROR(INDEX('CAT_PUESTOS'!$B$4:$B$8,MATCH($H35,'CAT_PUESTOS'!$A$4:$A$8,0)),"(sin catálogo)")</f>
        <v/>
      </c>
      <c r="X35" s="3">
        <f>IFERROR(INDEX('CAT_ACTIVIDADES'!$B$4:$B$8,MATCH($I35,'CAT_ACTIVIDADES'!$A$4:$A$8,0)),"(sin catálogo)")</f>
        <v/>
      </c>
      <c r="Y35" s="12">
        <f>IF($K35="","",TODAY()-$K35)</f>
        <v/>
      </c>
      <c r="Z35" s="3">
        <f>IF($Y35="","",IF($Y35&lt;0,"FUTURO",IF($Y35&gt;p_dias_backlog_max,"BACKLOG","MES CORRIENTE")))</f>
        <v/>
      </c>
      <c r="AA35" s="3">
        <f>IF($Y35="",FALSE,AND($Y35&gt;p_dias_backlog_min,$Y35&lt;=p_dias_backlog_max))</f>
        <v/>
      </c>
      <c r="AB35" s="6" t="inlineStr">
        <is>
          <t>Técnico 02</t>
        </is>
      </c>
      <c r="AC35" s="3">
        <f>IF($AB35="","",IFERROR(INDEX('ASIGNACIONES'!$F$4:$F$339,MATCH($O35&amp;"|"&amp;$R35&amp;"|"&amp;$AB35,'ASIGNACIONES'!$I$4:$I$339,0)),""))</f>
        <v/>
      </c>
      <c r="AD35" s="13">
        <f>IF($AB35="","",SUMIFS('ORDENES'!$L$4:$L$203,'ORDENES'!$AB$4:$AB$203,$AB35,'ORDENES'!$O$4:$O$203,$O35,'ORDENES'!$R$4:$R$203,$R35))</f>
        <v/>
      </c>
      <c r="AE35" s="13">
        <f>IF($AD35="","",p_factor_productividad*IFERROR(INDEX('ASIGNACIONES'!$H$4:$H$339,MATCH($O35&amp;"|"&amp;$R35&amp;"|"&amp;$AB35,'ASIGNACIONES'!$I$4:$I$339,0)),0)-$AD35)</f>
        <v/>
      </c>
      <c r="AF35" s="10">
        <f>IFERROR(INDEX('2_IMPORTAR_EJECUCION'!$G$9:$G$171,MATCH($C35,'2_IMPORTAR_EJECUCION'!$A$9:$A$171,0)),0)</f>
        <v/>
      </c>
      <c r="AG35" s="10">
        <f>MAX(0,IFERROR(INDEX('2_IMPORTAR_EJECUCION'!$I$9:$I$171,MATCH($C35,'2_IMPORTAR_EJECUCION'!$A$9:$A$171,0)),0)-$AF35)</f>
        <v/>
      </c>
      <c r="AH35" s="10">
        <f>$AF35+$AG35</f>
        <v/>
      </c>
      <c r="AI35" s="6" t="inlineStr"/>
      <c r="AJ35" s="6" t="inlineStr"/>
      <c r="AK35" s="6" t="inlineStr">
        <is>
          <t>ACT-04.pdf</t>
        </is>
      </c>
      <c r="AL35" s="3">
        <f>IF($AK35="","",HYPERLINK(p_ruta_base_checklists&amp;$AK35,"abrir"))</f>
        <v/>
      </c>
      <c r="AM35" s="6" t="inlineStr"/>
    </row>
    <row r="36">
      <c r="A36" s="3" t="inlineStr">
        <is>
          <t>OT-000033</t>
        </is>
      </c>
      <c r="B36" s="3" t="inlineStr">
        <is>
          <t>0010</t>
        </is>
      </c>
      <c r="C36" s="3">
        <f>$A36&amp;IF($B36="","0010",$B36)</f>
        <v/>
      </c>
      <c r="D36" s="3" t="inlineStr">
        <is>
          <t>Inspección de rutina — EQ-110</t>
        </is>
      </c>
      <c r="E36" s="3" t="inlineStr">
        <is>
          <t>Inspección de rutina en EQ-110</t>
        </is>
      </c>
      <c r="F36" s="3" t="inlineStr">
        <is>
          <t>EQ-110</t>
        </is>
      </c>
      <c r="G36" s="3" t="inlineStr">
        <is>
          <t>CC-310</t>
        </is>
      </c>
      <c r="H36" s="3" t="inlineStr">
        <is>
          <t>PU-MEC</t>
        </is>
      </c>
      <c r="I36" s="3" t="inlineStr">
        <is>
          <t>ACT-01</t>
        </is>
      </c>
      <c r="J36" s="3" t="inlineStr">
        <is>
          <t>TIPO-P2</t>
        </is>
      </c>
      <c r="K36" s="11" t="n">
        <v>46232</v>
      </c>
      <c r="L36" s="3" t="n">
        <v>8</v>
      </c>
      <c r="M36" s="10" t="n">
        <v>200</v>
      </c>
      <c r="N36" s="3">
        <f>IFERROR(INDEX('CAT_ESTADOS_ERP'!$B$4:$B$7,MATCH(IFERROR(INDEX('2_IMPORTAR_EJECUCION'!$D$9:$D$171,MATCH($C36,'2_IMPORTAR_EJECUCION'!$A$9:$A$171,0)),""),'CAT_ESTADOS_ERP'!$A$4:$A$7,0)),"Pendiente")</f>
        <v/>
      </c>
      <c r="O36" s="3">
        <f>IF($K36="","","S"&amp;IF(_xlfn.ISOWEEKNUM($K36)=53,1,_xlfn.ISOWEEKNUM($K36)))</f>
        <v/>
      </c>
      <c r="P36" s="3">
        <f>IF($K36="","",YEAR($K36))</f>
        <v/>
      </c>
      <c r="Q36" s="3">
        <f>IF($K36="","",MONTH($K36))</f>
        <v/>
      </c>
      <c r="R36" s="3">
        <f>IF($K36="","",INDEX(lista_dias,WEEKDAY($K36,2)))</f>
        <v/>
      </c>
      <c r="S36" s="3">
        <f>IFERROR(INDEX('CAT_TIPOS_OT'!$C$4:$C$7,MATCH($J36,'CAT_TIPOS_OT'!$A$4:$A$7,0)),"sin_clasificar")</f>
        <v/>
      </c>
      <c r="T36" s="3">
        <f>IFERROR(INDEX('CAT_CENTROS_COSTO'!$E$4:$E$9,MATCH($G36,'CAT_CENTROS_COSTO'!$A$4:$A$9,0)),"(sin catálogo)")</f>
        <v/>
      </c>
      <c r="U36" s="3">
        <f>IFERROR(INDEX('CAT_CENTROS_COSTO'!$D$4:$D$9,MATCH($G36,'CAT_CENTROS_COSTO'!$A$4:$A$9,0)),"(sin catálogo)")</f>
        <v/>
      </c>
      <c r="V36" s="3">
        <f>IFERROR(INDEX('CAT_CENTROS_COSTO'!$F$4:$F$9,MATCH($G36,'CAT_CENTROS_COSTO'!$A$4:$A$9,0)),"(sin catálogo)")</f>
        <v/>
      </c>
      <c r="W36" s="3">
        <f>IFERROR(INDEX('CAT_PUESTOS'!$B$4:$B$8,MATCH($H36,'CAT_PUESTOS'!$A$4:$A$8,0)),"(sin catálogo)")</f>
        <v/>
      </c>
      <c r="X36" s="3">
        <f>IFERROR(INDEX('CAT_ACTIVIDADES'!$B$4:$B$8,MATCH($I36,'CAT_ACTIVIDADES'!$A$4:$A$8,0)),"(sin catálogo)")</f>
        <v/>
      </c>
      <c r="Y36" s="12">
        <f>IF($K36="","",TODAY()-$K36)</f>
        <v/>
      </c>
      <c r="Z36" s="3">
        <f>IF($Y36="","",IF($Y36&lt;0,"FUTURO",IF($Y36&gt;p_dias_backlog_max,"BACKLOG","MES CORRIENTE")))</f>
        <v/>
      </c>
      <c r="AA36" s="3">
        <f>IF($Y36="",FALSE,AND($Y36&gt;p_dias_backlog_min,$Y36&lt;=p_dias_backlog_max))</f>
        <v/>
      </c>
      <c r="AB36" s="6" t="inlineStr">
        <is>
          <t>Técnico 03</t>
        </is>
      </c>
      <c r="AC36" s="3">
        <f>IF($AB36="","",IFERROR(INDEX('ASIGNACIONES'!$F$4:$F$339,MATCH($O36&amp;"|"&amp;$R36&amp;"|"&amp;$AB36,'ASIGNACIONES'!$I$4:$I$339,0)),""))</f>
        <v/>
      </c>
      <c r="AD36" s="13">
        <f>IF($AB36="","",SUMIFS('ORDENES'!$L$4:$L$203,'ORDENES'!$AB$4:$AB$203,$AB36,'ORDENES'!$O$4:$O$203,$O36,'ORDENES'!$R$4:$R$203,$R36))</f>
        <v/>
      </c>
      <c r="AE36" s="13">
        <f>IF($AD36="","",p_factor_productividad*IFERROR(INDEX('ASIGNACIONES'!$H$4:$H$339,MATCH($O36&amp;"|"&amp;$R36&amp;"|"&amp;$AB36,'ASIGNACIONES'!$I$4:$I$339,0)),0)-$AD36)</f>
        <v/>
      </c>
      <c r="AF36" s="10">
        <f>IFERROR(INDEX('2_IMPORTAR_EJECUCION'!$G$9:$G$171,MATCH($C36,'2_IMPORTAR_EJECUCION'!$A$9:$A$171,0)),0)</f>
        <v/>
      </c>
      <c r="AG36" s="10">
        <f>MAX(0,IFERROR(INDEX('2_IMPORTAR_EJECUCION'!$I$9:$I$171,MATCH($C36,'2_IMPORTAR_EJECUCION'!$A$9:$A$171,0)),0)-$AF36)</f>
        <v/>
      </c>
      <c r="AH36" s="10">
        <f>$AF36+$AG36</f>
        <v/>
      </c>
      <c r="AI36" s="6" t="inlineStr"/>
      <c r="AJ36" s="6" t="inlineStr"/>
      <c r="AK36" s="6" t="inlineStr">
        <is>
          <t>ACT-01.pdf</t>
        </is>
      </c>
      <c r="AL36" s="3">
        <f>IF($AK36="","",HYPERLINK(p_ruta_base_checklists&amp;$AK36,"abrir"))</f>
        <v/>
      </c>
      <c r="AM36" s="6" t="inlineStr"/>
    </row>
    <row r="37">
      <c r="A37" s="3" t="inlineStr">
        <is>
          <t>OT-000034</t>
        </is>
      </c>
      <c r="B37" s="3" t="inlineStr">
        <is>
          <t>0010</t>
        </is>
      </c>
      <c r="C37" s="3">
        <f>$A37&amp;IF($B37="","0010",$B37)</f>
        <v/>
      </c>
      <c r="D37" s="3" t="inlineStr">
        <is>
          <t>Lubricación programada — EQ-105</t>
        </is>
      </c>
      <c r="E37" s="3" t="inlineStr">
        <is>
          <t>Lubricación programada en EQ-105</t>
        </is>
      </c>
      <c r="F37" s="3" t="inlineStr">
        <is>
          <t>EQ-105</t>
        </is>
      </c>
      <c r="G37" s="3" t="inlineStr">
        <is>
          <t>CC-110</t>
        </is>
      </c>
      <c r="H37" s="3" t="inlineStr">
        <is>
          <t>PU-MEC</t>
        </is>
      </c>
      <c r="I37" s="3" t="inlineStr">
        <is>
          <t>ACT-02</t>
        </is>
      </c>
      <c r="J37" s="3" t="inlineStr">
        <is>
          <t>TIPO-P1</t>
        </is>
      </c>
      <c r="K37" s="11" t="n">
        <v>46233</v>
      </c>
      <c r="L37" s="3" t="n">
        <v>6</v>
      </c>
      <c r="M37" s="10" t="n">
        <v>150</v>
      </c>
      <c r="N37" s="3">
        <f>IFERROR(INDEX('CAT_ESTADOS_ERP'!$B$4:$B$7,MATCH(IFERROR(INDEX('2_IMPORTAR_EJECUCION'!$D$9:$D$171,MATCH($C37,'2_IMPORTAR_EJECUCION'!$A$9:$A$171,0)),""),'CAT_ESTADOS_ERP'!$A$4:$A$7,0)),"Pendiente")</f>
        <v/>
      </c>
      <c r="O37" s="3">
        <f>IF($K37="","","S"&amp;IF(_xlfn.ISOWEEKNUM($K37)=53,1,_xlfn.ISOWEEKNUM($K37)))</f>
        <v/>
      </c>
      <c r="P37" s="3">
        <f>IF($K37="","",YEAR($K37))</f>
        <v/>
      </c>
      <c r="Q37" s="3">
        <f>IF($K37="","",MONTH($K37))</f>
        <v/>
      </c>
      <c r="R37" s="3">
        <f>IF($K37="","",INDEX(lista_dias,WEEKDAY($K37,2)))</f>
        <v/>
      </c>
      <c r="S37" s="3">
        <f>IFERROR(INDEX('CAT_TIPOS_OT'!$C$4:$C$7,MATCH($J37,'CAT_TIPOS_OT'!$A$4:$A$7,0)),"sin_clasificar")</f>
        <v/>
      </c>
      <c r="T37" s="3">
        <f>IFERROR(INDEX('CAT_CENTROS_COSTO'!$E$4:$E$9,MATCH($G37,'CAT_CENTROS_COSTO'!$A$4:$A$9,0)),"(sin catálogo)")</f>
        <v/>
      </c>
      <c r="U37" s="3">
        <f>IFERROR(INDEX('CAT_CENTROS_COSTO'!$D$4:$D$9,MATCH($G37,'CAT_CENTROS_COSTO'!$A$4:$A$9,0)),"(sin catálogo)")</f>
        <v/>
      </c>
      <c r="V37" s="3">
        <f>IFERROR(INDEX('CAT_CENTROS_COSTO'!$F$4:$F$9,MATCH($G37,'CAT_CENTROS_COSTO'!$A$4:$A$9,0)),"(sin catálogo)")</f>
        <v/>
      </c>
      <c r="W37" s="3">
        <f>IFERROR(INDEX('CAT_PUESTOS'!$B$4:$B$8,MATCH($H37,'CAT_PUESTOS'!$A$4:$A$8,0)),"(sin catálogo)")</f>
        <v/>
      </c>
      <c r="X37" s="3">
        <f>IFERROR(INDEX('CAT_ACTIVIDADES'!$B$4:$B$8,MATCH($I37,'CAT_ACTIVIDADES'!$A$4:$A$8,0)),"(sin catálogo)")</f>
        <v/>
      </c>
      <c r="Y37" s="12">
        <f>IF($K37="","",TODAY()-$K37)</f>
        <v/>
      </c>
      <c r="Z37" s="3">
        <f>IF($Y37="","",IF($Y37&lt;0,"FUTURO",IF($Y37&gt;p_dias_backlog_max,"BACKLOG","MES CORRIENTE")))</f>
        <v/>
      </c>
      <c r="AA37" s="3">
        <f>IF($Y37="",FALSE,AND($Y37&gt;p_dias_backlog_min,$Y37&lt;=p_dias_backlog_max))</f>
        <v/>
      </c>
      <c r="AB37" s="6" t="inlineStr">
        <is>
          <t>Técnico 01</t>
        </is>
      </c>
      <c r="AC37" s="3">
        <f>IF($AB37="","",IFERROR(INDEX('ASIGNACIONES'!$F$4:$F$339,MATCH($O37&amp;"|"&amp;$R37&amp;"|"&amp;$AB37,'ASIGNACIONES'!$I$4:$I$339,0)),""))</f>
        <v/>
      </c>
      <c r="AD37" s="13">
        <f>IF($AB37="","",SUMIFS('ORDENES'!$L$4:$L$203,'ORDENES'!$AB$4:$AB$203,$AB37,'ORDENES'!$O$4:$O$203,$O37,'ORDENES'!$R$4:$R$203,$R37))</f>
        <v/>
      </c>
      <c r="AE37" s="13">
        <f>IF($AD37="","",p_factor_productividad*IFERROR(INDEX('ASIGNACIONES'!$H$4:$H$339,MATCH($O37&amp;"|"&amp;$R37&amp;"|"&amp;$AB37,'ASIGNACIONES'!$I$4:$I$339,0)),0)-$AD37)</f>
        <v/>
      </c>
      <c r="AF37" s="10">
        <f>IFERROR(INDEX('2_IMPORTAR_EJECUCION'!$G$9:$G$171,MATCH($C37,'2_IMPORTAR_EJECUCION'!$A$9:$A$171,0)),0)</f>
        <v/>
      </c>
      <c r="AG37" s="10">
        <f>MAX(0,IFERROR(INDEX('2_IMPORTAR_EJECUCION'!$I$9:$I$171,MATCH($C37,'2_IMPORTAR_EJECUCION'!$A$9:$A$171,0)),0)-$AF37)</f>
        <v/>
      </c>
      <c r="AH37" s="10">
        <f>$AF37+$AG37</f>
        <v/>
      </c>
      <c r="AI37" s="6" t="inlineStr"/>
      <c r="AJ37" s="6" t="inlineStr"/>
      <c r="AK37" s="6" t="inlineStr">
        <is>
          <t>ACT-02.pdf</t>
        </is>
      </c>
      <c r="AL37" s="3">
        <f>IF($AK37="","",HYPERLINK(p_ruta_base_checklists&amp;$AK37,"abrir"))</f>
        <v/>
      </c>
      <c r="AM37" s="6" t="inlineStr"/>
    </row>
    <row r="38">
      <c r="A38" s="3" t="inlineStr">
        <is>
          <t>OT-000035</t>
        </is>
      </c>
      <c r="B38" s="3" t="inlineStr">
        <is>
          <t>0010</t>
        </is>
      </c>
      <c r="C38" s="3">
        <f>$A38&amp;IF($B38="","0010",$B38)</f>
        <v/>
      </c>
      <c r="D38" s="3" t="inlineStr">
        <is>
          <t>Análisis predictivo — EQ-109</t>
        </is>
      </c>
      <c r="E38" s="3" t="inlineStr">
        <is>
          <t>Análisis predictivo en EQ-109</t>
        </is>
      </c>
      <c r="F38" s="3" t="inlineStr">
        <is>
          <t>EQ-109</t>
        </is>
      </c>
      <c r="G38" s="3" t="inlineStr">
        <is>
          <t>CC-210</t>
        </is>
      </c>
      <c r="H38" s="3" t="inlineStr">
        <is>
          <t>PU-MEC</t>
        </is>
      </c>
      <c r="I38" s="3" t="inlineStr">
        <is>
          <t>ACT-04</t>
        </is>
      </c>
      <c r="J38" s="3" t="inlineStr">
        <is>
          <t>TIPO-P2</t>
        </is>
      </c>
      <c r="K38" s="11" t="n">
        <v>46234</v>
      </c>
      <c r="L38" s="3" t="n">
        <v>8</v>
      </c>
      <c r="M38" s="10" t="n">
        <v>200</v>
      </c>
      <c r="N38" s="3">
        <f>IFERROR(INDEX('CAT_ESTADOS_ERP'!$B$4:$B$7,MATCH(IFERROR(INDEX('2_IMPORTAR_EJECUCION'!$D$9:$D$171,MATCH($C38,'2_IMPORTAR_EJECUCION'!$A$9:$A$171,0)),""),'CAT_ESTADOS_ERP'!$A$4:$A$7,0)),"Pendiente")</f>
        <v/>
      </c>
      <c r="O38" s="3">
        <f>IF($K38="","","S"&amp;IF(_xlfn.ISOWEEKNUM($K38)=53,1,_xlfn.ISOWEEKNUM($K38)))</f>
        <v/>
      </c>
      <c r="P38" s="3">
        <f>IF($K38="","",YEAR($K38))</f>
        <v/>
      </c>
      <c r="Q38" s="3">
        <f>IF($K38="","",MONTH($K38))</f>
        <v/>
      </c>
      <c r="R38" s="3">
        <f>IF($K38="","",INDEX(lista_dias,WEEKDAY($K38,2)))</f>
        <v/>
      </c>
      <c r="S38" s="3">
        <f>IFERROR(INDEX('CAT_TIPOS_OT'!$C$4:$C$7,MATCH($J38,'CAT_TIPOS_OT'!$A$4:$A$7,0)),"sin_clasificar")</f>
        <v/>
      </c>
      <c r="T38" s="3">
        <f>IFERROR(INDEX('CAT_CENTROS_COSTO'!$E$4:$E$9,MATCH($G38,'CAT_CENTROS_COSTO'!$A$4:$A$9,0)),"(sin catálogo)")</f>
        <v/>
      </c>
      <c r="U38" s="3">
        <f>IFERROR(INDEX('CAT_CENTROS_COSTO'!$D$4:$D$9,MATCH($G38,'CAT_CENTROS_COSTO'!$A$4:$A$9,0)),"(sin catálogo)")</f>
        <v/>
      </c>
      <c r="V38" s="3">
        <f>IFERROR(INDEX('CAT_CENTROS_COSTO'!$F$4:$F$9,MATCH($G38,'CAT_CENTROS_COSTO'!$A$4:$A$9,0)),"(sin catálogo)")</f>
        <v/>
      </c>
      <c r="W38" s="3">
        <f>IFERROR(INDEX('CAT_PUESTOS'!$B$4:$B$8,MATCH($H38,'CAT_PUESTOS'!$A$4:$A$8,0)),"(sin catálogo)")</f>
        <v/>
      </c>
      <c r="X38" s="3">
        <f>IFERROR(INDEX('CAT_ACTIVIDADES'!$B$4:$B$8,MATCH($I38,'CAT_ACTIVIDADES'!$A$4:$A$8,0)),"(sin catálogo)")</f>
        <v/>
      </c>
      <c r="Y38" s="12">
        <f>IF($K38="","",TODAY()-$K38)</f>
        <v/>
      </c>
      <c r="Z38" s="3">
        <f>IF($Y38="","",IF($Y38&lt;0,"FUTURO",IF($Y38&gt;p_dias_backlog_max,"BACKLOG","MES CORRIENTE")))</f>
        <v/>
      </c>
      <c r="AA38" s="3">
        <f>IF($Y38="",FALSE,AND($Y38&gt;p_dias_backlog_min,$Y38&lt;=p_dias_backlog_max))</f>
        <v/>
      </c>
      <c r="AB38" s="6" t="inlineStr">
        <is>
          <t>Técnico 02</t>
        </is>
      </c>
      <c r="AC38" s="3">
        <f>IF($AB38="","",IFERROR(INDEX('ASIGNACIONES'!$F$4:$F$339,MATCH($O38&amp;"|"&amp;$R38&amp;"|"&amp;$AB38,'ASIGNACIONES'!$I$4:$I$339,0)),""))</f>
        <v/>
      </c>
      <c r="AD38" s="13">
        <f>IF($AB38="","",SUMIFS('ORDENES'!$L$4:$L$203,'ORDENES'!$AB$4:$AB$203,$AB38,'ORDENES'!$O$4:$O$203,$O38,'ORDENES'!$R$4:$R$203,$R38))</f>
        <v/>
      </c>
      <c r="AE38" s="13">
        <f>IF($AD38="","",p_factor_productividad*IFERROR(INDEX('ASIGNACIONES'!$H$4:$H$339,MATCH($O38&amp;"|"&amp;$R38&amp;"|"&amp;$AB38,'ASIGNACIONES'!$I$4:$I$339,0)),0)-$AD38)</f>
        <v/>
      </c>
      <c r="AF38" s="10">
        <f>IFERROR(INDEX('2_IMPORTAR_EJECUCION'!$G$9:$G$171,MATCH($C38,'2_IMPORTAR_EJECUCION'!$A$9:$A$171,0)),0)</f>
        <v/>
      </c>
      <c r="AG38" s="10">
        <f>MAX(0,IFERROR(INDEX('2_IMPORTAR_EJECUCION'!$I$9:$I$171,MATCH($C38,'2_IMPORTAR_EJECUCION'!$A$9:$A$171,0)),0)-$AF38)</f>
        <v/>
      </c>
      <c r="AH38" s="10">
        <f>$AF38+$AG38</f>
        <v/>
      </c>
      <c r="AI38" s="6" t="inlineStr"/>
      <c r="AJ38" s="6" t="inlineStr"/>
      <c r="AK38" s="6" t="inlineStr">
        <is>
          <t>ACT-04.pdf</t>
        </is>
      </c>
      <c r="AL38" s="3">
        <f>IF($AK38="","",HYPERLINK(p_ruta_base_checklists&amp;$AK38,"abrir"))</f>
        <v/>
      </c>
      <c r="AM38" s="6" t="inlineStr"/>
    </row>
    <row r="39">
      <c r="A39" s="3" t="inlineStr">
        <is>
          <t>OT-000036</t>
        </is>
      </c>
      <c r="B39" s="3" t="inlineStr">
        <is>
          <t>0010</t>
        </is>
      </c>
      <c r="C39" s="3">
        <f>$A39&amp;IF($B39="","0010",$B39)</f>
        <v/>
      </c>
      <c r="D39" s="3" t="inlineStr">
        <is>
          <t>Reparación de falla — EQ-110</t>
        </is>
      </c>
      <c r="E39" s="3" t="inlineStr">
        <is>
          <t>Reparación de falla en EQ-110</t>
        </is>
      </c>
      <c r="F39" s="3" t="inlineStr">
        <is>
          <t>EQ-110</t>
        </is>
      </c>
      <c r="G39" s="3" t="inlineStr">
        <is>
          <t>CC-310</t>
        </is>
      </c>
      <c r="H39" s="3" t="inlineStr">
        <is>
          <t>PU-MEC</t>
        </is>
      </c>
      <c r="I39" s="3" t="inlineStr">
        <is>
          <t>ACT-03</t>
        </is>
      </c>
      <c r="J39" s="3" t="inlineStr">
        <is>
          <t>TIPO-C1</t>
        </is>
      </c>
      <c r="K39" s="11" t="n">
        <v>46230</v>
      </c>
      <c r="L39" s="3" t="n">
        <v>10</v>
      </c>
      <c r="M39" s="10" t="n">
        <v>400</v>
      </c>
      <c r="N39" s="3">
        <f>IFERROR(INDEX('CAT_ESTADOS_ERP'!$B$4:$B$7,MATCH(IFERROR(INDEX('2_IMPORTAR_EJECUCION'!$D$9:$D$171,MATCH($C39,'2_IMPORTAR_EJECUCION'!$A$9:$A$171,0)),""),'CAT_ESTADOS_ERP'!$A$4:$A$7,0)),"Pendiente")</f>
        <v/>
      </c>
      <c r="O39" s="3">
        <f>IF($K39="","","S"&amp;IF(_xlfn.ISOWEEKNUM($K39)=53,1,_xlfn.ISOWEEKNUM($K39)))</f>
        <v/>
      </c>
      <c r="P39" s="3">
        <f>IF($K39="","",YEAR($K39))</f>
        <v/>
      </c>
      <c r="Q39" s="3">
        <f>IF($K39="","",MONTH($K39))</f>
        <v/>
      </c>
      <c r="R39" s="3">
        <f>IF($K39="","",INDEX(lista_dias,WEEKDAY($K39,2)))</f>
        <v/>
      </c>
      <c r="S39" s="3">
        <f>IFERROR(INDEX('CAT_TIPOS_OT'!$C$4:$C$7,MATCH($J39,'CAT_TIPOS_OT'!$A$4:$A$7,0)),"sin_clasificar")</f>
        <v/>
      </c>
      <c r="T39" s="3">
        <f>IFERROR(INDEX('CAT_CENTROS_COSTO'!$E$4:$E$9,MATCH($G39,'CAT_CENTROS_COSTO'!$A$4:$A$9,0)),"(sin catálogo)")</f>
        <v/>
      </c>
      <c r="U39" s="3">
        <f>IFERROR(INDEX('CAT_CENTROS_COSTO'!$D$4:$D$9,MATCH($G39,'CAT_CENTROS_COSTO'!$A$4:$A$9,0)),"(sin catálogo)")</f>
        <v/>
      </c>
      <c r="V39" s="3">
        <f>IFERROR(INDEX('CAT_CENTROS_COSTO'!$F$4:$F$9,MATCH($G39,'CAT_CENTROS_COSTO'!$A$4:$A$9,0)),"(sin catálogo)")</f>
        <v/>
      </c>
      <c r="W39" s="3">
        <f>IFERROR(INDEX('CAT_PUESTOS'!$B$4:$B$8,MATCH($H39,'CAT_PUESTOS'!$A$4:$A$8,0)),"(sin catálogo)")</f>
        <v/>
      </c>
      <c r="X39" s="3">
        <f>IFERROR(INDEX('CAT_ACTIVIDADES'!$B$4:$B$8,MATCH($I39,'CAT_ACTIVIDADES'!$A$4:$A$8,0)),"(sin catálogo)")</f>
        <v/>
      </c>
      <c r="Y39" s="12">
        <f>IF($K39="","",TODAY()-$K39)</f>
        <v/>
      </c>
      <c r="Z39" s="3">
        <f>IF($Y39="","",IF($Y39&lt;0,"FUTURO",IF($Y39&gt;p_dias_backlog_max,"BACKLOG","MES CORRIENTE")))</f>
        <v/>
      </c>
      <c r="AA39" s="3">
        <f>IF($Y39="",FALSE,AND($Y39&gt;p_dias_backlog_min,$Y39&lt;=p_dias_backlog_max))</f>
        <v/>
      </c>
      <c r="AB39" s="6" t="inlineStr"/>
      <c r="AC39" s="3">
        <f>IF($AB39="","",IFERROR(INDEX('ASIGNACIONES'!$F$4:$F$339,MATCH($O39&amp;"|"&amp;$R39&amp;"|"&amp;$AB39,'ASIGNACIONES'!$I$4:$I$339,0)),""))</f>
        <v/>
      </c>
      <c r="AD39" s="13">
        <f>IF($AB39="","",SUMIFS('ORDENES'!$L$4:$L$203,'ORDENES'!$AB$4:$AB$203,$AB39,'ORDENES'!$O$4:$O$203,$O39,'ORDENES'!$R$4:$R$203,$R39))</f>
        <v/>
      </c>
      <c r="AE39" s="13">
        <f>IF($AD39="","",p_factor_productividad*IFERROR(INDEX('ASIGNACIONES'!$H$4:$H$339,MATCH($O39&amp;"|"&amp;$R39&amp;"|"&amp;$AB39,'ASIGNACIONES'!$I$4:$I$339,0)),0)-$AD39)</f>
        <v/>
      </c>
      <c r="AF39" s="10">
        <f>IFERROR(INDEX('2_IMPORTAR_EJECUCION'!$G$9:$G$171,MATCH($C39,'2_IMPORTAR_EJECUCION'!$A$9:$A$171,0)),0)</f>
        <v/>
      </c>
      <c r="AG39" s="10">
        <f>MAX(0,IFERROR(INDEX('2_IMPORTAR_EJECUCION'!$I$9:$I$171,MATCH($C39,'2_IMPORTAR_EJECUCION'!$A$9:$A$171,0)),0)-$AF39)</f>
        <v/>
      </c>
      <c r="AH39" s="10">
        <f>$AF39+$AG39</f>
        <v/>
      </c>
      <c r="AI39" s="6" t="inlineStr">
        <is>
          <t>PT-CALIENTE</t>
        </is>
      </c>
      <c r="AJ39" s="6" t="inlineStr">
        <is>
          <t>LOTO</t>
        </is>
      </c>
      <c r="AK39" s="6" t="inlineStr"/>
      <c r="AL39" s="3">
        <f>IF($AK39="","",HYPERLINK(p_ruta_base_checklists&amp;$AK39,"abrir"))</f>
        <v/>
      </c>
      <c r="AM39" s="6" t="inlineStr"/>
    </row>
    <row r="40">
      <c r="A40" s="3" t="inlineStr">
        <is>
          <t>OT-000037</t>
        </is>
      </c>
      <c r="B40" s="3" t="inlineStr">
        <is>
          <t>0010</t>
        </is>
      </c>
      <c r="C40" s="3">
        <f>$A40&amp;IF($B40="","0010",$B40)</f>
        <v/>
      </c>
      <c r="D40" s="3" t="inlineStr">
        <is>
          <t>Reparación de falla — EQ-103</t>
        </is>
      </c>
      <c r="E40" s="3" t="inlineStr">
        <is>
          <t>Reparación de falla en EQ-103</t>
        </is>
      </c>
      <c r="F40" s="3" t="inlineStr">
        <is>
          <t>EQ-103</t>
        </is>
      </c>
      <c r="G40" s="3" t="inlineStr">
        <is>
          <t>CC-110</t>
        </is>
      </c>
      <c r="H40" s="3" t="inlineStr">
        <is>
          <t>PU-MEC</t>
        </is>
      </c>
      <c r="I40" s="3" t="inlineStr">
        <is>
          <t>ACT-03</t>
        </is>
      </c>
      <c r="J40" s="3" t="inlineStr">
        <is>
          <t>TIPO-C2</t>
        </is>
      </c>
      <c r="K40" s="11" t="n">
        <v>46231</v>
      </c>
      <c r="L40" s="3" t="n">
        <v>10</v>
      </c>
      <c r="M40" s="10" t="n">
        <v>400</v>
      </c>
      <c r="N40" s="3">
        <f>IFERROR(INDEX('CAT_ESTADOS_ERP'!$B$4:$B$7,MATCH(IFERROR(INDEX('2_IMPORTAR_EJECUCION'!$D$9:$D$171,MATCH($C40,'2_IMPORTAR_EJECUCION'!$A$9:$A$171,0)),""),'CAT_ESTADOS_ERP'!$A$4:$A$7,0)),"Pendiente")</f>
        <v/>
      </c>
      <c r="O40" s="3">
        <f>IF($K40="","","S"&amp;IF(_xlfn.ISOWEEKNUM($K40)=53,1,_xlfn.ISOWEEKNUM($K40)))</f>
        <v/>
      </c>
      <c r="P40" s="3">
        <f>IF($K40="","",YEAR($K40))</f>
        <v/>
      </c>
      <c r="Q40" s="3">
        <f>IF($K40="","",MONTH($K40))</f>
        <v/>
      </c>
      <c r="R40" s="3">
        <f>IF($K40="","",INDEX(lista_dias,WEEKDAY($K40,2)))</f>
        <v/>
      </c>
      <c r="S40" s="3">
        <f>IFERROR(INDEX('CAT_TIPOS_OT'!$C$4:$C$7,MATCH($J40,'CAT_TIPOS_OT'!$A$4:$A$7,0)),"sin_clasificar")</f>
        <v/>
      </c>
      <c r="T40" s="3">
        <f>IFERROR(INDEX('CAT_CENTROS_COSTO'!$E$4:$E$9,MATCH($G40,'CAT_CENTROS_COSTO'!$A$4:$A$9,0)),"(sin catálogo)")</f>
        <v/>
      </c>
      <c r="U40" s="3">
        <f>IFERROR(INDEX('CAT_CENTROS_COSTO'!$D$4:$D$9,MATCH($G40,'CAT_CENTROS_COSTO'!$A$4:$A$9,0)),"(sin catálogo)")</f>
        <v/>
      </c>
      <c r="V40" s="3">
        <f>IFERROR(INDEX('CAT_CENTROS_COSTO'!$F$4:$F$9,MATCH($G40,'CAT_CENTROS_COSTO'!$A$4:$A$9,0)),"(sin catálogo)")</f>
        <v/>
      </c>
      <c r="W40" s="3">
        <f>IFERROR(INDEX('CAT_PUESTOS'!$B$4:$B$8,MATCH($H40,'CAT_PUESTOS'!$A$4:$A$8,0)),"(sin catálogo)")</f>
        <v/>
      </c>
      <c r="X40" s="3">
        <f>IFERROR(INDEX('CAT_ACTIVIDADES'!$B$4:$B$8,MATCH($I40,'CAT_ACTIVIDADES'!$A$4:$A$8,0)),"(sin catálogo)")</f>
        <v/>
      </c>
      <c r="Y40" s="12">
        <f>IF($K40="","",TODAY()-$K40)</f>
        <v/>
      </c>
      <c r="Z40" s="3">
        <f>IF($Y40="","",IF($Y40&lt;0,"FUTURO",IF($Y40&gt;p_dias_backlog_max,"BACKLOG","MES CORRIENTE")))</f>
        <v/>
      </c>
      <c r="AA40" s="3">
        <f>IF($Y40="",FALSE,AND($Y40&gt;p_dias_backlog_min,$Y40&lt;=p_dias_backlog_max))</f>
        <v/>
      </c>
      <c r="AB40" s="6" t="inlineStr">
        <is>
          <t>Técnico 01</t>
        </is>
      </c>
      <c r="AC40" s="3">
        <f>IF($AB40="","",IFERROR(INDEX('ASIGNACIONES'!$F$4:$F$339,MATCH($O40&amp;"|"&amp;$R40&amp;"|"&amp;$AB40,'ASIGNACIONES'!$I$4:$I$339,0)),""))</f>
        <v/>
      </c>
      <c r="AD40" s="13">
        <f>IF($AB40="","",SUMIFS('ORDENES'!$L$4:$L$203,'ORDENES'!$AB$4:$AB$203,$AB40,'ORDENES'!$O$4:$O$203,$O40,'ORDENES'!$R$4:$R$203,$R40))</f>
        <v/>
      </c>
      <c r="AE40" s="13">
        <f>IF($AD40="","",p_factor_productividad*IFERROR(INDEX('ASIGNACIONES'!$H$4:$H$339,MATCH($O40&amp;"|"&amp;$R40&amp;"|"&amp;$AB40,'ASIGNACIONES'!$I$4:$I$339,0)),0)-$AD40)</f>
        <v/>
      </c>
      <c r="AF40" s="10">
        <f>IFERROR(INDEX('2_IMPORTAR_EJECUCION'!$G$9:$G$171,MATCH($C40,'2_IMPORTAR_EJECUCION'!$A$9:$A$171,0)),0)</f>
        <v/>
      </c>
      <c r="AG40" s="10">
        <f>MAX(0,IFERROR(INDEX('2_IMPORTAR_EJECUCION'!$I$9:$I$171,MATCH($C40,'2_IMPORTAR_EJECUCION'!$A$9:$A$171,0)),0)-$AF40)</f>
        <v/>
      </c>
      <c r="AH40" s="10">
        <f>$AF40+$AG40</f>
        <v/>
      </c>
      <c r="AI40" s="6" t="inlineStr"/>
      <c r="AJ40" s="6" t="inlineStr"/>
      <c r="AK40" s="6" t="inlineStr"/>
      <c r="AL40" s="3">
        <f>IF($AK40="","",HYPERLINK(p_ruta_base_checklists&amp;$AK40,"abrir"))</f>
        <v/>
      </c>
      <c r="AM40" s="6" t="inlineStr"/>
    </row>
    <row r="41">
      <c r="A41" s="3" t="inlineStr">
        <is>
          <t>OT-000038</t>
        </is>
      </c>
      <c r="B41" s="3" t="inlineStr">
        <is>
          <t>0010</t>
        </is>
      </c>
      <c r="C41" s="3">
        <f>$A41&amp;IF($B41="","0010",$B41)</f>
        <v/>
      </c>
      <c r="D41" s="3" t="inlineStr">
        <is>
          <t>Análisis predictivo — EQ-108</t>
        </is>
      </c>
      <c r="E41" s="3" t="inlineStr">
        <is>
          <t>Análisis predictivo en EQ-108</t>
        </is>
      </c>
      <c r="F41" s="3" t="inlineStr">
        <is>
          <t>EQ-108</t>
        </is>
      </c>
      <c r="G41" s="3" t="inlineStr">
        <is>
          <t>CC-210</t>
        </is>
      </c>
      <c r="H41" s="3" t="inlineStr">
        <is>
          <t>PU-MEC</t>
        </is>
      </c>
      <c r="I41" s="3" t="inlineStr">
        <is>
          <t>ACT-04</t>
        </is>
      </c>
      <c r="J41" s="3" t="inlineStr">
        <is>
          <t>TIPO-P1</t>
        </is>
      </c>
      <c r="K41" s="11" t="n">
        <v>46239</v>
      </c>
      <c r="L41" s="3" t="n">
        <v>10</v>
      </c>
      <c r="M41" s="10" t="n">
        <v>250</v>
      </c>
      <c r="N41" s="3">
        <f>IFERROR(INDEX('CAT_ESTADOS_ERP'!$B$4:$B$7,MATCH(IFERROR(INDEX('2_IMPORTAR_EJECUCION'!$D$9:$D$171,MATCH($C41,'2_IMPORTAR_EJECUCION'!$A$9:$A$171,0)),""),'CAT_ESTADOS_ERP'!$A$4:$A$7,0)),"Pendiente")</f>
        <v/>
      </c>
      <c r="O41" s="3">
        <f>IF($K41="","","S"&amp;IF(_xlfn.ISOWEEKNUM($K41)=53,1,_xlfn.ISOWEEKNUM($K41)))</f>
        <v/>
      </c>
      <c r="P41" s="3">
        <f>IF($K41="","",YEAR($K41))</f>
        <v/>
      </c>
      <c r="Q41" s="3">
        <f>IF($K41="","",MONTH($K41))</f>
        <v/>
      </c>
      <c r="R41" s="3">
        <f>IF($K41="","",INDEX(lista_dias,WEEKDAY($K41,2)))</f>
        <v/>
      </c>
      <c r="S41" s="3">
        <f>IFERROR(INDEX('CAT_TIPOS_OT'!$C$4:$C$7,MATCH($J41,'CAT_TIPOS_OT'!$A$4:$A$7,0)),"sin_clasificar")</f>
        <v/>
      </c>
      <c r="T41" s="3">
        <f>IFERROR(INDEX('CAT_CENTROS_COSTO'!$E$4:$E$9,MATCH($G41,'CAT_CENTROS_COSTO'!$A$4:$A$9,0)),"(sin catálogo)")</f>
        <v/>
      </c>
      <c r="U41" s="3">
        <f>IFERROR(INDEX('CAT_CENTROS_COSTO'!$D$4:$D$9,MATCH($G41,'CAT_CENTROS_COSTO'!$A$4:$A$9,0)),"(sin catálogo)")</f>
        <v/>
      </c>
      <c r="V41" s="3">
        <f>IFERROR(INDEX('CAT_CENTROS_COSTO'!$F$4:$F$9,MATCH($G41,'CAT_CENTROS_COSTO'!$A$4:$A$9,0)),"(sin catálogo)")</f>
        <v/>
      </c>
      <c r="W41" s="3">
        <f>IFERROR(INDEX('CAT_PUESTOS'!$B$4:$B$8,MATCH($H41,'CAT_PUESTOS'!$A$4:$A$8,0)),"(sin catálogo)")</f>
        <v/>
      </c>
      <c r="X41" s="3">
        <f>IFERROR(INDEX('CAT_ACTIVIDADES'!$B$4:$B$8,MATCH($I41,'CAT_ACTIVIDADES'!$A$4:$A$8,0)),"(sin catálogo)")</f>
        <v/>
      </c>
      <c r="Y41" s="12">
        <f>IF($K41="","",TODAY()-$K41)</f>
        <v/>
      </c>
      <c r="Z41" s="3">
        <f>IF($Y41="","",IF($Y41&lt;0,"FUTURO",IF($Y41&gt;p_dias_backlog_max,"BACKLOG","MES CORRIENTE")))</f>
        <v/>
      </c>
      <c r="AA41" s="3">
        <f>IF($Y41="",FALSE,AND($Y41&gt;p_dias_backlog_min,$Y41&lt;=p_dias_backlog_max))</f>
        <v/>
      </c>
      <c r="AB41" s="6" t="inlineStr">
        <is>
          <t>Técnico 02</t>
        </is>
      </c>
      <c r="AC41" s="3">
        <f>IF($AB41="","",IFERROR(INDEX('ASIGNACIONES'!$F$4:$F$339,MATCH($O41&amp;"|"&amp;$R41&amp;"|"&amp;$AB41,'ASIGNACIONES'!$I$4:$I$339,0)),""))</f>
        <v/>
      </c>
      <c r="AD41" s="13">
        <f>IF($AB41="","",SUMIFS('ORDENES'!$L$4:$L$203,'ORDENES'!$AB$4:$AB$203,$AB41,'ORDENES'!$O$4:$O$203,$O41,'ORDENES'!$R$4:$R$203,$R41))</f>
        <v/>
      </c>
      <c r="AE41" s="13">
        <f>IF($AD41="","",p_factor_productividad*IFERROR(INDEX('ASIGNACIONES'!$H$4:$H$339,MATCH($O41&amp;"|"&amp;$R41&amp;"|"&amp;$AB41,'ASIGNACIONES'!$I$4:$I$339,0)),0)-$AD41)</f>
        <v/>
      </c>
      <c r="AF41" s="10">
        <f>IFERROR(INDEX('2_IMPORTAR_EJECUCION'!$G$9:$G$171,MATCH($C41,'2_IMPORTAR_EJECUCION'!$A$9:$A$171,0)),0)</f>
        <v/>
      </c>
      <c r="AG41" s="10">
        <f>MAX(0,IFERROR(INDEX('2_IMPORTAR_EJECUCION'!$I$9:$I$171,MATCH($C41,'2_IMPORTAR_EJECUCION'!$A$9:$A$171,0)),0)-$AF41)</f>
        <v/>
      </c>
      <c r="AH41" s="10">
        <f>$AF41+$AG41</f>
        <v/>
      </c>
      <c r="AI41" s="6" t="inlineStr"/>
      <c r="AJ41" s="6" t="inlineStr"/>
      <c r="AK41" s="6" t="inlineStr">
        <is>
          <t>ACT-04.pdf</t>
        </is>
      </c>
      <c r="AL41" s="3">
        <f>IF($AK41="","",HYPERLINK(p_ruta_base_checklists&amp;$AK41,"abrir"))</f>
        <v/>
      </c>
      <c r="AM41" s="6" t="inlineStr"/>
    </row>
    <row r="42">
      <c r="A42" s="3" t="inlineStr">
        <is>
          <t>OT-000039</t>
        </is>
      </c>
      <c r="B42" s="3" t="inlineStr">
        <is>
          <t>0010</t>
        </is>
      </c>
      <c r="C42" s="3">
        <f>$A42&amp;IF($B42="","0010",$B42)</f>
        <v/>
      </c>
      <c r="D42" s="3" t="inlineStr">
        <is>
          <t>Inspección de rutina — EQ-110</t>
        </is>
      </c>
      <c r="E42" s="3" t="inlineStr">
        <is>
          <t>Inspección de rutina en EQ-110</t>
        </is>
      </c>
      <c r="F42" s="3" t="inlineStr">
        <is>
          <t>EQ-110</t>
        </is>
      </c>
      <c r="G42" s="3" t="inlineStr">
        <is>
          <t>CC-310</t>
        </is>
      </c>
      <c r="H42" s="3" t="inlineStr">
        <is>
          <t>PU-MEC</t>
        </is>
      </c>
      <c r="I42" s="3" t="inlineStr">
        <is>
          <t>ACT-01</t>
        </is>
      </c>
      <c r="J42" s="3" t="inlineStr">
        <is>
          <t>TIPO-P2</t>
        </is>
      </c>
      <c r="K42" s="11" t="n">
        <v>46240</v>
      </c>
      <c r="L42" s="3" t="n">
        <v>8</v>
      </c>
      <c r="M42" s="10" t="n">
        <v>200</v>
      </c>
      <c r="N42" s="3">
        <f>IFERROR(INDEX('CAT_ESTADOS_ERP'!$B$4:$B$7,MATCH(IFERROR(INDEX('2_IMPORTAR_EJECUCION'!$D$9:$D$171,MATCH($C42,'2_IMPORTAR_EJECUCION'!$A$9:$A$171,0)),""),'CAT_ESTADOS_ERP'!$A$4:$A$7,0)),"Pendiente")</f>
        <v/>
      </c>
      <c r="O42" s="3">
        <f>IF($K42="","","S"&amp;IF(_xlfn.ISOWEEKNUM($K42)=53,1,_xlfn.ISOWEEKNUM($K42)))</f>
        <v/>
      </c>
      <c r="P42" s="3">
        <f>IF($K42="","",YEAR($K42))</f>
        <v/>
      </c>
      <c r="Q42" s="3">
        <f>IF($K42="","",MONTH($K42))</f>
        <v/>
      </c>
      <c r="R42" s="3">
        <f>IF($K42="","",INDEX(lista_dias,WEEKDAY($K42,2)))</f>
        <v/>
      </c>
      <c r="S42" s="3">
        <f>IFERROR(INDEX('CAT_TIPOS_OT'!$C$4:$C$7,MATCH($J42,'CAT_TIPOS_OT'!$A$4:$A$7,0)),"sin_clasificar")</f>
        <v/>
      </c>
      <c r="T42" s="3">
        <f>IFERROR(INDEX('CAT_CENTROS_COSTO'!$E$4:$E$9,MATCH($G42,'CAT_CENTROS_COSTO'!$A$4:$A$9,0)),"(sin catálogo)")</f>
        <v/>
      </c>
      <c r="U42" s="3">
        <f>IFERROR(INDEX('CAT_CENTROS_COSTO'!$D$4:$D$9,MATCH($G42,'CAT_CENTROS_COSTO'!$A$4:$A$9,0)),"(sin catálogo)")</f>
        <v/>
      </c>
      <c r="V42" s="3">
        <f>IFERROR(INDEX('CAT_CENTROS_COSTO'!$F$4:$F$9,MATCH($G42,'CAT_CENTROS_COSTO'!$A$4:$A$9,0)),"(sin catálogo)")</f>
        <v/>
      </c>
      <c r="W42" s="3">
        <f>IFERROR(INDEX('CAT_PUESTOS'!$B$4:$B$8,MATCH($H42,'CAT_PUESTOS'!$A$4:$A$8,0)),"(sin catálogo)")</f>
        <v/>
      </c>
      <c r="X42" s="3">
        <f>IFERROR(INDEX('CAT_ACTIVIDADES'!$B$4:$B$8,MATCH($I42,'CAT_ACTIVIDADES'!$A$4:$A$8,0)),"(sin catálogo)")</f>
        <v/>
      </c>
      <c r="Y42" s="12">
        <f>IF($K42="","",TODAY()-$K42)</f>
        <v/>
      </c>
      <c r="Z42" s="3">
        <f>IF($Y42="","",IF($Y42&lt;0,"FUTURO",IF($Y42&gt;p_dias_backlog_max,"BACKLOG","MES CORRIENTE")))</f>
        <v/>
      </c>
      <c r="AA42" s="3">
        <f>IF($Y42="",FALSE,AND($Y42&gt;p_dias_backlog_min,$Y42&lt;=p_dias_backlog_max))</f>
        <v/>
      </c>
      <c r="AB42" s="6" t="inlineStr">
        <is>
          <t>Técnico 03</t>
        </is>
      </c>
      <c r="AC42" s="3">
        <f>IF($AB42="","",IFERROR(INDEX('ASIGNACIONES'!$F$4:$F$339,MATCH($O42&amp;"|"&amp;$R42&amp;"|"&amp;$AB42,'ASIGNACIONES'!$I$4:$I$339,0)),""))</f>
        <v/>
      </c>
      <c r="AD42" s="13">
        <f>IF($AB42="","",SUMIFS('ORDENES'!$L$4:$L$203,'ORDENES'!$AB$4:$AB$203,$AB42,'ORDENES'!$O$4:$O$203,$O42,'ORDENES'!$R$4:$R$203,$R42))</f>
        <v/>
      </c>
      <c r="AE42" s="13">
        <f>IF($AD42="","",p_factor_productividad*IFERROR(INDEX('ASIGNACIONES'!$H$4:$H$339,MATCH($O42&amp;"|"&amp;$R42&amp;"|"&amp;$AB42,'ASIGNACIONES'!$I$4:$I$339,0)),0)-$AD42)</f>
        <v/>
      </c>
      <c r="AF42" s="10">
        <f>IFERROR(INDEX('2_IMPORTAR_EJECUCION'!$G$9:$G$171,MATCH($C42,'2_IMPORTAR_EJECUCION'!$A$9:$A$171,0)),0)</f>
        <v/>
      </c>
      <c r="AG42" s="10">
        <f>MAX(0,IFERROR(INDEX('2_IMPORTAR_EJECUCION'!$I$9:$I$171,MATCH($C42,'2_IMPORTAR_EJECUCION'!$A$9:$A$171,0)),0)-$AF42)</f>
        <v/>
      </c>
      <c r="AH42" s="10">
        <f>$AF42+$AG42</f>
        <v/>
      </c>
      <c r="AI42" s="6" t="inlineStr"/>
      <c r="AJ42" s="6" t="inlineStr"/>
      <c r="AK42" s="6" t="inlineStr">
        <is>
          <t>ACT-01.pdf</t>
        </is>
      </c>
      <c r="AL42" s="3">
        <f>IF($AK42="","",HYPERLINK(p_ruta_base_checklists&amp;$AK42,"abrir"))</f>
        <v/>
      </c>
      <c r="AM42" s="6" t="inlineStr"/>
    </row>
    <row r="43">
      <c r="A43" s="3" t="inlineStr">
        <is>
          <t>OT-000040</t>
        </is>
      </c>
      <c r="B43" s="3" t="inlineStr">
        <is>
          <t>0010</t>
        </is>
      </c>
      <c r="C43" s="3">
        <f>$A43&amp;IF($B43="","0010",$B43)</f>
        <v/>
      </c>
      <c r="D43" s="3" t="inlineStr">
        <is>
          <t>Lubricación programada — EQ-101</t>
        </is>
      </c>
      <c r="E43" s="3" t="inlineStr">
        <is>
          <t>Lubricación programada en EQ-101</t>
        </is>
      </c>
      <c r="F43" s="3" t="inlineStr">
        <is>
          <t>EQ-101</t>
        </is>
      </c>
      <c r="G43" s="3" t="inlineStr">
        <is>
          <t>CC-110</t>
        </is>
      </c>
      <c r="H43" s="3" t="inlineStr">
        <is>
          <t>PU-MEC</t>
        </is>
      </c>
      <c r="I43" s="3" t="inlineStr">
        <is>
          <t>ACT-02</t>
        </is>
      </c>
      <c r="J43" s="3" t="inlineStr">
        <is>
          <t>TIPO-P1</t>
        </is>
      </c>
      <c r="K43" s="11" t="n">
        <v>46241</v>
      </c>
      <c r="L43" s="3" t="n">
        <v>6</v>
      </c>
      <c r="M43" s="10" t="n">
        <v>150</v>
      </c>
      <c r="N43" s="3">
        <f>IFERROR(INDEX('CAT_ESTADOS_ERP'!$B$4:$B$7,MATCH(IFERROR(INDEX('2_IMPORTAR_EJECUCION'!$D$9:$D$171,MATCH($C43,'2_IMPORTAR_EJECUCION'!$A$9:$A$171,0)),""),'CAT_ESTADOS_ERP'!$A$4:$A$7,0)),"Pendiente")</f>
        <v/>
      </c>
      <c r="O43" s="3">
        <f>IF($K43="","","S"&amp;IF(_xlfn.ISOWEEKNUM($K43)=53,1,_xlfn.ISOWEEKNUM($K43)))</f>
        <v/>
      </c>
      <c r="P43" s="3">
        <f>IF($K43="","",YEAR($K43))</f>
        <v/>
      </c>
      <c r="Q43" s="3">
        <f>IF($K43="","",MONTH($K43))</f>
        <v/>
      </c>
      <c r="R43" s="3">
        <f>IF($K43="","",INDEX(lista_dias,WEEKDAY($K43,2)))</f>
        <v/>
      </c>
      <c r="S43" s="3">
        <f>IFERROR(INDEX('CAT_TIPOS_OT'!$C$4:$C$7,MATCH($J43,'CAT_TIPOS_OT'!$A$4:$A$7,0)),"sin_clasificar")</f>
        <v/>
      </c>
      <c r="T43" s="3">
        <f>IFERROR(INDEX('CAT_CENTROS_COSTO'!$E$4:$E$9,MATCH($G43,'CAT_CENTROS_COSTO'!$A$4:$A$9,0)),"(sin catálogo)")</f>
        <v/>
      </c>
      <c r="U43" s="3">
        <f>IFERROR(INDEX('CAT_CENTROS_COSTO'!$D$4:$D$9,MATCH($G43,'CAT_CENTROS_COSTO'!$A$4:$A$9,0)),"(sin catálogo)")</f>
        <v/>
      </c>
      <c r="V43" s="3">
        <f>IFERROR(INDEX('CAT_CENTROS_COSTO'!$F$4:$F$9,MATCH($G43,'CAT_CENTROS_COSTO'!$A$4:$A$9,0)),"(sin catálogo)")</f>
        <v/>
      </c>
      <c r="W43" s="3">
        <f>IFERROR(INDEX('CAT_PUESTOS'!$B$4:$B$8,MATCH($H43,'CAT_PUESTOS'!$A$4:$A$8,0)),"(sin catálogo)")</f>
        <v/>
      </c>
      <c r="X43" s="3">
        <f>IFERROR(INDEX('CAT_ACTIVIDADES'!$B$4:$B$8,MATCH($I43,'CAT_ACTIVIDADES'!$A$4:$A$8,0)),"(sin catálogo)")</f>
        <v/>
      </c>
      <c r="Y43" s="12">
        <f>IF($K43="","",TODAY()-$K43)</f>
        <v/>
      </c>
      <c r="Z43" s="3">
        <f>IF($Y43="","",IF($Y43&lt;0,"FUTURO",IF($Y43&gt;p_dias_backlog_max,"BACKLOG","MES CORRIENTE")))</f>
        <v/>
      </c>
      <c r="AA43" s="3">
        <f>IF($Y43="",FALSE,AND($Y43&gt;p_dias_backlog_min,$Y43&lt;=p_dias_backlog_max))</f>
        <v/>
      </c>
      <c r="AB43" s="6" t="inlineStr">
        <is>
          <t>Técnico 04</t>
        </is>
      </c>
      <c r="AC43" s="3">
        <f>IF($AB43="","",IFERROR(INDEX('ASIGNACIONES'!$F$4:$F$339,MATCH($O43&amp;"|"&amp;$R43&amp;"|"&amp;$AB43,'ASIGNACIONES'!$I$4:$I$339,0)),""))</f>
        <v/>
      </c>
      <c r="AD43" s="13">
        <f>IF($AB43="","",SUMIFS('ORDENES'!$L$4:$L$203,'ORDENES'!$AB$4:$AB$203,$AB43,'ORDENES'!$O$4:$O$203,$O43,'ORDENES'!$R$4:$R$203,$R43))</f>
        <v/>
      </c>
      <c r="AE43" s="13">
        <f>IF($AD43="","",p_factor_productividad*IFERROR(INDEX('ASIGNACIONES'!$H$4:$H$339,MATCH($O43&amp;"|"&amp;$R43&amp;"|"&amp;$AB43,'ASIGNACIONES'!$I$4:$I$339,0)),0)-$AD43)</f>
        <v/>
      </c>
      <c r="AF43" s="10">
        <f>IFERROR(INDEX('2_IMPORTAR_EJECUCION'!$G$9:$G$171,MATCH($C43,'2_IMPORTAR_EJECUCION'!$A$9:$A$171,0)),0)</f>
        <v/>
      </c>
      <c r="AG43" s="10">
        <f>MAX(0,IFERROR(INDEX('2_IMPORTAR_EJECUCION'!$I$9:$I$171,MATCH($C43,'2_IMPORTAR_EJECUCION'!$A$9:$A$171,0)),0)-$AF43)</f>
        <v/>
      </c>
      <c r="AH43" s="10">
        <f>$AF43+$AG43</f>
        <v/>
      </c>
      <c r="AI43" s="6" t="inlineStr"/>
      <c r="AJ43" s="6" t="inlineStr"/>
      <c r="AK43" s="6" t="inlineStr">
        <is>
          <t>ACT-02.pdf</t>
        </is>
      </c>
      <c r="AL43" s="3">
        <f>IF($AK43="","",HYPERLINK(p_ruta_base_checklists&amp;$AK43,"abrir"))</f>
        <v/>
      </c>
      <c r="AM43" s="6" t="inlineStr"/>
    </row>
    <row r="44">
      <c r="A44" s="3" t="inlineStr">
        <is>
          <t>OT-000041</t>
        </is>
      </c>
      <c r="B44" s="3" t="inlineStr">
        <is>
          <t>0010</t>
        </is>
      </c>
      <c r="C44" s="3">
        <f>$A44&amp;IF($B44="","0010",$B44)</f>
        <v/>
      </c>
      <c r="D44" s="3" t="inlineStr">
        <is>
          <t>Análisis predictivo — EQ-107</t>
        </is>
      </c>
      <c r="E44" s="3" t="inlineStr">
        <is>
          <t>Análisis predictivo en EQ-107</t>
        </is>
      </c>
      <c r="F44" s="3" t="inlineStr">
        <is>
          <t>EQ-107</t>
        </is>
      </c>
      <c r="G44" s="3" t="inlineStr">
        <is>
          <t>CC-210</t>
        </is>
      </c>
      <c r="H44" s="3" t="inlineStr">
        <is>
          <t>PU-MEC</t>
        </is>
      </c>
      <c r="I44" s="3" t="inlineStr">
        <is>
          <t>ACT-04</t>
        </is>
      </c>
      <c r="J44" s="3" t="inlineStr">
        <is>
          <t>TIPO-P2</t>
        </is>
      </c>
      <c r="K44" s="11" t="n">
        <v>46237</v>
      </c>
      <c r="L44" s="3" t="n">
        <v>10</v>
      </c>
      <c r="M44" s="10" t="n">
        <v>250</v>
      </c>
      <c r="N44" s="3">
        <f>IFERROR(INDEX('CAT_ESTADOS_ERP'!$B$4:$B$7,MATCH(IFERROR(INDEX('2_IMPORTAR_EJECUCION'!$D$9:$D$171,MATCH($C44,'2_IMPORTAR_EJECUCION'!$A$9:$A$171,0)),""),'CAT_ESTADOS_ERP'!$A$4:$A$7,0)),"Pendiente")</f>
        <v/>
      </c>
      <c r="O44" s="3">
        <f>IF($K44="","","S"&amp;IF(_xlfn.ISOWEEKNUM($K44)=53,1,_xlfn.ISOWEEKNUM($K44)))</f>
        <v/>
      </c>
      <c r="P44" s="3">
        <f>IF($K44="","",YEAR($K44))</f>
        <v/>
      </c>
      <c r="Q44" s="3">
        <f>IF($K44="","",MONTH($K44))</f>
        <v/>
      </c>
      <c r="R44" s="3">
        <f>IF($K44="","",INDEX(lista_dias,WEEKDAY($K44,2)))</f>
        <v/>
      </c>
      <c r="S44" s="3">
        <f>IFERROR(INDEX('CAT_TIPOS_OT'!$C$4:$C$7,MATCH($J44,'CAT_TIPOS_OT'!$A$4:$A$7,0)),"sin_clasificar")</f>
        <v/>
      </c>
      <c r="T44" s="3">
        <f>IFERROR(INDEX('CAT_CENTROS_COSTO'!$E$4:$E$9,MATCH($G44,'CAT_CENTROS_COSTO'!$A$4:$A$9,0)),"(sin catálogo)")</f>
        <v/>
      </c>
      <c r="U44" s="3">
        <f>IFERROR(INDEX('CAT_CENTROS_COSTO'!$D$4:$D$9,MATCH($G44,'CAT_CENTROS_COSTO'!$A$4:$A$9,0)),"(sin catálogo)")</f>
        <v/>
      </c>
      <c r="V44" s="3">
        <f>IFERROR(INDEX('CAT_CENTROS_COSTO'!$F$4:$F$9,MATCH($G44,'CAT_CENTROS_COSTO'!$A$4:$A$9,0)),"(sin catálogo)")</f>
        <v/>
      </c>
      <c r="W44" s="3">
        <f>IFERROR(INDEX('CAT_PUESTOS'!$B$4:$B$8,MATCH($H44,'CAT_PUESTOS'!$A$4:$A$8,0)),"(sin catálogo)")</f>
        <v/>
      </c>
      <c r="X44" s="3">
        <f>IFERROR(INDEX('CAT_ACTIVIDADES'!$B$4:$B$8,MATCH($I44,'CAT_ACTIVIDADES'!$A$4:$A$8,0)),"(sin catálogo)")</f>
        <v/>
      </c>
      <c r="Y44" s="12">
        <f>IF($K44="","",TODAY()-$K44)</f>
        <v/>
      </c>
      <c r="Z44" s="3">
        <f>IF($Y44="","",IF($Y44&lt;0,"FUTURO",IF($Y44&gt;p_dias_backlog_max,"BACKLOG","MES CORRIENTE")))</f>
        <v/>
      </c>
      <c r="AA44" s="3">
        <f>IF($Y44="",FALSE,AND($Y44&gt;p_dias_backlog_min,$Y44&lt;=p_dias_backlog_max))</f>
        <v/>
      </c>
      <c r="AB44" s="6" t="inlineStr">
        <is>
          <t>Técnico 01</t>
        </is>
      </c>
      <c r="AC44" s="3">
        <f>IF($AB44="","",IFERROR(INDEX('ASIGNACIONES'!$F$4:$F$339,MATCH($O44&amp;"|"&amp;$R44&amp;"|"&amp;$AB44,'ASIGNACIONES'!$I$4:$I$339,0)),""))</f>
        <v/>
      </c>
      <c r="AD44" s="13">
        <f>IF($AB44="","",SUMIFS('ORDENES'!$L$4:$L$203,'ORDENES'!$AB$4:$AB$203,$AB44,'ORDENES'!$O$4:$O$203,$O44,'ORDENES'!$R$4:$R$203,$R44))</f>
        <v/>
      </c>
      <c r="AE44" s="13">
        <f>IF($AD44="","",p_factor_productividad*IFERROR(INDEX('ASIGNACIONES'!$H$4:$H$339,MATCH($O44&amp;"|"&amp;$R44&amp;"|"&amp;$AB44,'ASIGNACIONES'!$I$4:$I$339,0)),0)-$AD44)</f>
        <v/>
      </c>
      <c r="AF44" s="10">
        <f>IFERROR(INDEX('2_IMPORTAR_EJECUCION'!$G$9:$G$171,MATCH($C44,'2_IMPORTAR_EJECUCION'!$A$9:$A$171,0)),0)</f>
        <v/>
      </c>
      <c r="AG44" s="10">
        <f>MAX(0,IFERROR(INDEX('2_IMPORTAR_EJECUCION'!$I$9:$I$171,MATCH($C44,'2_IMPORTAR_EJECUCION'!$A$9:$A$171,0)),0)-$AF44)</f>
        <v/>
      </c>
      <c r="AH44" s="10">
        <f>$AF44+$AG44</f>
        <v/>
      </c>
      <c r="AI44" s="6" t="inlineStr"/>
      <c r="AJ44" s="6" t="inlineStr"/>
      <c r="AK44" s="6" t="inlineStr">
        <is>
          <t>ACT-04.pdf</t>
        </is>
      </c>
      <c r="AL44" s="3">
        <f>IF($AK44="","",HYPERLINK(p_ruta_base_checklists&amp;$AK44,"abrir"))</f>
        <v/>
      </c>
      <c r="AM44" s="6" t="inlineStr"/>
    </row>
    <row r="45">
      <c r="A45" s="3" t="inlineStr">
        <is>
          <t>OT-000042</t>
        </is>
      </c>
      <c r="B45" s="3" t="inlineStr">
        <is>
          <t>0010</t>
        </is>
      </c>
      <c r="C45" s="3">
        <f>$A45&amp;IF($B45="","0010",$B45)</f>
        <v/>
      </c>
      <c r="D45" s="3" t="inlineStr">
        <is>
          <t>Inspección de rutina — EQ-110</t>
        </is>
      </c>
      <c r="E45" s="3" t="inlineStr">
        <is>
          <t>Inspección de rutina en EQ-110</t>
        </is>
      </c>
      <c r="F45" s="3" t="inlineStr">
        <is>
          <t>EQ-110</t>
        </is>
      </c>
      <c r="G45" s="3" t="inlineStr">
        <is>
          <t>CC-310</t>
        </is>
      </c>
      <c r="H45" s="3" t="inlineStr">
        <is>
          <t>PU-MEC</t>
        </is>
      </c>
      <c r="I45" s="3" t="inlineStr">
        <is>
          <t>ACT-01</t>
        </is>
      </c>
      <c r="J45" s="3" t="inlineStr">
        <is>
          <t>TIPO-P1</t>
        </is>
      </c>
      <c r="K45" s="11" t="n">
        <v>46238</v>
      </c>
      <c r="L45" s="3" t="n">
        <v>8</v>
      </c>
      <c r="M45" s="10" t="n">
        <v>200</v>
      </c>
      <c r="N45" s="3">
        <f>IFERROR(INDEX('CAT_ESTADOS_ERP'!$B$4:$B$7,MATCH(IFERROR(INDEX('2_IMPORTAR_EJECUCION'!$D$9:$D$171,MATCH($C45,'2_IMPORTAR_EJECUCION'!$A$9:$A$171,0)),""),'CAT_ESTADOS_ERP'!$A$4:$A$7,0)),"Pendiente")</f>
        <v/>
      </c>
      <c r="O45" s="3">
        <f>IF($K45="","","S"&amp;IF(_xlfn.ISOWEEKNUM($K45)=53,1,_xlfn.ISOWEEKNUM($K45)))</f>
        <v/>
      </c>
      <c r="P45" s="3">
        <f>IF($K45="","",YEAR($K45))</f>
        <v/>
      </c>
      <c r="Q45" s="3">
        <f>IF($K45="","",MONTH($K45))</f>
        <v/>
      </c>
      <c r="R45" s="3">
        <f>IF($K45="","",INDEX(lista_dias,WEEKDAY($K45,2)))</f>
        <v/>
      </c>
      <c r="S45" s="3">
        <f>IFERROR(INDEX('CAT_TIPOS_OT'!$C$4:$C$7,MATCH($J45,'CAT_TIPOS_OT'!$A$4:$A$7,0)),"sin_clasificar")</f>
        <v/>
      </c>
      <c r="T45" s="3">
        <f>IFERROR(INDEX('CAT_CENTROS_COSTO'!$E$4:$E$9,MATCH($G45,'CAT_CENTROS_COSTO'!$A$4:$A$9,0)),"(sin catálogo)")</f>
        <v/>
      </c>
      <c r="U45" s="3">
        <f>IFERROR(INDEX('CAT_CENTROS_COSTO'!$D$4:$D$9,MATCH($G45,'CAT_CENTROS_COSTO'!$A$4:$A$9,0)),"(sin catálogo)")</f>
        <v/>
      </c>
      <c r="V45" s="3">
        <f>IFERROR(INDEX('CAT_CENTROS_COSTO'!$F$4:$F$9,MATCH($G45,'CAT_CENTROS_COSTO'!$A$4:$A$9,0)),"(sin catálogo)")</f>
        <v/>
      </c>
      <c r="W45" s="3">
        <f>IFERROR(INDEX('CAT_PUESTOS'!$B$4:$B$8,MATCH($H45,'CAT_PUESTOS'!$A$4:$A$8,0)),"(sin catálogo)")</f>
        <v/>
      </c>
      <c r="X45" s="3">
        <f>IFERROR(INDEX('CAT_ACTIVIDADES'!$B$4:$B$8,MATCH($I45,'CAT_ACTIVIDADES'!$A$4:$A$8,0)),"(sin catálogo)")</f>
        <v/>
      </c>
      <c r="Y45" s="12">
        <f>IF($K45="","",TODAY()-$K45)</f>
        <v/>
      </c>
      <c r="Z45" s="3">
        <f>IF($Y45="","",IF($Y45&lt;0,"FUTURO",IF($Y45&gt;p_dias_backlog_max,"BACKLOG","MES CORRIENTE")))</f>
        <v/>
      </c>
      <c r="AA45" s="3">
        <f>IF($Y45="",FALSE,AND($Y45&gt;p_dias_backlog_min,$Y45&lt;=p_dias_backlog_max))</f>
        <v/>
      </c>
      <c r="AB45" s="6" t="inlineStr">
        <is>
          <t>Técnico 02</t>
        </is>
      </c>
      <c r="AC45" s="3">
        <f>IF($AB45="","",IFERROR(INDEX('ASIGNACIONES'!$F$4:$F$339,MATCH($O45&amp;"|"&amp;$R45&amp;"|"&amp;$AB45,'ASIGNACIONES'!$I$4:$I$339,0)),""))</f>
        <v/>
      </c>
      <c r="AD45" s="13">
        <f>IF($AB45="","",SUMIFS('ORDENES'!$L$4:$L$203,'ORDENES'!$AB$4:$AB$203,$AB45,'ORDENES'!$O$4:$O$203,$O45,'ORDENES'!$R$4:$R$203,$R45))</f>
        <v/>
      </c>
      <c r="AE45" s="13">
        <f>IF($AD45="","",p_factor_productividad*IFERROR(INDEX('ASIGNACIONES'!$H$4:$H$339,MATCH($O45&amp;"|"&amp;$R45&amp;"|"&amp;$AB45,'ASIGNACIONES'!$I$4:$I$339,0)),0)-$AD45)</f>
        <v/>
      </c>
      <c r="AF45" s="10">
        <f>IFERROR(INDEX('2_IMPORTAR_EJECUCION'!$G$9:$G$171,MATCH($C45,'2_IMPORTAR_EJECUCION'!$A$9:$A$171,0)),0)</f>
        <v/>
      </c>
      <c r="AG45" s="10">
        <f>MAX(0,IFERROR(INDEX('2_IMPORTAR_EJECUCION'!$I$9:$I$171,MATCH($C45,'2_IMPORTAR_EJECUCION'!$A$9:$A$171,0)),0)-$AF45)</f>
        <v/>
      </c>
      <c r="AH45" s="10">
        <f>$AF45+$AG45</f>
        <v/>
      </c>
      <c r="AI45" s="6" t="inlineStr"/>
      <c r="AJ45" s="6" t="inlineStr"/>
      <c r="AK45" s="6" t="inlineStr">
        <is>
          <t>ACT-01.pdf</t>
        </is>
      </c>
      <c r="AL45" s="3">
        <f>IF($AK45="","",HYPERLINK(p_ruta_base_checklists&amp;$AK45,"abrir"))</f>
        <v/>
      </c>
      <c r="AM45" s="6" t="inlineStr"/>
    </row>
    <row r="46">
      <c r="A46" s="3" t="inlineStr">
        <is>
          <t>OT-000043</t>
        </is>
      </c>
      <c r="B46" s="3" t="inlineStr">
        <is>
          <t>0010</t>
        </is>
      </c>
      <c r="C46" s="3">
        <f>$A46&amp;IF($B46="","0010",$B46)</f>
        <v/>
      </c>
      <c r="D46" s="3" t="inlineStr">
        <is>
          <t>Lubricación programada — EQ-104</t>
        </is>
      </c>
      <c r="E46" s="3" t="inlineStr">
        <is>
          <t>Lubricación programada en EQ-104</t>
        </is>
      </c>
      <c r="F46" s="3" t="inlineStr">
        <is>
          <t>EQ-104</t>
        </is>
      </c>
      <c r="G46" s="3" t="inlineStr">
        <is>
          <t>CC-110</t>
        </is>
      </c>
      <c r="H46" s="3" t="inlineStr">
        <is>
          <t>PU-MEC</t>
        </is>
      </c>
      <c r="I46" s="3" t="inlineStr">
        <is>
          <t>ACT-02</t>
        </is>
      </c>
      <c r="J46" s="3" t="inlineStr">
        <is>
          <t>TIPO-P2</t>
        </is>
      </c>
      <c r="K46" s="11" t="n">
        <v>46239</v>
      </c>
      <c r="L46" s="3" t="n">
        <v>6</v>
      </c>
      <c r="M46" s="10" t="n">
        <v>150</v>
      </c>
      <c r="N46" s="3">
        <f>IFERROR(INDEX('CAT_ESTADOS_ERP'!$B$4:$B$7,MATCH(IFERROR(INDEX('2_IMPORTAR_EJECUCION'!$D$9:$D$171,MATCH($C46,'2_IMPORTAR_EJECUCION'!$A$9:$A$171,0)),""),'CAT_ESTADOS_ERP'!$A$4:$A$7,0)),"Pendiente")</f>
        <v/>
      </c>
      <c r="O46" s="3">
        <f>IF($K46="","","S"&amp;IF(_xlfn.ISOWEEKNUM($K46)=53,1,_xlfn.ISOWEEKNUM($K46)))</f>
        <v/>
      </c>
      <c r="P46" s="3">
        <f>IF($K46="","",YEAR($K46))</f>
        <v/>
      </c>
      <c r="Q46" s="3">
        <f>IF($K46="","",MONTH($K46))</f>
        <v/>
      </c>
      <c r="R46" s="3">
        <f>IF($K46="","",INDEX(lista_dias,WEEKDAY($K46,2)))</f>
        <v/>
      </c>
      <c r="S46" s="3">
        <f>IFERROR(INDEX('CAT_TIPOS_OT'!$C$4:$C$7,MATCH($J46,'CAT_TIPOS_OT'!$A$4:$A$7,0)),"sin_clasificar")</f>
        <v/>
      </c>
      <c r="T46" s="3">
        <f>IFERROR(INDEX('CAT_CENTROS_COSTO'!$E$4:$E$9,MATCH($G46,'CAT_CENTROS_COSTO'!$A$4:$A$9,0)),"(sin catálogo)")</f>
        <v/>
      </c>
      <c r="U46" s="3">
        <f>IFERROR(INDEX('CAT_CENTROS_COSTO'!$D$4:$D$9,MATCH($G46,'CAT_CENTROS_COSTO'!$A$4:$A$9,0)),"(sin catálogo)")</f>
        <v/>
      </c>
      <c r="V46" s="3">
        <f>IFERROR(INDEX('CAT_CENTROS_COSTO'!$F$4:$F$9,MATCH($G46,'CAT_CENTROS_COSTO'!$A$4:$A$9,0)),"(sin catálogo)")</f>
        <v/>
      </c>
      <c r="W46" s="3">
        <f>IFERROR(INDEX('CAT_PUESTOS'!$B$4:$B$8,MATCH($H46,'CAT_PUESTOS'!$A$4:$A$8,0)),"(sin catálogo)")</f>
        <v/>
      </c>
      <c r="X46" s="3">
        <f>IFERROR(INDEX('CAT_ACTIVIDADES'!$B$4:$B$8,MATCH($I46,'CAT_ACTIVIDADES'!$A$4:$A$8,0)),"(sin catálogo)")</f>
        <v/>
      </c>
      <c r="Y46" s="12">
        <f>IF($K46="","",TODAY()-$K46)</f>
        <v/>
      </c>
      <c r="Z46" s="3">
        <f>IF($Y46="","",IF($Y46&lt;0,"FUTURO",IF($Y46&gt;p_dias_backlog_max,"BACKLOG","MES CORRIENTE")))</f>
        <v/>
      </c>
      <c r="AA46" s="3">
        <f>IF($Y46="",FALSE,AND($Y46&gt;p_dias_backlog_min,$Y46&lt;=p_dias_backlog_max))</f>
        <v/>
      </c>
      <c r="AB46" s="6" t="inlineStr">
        <is>
          <t>Técnico 03</t>
        </is>
      </c>
      <c r="AC46" s="3">
        <f>IF($AB46="","",IFERROR(INDEX('ASIGNACIONES'!$F$4:$F$339,MATCH($O46&amp;"|"&amp;$R46&amp;"|"&amp;$AB46,'ASIGNACIONES'!$I$4:$I$339,0)),""))</f>
        <v/>
      </c>
      <c r="AD46" s="13">
        <f>IF($AB46="","",SUMIFS('ORDENES'!$L$4:$L$203,'ORDENES'!$AB$4:$AB$203,$AB46,'ORDENES'!$O$4:$O$203,$O46,'ORDENES'!$R$4:$R$203,$R46))</f>
        <v/>
      </c>
      <c r="AE46" s="13">
        <f>IF($AD46="","",p_factor_productividad*IFERROR(INDEX('ASIGNACIONES'!$H$4:$H$339,MATCH($O46&amp;"|"&amp;$R46&amp;"|"&amp;$AB46,'ASIGNACIONES'!$I$4:$I$339,0)),0)-$AD46)</f>
        <v/>
      </c>
      <c r="AF46" s="10">
        <f>IFERROR(INDEX('2_IMPORTAR_EJECUCION'!$G$9:$G$171,MATCH($C46,'2_IMPORTAR_EJECUCION'!$A$9:$A$171,0)),0)</f>
        <v/>
      </c>
      <c r="AG46" s="10">
        <f>MAX(0,IFERROR(INDEX('2_IMPORTAR_EJECUCION'!$I$9:$I$171,MATCH($C46,'2_IMPORTAR_EJECUCION'!$A$9:$A$171,0)),0)-$AF46)</f>
        <v/>
      </c>
      <c r="AH46" s="10">
        <f>$AF46+$AG46</f>
        <v/>
      </c>
      <c r="AI46" s="6" t="inlineStr"/>
      <c r="AJ46" s="6" t="inlineStr"/>
      <c r="AK46" s="6" t="inlineStr">
        <is>
          <t>ACT-02.pdf</t>
        </is>
      </c>
      <c r="AL46" s="3">
        <f>IF($AK46="","",HYPERLINK(p_ruta_base_checklists&amp;$AK46,"abrir"))</f>
        <v/>
      </c>
      <c r="AM46" s="6" t="inlineStr"/>
    </row>
    <row r="47">
      <c r="A47" s="3" t="inlineStr">
        <is>
          <t>OT-000044</t>
        </is>
      </c>
      <c r="B47" s="3" t="inlineStr">
        <is>
          <t>0010</t>
        </is>
      </c>
      <c r="C47" s="3">
        <f>$A47&amp;IF($B47="","0010",$B47)</f>
        <v/>
      </c>
      <c r="D47" s="3" t="inlineStr">
        <is>
          <t>Análisis predictivo — EQ-106</t>
        </is>
      </c>
      <c r="E47" s="3" t="inlineStr">
        <is>
          <t>Análisis predictivo en EQ-106</t>
        </is>
      </c>
      <c r="F47" s="3" t="inlineStr">
        <is>
          <t>EQ-106</t>
        </is>
      </c>
      <c r="G47" s="3" t="inlineStr">
        <is>
          <t>CC-210</t>
        </is>
      </c>
      <c r="H47" s="3" t="inlineStr">
        <is>
          <t>PU-MEC</t>
        </is>
      </c>
      <c r="I47" s="3" t="inlineStr">
        <is>
          <t>ACT-04</t>
        </is>
      </c>
      <c r="J47" s="3" t="inlineStr">
        <is>
          <t>TIPO-P1</t>
        </is>
      </c>
      <c r="K47" s="11" t="n">
        <v>46240</v>
      </c>
      <c r="L47" s="3" t="n">
        <v>10</v>
      </c>
      <c r="M47" s="10" t="n">
        <v>250</v>
      </c>
      <c r="N47" s="3">
        <f>IFERROR(INDEX('CAT_ESTADOS_ERP'!$B$4:$B$7,MATCH(IFERROR(INDEX('2_IMPORTAR_EJECUCION'!$D$9:$D$171,MATCH($C47,'2_IMPORTAR_EJECUCION'!$A$9:$A$171,0)),""),'CAT_ESTADOS_ERP'!$A$4:$A$7,0)),"Pendiente")</f>
        <v/>
      </c>
      <c r="O47" s="3">
        <f>IF($K47="","","S"&amp;IF(_xlfn.ISOWEEKNUM($K47)=53,1,_xlfn.ISOWEEKNUM($K47)))</f>
        <v/>
      </c>
      <c r="P47" s="3">
        <f>IF($K47="","",YEAR($K47))</f>
        <v/>
      </c>
      <c r="Q47" s="3">
        <f>IF($K47="","",MONTH($K47))</f>
        <v/>
      </c>
      <c r="R47" s="3">
        <f>IF($K47="","",INDEX(lista_dias,WEEKDAY($K47,2)))</f>
        <v/>
      </c>
      <c r="S47" s="3">
        <f>IFERROR(INDEX('CAT_TIPOS_OT'!$C$4:$C$7,MATCH($J47,'CAT_TIPOS_OT'!$A$4:$A$7,0)),"sin_clasificar")</f>
        <v/>
      </c>
      <c r="T47" s="3">
        <f>IFERROR(INDEX('CAT_CENTROS_COSTO'!$E$4:$E$9,MATCH($G47,'CAT_CENTROS_COSTO'!$A$4:$A$9,0)),"(sin catálogo)")</f>
        <v/>
      </c>
      <c r="U47" s="3">
        <f>IFERROR(INDEX('CAT_CENTROS_COSTO'!$D$4:$D$9,MATCH($G47,'CAT_CENTROS_COSTO'!$A$4:$A$9,0)),"(sin catálogo)")</f>
        <v/>
      </c>
      <c r="V47" s="3">
        <f>IFERROR(INDEX('CAT_CENTROS_COSTO'!$F$4:$F$9,MATCH($G47,'CAT_CENTROS_COSTO'!$A$4:$A$9,0)),"(sin catálogo)")</f>
        <v/>
      </c>
      <c r="W47" s="3">
        <f>IFERROR(INDEX('CAT_PUESTOS'!$B$4:$B$8,MATCH($H47,'CAT_PUESTOS'!$A$4:$A$8,0)),"(sin catálogo)")</f>
        <v/>
      </c>
      <c r="X47" s="3">
        <f>IFERROR(INDEX('CAT_ACTIVIDADES'!$B$4:$B$8,MATCH($I47,'CAT_ACTIVIDADES'!$A$4:$A$8,0)),"(sin catálogo)")</f>
        <v/>
      </c>
      <c r="Y47" s="12">
        <f>IF($K47="","",TODAY()-$K47)</f>
        <v/>
      </c>
      <c r="Z47" s="3">
        <f>IF($Y47="","",IF($Y47&lt;0,"FUTURO",IF($Y47&gt;p_dias_backlog_max,"BACKLOG","MES CORRIENTE")))</f>
        <v/>
      </c>
      <c r="AA47" s="3">
        <f>IF($Y47="",FALSE,AND($Y47&gt;p_dias_backlog_min,$Y47&lt;=p_dias_backlog_max))</f>
        <v/>
      </c>
      <c r="AB47" s="6" t="inlineStr">
        <is>
          <t>Técnico 04</t>
        </is>
      </c>
      <c r="AC47" s="3">
        <f>IF($AB47="","",IFERROR(INDEX('ASIGNACIONES'!$F$4:$F$339,MATCH($O47&amp;"|"&amp;$R47&amp;"|"&amp;$AB47,'ASIGNACIONES'!$I$4:$I$339,0)),""))</f>
        <v/>
      </c>
      <c r="AD47" s="13">
        <f>IF($AB47="","",SUMIFS('ORDENES'!$L$4:$L$203,'ORDENES'!$AB$4:$AB$203,$AB47,'ORDENES'!$O$4:$O$203,$O47,'ORDENES'!$R$4:$R$203,$R47))</f>
        <v/>
      </c>
      <c r="AE47" s="13">
        <f>IF($AD47="","",p_factor_productividad*IFERROR(INDEX('ASIGNACIONES'!$H$4:$H$339,MATCH($O47&amp;"|"&amp;$R47&amp;"|"&amp;$AB47,'ASIGNACIONES'!$I$4:$I$339,0)),0)-$AD47)</f>
        <v/>
      </c>
      <c r="AF47" s="10">
        <f>IFERROR(INDEX('2_IMPORTAR_EJECUCION'!$G$9:$G$171,MATCH($C47,'2_IMPORTAR_EJECUCION'!$A$9:$A$171,0)),0)</f>
        <v/>
      </c>
      <c r="AG47" s="10">
        <f>MAX(0,IFERROR(INDEX('2_IMPORTAR_EJECUCION'!$I$9:$I$171,MATCH($C47,'2_IMPORTAR_EJECUCION'!$A$9:$A$171,0)),0)-$AF47)</f>
        <v/>
      </c>
      <c r="AH47" s="10">
        <f>$AF47+$AG47</f>
        <v/>
      </c>
      <c r="AI47" s="6" t="inlineStr"/>
      <c r="AJ47" s="6" t="inlineStr"/>
      <c r="AK47" s="6" t="inlineStr">
        <is>
          <t>ACT-04.pdf</t>
        </is>
      </c>
      <c r="AL47" s="3">
        <f>IF($AK47="","",HYPERLINK(p_ruta_base_checklists&amp;$AK47,"abrir"))</f>
        <v/>
      </c>
      <c r="AM47" s="6" t="inlineStr"/>
    </row>
    <row r="48">
      <c r="A48" s="3" t="inlineStr">
        <is>
          <t>OT-000045</t>
        </is>
      </c>
      <c r="B48" s="3" t="inlineStr">
        <is>
          <t>0010</t>
        </is>
      </c>
      <c r="C48" s="3">
        <f>$A48&amp;IF($B48="","0010",$B48)</f>
        <v/>
      </c>
      <c r="D48" s="3" t="inlineStr">
        <is>
          <t>Inspección de rutina — EQ-110</t>
        </is>
      </c>
      <c r="E48" s="3" t="inlineStr">
        <is>
          <t>Inspección de rutina en EQ-110</t>
        </is>
      </c>
      <c r="F48" s="3" t="inlineStr">
        <is>
          <t>EQ-110</t>
        </is>
      </c>
      <c r="G48" s="3" t="inlineStr">
        <is>
          <t>CC-310</t>
        </is>
      </c>
      <c r="H48" s="3" t="inlineStr">
        <is>
          <t>PU-MEC</t>
        </is>
      </c>
      <c r="I48" s="3" t="inlineStr">
        <is>
          <t>ACT-01</t>
        </is>
      </c>
      <c r="J48" s="3" t="inlineStr">
        <is>
          <t>TIPO-P2</t>
        </is>
      </c>
      <c r="K48" s="11" t="n">
        <v>46241</v>
      </c>
      <c r="L48" s="3" t="n">
        <v>8</v>
      </c>
      <c r="M48" s="10" t="n">
        <v>200</v>
      </c>
      <c r="N48" s="3">
        <f>IFERROR(INDEX('CAT_ESTADOS_ERP'!$B$4:$B$7,MATCH(IFERROR(INDEX('2_IMPORTAR_EJECUCION'!$D$9:$D$171,MATCH($C48,'2_IMPORTAR_EJECUCION'!$A$9:$A$171,0)),""),'CAT_ESTADOS_ERP'!$A$4:$A$7,0)),"Pendiente")</f>
        <v/>
      </c>
      <c r="O48" s="3">
        <f>IF($K48="","","S"&amp;IF(_xlfn.ISOWEEKNUM($K48)=53,1,_xlfn.ISOWEEKNUM($K48)))</f>
        <v/>
      </c>
      <c r="P48" s="3">
        <f>IF($K48="","",YEAR($K48))</f>
        <v/>
      </c>
      <c r="Q48" s="3">
        <f>IF($K48="","",MONTH($K48))</f>
        <v/>
      </c>
      <c r="R48" s="3">
        <f>IF($K48="","",INDEX(lista_dias,WEEKDAY($K48,2)))</f>
        <v/>
      </c>
      <c r="S48" s="3">
        <f>IFERROR(INDEX('CAT_TIPOS_OT'!$C$4:$C$7,MATCH($J48,'CAT_TIPOS_OT'!$A$4:$A$7,0)),"sin_clasificar")</f>
        <v/>
      </c>
      <c r="T48" s="3">
        <f>IFERROR(INDEX('CAT_CENTROS_COSTO'!$E$4:$E$9,MATCH($G48,'CAT_CENTROS_COSTO'!$A$4:$A$9,0)),"(sin catálogo)")</f>
        <v/>
      </c>
      <c r="U48" s="3">
        <f>IFERROR(INDEX('CAT_CENTROS_COSTO'!$D$4:$D$9,MATCH($G48,'CAT_CENTROS_COSTO'!$A$4:$A$9,0)),"(sin catálogo)")</f>
        <v/>
      </c>
      <c r="V48" s="3">
        <f>IFERROR(INDEX('CAT_CENTROS_COSTO'!$F$4:$F$9,MATCH($G48,'CAT_CENTROS_COSTO'!$A$4:$A$9,0)),"(sin catálogo)")</f>
        <v/>
      </c>
      <c r="W48" s="3">
        <f>IFERROR(INDEX('CAT_PUESTOS'!$B$4:$B$8,MATCH($H48,'CAT_PUESTOS'!$A$4:$A$8,0)),"(sin catálogo)")</f>
        <v/>
      </c>
      <c r="X48" s="3">
        <f>IFERROR(INDEX('CAT_ACTIVIDADES'!$B$4:$B$8,MATCH($I48,'CAT_ACTIVIDADES'!$A$4:$A$8,0)),"(sin catálogo)")</f>
        <v/>
      </c>
      <c r="Y48" s="12">
        <f>IF($K48="","",TODAY()-$K48)</f>
        <v/>
      </c>
      <c r="Z48" s="3">
        <f>IF($Y48="","",IF($Y48&lt;0,"FUTURO",IF($Y48&gt;p_dias_backlog_max,"BACKLOG","MES CORRIENTE")))</f>
        <v/>
      </c>
      <c r="AA48" s="3">
        <f>IF($Y48="",FALSE,AND($Y48&gt;p_dias_backlog_min,$Y48&lt;=p_dias_backlog_max))</f>
        <v/>
      </c>
      <c r="AB48" s="6" t="inlineStr">
        <is>
          <t>Técnico 01</t>
        </is>
      </c>
      <c r="AC48" s="3">
        <f>IF($AB48="","",IFERROR(INDEX('ASIGNACIONES'!$F$4:$F$339,MATCH($O48&amp;"|"&amp;$R48&amp;"|"&amp;$AB48,'ASIGNACIONES'!$I$4:$I$339,0)),""))</f>
        <v/>
      </c>
      <c r="AD48" s="13">
        <f>IF($AB48="","",SUMIFS('ORDENES'!$L$4:$L$203,'ORDENES'!$AB$4:$AB$203,$AB48,'ORDENES'!$O$4:$O$203,$O48,'ORDENES'!$R$4:$R$203,$R48))</f>
        <v/>
      </c>
      <c r="AE48" s="13">
        <f>IF($AD48="","",p_factor_productividad*IFERROR(INDEX('ASIGNACIONES'!$H$4:$H$339,MATCH($O48&amp;"|"&amp;$R48&amp;"|"&amp;$AB48,'ASIGNACIONES'!$I$4:$I$339,0)),0)-$AD48)</f>
        <v/>
      </c>
      <c r="AF48" s="10">
        <f>IFERROR(INDEX('2_IMPORTAR_EJECUCION'!$G$9:$G$171,MATCH($C48,'2_IMPORTAR_EJECUCION'!$A$9:$A$171,0)),0)</f>
        <v/>
      </c>
      <c r="AG48" s="10">
        <f>MAX(0,IFERROR(INDEX('2_IMPORTAR_EJECUCION'!$I$9:$I$171,MATCH($C48,'2_IMPORTAR_EJECUCION'!$A$9:$A$171,0)),0)-$AF48)</f>
        <v/>
      </c>
      <c r="AH48" s="10">
        <f>$AF48+$AG48</f>
        <v/>
      </c>
      <c r="AI48" s="6" t="inlineStr"/>
      <c r="AJ48" s="6" t="inlineStr"/>
      <c r="AK48" s="6" t="inlineStr">
        <is>
          <t>ACT-01.pdf</t>
        </is>
      </c>
      <c r="AL48" s="3">
        <f>IF($AK48="","",HYPERLINK(p_ruta_base_checklists&amp;$AK48,"abrir"))</f>
        <v/>
      </c>
      <c r="AM48" s="6" t="inlineStr"/>
    </row>
    <row r="49">
      <c r="A49" s="3" t="inlineStr">
        <is>
          <t>OT-000046</t>
        </is>
      </c>
      <c r="B49" s="3" t="inlineStr">
        <is>
          <t>0010</t>
        </is>
      </c>
      <c r="C49" s="3">
        <f>$A49&amp;IF($B49="","0010",$B49)</f>
        <v/>
      </c>
      <c r="D49" s="3" t="inlineStr">
        <is>
          <t>Lubricación programada — EQ-102</t>
        </is>
      </c>
      <c r="E49" s="3" t="inlineStr">
        <is>
          <t>Lubricación programada en EQ-102</t>
        </is>
      </c>
      <c r="F49" s="3" t="inlineStr">
        <is>
          <t>EQ-102</t>
        </is>
      </c>
      <c r="G49" s="3" t="inlineStr">
        <is>
          <t>CC-110</t>
        </is>
      </c>
      <c r="H49" s="3" t="inlineStr">
        <is>
          <t>PU-MEC</t>
        </is>
      </c>
      <c r="I49" s="3" t="inlineStr">
        <is>
          <t>ACT-02</t>
        </is>
      </c>
      <c r="J49" s="3" t="inlineStr">
        <is>
          <t>TIPO-P1</t>
        </is>
      </c>
      <c r="K49" s="11" t="n">
        <v>46237</v>
      </c>
      <c r="L49" s="3" t="n">
        <v>4</v>
      </c>
      <c r="M49" s="10" t="n">
        <v>100</v>
      </c>
      <c r="N49" s="3">
        <f>IFERROR(INDEX('CAT_ESTADOS_ERP'!$B$4:$B$7,MATCH(IFERROR(INDEX('2_IMPORTAR_EJECUCION'!$D$9:$D$171,MATCH($C49,'2_IMPORTAR_EJECUCION'!$A$9:$A$171,0)),""),'CAT_ESTADOS_ERP'!$A$4:$A$7,0)),"Pendiente")</f>
        <v/>
      </c>
      <c r="O49" s="3">
        <f>IF($K49="","","S"&amp;IF(_xlfn.ISOWEEKNUM($K49)=53,1,_xlfn.ISOWEEKNUM($K49)))</f>
        <v/>
      </c>
      <c r="P49" s="3">
        <f>IF($K49="","",YEAR($K49))</f>
        <v/>
      </c>
      <c r="Q49" s="3">
        <f>IF($K49="","",MONTH($K49))</f>
        <v/>
      </c>
      <c r="R49" s="3">
        <f>IF($K49="","",INDEX(lista_dias,WEEKDAY($K49,2)))</f>
        <v/>
      </c>
      <c r="S49" s="3">
        <f>IFERROR(INDEX('CAT_TIPOS_OT'!$C$4:$C$7,MATCH($J49,'CAT_TIPOS_OT'!$A$4:$A$7,0)),"sin_clasificar")</f>
        <v/>
      </c>
      <c r="T49" s="3">
        <f>IFERROR(INDEX('CAT_CENTROS_COSTO'!$E$4:$E$9,MATCH($G49,'CAT_CENTROS_COSTO'!$A$4:$A$9,0)),"(sin catálogo)")</f>
        <v/>
      </c>
      <c r="U49" s="3">
        <f>IFERROR(INDEX('CAT_CENTROS_COSTO'!$D$4:$D$9,MATCH($G49,'CAT_CENTROS_COSTO'!$A$4:$A$9,0)),"(sin catálogo)")</f>
        <v/>
      </c>
      <c r="V49" s="3">
        <f>IFERROR(INDEX('CAT_CENTROS_COSTO'!$F$4:$F$9,MATCH($G49,'CAT_CENTROS_COSTO'!$A$4:$A$9,0)),"(sin catálogo)")</f>
        <v/>
      </c>
      <c r="W49" s="3">
        <f>IFERROR(INDEX('CAT_PUESTOS'!$B$4:$B$8,MATCH($H49,'CAT_PUESTOS'!$A$4:$A$8,0)),"(sin catálogo)")</f>
        <v/>
      </c>
      <c r="X49" s="3">
        <f>IFERROR(INDEX('CAT_ACTIVIDADES'!$B$4:$B$8,MATCH($I49,'CAT_ACTIVIDADES'!$A$4:$A$8,0)),"(sin catálogo)")</f>
        <v/>
      </c>
      <c r="Y49" s="12">
        <f>IF($K49="","",TODAY()-$K49)</f>
        <v/>
      </c>
      <c r="Z49" s="3">
        <f>IF($Y49="","",IF($Y49&lt;0,"FUTURO",IF($Y49&gt;p_dias_backlog_max,"BACKLOG","MES CORRIENTE")))</f>
        <v/>
      </c>
      <c r="AA49" s="3">
        <f>IF($Y49="",FALSE,AND($Y49&gt;p_dias_backlog_min,$Y49&lt;=p_dias_backlog_max))</f>
        <v/>
      </c>
      <c r="AB49" s="6" t="inlineStr">
        <is>
          <t>Técnico 02</t>
        </is>
      </c>
      <c r="AC49" s="3">
        <f>IF($AB49="","",IFERROR(INDEX('ASIGNACIONES'!$F$4:$F$339,MATCH($O49&amp;"|"&amp;$R49&amp;"|"&amp;$AB49,'ASIGNACIONES'!$I$4:$I$339,0)),""))</f>
        <v/>
      </c>
      <c r="AD49" s="13">
        <f>IF($AB49="","",SUMIFS('ORDENES'!$L$4:$L$203,'ORDENES'!$AB$4:$AB$203,$AB49,'ORDENES'!$O$4:$O$203,$O49,'ORDENES'!$R$4:$R$203,$R49))</f>
        <v/>
      </c>
      <c r="AE49" s="13">
        <f>IF($AD49="","",p_factor_productividad*IFERROR(INDEX('ASIGNACIONES'!$H$4:$H$339,MATCH($O49&amp;"|"&amp;$R49&amp;"|"&amp;$AB49,'ASIGNACIONES'!$I$4:$I$339,0)),0)-$AD49)</f>
        <v/>
      </c>
      <c r="AF49" s="10">
        <f>IFERROR(INDEX('2_IMPORTAR_EJECUCION'!$G$9:$G$171,MATCH($C49,'2_IMPORTAR_EJECUCION'!$A$9:$A$171,0)),0)</f>
        <v/>
      </c>
      <c r="AG49" s="10">
        <f>MAX(0,IFERROR(INDEX('2_IMPORTAR_EJECUCION'!$I$9:$I$171,MATCH($C49,'2_IMPORTAR_EJECUCION'!$A$9:$A$171,0)),0)-$AF49)</f>
        <v/>
      </c>
      <c r="AH49" s="10">
        <f>$AF49+$AG49</f>
        <v/>
      </c>
      <c r="AI49" s="6" t="inlineStr"/>
      <c r="AJ49" s="6" t="inlineStr"/>
      <c r="AK49" s="6" t="inlineStr">
        <is>
          <t>ACT-02.pdf</t>
        </is>
      </c>
      <c r="AL49" s="3">
        <f>IF($AK49="","",HYPERLINK(p_ruta_base_checklists&amp;$AK49,"abrir"))</f>
        <v/>
      </c>
      <c r="AM49" s="6" t="inlineStr"/>
    </row>
    <row r="50">
      <c r="A50" s="3" t="inlineStr">
        <is>
          <t>OT-000047</t>
        </is>
      </c>
      <c r="B50" s="3" t="inlineStr">
        <is>
          <t>0010</t>
        </is>
      </c>
      <c r="C50" s="3">
        <f>$A50&amp;IF($B50="","0010",$B50)</f>
        <v/>
      </c>
      <c r="D50" s="3" t="inlineStr">
        <is>
          <t>Reparación de falla — EQ-109</t>
        </is>
      </c>
      <c r="E50" s="3" t="inlineStr">
        <is>
          <t>Reparación de falla en EQ-109</t>
        </is>
      </c>
      <c r="F50" s="3" t="inlineStr">
        <is>
          <t>EQ-109</t>
        </is>
      </c>
      <c r="G50" s="3" t="inlineStr">
        <is>
          <t>CC-210</t>
        </is>
      </c>
      <c r="H50" s="3" t="inlineStr">
        <is>
          <t>PU-MEC</t>
        </is>
      </c>
      <c r="I50" s="3" t="inlineStr">
        <is>
          <t>ACT-03</t>
        </is>
      </c>
      <c r="J50" s="3" t="inlineStr">
        <is>
          <t>TIPO-C2</t>
        </is>
      </c>
      <c r="K50" s="11" t="n">
        <v>46238</v>
      </c>
      <c r="L50" s="3" t="n">
        <v>10</v>
      </c>
      <c r="M50" s="10" t="n">
        <v>400</v>
      </c>
      <c r="N50" s="3">
        <f>IFERROR(INDEX('CAT_ESTADOS_ERP'!$B$4:$B$7,MATCH(IFERROR(INDEX('2_IMPORTAR_EJECUCION'!$D$9:$D$171,MATCH($C50,'2_IMPORTAR_EJECUCION'!$A$9:$A$171,0)),""),'CAT_ESTADOS_ERP'!$A$4:$A$7,0)),"Pendiente")</f>
        <v/>
      </c>
      <c r="O50" s="3">
        <f>IF($K50="","","S"&amp;IF(_xlfn.ISOWEEKNUM($K50)=53,1,_xlfn.ISOWEEKNUM($K50)))</f>
        <v/>
      </c>
      <c r="P50" s="3">
        <f>IF($K50="","",YEAR($K50))</f>
        <v/>
      </c>
      <c r="Q50" s="3">
        <f>IF($K50="","",MONTH($K50))</f>
        <v/>
      </c>
      <c r="R50" s="3">
        <f>IF($K50="","",INDEX(lista_dias,WEEKDAY($K50,2)))</f>
        <v/>
      </c>
      <c r="S50" s="3">
        <f>IFERROR(INDEX('CAT_TIPOS_OT'!$C$4:$C$7,MATCH($J50,'CAT_TIPOS_OT'!$A$4:$A$7,0)),"sin_clasificar")</f>
        <v/>
      </c>
      <c r="T50" s="3">
        <f>IFERROR(INDEX('CAT_CENTROS_COSTO'!$E$4:$E$9,MATCH($G50,'CAT_CENTROS_COSTO'!$A$4:$A$9,0)),"(sin catálogo)")</f>
        <v/>
      </c>
      <c r="U50" s="3">
        <f>IFERROR(INDEX('CAT_CENTROS_COSTO'!$D$4:$D$9,MATCH($G50,'CAT_CENTROS_COSTO'!$A$4:$A$9,0)),"(sin catálogo)")</f>
        <v/>
      </c>
      <c r="V50" s="3">
        <f>IFERROR(INDEX('CAT_CENTROS_COSTO'!$F$4:$F$9,MATCH($G50,'CAT_CENTROS_COSTO'!$A$4:$A$9,0)),"(sin catálogo)")</f>
        <v/>
      </c>
      <c r="W50" s="3">
        <f>IFERROR(INDEX('CAT_PUESTOS'!$B$4:$B$8,MATCH($H50,'CAT_PUESTOS'!$A$4:$A$8,0)),"(sin catálogo)")</f>
        <v/>
      </c>
      <c r="X50" s="3">
        <f>IFERROR(INDEX('CAT_ACTIVIDADES'!$B$4:$B$8,MATCH($I50,'CAT_ACTIVIDADES'!$A$4:$A$8,0)),"(sin catálogo)")</f>
        <v/>
      </c>
      <c r="Y50" s="12">
        <f>IF($K50="","",TODAY()-$K50)</f>
        <v/>
      </c>
      <c r="Z50" s="3">
        <f>IF($Y50="","",IF($Y50&lt;0,"FUTURO",IF($Y50&gt;p_dias_backlog_max,"BACKLOG","MES CORRIENTE")))</f>
        <v/>
      </c>
      <c r="AA50" s="3">
        <f>IF($Y50="",FALSE,AND($Y50&gt;p_dias_backlog_min,$Y50&lt;=p_dias_backlog_max))</f>
        <v/>
      </c>
      <c r="AB50" s="6" t="inlineStr">
        <is>
          <t>Técnico 03</t>
        </is>
      </c>
      <c r="AC50" s="3">
        <f>IF($AB50="","",IFERROR(INDEX('ASIGNACIONES'!$F$4:$F$339,MATCH($O50&amp;"|"&amp;$R50&amp;"|"&amp;$AB50,'ASIGNACIONES'!$I$4:$I$339,0)),""))</f>
        <v/>
      </c>
      <c r="AD50" s="13">
        <f>IF($AB50="","",SUMIFS('ORDENES'!$L$4:$L$203,'ORDENES'!$AB$4:$AB$203,$AB50,'ORDENES'!$O$4:$O$203,$O50,'ORDENES'!$R$4:$R$203,$R50))</f>
        <v/>
      </c>
      <c r="AE50" s="13">
        <f>IF($AD50="","",p_factor_productividad*IFERROR(INDEX('ASIGNACIONES'!$H$4:$H$339,MATCH($O50&amp;"|"&amp;$R50&amp;"|"&amp;$AB50,'ASIGNACIONES'!$I$4:$I$339,0)),0)-$AD50)</f>
        <v/>
      </c>
      <c r="AF50" s="10">
        <f>IFERROR(INDEX('2_IMPORTAR_EJECUCION'!$G$9:$G$171,MATCH($C50,'2_IMPORTAR_EJECUCION'!$A$9:$A$171,0)),0)</f>
        <v/>
      </c>
      <c r="AG50" s="10">
        <f>MAX(0,IFERROR(INDEX('2_IMPORTAR_EJECUCION'!$I$9:$I$171,MATCH($C50,'2_IMPORTAR_EJECUCION'!$A$9:$A$171,0)),0)-$AF50)</f>
        <v/>
      </c>
      <c r="AH50" s="10">
        <f>$AF50+$AG50</f>
        <v/>
      </c>
      <c r="AI50" s="6" t="inlineStr"/>
      <c r="AJ50" s="6" t="inlineStr"/>
      <c r="AK50" s="6" t="inlineStr"/>
      <c r="AL50" s="3">
        <f>IF($AK50="","",HYPERLINK(p_ruta_base_checklists&amp;$AK50,"abrir"))</f>
        <v/>
      </c>
      <c r="AM50" s="6" t="inlineStr"/>
    </row>
    <row r="51">
      <c r="A51" s="3" t="inlineStr">
        <is>
          <t>OT-000048</t>
        </is>
      </c>
      <c r="B51" s="3" t="inlineStr">
        <is>
          <t>0010</t>
        </is>
      </c>
      <c r="C51" s="3">
        <f>$A51&amp;IF($B51="","0010",$B51)</f>
        <v/>
      </c>
      <c r="D51" s="3" t="inlineStr">
        <is>
          <t>Reparación de falla — EQ-110</t>
        </is>
      </c>
      <c r="E51" s="3" t="inlineStr">
        <is>
          <t>Reparación de falla en EQ-110</t>
        </is>
      </c>
      <c r="F51" s="3" t="inlineStr">
        <is>
          <t>EQ-110</t>
        </is>
      </c>
      <c r="G51" s="3" t="inlineStr">
        <is>
          <t>CC-310</t>
        </is>
      </c>
      <c r="H51" s="3" t="inlineStr">
        <is>
          <t>PU-MEC</t>
        </is>
      </c>
      <c r="I51" s="3" t="inlineStr">
        <is>
          <t>ACT-03</t>
        </is>
      </c>
      <c r="J51" s="3" t="inlineStr">
        <is>
          <t>TIPO-C1</t>
        </is>
      </c>
      <c r="K51" s="11" t="n">
        <v>46239</v>
      </c>
      <c r="L51" s="3" t="n">
        <v>4</v>
      </c>
      <c r="M51" s="10" t="n">
        <v>160</v>
      </c>
      <c r="N51" s="3">
        <f>IFERROR(INDEX('CAT_ESTADOS_ERP'!$B$4:$B$7,MATCH(IFERROR(INDEX('2_IMPORTAR_EJECUCION'!$D$9:$D$171,MATCH($C51,'2_IMPORTAR_EJECUCION'!$A$9:$A$171,0)),""),'CAT_ESTADOS_ERP'!$A$4:$A$7,0)),"Pendiente")</f>
        <v/>
      </c>
      <c r="O51" s="3">
        <f>IF($K51="","","S"&amp;IF(_xlfn.ISOWEEKNUM($K51)=53,1,_xlfn.ISOWEEKNUM($K51)))</f>
        <v/>
      </c>
      <c r="P51" s="3">
        <f>IF($K51="","",YEAR($K51))</f>
        <v/>
      </c>
      <c r="Q51" s="3">
        <f>IF($K51="","",MONTH($K51))</f>
        <v/>
      </c>
      <c r="R51" s="3">
        <f>IF($K51="","",INDEX(lista_dias,WEEKDAY($K51,2)))</f>
        <v/>
      </c>
      <c r="S51" s="3">
        <f>IFERROR(INDEX('CAT_TIPOS_OT'!$C$4:$C$7,MATCH($J51,'CAT_TIPOS_OT'!$A$4:$A$7,0)),"sin_clasificar")</f>
        <v/>
      </c>
      <c r="T51" s="3">
        <f>IFERROR(INDEX('CAT_CENTROS_COSTO'!$E$4:$E$9,MATCH($G51,'CAT_CENTROS_COSTO'!$A$4:$A$9,0)),"(sin catálogo)")</f>
        <v/>
      </c>
      <c r="U51" s="3">
        <f>IFERROR(INDEX('CAT_CENTROS_COSTO'!$D$4:$D$9,MATCH($G51,'CAT_CENTROS_COSTO'!$A$4:$A$9,0)),"(sin catálogo)")</f>
        <v/>
      </c>
      <c r="V51" s="3">
        <f>IFERROR(INDEX('CAT_CENTROS_COSTO'!$F$4:$F$9,MATCH($G51,'CAT_CENTROS_COSTO'!$A$4:$A$9,0)),"(sin catálogo)")</f>
        <v/>
      </c>
      <c r="W51" s="3">
        <f>IFERROR(INDEX('CAT_PUESTOS'!$B$4:$B$8,MATCH($H51,'CAT_PUESTOS'!$A$4:$A$8,0)),"(sin catálogo)")</f>
        <v/>
      </c>
      <c r="X51" s="3">
        <f>IFERROR(INDEX('CAT_ACTIVIDADES'!$B$4:$B$8,MATCH($I51,'CAT_ACTIVIDADES'!$A$4:$A$8,0)),"(sin catálogo)")</f>
        <v/>
      </c>
      <c r="Y51" s="12">
        <f>IF($K51="","",TODAY()-$K51)</f>
        <v/>
      </c>
      <c r="Z51" s="3">
        <f>IF($Y51="","",IF($Y51&lt;0,"FUTURO",IF($Y51&gt;p_dias_backlog_max,"BACKLOG","MES CORRIENTE")))</f>
        <v/>
      </c>
      <c r="AA51" s="3">
        <f>IF($Y51="",FALSE,AND($Y51&gt;p_dias_backlog_min,$Y51&lt;=p_dias_backlog_max))</f>
        <v/>
      </c>
      <c r="AB51" s="6" t="inlineStr"/>
      <c r="AC51" s="3">
        <f>IF($AB51="","",IFERROR(INDEX('ASIGNACIONES'!$F$4:$F$339,MATCH($O51&amp;"|"&amp;$R51&amp;"|"&amp;$AB51,'ASIGNACIONES'!$I$4:$I$339,0)),""))</f>
        <v/>
      </c>
      <c r="AD51" s="13">
        <f>IF($AB51="","",SUMIFS('ORDENES'!$L$4:$L$203,'ORDENES'!$AB$4:$AB$203,$AB51,'ORDENES'!$O$4:$O$203,$O51,'ORDENES'!$R$4:$R$203,$R51))</f>
        <v/>
      </c>
      <c r="AE51" s="13">
        <f>IF($AD51="","",p_factor_productividad*IFERROR(INDEX('ASIGNACIONES'!$H$4:$H$339,MATCH($O51&amp;"|"&amp;$R51&amp;"|"&amp;$AB51,'ASIGNACIONES'!$I$4:$I$339,0)),0)-$AD51)</f>
        <v/>
      </c>
      <c r="AF51" s="10">
        <f>IFERROR(INDEX('2_IMPORTAR_EJECUCION'!$G$9:$G$171,MATCH($C51,'2_IMPORTAR_EJECUCION'!$A$9:$A$171,0)),0)</f>
        <v/>
      </c>
      <c r="AG51" s="10">
        <f>MAX(0,IFERROR(INDEX('2_IMPORTAR_EJECUCION'!$I$9:$I$171,MATCH($C51,'2_IMPORTAR_EJECUCION'!$A$9:$A$171,0)),0)-$AF51)</f>
        <v/>
      </c>
      <c r="AH51" s="10">
        <f>$AF51+$AG51</f>
        <v/>
      </c>
      <c r="AI51" s="6" t="inlineStr">
        <is>
          <t>PT-CALIENTE</t>
        </is>
      </c>
      <c r="AJ51" s="6" t="inlineStr">
        <is>
          <t>LOTO</t>
        </is>
      </c>
      <c r="AK51" s="6" t="inlineStr"/>
      <c r="AL51" s="3">
        <f>IF($AK51="","",HYPERLINK(p_ruta_base_checklists&amp;$AK51,"abrir"))</f>
        <v/>
      </c>
      <c r="AM51" s="6" t="inlineStr"/>
    </row>
    <row r="52">
      <c r="A52" s="3" t="inlineStr">
        <is>
          <t>OT-000049</t>
        </is>
      </c>
      <c r="B52" s="3" t="inlineStr">
        <is>
          <t>0010</t>
        </is>
      </c>
      <c r="C52" s="3">
        <f>$A52&amp;IF($B52="","0010",$B52)</f>
        <v/>
      </c>
      <c r="D52" s="3" t="inlineStr">
        <is>
          <t>Lubricación programada — EQ-105</t>
        </is>
      </c>
      <c r="E52" s="3" t="inlineStr">
        <is>
          <t>Lubricación programada en EQ-105</t>
        </is>
      </c>
      <c r="F52" s="3" t="inlineStr">
        <is>
          <t>EQ-105</t>
        </is>
      </c>
      <c r="G52" s="3" t="inlineStr">
        <is>
          <t>CC-120</t>
        </is>
      </c>
      <c r="H52" s="3" t="inlineStr">
        <is>
          <t>PU-ELE</t>
        </is>
      </c>
      <c r="I52" s="3" t="inlineStr">
        <is>
          <t>ACT-02</t>
        </is>
      </c>
      <c r="J52" s="3" t="inlineStr">
        <is>
          <t>TIPO-P2</t>
        </is>
      </c>
      <c r="K52" s="11" t="n">
        <v>46219</v>
      </c>
      <c r="L52" s="3" t="n">
        <v>10</v>
      </c>
      <c r="M52" s="10" t="n">
        <v>250</v>
      </c>
      <c r="N52" s="3">
        <f>IFERROR(INDEX('CAT_ESTADOS_ERP'!$B$4:$B$7,MATCH(IFERROR(INDEX('2_IMPORTAR_EJECUCION'!$D$9:$D$171,MATCH($C52,'2_IMPORTAR_EJECUCION'!$A$9:$A$171,0)),""),'CAT_ESTADOS_ERP'!$A$4:$A$7,0)),"Pendiente")</f>
        <v/>
      </c>
      <c r="O52" s="3">
        <f>IF($K52="","","S"&amp;IF(_xlfn.ISOWEEKNUM($K52)=53,1,_xlfn.ISOWEEKNUM($K52)))</f>
        <v/>
      </c>
      <c r="P52" s="3">
        <f>IF($K52="","",YEAR($K52))</f>
        <v/>
      </c>
      <c r="Q52" s="3">
        <f>IF($K52="","",MONTH($K52))</f>
        <v/>
      </c>
      <c r="R52" s="3">
        <f>IF($K52="","",INDEX(lista_dias,WEEKDAY($K52,2)))</f>
        <v/>
      </c>
      <c r="S52" s="3">
        <f>IFERROR(INDEX('CAT_TIPOS_OT'!$C$4:$C$7,MATCH($J52,'CAT_TIPOS_OT'!$A$4:$A$7,0)),"sin_clasificar")</f>
        <v/>
      </c>
      <c r="T52" s="3">
        <f>IFERROR(INDEX('CAT_CENTROS_COSTO'!$E$4:$E$9,MATCH($G52,'CAT_CENTROS_COSTO'!$A$4:$A$9,0)),"(sin catálogo)")</f>
        <v/>
      </c>
      <c r="U52" s="3">
        <f>IFERROR(INDEX('CAT_CENTROS_COSTO'!$D$4:$D$9,MATCH($G52,'CAT_CENTROS_COSTO'!$A$4:$A$9,0)),"(sin catálogo)")</f>
        <v/>
      </c>
      <c r="V52" s="3">
        <f>IFERROR(INDEX('CAT_CENTROS_COSTO'!$F$4:$F$9,MATCH($G52,'CAT_CENTROS_COSTO'!$A$4:$A$9,0)),"(sin catálogo)")</f>
        <v/>
      </c>
      <c r="W52" s="3">
        <f>IFERROR(INDEX('CAT_PUESTOS'!$B$4:$B$8,MATCH($H52,'CAT_PUESTOS'!$A$4:$A$8,0)),"(sin catálogo)")</f>
        <v/>
      </c>
      <c r="X52" s="3">
        <f>IFERROR(INDEX('CAT_ACTIVIDADES'!$B$4:$B$8,MATCH($I52,'CAT_ACTIVIDADES'!$A$4:$A$8,0)),"(sin catálogo)")</f>
        <v/>
      </c>
      <c r="Y52" s="12">
        <f>IF($K52="","",TODAY()-$K52)</f>
        <v/>
      </c>
      <c r="Z52" s="3">
        <f>IF($Y52="","",IF($Y52&lt;0,"FUTURO",IF($Y52&gt;p_dias_backlog_max,"BACKLOG","MES CORRIENTE")))</f>
        <v/>
      </c>
      <c r="AA52" s="3">
        <f>IF($Y52="",FALSE,AND($Y52&gt;p_dias_backlog_min,$Y52&lt;=p_dias_backlog_max))</f>
        <v/>
      </c>
      <c r="AB52" s="6" t="inlineStr">
        <is>
          <t>Técnico 05</t>
        </is>
      </c>
      <c r="AC52" s="3">
        <f>IF($AB52="","",IFERROR(INDEX('ASIGNACIONES'!$F$4:$F$339,MATCH($O52&amp;"|"&amp;$R52&amp;"|"&amp;$AB52,'ASIGNACIONES'!$I$4:$I$339,0)),""))</f>
        <v/>
      </c>
      <c r="AD52" s="13">
        <f>IF($AB52="","",SUMIFS('ORDENES'!$L$4:$L$203,'ORDENES'!$AB$4:$AB$203,$AB52,'ORDENES'!$O$4:$O$203,$O52,'ORDENES'!$R$4:$R$203,$R52))</f>
        <v/>
      </c>
      <c r="AE52" s="13">
        <f>IF($AD52="","",p_factor_productividad*IFERROR(INDEX('ASIGNACIONES'!$H$4:$H$339,MATCH($O52&amp;"|"&amp;$R52&amp;"|"&amp;$AB52,'ASIGNACIONES'!$I$4:$I$339,0)),0)-$AD52)</f>
        <v/>
      </c>
      <c r="AF52" s="10">
        <f>IFERROR(INDEX('2_IMPORTAR_EJECUCION'!$G$9:$G$171,MATCH($C52,'2_IMPORTAR_EJECUCION'!$A$9:$A$171,0)),0)</f>
        <v/>
      </c>
      <c r="AG52" s="10">
        <f>MAX(0,IFERROR(INDEX('2_IMPORTAR_EJECUCION'!$I$9:$I$171,MATCH($C52,'2_IMPORTAR_EJECUCION'!$A$9:$A$171,0)),0)-$AF52)</f>
        <v/>
      </c>
      <c r="AH52" s="10">
        <f>$AF52+$AG52</f>
        <v/>
      </c>
      <c r="AI52" s="6" t="inlineStr"/>
      <c r="AJ52" s="6" t="inlineStr"/>
      <c r="AK52" s="6" t="inlineStr">
        <is>
          <t>ACT-02.pdf</t>
        </is>
      </c>
      <c r="AL52" s="3">
        <f>IF($AK52="","",HYPERLINK(p_ruta_base_checklists&amp;$AK52,"abrir"))</f>
        <v/>
      </c>
      <c r="AM52" s="6" t="inlineStr"/>
    </row>
    <row r="53">
      <c r="A53" s="3" t="inlineStr">
        <is>
          <t>OT-000050</t>
        </is>
      </c>
      <c r="B53" s="3" t="inlineStr">
        <is>
          <t>0010</t>
        </is>
      </c>
      <c r="C53" s="3">
        <f>$A53&amp;IF($B53="","0010",$B53)</f>
        <v/>
      </c>
      <c r="D53" s="3" t="inlineStr">
        <is>
          <t>Análisis predictivo — EQ-108</t>
        </is>
      </c>
      <c r="E53" s="3" t="inlineStr">
        <is>
          <t>Análisis predictivo en EQ-108</t>
        </is>
      </c>
      <c r="F53" s="3" t="inlineStr">
        <is>
          <t>EQ-108</t>
        </is>
      </c>
      <c r="G53" s="3" t="inlineStr">
        <is>
          <t>CC-220</t>
        </is>
      </c>
      <c r="H53" s="3" t="inlineStr">
        <is>
          <t>PU-ELE</t>
        </is>
      </c>
      <c r="I53" s="3" t="inlineStr">
        <is>
          <t>ACT-04</t>
        </is>
      </c>
      <c r="J53" s="3" t="inlineStr">
        <is>
          <t>TIPO-P1</t>
        </is>
      </c>
      <c r="K53" s="11" t="n">
        <v>46220</v>
      </c>
      <c r="L53" s="3" t="n">
        <v>8</v>
      </c>
      <c r="M53" s="10" t="n">
        <v>200</v>
      </c>
      <c r="N53" s="3">
        <f>IFERROR(INDEX('CAT_ESTADOS_ERP'!$B$4:$B$7,MATCH(IFERROR(INDEX('2_IMPORTAR_EJECUCION'!$D$9:$D$171,MATCH($C53,'2_IMPORTAR_EJECUCION'!$A$9:$A$171,0)),""),'CAT_ESTADOS_ERP'!$A$4:$A$7,0)),"Pendiente")</f>
        <v/>
      </c>
      <c r="O53" s="3">
        <f>IF($K53="","","S"&amp;IF(_xlfn.ISOWEEKNUM($K53)=53,1,_xlfn.ISOWEEKNUM($K53)))</f>
        <v/>
      </c>
      <c r="P53" s="3">
        <f>IF($K53="","",YEAR($K53))</f>
        <v/>
      </c>
      <c r="Q53" s="3">
        <f>IF($K53="","",MONTH($K53))</f>
        <v/>
      </c>
      <c r="R53" s="3">
        <f>IF($K53="","",INDEX(lista_dias,WEEKDAY($K53,2)))</f>
        <v/>
      </c>
      <c r="S53" s="3">
        <f>IFERROR(INDEX('CAT_TIPOS_OT'!$C$4:$C$7,MATCH($J53,'CAT_TIPOS_OT'!$A$4:$A$7,0)),"sin_clasificar")</f>
        <v/>
      </c>
      <c r="T53" s="3">
        <f>IFERROR(INDEX('CAT_CENTROS_COSTO'!$E$4:$E$9,MATCH($G53,'CAT_CENTROS_COSTO'!$A$4:$A$9,0)),"(sin catálogo)")</f>
        <v/>
      </c>
      <c r="U53" s="3">
        <f>IFERROR(INDEX('CAT_CENTROS_COSTO'!$D$4:$D$9,MATCH($G53,'CAT_CENTROS_COSTO'!$A$4:$A$9,0)),"(sin catálogo)")</f>
        <v/>
      </c>
      <c r="V53" s="3">
        <f>IFERROR(INDEX('CAT_CENTROS_COSTO'!$F$4:$F$9,MATCH($G53,'CAT_CENTROS_COSTO'!$A$4:$A$9,0)),"(sin catálogo)")</f>
        <v/>
      </c>
      <c r="W53" s="3">
        <f>IFERROR(INDEX('CAT_PUESTOS'!$B$4:$B$8,MATCH($H53,'CAT_PUESTOS'!$A$4:$A$8,0)),"(sin catálogo)")</f>
        <v/>
      </c>
      <c r="X53" s="3">
        <f>IFERROR(INDEX('CAT_ACTIVIDADES'!$B$4:$B$8,MATCH($I53,'CAT_ACTIVIDADES'!$A$4:$A$8,0)),"(sin catálogo)")</f>
        <v/>
      </c>
      <c r="Y53" s="12">
        <f>IF($K53="","",TODAY()-$K53)</f>
        <v/>
      </c>
      <c r="Z53" s="3">
        <f>IF($Y53="","",IF($Y53&lt;0,"FUTURO",IF($Y53&gt;p_dias_backlog_max,"BACKLOG","MES CORRIENTE")))</f>
        <v/>
      </c>
      <c r="AA53" s="3">
        <f>IF($Y53="",FALSE,AND($Y53&gt;p_dias_backlog_min,$Y53&lt;=p_dias_backlog_max))</f>
        <v/>
      </c>
      <c r="AB53" s="6" t="inlineStr">
        <is>
          <t>Técnico 06</t>
        </is>
      </c>
      <c r="AC53" s="3">
        <f>IF($AB53="","",IFERROR(INDEX('ASIGNACIONES'!$F$4:$F$339,MATCH($O53&amp;"|"&amp;$R53&amp;"|"&amp;$AB53,'ASIGNACIONES'!$I$4:$I$339,0)),""))</f>
        <v/>
      </c>
      <c r="AD53" s="13">
        <f>IF($AB53="","",SUMIFS('ORDENES'!$L$4:$L$203,'ORDENES'!$AB$4:$AB$203,$AB53,'ORDENES'!$O$4:$O$203,$O53,'ORDENES'!$R$4:$R$203,$R53))</f>
        <v/>
      </c>
      <c r="AE53" s="13">
        <f>IF($AD53="","",p_factor_productividad*IFERROR(INDEX('ASIGNACIONES'!$H$4:$H$339,MATCH($O53&amp;"|"&amp;$R53&amp;"|"&amp;$AB53,'ASIGNACIONES'!$I$4:$I$339,0)),0)-$AD53)</f>
        <v/>
      </c>
      <c r="AF53" s="10">
        <f>IFERROR(INDEX('2_IMPORTAR_EJECUCION'!$G$9:$G$171,MATCH($C53,'2_IMPORTAR_EJECUCION'!$A$9:$A$171,0)),0)</f>
        <v/>
      </c>
      <c r="AG53" s="10">
        <f>MAX(0,IFERROR(INDEX('2_IMPORTAR_EJECUCION'!$I$9:$I$171,MATCH($C53,'2_IMPORTAR_EJECUCION'!$A$9:$A$171,0)),0)-$AF53)</f>
        <v/>
      </c>
      <c r="AH53" s="10">
        <f>$AF53+$AG53</f>
        <v/>
      </c>
      <c r="AI53" s="6" t="inlineStr"/>
      <c r="AJ53" s="6" t="inlineStr"/>
      <c r="AK53" s="6" t="inlineStr">
        <is>
          <t>ACT-04.pdf</t>
        </is>
      </c>
      <c r="AL53" s="3">
        <f>IF($AK53="","",HYPERLINK(p_ruta_base_checklists&amp;$AK53,"abrir"))</f>
        <v/>
      </c>
      <c r="AM53" s="6" t="inlineStr"/>
    </row>
    <row r="54">
      <c r="A54" s="3" t="inlineStr">
        <is>
          <t>OT-000051</t>
        </is>
      </c>
      <c r="B54" s="3" t="inlineStr">
        <is>
          <t>0010</t>
        </is>
      </c>
      <c r="C54" s="3">
        <f>$A54&amp;IF($B54="","0010",$B54)</f>
        <v/>
      </c>
      <c r="D54" s="3" t="inlineStr">
        <is>
          <t>Inspección de rutina — EQ-102</t>
        </is>
      </c>
      <c r="E54" s="3" t="inlineStr">
        <is>
          <t>Inspección de rutina en EQ-102</t>
        </is>
      </c>
      <c r="F54" s="3" t="inlineStr">
        <is>
          <t>EQ-102</t>
        </is>
      </c>
      <c r="G54" s="3" t="inlineStr">
        <is>
          <t>CC-120</t>
        </is>
      </c>
      <c r="H54" s="3" t="inlineStr">
        <is>
          <t>PU-ELE</t>
        </is>
      </c>
      <c r="I54" s="3" t="inlineStr">
        <is>
          <t>ACT-01</t>
        </is>
      </c>
      <c r="J54" s="3" t="inlineStr">
        <is>
          <t>TIPO-P2</t>
        </is>
      </c>
      <c r="K54" s="11" t="n">
        <v>46216</v>
      </c>
      <c r="L54" s="3" t="n">
        <v>6</v>
      </c>
      <c r="M54" s="10" t="n">
        <v>150</v>
      </c>
      <c r="N54" s="3">
        <f>IFERROR(INDEX('CAT_ESTADOS_ERP'!$B$4:$B$7,MATCH(IFERROR(INDEX('2_IMPORTAR_EJECUCION'!$D$9:$D$171,MATCH($C54,'2_IMPORTAR_EJECUCION'!$A$9:$A$171,0)),""),'CAT_ESTADOS_ERP'!$A$4:$A$7,0)),"Pendiente")</f>
        <v/>
      </c>
      <c r="O54" s="3">
        <f>IF($K54="","","S"&amp;IF(_xlfn.ISOWEEKNUM($K54)=53,1,_xlfn.ISOWEEKNUM($K54)))</f>
        <v/>
      </c>
      <c r="P54" s="3">
        <f>IF($K54="","",YEAR($K54))</f>
        <v/>
      </c>
      <c r="Q54" s="3">
        <f>IF($K54="","",MONTH($K54))</f>
        <v/>
      </c>
      <c r="R54" s="3">
        <f>IF($K54="","",INDEX(lista_dias,WEEKDAY($K54,2)))</f>
        <v/>
      </c>
      <c r="S54" s="3">
        <f>IFERROR(INDEX('CAT_TIPOS_OT'!$C$4:$C$7,MATCH($J54,'CAT_TIPOS_OT'!$A$4:$A$7,0)),"sin_clasificar")</f>
        <v/>
      </c>
      <c r="T54" s="3">
        <f>IFERROR(INDEX('CAT_CENTROS_COSTO'!$E$4:$E$9,MATCH($G54,'CAT_CENTROS_COSTO'!$A$4:$A$9,0)),"(sin catálogo)")</f>
        <v/>
      </c>
      <c r="U54" s="3">
        <f>IFERROR(INDEX('CAT_CENTROS_COSTO'!$D$4:$D$9,MATCH($G54,'CAT_CENTROS_COSTO'!$A$4:$A$9,0)),"(sin catálogo)")</f>
        <v/>
      </c>
      <c r="V54" s="3">
        <f>IFERROR(INDEX('CAT_CENTROS_COSTO'!$F$4:$F$9,MATCH($G54,'CAT_CENTROS_COSTO'!$A$4:$A$9,0)),"(sin catálogo)")</f>
        <v/>
      </c>
      <c r="W54" s="3">
        <f>IFERROR(INDEX('CAT_PUESTOS'!$B$4:$B$8,MATCH($H54,'CAT_PUESTOS'!$A$4:$A$8,0)),"(sin catálogo)")</f>
        <v/>
      </c>
      <c r="X54" s="3">
        <f>IFERROR(INDEX('CAT_ACTIVIDADES'!$B$4:$B$8,MATCH($I54,'CAT_ACTIVIDADES'!$A$4:$A$8,0)),"(sin catálogo)")</f>
        <v/>
      </c>
      <c r="Y54" s="12">
        <f>IF($K54="","",TODAY()-$K54)</f>
        <v/>
      </c>
      <c r="Z54" s="3">
        <f>IF($Y54="","",IF($Y54&lt;0,"FUTURO",IF($Y54&gt;p_dias_backlog_max,"BACKLOG","MES CORRIENTE")))</f>
        <v/>
      </c>
      <c r="AA54" s="3">
        <f>IF($Y54="",FALSE,AND($Y54&gt;p_dias_backlog_min,$Y54&lt;=p_dias_backlog_max))</f>
        <v/>
      </c>
      <c r="AB54" s="6" t="inlineStr">
        <is>
          <t>Técnico 07</t>
        </is>
      </c>
      <c r="AC54" s="3">
        <f>IF($AB54="","",IFERROR(INDEX('ASIGNACIONES'!$F$4:$F$339,MATCH($O54&amp;"|"&amp;$R54&amp;"|"&amp;$AB54,'ASIGNACIONES'!$I$4:$I$339,0)),""))</f>
        <v/>
      </c>
      <c r="AD54" s="13">
        <f>IF($AB54="","",SUMIFS('ORDENES'!$L$4:$L$203,'ORDENES'!$AB$4:$AB$203,$AB54,'ORDENES'!$O$4:$O$203,$O54,'ORDENES'!$R$4:$R$203,$R54))</f>
        <v/>
      </c>
      <c r="AE54" s="13">
        <f>IF($AD54="","",p_factor_productividad*IFERROR(INDEX('ASIGNACIONES'!$H$4:$H$339,MATCH($O54&amp;"|"&amp;$R54&amp;"|"&amp;$AB54,'ASIGNACIONES'!$I$4:$I$339,0)),0)-$AD54)</f>
        <v/>
      </c>
      <c r="AF54" s="10">
        <f>IFERROR(INDEX('2_IMPORTAR_EJECUCION'!$G$9:$G$171,MATCH($C54,'2_IMPORTAR_EJECUCION'!$A$9:$A$171,0)),0)</f>
        <v/>
      </c>
      <c r="AG54" s="10">
        <f>MAX(0,IFERROR(INDEX('2_IMPORTAR_EJECUCION'!$I$9:$I$171,MATCH($C54,'2_IMPORTAR_EJECUCION'!$A$9:$A$171,0)),0)-$AF54)</f>
        <v/>
      </c>
      <c r="AH54" s="10">
        <f>$AF54+$AG54</f>
        <v/>
      </c>
      <c r="AI54" s="6" t="inlineStr"/>
      <c r="AJ54" s="6" t="inlineStr"/>
      <c r="AK54" s="6" t="inlineStr">
        <is>
          <t>ACT-01.pdf</t>
        </is>
      </c>
      <c r="AL54" s="3">
        <f>IF($AK54="","",HYPERLINK(p_ruta_base_checklists&amp;$AK54,"abrir"))</f>
        <v/>
      </c>
      <c r="AM54" s="6" t="inlineStr"/>
    </row>
    <row r="55">
      <c r="A55" s="3" t="inlineStr">
        <is>
          <t>OT-000052</t>
        </is>
      </c>
      <c r="B55" s="3" t="inlineStr">
        <is>
          <t>0010</t>
        </is>
      </c>
      <c r="C55" s="3">
        <f>$A55&amp;IF($B55="","0010",$B55)</f>
        <v/>
      </c>
      <c r="D55" s="3" t="inlineStr">
        <is>
          <t>Lubricación programada — EQ-106</t>
        </is>
      </c>
      <c r="E55" s="3" t="inlineStr">
        <is>
          <t>Lubricación programada en EQ-106</t>
        </is>
      </c>
      <c r="F55" s="3" t="inlineStr">
        <is>
          <t>EQ-106</t>
        </is>
      </c>
      <c r="G55" s="3" t="inlineStr">
        <is>
          <t>CC-220</t>
        </is>
      </c>
      <c r="H55" s="3" t="inlineStr">
        <is>
          <t>PU-ELE</t>
        </is>
      </c>
      <c r="I55" s="3" t="inlineStr">
        <is>
          <t>ACT-02</t>
        </is>
      </c>
      <c r="J55" s="3" t="inlineStr">
        <is>
          <t>TIPO-P1</t>
        </is>
      </c>
      <c r="K55" s="11" t="n">
        <v>46217</v>
      </c>
      <c r="L55" s="3" t="n">
        <v>10</v>
      </c>
      <c r="M55" s="10" t="n">
        <v>250</v>
      </c>
      <c r="N55" s="3">
        <f>IFERROR(INDEX('CAT_ESTADOS_ERP'!$B$4:$B$7,MATCH(IFERROR(INDEX('2_IMPORTAR_EJECUCION'!$D$9:$D$171,MATCH($C55,'2_IMPORTAR_EJECUCION'!$A$9:$A$171,0)),""),'CAT_ESTADOS_ERP'!$A$4:$A$7,0)),"Pendiente")</f>
        <v/>
      </c>
      <c r="O55" s="3">
        <f>IF($K55="","","S"&amp;IF(_xlfn.ISOWEEKNUM($K55)=53,1,_xlfn.ISOWEEKNUM($K55)))</f>
        <v/>
      </c>
      <c r="P55" s="3">
        <f>IF($K55="","",YEAR($K55))</f>
        <v/>
      </c>
      <c r="Q55" s="3">
        <f>IF($K55="","",MONTH($K55))</f>
        <v/>
      </c>
      <c r="R55" s="3">
        <f>IF($K55="","",INDEX(lista_dias,WEEKDAY($K55,2)))</f>
        <v/>
      </c>
      <c r="S55" s="3">
        <f>IFERROR(INDEX('CAT_TIPOS_OT'!$C$4:$C$7,MATCH($J55,'CAT_TIPOS_OT'!$A$4:$A$7,0)),"sin_clasificar")</f>
        <v/>
      </c>
      <c r="T55" s="3">
        <f>IFERROR(INDEX('CAT_CENTROS_COSTO'!$E$4:$E$9,MATCH($G55,'CAT_CENTROS_COSTO'!$A$4:$A$9,0)),"(sin catálogo)")</f>
        <v/>
      </c>
      <c r="U55" s="3">
        <f>IFERROR(INDEX('CAT_CENTROS_COSTO'!$D$4:$D$9,MATCH($G55,'CAT_CENTROS_COSTO'!$A$4:$A$9,0)),"(sin catálogo)")</f>
        <v/>
      </c>
      <c r="V55" s="3">
        <f>IFERROR(INDEX('CAT_CENTROS_COSTO'!$F$4:$F$9,MATCH($G55,'CAT_CENTROS_COSTO'!$A$4:$A$9,0)),"(sin catálogo)")</f>
        <v/>
      </c>
      <c r="W55" s="3">
        <f>IFERROR(INDEX('CAT_PUESTOS'!$B$4:$B$8,MATCH($H55,'CAT_PUESTOS'!$A$4:$A$8,0)),"(sin catálogo)")</f>
        <v/>
      </c>
      <c r="X55" s="3">
        <f>IFERROR(INDEX('CAT_ACTIVIDADES'!$B$4:$B$8,MATCH($I55,'CAT_ACTIVIDADES'!$A$4:$A$8,0)),"(sin catálogo)")</f>
        <v/>
      </c>
      <c r="Y55" s="12">
        <f>IF($K55="","",TODAY()-$K55)</f>
        <v/>
      </c>
      <c r="Z55" s="3">
        <f>IF($Y55="","",IF($Y55&lt;0,"FUTURO",IF($Y55&gt;p_dias_backlog_max,"BACKLOG","MES CORRIENTE")))</f>
        <v/>
      </c>
      <c r="AA55" s="3">
        <f>IF($Y55="",FALSE,AND($Y55&gt;p_dias_backlog_min,$Y55&lt;=p_dias_backlog_max))</f>
        <v/>
      </c>
      <c r="AB55" s="6" t="inlineStr">
        <is>
          <t>Técnico 05</t>
        </is>
      </c>
      <c r="AC55" s="3">
        <f>IF($AB55="","",IFERROR(INDEX('ASIGNACIONES'!$F$4:$F$339,MATCH($O55&amp;"|"&amp;$R55&amp;"|"&amp;$AB55,'ASIGNACIONES'!$I$4:$I$339,0)),""))</f>
        <v/>
      </c>
      <c r="AD55" s="13">
        <f>IF($AB55="","",SUMIFS('ORDENES'!$L$4:$L$203,'ORDENES'!$AB$4:$AB$203,$AB55,'ORDENES'!$O$4:$O$203,$O55,'ORDENES'!$R$4:$R$203,$R55))</f>
        <v/>
      </c>
      <c r="AE55" s="13">
        <f>IF($AD55="","",p_factor_productividad*IFERROR(INDEX('ASIGNACIONES'!$H$4:$H$339,MATCH($O55&amp;"|"&amp;$R55&amp;"|"&amp;$AB55,'ASIGNACIONES'!$I$4:$I$339,0)),0)-$AD55)</f>
        <v/>
      </c>
      <c r="AF55" s="10">
        <f>IFERROR(INDEX('2_IMPORTAR_EJECUCION'!$G$9:$G$171,MATCH($C55,'2_IMPORTAR_EJECUCION'!$A$9:$A$171,0)),0)</f>
        <v/>
      </c>
      <c r="AG55" s="10">
        <f>MAX(0,IFERROR(INDEX('2_IMPORTAR_EJECUCION'!$I$9:$I$171,MATCH($C55,'2_IMPORTAR_EJECUCION'!$A$9:$A$171,0)),0)-$AF55)</f>
        <v/>
      </c>
      <c r="AH55" s="10">
        <f>$AF55+$AG55</f>
        <v/>
      </c>
      <c r="AI55" s="6" t="inlineStr"/>
      <c r="AJ55" s="6" t="inlineStr"/>
      <c r="AK55" s="6" t="inlineStr">
        <is>
          <t>ACT-02.pdf</t>
        </is>
      </c>
      <c r="AL55" s="3">
        <f>IF($AK55="","",HYPERLINK(p_ruta_base_checklists&amp;$AK55,"abrir"))</f>
        <v/>
      </c>
      <c r="AM55" s="6" t="inlineStr"/>
    </row>
    <row r="56">
      <c r="A56" s="3" t="inlineStr">
        <is>
          <t>OT-000053</t>
        </is>
      </c>
      <c r="B56" s="3" t="inlineStr">
        <is>
          <t>0010</t>
        </is>
      </c>
      <c r="C56" s="3">
        <f>$A56&amp;IF($B56="","0010",$B56)</f>
        <v/>
      </c>
      <c r="D56" s="3" t="inlineStr">
        <is>
          <t>Análisis predictivo — EQ-104</t>
        </is>
      </c>
      <c r="E56" s="3" t="inlineStr">
        <is>
          <t>Análisis predictivo en EQ-104</t>
        </is>
      </c>
      <c r="F56" s="3" t="inlineStr">
        <is>
          <t>EQ-104</t>
        </is>
      </c>
      <c r="G56" s="3" t="inlineStr">
        <is>
          <t>CC-120</t>
        </is>
      </c>
      <c r="H56" s="3" t="inlineStr">
        <is>
          <t>PU-ELE</t>
        </is>
      </c>
      <c r="I56" s="3" t="inlineStr">
        <is>
          <t>ACT-04</t>
        </is>
      </c>
      <c r="J56" s="3" t="inlineStr">
        <is>
          <t>TIPO-P2</t>
        </is>
      </c>
      <c r="K56" s="11" t="n">
        <v>46218</v>
      </c>
      <c r="L56" s="3" t="n">
        <v>8</v>
      </c>
      <c r="M56" s="10" t="n">
        <v>200</v>
      </c>
      <c r="N56" s="3">
        <f>IFERROR(INDEX('CAT_ESTADOS_ERP'!$B$4:$B$7,MATCH(IFERROR(INDEX('2_IMPORTAR_EJECUCION'!$D$9:$D$171,MATCH($C56,'2_IMPORTAR_EJECUCION'!$A$9:$A$171,0)),""),'CAT_ESTADOS_ERP'!$A$4:$A$7,0)),"Pendiente")</f>
        <v/>
      </c>
      <c r="O56" s="3">
        <f>IF($K56="","","S"&amp;IF(_xlfn.ISOWEEKNUM($K56)=53,1,_xlfn.ISOWEEKNUM($K56)))</f>
        <v/>
      </c>
      <c r="P56" s="3">
        <f>IF($K56="","",YEAR($K56))</f>
        <v/>
      </c>
      <c r="Q56" s="3">
        <f>IF($K56="","",MONTH($K56))</f>
        <v/>
      </c>
      <c r="R56" s="3">
        <f>IF($K56="","",INDEX(lista_dias,WEEKDAY($K56,2)))</f>
        <v/>
      </c>
      <c r="S56" s="3">
        <f>IFERROR(INDEX('CAT_TIPOS_OT'!$C$4:$C$7,MATCH($J56,'CAT_TIPOS_OT'!$A$4:$A$7,0)),"sin_clasificar")</f>
        <v/>
      </c>
      <c r="T56" s="3">
        <f>IFERROR(INDEX('CAT_CENTROS_COSTO'!$E$4:$E$9,MATCH($G56,'CAT_CENTROS_COSTO'!$A$4:$A$9,0)),"(sin catálogo)")</f>
        <v/>
      </c>
      <c r="U56" s="3">
        <f>IFERROR(INDEX('CAT_CENTROS_COSTO'!$D$4:$D$9,MATCH($G56,'CAT_CENTROS_COSTO'!$A$4:$A$9,0)),"(sin catálogo)")</f>
        <v/>
      </c>
      <c r="V56" s="3">
        <f>IFERROR(INDEX('CAT_CENTROS_COSTO'!$F$4:$F$9,MATCH($G56,'CAT_CENTROS_COSTO'!$A$4:$A$9,0)),"(sin catálogo)")</f>
        <v/>
      </c>
      <c r="W56" s="3">
        <f>IFERROR(INDEX('CAT_PUESTOS'!$B$4:$B$8,MATCH($H56,'CAT_PUESTOS'!$A$4:$A$8,0)),"(sin catálogo)")</f>
        <v/>
      </c>
      <c r="X56" s="3">
        <f>IFERROR(INDEX('CAT_ACTIVIDADES'!$B$4:$B$8,MATCH($I56,'CAT_ACTIVIDADES'!$A$4:$A$8,0)),"(sin catálogo)")</f>
        <v/>
      </c>
      <c r="Y56" s="12">
        <f>IF($K56="","",TODAY()-$K56)</f>
        <v/>
      </c>
      <c r="Z56" s="3">
        <f>IF($Y56="","",IF($Y56&lt;0,"FUTURO",IF($Y56&gt;p_dias_backlog_max,"BACKLOG","MES CORRIENTE")))</f>
        <v/>
      </c>
      <c r="AA56" s="3">
        <f>IF($Y56="",FALSE,AND($Y56&gt;p_dias_backlog_min,$Y56&lt;=p_dias_backlog_max))</f>
        <v/>
      </c>
      <c r="AB56" s="6" t="inlineStr">
        <is>
          <t>Técnico 06</t>
        </is>
      </c>
      <c r="AC56" s="3">
        <f>IF($AB56="","",IFERROR(INDEX('ASIGNACIONES'!$F$4:$F$339,MATCH($O56&amp;"|"&amp;$R56&amp;"|"&amp;$AB56,'ASIGNACIONES'!$I$4:$I$339,0)),""))</f>
        <v/>
      </c>
      <c r="AD56" s="13">
        <f>IF($AB56="","",SUMIFS('ORDENES'!$L$4:$L$203,'ORDENES'!$AB$4:$AB$203,$AB56,'ORDENES'!$O$4:$O$203,$O56,'ORDENES'!$R$4:$R$203,$R56))</f>
        <v/>
      </c>
      <c r="AE56" s="13">
        <f>IF($AD56="","",p_factor_productividad*IFERROR(INDEX('ASIGNACIONES'!$H$4:$H$339,MATCH($O56&amp;"|"&amp;$R56&amp;"|"&amp;$AB56,'ASIGNACIONES'!$I$4:$I$339,0)),0)-$AD56)</f>
        <v/>
      </c>
      <c r="AF56" s="10">
        <f>IFERROR(INDEX('2_IMPORTAR_EJECUCION'!$G$9:$G$171,MATCH($C56,'2_IMPORTAR_EJECUCION'!$A$9:$A$171,0)),0)</f>
        <v/>
      </c>
      <c r="AG56" s="10">
        <f>MAX(0,IFERROR(INDEX('2_IMPORTAR_EJECUCION'!$I$9:$I$171,MATCH($C56,'2_IMPORTAR_EJECUCION'!$A$9:$A$171,0)),0)-$AF56)</f>
        <v/>
      </c>
      <c r="AH56" s="10">
        <f>$AF56+$AG56</f>
        <v/>
      </c>
      <c r="AI56" s="6" t="inlineStr"/>
      <c r="AJ56" s="6" t="inlineStr"/>
      <c r="AK56" s="6" t="inlineStr">
        <is>
          <t>ACT-04.pdf</t>
        </is>
      </c>
      <c r="AL56" s="3">
        <f>IF($AK56="","",HYPERLINK(p_ruta_base_checklists&amp;$AK56,"abrir"))</f>
        <v/>
      </c>
      <c r="AM56" s="6" t="inlineStr"/>
    </row>
    <row r="57">
      <c r="A57" s="3" t="inlineStr">
        <is>
          <t>OT-000054</t>
        </is>
      </c>
      <c r="B57" s="3" t="inlineStr">
        <is>
          <t>0010</t>
        </is>
      </c>
      <c r="C57" s="3">
        <f>$A57&amp;IF($B57="","0010",$B57)</f>
        <v/>
      </c>
      <c r="D57" s="3" t="inlineStr">
        <is>
          <t>Inspección de rutina — EQ-108</t>
        </is>
      </c>
      <c r="E57" s="3" t="inlineStr">
        <is>
          <t>Inspección de rutina en EQ-108</t>
        </is>
      </c>
      <c r="F57" s="3" t="inlineStr">
        <is>
          <t>EQ-108</t>
        </is>
      </c>
      <c r="G57" s="3" t="inlineStr">
        <is>
          <t>CC-220</t>
        </is>
      </c>
      <c r="H57" s="3" t="inlineStr">
        <is>
          <t>PU-ELE</t>
        </is>
      </c>
      <c r="I57" s="3" t="inlineStr">
        <is>
          <t>ACT-01</t>
        </is>
      </c>
      <c r="J57" s="3" t="inlineStr">
        <is>
          <t>TIPO-P1</t>
        </is>
      </c>
      <c r="K57" s="11" t="n">
        <v>46219</v>
      </c>
      <c r="L57" s="3" t="n">
        <v>6</v>
      </c>
      <c r="M57" s="10" t="n">
        <v>150</v>
      </c>
      <c r="N57" s="3">
        <f>IFERROR(INDEX('CAT_ESTADOS_ERP'!$B$4:$B$7,MATCH(IFERROR(INDEX('2_IMPORTAR_EJECUCION'!$D$9:$D$171,MATCH($C57,'2_IMPORTAR_EJECUCION'!$A$9:$A$171,0)),""),'CAT_ESTADOS_ERP'!$A$4:$A$7,0)),"Pendiente")</f>
        <v/>
      </c>
      <c r="O57" s="3">
        <f>IF($K57="","","S"&amp;IF(_xlfn.ISOWEEKNUM($K57)=53,1,_xlfn.ISOWEEKNUM($K57)))</f>
        <v/>
      </c>
      <c r="P57" s="3">
        <f>IF($K57="","",YEAR($K57))</f>
        <v/>
      </c>
      <c r="Q57" s="3">
        <f>IF($K57="","",MONTH($K57))</f>
        <v/>
      </c>
      <c r="R57" s="3">
        <f>IF($K57="","",INDEX(lista_dias,WEEKDAY($K57,2)))</f>
        <v/>
      </c>
      <c r="S57" s="3">
        <f>IFERROR(INDEX('CAT_TIPOS_OT'!$C$4:$C$7,MATCH($J57,'CAT_TIPOS_OT'!$A$4:$A$7,0)),"sin_clasificar")</f>
        <v/>
      </c>
      <c r="T57" s="3">
        <f>IFERROR(INDEX('CAT_CENTROS_COSTO'!$E$4:$E$9,MATCH($G57,'CAT_CENTROS_COSTO'!$A$4:$A$9,0)),"(sin catálogo)")</f>
        <v/>
      </c>
      <c r="U57" s="3">
        <f>IFERROR(INDEX('CAT_CENTROS_COSTO'!$D$4:$D$9,MATCH($G57,'CAT_CENTROS_COSTO'!$A$4:$A$9,0)),"(sin catálogo)")</f>
        <v/>
      </c>
      <c r="V57" s="3">
        <f>IFERROR(INDEX('CAT_CENTROS_COSTO'!$F$4:$F$9,MATCH($G57,'CAT_CENTROS_COSTO'!$A$4:$A$9,0)),"(sin catálogo)")</f>
        <v/>
      </c>
      <c r="W57" s="3">
        <f>IFERROR(INDEX('CAT_PUESTOS'!$B$4:$B$8,MATCH($H57,'CAT_PUESTOS'!$A$4:$A$8,0)),"(sin catálogo)")</f>
        <v/>
      </c>
      <c r="X57" s="3">
        <f>IFERROR(INDEX('CAT_ACTIVIDADES'!$B$4:$B$8,MATCH($I57,'CAT_ACTIVIDADES'!$A$4:$A$8,0)),"(sin catálogo)")</f>
        <v/>
      </c>
      <c r="Y57" s="12">
        <f>IF($K57="","",TODAY()-$K57)</f>
        <v/>
      </c>
      <c r="Z57" s="3">
        <f>IF($Y57="","",IF($Y57&lt;0,"FUTURO",IF($Y57&gt;p_dias_backlog_max,"BACKLOG","MES CORRIENTE")))</f>
        <v/>
      </c>
      <c r="AA57" s="3">
        <f>IF($Y57="",FALSE,AND($Y57&gt;p_dias_backlog_min,$Y57&lt;=p_dias_backlog_max))</f>
        <v/>
      </c>
      <c r="AB57" s="6" t="inlineStr">
        <is>
          <t>Técnico 07</t>
        </is>
      </c>
      <c r="AC57" s="3">
        <f>IF($AB57="","",IFERROR(INDEX('ASIGNACIONES'!$F$4:$F$339,MATCH($O57&amp;"|"&amp;$R57&amp;"|"&amp;$AB57,'ASIGNACIONES'!$I$4:$I$339,0)),""))</f>
        <v/>
      </c>
      <c r="AD57" s="13">
        <f>IF($AB57="","",SUMIFS('ORDENES'!$L$4:$L$203,'ORDENES'!$AB$4:$AB$203,$AB57,'ORDENES'!$O$4:$O$203,$O57,'ORDENES'!$R$4:$R$203,$R57))</f>
        <v/>
      </c>
      <c r="AE57" s="13">
        <f>IF($AD57="","",p_factor_productividad*IFERROR(INDEX('ASIGNACIONES'!$H$4:$H$339,MATCH($O57&amp;"|"&amp;$R57&amp;"|"&amp;$AB57,'ASIGNACIONES'!$I$4:$I$339,0)),0)-$AD57)</f>
        <v/>
      </c>
      <c r="AF57" s="10">
        <f>IFERROR(INDEX('2_IMPORTAR_EJECUCION'!$G$9:$G$171,MATCH($C57,'2_IMPORTAR_EJECUCION'!$A$9:$A$171,0)),0)</f>
        <v/>
      </c>
      <c r="AG57" s="10">
        <f>MAX(0,IFERROR(INDEX('2_IMPORTAR_EJECUCION'!$I$9:$I$171,MATCH($C57,'2_IMPORTAR_EJECUCION'!$A$9:$A$171,0)),0)-$AF57)</f>
        <v/>
      </c>
      <c r="AH57" s="10">
        <f>$AF57+$AG57</f>
        <v/>
      </c>
      <c r="AI57" s="6" t="inlineStr"/>
      <c r="AJ57" s="6" t="inlineStr"/>
      <c r="AK57" s="6" t="inlineStr">
        <is>
          <t>ACT-01.pdf</t>
        </is>
      </c>
      <c r="AL57" s="3">
        <f>IF($AK57="","",HYPERLINK(p_ruta_base_checklists&amp;$AK57,"abrir"))</f>
        <v/>
      </c>
      <c r="AM57" s="6" t="inlineStr"/>
    </row>
    <row r="58">
      <c r="A58" s="3" t="inlineStr">
        <is>
          <t>OT-000055</t>
        </is>
      </c>
      <c r="B58" s="3" t="inlineStr">
        <is>
          <t>0010</t>
        </is>
      </c>
      <c r="C58" s="3">
        <f>$A58&amp;IF($B58="","0010",$B58)</f>
        <v/>
      </c>
      <c r="D58" s="3" t="inlineStr">
        <is>
          <t>Lubricación programada — EQ-101</t>
        </is>
      </c>
      <c r="E58" s="3" t="inlineStr">
        <is>
          <t>Lubricación programada en EQ-101</t>
        </is>
      </c>
      <c r="F58" s="3" t="inlineStr">
        <is>
          <t>EQ-101</t>
        </is>
      </c>
      <c r="G58" s="3" t="inlineStr">
        <is>
          <t>CC-120</t>
        </is>
      </c>
      <c r="H58" s="3" t="inlineStr">
        <is>
          <t>PU-ELE</t>
        </is>
      </c>
      <c r="I58" s="3" t="inlineStr">
        <is>
          <t>ACT-02</t>
        </is>
      </c>
      <c r="J58" s="3" t="inlineStr">
        <is>
          <t>TIPO-P2</t>
        </is>
      </c>
      <c r="K58" s="11" t="n">
        <v>46220</v>
      </c>
      <c r="L58" s="3" t="n">
        <v>10</v>
      </c>
      <c r="M58" s="10" t="n">
        <v>250</v>
      </c>
      <c r="N58" s="3">
        <f>IFERROR(INDEX('CAT_ESTADOS_ERP'!$B$4:$B$7,MATCH(IFERROR(INDEX('2_IMPORTAR_EJECUCION'!$D$9:$D$171,MATCH($C58,'2_IMPORTAR_EJECUCION'!$A$9:$A$171,0)),""),'CAT_ESTADOS_ERP'!$A$4:$A$7,0)),"Pendiente")</f>
        <v/>
      </c>
      <c r="O58" s="3">
        <f>IF($K58="","","S"&amp;IF(_xlfn.ISOWEEKNUM($K58)=53,1,_xlfn.ISOWEEKNUM($K58)))</f>
        <v/>
      </c>
      <c r="P58" s="3">
        <f>IF($K58="","",YEAR($K58))</f>
        <v/>
      </c>
      <c r="Q58" s="3">
        <f>IF($K58="","",MONTH($K58))</f>
        <v/>
      </c>
      <c r="R58" s="3">
        <f>IF($K58="","",INDEX(lista_dias,WEEKDAY($K58,2)))</f>
        <v/>
      </c>
      <c r="S58" s="3">
        <f>IFERROR(INDEX('CAT_TIPOS_OT'!$C$4:$C$7,MATCH($J58,'CAT_TIPOS_OT'!$A$4:$A$7,0)),"sin_clasificar")</f>
        <v/>
      </c>
      <c r="T58" s="3">
        <f>IFERROR(INDEX('CAT_CENTROS_COSTO'!$E$4:$E$9,MATCH($G58,'CAT_CENTROS_COSTO'!$A$4:$A$9,0)),"(sin catálogo)")</f>
        <v/>
      </c>
      <c r="U58" s="3">
        <f>IFERROR(INDEX('CAT_CENTROS_COSTO'!$D$4:$D$9,MATCH($G58,'CAT_CENTROS_COSTO'!$A$4:$A$9,0)),"(sin catálogo)")</f>
        <v/>
      </c>
      <c r="V58" s="3">
        <f>IFERROR(INDEX('CAT_CENTROS_COSTO'!$F$4:$F$9,MATCH($G58,'CAT_CENTROS_COSTO'!$A$4:$A$9,0)),"(sin catálogo)")</f>
        <v/>
      </c>
      <c r="W58" s="3">
        <f>IFERROR(INDEX('CAT_PUESTOS'!$B$4:$B$8,MATCH($H58,'CAT_PUESTOS'!$A$4:$A$8,0)),"(sin catálogo)")</f>
        <v/>
      </c>
      <c r="X58" s="3">
        <f>IFERROR(INDEX('CAT_ACTIVIDADES'!$B$4:$B$8,MATCH($I58,'CAT_ACTIVIDADES'!$A$4:$A$8,0)),"(sin catálogo)")</f>
        <v/>
      </c>
      <c r="Y58" s="12">
        <f>IF($K58="","",TODAY()-$K58)</f>
        <v/>
      </c>
      <c r="Z58" s="3">
        <f>IF($Y58="","",IF($Y58&lt;0,"FUTURO",IF($Y58&gt;p_dias_backlog_max,"BACKLOG","MES CORRIENTE")))</f>
        <v/>
      </c>
      <c r="AA58" s="3">
        <f>IF($Y58="",FALSE,AND($Y58&gt;p_dias_backlog_min,$Y58&lt;=p_dias_backlog_max))</f>
        <v/>
      </c>
      <c r="AB58" s="6" t="inlineStr">
        <is>
          <t>Técnico 05</t>
        </is>
      </c>
      <c r="AC58" s="3">
        <f>IF($AB58="","",IFERROR(INDEX('ASIGNACIONES'!$F$4:$F$339,MATCH($O58&amp;"|"&amp;$R58&amp;"|"&amp;$AB58,'ASIGNACIONES'!$I$4:$I$339,0)),""))</f>
        <v/>
      </c>
      <c r="AD58" s="13">
        <f>IF($AB58="","",SUMIFS('ORDENES'!$L$4:$L$203,'ORDENES'!$AB$4:$AB$203,$AB58,'ORDENES'!$O$4:$O$203,$O58,'ORDENES'!$R$4:$R$203,$R58))</f>
        <v/>
      </c>
      <c r="AE58" s="13">
        <f>IF($AD58="","",p_factor_productividad*IFERROR(INDEX('ASIGNACIONES'!$H$4:$H$339,MATCH($O58&amp;"|"&amp;$R58&amp;"|"&amp;$AB58,'ASIGNACIONES'!$I$4:$I$339,0)),0)-$AD58)</f>
        <v/>
      </c>
      <c r="AF58" s="10">
        <f>IFERROR(INDEX('2_IMPORTAR_EJECUCION'!$G$9:$G$171,MATCH($C58,'2_IMPORTAR_EJECUCION'!$A$9:$A$171,0)),0)</f>
        <v/>
      </c>
      <c r="AG58" s="10">
        <f>MAX(0,IFERROR(INDEX('2_IMPORTAR_EJECUCION'!$I$9:$I$171,MATCH($C58,'2_IMPORTAR_EJECUCION'!$A$9:$A$171,0)),0)-$AF58)</f>
        <v/>
      </c>
      <c r="AH58" s="10">
        <f>$AF58+$AG58</f>
        <v/>
      </c>
      <c r="AI58" s="6" t="inlineStr"/>
      <c r="AJ58" s="6" t="inlineStr"/>
      <c r="AK58" s="6" t="inlineStr">
        <is>
          <t>ACT-02.pdf</t>
        </is>
      </c>
      <c r="AL58" s="3">
        <f>IF($AK58="","",HYPERLINK(p_ruta_base_checklists&amp;$AK58,"abrir"))</f>
        <v/>
      </c>
      <c r="AM58" s="6" t="inlineStr"/>
    </row>
    <row r="59">
      <c r="A59" s="3" t="inlineStr">
        <is>
          <t>OT-000056</t>
        </is>
      </c>
      <c r="B59" s="3" t="inlineStr">
        <is>
          <t>0010</t>
        </is>
      </c>
      <c r="C59" s="3">
        <f>$A59&amp;IF($B59="","0010",$B59)</f>
        <v/>
      </c>
      <c r="D59" s="3" t="inlineStr">
        <is>
          <t>Análisis predictivo — EQ-106</t>
        </is>
      </c>
      <c r="E59" s="3" t="inlineStr">
        <is>
          <t>Análisis predictivo en EQ-106</t>
        </is>
      </c>
      <c r="F59" s="3" t="inlineStr">
        <is>
          <t>EQ-106</t>
        </is>
      </c>
      <c r="G59" s="3" t="inlineStr">
        <is>
          <t>CC-220</t>
        </is>
      </c>
      <c r="H59" s="3" t="inlineStr">
        <is>
          <t>PU-ELE</t>
        </is>
      </c>
      <c r="I59" s="3" t="inlineStr">
        <is>
          <t>ACT-04</t>
        </is>
      </c>
      <c r="J59" s="3" t="inlineStr">
        <is>
          <t>TIPO-P1</t>
        </is>
      </c>
      <c r="K59" s="11" t="n">
        <v>46216</v>
      </c>
      <c r="L59" s="3" t="n">
        <v>2</v>
      </c>
      <c r="M59" s="10" t="n">
        <v>50</v>
      </c>
      <c r="N59" s="3">
        <f>IFERROR(INDEX('CAT_ESTADOS_ERP'!$B$4:$B$7,MATCH(IFERROR(INDEX('2_IMPORTAR_EJECUCION'!$D$9:$D$171,MATCH($C59,'2_IMPORTAR_EJECUCION'!$A$9:$A$171,0)),""),'CAT_ESTADOS_ERP'!$A$4:$A$7,0)),"Pendiente")</f>
        <v/>
      </c>
      <c r="O59" s="3">
        <f>IF($K59="","","S"&amp;IF(_xlfn.ISOWEEKNUM($K59)=53,1,_xlfn.ISOWEEKNUM($K59)))</f>
        <v/>
      </c>
      <c r="P59" s="3">
        <f>IF($K59="","",YEAR($K59))</f>
        <v/>
      </c>
      <c r="Q59" s="3">
        <f>IF($K59="","",MONTH($K59))</f>
        <v/>
      </c>
      <c r="R59" s="3">
        <f>IF($K59="","",INDEX(lista_dias,WEEKDAY($K59,2)))</f>
        <v/>
      </c>
      <c r="S59" s="3">
        <f>IFERROR(INDEX('CAT_TIPOS_OT'!$C$4:$C$7,MATCH($J59,'CAT_TIPOS_OT'!$A$4:$A$7,0)),"sin_clasificar")</f>
        <v/>
      </c>
      <c r="T59" s="3">
        <f>IFERROR(INDEX('CAT_CENTROS_COSTO'!$E$4:$E$9,MATCH($G59,'CAT_CENTROS_COSTO'!$A$4:$A$9,0)),"(sin catálogo)")</f>
        <v/>
      </c>
      <c r="U59" s="3">
        <f>IFERROR(INDEX('CAT_CENTROS_COSTO'!$D$4:$D$9,MATCH($G59,'CAT_CENTROS_COSTO'!$A$4:$A$9,0)),"(sin catálogo)")</f>
        <v/>
      </c>
      <c r="V59" s="3">
        <f>IFERROR(INDEX('CAT_CENTROS_COSTO'!$F$4:$F$9,MATCH($G59,'CAT_CENTROS_COSTO'!$A$4:$A$9,0)),"(sin catálogo)")</f>
        <v/>
      </c>
      <c r="W59" s="3">
        <f>IFERROR(INDEX('CAT_PUESTOS'!$B$4:$B$8,MATCH($H59,'CAT_PUESTOS'!$A$4:$A$8,0)),"(sin catálogo)")</f>
        <v/>
      </c>
      <c r="X59" s="3">
        <f>IFERROR(INDEX('CAT_ACTIVIDADES'!$B$4:$B$8,MATCH($I59,'CAT_ACTIVIDADES'!$A$4:$A$8,0)),"(sin catálogo)")</f>
        <v/>
      </c>
      <c r="Y59" s="12">
        <f>IF($K59="","",TODAY()-$K59)</f>
        <v/>
      </c>
      <c r="Z59" s="3">
        <f>IF($Y59="","",IF($Y59&lt;0,"FUTURO",IF($Y59&gt;p_dias_backlog_max,"BACKLOG","MES CORRIENTE")))</f>
        <v/>
      </c>
      <c r="AA59" s="3">
        <f>IF($Y59="",FALSE,AND($Y59&gt;p_dias_backlog_min,$Y59&lt;=p_dias_backlog_max))</f>
        <v/>
      </c>
      <c r="AB59" s="6" t="inlineStr">
        <is>
          <t>Técnico 06</t>
        </is>
      </c>
      <c r="AC59" s="3">
        <f>IF($AB59="","",IFERROR(INDEX('ASIGNACIONES'!$F$4:$F$339,MATCH($O59&amp;"|"&amp;$R59&amp;"|"&amp;$AB59,'ASIGNACIONES'!$I$4:$I$339,0)),""))</f>
        <v/>
      </c>
      <c r="AD59" s="13">
        <f>IF($AB59="","",SUMIFS('ORDENES'!$L$4:$L$203,'ORDENES'!$AB$4:$AB$203,$AB59,'ORDENES'!$O$4:$O$203,$O59,'ORDENES'!$R$4:$R$203,$R59))</f>
        <v/>
      </c>
      <c r="AE59" s="13">
        <f>IF($AD59="","",p_factor_productividad*IFERROR(INDEX('ASIGNACIONES'!$H$4:$H$339,MATCH($O59&amp;"|"&amp;$R59&amp;"|"&amp;$AB59,'ASIGNACIONES'!$I$4:$I$339,0)),0)-$AD59)</f>
        <v/>
      </c>
      <c r="AF59" s="10">
        <f>IFERROR(INDEX('2_IMPORTAR_EJECUCION'!$G$9:$G$171,MATCH($C59,'2_IMPORTAR_EJECUCION'!$A$9:$A$171,0)),0)</f>
        <v/>
      </c>
      <c r="AG59" s="10">
        <f>MAX(0,IFERROR(INDEX('2_IMPORTAR_EJECUCION'!$I$9:$I$171,MATCH($C59,'2_IMPORTAR_EJECUCION'!$A$9:$A$171,0)),0)-$AF59)</f>
        <v/>
      </c>
      <c r="AH59" s="10">
        <f>$AF59+$AG59</f>
        <v/>
      </c>
      <c r="AI59" s="6" t="inlineStr"/>
      <c r="AJ59" s="6" t="inlineStr"/>
      <c r="AK59" s="6" t="inlineStr">
        <is>
          <t>ACT-04.pdf</t>
        </is>
      </c>
      <c r="AL59" s="3">
        <f>IF($AK59="","",HYPERLINK(p_ruta_base_checklists&amp;$AK59,"abrir"))</f>
        <v/>
      </c>
      <c r="AM59" s="6" t="inlineStr"/>
    </row>
    <row r="60">
      <c r="A60" s="3" t="inlineStr">
        <is>
          <t>OT-000057</t>
        </is>
      </c>
      <c r="B60" s="3" t="inlineStr">
        <is>
          <t>0010</t>
        </is>
      </c>
      <c r="C60" s="3">
        <f>$A60&amp;IF($B60="","0010",$B60)</f>
        <v/>
      </c>
      <c r="D60" s="3" t="inlineStr">
        <is>
          <t>Reparación de falla — EQ-103</t>
        </is>
      </c>
      <c r="E60" s="3" t="inlineStr">
        <is>
          <t>Reparación de falla en EQ-103</t>
        </is>
      </c>
      <c r="F60" s="3" t="inlineStr">
        <is>
          <t>EQ-103</t>
        </is>
      </c>
      <c r="G60" s="3" t="inlineStr">
        <is>
          <t>CC-120</t>
        </is>
      </c>
      <c r="H60" s="3" t="inlineStr">
        <is>
          <t>PU-ELE</t>
        </is>
      </c>
      <c r="I60" s="3" t="inlineStr">
        <is>
          <t>ACT-03</t>
        </is>
      </c>
      <c r="J60" s="3" t="inlineStr">
        <is>
          <t>TIPO-C2</t>
        </is>
      </c>
      <c r="K60" s="11" t="n">
        <v>46217</v>
      </c>
      <c r="L60" s="3" t="n">
        <v>10</v>
      </c>
      <c r="M60" s="10" t="n">
        <v>400</v>
      </c>
      <c r="N60" s="3">
        <f>IFERROR(INDEX('CAT_ESTADOS_ERP'!$B$4:$B$7,MATCH(IFERROR(INDEX('2_IMPORTAR_EJECUCION'!$D$9:$D$171,MATCH($C60,'2_IMPORTAR_EJECUCION'!$A$9:$A$171,0)),""),'CAT_ESTADOS_ERP'!$A$4:$A$7,0)),"Pendiente")</f>
        <v/>
      </c>
      <c r="O60" s="3">
        <f>IF($K60="","","S"&amp;IF(_xlfn.ISOWEEKNUM($K60)=53,1,_xlfn.ISOWEEKNUM($K60)))</f>
        <v/>
      </c>
      <c r="P60" s="3">
        <f>IF($K60="","",YEAR($K60))</f>
        <v/>
      </c>
      <c r="Q60" s="3">
        <f>IF($K60="","",MONTH($K60))</f>
        <v/>
      </c>
      <c r="R60" s="3">
        <f>IF($K60="","",INDEX(lista_dias,WEEKDAY($K60,2)))</f>
        <v/>
      </c>
      <c r="S60" s="3">
        <f>IFERROR(INDEX('CAT_TIPOS_OT'!$C$4:$C$7,MATCH($J60,'CAT_TIPOS_OT'!$A$4:$A$7,0)),"sin_clasificar")</f>
        <v/>
      </c>
      <c r="T60" s="3">
        <f>IFERROR(INDEX('CAT_CENTROS_COSTO'!$E$4:$E$9,MATCH($G60,'CAT_CENTROS_COSTO'!$A$4:$A$9,0)),"(sin catálogo)")</f>
        <v/>
      </c>
      <c r="U60" s="3">
        <f>IFERROR(INDEX('CAT_CENTROS_COSTO'!$D$4:$D$9,MATCH($G60,'CAT_CENTROS_COSTO'!$A$4:$A$9,0)),"(sin catálogo)")</f>
        <v/>
      </c>
      <c r="V60" s="3">
        <f>IFERROR(INDEX('CAT_CENTROS_COSTO'!$F$4:$F$9,MATCH($G60,'CAT_CENTROS_COSTO'!$A$4:$A$9,0)),"(sin catálogo)")</f>
        <v/>
      </c>
      <c r="W60" s="3">
        <f>IFERROR(INDEX('CAT_PUESTOS'!$B$4:$B$8,MATCH($H60,'CAT_PUESTOS'!$A$4:$A$8,0)),"(sin catálogo)")</f>
        <v/>
      </c>
      <c r="X60" s="3">
        <f>IFERROR(INDEX('CAT_ACTIVIDADES'!$B$4:$B$8,MATCH($I60,'CAT_ACTIVIDADES'!$A$4:$A$8,0)),"(sin catálogo)")</f>
        <v/>
      </c>
      <c r="Y60" s="12">
        <f>IF($K60="","",TODAY()-$K60)</f>
        <v/>
      </c>
      <c r="Z60" s="3">
        <f>IF($Y60="","",IF($Y60&lt;0,"FUTURO",IF($Y60&gt;p_dias_backlog_max,"BACKLOG","MES CORRIENTE")))</f>
        <v/>
      </c>
      <c r="AA60" s="3">
        <f>IF($Y60="",FALSE,AND($Y60&gt;p_dias_backlog_min,$Y60&lt;=p_dias_backlog_max))</f>
        <v/>
      </c>
      <c r="AB60" s="6" t="inlineStr">
        <is>
          <t>Técnico 07</t>
        </is>
      </c>
      <c r="AC60" s="3">
        <f>IF($AB60="","",IFERROR(INDEX('ASIGNACIONES'!$F$4:$F$339,MATCH($O60&amp;"|"&amp;$R60&amp;"|"&amp;$AB60,'ASIGNACIONES'!$I$4:$I$339,0)),""))</f>
        <v/>
      </c>
      <c r="AD60" s="13">
        <f>IF($AB60="","",SUMIFS('ORDENES'!$L$4:$L$203,'ORDENES'!$AB$4:$AB$203,$AB60,'ORDENES'!$O$4:$O$203,$O60,'ORDENES'!$R$4:$R$203,$R60))</f>
        <v/>
      </c>
      <c r="AE60" s="13">
        <f>IF($AD60="","",p_factor_productividad*IFERROR(INDEX('ASIGNACIONES'!$H$4:$H$339,MATCH($O60&amp;"|"&amp;$R60&amp;"|"&amp;$AB60,'ASIGNACIONES'!$I$4:$I$339,0)),0)-$AD60)</f>
        <v/>
      </c>
      <c r="AF60" s="10">
        <f>IFERROR(INDEX('2_IMPORTAR_EJECUCION'!$G$9:$G$171,MATCH($C60,'2_IMPORTAR_EJECUCION'!$A$9:$A$171,0)),0)</f>
        <v/>
      </c>
      <c r="AG60" s="10">
        <f>MAX(0,IFERROR(INDEX('2_IMPORTAR_EJECUCION'!$I$9:$I$171,MATCH($C60,'2_IMPORTAR_EJECUCION'!$A$9:$A$171,0)),0)-$AF60)</f>
        <v/>
      </c>
      <c r="AH60" s="10">
        <f>$AF60+$AG60</f>
        <v/>
      </c>
      <c r="AI60" s="6" t="inlineStr"/>
      <c r="AJ60" s="6" t="inlineStr"/>
      <c r="AK60" s="6" t="inlineStr"/>
      <c r="AL60" s="3">
        <f>IF($AK60="","",HYPERLINK(p_ruta_base_checklists&amp;$AK60,"abrir"))</f>
        <v/>
      </c>
      <c r="AM60" s="6" t="inlineStr"/>
    </row>
    <row r="61">
      <c r="A61" s="3" t="inlineStr">
        <is>
          <t>OT-000058</t>
        </is>
      </c>
      <c r="B61" s="3" t="inlineStr">
        <is>
          <t>0010</t>
        </is>
      </c>
      <c r="C61" s="3">
        <f>$A61&amp;IF($B61="","0010",$B61)</f>
        <v/>
      </c>
      <c r="D61" s="3" t="inlineStr">
        <is>
          <t>Reparación de falla — EQ-108</t>
        </is>
      </c>
      <c r="E61" s="3" t="inlineStr">
        <is>
          <t>Reparación de falla en EQ-108</t>
        </is>
      </c>
      <c r="F61" s="3" t="inlineStr">
        <is>
          <t>EQ-108</t>
        </is>
      </c>
      <c r="G61" s="3" t="inlineStr">
        <is>
          <t>CC-220</t>
        </is>
      </c>
      <c r="H61" s="3" t="inlineStr">
        <is>
          <t>PU-ELE</t>
        </is>
      </c>
      <c r="I61" s="3" t="inlineStr">
        <is>
          <t>ACT-03</t>
        </is>
      </c>
      <c r="J61" s="3" t="inlineStr">
        <is>
          <t>TIPO-C1</t>
        </is>
      </c>
      <c r="K61" s="11" t="n">
        <v>46218</v>
      </c>
      <c r="L61" s="3" t="n">
        <v>5</v>
      </c>
      <c r="M61" s="10" t="n">
        <v>200</v>
      </c>
      <c r="N61" s="3">
        <f>IFERROR(INDEX('CAT_ESTADOS_ERP'!$B$4:$B$7,MATCH(IFERROR(INDEX('2_IMPORTAR_EJECUCION'!$D$9:$D$171,MATCH($C61,'2_IMPORTAR_EJECUCION'!$A$9:$A$171,0)),""),'CAT_ESTADOS_ERP'!$A$4:$A$7,0)),"Pendiente")</f>
        <v/>
      </c>
      <c r="O61" s="3">
        <f>IF($K61="","","S"&amp;IF(_xlfn.ISOWEEKNUM($K61)=53,1,_xlfn.ISOWEEKNUM($K61)))</f>
        <v/>
      </c>
      <c r="P61" s="3">
        <f>IF($K61="","",YEAR($K61))</f>
        <v/>
      </c>
      <c r="Q61" s="3">
        <f>IF($K61="","",MONTH($K61))</f>
        <v/>
      </c>
      <c r="R61" s="3">
        <f>IF($K61="","",INDEX(lista_dias,WEEKDAY($K61,2)))</f>
        <v/>
      </c>
      <c r="S61" s="3">
        <f>IFERROR(INDEX('CAT_TIPOS_OT'!$C$4:$C$7,MATCH($J61,'CAT_TIPOS_OT'!$A$4:$A$7,0)),"sin_clasificar")</f>
        <v/>
      </c>
      <c r="T61" s="3">
        <f>IFERROR(INDEX('CAT_CENTROS_COSTO'!$E$4:$E$9,MATCH($G61,'CAT_CENTROS_COSTO'!$A$4:$A$9,0)),"(sin catálogo)")</f>
        <v/>
      </c>
      <c r="U61" s="3">
        <f>IFERROR(INDEX('CAT_CENTROS_COSTO'!$D$4:$D$9,MATCH($G61,'CAT_CENTROS_COSTO'!$A$4:$A$9,0)),"(sin catálogo)")</f>
        <v/>
      </c>
      <c r="V61" s="3">
        <f>IFERROR(INDEX('CAT_CENTROS_COSTO'!$F$4:$F$9,MATCH($G61,'CAT_CENTROS_COSTO'!$A$4:$A$9,0)),"(sin catálogo)")</f>
        <v/>
      </c>
      <c r="W61" s="3">
        <f>IFERROR(INDEX('CAT_PUESTOS'!$B$4:$B$8,MATCH($H61,'CAT_PUESTOS'!$A$4:$A$8,0)),"(sin catálogo)")</f>
        <v/>
      </c>
      <c r="X61" s="3">
        <f>IFERROR(INDEX('CAT_ACTIVIDADES'!$B$4:$B$8,MATCH($I61,'CAT_ACTIVIDADES'!$A$4:$A$8,0)),"(sin catálogo)")</f>
        <v/>
      </c>
      <c r="Y61" s="12">
        <f>IF($K61="","",TODAY()-$K61)</f>
        <v/>
      </c>
      <c r="Z61" s="3">
        <f>IF($Y61="","",IF($Y61&lt;0,"FUTURO",IF($Y61&gt;p_dias_backlog_max,"BACKLOG","MES CORRIENTE")))</f>
        <v/>
      </c>
      <c r="AA61" s="3">
        <f>IF($Y61="",FALSE,AND($Y61&gt;p_dias_backlog_min,$Y61&lt;=p_dias_backlog_max))</f>
        <v/>
      </c>
      <c r="AB61" s="6" t="inlineStr">
        <is>
          <t>Técnico 05</t>
        </is>
      </c>
      <c r="AC61" s="3">
        <f>IF($AB61="","",IFERROR(INDEX('ASIGNACIONES'!$F$4:$F$339,MATCH($O61&amp;"|"&amp;$R61&amp;"|"&amp;$AB61,'ASIGNACIONES'!$I$4:$I$339,0)),""))</f>
        <v/>
      </c>
      <c r="AD61" s="13">
        <f>IF($AB61="","",SUMIFS('ORDENES'!$L$4:$L$203,'ORDENES'!$AB$4:$AB$203,$AB61,'ORDENES'!$O$4:$O$203,$O61,'ORDENES'!$R$4:$R$203,$R61))</f>
        <v/>
      </c>
      <c r="AE61" s="13">
        <f>IF($AD61="","",p_factor_productividad*IFERROR(INDEX('ASIGNACIONES'!$H$4:$H$339,MATCH($O61&amp;"|"&amp;$R61&amp;"|"&amp;$AB61,'ASIGNACIONES'!$I$4:$I$339,0)),0)-$AD61)</f>
        <v/>
      </c>
      <c r="AF61" s="10">
        <f>IFERROR(INDEX('2_IMPORTAR_EJECUCION'!$G$9:$G$171,MATCH($C61,'2_IMPORTAR_EJECUCION'!$A$9:$A$171,0)),0)</f>
        <v/>
      </c>
      <c r="AG61" s="10">
        <f>MAX(0,IFERROR(INDEX('2_IMPORTAR_EJECUCION'!$I$9:$I$171,MATCH($C61,'2_IMPORTAR_EJECUCION'!$A$9:$A$171,0)),0)-$AF61)</f>
        <v/>
      </c>
      <c r="AH61" s="10">
        <f>$AF61+$AG61</f>
        <v/>
      </c>
      <c r="AI61" s="6" t="inlineStr"/>
      <c r="AJ61" s="6" t="inlineStr"/>
      <c r="AK61" s="6" t="inlineStr"/>
      <c r="AL61" s="3">
        <f>IF($AK61="","",HYPERLINK(p_ruta_base_checklists&amp;$AK61,"abrir"))</f>
        <v/>
      </c>
      <c r="AM61" s="6" t="inlineStr"/>
    </row>
    <row r="62">
      <c r="A62" s="3" t="inlineStr">
        <is>
          <t>OT-000059</t>
        </is>
      </c>
      <c r="B62" s="3" t="inlineStr">
        <is>
          <t>0010</t>
        </is>
      </c>
      <c r="C62" s="3">
        <f>$A62&amp;IF($B62="","0010",$B62)</f>
        <v/>
      </c>
      <c r="D62" s="3" t="inlineStr">
        <is>
          <t>Análisis predictivo — EQ-105</t>
        </is>
      </c>
      <c r="E62" s="3" t="inlineStr">
        <is>
          <t>Análisis predictivo en EQ-105</t>
        </is>
      </c>
      <c r="F62" s="3" t="inlineStr">
        <is>
          <t>EQ-105</t>
        </is>
      </c>
      <c r="G62" s="3" t="inlineStr">
        <is>
          <t>CC-120</t>
        </is>
      </c>
      <c r="H62" s="3" t="inlineStr">
        <is>
          <t>PU-ELE</t>
        </is>
      </c>
      <c r="I62" s="3" t="inlineStr">
        <is>
          <t>ACT-04</t>
        </is>
      </c>
      <c r="J62" s="3" t="inlineStr">
        <is>
          <t>TIPO-P2</t>
        </is>
      </c>
      <c r="K62" s="11" t="n">
        <v>46226</v>
      </c>
      <c r="L62" s="3" t="n">
        <v>10</v>
      </c>
      <c r="M62" s="10" t="n">
        <v>250</v>
      </c>
      <c r="N62" s="3">
        <f>IFERROR(INDEX('CAT_ESTADOS_ERP'!$B$4:$B$7,MATCH(IFERROR(INDEX('2_IMPORTAR_EJECUCION'!$D$9:$D$171,MATCH($C62,'2_IMPORTAR_EJECUCION'!$A$9:$A$171,0)),""),'CAT_ESTADOS_ERP'!$A$4:$A$7,0)),"Pendiente")</f>
        <v/>
      </c>
      <c r="O62" s="3">
        <f>IF($K62="","","S"&amp;IF(_xlfn.ISOWEEKNUM($K62)=53,1,_xlfn.ISOWEEKNUM($K62)))</f>
        <v/>
      </c>
      <c r="P62" s="3">
        <f>IF($K62="","",YEAR($K62))</f>
        <v/>
      </c>
      <c r="Q62" s="3">
        <f>IF($K62="","",MONTH($K62))</f>
        <v/>
      </c>
      <c r="R62" s="3">
        <f>IF($K62="","",INDEX(lista_dias,WEEKDAY($K62,2)))</f>
        <v/>
      </c>
      <c r="S62" s="3">
        <f>IFERROR(INDEX('CAT_TIPOS_OT'!$C$4:$C$7,MATCH($J62,'CAT_TIPOS_OT'!$A$4:$A$7,0)),"sin_clasificar")</f>
        <v/>
      </c>
      <c r="T62" s="3">
        <f>IFERROR(INDEX('CAT_CENTROS_COSTO'!$E$4:$E$9,MATCH($G62,'CAT_CENTROS_COSTO'!$A$4:$A$9,0)),"(sin catálogo)")</f>
        <v/>
      </c>
      <c r="U62" s="3">
        <f>IFERROR(INDEX('CAT_CENTROS_COSTO'!$D$4:$D$9,MATCH($G62,'CAT_CENTROS_COSTO'!$A$4:$A$9,0)),"(sin catálogo)")</f>
        <v/>
      </c>
      <c r="V62" s="3">
        <f>IFERROR(INDEX('CAT_CENTROS_COSTO'!$F$4:$F$9,MATCH($G62,'CAT_CENTROS_COSTO'!$A$4:$A$9,0)),"(sin catálogo)")</f>
        <v/>
      </c>
      <c r="W62" s="3">
        <f>IFERROR(INDEX('CAT_PUESTOS'!$B$4:$B$8,MATCH($H62,'CAT_PUESTOS'!$A$4:$A$8,0)),"(sin catálogo)")</f>
        <v/>
      </c>
      <c r="X62" s="3">
        <f>IFERROR(INDEX('CAT_ACTIVIDADES'!$B$4:$B$8,MATCH($I62,'CAT_ACTIVIDADES'!$A$4:$A$8,0)),"(sin catálogo)")</f>
        <v/>
      </c>
      <c r="Y62" s="12">
        <f>IF($K62="","",TODAY()-$K62)</f>
        <v/>
      </c>
      <c r="Z62" s="3">
        <f>IF($Y62="","",IF($Y62&lt;0,"FUTURO",IF($Y62&gt;p_dias_backlog_max,"BACKLOG","MES CORRIENTE")))</f>
        <v/>
      </c>
      <c r="AA62" s="3">
        <f>IF($Y62="",FALSE,AND($Y62&gt;p_dias_backlog_min,$Y62&lt;=p_dias_backlog_max))</f>
        <v/>
      </c>
      <c r="AB62" s="6" t="inlineStr">
        <is>
          <t>Técnico 06</t>
        </is>
      </c>
      <c r="AC62" s="3">
        <f>IF($AB62="","",IFERROR(INDEX('ASIGNACIONES'!$F$4:$F$339,MATCH($O62&amp;"|"&amp;$R62&amp;"|"&amp;$AB62,'ASIGNACIONES'!$I$4:$I$339,0)),""))</f>
        <v/>
      </c>
      <c r="AD62" s="13">
        <f>IF($AB62="","",SUMIFS('ORDENES'!$L$4:$L$203,'ORDENES'!$AB$4:$AB$203,$AB62,'ORDENES'!$O$4:$O$203,$O62,'ORDENES'!$R$4:$R$203,$R62))</f>
        <v/>
      </c>
      <c r="AE62" s="13">
        <f>IF($AD62="","",p_factor_productividad*IFERROR(INDEX('ASIGNACIONES'!$H$4:$H$339,MATCH($O62&amp;"|"&amp;$R62&amp;"|"&amp;$AB62,'ASIGNACIONES'!$I$4:$I$339,0)),0)-$AD62)</f>
        <v/>
      </c>
      <c r="AF62" s="10">
        <f>IFERROR(INDEX('2_IMPORTAR_EJECUCION'!$G$9:$G$171,MATCH($C62,'2_IMPORTAR_EJECUCION'!$A$9:$A$171,0)),0)</f>
        <v/>
      </c>
      <c r="AG62" s="10">
        <f>MAX(0,IFERROR(INDEX('2_IMPORTAR_EJECUCION'!$I$9:$I$171,MATCH($C62,'2_IMPORTAR_EJECUCION'!$A$9:$A$171,0)),0)-$AF62)</f>
        <v/>
      </c>
      <c r="AH62" s="10">
        <f>$AF62+$AG62</f>
        <v/>
      </c>
      <c r="AI62" s="6" t="inlineStr"/>
      <c r="AJ62" s="6" t="inlineStr"/>
      <c r="AK62" s="6" t="inlineStr">
        <is>
          <t>ACT-04.pdf</t>
        </is>
      </c>
      <c r="AL62" s="3">
        <f>IF($AK62="","",HYPERLINK(p_ruta_base_checklists&amp;$AK62,"abrir"))</f>
        <v/>
      </c>
      <c r="AM62" s="6" t="inlineStr"/>
    </row>
    <row r="63">
      <c r="A63" s="3" t="inlineStr">
        <is>
          <t>OT-000060</t>
        </is>
      </c>
      <c r="B63" s="3" t="inlineStr">
        <is>
          <t>0010</t>
        </is>
      </c>
      <c r="C63" s="3">
        <f>$A63&amp;IF($B63="","0010",$B63)</f>
        <v/>
      </c>
      <c r="D63" s="3" t="inlineStr">
        <is>
          <t>Inspección de rutina — EQ-106</t>
        </is>
      </c>
      <c r="E63" s="3" t="inlineStr">
        <is>
          <t>Inspección de rutina en EQ-106</t>
        </is>
      </c>
      <c r="F63" s="3" t="inlineStr">
        <is>
          <t>EQ-106</t>
        </is>
      </c>
      <c r="G63" s="3" t="inlineStr">
        <is>
          <t>CC-220</t>
        </is>
      </c>
      <c r="H63" s="3" t="inlineStr">
        <is>
          <t>PU-ELE</t>
        </is>
      </c>
      <c r="I63" s="3" t="inlineStr">
        <is>
          <t>ACT-01</t>
        </is>
      </c>
      <c r="J63" s="3" t="inlineStr">
        <is>
          <t>TIPO-P1</t>
        </is>
      </c>
      <c r="K63" s="11" t="n">
        <v>46226</v>
      </c>
      <c r="L63" s="3" t="n">
        <v>8</v>
      </c>
      <c r="M63" s="10" t="n">
        <v>200</v>
      </c>
      <c r="N63" s="3">
        <f>IFERROR(INDEX('CAT_ESTADOS_ERP'!$B$4:$B$7,MATCH(IFERROR(INDEX('2_IMPORTAR_EJECUCION'!$D$9:$D$171,MATCH($C63,'2_IMPORTAR_EJECUCION'!$A$9:$A$171,0)),""),'CAT_ESTADOS_ERP'!$A$4:$A$7,0)),"Pendiente")</f>
        <v/>
      </c>
      <c r="O63" s="3">
        <f>IF($K63="","","S"&amp;IF(_xlfn.ISOWEEKNUM($K63)=53,1,_xlfn.ISOWEEKNUM($K63)))</f>
        <v/>
      </c>
      <c r="P63" s="3">
        <f>IF($K63="","",YEAR($K63))</f>
        <v/>
      </c>
      <c r="Q63" s="3">
        <f>IF($K63="","",MONTH($K63))</f>
        <v/>
      </c>
      <c r="R63" s="3">
        <f>IF($K63="","",INDEX(lista_dias,WEEKDAY($K63,2)))</f>
        <v/>
      </c>
      <c r="S63" s="3">
        <f>IFERROR(INDEX('CAT_TIPOS_OT'!$C$4:$C$7,MATCH($J63,'CAT_TIPOS_OT'!$A$4:$A$7,0)),"sin_clasificar")</f>
        <v/>
      </c>
      <c r="T63" s="3">
        <f>IFERROR(INDEX('CAT_CENTROS_COSTO'!$E$4:$E$9,MATCH($G63,'CAT_CENTROS_COSTO'!$A$4:$A$9,0)),"(sin catálogo)")</f>
        <v/>
      </c>
      <c r="U63" s="3">
        <f>IFERROR(INDEX('CAT_CENTROS_COSTO'!$D$4:$D$9,MATCH($G63,'CAT_CENTROS_COSTO'!$A$4:$A$9,0)),"(sin catálogo)")</f>
        <v/>
      </c>
      <c r="V63" s="3">
        <f>IFERROR(INDEX('CAT_CENTROS_COSTO'!$F$4:$F$9,MATCH($G63,'CAT_CENTROS_COSTO'!$A$4:$A$9,0)),"(sin catálogo)")</f>
        <v/>
      </c>
      <c r="W63" s="3">
        <f>IFERROR(INDEX('CAT_PUESTOS'!$B$4:$B$8,MATCH($H63,'CAT_PUESTOS'!$A$4:$A$8,0)),"(sin catálogo)")</f>
        <v/>
      </c>
      <c r="X63" s="3">
        <f>IFERROR(INDEX('CAT_ACTIVIDADES'!$B$4:$B$8,MATCH($I63,'CAT_ACTIVIDADES'!$A$4:$A$8,0)),"(sin catálogo)")</f>
        <v/>
      </c>
      <c r="Y63" s="12">
        <f>IF($K63="","",TODAY()-$K63)</f>
        <v/>
      </c>
      <c r="Z63" s="3">
        <f>IF($Y63="","",IF($Y63&lt;0,"FUTURO",IF($Y63&gt;p_dias_backlog_max,"BACKLOG","MES CORRIENTE")))</f>
        <v/>
      </c>
      <c r="AA63" s="3">
        <f>IF($Y63="",FALSE,AND($Y63&gt;p_dias_backlog_min,$Y63&lt;=p_dias_backlog_max))</f>
        <v/>
      </c>
      <c r="AB63" s="6" t="inlineStr"/>
      <c r="AC63" s="3">
        <f>IF($AB63="","",IFERROR(INDEX('ASIGNACIONES'!$F$4:$F$339,MATCH($O63&amp;"|"&amp;$R63&amp;"|"&amp;$AB63,'ASIGNACIONES'!$I$4:$I$339,0)),""))</f>
        <v/>
      </c>
      <c r="AD63" s="13">
        <f>IF($AB63="","",SUMIFS('ORDENES'!$L$4:$L$203,'ORDENES'!$AB$4:$AB$203,$AB63,'ORDENES'!$O$4:$O$203,$O63,'ORDENES'!$R$4:$R$203,$R63))</f>
        <v/>
      </c>
      <c r="AE63" s="13">
        <f>IF($AD63="","",p_factor_productividad*IFERROR(INDEX('ASIGNACIONES'!$H$4:$H$339,MATCH($O63&amp;"|"&amp;$R63&amp;"|"&amp;$AB63,'ASIGNACIONES'!$I$4:$I$339,0)),0)-$AD63)</f>
        <v/>
      </c>
      <c r="AF63" s="10">
        <f>IFERROR(INDEX('2_IMPORTAR_EJECUCION'!$G$9:$G$171,MATCH($C63,'2_IMPORTAR_EJECUCION'!$A$9:$A$171,0)),0)</f>
        <v/>
      </c>
      <c r="AG63" s="10">
        <f>MAX(0,IFERROR(INDEX('2_IMPORTAR_EJECUCION'!$I$9:$I$171,MATCH($C63,'2_IMPORTAR_EJECUCION'!$A$9:$A$171,0)),0)-$AF63)</f>
        <v/>
      </c>
      <c r="AH63" s="10">
        <f>$AF63+$AG63</f>
        <v/>
      </c>
      <c r="AI63" s="6" t="inlineStr"/>
      <c r="AJ63" s="6" t="inlineStr"/>
      <c r="AK63" s="6" t="inlineStr">
        <is>
          <t>ACT-01.pdf</t>
        </is>
      </c>
      <c r="AL63" s="3">
        <f>IF($AK63="","",HYPERLINK(p_ruta_base_checklists&amp;$AK63,"abrir"))</f>
        <v/>
      </c>
      <c r="AM63" s="6" t="inlineStr"/>
    </row>
    <row r="64">
      <c r="A64" s="3" t="inlineStr">
        <is>
          <t>OT-000061</t>
        </is>
      </c>
      <c r="B64" s="3" t="inlineStr">
        <is>
          <t>0010</t>
        </is>
      </c>
      <c r="C64" s="3">
        <f>$A64&amp;IF($B64="","0010",$B64)</f>
        <v/>
      </c>
      <c r="D64" s="3" t="inlineStr">
        <is>
          <t>Lubricación programada — EQ-102</t>
        </is>
      </c>
      <c r="E64" s="3" t="inlineStr">
        <is>
          <t>Lubricación programada en EQ-102</t>
        </is>
      </c>
      <c r="F64" s="3" t="inlineStr">
        <is>
          <t>EQ-102</t>
        </is>
      </c>
      <c r="G64" s="3" t="inlineStr">
        <is>
          <t>CC-120</t>
        </is>
      </c>
      <c r="H64" s="3" t="inlineStr">
        <is>
          <t>PU-ELE</t>
        </is>
      </c>
      <c r="I64" s="3" t="inlineStr">
        <is>
          <t>ACT-02</t>
        </is>
      </c>
      <c r="J64" s="3" t="inlineStr">
        <is>
          <t>TIPO-P2</t>
        </is>
      </c>
      <c r="K64" s="11" t="n">
        <v>46223</v>
      </c>
      <c r="L64" s="3" t="n">
        <v>6</v>
      </c>
      <c r="M64" s="10" t="n">
        <v>150</v>
      </c>
      <c r="N64" s="3">
        <f>IFERROR(INDEX('CAT_ESTADOS_ERP'!$B$4:$B$7,MATCH(IFERROR(INDEX('2_IMPORTAR_EJECUCION'!$D$9:$D$171,MATCH($C64,'2_IMPORTAR_EJECUCION'!$A$9:$A$171,0)),""),'CAT_ESTADOS_ERP'!$A$4:$A$7,0)),"Pendiente")</f>
        <v/>
      </c>
      <c r="O64" s="3">
        <f>IF($K64="","","S"&amp;IF(_xlfn.ISOWEEKNUM($K64)=53,1,_xlfn.ISOWEEKNUM($K64)))</f>
        <v/>
      </c>
      <c r="P64" s="3">
        <f>IF($K64="","",YEAR($K64))</f>
        <v/>
      </c>
      <c r="Q64" s="3">
        <f>IF($K64="","",MONTH($K64))</f>
        <v/>
      </c>
      <c r="R64" s="3">
        <f>IF($K64="","",INDEX(lista_dias,WEEKDAY($K64,2)))</f>
        <v/>
      </c>
      <c r="S64" s="3">
        <f>IFERROR(INDEX('CAT_TIPOS_OT'!$C$4:$C$7,MATCH($J64,'CAT_TIPOS_OT'!$A$4:$A$7,0)),"sin_clasificar")</f>
        <v/>
      </c>
      <c r="T64" s="3">
        <f>IFERROR(INDEX('CAT_CENTROS_COSTO'!$E$4:$E$9,MATCH($G64,'CAT_CENTROS_COSTO'!$A$4:$A$9,0)),"(sin catálogo)")</f>
        <v/>
      </c>
      <c r="U64" s="3">
        <f>IFERROR(INDEX('CAT_CENTROS_COSTO'!$D$4:$D$9,MATCH($G64,'CAT_CENTROS_COSTO'!$A$4:$A$9,0)),"(sin catálogo)")</f>
        <v/>
      </c>
      <c r="V64" s="3">
        <f>IFERROR(INDEX('CAT_CENTROS_COSTO'!$F$4:$F$9,MATCH($G64,'CAT_CENTROS_COSTO'!$A$4:$A$9,0)),"(sin catálogo)")</f>
        <v/>
      </c>
      <c r="W64" s="3">
        <f>IFERROR(INDEX('CAT_PUESTOS'!$B$4:$B$8,MATCH($H64,'CAT_PUESTOS'!$A$4:$A$8,0)),"(sin catálogo)")</f>
        <v/>
      </c>
      <c r="X64" s="3">
        <f>IFERROR(INDEX('CAT_ACTIVIDADES'!$B$4:$B$8,MATCH($I64,'CAT_ACTIVIDADES'!$A$4:$A$8,0)),"(sin catálogo)")</f>
        <v/>
      </c>
      <c r="Y64" s="12">
        <f>IF($K64="","",TODAY()-$K64)</f>
        <v/>
      </c>
      <c r="Z64" s="3">
        <f>IF($Y64="","",IF($Y64&lt;0,"FUTURO",IF($Y64&gt;p_dias_backlog_max,"BACKLOG","MES CORRIENTE")))</f>
        <v/>
      </c>
      <c r="AA64" s="3">
        <f>IF($Y64="",FALSE,AND($Y64&gt;p_dias_backlog_min,$Y64&lt;=p_dias_backlog_max))</f>
        <v/>
      </c>
      <c r="AB64" s="6" t="inlineStr">
        <is>
          <t>Técnico 05</t>
        </is>
      </c>
      <c r="AC64" s="3">
        <f>IF($AB64="","",IFERROR(INDEX('ASIGNACIONES'!$F$4:$F$339,MATCH($O64&amp;"|"&amp;$R64&amp;"|"&amp;$AB64,'ASIGNACIONES'!$I$4:$I$339,0)),""))</f>
        <v/>
      </c>
      <c r="AD64" s="13">
        <f>IF($AB64="","",SUMIFS('ORDENES'!$L$4:$L$203,'ORDENES'!$AB$4:$AB$203,$AB64,'ORDENES'!$O$4:$O$203,$O64,'ORDENES'!$R$4:$R$203,$R64))</f>
        <v/>
      </c>
      <c r="AE64" s="13">
        <f>IF($AD64="","",p_factor_productividad*IFERROR(INDEX('ASIGNACIONES'!$H$4:$H$339,MATCH($O64&amp;"|"&amp;$R64&amp;"|"&amp;$AB64,'ASIGNACIONES'!$I$4:$I$339,0)),0)-$AD64)</f>
        <v/>
      </c>
      <c r="AF64" s="10">
        <f>IFERROR(INDEX('2_IMPORTAR_EJECUCION'!$G$9:$G$171,MATCH($C64,'2_IMPORTAR_EJECUCION'!$A$9:$A$171,0)),0)</f>
        <v/>
      </c>
      <c r="AG64" s="10">
        <f>MAX(0,IFERROR(INDEX('2_IMPORTAR_EJECUCION'!$I$9:$I$171,MATCH($C64,'2_IMPORTAR_EJECUCION'!$A$9:$A$171,0)),0)-$AF64)</f>
        <v/>
      </c>
      <c r="AH64" s="10">
        <f>$AF64+$AG64</f>
        <v/>
      </c>
      <c r="AI64" s="6" t="inlineStr"/>
      <c r="AJ64" s="6" t="inlineStr"/>
      <c r="AK64" s="6" t="inlineStr">
        <is>
          <t>ACT-02.pdf</t>
        </is>
      </c>
      <c r="AL64" s="3">
        <f>IF($AK64="","",HYPERLINK(p_ruta_base_checklists&amp;$AK64,"abrir"))</f>
        <v/>
      </c>
      <c r="AM64" s="6" t="inlineStr"/>
    </row>
    <row r="65">
      <c r="A65" s="3" t="inlineStr">
        <is>
          <t>OT-000062</t>
        </is>
      </c>
      <c r="B65" s="3" t="inlineStr">
        <is>
          <t>0010</t>
        </is>
      </c>
      <c r="C65" s="3">
        <f>$A65&amp;IF($B65="","0010",$B65)</f>
        <v/>
      </c>
      <c r="D65" s="3" t="inlineStr">
        <is>
          <t>Análisis predictivo — EQ-108</t>
        </is>
      </c>
      <c r="E65" s="3" t="inlineStr">
        <is>
          <t>Análisis predictivo en EQ-108</t>
        </is>
      </c>
      <c r="F65" s="3" t="inlineStr">
        <is>
          <t>EQ-108</t>
        </is>
      </c>
      <c r="G65" s="3" t="inlineStr">
        <is>
          <t>CC-220</t>
        </is>
      </c>
      <c r="H65" s="3" t="inlineStr">
        <is>
          <t>PU-ELE</t>
        </is>
      </c>
      <c r="I65" s="3" t="inlineStr">
        <is>
          <t>ACT-04</t>
        </is>
      </c>
      <c r="J65" s="3" t="inlineStr">
        <is>
          <t>TIPO-P1</t>
        </is>
      </c>
      <c r="K65" s="11" t="n">
        <v>46224</v>
      </c>
      <c r="L65" s="3" t="n">
        <v>10</v>
      </c>
      <c r="M65" s="10" t="n">
        <v>250</v>
      </c>
      <c r="N65" s="3">
        <f>IFERROR(INDEX('CAT_ESTADOS_ERP'!$B$4:$B$7,MATCH(IFERROR(INDEX('2_IMPORTAR_EJECUCION'!$D$9:$D$171,MATCH($C65,'2_IMPORTAR_EJECUCION'!$A$9:$A$171,0)),""),'CAT_ESTADOS_ERP'!$A$4:$A$7,0)),"Pendiente")</f>
        <v/>
      </c>
      <c r="O65" s="3">
        <f>IF($K65="","","S"&amp;IF(_xlfn.ISOWEEKNUM($K65)=53,1,_xlfn.ISOWEEKNUM($K65)))</f>
        <v/>
      </c>
      <c r="P65" s="3">
        <f>IF($K65="","",YEAR($K65))</f>
        <v/>
      </c>
      <c r="Q65" s="3">
        <f>IF($K65="","",MONTH($K65))</f>
        <v/>
      </c>
      <c r="R65" s="3">
        <f>IF($K65="","",INDEX(lista_dias,WEEKDAY($K65,2)))</f>
        <v/>
      </c>
      <c r="S65" s="3">
        <f>IFERROR(INDEX('CAT_TIPOS_OT'!$C$4:$C$7,MATCH($J65,'CAT_TIPOS_OT'!$A$4:$A$7,0)),"sin_clasificar")</f>
        <v/>
      </c>
      <c r="T65" s="3">
        <f>IFERROR(INDEX('CAT_CENTROS_COSTO'!$E$4:$E$9,MATCH($G65,'CAT_CENTROS_COSTO'!$A$4:$A$9,0)),"(sin catálogo)")</f>
        <v/>
      </c>
      <c r="U65" s="3">
        <f>IFERROR(INDEX('CAT_CENTROS_COSTO'!$D$4:$D$9,MATCH($G65,'CAT_CENTROS_COSTO'!$A$4:$A$9,0)),"(sin catálogo)")</f>
        <v/>
      </c>
      <c r="V65" s="3">
        <f>IFERROR(INDEX('CAT_CENTROS_COSTO'!$F$4:$F$9,MATCH($G65,'CAT_CENTROS_COSTO'!$A$4:$A$9,0)),"(sin catálogo)")</f>
        <v/>
      </c>
      <c r="W65" s="3">
        <f>IFERROR(INDEX('CAT_PUESTOS'!$B$4:$B$8,MATCH($H65,'CAT_PUESTOS'!$A$4:$A$8,0)),"(sin catálogo)")</f>
        <v/>
      </c>
      <c r="X65" s="3">
        <f>IFERROR(INDEX('CAT_ACTIVIDADES'!$B$4:$B$8,MATCH($I65,'CAT_ACTIVIDADES'!$A$4:$A$8,0)),"(sin catálogo)")</f>
        <v/>
      </c>
      <c r="Y65" s="12">
        <f>IF($K65="","",TODAY()-$K65)</f>
        <v/>
      </c>
      <c r="Z65" s="3">
        <f>IF($Y65="","",IF($Y65&lt;0,"FUTURO",IF($Y65&gt;p_dias_backlog_max,"BACKLOG","MES CORRIENTE")))</f>
        <v/>
      </c>
      <c r="AA65" s="3">
        <f>IF($Y65="",FALSE,AND($Y65&gt;p_dias_backlog_min,$Y65&lt;=p_dias_backlog_max))</f>
        <v/>
      </c>
      <c r="AB65" s="6" t="inlineStr">
        <is>
          <t>Técnico 06</t>
        </is>
      </c>
      <c r="AC65" s="3">
        <f>IF($AB65="","",IFERROR(INDEX('ASIGNACIONES'!$F$4:$F$339,MATCH($O65&amp;"|"&amp;$R65&amp;"|"&amp;$AB65,'ASIGNACIONES'!$I$4:$I$339,0)),""))</f>
        <v/>
      </c>
      <c r="AD65" s="13">
        <f>IF($AB65="","",SUMIFS('ORDENES'!$L$4:$L$203,'ORDENES'!$AB$4:$AB$203,$AB65,'ORDENES'!$O$4:$O$203,$O65,'ORDENES'!$R$4:$R$203,$R65))</f>
        <v/>
      </c>
      <c r="AE65" s="13">
        <f>IF($AD65="","",p_factor_productividad*IFERROR(INDEX('ASIGNACIONES'!$H$4:$H$339,MATCH($O65&amp;"|"&amp;$R65&amp;"|"&amp;$AB65,'ASIGNACIONES'!$I$4:$I$339,0)),0)-$AD65)</f>
        <v/>
      </c>
      <c r="AF65" s="10">
        <f>IFERROR(INDEX('2_IMPORTAR_EJECUCION'!$G$9:$G$171,MATCH($C65,'2_IMPORTAR_EJECUCION'!$A$9:$A$171,0)),0)</f>
        <v/>
      </c>
      <c r="AG65" s="10">
        <f>MAX(0,IFERROR(INDEX('2_IMPORTAR_EJECUCION'!$I$9:$I$171,MATCH($C65,'2_IMPORTAR_EJECUCION'!$A$9:$A$171,0)),0)-$AF65)</f>
        <v/>
      </c>
      <c r="AH65" s="10">
        <f>$AF65+$AG65</f>
        <v/>
      </c>
      <c r="AI65" s="6" t="inlineStr"/>
      <c r="AJ65" s="6" t="inlineStr"/>
      <c r="AK65" s="6" t="inlineStr">
        <is>
          <t>ACT-04.pdf</t>
        </is>
      </c>
      <c r="AL65" s="3">
        <f>IF($AK65="","",HYPERLINK(p_ruta_base_checklists&amp;$AK65,"abrir"))</f>
        <v/>
      </c>
      <c r="AM65" s="6" t="inlineStr"/>
    </row>
    <row r="66">
      <c r="A66" s="3" t="inlineStr">
        <is>
          <t>OT-000063</t>
        </is>
      </c>
      <c r="B66" s="3" t="inlineStr">
        <is>
          <t>0010</t>
        </is>
      </c>
      <c r="C66" s="3">
        <f>$A66&amp;IF($B66="","0010",$B66)</f>
        <v/>
      </c>
      <c r="D66" s="3" t="inlineStr">
        <is>
          <t>Inspección de rutina — EQ-104</t>
        </is>
      </c>
      <c r="E66" s="3" t="inlineStr">
        <is>
          <t>Inspección de rutina en EQ-104</t>
        </is>
      </c>
      <c r="F66" s="3" t="inlineStr">
        <is>
          <t>EQ-104</t>
        </is>
      </c>
      <c r="G66" s="3" t="inlineStr">
        <is>
          <t>CC-120</t>
        </is>
      </c>
      <c r="H66" s="3" t="inlineStr">
        <is>
          <t>PU-ELE</t>
        </is>
      </c>
      <c r="I66" s="3" t="inlineStr">
        <is>
          <t>ACT-01</t>
        </is>
      </c>
      <c r="J66" s="3" t="inlineStr">
        <is>
          <t>TIPO-P2</t>
        </is>
      </c>
      <c r="K66" s="11" t="n">
        <v>46225</v>
      </c>
      <c r="L66" s="3" t="n">
        <v>8</v>
      </c>
      <c r="M66" s="10" t="n">
        <v>200</v>
      </c>
      <c r="N66" s="3">
        <f>IFERROR(INDEX('CAT_ESTADOS_ERP'!$B$4:$B$7,MATCH(IFERROR(INDEX('2_IMPORTAR_EJECUCION'!$D$9:$D$171,MATCH($C66,'2_IMPORTAR_EJECUCION'!$A$9:$A$171,0)),""),'CAT_ESTADOS_ERP'!$A$4:$A$7,0)),"Pendiente")</f>
        <v/>
      </c>
      <c r="O66" s="3">
        <f>IF($K66="","","S"&amp;IF(_xlfn.ISOWEEKNUM($K66)=53,1,_xlfn.ISOWEEKNUM($K66)))</f>
        <v/>
      </c>
      <c r="P66" s="3">
        <f>IF($K66="","",YEAR($K66))</f>
        <v/>
      </c>
      <c r="Q66" s="3">
        <f>IF($K66="","",MONTH($K66))</f>
        <v/>
      </c>
      <c r="R66" s="3">
        <f>IF($K66="","",INDEX(lista_dias,WEEKDAY($K66,2)))</f>
        <v/>
      </c>
      <c r="S66" s="3">
        <f>IFERROR(INDEX('CAT_TIPOS_OT'!$C$4:$C$7,MATCH($J66,'CAT_TIPOS_OT'!$A$4:$A$7,0)),"sin_clasificar")</f>
        <v/>
      </c>
      <c r="T66" s="3">
        <f>IFERROR(INDEX('CAT_CENTROS_COSTO'!$E$4:$E$9,MATCH($G66,'CAT_CENTROS_COSTO'!$A$4:$A$9,0)),"(sin catálogo)")</f>
        <v/>
      </c>
      <c r="U66" s="3">
        <f>IFERROR(INDEX('CAT_CENTROS_COSTO'!$D$4:$D$9,MATCH($G66,'CAT_CENTROS_COSTO'!$A$4:$A$9,0)),"(sin catálogo)")</f>
        <v/>
      </c>
      <c r="V66" s="3">
        <f>IFERROR(INDEX('CAT_CENTROS_COSTO'!$F$4:$F$9,MATCH($G66,'CAT_CENTROS_COSTO'!$A$4:$A$9,0)),"(sin catálogo)")</f>
        <v/>
      </c>
      <c r="W66" s="3">
        <f>IFERROR(INDEX('CAT_PUESTOS'!$B$4:$B$8,MATCH($H66,'CAT_PUESTOS'!$A$4:$A$8,0)),"(sin catálogo)")</f>
        <v/>
      </c>
      <c r="X66" s="3">
        <f>IFERROR(INDEX('CAT_ACTIVIDADES'!$B$4:$B$8,MATCH($I66,'CAT_ACTIVIDADES'!$A$4:$A$8,0)),"(sin catálogo)")</f>
        <v/>
      </c>
      <c r="Y66" s="12">
        <f>IF($K66="","",TODAY()-$K66)</f>
        <v/>
      </c>
      <c r="Z66" s="3">
        <f>IF($Y66="","",IF($Y66&lt;0,"FUTURO",IF($Y66&gt;p_dias_backlog_max,"BACKLOG","MES CORRIENTE")))</f>
        <v/>
      </c>
      <c r="AA66" s="3">
        <f>IF($Y66="",FALSE,AND($Y66&gt;p_dias_backlog_min,$Y66&lt;=p_dias_backlog_max))</f>
        <v/>
      </c>
      <c r="AB66" s="6" t="inlineStr">
        <is>
          <t>Técnico 07</t>
        </is>
      </c>
      <c r="AC66" s="3">
        <f>IF($AB66="","",IFERROR(INDEX('ASIGNACIONES'!$F$4:$F$339,MATCH($O66&amp;"|"&amp;$R66&amp;"|"&amp;$AB66,'ASIGNACIONES'!$I$4:$I$339,0)),""))</f>
        <v/>
      </c>
      <c r="AD66" s="13">
        <f>IF($AB66="","",SUMIFS('ORDENES'!$L$4:$L$203,'ORDENES'!$AB$4:$AB$203,$AB66,'ORDENES'!$O$4:$O$203,$O66,'ORDENES'!$R$4:$R$203,$R66))</f>
        <v/>
      </c>
      <c r="AE66" s="13">
        <f>IF($AD66="","",p_factor_productividad*IFERROR(INDEX('ASIGNACIONES'!$H$4:$H$339,MATCH($O66&amp;"|"&amp;$R66&amp;"|"&amp;$AB66,'ASIGNACIONES'!$I$4:$I$339,0)),0)-$AD66)</f>
        <v/>
      </c>
      <c r="AF66" s="10">
        <f>IFERROR(INDEX('2_IMPORTAR_EJECUCION'!$G$9:$G$171,MATCH($C66,'2_IMPORTAR_EJECUCION'!$A$9:$A$171,0)),0)</f>
        <v/>
      </c>
      <c r="AG66" s="10">
        <f>MAX(0,IFERROR(INDEX('2_IMPORTAR_EJECUCION'!$I$9:$I$171,MATCH($C66,'2_IMPORTAR_EJECUCION'!$A$9:$A$171,0)),0)-$AF66)</f>
        <v/>
      </c>
      <c r="AH66" s="10">
        <f>$AF66+$AG66</f>
        <v/>
      </c>
      <c r="AI66" s="6" t="inlineStr"/>
      <c r="AJ66" s="6" t="inlineStr"/>
      <c r="AK66" s="6" t="inlineStr">
        <is>
          <t>ACT-01.pdf</t>
        </is>
      </c>
      <c r="AL66" s="3">
        <f>IF($AK66="","",HYPERLINK(p_ruta_base_checklists&amp;$AK66,"abrir"))</f>
        <v/>
      </c>
      <c r="AM66" s="6" t="inlineStr"/>
    </row>
    <row r="67">
      <c r="A67" s="3" t="inlineStr">
        <is>
          <t>OT-000064</t>
        </is>
      </c>
      <c r="B67" s="3" t="inlineStr">
        <is>
          <t>0010</t>
        </is>
      </c>
      <c r="C67" s="3">
        <f>$A67&amp;IF($B67="","0010",$B67)</f>
        <v/>
      </c>
      <c r="D67" s="3" t="inlineStr">
        <is>
          <t>Lubricación programada — EQ-106</t>
        </is>
      </c>
      <c r="E67" s="3" t="inlineStr">
        <is>
          <t>Lubricación programada en EQ-106</t>
        </is>
      </c>
      <c r="F67" s="3" t="inlineStr">
        <is>
          <t>EQ-106</t>
        </is>
      </c>
      <c r="G67" s="3" t="inlineStr">
        <is>
          <t>CC-220</t>
        </is>
      </c>
      <c r="H67" s="3" t="inlineStr">
        <is>
          <t>PU-ELE</t>
        </is>
      </c>
      <c r="I67" s="3" t="inlineStr">
        <is>
          <t>ACT-02</t>
        </is>
      </c>
      <c r="J67" s="3" t="inlineStr">
        <is>
          <t>TIPO-P1</t>
        </is>
      </c>
      <c r="K67" s="11" t="n">
        <v>46226</v>
      </c>
      <c r="L67" s="3" t="n">
        <v>6</v>
      </c>
      <c r="M67" s="10" t="n">
        <v>150</v>
      </c>
      <c r="N67" s="3">
        <f>IFERROR(INDEX('CAT_ESTADOS_ERP'!$B$4:$B$7,MATCH(IFERROR(INDEX('2_IMPORTAR_EJECUCION'!$D$9:$D$171,MATCH($C67,'2_IMPORTAR_EJECUCION'!$A$9:$A$171,0)),""),'CAT_ESTADOS_ERP'!$A$4:$A$7,0)),"Pendiente")</f>
        <v/>
      </c>
      <c r="O67" s="3">
        <f>IF($K67="","","S"&amp;IF(_xlfn.ISOWEEKNUM($K67)=53,1,_xlfn.ISOWEEKNUM($K67)))</f>
        <v/>
      </c>
      <c r="P67" s="3">
        <f>IF($K67="","",YEAR($K67))</f>
        <v/>
      </c>
      <c r="Q67" s="3">
        <f>IF($K67="","",MONTH($K67))</f>
        <v/>
      </c>
      <c r="R67" s="3">
        <f>IF($K67="","",INDEX(lista_dias,WEEKDAY($K67,2)))</f>
        <v/>
      </c>
      <c r="S67" s="3">
        <f>IFERROR(INDEX('CAT_TIPOS_OT'!$C$4:$C$7,MATCH($J67,'CAT_TIPOS_OT'!$A$4:$A$7,0)),"sin_clasificar")</f>
        <v/>
      </c>
      <c r="T67" s="3">
        <f>IFERROR(INDEX('CAT_CENTROS_COSTO'!$E$4:$E$9,MATCH($G67,'CAT_CENTROS_COSTO'!$A$4:$A$9,0)),"(sin catálogo)")</f>
        <v/>
      </c>
      <c r="U67" s="3">
        <f>IFERROR(INDEX('CAT_CENTROS_COSTO'!$D$4:$D$9,MATCH($G67,'CAT_CENTROS_COSTO'!$A$4:$A$9,0)),"(sin catálogo)")</f>
        <v/>
      </c>
      <c r="V67" s="3">
        <f>IFERROR(INDEX('CAT_CENTROS_COSTO'!$F$4:$F$9,MATCH($G67,'CAT_CENTROS_COSTO'!$A$4:$A$9,0)),"(sin catálogo)")</f>
        <v/>
      </c>
      <c r="W67" s="3">
        <f>IFERROR(INDEX('CAT_PUESTOS'!$B$4:$B$8,MATCH($H67,'CAT_PUESTOS'!$A$4:$A$8,0)),"(sin catálogo)")</f>
        <v/>
      </c>
      <c r="X67" s="3">
        <f>IFERROR(INDEX('CAT_ACTIVIDADES'!$B$4:$B$8,MATCH($I67,'CAT_ACTIVIDADES'!$A$4:$A$8,0)),"(sin catálogo)")</f>
        <v/>
      </c>
      <c r="Y67" s="12">
        <f>IF($K67="","",TODAY()-$K67)</f>
        <v/>
      </c>
      <c r="Z67" s="3">
        <f>IF($Y67="","",IF($Y67&lt;0,"FUTURO",IF($Y67&gt;p_dias_backlog_max,"BACKLOG","MES CORRIENTE")))</f>
        <v/>
      </c>
      <c r="AA67" s="3">
        <f>IF($Y67="",FALSE,AND($Y67&gt;p_dias_backlog_min,$Y67&lt;=p_dias_backlog_max))</f>
        <v/>
      </c>
      <c r="AB67" s="6" t="inlineStr">
        <is>
          <t>Técnico 05</t>
        </is>
      </c>
      <c r="AC67" s="3">
        <f>IF($AB67="","",IFERROR(INDEX('ASIGNACIONES'!$F$4:$F$339,MATCH($O67&amp;"|"&amp;$R67&amp;"|"&amp;$AB67,'ASIGNACIONES'!$I$4:$I$339,0)),""))</f>
        <v/>
      </c>
      <c r="AD67" s="13">
        <f>IF($AB67="","",SUMIFS('ORDENES'!$L$4:$L$203,'ORDENES'!$AB$4:$AB$203,$AB67,'ORDENES'!$O$4:$O$203,$O67,'ORDENES'!$R$4:$R$203,$R67))</f>
        <v/>
      </c>
      <c r="AE67" s="13">
        <f>IF($AD67="","",p_factor_productividad*IFERROR(INDEX('ASIGNACIONES'!$H$4:$H$339,MATCH($O67&amp;"|"&amp;$R67&amp;"|"&amp;$AB67,'ASIGNACIONES'!$I$4:$I$339,0)),0)-$AD67)</f>
        <v/>
      </c>
      <c r="AF67" s="10">
        <f>IFERROR(INDEX('2_IMPORTAR_EJECUCION'!$G$9:$G$171,MATCH($C67,'2_IMPORTAR_EJECUCION'!$A$9:$A$171,0)),0)</f>
        <v/>
      </c>
      <c r="AG67" s="10">
        <f>MAX(0,IFERROR(INDEX('2_IMPORTAR_EJECUCION'!$I$9:$I$171,MATCH($C67,'2_IMPORTAR_EJECUCION'!$A$9:$A$171,0)),0)-$AF67)</f>
        <v/>
      </c>
      <c r="AH67" s="10">
        <f>$AF67+$AG67</f>
        <v/>
      </c>
      <c r="AI67" s="6" t="inlineStr"/>
      <c r="AJ67" s="6" t="inlineStr"/>
      <c r="AK67" s="6" t="inlineStr">
        <is>
          <t>ACT-02.pdf</t>
        </is>
      </c>
      <c r="AL67" s="3">
        <f>IF($AK67="","",HYPERLINK(p_ruta_base_checklists&amp;$AK67,"abrir"))</f>
        <v/>
      </c>
      <c r="AM67" s="6" t="inlineStr"/>
    </row>
    <row r="68">
      <c r="A68" s="3" t="inlineStr">
        <is>
          <t>OT-000065</t>
        </is>
      </c>
      <c r="B68" s="3" t="inlineStr">
        <is>
          <t>0010</t>
        </is>
      </c>
      <c r="C68" s="3">
        <f>$A68&amp;IF($B68="","0010",$B68)</f>
        <v/>
      </c>
      <c r="D68" s="3" t="inlineStr">
        <is>
          <t>Análisis predictivo — EQ-101</t>
        </is>
      </c>
      <c r="E68" s="3" t="inlineStr">
        <is>
          <t>Análisis predictivo en EQ-101</t>
        </is>
      </c>
      <c r="F68" s="3" t="inlineStr">
        <is>
          <t>EQ-101</t>
        </is>
      </c>
      <c r="G68" s="3" t="inlineStr">
        <is>
          <t>CC-120</t>
        </is>
      </c>
      <c r="H68" s="3" t="inlineStr">
        <is>
          <t>PU-ELE</t>
        </is>
      </c>
      <c r="I68" s="3" t="inlineStr">
        <is>
          <t>ACT-04</t>
        </is>
      </c>
      <c r="J68" s="3" t="inlineStr">
        <is>
          <t>TIPO-P2</t>
        </is>
      </c>
      <c r="K68" s="11" t="n">
        <v>46227</v>
      </c>
      <c r="L68" s="3" t="n">
        <v>10</v>
      </c>
      <c r="M68" s="10" t="n">
        <v>250</v>
      </c>
      <c r="N68" s="3">
        <f>IFERROR(INDEX('CAT_ESTADOS_ERP'!$B$4:$B$7,MATCH(IFERROR(INDEX('2_IMPORTAR_EJECUCION'!$D$9:$D$171,MATCH($C68,'2_IMPORTAR_EJECUCION'!$A$9:$A$171,0)),""),'CAT_ESTADOS_ERP'!$A$4:$A$7,0)),"Pendiente")</f>
        <v/>
      </c>
      <c r="O68" s="3">
        <f>IF($K68="","","S"&amp;IF(_xlfn.ISOWEEKNUM($K68)=53,1,_xlfn.ISOWEEKNUM($K68)))</f>
        <v/>
      </c>
      <c r="P68" s="3">
        <f>IF($K68="","",YEAR($K68))</f>
        <v/>
      </c>
      <c r="Q68" s="3">
        <f>IF($K68="","",MONTH($K68))</f>
        <v/>
      </c>
      <c r="R68" s="3">
        <f>IF($K68="","",INDEX(lista_dias,WEEKDAY($K68,2)))</f>
        <v/>
      </c>
      <c r="S68" s="3">
        <f>IFERROR(INDEX('CAT_TIPOS_OT'!$C$4:$C$7,MATCH($J68,'CAT_TIPOS_OT'!$A$4:$A$7,0)),"sin_clasificar")</f>
        <v/>
      </c>
      <c r="T68" s="3">
        <f>IFERROR(INDEX('CAT_CENTROS_COSTO'!$E$4:$E$9,MATCH($G68,'CAT_CENTROS_COSTO'!$A$4:$A$9,0)),"(sin catálogo)")</f>
        <v/>
      </c>
      <c r="U68" s="3">
        <f>IFERROR(INDEX('CAT_CENTROS_COSTO'!$D$4:$D$9,MATCH($G68,'CAT_CENTROS_COSTO'!$A$4:$A$9,0)),"(sin catálogo)")</f>
        <v/>
      </c>
      <c r="V68" s="3">
        <f>IFERROR(INDEX('CAT_CENTROS_COSTO'!$F$4:$F$9,MATCH($G68,'CAT_CENTROS_COSTO'!$A$4:$A$9,0)),"(sin catálogo)")</f>
        <v/>
      </c>
      <c r="W68" s="3">
        <f>IFERROR(INDEX('CAT_PUESTOS'!$B$4:$B$8,MATCH($H68,'CAT_PUESTOS'!$A$4:$A$8,0)),"(sin catálogo)")</f>
        <v/>
      </c>
      <c r="X68" s="3">
        <f>IFERROR(INDEX('CAT_ACTIVIDADES'!$B$4:$B$8,MATCH($I68,'CAT_ACTIVIDADES'!$A$4:$A$8,0)),"(sin catálogo)")</f>
        <v/>
      </c>
      <c r="Y68" s="12">
        <f>IF($K68="","",TODAY()-$K68)</f>
        <v/>
      </c>
      <c r="Z68" s="3">
        <f>IF($Y68="","",IF($Y68&lt;0,"FUTURO",IF($Y68&gt;p_dias_backlog_max,"BACKLOG","MES CORRIENTE")))</f>
        <v/>
      </c>
      <c r="AA68" s="3">
        <f>IF($Y68="",FALSE,AND($Y68&gt;p_dias_backlog_min,$Y68&lt;=p_dias_backlog_max))</f>
        <v/>
      </c>
      <c r="AB68" s="6" t="inlineStr">
        <is>
          <t>Técnico 06</t>
        </is>
      </c>
      <c r="AC68" s="3">
        <f>IF($AB68="","",IFERROR(INDEX('ASIGNACIONES'!$F$4:$F$339,MATCH($O68&amp;"|"&amp;$R68&amp;"|"&amp;$AB68,'ASIGNACIONES'!$I$4:$I$339,0)),""))</f>
        <v/>
      </c>
      <c r="AD68" s="13">
        <f>IF($AB68="","",SUMIFS('ORDENES'!$L$4:$L$203,'ORDENES'!$AB$4:$AB$203,$AB68,'ORDENES'!$O$4:$O$203,$O68,'ORDENES'!$R$4:$R$203,$R68))</f>
        <v/>
      </c>
      <c r="AE68" s="13">
        <f>IF($AD68="","",p_factor_productividad*IFERROR(INDEX('ASIGNACIONES'!$H$4:$H$339,MATCH($O68&amp;"|"&amp;$R68&amp;"|"&amp;$AB68,'ASIGNACIONES'!$I$4:$I$339,0)),0)-$AD68)</f>
        <v/>
      </c>
      <c r="AF68" s="10">
        <f>IFERROR(INDEX('2_IMPORTAR_EJECUCION'!$G$9:$G$171,MATCH($C68,'2_IMPORTAR_EJECUCION'!$A$9:$A$171,0)),0)</f>
        <v/>
      </c>
      <c r="AG68" s="10">
        <f>MAX(0,IFERROR(INDEX('2_IMPORTAR_EJECUCION'!$I$9:$I$171,MATCH($C68,'2_IMPORTAR_EJECUCION'!$A$9:$A$171,0)),0)-$AF68)</f>
        <v/>
      </c>
      <c r="AH68" s="10">
        <f>$AF68+$AG68</f>
        <v/>
      </c>
      <c r="AI68" s="6" t="inlineStr"/>
      <c r="AJ68" s="6" t="inlineStr"/>
      <c r="AK68" s="6" t="inlineStr">
        <is>
          <t>ACT-04.pdf</t>
        </is>
      </c>
      <c r="AL68" s="3">
        <f>IF($AK68="","",HYPERLINK(p_ruta_base_checklists&amp;$AK68,"abrir"))</f>
        <v/>
      </c>
      <c r="AM68" s="6" t="inlineStr"/>
    </row>
    <row r="69">
      <c r="A69" s="3" t="inlineStr">
        <is>
          <t>OT-000066</t>
        </is>
      </c>
      <c r="B69" s="3" t="inlineStr">
        <is>
          <t>0010</t>
        </is>
      </c>
      <c r="C69" s="3">
        <f>$A69&amp;IF($B69="","0010",$B69)</f>
        <v/>
      </c>
      <c r="D69" s="3" t="inlineStr">
        <is>
          <t>Inspección de rutina — EQ-108</t>
        </is>
      </c>
      <c r="E69" s="3" t="inlineStr">
        <is>
          <t>Inspección de rutina en EQ-108</t>
        </is>
      </c>
      <c r="F69" s="3" t="inlineStr">
        <is>
          <t>EQ-108</t>
        </is>
      </c>
      <c r="G69" s="3" t="inlineStr">
        <is>
          <t>CC-220</t>
        </is>
      </c>
      <c r="H69" s="3" t="inlineStr">
        <is>
          <t>PU-ELE</t>
        </is>
      </c>
      <c r="I69" s="3" t="inlineStr">
        <is>
          <t>ACT-01</t>
        </is>
      </c>
      <c r="J69" s="3" t="inlineStr">
        <is>
          <t>TIPO-P1</t>
        </is>
      </c>
      <c r="K69" s="11" t="n">
        <v>46223</v>
      </c>
      <c r="L69" s="3" t="n">
        <v>7</v>
      </c>
      <c r="M69" s="10" t="n">
        <v>175</v>
      </c>
      <c r="N69" s="3">
        <f>IFERROR(INDEX('CAT_ESTADOS_ERP'!$B$4:$B$7,MATCH(IFERROR(INDEX('2_IMPORTAR_EJECUCION'!$D$9:$D$171,MATCH($C69,'2_IMPORTAR_EJECUCION'!$A$9:$A$171,0)),""),'CAT_ESTADOS_ERP'!$A$4:$A$7,0)),"Pendiente")</f>
        <v/>
      </c>
      <c r="O69" s="3">
        <f>IF($K69="","","S"&amp;IF(_xlfn.ISOWEEKNUM($K69)=53,1,_xlfn.ISOWEEKNUM($K69)))</f>
        <v/>
      </c>
      <c r="P69" s="3">
        <f>IF($K69="","",YEAR($K69))</f>
        <v/>
      </c>
      <c r="Q69" s="3">
        <f>IF($K69="","",MONTH($K69))</f>
        <v/>
      </c>
      <c r="R69" s="3">
        <f>IF($K69="","",INDEX(lista_dias,WEEKDAY($K69,2)))</f>
        <v/>
      </c>
      <c r="S69" s="3">
        <f>IFERROR(INDEX('CAT_TIPOS_OT'!$C$4:$C$7,MATCH($J69,'CAT_TIPOS_OT'!$A$4:$A$7,0)),"sin_clasificar")</f>
        <v/>
      </c>
      <c r="T69" s="3">
        <f>IFERROR(INDEX('CAT_CENTROS_COSTO'!$E$4:$E$9,MATCH($G69,'CAT_CENTROS_COSTO'!$A$4:$A$9,0)),"(sin catálogo)")</f>
        <v/>
      </c>
      <c r="U69" s="3">
        <f>IFERROR(INDEX('CAT_CENTROS_COSTO'!$D$4:$D$9,MATCH($G69,'CAT_CENTROS_COSTO'!$A$4:$A$9,0)),"(sin catálogo)")</f>
        <v/>
      </c>
      <c r="V69" s="3">
        <f>IFERROR(INDEX('CAT_CENTROS_COSTO'!$F$4:$F$9,MATCH($G69,'CAT_CENTROS_COSTO'!$A$4:$A$9,0)),"(sin catálogo)")</f>
        <v/>
      </c>
      <c r="W69" s="3">
        <f>IFERROR(INDEX('CAT_PUESTOS'!$B$4:$B$8,MATCH($H69,'CAT_PUESTOS'!$A$4:$A$8,0)),"(sin catálogo)")</f>
        <v/>
      </c>
      <c r="X69" s="3">
        <f>IFERROR(INDEX('CAT_ACTIVIDADES'!$B$4:$B$8,MATCH($I69,'CAT_ACTIVIDADES'!$A$4:$A$8,0)),"(sin catálogo)")</f>
        <v/>
      </c>
      <c r="Y69" s="12">
        <f>IF($K69="","",TODAY()-$K69)</f>
        <v/>
      </c>
      <c r="Z69" s="3">
        <f>IF($Y69="","",IF($Y69&lt;0,"FUTURO",IF($Y69&gt;p_dias_backlog_max,"BACKLOG","MES CORRIENTE")))</f>
        <v/>
      </c>
      <c r="AA69" s="3">
        <f>IF($Y69="",FALSE,AND($Y69&gt;p_dias_backlog_min,$Y69&lt;=p_dias_backlog_max))</f>
        <v/>
      </c>
      <c r="AB69" s="6" t="inlineStr">
        <is>
          <t>Técnico 07</t>
        </is>
      </c>
      <c r="AC69" s="3">
        <f>IF($AB69="","",IFERROR(INDEX('ASIGNACIONES'!$F$4:$F$339,MATCH($O69&amp;"|"&amp;$R69&amp;"|"&amp;$AB69,'ASIGNACIONES'!$I$4:$I$339,0)),""))</f>
        <v/>
      </c>
      <c r="AD69" s="13">
        <f>IF($AB69="","",SUMIFS('ORDENES'!$L$4:$L$203,'ORDENES'!$AB$4:$AB$203,$AB69,'ORDENES'!$O$4:$O$203,$O69,'ORDENES'!$R$4:$R$203,$R69))</f>
        <v/>
      </c>
      <c r="AE69" s="13">
        <f>IF($AD69="","",p_factor_productividad*IFERROR(INDEX('ASIGNACIONES'!$H$4:$H$339,MATCH($O69&amp;"|"&amp;$R69&amp;"|"&amp;$AB69,'ASIGNACIONES'!$I$4:$I$339,0)),0)-$AD69)</f>
        <v/>
      </c>
      <c r="AF69" s="10">
        <f>IFERROR(INDEX('2_IMPORTAR_EJECUCION'!$G$9:$G$171,MATCH($C69,'2_IMPORTAR_EJECUCION'!$A$9:$A$171,0)),0)</f>
        <v/>
      </c>
      <c r="AG69" s="10">
        <f>MAX(0,IFERROR(INDEX('2_IMPORTAR_EJECUCION'!$I$9:$I$171,MATCH($C69,'2_IMPORTAR_EJECUCION'!$A$9:$A$171,0)),0)-$AF69)</f>
        <v/>
      </c>
      <c r="AH69" s="10">
        <f>$AF69+$AG69</f>
        <v/>
      </c>
      <c r="AI69" s="6" t="inlineStr"/>
      <c r="AJ69" s="6" t="inlineStr"/>
      <c r="AK69" s="6" t="inlineStr">
        <is>
          <t>ACT-01.pdf</t>
        </is>
      </c>
      <c r="AL69" s="3">
        <f>IF($AK69="","",HYPERLINK(p_ruta_base_checklists&amp;$AK69,"abrir"))</f>
        <v/>
      </c>
      <c r="AM69" s="6" t="inlineStr"/>
    </row>
    <row r="70">
      <c r="A70" s="3" t="inlineStr">
        <is>
          <t>OT-000067</t>
        </is>
      </c>
      <c r="B70" s="3" t="inlineStr">
        <is>
          <t>0010</t>
        </is>
      </c>
      <c r="C70" s="3">
        <f>$A70&amp;IF($B70="","0010",$B70)</f>
        <v/>
      </c>
      <c r="D70" s="3" t="inlineStr">
        <is>
          <t>Reparación de falla — EQ-103</t>
        </is>
      </c>
      <c r="E70" s="3" t="inlineStr">
        <is>
          <t>Reparación de falla en EQ-103</t>
        </is>
      </c>
      <c r="F70" s="3" t="inlineStr">
        <is>
          <t>EQ-103</t>
        </is>
      </c>
      <c r="G70" s="3" t="inlineStr">
        <is>
          <t>CC-120</t>
        </is>
      </c>
      <c r="H70" s="3" t="inlineStr">
        <is>
          <t>PU-ELE</t>
        </is>
      </c>
      <c r="I70" s="3" t="inlineStr">
        <is>
          <t>ACT-03</t>
        </is>
      </c>
      <c r="J70" s="3" t="inlineStr">
        <is>
          <t>TIPO-C2</t>
        </is>
      </c>
      <c r="K70" s="11" t="n">
        <v>46224</v>
      </c>
      <c r="L70" s="3" t="n">
        <v>10</v>
      </c>
      <c r="M70" s="10" t="n">
        <v>400</v>
      </c>
      <c r="N70" s="3">
        <f>IFERROR(INDEX('CAT_ESTADOS_ERP'!$B$4:$B$7,MATCH(IFERROR(INDEX('2_IMPORTAR_EJECUCION'!$D$9:$D$171,MATCH($C70,'2_IMPORTAR_EJECUCION'!$A$9:$A$171,0)),""),'CAT_ESTADOS_ERP'!$A$4:$A$7,0)),"Pendiente")</f>
        <v/>
      </c>
      <c r="O70" s="3">
        <f>IF($K70="","","S"&amp;IF(_xlfn.ISOWEEKNUM($K70)=53,1,_xlfn.ISOWEEKNUM($K70)))</f>
        <v/>
      </c>
      <c r="P70" s="3">
        <f>IF($K70="","",YEAR($K70))</f>
        <v/>
      </c>
      <c r="Q70" s="3">
        <f>IF($K70="","",MONTH($K70))</f>
        <v/>
      </c>
      <c r="R70" s="3">
        <f>IF($K70="","",INDEX(lista_dias,WEEKDAY($K70,2)))</f>
        <v/>
      </c>
      <c r="S70" s="3">
        <f>IFERROR(INDEX('CAT_TIPOS_OT'!$C$4:$C$7,MATCH($J70,'CAT_TIPOS_OT'!$A$4:$A$7,0)),"sin_clasificar")</f>
        <v/>
      </c>
      <c r="T70" s="3">
        <f>IFERROR(INDEX('CAT_CENTROS_COSTO'!$E$4:$E$9,MATCH($G70,'CAT_CENTROS_COSTO'!$A$4:$A$9,0)),"(sin catálogo)")</f>
        <v/>
      </c>
      <c r="U70" s="3">
        <f>IFERROR(INDEX('CAT_CENTROS_COSTO'!$D$4:$D$9,MATCH($G70,'CAT_CENTROS_COSTO'!$A$4:$A$9,0)),"(sin catálogo)")</f>
        <v/>
      </c>
      <c r="V70" s="3">
        <f>IFERROR(INDEX('CAT_CENTROS_COSTO'!$F$4:$F$9,MATCH($G70,'CAT_CENTROS_COSTO'!$A$4:$A$9,0)),"(sin catálogo)")</f>
        <v/>
      </c>
      <c r="W70" s="3">
        <f>IFERROR(INDEX('CAT_PUESTOS'!$B$4:$B$8,MATCH($H70,'CAT_PUESTOS'!$A$4:$A$8,0)),"(sin catálogo)")</f>
        <v/>
      </c>
      <c r="X70" s="3">
        <f>IFERROR(INDEX('CAT_ACTIVIDADES'!$B$4:$B$8,MATCH($I70,'CAT_ACTIVIDADES'!$A$4:$A$8,0)),"(sin catálogo)")</f>
        <v/>
      </c>
      <c r="Y70" s="12">
        <f>IF($K70="","",TODAY()-$K70)</f>
        <v/>
      </c>
      <c r="Z70" s="3">
        <f>IF($Y70="","",IF($Y70&lt;0,"FUTURO",IF($Y70&gt;p_dias_backlog_max,"BACKLOG","MES CORRIENTE")))</f>
        <v/>
      </c>
      <c r="AA70" s="3">
        <f>IF($Y70="",FALSE,AND($Y70&gt;p_dias_backlog_min,$Y70&lt;=p_dias_backlog_max))</f>
        <v/>
      </c>
      <c r="AB70" s="6" t="inlineStr">
        <is>
          <t>Técnico 05</t>
        </is>
      </c>
      <c r="AC70" s="3">
        <f>IF($AB70="","",IFERROR(INDEX('ASIGNACIONES'!$F$4:$F$339,MATCH($O70&amp;"|"&amp;$R70&amp;"|"&amp;$AB70,'ASIGNACIONES'!$I$4:$I$339,0)),""))</f>
        <v/>
      </c>
      <c r="AD70" s="13">
        <f>IF($AB70="","",SUMIFS('ORDENES'!$L$4:$L$203,'ORDENES'!$AB$4:$AB$203,$AB70,'ORDENES'!$O$4:$O$203,$O70,'ORDENES'!$R$4:$R$203,$R70))</f>
        <v/>
      </c>
      <c r="AE70" s="13">
        <f>IF($AD70="","",p_factor_productividad*IFERROR(INDEX('ASIGNACIONES'!$H$4:$H$339,MATCH($O70&amp;"|"&amp;$R70&amp;"|"&amp;$AB70,'ASIGNACIONES'!$I$4:$I$339,0)),0)-$AD70)</f>
        <v/>
      </c>
      <c r="AF70" s="10">
        <f>IFERROR(INDEX('2_IMPORTAR_EJECUCION'!$G$9:$G$171,MATCH($C70,'2_IMPORTAR_EJECUCION'!$A$9:$A$171,0)),0)</f>
        <v/>
      </c>
      <c r="AG70" s="10">
        <f>MAX(0,IFERROR(INDEX('2_IMPORTAR_EJECUCION'!$I$9:$I$171,MATCH($C70,'2_IMPORTAR_EJECUCION'!$A$9:$A$171,0)),0)-$AF70)</f>
        <v/>
      </c>
      <c r="AH70" s="10">
        <f>$AF70+$AG70</f>
        <v/>
      </c>
      <c r="AI70" s="6" t="inlineStr"/>
      <c r="AJ70" s="6" t="inlineStr"/>
      <c r="AK70" s="6" t="inlineStr"/>
      <c r="AL70" s="3">
        <f>IF($AK70="","",HYPERLINK(p_ruta_base_checklists&amp;$AK70,"abrir"))</f>
        <v/>
      </c>
      <c r="AM70" s="6" t="inlineStr"/>
    </row>
    <row r="71">
      <c r="A71" s="3" t="inlineStr">
        <is>
          <t>OT-000068</t>
        </is>
      </c>
      <c r="B71" s="3" t="inlineStr">
        <is>
          <t>0010</t>
        </is>
      </c>
      <c r="C71" s="3">
        <f>$A71&amp;IF($B71="","0010",$B71)</f>
        <v/>
      </c>
      <c r="D71" s="3" t="inlineStr">
        <is>
          <t>Reparación de falla — EQ-106</t>
        </is>
      </c>
      <c r="E71" s="3" t="inlineStr">
        <is>
          <t>Reparación de falla en EQ-106</t>
        </is>
      </c>
      <c r="F71" s="3" t="inlineStr">
        <is>
          <t>EQ-106</t>
        </is>
      </c>
      <c r="G71" s="3" t="inlineStr">
        <is>
          <t>CC-220</t>
        </is>
      </c>
      <c r="H71" s="3" t="inlineStr">
        <is>
          <t>PU-ELE</t>
        </is>
      </c>
      <c r="I71" s="3" t="inlineStr">
        <is>
          <t>ACT-03</t>
        </is>
      </c>
      <c r="J71" s="3" t="inlineStr">
        <is>
          <t>TIPO-C1</t>
        </is>
      </c>
      <c r="K71" s="11" t="n">
        <v>46225</v>
      </c>
      <c r="L71" s="3" t="n">
        <v>10</v>
      </c>
      <c r="M71" s="10" t="n">
        <v>400</v>
      </c>
      <c r="N71" s="3">
        <f>IFERROR(INDEX('CAT_ESTADOS_ERP'!$B$4:$B$7,MATCH(IFERROR(INDEX('2_IMPORTAR_EJECUCION'!$D$9:$D$171,MATCH($C71,'2_IMPORTAR_EJECUCION'!$A$9:$A$171,0)),""),'CAT_ESTADOS_ERP'!$A$4:$A$7,0)),"Pendiente")</f>
        <v/>
      </c>
      <c r="O71" s="3">
        <f>IF($K71="","","S"&amp;IF(_xlfn.ISOWEEKNUM($K71)=53,1,_xlfn.ISOWEEKNUM($K71)))</f>
        <v/>
      </c>
      <c r="P71" s="3">
        <f>IF($K71="","",YEAR($K71))</f>
        <v/>
      </c>
      <c r="Q71" s="3">
        <f>IF($K71="","",MONTH($K71))</f>
        <v/>
      </c>
      <c r="R71" s="3">
        <f>IF($K71="","",INDEX(lista_dias,WEEKDAY($K71,2)))</f>
        <v/>
      </c>
      <c r="S71" s="3">
        <f>IFERROR(INDEX('CAT_TIPOS_OT'!$C$4:$C$7,MATCH($J71,'CAT_TIPOS_OT'!$A$4:$A$7,0)),"sin_clasificar")</f>
        <v/>
      </c>
      <c r="T71" s="3">
        <f>IFERROR(INDEX('CAT_CENTROS_COSTO'!$E$4:$E$9,MATCH($G71,'CAT_CENTROS_COSTO'!$A$4:$A$9,0)),"(sin catálogo)")</f>
        <v/>
      </c>
      <c r="U71" s="3">
        <f>IFERROR(INDEX('CAT_CENTROS_COSTO'!$D$4:$D$9,MATCH($G71,'CAT_CENTROS_COSTO'!$A$4:$A$9,0)),"(sin catálogo)")</f>
        <v/>
      </c>
      <c r="V71" s="3">
        <f>IFERROR(INDEX('CAT_CENTROS_COSTO'!$F$4:$F$9,MATCH($G71,'CAT_CENTROS_COSTO'!$A$4:$A$9,0)),"(sin catálogo)")</f>
        <v/>
      </c>
      <c r="W71" s="3">
        <f>IFERROR(INDEX('CAT_PUESTOS'!$B$4:$B$8,MATCH($H71,'CAT_PUESTOS'!$A$4:$A$8,0)),"(sin catálogo)")</f>
        <v/>
      </c>
      <c r="X71" s="3">
        <f>IFERROR(INDEX('CAT_ACTIVIDADES'!$B$4:$B$8,MATCH($I71,'CAT_ACTIVIDADES'!$A$4:$A$8,0)),"(sin catálogo)")</f>
        <v/>
      </c>
      <c r="Y71" s="12">
        <f>IF($K71="","",TODAY()-$K71)</f>
        <v/>
      </c>
      <c r="Z71" s="3">
        <f>IF($Y71="","",IF($Y71&lt;0,"FUTURO",IF($Y71&gt;p_dias_backlog_max,"BACKLOG","MES CORRIENTE")))</f>
        <v/>
      </c>
      <c r="AA71" s="3">
        <f>IF($Y71="",FALSE,AND($Y71&gt;p_dias_backlog_min,$Y71&lt;=p_dias_backlog_max))</f>
        <v/>
      </c>
      <c r="AB71" s="6" t="inlineStr">
        <is>
          <t>Técnico 06</t>
        </is>
      </c>
      <c r="AC71" s="3">
        <f>IF($AB71="","",IFERROR(INDEX('ASIGNACIONES'!$F$4:$F$339,MATCH($O71&amp;"|"&amp;$R71&amp;"|"&amp;$AB71,'ASIGNACIONES'!$I$4:$I$339,0)),""))</f>
        <v/>
      </c>
      <c r="AD71" s="13">
        <f>IF($AB71="","",SUMIFS('ORDENES'!$L$4:$L$203,'ORDENES'!$AB$4:$AB$203,$AB71,'ORDENES'!$O$4:$O$203,$O71,'ORDENES'!$R$4:$R$203,$R71))</f>
        <v/>
      </c>
      <c r="AE71" s="13">
        <f>IF($AD71="","",p_factor_productividad*IFERROR(INDEX('ASIGNACIONES'!$H$4:$H$339,MATCH($O71&amp;"|"&amp;$R71&amp;"|"&amp;$AB71,'ASIGNACIONES'!$I$4:$I$339,0)),0)-$AD71)</f>
        <v/>
      </c>
      <c r="AF71" s="10">
        <f>IFERROR(INDEX('2_IMPORTAR_EJECUCION'!$G$9:$G$171,MATCH($C71,'2_IMPORTAR_EJECUCION'!$A$9:$A$171,0)),0)</f>
        <v/>
      </c>
      <c r="AG71" s="10">
        <f>MAX(0,IFERROR(INDEX('2_IMPORTAR_EJECUCION'!$I$9:$I$171,MATCH($C71,'2_IMPORTAR_EJECUCION'!$A$9:$A$171,0)),0)-$AF71)</f>
        <v/>
      </c>
      <c r="AH71" s="10">
        <f>$AF71+$AG71</f>
        <v/>
      </c>
      <c r="AI71" s="6" t="inlineStr">
        <is>
          <t>PT-CALIENTE</t>
        </is>
      </c>
      <c r="AJ71" s="6" t="inlineStr">
        <is>
          <t>LOTO</t>
        </is>
      </c>
      <c r="AK71" s="6" t="inlineStr"/>
      <c r="AL71" s="3">
        <f>IF($AK71="","",HYPERLINK(p_ruta_base_checklists&amp;$AK71,"abrir"))</f>
        <v/>
      </c>
      <c r="AM71" s="6" t="inlineStr"/>
    </row>
    <row r="72">
      <c r="A72" s="3" t="inlineStr">
        <is>
          <t>OT-000069</t>
        </is>
      </c>
      <c r="B72" s="3" t="inlineStr">
        <is>
          <t>0010</t>
        </is>
      </c>
      <c r="C72" s="3">
        <f>$A72&amp;IF($B72="","0010",$B72)</f>
        <v/>
      </c>
      <c r="D72" s="3" t="inlineStr">
        <is>
          <t>Inspección de rutina — EQ-105</t>
        </is>
      </c>
      <c r="E72" s="3" t="inlineStr">
        <is>
          <t>Inspección de rutina en EQ-105</t>
        </is>
      </c>
      <c r="F72" s="3" t="inlineStr">
        <is>
          <t>EQ-105</t>
        </is>
      </c>
      <c r="G72" s="3" t="inlineStr">
        <is>
          <t>CC-120</t>
        </is>
      </c>
      <c r="H72" s="3" t="inlineStr">
        <is>
          <t>PU-ELE</t>
        </is>
      </c>
      <c r="I72" s="3" t="inlineStr">
        <is>
          <t>ACT-01</t>
        </is>
      </c>
      <c r="J72" s="3" t="inlineStr">
        <is>
          <t>TIPO-P2</t>
        </is>
      </c>
      <c r="K72" s="11" t="n">
        <v>46233</v>
      </c>
      <c r="L72" s="3" t="n">
        <v>10</v>
      </c>
      <c r="M72" s="10" t="n">
        <v>250</v>
      </c>
      <c r="N72" s="3">
        <f>IFERROR(INDEX('CAT_ESTADOS_ERP'!$B$4:$B$7,MATCH(IFERROR(INDEX('2_IMPORTAR_EJECUCION'!$D$9:$D$171,MATCH($C72,'2_IMPORTAR_EJECUCION'!$A$9:$A$171,0)),""),'CAT_ESTADOS_ERP'!$A$4:$A$7,0)),"Pendiente")</f>
        <v/>
      </c>
      <c r="O72" s="3">
        <f>IF($K72="","","S"&amp;IF(_xlfn.ISOWEEKNUM($K72)=53,1,_xlfn.ISOWEEKNUM($K72)))</f>
        <v/>
      </c>
      <c r="P72" s="3">
        <f>IF($K72="","",YEAR($K72))</f>
        <v/>
      </c>
      <c r="Q72" s="3">
        <f>IF($K72="","",MONTH($K72))</f>
        <v/>
      </c>
      <c r="R72" s="3">
        <f>IF($K72="","",INDEX(lista_dias,WEEKDAY($K72,2)))</f>
        <v/>
      </c>
      <c r="S72" s="3">
        <f>IFERROR(INDEX('CAT_TIPOS_OT'!$C$4:$C$7,MATCH($J72,'CAT_TIPOS_OT'!$A$4:$A$7,0)),"sin_clasificar")</f>
        <v/>
      </c>
      <c r="T72" s="3">
        <f>IFERROR(INDEX('CAT_CENTROS_COSTO'!$E$4:$E$9,MATCH($G72,'CAT_CENTROS_COSTO'!$A$4:$A$9,0)),"(sin catálogo)")</f>
        <v/>
      </c>
      <c r="U72" s="3">
        <f>IFERROR(INDEX('CAT_CENTROS_COSTO'!$D$4:$D$9,MATCH($G72,'CAT_CENTROS_COSTO'!$A$4:$A$9,0)),"(sin catálogo)")</f>
        <v/>
      </c>
      <c r="V72" s="3">
        <f>IFERROR(INDEX('CAT_CENTROS_COSTO'!$F$4:$F$9,MATCH($G72,'CAT_CENTROS_COSTO'!$A$4:$A$9,0)),"(sin catálogo)")</f>
        <v/>
      </c>
      <c r="W72" s="3">
        <f>IFERROR(INDEX('CAT_PUESTOS'!$B$4:$B$8,MATCH($H72,'CAT_PUESTOS'!$A$4:$A$8,0)),"(sin catálogo)")</f>
        <v/>
      </c>
      <c r="X72" s="3">
        <f>IFERROR(INDEX('CAT_ACTIVIDADES'!$B$4:$B$8,MATCH($I72,'CAT_ACTIVIDADES'!$A$4:$A$8,0)),"(sin catálogo)")</f>
        <v/>
      </c>
      <c r="Y72" s="12">
        <f>IF($K72="","",TODAY()-$K72)</f>
        <v/>
      </c>
      <c r="Z72" s="3">
        <f>IF($Y72="","",IF($Y72&lt;0,"FUTURO",IF($Y72&gt;p_dias_backlog_max,"BACKLOG","MES CORRIENTE")))</f>
        <v/>
      </c>
      <c r="AA72" s="3">
        <f>IF($Y72="",FALSE,AND($Y72&gt;p_dias_backlog_min,$Y72&lt;=p_dias_backlog_max))</f>
        <v/>
      </c>
      <c r="AB72" s="6" t="inlineStr">
        <is>
          <t>Técnico 07</t>
        </is>
      </c>
      <c r="AC72" s="3">
        <f>IF($AB72="","",IFERROR(INDEX('ASIGNACIONES'!$F$4:$F$339,MATCH($O72&amp;"|"&amp;$R72&amp;"|"&amp;$AB72,'ASIGNACIONES'!$I$4:$I$339,0)),""))</f>
        <v/>
      </c>
      <c r="AD72" s="13">
        <f>IF($AB72="","",SUMIFS('ORDENES'!$L$4:$L$203,'ORDENES'!$AB$4:$AB$203,$AB72,'ORDENES'!$O$4:$O$203,$O72,'ORDENES'!$R$4:$R$203,$R72))</f>
        <v/>
      </c>
      <c r="AE72" s="13">
        <f>IF($AD72="","",p_factor_productividad*IFERROR(INDEX('ASIGNACIONES'!$H$4:$H$339,MATCH($O72&amp;"|"&amp;$R72&amp;"|"&amp;$AB72,'ASIGNACIONES'!$I$4:$I$339,0)),0)-$AD72)</f>
        <v/>
      </c>
      <c r="AF72" s="10">
        <f>IFERROR(INDEX('2_IMPORTAR_EJECUCION'!$G$9:$G$171,MATCH($C72,'2_IMPORTAR_EJECUCION'!$A$9:$A$171,0)),0)</f>
        <v/>
      </c>
      <c r="AG72" s="10">
        <f>MAX(0,IFERROR(INDEX('2_IMPORTAR_EJECUCION'!$I$9:$I$171,MATCH($C72,'2_IMPORTAR_EJECUCION'!$A$9:$A$171,0)),0)-$AF72)</f>
        <v/>
      </c>
      <c r="AH72" s="10">
        <f>$AF72+$AG72</f>
        <v/>
      </c>
      <c r="AI72" s="6" t="inlineStr"/>
      <c r="AJ72" s="6" t="inlineStr"/>
      <c r="AK72" s="6" t="inlineStr">
        <is>
          <t>ACT-01.pdf</t>
        </is>
      </c>
      <c r="AL72" s="3">
        <f>IF($AK72="","",HYPERLINK(p_ruta_base_checklists&amp;$AK72,"abrir"))</f>
        <v/>
      </c>
      <c r="AM72" s="6" t="inlineStr"/>
    </row>
    <row r="73">
      <c r="A73" s="3" t="inlineStr">
        <is>
          <t>OT-000070</t>
        </is>
      </c>
      <c r="B73" s="3" t="inlineStr">
        <is>
          <t>0010</t>
        </is>
      </c>
      <c r="C73" s="3">
        <f>$A73&amp;IF($B73="","0010",$B73)</f>
        <v/>
      </c>
      <c r="D73" s="3" t="inlineStr">
        <is>
          <t>Lubricación programada — EQ-108</t>
        </is>
      </c>
      <c r="E73" s="3" t="inlineStr">
        <is>
          <t>Lubricación programada en EQ-108</t>
        </is>
      </c>
      <c r="F73" s="3" t="inlineStr">
        <is>
          <t>EQ-108</t>
        </is>
      </c>
      <c r="G73" s="3" t="inlineStr">
        <is>
          <t>CC-220</t>
        </is>
      </c>
      <c r="H73" s="3" t="inlineStr">
        <is>
          <t>PU-ELE</t>
        </is>
      </c>
      <c r="I73" s="3" t="inlineStr">
        <is>
          <t>ACT-02</t>
        </is>
      </c>
      <c r="J73" s="3" t="inlineStr">
        <is>
          <t>TIPO-P1</t>
        </is>
      </c>
      <c r="K73" s="11" t="n">
        <v>46234</v>
      </c>
      <c r="L73" s="3" t="n">
        <v>8</v>
      </c>
      <c r="M73" s="10" t="n">
        <v>200</v>
      </c>
      <c r="N73" s="3">
        <f>IFERROR(INDEX('CAT_ESTADOS_ERP'!$B$4:$B$7,MATCH(IFERROR(INDEX('2_IMPORTAR_EJECUCION'!$D$9:$D$171,MATCH($C73,'2_IMPORTAR_EJECUCION'!$A$9:$A$171,0)),""),'CAT_ESTADOS_ERP'!$A$4:$A$7,0)),"Pendiente")</f>
        <v/>
      </c>
      <c r="O73" s="3">
        <f>IF($K73="","","S"&amp;IF(_xlfn.ISOWEEKNUM($K73)=53,1,_xlfn.ISOWEEKNUM($K73)))</f>
        <v/>
      </c>
      <c r="P73" s="3">
        <f>IF($K73="","",YEAR($K73))</f>
        <v/>
      </c>
      <c r="Q73" s="3">
        <f>IF($K73="","",MONTH($K73))</f>
        <v/>
      </c>
      <c r="R73" s="3">
        <f>IF($K73="","",INDEX(lista_dias,WEEKDAY($K73,2)))</f>
        <v/>
      </c>
      <c r="S73" s="3">
        <f>IFERROR(INDEX('CAT_TIPOS_OT'!$C$4:$C$7,MATCH($J73,'CAT_TIPOS_OT'!$A$4:$A$7,0)),"sin_clasificar")</f>
        <v/>
      </c>
      <c r="T73" s="3">
        <f>IFERROR(INDEX('CAT_CENTROS_COSTO'!$E$4:$E$9,MATCH($G73,'CAT_CENTROS_COSTO'!$A$4:$A$9,0)),"(sin catálogo)")</f>
        <v/>
      </c>
      <c r="U73" s="3">
        <f>IFERROR(INDEX('CAT_CENTROS_COSTO'!$D$4:$D$9,MATCH($G73,'CAT_CENTROS_COSTO'!$A$4:$A$9,0)),"(sin catálogo)")</f>
        <v/>
      </c>
      <c r="V73" s="3">
        <f>IFERROR(INDEX('CAT_CENTROS_COSTO'!$F$4:$F$9,MATCH($G73,'CAT_CENTROS_COSTO'!$A$4:$A$9,0)),"(sin catálogo)")</f>
        <v/>
      </c>
      <c r="W73" s="3">
        <f>IFERROR(INDEX('CAT_PUESTOS'!$B$4:$B$8,MATCH($H73,'CAT_PUESTOS'!$A$4:$A$8,0)),"(sin catálogo)")</f>
        <v/>
      </c>
      <c r="X73" s="3">
        <f>IFERROR(INDEX('CAT_ACTIVIDADES'!$B$4:$B$8,MATCH($I73,'CAT_ACTIVIDADES'!$A$4:$A$8,0)),"(sin catálogo)")</f>
        <v/>
      </c>
      <c r="Y73" s="12">
        <f>IF($K73="","",TODAY()-$K73)</f>
        <v/>
      </c>
      <c r="Z73" s="3">
        <f>IF($Y73="","",IF($Y73&lt;0,"FUTURO",IF($Y73&gt;p_dias_backlog_max,"BACKLOG","MES CORRIENTE")))</f>
        <v/>
      </c>
      <c r="AA73" s="3">
        <f>IF($Y73="",FALSE,AND($Y73&gt;p_dias_backlog_min,$Y73&lt;=p_dias_backlog_max))</f>
        <v/>
      </c>
      <c r="AB73" s="6" t="inlineStr">
        <is>
          <t>Técnico 05</t>
        </is>
      </c>
      <c r="AC73" s="3">
        <f>IF($AB73="","",IFERROR(INDEX('ASIGNACIONES'!$F$4:$F$339,MATCH($O73&amp;"|"&amp;$R73&amp;"|"&amp;$AB73,'ASIGNACIONES'!$I$4:$I$339,0)),""))</f>
        <v/>
      </c>
      <c r="AD73" s="13">
        <f>IF($AB73="","",SUMIFS('ORDENES'!$L$4:$L$203,'ORDENES'!$AB$4:$AB$203,$AB73,'ORDENES'!$O$4:$O$203,$O73,'ORDENES'!$R$4:$R$203,$R73))</f>
        <v/>
      </c>
      <c r="AE73" s="13">
        <f>IF($AD73="","",p_factor_productividad*IFERROR(INDEX('ASIGNACIONES'!$H$4:$H$339,MATCH($O73&amp;"|"&amp;$R73&amp;"|"&amp;$AB73,'ASIGNACIONES'!$I$4:$I$339,0)),0)-$AD73)</f>
        <v/>
      </c>
      <c r="AF73" s="10">
        <f>IFERROR(INDEX('2_IMPORTAR_EJECUCION'!$G$9:$G$171,MATCH($C73,'2_IMPORTAR_EJECUCION'!$A$9:$A$171,0)),0)</f>
        <v/>
      </c>
      <c r="AG73" s="10">
        <f>MAX(0,IFERROR(INDEX('2_IMPORTAR_EJECUCION'!$I$9:$I$171,MATCH($C73,'2_IMPORTAR_EJECUCION'!$A$9:$A$171,0)),0)-$AF73)</f>
        <v/>
      </c>
      <c r="AH73" s="10">
        <f>$AF73+$AG73</f>
        <v/>
      </c>
      <c r="AI73" s="6" t="inlineStr"/>
      <c r="AJ73" s="6" t="inlineStr"/>
      <c r="AK73" s="6" t="inlineStr">
        <is>
          <t>ACT-02.pdf</t>
        </is>
      </c>
      <c r="AL73" s="3">
        <f>IF($AK73="","",HYPERLINK(p_ruta_base_checklists&amp;$AK73,"abrir"))</f>
        <v/>
      </c>
      <c r="AM73" s="6" t="inlineStr"/>
    </row>
    <row r="74">
      <c r="A74" s="3" t="inlineStr">
        <is>
          <t>OT-000071</t>
        </is>
      </c>
      <c r="B74" s="3" t="inlineStr">
        <is>
          <t>0010</t>
        </is>
      </c>
      <c r="C74" s="3">
        <f>$A74&amp;IF($B74="","0010",$B74)</f>
        <v/>
      </c>
      <c r="D74" s="3" t="inlineStr">
        <is>
          <t>Análisis predictivo — EQ-102</t>
        </is>
      </c>
      <c r="E74" s="3" t="inlineStr">
        <is>
          <t>Análisis predictivo en EQ-102</t>
        </is>
      </c>
      <c r="F74" s="3" t="inlineStr">
        <is>
          <t>EQ-102</t>
        </is>
      </c>
      <c r="G74" s="3" t="inlineStr">
        <is>
          <t>CC-120</t>
        </is>
      </c>
      <c r="H74" s="3" t="inlineStr">
        <is>
          <t>PU-ELE</t>
        </is>
      </c>
      <c r="I74" s="3" t="inlineStr">
        <is>
          <t>ACT-04</t>
        </is>
      </c>
      <c r="J74" s="3" t="inlineStr">
        <is>
          <t>TIPO-P2</t>
        </is>
      </c>
      <c r="K74" s="11" t="n">
        <v>46230</v>
      </c>
      <c r="L74" s="3" t="n">
        <v>6</v>
      </c>
      <c r="M74" s="10" t="n">
        <v>150</v>
      </c>
      <c r="N74" s="3">
        <f>IFERROR(INDEX('CAT_ESTADOS_ERP'!$B$4:$B$7,MATCH(IFERROR(INDEX('2_IMPORTAR_EJECUCION'!$D$9:$D$171,MATCH($C74,'2_IMPORTAR_EJECUCION'!$A$9:$A$171,0)),""),'CAT_ESTADOS_ERP'!$A$4:$A$7,0)),"Pendiente")</f>
        <v/>
      </c>
      <c r="O74" s="3">
        <f>IF($K74="","","S"&amp;IF(_xlfn.ISOWEEKNUM($K74)=53,1,_xlfn.ISOWEEKNUM($K74)))</f>
        <v/>
      </c>
      <c r="P74" s="3">
        <f>IF($K74="","",YEAR($K74))</f>
        <v/>
      </c>
      <c r="Q74" s="3">
        <f>IF($K74="","",MONTH($K74))</f>
        <v/>
      </c>
      <c r="R74" s="3">
        <f>IF($K74="","",INDEX(lista_dias,WEEKDAY($K74,2)))</f>
        <v/>
      </c>
      <c r="S74" s="3">
        <f>IFERROR(INDEX('CAT_TIPOS_OT'!$C$4:$C$7,MATCH($J74,'CAT_TIPOS_OT'!$A$4:$A$7,0)),"sin_clasificar")</f>
        <v/>
      </c>
      <c r="T74" s="3">
        <f>IFERROR(INDEX('CAT_CENTROS_COSTO'!$E$4:$E$9,MATCH($G74,'CAT_CENTROS_COSTO'!$A$4:$A$9,0)),"(sin catálogo)")</f>
        <v/>
      </c>
      <c r="U74" s="3">
        <f>IFERROR(INDEX('CAT_CENTROS_COSTO'!$D$4:$D$9,MATCH($G74,'CAT_CENTROS_COSTO'!$A$4:$A$9,0)),"(sin catálogo)")</f>
        <v/>
      </c>
      <c r="V74" s="3">
        <f>IFERROR(INDEX('CAT_CENTROS_COSTO'!$F$4:$F$9,MATCH($G74,'CAT_CENTROS_COSTO'!$A$4:$A$9,0)),"(sin catálogo)")</f>
        <v/>
      </c>
      <c r="W74" s="3">
        <f>IFERROR(INDEX('CAT_PUESTOS'!$B$4:$B$8,MATCH($H74,'CAT_PUESTOS'!$A$4:$A$8,0)),"(sin catálogo)")</f>
        <v/>
      </c>
      <c r="X74" s="3">
        <f>IFERROR(INDEX('CAT_ACTIVIDADES'!$B$4:$B$8,MATCH($I74,'CAT_ACTIVIDADES'!$A$4:$A$8,0)),"(sin catálogo)")</f>
        <v/>
      </c>
      <c r="Y74" s="12">
        <f>IF($K74="","",TODAY()-$K74)</f>
        <v/>
      </c>
      <c r="Z74" s="3">
        <f>IF($Y74="","",IF($Y74&lt;0,"FUTURO",IF($Y74&gt;p_dias_backlog_max,"BACKLOG","MES CORRIENTE")))</f>
        <v/>
      </c>
      <c r="AA74" s="3">
        <f>IF($Y74="",FALSE,AND($Y74&gt;p_dias_backlog_min,$Y74&lt;=p_dias_backlog_max))</f>
        <v/>
      </c>
      <c r="AB74" s="6" t="inlineStr">
        <is>
          <t>Técnico 06</t>
        </is>
      </c>
      <c r="AC74" s="3">
        <f>IF($AB74="","",IFERROR(INDEX('ASIGNACIONES'!$F$4:$F$339,MATCH($O74&amp;"|"&amp;$R74&amp;"|"&amp;$AB74,'ASIGNACIONES'!$I$4:$I$339,0)),""))</f>
        <v/>
      </c>
      <c r="AD74" s="13">
        <f>IF($AB74="","",SUMIFS('ORDENES'!$L$4:$L$203,'ORDENES'!$AB$4:$AB$203,$AB74,'ORDENES'!$O$4:$O$203,$O74,'ORDENES'!$R$4:$R$203,$R74))</f>
        <v/>
      </c>
      <c r="AE74" s="13">
        <f>IF($AD74="","",p_factor_productividad*IFERROR(INDEX('ASIGNACIONES'!$H$4:$H$339,MATCH($O74&amp;"|"&amp;$R74&amp;"|"&amp;$AB74,'ASIGNACIONES'!$I$4:$I$339,0)),0)-$AD74)</f>
        <v/>
      </c>
      <c r="AF74" s="10">
        <f>IFERROR(INDEX('2_IMPORTAR_EJECUCION'!$G$9:$G$171,MATCH($C74,'2_IMPORTAR_EJECUCION'!$A$9:$A$171,0)),0)</f>
        <v/>
      </c>
      <c r="AG74" s="10">
        <f>MAX(0,IFERROR(INDEX('2_IMPORTAR_EJECUCION'!$I$9:$I$171,MATCH($C74,'2_IMPORTAR_EJECUCION'!$A$9:$A$171,0)),0)-$AF74)</f>
        <v/>
      </c>
      <c r="AH74" s="10">
        <f>$AF74+$AG74</f>
        <v/>
      </c>
      <c r="AI74" s="6" t="inlineStr"/>
      <c r="AJ74" s="6" t="inlineStr"/>
      <c r="AK74" s="6" t="inlineStr">
        <is>
          <t>ACT-04.pdf</t>
        </is>
      </c>
      <c r="AL74" s="3">
        <f>IF($AK74="","",HYPERLINK(p_ruta_base_checklists&amp;$AK74,"abrir"))</f>
        <v/>
      </c>
      <c r="AM74" s="6" t="inlineStr"/>
    </row>
    <row r="75">
      <c r="A75" s="3" t="inlineStr">
        <is>
          <t>OT-000072</t>
        </is>
      </c>
      <c r="B75" s="3" t="inlineStr">
        <is>
          <t>0010</t>
        </is>
      </c>
      <c r="C75" s="3">
        <f>$A75&amp;IF($B75="","0010",$B75)</f>
        <v/>
      </c>
      <c r="D75" s="3" t="inlineStr">
        <is>
          <t>Inspección de rutina — EQ-106</t>
        </is>
      </c>
      <c r="E75" s="3" t="inlineStr">
        <is>
          <t>Inspección de rutina en EQ-106</t>
        </is>
      </c>
      <c r="F75" s="3" t="inlineStr">
        <is>
          <t>EQ-106</t>
        </is>
      </c>
      <c r="G75" s="3" t="inlineStr">
        <is>
          <t>CC-220</t>
        </is>
      </c>
      <c r="H75" s="3" t="inlineStr">
        <is>
          <t>PU-ELE</t>
        </is>
      </c>
      <c r="I75" s="3" t="inlineStr">
        <is>
          <t>ACT-01</t>
        </is>
      </c>
      <c r="J75" s="3" t="inlineStr">
        <is>
          <t>TIPO-P1</t>
        </is>
      </c>
      <c r="K75" s="11" t="n">
        <v>46231</v>
      </c>
      <c r="L75" s="3" t="n">
        <v>10</v>
      </c>
      <c r="M75" s="10" t="n">
        <v>250</v>
      </c>
      <c r="N75" s="3">
        <f>IFERROR(INDEX('CAT_ESTADOS_ERP'!$B$4:$B$7,MATCH(IFERROR(INDEX('2_IMPORTAR_EJECUCION'!$D$9:$D$171,MATCH($C75,'2_IMPORTAR_EJECUCION'!$A$9:$A$171,0)),""),'CAT_ESTADOS_ERP'!$A$4:$A$7,0)),"Pendiente")</f>
        <v/>
      </c>
      <c r="O75" s="3">
        <f>IF($K75="","","S"&amp;IF(_xlfn.ISOWEEKNUM($K75)=53,1,_xlfn.ISOWEEKNUM($K75)))</f>
        <v/>
      </c>
      <c r="P75" s="3">
        <f>IF($K75="","",YEAR($K75))</f>
        <v/>
      </c>
      <c r="Q75" s="3">
        <f>IF($K75="","",MONTH($K75))</f>
        <v/>
      </c>
      <c r="R75" s="3">
        <f>IF($K75="","",INDEX(lista_dias,WEEKDAY($K75,2)))</f>
        <v/>
      </c>
      <c r="S75" s="3">
        <f>IFERROR(INDEX('CAT_TIPOS_OT'!$C$4:$C$7,MATCH($J75,'CAT_TIPOS_OT'!$A$4:$A$7,0)),"sin_clasificar")</f>
        <v/>
      </c>
      <c r="T75" s="3">
        <f>IFERROR(INDEX('CAT_CENTROS_COSTO'!$E$4:$E$9,MATCH($G75,'CAT_CENTROS_COSTO'!$A$4:$A$9,0)),"(sin catálogo)")</f>
        <v/>
      </c>
      <c r="U75" s="3">
        <f>IFERROR(INDEX('CAT_CENTROS_COSTO'!$D$4:$D$9,MATCH($G75,'CAT_CENTROS_COSTO'!$A$4:$A$9,0)),"(sin catálogo)")</f>
        <v/>
      </c>
      <c r="V75" s="3">
        <f>IFERROR(INDEX('CAT_CENTROS_COSTO'!$F$4:$F$9,MATCH($G75,'CAT_CENTROS_COSTO'!$A$4:$A$9,0)),"(sin catálogo)")</f>
        <v/>
      </c>
      <c r="W75" s="3">
        <f>IFERROR(INDEX('CAT_PUESTOS'!$B$4:$B$8,MATCH($H75,'CAT_PUESTOS'!$A$4:$A$8,0)),"(sin catálogo)")</f>
        <v/>
      </c>
      <c r="X75" s="3">
        <f>IFERROR(INDEX('CAT_ACTIVIDADES'!$B$4:$B$8,MATCH($I75,'CAT_ACTIVIDADES'!$A$4:$A$8,0)),"(sin catálogo)")</f>
        <v/>
      </c>
      <c r="Y75" s="12">
        <f>IF($K75="","",TODAY()-$K75)</f>
        <v/>
      </c>
      <c r="Z75" s="3">
        <f>IF($Y75="","",IF($Y75&lt;0,"FUTURO",IF($Y75&gt;p_dias_backlog_max,"BACKLOG","MES CORRIENTE")))</f>
        <v/>
      </c>
      <c r="AA75" s="3">
        <f>IF($Y75="",FALSE,AND($Y75&gt;p_dias_backlog_min,$Y75&lt;=p_dias_backlog_max))</f>
        <v/>
      </c>
      <c r="AB75" s="6" t="inlineStr"/>
      <c r="AC75" s="3">
        <f>IF($AB75="","",IFERROR(INDEX('ASIGNACIONES'!$F$4:$F$339,MATCH($O75&amp;"|"&amp;$R75&amp;"|"&amp;$AB75,'ASIGNACIONES'!$I$4:$I$339,0)),""))</f>
        <v/>
      </c>
      <c r="AD75" s="13">
        <f>IF($AB75="","",SUMIFS('ORDENES'!$L$4:$L$203,'ORDENES'!$AB$4:$AB$203,$AB75,'ORDENES'!$O$4:$O$203,$O75,'ORDENES'!$R$4:$R$203,$R75))</f>
        <v/>
      </c>
      <c r="AE75" s="13">
        <f>IF($AD75="","",p_factor_productividad*IFERROR(INDEX('ASIGNACIONES'!$H$4:$H$339,MATCH($O75&amp;"|"&amp;$R75&amp;"|"&amp;$AB75,'ASIGNACIONES'!$I$4:$I$339,0)),0)-$AD75)</f>
        <v/>
      </c>
      <c r="AF75" s="10">
        <f>IFERROR(INDEX('2_IMPORTAR_EJECUCION'!$G$9:$G$171,MATCH($C75,'2_IMPORTAR_EJECUCION'!$A$9:$A$171,0)),0)</f>
        <v/>
      </c>
      <c r="AG75" s="10">
        <f>MAX(0,IFERROR(INDEX('2_IMPORTAR_EJECUCION'!$I$9:$I$171,MATCH($C75,'2_IMPORTAR_EJECUCION'!$A$9:$A$171,0)),0)-$AF75)</f>
        <v/>
      </c>
      <c r="AH75" s="10">
        <f>$AF75+$AG75</f>
        <v/>
      </c>
      <c r="AI75" s="6" t="inlineStr"/>
      <c r="AJ75" s="6" t="inlineStr"/>
      <c r="AK75" s="6" t="inlineStr">
        <is>
          <t>ACT-01.pdf</t>
        </is>
      </c>
      <c r="AL75" s="3">
        <f>IF($AK75="","",HYPERLINK(p_ruta_base_checklists&amp;$AK75,"abrir"))</f>
        <v/>
      </c>
      <c r="AM75" s="6" t="inlineStr"/>
    </row>
    <row r="76">
      <c r="A76" s="3" t="inlineStr">
        <is>
          <t>OT-000073</t>
        </is>
      </c>
      <c r="B76" s="3" t="inlineStr">
        <is>
          <t>0010</t>
        </is>
      </c>
      <c r="C76" s="3">
        <f>$A76&amp;IF($B76="","0010",$B76)</f>
        <v/>
      </c>
      <c r="D76" s="3" t="inlineStr">
        <is>
          <t>Lubricación programada — EQ-104</t>
        </is>
      </c>
      <c r="E76" s="3" t="inlineStr">
        <is>
          <t>Lubricación programada en EQ-104</t>
        </is>
      </c>
      <c r="F76" s="3" t="inlineStr">
        <is>
          <t>EQ-104</t>
        </is>
      </c>
      <c r="G76" s="3" t="inlineStr">
        <is>
          <t>CC-120</t>
        </is>
      </c>
      <c r="H76" s="3" t="inlineStr">
        <is>
          <t>PU-ELE</t>
        </is>
      </c>
      <c r="I76" s="3" t="inlineStr">
        <is>
          <t>ACT-02</t>
        </is>
      </c>
      <c r="J76" s="3" t="inlineStr">
        <is>
          <t>TIPO-P2</t>
        </is>
      </c>
      <c r="K76" s="11" t="n">
        <v>46232</v>
      </c>
      <c r="L76" s="3" t="n">
        <v>8</v>
      </c>
      <c r="M76" s="10" t="n">
        <v>200</v>
      </c>
      <c r="N76" s="3">
        <f>IFERROR(INDEX('CAT_ESTADOS_ERP'!$B$4:$B$7,MATCH(IFERROR(INDEX('2_IMPORTAR_EJECUCION'!$D$9:$D$171,MATCH($C76,'2_IMPORTAR_EJECUCION'!$A$9:$A$171,0)),""),'CAT_ESTADOS_ERP'!$A$4:$A$7,0)),"Pendiente")</f>
        <v/>
      </c>
      <c r="O76" s="3">
        <f>IF($K76="","","S"&amp;IF(_xlfn.ISOWEEKNUM($K76)=53,1,_xlfn.ISOWEEKNUM($K76)))</f>
        <v/>
      </c>
      <c r="P76" s="3">
        <f>IF($K76="","",YEAR($K76))</f>
        <v/>
      </c>
      <c r="Q76" s="3">
        <f>IF($K76="","",MONTH($K76))</f>
        <v/>
      </c>
      <c r="R76" s="3">
        <f>IF($K76="","",INDEX(lista_dias,WEEKDAY($K76,2)))</f>
        <v/>
      </c>
      <c r="S76" s="3">
        <f>IFERROR(INDEX('CAT_TIPOS_OT'!$C$4:$C$7,MATCH($J76,'CAT_TIPOS_OT'!$A$4:$A$7,0)),"sin_clasificar")</f>
        <v/>
      </c>
      <c r="T76" s="3">
        <f>IFERROR(INDEX('CAT_CENTROS_COSTO'!$E$4:$E$9,MATCH($G76,'CAT_CENTROS_COSTO'!$A$4:$A$9,0)),"(sin catálogo)")</f>
        <v/>
      </c>
      <c r="U76" s="3">
        <f>IFERROR(INDEX('CAT_CENTROS_COSTO'!$D$4:$D$9,MATCH($G76,'CAT_CENTROS_COSTO'!$A$4:$A$9,0)),"(sin catálogo)")</f>
        <v/>
      </c>
      <c r="V76" s="3">
        <f>IFERROR(INDEX('CAT_CENTROS_COSTO'!$F$4:$F$9,MATCH($G76,'CAT_CENTROS_COSTO'!$A$4:$A$9,0)),"(sin catálogo)")</f>
        <v/>
      </c>
      <c r="W76" s="3">
        <f>IFERROR(INDEX('CAT_PUESTOS'!$B$4:$B$8,MATCH($H76,'CAT_PUESTOS'!$A$4:$A$8,0)),"(sin catálogo)")</f>
        <v/>
      </c>
      <c r="X76" s="3">
        <f>IFERROR(INDEX('CAT_ACTIVIDADES'!$B$4:$B$8,MATCH($I76,'CAT_ACTIVIDADES'!$A$4:$A$8,0)),"(sin catálogo)")</f>
        <v/>
      </c>
      <c r="Y76" s="12">
        <f>IF($K76="","",TODAY()-$K76)</f>
        <v/>
      </c>
      <c r="Z76" s="3">
        <f>IF($Y76="","",IF($Y76&lt;0,"FUTURO",IF($Y76&gt;p_dias_backlog_max,"BACKLOG","MES CORRIENTE")))</f>
        <v/>
      </c>
      <c r="AA76" s="3">
        <f>IF($Y76="",FALSE,AND($Y76&gt;p_dias_backlog_min,$Y76&lt;=p_dias_backlog_max))</f>
        <v/>
      </c>
      <c r="AB76" s="6" t="inlineStr">
        <is>
          <t>Técnico 05</t>
        </is>
      </c>
      <c r="AC76" s="3">
        <f>IF($AB76="","",IFERROR(INDEX('ASIGNACIONES'!$F$4:$F$339,MATCH($O76&amp;"|"&amp;$R76&amp;"|"&amp;$AB76,'ASIGNACIONES'!$I$4:$I$339,0)),""))</f>
        <v/>
      </c>
      <c r="AD76" s="13">
        <f>IF($AB76="","",SUMIFS('ORDENES'!$L$4:$L$203,'ORDENES'!$AB$4:$AB$203,$AB76,'ORDENES'!$O$4:$O$203,$O76,'ORDENES'!$R$4:$R$203,$R76))</f>
        <v/>
      </c>
      <c r="AE76" s="13">
        <f>IF($AD76="","",p_factor_productividad*IFERROR(INDEX('ASIGNACIONES'!$H$4:$H$339,MATCH($O76&amp;"|"&amp;$R76&amp;"|"&amp;$AB76,'ASIGNACIONES'!$I$4:$I$339,0)),0)-$AD76)</f>
        <v/>
      </c>
      <c r="AF76" s="10">
        <f>IFERROR(INDEX('2_IMPORTAR_EJECUCION'!$G$9:$G$171,MATCH($C76,'2_IMPORTAR_EJECUCION'!$A$9:$A$171,0)),0)</f>
        <v/>
      </c>
      <c r="AG76" s="10">
        <f>MAX(0,IFERROR(INDEX('2_IMPORTAR_EJECUCION'!$I$9:$I$171,MATCH($C76,'2_IMPORTAR_EJECUCION'!$A$9:$A$171,0)),0)-$AF76)</f>
        <v/>
      </c>
      <c r="AH76" s="10">
        <f>$AF76+$AG76</f>
        <v/>
      </c>
      <c r="AI76" s="6" t="inlineStr"/>
      <c r="AJ76" s="6" t="inlineStr"/>
      <c r="AK76" s="6" t="inlineStr">
        <is>
          <t>ACT-02.pdf</t>
        </is>
      </c>
      <c r="AL76" s="3">
        <f>IF($AK76="","",HYPERLINK(p_ruta_base_checklists&amp;$AK76,"abrir"))</f>
        <v/>
      </c>
      <c r="AM76" s="6" t="inlineStr"/>
    </row>
    <row r="77">
      <c r="A77" s="3" t="inlineStr">
        <is>
          <t>OT-000074</t>
        </is>
      </c>
      <c r="B77" s="3" t="inlineStr">
        <is>
          <t>0010</t>
        </is>
      </c>
      <c r="C77" s="3">
        <f>$A77&amp;IF($B77="","0010",$B77)</f>
        <v/>
      </c>
      <c r="D77" s="3" t="inlineStr">
        <is>
          <t>Análisis predictivo — EQ-108</t>
        </is>
      </c>
      <c r="E77" s="3" t="inlineStr">
        <is>
          <t>Análisis predictivo en EQ-108</t>
        </is>
      </c>
      <c r="F77" s="3" t="inlineStr">
        <is>
          <t>EQ-108</t>
        </is>
      </c>
      <c r="G77" s="3" t="inlineStr">
        <is>
          <t>CC-220</t>
        </is>
      </c>
      <c r="H77" s="3" t="inlineStr">
        <is>
          <t>PU-ELE</t>
        </is>
      </c>
      <c r="I77" s="3" t="inlineStr">
        <is>
          <t>ACT-04</t>
        </is>
      </c>
      <c r="J77" s="3" t="inlineStr">
        <is>
          <t>TIPO-P1</t>
        </is>
      </c>
      <c r="K77" s="11" t="n">
        <v>46233</v>
      </c>
      <c r="L77" s="3" t="n">
        <v>6</v>
      </c>
      <c r="M77" s="10" t="n">
        <v>150</v>
      </c>
      <c r="N77" s="3">
        <f>IFERROR(INDEX('CAT_ESTADOS_ERP'!$B$4:$B$7,MATCH(IFERROR(INDEX('2_IMPORTAR_EJECUCION'!$D$9:$D$171,MATCH($C77,'2_IMPORTAR_EJECUCION'!$A$9:$A$171,0)),""),'CAT_ESTADOS_ERP'!$A$4:$A$7,0)),"Pendiente")</f>
        <v/>
      </c>
      <c r="O77" s="3">
        <f>IF($K77="","","S"&amp;IF(_xlfn.ISOWEEKNUM($K77)=53,1,_xlfn.ISOWEEKNUM($K77)))</f>
        <v/>
      </c>
      <c r="P77" s="3">
        <f>IF($K77="","",YEAR($K77))</f>
        <v/>
      </c>
      <c r="Q77" s="3">
        <f>IF($K77="","",MONTH($K77))</f>
        <v/>
      </c>
      <c r="R77" s="3">
        <f>IF($K77="","",INDEX(lista_dias,WEEKDAY($K77,2)))</f>
        <v/>
      </c>
      <c r="S77" s="3">
        <f>IFERROR(INDEX('CAT_TIPOS_OT'!$C$4:$C$7,MATCH($J77,'CAT_TIPOS_OT'!$A$4:$A$7,0)),"sin_clasificar")</f>
        <v/>
      </c>
      <c r="T77" s="3">
        <f>IFERROR(INDEX('CAT_CENTROS_COSTO'!$E$4:$E$9,MATCH($G77,'CAT_CENTROS_COSTO'!$A$4:$A$9,0)),"(sin catálogo)")</f>
        <v/>
      </c>
      <c r="U77" s="3">
        <f>IFERROR(INDEX('CAT_CENTROS_COSTO'!$D$4:$D$9,MATCH($G77,'CAT_CENTROS_COSTO'!$A$4:$A$9,0)),"(sin catálogo)")</f>
        <v/>
      </c>
      <c r="V77" s="3">
        <f>IFERROR(INDEX('CAT_CENTROS_COSTO'!$F$4:$F$9,MATCH($G77,'CAT_CENTROS_COSTO'!$A$4:$A$9,0)),"(sin catálogo)")</f>
        <v/>
      </c>
      <c r="W77" s="3">
        <f>IFERROR(INDEX('CAT_PUESTOS'!$B$4:$B$8,MATCH($H77,'CAT_PUESTOS'!$A$4:$A$8,0)),"(sin catálogo)")</f>
        <v/>
      </c>
      <c r="X77" s="3">
        <f>IFERROR(INDEX('CAT_ACTIVIDADES'!$B$4:$B$8,MATCH($I77,'CAT_ACTIVIDADES'!$A$4:$A$8,0)),"(sin catálogo)")</f>
        <v/>
      </c>
      <c r="Y77" s="12">
        <f>IF($K77="","",TODAY()-$K77)</f>
        <v/>
      </c>
      <c r="Z77" s="3">
        <f>IF($Y77="","",IF($Y77&lt;0,"FUTURO",IF($Y77&gt;p_dias_backlog_max,"BACKLOG","MES CORRIENTE")))</f>
        <v/>
      </c>
      <c r="AA77" s="3">
        <f>IF($Y77="",FALSE,AND($Y77&gt;p_dias_backlog_min,$Y77&lt;=p_dias_backlog_max))</f>
        <v/>
      </c>
      <c r="AB77" s="6" t="inlineStr">
        <is>
          <t>Técnico 06</t>
        </is>
      </c>
      <c r="AC77" s="3">
        <f>IF($AB77="","",IFERROR(INDEX('ASIGNACIONES'!$F$4:$F$339,MATCH($O77&amp;"|"&amp;$R77&amp;"|"&amp;$AB77,'ASIGNACIONES'!$I$4:$I$339,0)),""))</f>
        <v/>
      </c>
      <c r="AD77" s="13">
        <f>IF($AB77="","",SUMIFS('ORDENES'!$L$4:$L$203,'ORDENES'!$AB$4:$AB$203,$AB77,'ORDENES'!$O$4:$O$203,$O77,'ORDENES'!$R$4:$R$203,$R77))</f>
        <v/>
      </c>
      <c r="AE77" s="13">
        <f>IF($AD77="","",p_factor_productividad*IFERROR(INDEX('ASIGNACIONES'!$H$4:$H$339,MATCH($O77&amp;"|"&amp;$R77&amp;"|"&amp;$AB77,'ASIGNACIONES'!$I$4:$I$339,0)),0)-$AD77)</f>
        <v/>
      </c>
      <c r="AF77" s="10">
        <f>IFERROR(INDEX('2_IMPORTAR_EJECUCION'!$G$9:$G$171,MATCH($C77,'2_IMPORTAR_EJECUCION'!$A$9:$A$171,0)),0)</f>
        <v/>
      </c>
      <c r="AG77" s="10">
        <f>MAX(0,IFERROR(INDEX('2_IMPORTAR_EJECUCION'!$I$9:$I$171,MATCH($C77,'2_IMPORTAR_EJECUCION'!$A$9:$A$171,0)),0)-$AF77)</f>
        <v/>
      </c>
      <c r="AH77" s="10">
        <f>$AF77+$AG77</f>
        <v/>
      </c>
      <c r="AI77" s="6" t="inlineStr"/>
      <c r="AJ77" s="6" t="inlineStr"/>
      <c r="AK77" s="6" t="inlineStr">
        <is>
          <t>ACT-04.pdf</t>
        </is>
      </c>
      <c r="AL77" s="3">
        <f>IF($AK77="","",HYPERLINK(p_ruta_base_checklists&amp;$AK77,"abrir"))</f>
        <v/>
      </c>
      <c r="AM77" s="6" t="inlineStr"/>
    </row>
    <row r="78">
      <c r="A78" s="3" t="inlineStr">
        <is>
          <t>OT-000075</t>
        </is>
      </c>
      <c r="B78" s="3" t="inlineStr">
        <is>
          <t>0010</t>
        </is>
      </c>
      <c r="C78" s="3">
        <f>$A78&amp;IF($B78="","0010",$B78)</f>
        <v/>
      </c>
      <c r="D78" s="3" t="inlineStr">
        <is>
          <t>Inspección de rutina — EQ-101</t>
        </is>
      </c>
      <c r="E78" s="3" t="inlineStr">
        <is>
          <t>Inspección de rutina en EQ-101</t>
        </is>
      </c>
      <c r="F78" s="3" t="inlineStr">
        <is>
          <t>EQ-101</t>
        </is>
      </c>
      <c r="G78" s="3" t="inlineStr">
        <is>
          <t>CC-120</t>
        </is>
      </c>
      <c r="H78" s="3" t="inlineStr">
        <is>
          <t>PU-ELE</t>
        </is>
      </c>
      <c r="I78" s="3" t="inlineStr">
        <is>
          <t>ACT-01</t>
        </is>
      </c>
      <c r="J78" s="3" t="inlineStr">
        <is>
          <t>TIPO-P2</t>
        </is>
      </c>
      <c r="K78" s="11" t="n">
        <v>46234</v>
      </c>
      <c r="L78" s="3" t="n">
        <v>10</v>
      </c>
      <c r="M78" s="10" t="n">
        <v>250</v>
      </c>
      <c r="N78" s="3">
        <f>IFERROR(INDEX('CAT_ESTADOS_ERP'!$B$4:$B$7,MATCH(IFERROR(INDEX('2_IMPORTAR_EJECUCION'!$D$9:$D$171,MATCH($C78,'2_IMPORTAR_EJECUCION'!$A$9:$A$171,0)),""),'CAT_ESTADOS_ERP'!$A$4:$A$7,0)),"Pendiente")</f>
        <v/>
      </c>
      <c r="O78" s="3">
        <f>IF($K78="","","S"&amp;IF(_xlfn.ISOWEEKNUM($K78)=53,1,_xlfn.ISOWEEKNUM($K78)))</f>
        <v/>
      </c>
      <c r="P78" s="3">
        <f>IF($K78="","",YEAR($K78))</f>
        <v/>
      </c>
      <c r="Q78" s="3">
        <f>IF($K78="","",MONTH($K78))</f>
        <v/>
      </c>
      <c r="R78" s="3">
        <f>IF($K78="","",INDEX(lista_dias,WEEKDAY($K78,2)))</f>
        <v/>
      </c>
      <c r="S78" s="3">
        <f>IFERROR(INDEX('CAT_TIPOS_OT'!$C$4:$C$7,MATCH($J78,'CAT_TIPOS_OT'!$A$4:$A$7,0)),"sin_clasificar")</f>
        <v/>
      </c>
      <c r="T78" s="3">
        <f>IFERROR(INDEX('CAT_CENTROS_COSTO'!$E$4:$E$9,MATCH($G78,'CAT_CENTROS_COSTO'!$A$4:$A$9,0)),"(sin catálogo)")</f>
        <v/>
      </c>
      <c r="U78" s="3">
        <f>IFERROR(INDEX('CAT_CENTROS_COSTO'!$D$4:$D$9,MATCH($G78,'CAT_CENTROS_COSTO'!$A$4:$A$9,0)),"(sin catálogo)")</f>
        <v/>
      </c>
      <c r="V78" s="3">
        <f>IFERROR(INDEX('CAT_CENTROS_COSTO'!$F$4:$F$9,MATCH($G78,'CAT_CENTROS_COSTO'!$A$4:$A$9,0)),"(sin catálogo)")</f>
        <v/>
      </c>
      <c r="W78" s="3">
        <f>IFERROR(INDEX('CAT_PUESTOS'!$B$4:$B$8,MATCH($H78,'CAT_PUESTOS'!$A$4:$A$8,0)),"(sin catálogo)")</f>
        <v/>
      </c>
      <c r="X78" s="3">
        <f>IFERROR(INDEX('CAT_ACTIVIDADES'!$B$4:$B$8,MATCH($I78,'CAT_ACTIVIDADES'!$A$4:$A$8,0)),"(sin catálogo)")</f>
        <v/>
      </c>
      <c r="Y78" s="12">
        <f>IF($K78="","",TODAY()-$K78)</f>
        <v/>
      </c>
      <c r="Z78" s="3">
        <f>IF($Y78="","",IF($Y78&lt;0,"FUTURO",IF($Y78&gt;p_dias_backlog_max,"BACKLOG","MES CORRIENTE")))</f>
        <v/>
      </c>
      <c r="AA78" s="3">
        <f>IF($Y78="",FALSE,AND($Y78&gt;p_dias_backlog_min,$Y78&lt;=p_dias_backlog_max))</f>
        <v/>
      </c>
      <c r="AB78" s="6" t="inlineStr">
        <is>
          <t>Técnico 07</t>
        </is>
      </c>
      <c r="AC78" s="3">
        <f>IF($AB78="","",IFERROR(INDEX('ASIGNACIONES'!$F$4:$F$339,MATCH($O78&amp;"|"&amp;$R78&amp;"|"&amp;$AB78,'ASIGNACIONES'!$I$4:$I$339,0)),""))</f>
        <v/>
      </c>
      <c r="AD78" s="13">
        <f>IF($AB78="","",SUMIFS('ORDENES'!$L$4:$L$203,'ORDENES'!$AB$4:$AB$203,$AB78,'ORDENES'!$O$4:$O$203,$O78,'ORDENES'!$R$4:$R$203,$R78))</f>
        <v/>
      </c>
      <c r="AE78" s="13">
        <f>IF($AD78="","",p_factor_productividad*IFERROR(INDEX('ASIGNACIONES'!$H$4:$H$339,MATCH($O78&amp;"|"&amp;$R78&amp;"|"&amp;$AB78,'ASIGNACIONES'!$I$4:$I$339,0)),0)-$AD78)</f>
        <v/>
      </c>
      <c r="AF78" s="10">
        <f>IFERROR(INDEX('2_IMPORTAR_EJECUCION'!$G$9:$G$171,MATCH($C78,'2_IMPORTAR_EJECUCION'!$A$9:$A$171,0)),0)</f>
        <v/>
      </c>
      <c r="AG78" s="10">
        <f>MAX(0,IFERROR(INDEX('2_IMPORTAR_EJECUCION'!$I$9:$I$171,MATCH($C78,'2_IMPORTAR_EJECUCION'!$A$9:$A$171,0)),0)-$AF78)</f>
        <v/>
      </c>
      <c r="AH78" s="10">
        <f>$AF78+$AG78</f>
        <v/>
      </c>
      <c r="AI78" s="6" t="inlineStr"/>
      <c r="AJ78" s="6" t="inlineStr"/>
      <c r="AK78" s="6" t="inlineStr">
        <is>
          <t>ACT-01.pdf</t>
        </is>
      </c>
      <c r="AL78" s="3">
        <f>IF($AK78="","",HYPERLINK(p_ruta_base_checklists&amp;$AK78,"abrir"))</f>
        <v/>
      </c>
      <c r="AM78" s="6" t="inlineStr"/>
    </row>
    <row r="79">
      <c r="A79" s="3" t="inlineStr">
        <is>
          <t>OT-000076</t>
        </is>
      </c>
      <c r="B79" s="3" t="inlineStr">
        <is>
          <t>0010</t>
        </is>
      </c>
      <c r="C79" s="3">
        <f>$A79&amp;IF($B79="","0010",$B79)</f>
        <v/>
      </c>
      <c r="D79" s="3" t="inlineStr">
        <is>
          <t>Lubricación programada — EQ-106</t>
        </is>
      </c>
      <c r="E79" s="3" t="inlineStr">
        <is>
          <t>Lubricación programada en EQ-106</t>
        </is>
      </c>
      <c r="F79" s="3" t="inlineStr">
        <is>
          <t>EQ-106</t>
        </is>
      </c>
      <c r="G79" s="3" t="inlineStr">
        <is>
          <t>CC-220</t>
        </is>
      </c>
      <c r="H79" s="3" t="inlineStr">
        <is>
          <t>PU-ELE</t>
        </is>
      </c>
      <c r="I79" s="3" t="inlineStr">
        <is>
          <t>ACT-02</t>
        </is>
      </c>
      <c r="J79" s="3" t="inlineStr">
        <is>
          <t>TIPO-P1</t>
        </is>
      </c>
      <c r="K79" s="11" t="n">
        <v>46230</v>
      </c>
      <c r="L79" s="3" t="n">
        <v>2</v>
      </c>
      <c r="M79" s="10" t="n">
        <v>50</v>
      </c>
      <c r="N79" s="3">
        <f>IFERROR(INDEX('CAT_ESTADOS_ERP'!$B$4:$B$7,MATCH(IFERROR(INDEX('2_IMPORTAR_EJECUCION'!$D$9:$D$171,MATCH($C79,'2_IMPORTAR_EJECUCION'!$A$9:$A$171,0)),""),'CAT_ESTADOS_ERP'!$A$4:$A$7,0)),"Pendiente")</f>
        <v/>
      </c>
      <c r="O79" s="3">
        <f>IF($K79="","","S"&amp;IF(_xlfn.ISOWEEKNUM($K79)=53,1,_xlfn.ISOWEEKNUM($K79)))</f>
        <v/>
      </c>
      <c r="P79" s="3">
        <f>IF($K79="","",YEAR($K79))</f>
        <v/>
      </c>
      <c r="Q79" s="3">
        <f>IF($K79="","",MONTH($K79))</f>
        <v/>
      </c>
      <c r="R79" s="3">
        <f>IF($K79="","",INDEX(lista_dias,WEEKDAY($K79,2)))</f>
        <v/>
      </c>
      <c r="S79" s="3">
        <f>IFERROR(INDEX('CAT_TIPOS_OT'!$C$4:$C$7,MATCH($J79,'CAT_TIPOS_OT'!$A$4:$A$7,0)),"sin_clasificar")</f>
        <v/>
      </c>
      <c r="T79" s="3">
        <f>IFERROR(INDEX('CAT_CENTROS_COSTO'!$E$4:$E$9,MATCH($G79,'CAT_CENTROS_COSTO'!$A$4:$A$9,0)),"(sin catálogo)")</f>
        <v/>
      </c>
      <c r="U79" s="3">
        <f>IFERROR(INDEX('CAT_CENTROS_COSTO'!$D$4:$D$9,MATCH($G79,'CAT_CENTROS_COSTO'!$A$4:$A$9,0)),"(sin catálogo)")</f>
        <v/>
      </c>
      <c r="V79" s="3">
        <f>IFERROR(INDEX('CAT_CENTROS_COSTO'!$F$4:$F$9,MATCH($G79,'CAT_CENTROS_COSTO'!$A$4:$A$9,0)),"(sin catálogo)")</f>
        <v/>
      </c>
      <c r="W79" s="3">
        <f>IFERROR(INDEX('CAT_PUESTOS'!$B$4:$B$8,MATCH($H79,'CAT_PUESTOS'!$A$4:$A$8,0)),"(sin catálogo)")</f>
        <v/>
      </c>
      <c r="X79" s="3">
        <f>IFERROR(INDEX('CAT_ACTIVIDADES'!$B$4:$B$8,MATCH($I79,'CAT_ACTIVIDADES'!$A$4:$A$8,0)),"(sin catálogo)")</f>
        <v/>
      </c>
      <c r="Y79" s="12">
        <f>IF($K79="","",TODAY()-$K79)</f>
        <v/>
      </c>
      <c r="Z79" s="3">
        <f>IF($Y79="","",IF($Y79&lt;0,"FUTURO",IF($Y79&gt;p_dias_backlog_max,"BACKLOG","MES CORRIENTE")))</f>
        <v/>
      </c>
      <c r="AA79" s="3">
        <f>IF($Y79="",FALSE,AND($Y79&gt;p_dias_backlog_min,$Y79&lt;=p_dias_backlog_max))</f>
        <v/>
      </c>
      <c r="AB79" s="6" t="inlineStr">
        <is>
          <t>Técnico 05</t>
        </is>
      </c>
      <c r="AC79" s="3">
        <f>IF($AB79="","",IFERROR(INDEX('ASIGNACIONES'!$F$4:$F$339,MATCH($O79&amp;"|"&amp;$R79&amp;"|"&amp;$AB79,'ASIGNACIONES'!$I$4:$I$339,0)),""))</f>
        <v/>
      </c>
      <c r="AD79" s="13">
        <f>IF($AB79="","",SUMIFS('ORDENES'!$L$4:$L$203,'ORDENES'!$AB$4:$AB$203,$AB79,'ORDENES'!$O$4:$O$203,$O79,'ORDENES'!$R$4:$R$203,$R79))</f>
        <v/>
      </c>
      <c r="AE79" s="13">
        <f>IF($AD79="","",p_factor_productividad*IFERROR(INDEX('ASIGNACIONES'!$H$4:$H$339,MATCH($O79&amp;"|"&amp;$R79&amp;"|"&amp;$AB79,'ASIGNACIONES'!$I$4:$I$339,0)),0)-$AD79)</f>
        <v/>
      </c>
      <c r="AF79" s="10">
        <f>IFERROR(INDEX('2_IMPORTAR_EJECUCION'!$G$9:$G$171,MATCH($C79,'2_IMPORTAR_EJECUCION'!$A$9:$A$171,0)),0)</f>
        <v/>
      </c>
      <c r="AG79" s="10">
        <f>MAX(0,IFERROR(INDEX('2_IMPORTAR_EJECUCION'!$I$9:$I$171,MATCH($C79,'2_IMPORTAR_EJECUCION'!$A$9:$A$171,0)),0)-$AF79)</f>
        <v/>
      </c>
      <c r="AH79" s="10">
        <f>$AF79+$AG79</f>
        <v/>
      </c>
      <c r="AI79" s="6" t="inlineStr"/>
      <c r="AJ79" s="6" t="inlineStr"/>
      <c r="AK79" s="6" t="inlineStr">
        <is>
          <t>ACT-02.pdf</t>
        </is>
      </c>
      <c r="AL79" s="3">
        <f>IF($AK79="","",HYPERLINK(p_ruta_base_checklists&amp;$AK79,"abrir"))</f>
        <v/>
      </c>
      <c r="AM79" s="6" t="inlineStr"/>
    </row>
    <row r="80">
      <c r="A80" s="3" t="inlineStr">
        <is>
          <t>OT-000077</t>
        </is>
      </c>
      <c r="B80" s="3" t="inlineStr">
        <is>
          <t>0010</t>
        </is>
      </c>
      <c r="C80" s="3">
        <f>$A80&amp;IF($B80="","0010",$B80)</f>
        <v/>
      </c>
      <c r="D80" s="3" t="inlineStr">
        <is>
          <t>Reparación de falla — EQ-103</t>
        </is>
      </c>
      <c r="E80" s="3" t="inlineStr">
        <is>
          <t>Reparación de falla en EQ-103</t>
        </is>
      </c>
      <c r="F80" s="3" t="inlineStr">
        <is>
          <t>EQ-103</t>
        </is>
      </c>
      <c r="G80" s="3" t="inlineStr">
        <is>
          <t>CC-120</t>
        </is>
      </c>
      <c r="H80" s="3" t="inlineStr">
        <is>
          <t>PU-ELE</t>
        </is>
      </c>
      <c r="I80" s="3" t="inlineStr">
        <is>
          <t>ACT-03</t>
        </is>
      </c>
      <c r="J80" s="3" t="inlineStr">
        <is>
          <t>TIPO-C2</t>
        </is>
      </c>
      <c r="K80" s="11" t="n">
        <v>46231</v>
      </c>
      <c r="L80" s="3" t="n">
        <v>10</v>
      </c>
      <c r="M80" s="10" t="n">
        <v>400</v>
      </c>
      <c r="N80" s="3">
        <f>IFERROR(INDEX('CAT_ESTADOS_ERP'!$B$4:$B$7,MATCH(IFERROR(INDEX('2_IMPORTAR_EJECUCION'!$D$9:$D$171,MATCH($C80,'2_IMPORTAR_EJECUCION'!$A$9:$A$171,0)),""),'CAT_ESTADOS_ERP'!$A$4:$A$7,0)),"Pendiente")</f>
        <v/>
      </c>
      <c r="O80" s="3">
        <f>IF($K80="","","S"&amp;IF(_xlfn.ISOWEEKNUM($K80)=53,1,_xlfn.ISOWEEKNUM($K80)))</f>
        <v/>
      </c>
      <c r="P80" s="3">
        <f>IF($K80="","",YEAR($K80))</f>
        <v/>
      </c>
      <c r="Q80" s="3">
        <f>IF($K80="","",MONTH($K80))</f>
        <v/>
      </c>
      <c r="R80" s="3">
        <f>IF($K80="","",INDEX(lista_dias,WEEKDAY($K80,2)))</f>
        <v/>
      </c>
      <c r="S80" s="3">
        <f>IFERROR(INDEX('CAT_TIPOS_OT'!$C$4:$C$7,MATCH($J80,'CAT_TIPOS_OT'!$A$4:$A$7,0)),"sin_clasificar")</f>
        <v/>
      </c>
      <c r="T80" s="3">
        <f>IFERROR(INDEX('CAT_CENTROS_COSTO'!$E$4:$E$9,MATCH($G80,'CAT_CENTROS_COSTO'!$A$4:$A$9,0)),"(sin catálogo)")</f>
        <v/>
      </c>
      <c r="U80" s="3">
        <f>IFERROR(INDEX('CAT_CENTROS_COSTO'!$D$4:$D$9,MATCH($G80,'CAT_CENTROS_COSTO'!$A$4:$A$9,0)),"(sin catálogo)")</f>
        <v/>
      </c>
      <c r="V80" s="3">
        <f>IFERROR(INDEX('CAT_CENTROS_COSTO'!$F$4:$F$9,MATCH($G80,'CAT_CENTROS_COSTO'!$A$4:$A$9,0)),"(sin catálogo)")</f>
        <v/>
      </c>
      <c r="W80" s="3">
        <f>IFERROR(INDEX('CAT_PUESTOS'!$B$4:$B$8,MATCH($H80,'CAT_PUESTOS'!$A$4:$A$8,0)),"(sin catálogo)")</f>
        <v/>
      </c>
      <c r="X80" s="3">
        <f>IFERROR(INDEX('CAT_ACTIVIDADES'!$B$4:$B$8,MATCH($I80,'CAT_ACTIVIDADES'!$A$4:$A$8,0)),"(sin catálogo)")</f>
        <v/>
      </c>
      <c r="Y80" s="12">
        <f>IF($K80="","",TODAY()-$K80)</f>
        <v/>
      </c>
      <c r="Z80" s="3">
        <f>IF($Y80="","",IF($Y80&lt;0,"FUTURO",IF($Y80&gt;p_dias_backlog_max,"BACKLOG","MES CORRIENTE")))</f>
        <v/>
      </c>
      <c r="AA80" s="3">
        <f>IF($Y80="",FALSE,AND($Y80&gt;p_dias_backlog_min,$Y80&lt;=p_dias_backlog_max))</f>
        <v/>
      </c>
      <c r="AB80" s="6" t="inlineStr">
        <is>
          <t>Técnico 06</t>
        </is>
      </c>
      <c r="AC80" s="3">
        <f>IF($AB80="","",IFERROR(INDEX('ASIGNACIONES'!$F$4:$F$339,MATCH($O80&amp;"|"&amp;$R80&amp;"|"&amp;$AB80,'ASIGNACIONES'!$I$4:$I$339,0)),""))</f>
        <v/>
      </c>
      <c r="AD80" s="13">
        <f>IF($AB80="","",SUMIFS('ORDENES'!$L$4:$L$203,'ORDENES'!$AB$4:$AB$203,$AB80,'ORDENES'!$O$4:$O$203,$O80,'ORDENES'!$R$4:$R$203,$R80))</f>
        <v/>
      </c>
      <c r="AE80" s="13">
        <f>IF($AD80="","",p_factor_productividad*IFERROR(INDEX('ASIGNACIONES'!$H$4:$H$339,MATCH($O80&amp;"|"&amp;$R80&amp;"|"&amp;$AB80,'ASIGNACIONES'!$I$4:$I$339,0)),0)-$AD80)</f>
        <v/>
      </c>
      <c r="AF80" s="10">
        <f>IFERROR(INDEX('2_IMPORTAR_EJECUCION'!$G$9:$G$171,MATCH($C80,'2_IMPORTAR_EJECUCION'!$A$9:$A$171,0)),0)</f>
        <v/>
      </c>
      <c r="AG80" s="10">
        <f>MAX(0,IFERROR(INDEX('2_IMPORTAR_EJECUCION'!$I$9:$I$171,MATCH($C80,'2_IMPORTAR_EJECUCION'!$A$9:$A$171,0)),0)-$AF80)</f>
        <v/>
      </c>
      <c r="AH80" s="10">
        <f>$AF80+$AG80</f>
        <v/>
      </c>
      <c r="AI80" s="6" t="inlineStr"/>
      <c r="AJ80" s="6" t="inlineStr"/>
      <c r="AK80" s="6" t="inlineStr"/>
      <c r="AL80" s="3">
        <f>IF($AK80="","",HYPERLINK(p_ruta_base_checklists&amp;$AK80,"abrir"))</f>
        <v/>
      </c>
      <c r="AM80" s="6" t="inlineStr"/>
    </row>
    <row r="81">
      <c r="A81" s="3" t="inlineStr">
        <is>
          <t>OT-000078</t>
        </is>
      </c>
      <c r="B81" s="3" t="inlineStr">
        <is>
          <t>0010</t>
        </is>
      </c>
      <c r="C81" s="3">
        <f>$A81&amp;IF($B81="","0010",$B81)</f>
        <v/>
      </c>
      <c r="D81" s="3" t="inlineStr">
        <is>
          <t>Inspección de rutina — EQ-108</t>
        </is>
      </c>
      <c r="E81" s="3" t="inlineStr">
        <is>
          <t>Inspección de rutina en EQ-108</t>
        </is>
      </c>
      <c r="F81" s="3" t="inlineStr">
        <is>
          <t>EQ-108</t>
        </is>
      </c>
      <c r="G81" s="3" t="inlineStr">
        <is>
          <t>CC-220</t>
        </is>
      </c>
      <c r="H81" s="3" t="inlineStr">
        <is>
          <t>PU-ELE</t>
        </is>
      </c>
      <c r="I81" s="3" t="inlineStr">
        <is>
          <t>ACT-01</t>
        </is>
      </c>
      <c r="J81" s="3" t="inlineStr">
        <is>
          <t>TIPO-P1</t>
        </is>
      </c>
      <c r="K81" s="11" t="n">
        <v>46239</v>
      </c>
      <c r="L81" s="3" t="n">
        <v>10</v>
      </c>
      <c r="M81" s="10" t="n">
        <v>250</v>
      </c>
      <c r="N81" s="3">
        <f>IFERROR(INDEX('CAT_ESTADOS_ERP'!$B$4:$B$7,MATCH(IFERROR(INDEX('2_IMPORTAR_EJECUCION'!$D$9:$D$171,MATCH($C81,'2_IMPORTAR_EJECUCION'!$A$9:$A$171,0)),""),'CAT_ESTADOS_ERP'!$A$4:$A$7,0)),"Pendiente")</f>
        <v/>
      </c>
      <c r="O81" s="3">
        <f>IF($K81="","","S"&amp;IF(_xlfn.ISOWEEKNUM($K81)=53,1,_xlfn.ISOWEEKNUM($K81)))</f>
        <v/>
      </c>
      <c r="P81" s="3">
        <f>IF($K81="","",YEAR($K81))</f>
        <v/>
      </c>
      <c r="Q81" s="3">
        <f>IF($K81="","",MONTH($K81))</f>
        <v/>
      </c>
      <c r="R81" s="3">
        <f>IF($K81="","",INDEX(lista_dias,WEEKDAY($K81,2)))</f>
        <v/>
      </c>
      <c r="S81" s="3">
        <f>IFERROR(INDEX('CAT_TIPOS_OT'!$C$4:$C$7,MATCH($J81,'CAT_TIPOS_OT'!$A$4:$A$7,0)),"sin_clasificar")</f>
        <v/>
      </c>
      <c r="T81" s="3">
        <f>IFERROR(INDEX('CAT_CENTROS_COSTO'!$E$4:$E$9,MATCH($G81,'CAT_CENTROS_COSTO'!$A$4:$A$9,0)),"(sin catálogo)")</f>
        <v/>
      </c>
      <c r="U81" s="3">
        <f>IFERROR(INDEX('CAT_CENTROS_COSTO'!$D$4:$D$9,MATCH($G81,'CAT_CENTROS_COSTO'!$A$4:$A$9,0)),"(sin catálogo)")</f>
        <v/>
      </c>
      <c r="V81" s="3">
        <f>IFERROR(INDEX('CAT_CENTROS_COSTO'!$F$4:$F$9,MATCH($G81,'CAT_CENTROS_COSTO'!$A$4:$A$9,0)),"(sin catálogo)")</f>
        <v/>
      </c>
      <c r="W81" s="3">
        <f>IFERROR(INDEX('CAT_PUESTOS'!$B$4:$B$8,MATCH($H81,'CAT_PUESTOS'!$A$4:$A$8,0)),"(sin catálogo)")</f>
        <v/>
      </c>
      <c r="X81" s="3">
        <f>IFERROR(INDEX('CAT_ACTIVIDADES'!$B$4:$B$8,MATCH($I81,'CAT_ACTIVIDADES'!$A$4:$A$8,0)),"(sin catálogo)")</f>
        <v/>
      </c>
      <c r="Y81" s="12">
        <f>IF($K81="","",TODAY()-$K81)</f>
        <v/>
      </c>
      <c r="Z81" s="3">
        <f>IF($Y81="","",IF($Y81&lt;0,"FUTURO",IF($Y81&gt;p_dias_backlog_max,"BACKLOG","MES CORRIENTE")))</f>
        <v/>
      </c>
      <c r="AA81" s="3">
        <f>IF($Y81="",FALSE,AND($Y81&gt;p_dias_backlog_min,$Y81&lt;=p_dias_backlog_max))</f>
        <v/>
      </c>
      <c r="AB81" s="6" t="inlineStr">
        <is>
          <t>Técnico 07</t>
        </is>
      </c>
      <c r="AC81" s="3">
        <f>IF($AB81="","",IFERROR(INDEX('ASIGNACIONES'!$F$4:$F$339,MATCH($O81&amp;"|"&amp;$R81&amp;"|"&amp;$AB81,'ASIGNACIONES'!$I$4:$I$339,0)),""))</f>
        <v/>
      </c>
      <c r="AD81" s="13">
        <f>IF($AB81="","",SUMIFS('ORDENES'!$L$4:$L$203,'ORDENES'!$AB$4:$AB$203,$AB81,'ORDENES'!$O$4:$O$203,$O81,'ORDENES'!$R$4:$R$203,$R81))</f>
        <v/>
      </c>
      <c r="AE81" s="13">
        <f>IF($AD81="","",p_factor_productividad*IFERROR(INDEX('ASIGNACIONES'!$H$4:$H$339,MATCH($O81&amp;"|"&amp;$R81&amp;"|"&amp;$AB81,'ASIGNACIONES'!$I$4:$I$339,0)),0)-$AD81)</f>
        <v/>
      </c>
      <c r="AF81" s="10">
        <f>IFERROR(INDEX('2_IMPORTAR_EJECUCION'!$G$9:$G$171,MATCH($C81,'2_IMPORTAR_EJECUCION'!$A$9:$A$171,0)),0)</f>
        <v/>
      </c>
      <c r="AG81" s="10">
        <f>MAX(0,IFERROR(INDEX('2_IMPORTAR_EJECUCION'!$I$9:$I$171,MATCH($C81,'2_IMPORTAR_EJECUCION'!$A$9:$A$171,0)),0)-$AF81)</f>
        <v/>
      </c>
      <c r="AH81" s="10">
        <f>$AF81+$AG81</f>
        <v/>
      </c>
      <c r="AI81" s="6" t="inlineStr"/>
      <c r="AJ81" s="6" t="inlineStr"/>
      <c r="AK81" s="6" t="inlineStr">
        <is>
          <t>ACT-01.pdf</t>
        </is>
      </c>
      <c r="AL81" s="3">
        <f>IF($AK81="","",HYPERLINK(p_ruta_base_checklists&amp;$AK81,"abrir"))</f>
        <v/>
      </c>
      <c r="AM81" s="6" t="inlineStr"/>
    </row>
    <row r="82">
      <c r="A82" s="3" t="inlineStr">
        <is>
          <t>OT-000079</t>
        </is>
      </c>
      <c r="B82" s="3" t="inlineStr">
        <is>
          <t>0010</t>
        </is>
      </c>
      <c r="C82" s="3">
        <f>$A82&amp;IF($B82="","0010",$B82)</f>
        <v/>
      </c>
      <c r="D82" s="3" t="inlineStr">
        <is>
          <t>Lubricación programada — EQ-105</t>
        </is>
      </c>
      <c r="E82" s="3" t="inlineStr">
        <is>
          <t>Lubricación programada en EQ-105</t>
        </is>
      </c>
      <c r="F82" s="3" t="inlineStr">
        <is>
          <t>EQ-105</t>
        </is>
      </c>
      <c r="G82" s="3" t="inlineStr">
        <is>
          <t>CC-120</t>
        </is>
      </c>
      <c r="H82" s="3" t="inlineStr">
        <is>
          <t>PU-ELE</t>
        </is>
      </c>
      <c r="I82" s="3" t="inlineStr">
        <is>
          <t>ACT-02</t>
        </is>
      </c>
      <c r="J82" s="3" t="inlineStr">
        <is>
          <t>TIPO-P2</t>
        </is>
      </c>
      <c r="K82" s="11" t="n">
        <v>46240</v>
      </c>
      <c r="L82" s="3" t="n">
        <v>8</v>
      </c>
      <c r="M82" s="10" t="n">
        <v>200</v>
      </c>
      <c r="N82" s="3">
        <f>IFERROR(INDEX('CAT_ESTADOS_ERP'!$B$4:$B$7,MATCH(IFERROR(INDEX('2_IMPORTAR_EJECUCION'!$D$9:$D$171,MATCH($C82,'2_IMPORTAR_EJECUCION'!$A$9:$A$171,0)),""),'CAT_ESTADOS_ERP'!$A$4:$A$7,0)),"Pendiente")</f>
        <v/>
      </c>
      <c r="O82" s="3">
        <f>IF($K82="","","S"&amp;IF(_xlfn.ISOWEEKNUM($K82)=53,1,_xlfn.ISOWEEKNUM($K82)))</f>
        <v/>
      </c>
      <c r="P82" s="3">
        <f>IF($K82="","",YEAR($K82))</f>
        <v/>
      </c>
      <c r="Q82" s="3">
        <f>IF($K82="","",MONTH($K82))</f>
        <v/>
      </c>
      <c r="R82" s="3">
        <f>IF($K82="","",INDEX(lista_dias,WEEKDAY($K82,2)))</f>
        <v/>
      </c>
      <c r="S82" s="3">
        <f>IFERROR(INDEX('CAT_TIPOS_OT'!$C$4:$C$7,MATCH($J82,'CAT_TIPOS_OT'!$A$4:$A$7,0)),"sin_clasificar")</f>
        <v/>
      </c>
      <c r="T82" s="3">
        <f>IFERROR(INDEX('CAT_CENTROS_COSTO'!$E$4:$E$9,MATCH($G82,'CAT_CENTROS_COSTO'!$A$4:$A$9,0)),"(sin catálogo)")</f>
        <v/>
      </c>
      <c r="U82" s="3">
        <f>IFERROR(INDEX('CAT_CENTROS_COSTO'!$D$4:$D$9,MATCH($G82,'CAT_CENTROS_COSTO'!$A$4:$A$9,0)),"(sin catálogo)")</f>
        <v/>
      </c>
      <c r="V82" s="3">
        <f>IFERROR(INDEX('CAT_CENTROS_COSTO'!$F$4:$F$9,MATCH($G82,'CAT_CENTROS_COSTO'!$A$4:$A$9,0)),"(sin catálogo)")</f>
        <v/>
      </c>
      <c r="W82" s="3">
        <f>IFERROR(INDEX('CAT_PUESTOS'!$B$4:$B$8,MATCH($H82,'CAT_PUESTOS'!$A$4:$A$8,0)),"(sin catálogo)")</f>
        <v/>
      </c>
      <c r="X82" s="3">
        <f>IFERROR(INDEX('CAT_ACTIVIDADES'!$B$4:$B$8,MATCH($I82,'CAT_ACTIVIDADES'!$A$4:$A$8,0)),"(sin catálogo)")</f>
        <v/>
      </c>
      <c r="Y82" s="12">
        <f>IF($K82="","",TODAY()-$K82)</f>
        <v/>
      </c>
      <c r="Z82" s="3">
        <f>IF($Y82="","",IF($Y82&lt;0,"FUTURO",IF($Y82&gt;p_dias_backlog_max,"BACKLOG","MES CORRIENTE")))</f>
        <v/>
      </c>
      <c r="AA82" s="3">
        <f>IF($Y82="",FALSE,AND($Y82&gt;p_dias_backlog_min,$Y82&lt;=p_dias_backlog_max))</f>
        <v/>
      </c>
      <c r="AB82" s="6" t="inlineStr">
        <is>
          <t>Técnico 05</t>
        </is>
      </c>
      <c r="AC82" s="3">
        <f>IF($AB82="","",IFERROR(INDEX('ASIGNACIONES'!$F$4:$F$339,MATCH($O82&amp;"|"&amp;$R82&amp;"|"&amp;$AB82,'ASIGNACIONES'!$I$4:$I$339,0)),""))</f>
        <v/>
      </c>
      <c r="AD82" s="13">
        <f>IF($AB82="","",SUMIFS('ORDENES'!$L$4:$L$203,'ORDENES'!$AB$4:$AB$203,$AB82,'ORDENES'!$O$4:$O$203,$O82,'ORDENES'!$R$4:$R$203,$R82))</f>
        <v/>
      </c>
      <c r="AE82" s="13">
        <f>IF($AD82="","",p_factor_productividad*IFERROR(INDEX('ASIGNACIONES'!$H$4:$H$339,MATCH($O82&amp;"|"&amp;$R82&amp;"|"&amp;$AB82,'ASIGNACIONES'!$I$4:$I$339,0)),0)-$AD82)</f>
        <v/>
      </c>
      <c r="AF82" s="10">
        <f>IFERROR(INDEX('2_IMPORTAR_EJECUCION'!$G$9:$G$171,MATCH($C82,'2_IMPORTAR_EJECUCION'!$A$9:$A$171,0)),0)</f>
        <v/>
      </c>
      <c r="AG82" s="10">
        <f>MAX(0,IFERROR(INDEX('2_IMPORTAR_EJECUCION'!$I$9:$I$171,MATCH($C82,'2_IMPORTAR_EJECUCION'!$A$9:$A$171,0)),0)-$AF82)</f>
        <v/>
      </c>
      <c r="AH82" s="10">
        <f>$AF82+$AG82</f>
        <v/>
      </c>
      <c r="AI82" s="6" t="inlineStr"/>
      <c r="AJ82" s="6" t="inlineStr"/>
      <c r="AK82" s="6" t="inlineStr">
        <is>
          <t>ACT-02.pdf</t>
        </is>
      </c>
      <c r="AL82" s="3">
        <f>IF($AK82="","",HYPERLINK(p_ruta_base_checklists&amp;$AK82,"abrir"))</f>
        <v/>
      </c>
      <c r="AM82" s="6" t="inlineStr"/>
    </row>
    <row r="83">
      <c r="A83" s="3" t="inlineStr">
        <is>
          <t>OT-000080</t>
        </is>
      </c>
      <c r="B83" s="3" t="inlineStr">
        <is>
          <t>0010</t>
        </is>
      </c>
      <c r="C83" s="3">
        <f>$A83&amp;IF($B83="","0010",$B83)</f>
        <v/>
      </c>
      <c r="D83" s="3" t="inlineStr">
        <is>
          <t>Análisis predictivo — EQ-106</t>
        </is>
      </c>
      <c r="E83" s="3" t="inlineStr">
        <is>
          <t>Análisis predictivo en EQ-106</t>
        </is>
      </c>
      <c r="F83" s="3" t="inlineStr">
        <is>
          <t>EQ-106</t>
        </is>
      </c>
      <c r="G83" s="3" t="inlineStr">
        <is>
          <t>CC-220</t>
        </is>
      </c>
      <c r="H83" s="3" t="inlineStr">
        <is>
          <t>PU-ELE</t>
        </is>
      </c>
      <c r="I83" s="3" t="inlineStr">
        <is>
          <t>ACT-04</t>
        </is>
      </c>
      <c r="J83" s="3" t="inlineStr">
        <is>
          <t>TIPO-P1</t>
        </is>
      </c>
      <c r="K83" s="11" t="n">
        <v>46241</v>
      </c>
      <c r="L83" s="3" t="n">
        <v>6</v>
      </c>
      <c r="M83" s="10" t="n">
        <v>150</v>
      </c>
      <c r="N83" s="3">
        <f>IFERROR(INDEX('CAT_ESTADOS_ERP'!$B$4:$B$7,MATCH(IFERROR(INDEX('2_IMPORTAR_EJECUCION'!$D$9:$D$171,MATCH($C83,'2_IMPORTAR_EJECUCION'!$A$9:$A$171,0)),""),'CAT_ESTADOS_ERP'!$A$4:$A$7,0)),"Pendiente")</f>
        <v/>
      </c>
      <c r="O83" s="3">
        <f>IF($K83="","","S"&amp;IF(_xlfn.ISOWEEKNUM($K83)=53,1,_xlfn.ISOWEEKNUM($K83)))</f>
        <v/>
      </c>
      <c r="P83" s="3">
        <f>IF($K83="","",YEAR($K83))</f>
        <v/>
      </c>
      <c r="Q83" s="3">
        <f>IF($K83="","",MONTH($K83))</f>
        <v/>
      </c>
      <c r="R83" s="3">
        <f>IF($K83="","",INDEX(lista_dias,WEEKDAY($K83,2)))</f>
        <v/>
      </c>
      <c r="S83" s="3">
        <f>IFERROR(INDEX('CAT_TIPOS_OT'!$C$4:$C$7,MATCH($J83,'CAT_TIPOS_OT'!$A$4:$A$7,0)),"sin_clasificar")</f>
        <v/>
      </c>
      <c r="T83" s="3">
        <f>IFERROR(INDEX('CAT_CENTROS_COSTO'!$E$4:$E$9,MATCH($G83,'CAT_CENTROS_COSTO'!$A$4:$A$9,0)),"(sin catálogo)")</f>
        <v/>
      </c>
      <c r="U83" s="3">
        <f>IFERROR(INDEX('CAT_CENTROS_COSTO'!$D$4:$D$9,MATCH($G83,'CAT_CENTROS_COSTO'!$A$4:$A$9,0)),"(sin catálogo)")</f>
        <v/>
      </c>
      <c r="V83" s="3">
        <f>IFERROR(INDEX('CAT_CENTROS_COSTO'!$F$4:$F$9,MATCH($G83,'CAT_CENTROS_COSTO'!$A$4:$A$9,0)),"(sin catálogo)")</f>
        <v/>
      </c>
      <c r="W83" s="3">
        <f>IFERROR(INDEX('CAT_PUESTOS'!$B$4:$B$8,MATCH($H83,'CAT_PUESTOS'!$A$4:$A$8,0)),"(sin catálogo)")</f>
        <v/>
      </c>
      <c r="X83" s="3">
        <f>IFERROR(INDEX('CAT_ACTIVIDADES'!$B$4:$B$8,MATCH($I83,'CAT_ACTIVIDADES'!$A$4:$A$8,0)),"(sin catálogo)")</f>
        <v/>
      </c>
      <c r="Y83" s="12">
        <f>IF($K83="","",TODAY()-$K83)</f>
        <v/>
      </c>
      <c r="Z83" s="3">
        <f>IF($Y83="","",IF($Y83&lt;0,"FUTURO",IF($Y83&gt;p_dias_backlog_max,"BACKLOG","MES CORRIENTE")))</f>
        <v/>
      </c>
      <c r="AA83" s="3">
        <f>IF($Y83="",FALSE,AND($Y83&gt;p_dias_backlog_min,$Y83&lt;=p_dias_backlog_max))</f>
        <v/>
      </c>
      <c r="AB83" s="6" t="inlineStr">
        <is>
          <t>Técnico 06</t>
        </is>
      </c>
      <c r="AC83" s="3">
        <f>IF($AB83="","",IFERROR(INDEX('ASIGNACIONES'!$F$4:$F$339,MATCH($O83&amp;"|"&amp;$R83&amp;"|"&amp;$AB83,'ASIGNACIONES'!$I$4:$I$339,0)),""))</f>
        <v/>
      </c>
      <c r="AD83" s="13">
        <f>IF($AB83="","",SUMIFS('ORDENES'!$L$4:$L$203,'ORDENES'!$AB$4:$AB$203,$AB83,'ORDENES'!$O$4:$O$203,$O83,'ORDENES'!$R$4:$R$203,$R83))</f>
        <v/>
      </c>
      <c r="AE83" s="13">
        <f>IF($AD83="","",p_factor_productividad*IFERROR(INDEX('ASIGNACIONES'!$H$4:$H$339,MATCH($O83&amp;"|"&amp;$R83&amp;"|"&amp;$AB83,'ASIGNACIONES'!$I$4:$I$339,0)),0)-$AD83)</f>
        <v/>
      </c>
      <c r="AF83" s="10">
        <f>IFERROR(INDEX('2_IMPORTAR_EJECUCION'!$G$9:$G$171,MATCH($C83,'2_IMPORTAR_EJECUCION'!$A$9:$A$171,0)),0)</f>
        <v/>
      </c>
      <c r="AG83" s="10">
        <f>MAX(0,IFERROR(INDEX('2_IMPORTAR_EJECUCION'!$I$9:$I$171,MATCH($C83,'2_IMPORTAR_EJECUCION'!$A$9:$A$171,0)),0)-$AF83)</f>
        <v/>
      </c>
      <c r="AH83" s="10">
        <f>$AF83+$AG83</f>
        <v/>
      </c>
      <c r="AI83" s="6" t="inlineStr"/>
      <c r="AJ83" s="6" t="inlineStr"/>
      <c r="AK83" s="6" t="inlineStr">
        <is>
          <t>ACT-04.pdf</t>
        </is>
      </c>
      <c r="AL83" s="3">
        <f>IF($AK83="","",HYPERLINK(p_ruta_base_checklists&amp;$AK83,"abrir"))</f>
        <v/>
      </c>
      <c r="AM83" s="6" t="inlineStr"/>
    </row>
    <row r="84">
      <c r="A84" s="3" t="inlineStr">
        <is>
          <t>OT-000081</t>
        </is>
      </c>
      <c r="B84" s="3" t="inlineStr">
        <is>
          <t>0010</t>
        </is>
      </c>
      <c r="C84" s="3">
        <f>$A84&amp;IF($B84="","0010",$B84)</f>
        <v/>
      </c>
      <c r="D84" s="3" t="inlineStr">
        <is>
          <t>Inspección de rutina — EQ-102</t>
        </is>
      </c>
      <c r="E84" s="3" t="inlineStr">
        <is>
          <t>Inspección de rutina en EQ-102</t>
        </is>
      </c>
      <c r="F84" s="3" t="inlineStr">
        <is>
          <t>EQ-102</t>
        </is>
      </c>
      <c r="G84" s="3" t="inlineStr">
        <is>
          <t>CC-120</t>
        </is>
      </c>
      <c r="H84" s="3" t="inlineStr">
        <is>
          <t>PU-ELE</t>
        </is>
      </c>
      <c r="I84" s="3" t="inlineStr">
        <is>
          <t>ACT-01</t>
        </is>
      </c>
      <c r="J84" s="3" t="inlineStr">
        <is>
          <t>TIPO-P2</t>
        </is>
      </c>
      <c r="K84" s="11" t="n">
        <v>46237</v>
      </c>
      <c r="L84" s="3" t="n">
        <v>10</v>
      </c>
      <c r="M84" s="10" t="n">
        <v>250</v>
      </c>
      <c r="N84" s="3">
        <f>IFERROR(INDEX('CAT_ESTADOS_ERP'!$B$4:$B$7,MATCH(IFERROR(INDEX('2_IMPORTAR_EJECUCION'!$D$9:$D$171,MATCH($C84,'2_IMPORTAR_EJECUCION'!$A$9:$A$171,0)),""),'CAT_ESTADOS_ERP'!$A$4:$A$7,0)),"Pendiente")</f>
        <v/>
      </c>
      <c r="O84" s="3">
        <f>IF($K84="","","S"&amp;IF(_xlfn.ISOWEEKNUM($K84)=53,1,_xlfn.ISOWEEKNUM($K84)))</f>
        <v/>
      </c>
      <c r="P84" s="3">
        <f>IF($K84="","",YEAR($K84))</f>
        <v/>
      </c>
      <c r="Q84" s="3">
        <f>IF($K84="","",MONTH($K84))</f>
        <v/>
      </c>
      <c r="R84" s="3">
        <f>IF($K84="","",INDEX(lista_dias,WEEKDAY($K84,2)))</f>
        <v/>
      </c>
      <c r="S84" s="3">
        <f>IFERROR(INDEX('CAT_TIPOS_OT'!$C$4:$C$7,MATCH($J84,'CAT_TIPOS_OT'!$A$4:$A$7,0)),"sin_clasificar")</f>
        <v/>
      </c>
      <c r="T84" s="3">
        <f>IFERROR(INDEX('CAT_CENTROS_COSTO'!$E$4:$E$9,MATCH($G84,'CAT_CENTROS_COSTO'!$A$4:$A$9,0)),"(sin catálogo)")</f>
        <v/>
      </c>
      <c r="U84" s="3">
        <f>IFERROR(INDEX('CAT_CENTROS_COSTO'!$D$4:$D$9,MATCH($G84,'CAT_CENTROS_COSTO'!$A$4:$A$9,0)),"(sin catálogo)")</f>
        <v/>
      </c>
      <c r="V84" s="3">
        <f>IFERROR(INDEX('CAT_CENTROS_COSTO'!$F$4:$F$9,MATCH($G84,'CAT_CENTROS_COSTO'!$A$4:$A$9,0)),"(sin catálogo)")</f>
        <v/>
      </c>
      <c r="W84" s="3">
        <f>IFERROR(INDEX('CAT_PUESTOS'!$B$4:$B$8,MATCH($H84,'CAT_PUESTOS'!$A$4:$A$8,0)),"(sin catálogo)")</f>
        <v/>
      </c>
      <c r="X84" s="3">
        <f>IFERROR(INDEX('CAT_ACTIVIDADES'!$B$4:$B$8,MATCH($I84,'CAT_ACTIVIDADES'!$A$4:$A$8,0)),"(sin catálogo)")</f>
        <v/>
      </c>
      <c r="Y84" s="12">
        <f>IF($K84="","",TODAY()-$K84)</f>
        <v/>
      </c>
      <c r="Z84" s="3">
        <f>IF($Y84="","",IF($Y84&lt;0,"FUTURO",IF($Y84&gt;p_dias_backlog_max,"BACKLOG","MES CORRIENTE")))</f>
        <v/>
      </c>
      <c r="AA84" s="3">
        <f>IF($Y84="",FALSE,AND($Y84&gt;p_dias_backlog_min,$Y84&lt;=p_dias_backlog_max))</f>
        <v/>
      </c>
      <c r="AB84" s="6" t="inlineStr">
        <is>
          <t>Técnico 07</t>
        </is>
      </c>
      <c r="AC84" s="3">
        <f>IF($AB84="","",IFERROR(INDEX('ASIGNACIONES'!$F$4:$F$339,MATCH($O84&amp;"|"&amp;$R84&amp;"|"&amp;$AB84,'ASIGNACIONES'!$I$4:$I$339,0)),""))</f>
        <v/>
      </c>
      <c r="AD84" s="13">
        <f>IF($AB84="","",SUMIFS('ORDENES'!$L$4:$L$203,'ORDENES'!$AB$4:$AB$203,$AB84,'ORDENES'!$O$4:$O$203,$O84,'ORDENES'!$R$4:$R$203,$R84))</f>
        <v/>
      </c>
      <c r="AE84" s="13">
        <f>IF($AD84="","",p_factor_productividad*IFERROR(INDEX('ASIGNACIONES'!$H$4:$H$339,MATCH($O84&amp;"|"&amp;$R84&amp;"|"&amp;$AB84,'ASIGNACIONES'!$I$4:$I$339,0)),0)-$AD84)</f>
        <v/>
      </c>
      <c r="AF84" s="10">
        <f>IFERROR(INDEX('2_IMPORTAR_EJECUCION'!$G$9:$G$171,MATCH($C84,'2_IMPORTAR_EJECUCION'!$A$9:$A$171,0)),0)</f>
        <v/>
      </c>
      <c r="AG84" s="10">
        <f>MAX(0,IFERROR(INDEX('2_IMPORTAR_EJECUCION'!$I$9:$I$171,MATCH($C84,'2_IMPORTAR_EJECUCION'!$A$9:$A$171,0)),0)-$AF84)</f>
        <v/>
      </c>
      <c r="AH84" s="10">
        <f>$AF84+$AG84</f>
        <v/>
      </c>
      <c r="AI84" s="6" t="inlineStr"/>
      <c r="AJ84" s="6" t="inlineStr"/>
      <c r="AK84" s="6" t="inlineStr">
        <is>
          <t>ACT-01.pdf</t>
        </is>
      </c>
      <c r="AL84" s="3">
        <f>IF($AK84="","",HYPERLINK(p_ruta_base_checklists&amp;$AK84,"abrir"))</f>
        <v/>
      </c>
      <c r="AM84" s="6" t="inlineStr"/>
    </row>
    <row r="85">
      <c r="A85" s="3" t="inlineStr">
        <is>
          <t>OT-000082</t>
        </is>
      </c>
      <c r="B85" s="3" t="inlineStr">
        <is>
          <t>0010</t>
        </is>
      </c>
      <c r="C85" s="3">
        <f>$A85&amp;IF($B85="","0010",$B85)</f>
        <v/>
      </c>
      <c r="D85" s="3" t="inlineStr">
        <is>
          <t>Lubricación programada — EQ-108</t>
        </is>
      </c>
      <c r="E85" s="3" t="inlineStr">
        <is>
          <t>Lubricación programada en EQ-108</t>
        </is>
      </c>
      <c r="F85" s="3" t="inlineStr">
        <is>
          <t>EQ-108</t>
        </is>
      </c>
      <c r="G85" s="3" t="inlineStr">
        <is>
          <t>CC-220</t>
        </is>
      </c>
      <c r="H85" s="3" t="inlineStr">
        <is>
          <t>PU-ELE</t>
        </is>
      </c>
      <c r="I85" s="3" t="inlineStr">
        <is>
          <t>ACT-02</t>
        </is>
      </c>
      <c r="J85" s="3" t="inlineStr">
        <is>
          <t>TIPO-P1</t>
        </is>
      </c>
      <c r="K85" s="11" t="n">
        <v>46238</v>
      </c>
      <c r="L85" s="3" t="n">
        <v>8</v>
      </c>
      <c r="M85" s="10" t="n">
        <v>200</v>
      </c>
      <c r="N85" s="3">
        <f>IFERROR(INDEX('CAT_ESTADOS_ERP'!$B$4:$B$7,MATCH(IFERROR(INDEX('2_IMPORTAR_EJECUCION'!$D$9:$D$171,MATCH($C85,'2_IMPORTAR_EJECUCION'!$A$9:$A$171,0)),""),'CAT_ESTADOS_ERP'!$A$4:$A$7,0)),"Pendiente")</f>
        <v/>
      </c>
      <c r="O85" s="3">
        <f>IF($K85="","","S"&amp;IF(_xlfn.ISOWEEKNUM($K85)=53,1,_xlfn.ISOWEEKNUM($K85)))</f>
        <v/>
      </c>
      <c r="P85" s="3">
        <f>IF($K85="","",YEAR($K85))</f>
        <v/>
      </c>
      <c r="Q85" s="3">
        <f>IF($K85="","",MONTH($K85))</f>
        <v/>
      </c>
      <c r="R85" s="3">
        <f>IF($K85="","",INDEX(lista_dias,WEEKDAY($K85,2)))</f>
        <v/>
      </c>
      <c r="S85" s="3">
        <f>IFERROR(INDEX('CAT_TIPOS_OT'!$C$4:$C$7,MATCH($J85,'CAT_TIPOS_OT'!$A$4:$A$7,0)),"sin_clasificar")</f>
        <v/>
      </c>
      <c r="T85" s="3">
        <f>IFERROR(INDEX('CAT_CENTROS_COSTO'!$E$4:$E$9,MATCH($G85,'CAT_CENTROS_COSTO'!$A$4:$A$9,0)),"(sin catálogo)")</f>
        <v/>
      </c>
      <c r="U85" s="3">
        <f>IFERROR(INDEX('CAT_CENTROS_COSTO'!$D$4:$D$9,MATCH($G85,'CAT_CENTROS_COSTO'!$A$4:$A$9,0)),"(sin catálogo)")</f>
        <v/>
      </c>
      <c r="V85" s="3">
        <f>IFERROR(INDEX('CAT_CENTROS_COSTO'!$F$4:$F$9,MATCH($G85,'CAT_CENTROS_COSTO'!$A$4:$A$9,0)),"(sin catálogo)")</f>
        <v/>
      </c>
      <c r="W85" s="3">
        <f>IFERROR(INDEX('CAT_PUESTOS'!$B$4:$B$8,MATCH($H85,'CAT_PUESTOS'!$A$4:$A$8,0)),"(sin catálogo)")</f>
        <v/>
      </c>
      <c r="X85" s="3">
        <f>IFERROR(INDEX('CAT_ACTIVIDADES'!$B$4:$B$8,MATCH($I85,'CAT_ACTIVIDADES'!$A$4:$A$8,0)),"(sin catálogo)")</f>
        <v/>
      </c>
      <c r="Y85" s="12">
        <f>IF($K85="","",TODAY()-$K85)</f>
        <v/>
      </c>
      <c r="Z85" s="3">
        <f>IF($Y85="","",IF($Y85&lt;0,"FUTURO",IF($Y85&gt;p_dias_backlog_max,"BACKLOG","MES CORRIENTE")))</f>
        <v/>
      </c>
      <c r="AA85" s="3">
        <f>IF($Y85="",FALSE,AND($Y85&gt;p_dias_backlog_min,$Y85&lt;=p_dias_backlog_max))</f>
        <v/>
      </c>
      <c r="AB85" s="6" t="inlineStr">
        <is>
          <t>Técnico 05</t>
        </is>
      </c>
      <c r="AC85" s="3">
        <f>IF($AB85="","",IFERROR(INDEX('ASIGNACIONES'!$F$4:$F$339,MATCH($O85&amp;"|"&amp;$R85&amp;"|"&amp;$AB85,'ASIGNACIONES'!$I$4:$I$339,0)),""))</f>
        <v/>
      </c>
      <c r="AD85" s="13">
        <f>IF($AB85="","",SUMIFS('ORDENES'!$L$4:$L$203,'ORDENES'!$AB$4:$AB$203,$AB85,'ORDENES'!$O$4:$O$203,$O85,'ORDENES'!$R$4:$R$203,$R85))</f>
        <v/>
      </c>
      <c r="AE85" s="13">
        <f>IF($AD85="","",p_factor_productividad*IFERROR(INDEX('ASIGNACIONES'!$H$4:$H$339,MATCH($O85&amp;"|"&amp;$R85&amp;"|"&amp;$AB85,'ASIGNACIONES'!$I$4:$I$339,0)),0)-$AD85)</f>
        <v/>
      </c>
      <c r="AF85" s="10">
        <f>IFERROR(INDEX('2_IMPORTAR_EJECUCION'!$G$9:$G$171,MATCH($C85,'2_IMPORTAR_EJECUCION'!$A$9:$A$171,0)),0)</f>
        <v/>
      </c>
      <c r="AG85" s="10">
        <f>MAX(0,IFERROR(INDEX('2_IMPORTAR_EJECUCION'!$I$9:$I$171,MATCH($C85,'2_IMPORTAR_EJECUCION'!$A$9:$A$171,0)),0)-$AF85)</f>
        <v/>
      </c>
      <c r="AH85" s="10">
        <f>$AF85+$AG85</f>
        <v/>
      </c>
      <c r="AI85" s="6" t="inlineStr"/>
      <c r="AJ85" s="6" t="inlineStr"/>
      <c r="AK85" s="6" t="inlineStr">
        <is>
          <t>ACT-02.pdf</t>
        </is>
      </c>
      <c r="AL85" s="3">
        <f>IF($AK85="","",HYPERLINK(p_ruta_base_checklists&amp;$AK85,"abrir"))</f>
        <v/>
      </c>
      <c r="AM85" s="6" t="inlineStr"/>
    </row>
    <row r="86">
      <c r="A86" s="3" t="inlineStr">
        <is>
          <t>OT-000083</t>
        </is>
      </c>
      <c r="B86" s="3" t="inlineStr">
        <is>
          <t>0010</t>
        </is>
      </c>
      <c r="C86" s="3">
        <f>$A86&amp;IF($B86="","0010",$B86)</f>
        <v/>
      </c>
      <c r="D86" s="3" t="inlineStr">
        <is>
          <t>Análisis predictivo — EQ-104</t>
        </is>
      </c>
      <c r="E86" s="3" t="inlineStr">
        <is>
          <t>Análisis predictivo en EQ-104</t>
        </is>
      </c>
      <c r="F86" s="3" t="inlineStr">
        <is>
          <t>EQ-104</t>
        </is>
      </c>
      <c r="G86" s="3" t="inlineStr">
        <is>
          <t>CC-120</t>
        </is>
      </c>
      <c r="H86" s="3" t="inlineStr">
        <is>
          <t>PU-ELE</t>
        </is>
      </c>
      <c r="I86" s="3" t="inlineStr">
        <is>
          <t>ACT-04</t>
        </is>
      </c>
      <c r="J86" s="3" t="inlineStr">
        <is>
          <t>TIPO-P2</t>
        </is>
      </c>
      <c r="K86" s="11" t="n">
        <v>46239</v>
      </c>
      <c r="L86" s="3" t="n">
        <v>8</v>
      </c>
      <c r="M86" s="10" t="n">
        <v>200</v>
      </c>
      <c r="N86" s="3">
        <f>IFERROR(INDEX('CAT_ESTADOS_ERP'!$B$4:$B$7,MATCH(IFERROR(INDEX('2_IMPORTAR_EJECUCION'!$D$9:$D$171,MATCH($C86,'2_IMPORTAR_EJECUCION'!$A$9:$A$171,0)),""),'CAT_ESTADOS_ERP'!$A$4:$A$7,0)),"Pendiente")</f>
        <v/>
      </c>
      <c r="O86" s="3">
        <f>IF($K86="","","S"&amp;IF(_xlfn.ISOWEEKNUM($K86)=53,1,_xlfn.ISOWEEKNUM($K86)))</f>
        <v/>
      </c>
      <c r="P86" s="3">
        <f>IF($K86="","",YEAR($K86))</f>
        <v/>
      </c>
      <c r="Q86" s="3">
        <f>IF($K86="","",MONTH($K86))</f>
        <v/>
      </c>
      <c r="R86" s="3">
        <f>IF($K86="","",INDEX(lista_dias,WEEKDAY($K86,2)))</f>
        <v/>
      </c>
      <c r="S86" s="3">
        <f>IFERROR(INDEX('CAT_TIPOS_OT'!$C$4:$C$7,MATCH($J86,'CAT_TIPOS_OT'!$A$4:$A$7,0)),"sin_clasificar")</f>
        <v/>
      </c>
      <c r="T86" s="3">
        <f>IFERROR(INDEX('CAT_CENTROS_COSTO'!$E$4:$E$9,MATCH($G86,'CAT_CENTROS_COSTO'!$A$4:$A$9,0)),"(sin catálogo)")</f>
        <v/>
      </c>
      <c r="U86" s="3">
        <f>IFERROR(INDEX('CAT_CENTROS_COSTO'!$D$4:$D$9,MATCH($G86,'CAT_CENTROS_COSTO'!$A$4:$A$9,0)),"(sin catálogo)")</f>
        <v/>
      </c>
      <c r="V86" s="3">
        <f>IFERROR(INDEX('CAT_CENTROS_COSTO'!$F$4:$F$9,MATCH($G86,'CAT_CENTROS_COSTO'!$A$4:$A$9,0)),"(sin catálogo)")</f>
        <v/>
      </c>
      <c r="W86" s="3">
        <f>IFERROR(INDEX('CAT_PUESTOS'!$B$4:$B$8,MATCH($H86,'CAT_PUESTOS'!$A$4:$A$8,0)),"(sin catálogo)")</f>
        <v/>
      </c>
      <c r="X86" s="3">
        <f>IFERROR(INDEX('CAT_ACTIVIDADES'!$B$4:$B$8,MATCH($I86,'CAT_ACTIVIDADES'!$A$4:$A$8,0)),"(sin catálogo)")</f>
        <v/>
      </c>
      <c r="Y86" s="12">
        <f>IF($K86="","",TODAY()-$K86)</f>
        <v/>
      </c>
      <c r="Z86" s="3">
        <f>IF($Y86="","",IF($Y86&lt;0,"FUTURO",IF($Y86&gt;p_dias_backlog_max,"BACKLOG","MES CORRIENTE")))</f>
        <v/>
      </c>
      <c r="AA86" s="3">
        <f>IF($Y86="",FALSE,AND($Y86&gt;p_dias_backlog_min,$Y86&lt;=p_dias_backlog_max))</f>
        <v/>
      </c>
      <c r="AB86" s="6" t="inlineStr">
        <is>
          <t>Técnico 06</t>
        </is>
      </c>
      <c r="AC86" s="3">
        <f>IF($AB86="","",IFERROR(INDEX('ASIGNACIONES'!$F$4:$F$339,MATCH($O86&amp;"|"&amp;$R86&amp;"|"&amp;$AB86,'ASIGNACIONES'!$I$4:$I$339,0)),""))</f>
        <v/>
      </c>
      <c r="AD86" s="13">
        <f>IF($AB86="","",SUMIFS('ORDENES'!$L$4:$L$203,'ORDENES'!$AB$4:$AB$203,$AB86,'ORDENES'!$O$4:$O$203,$O86,'ORDENES'!$R$4:$R$203,$R86))</f>
        <v/>
      </c>
      <c r="AE86" s="13">
        <f>IF($AD86="","",p_factor_productividad*IFERROR(INDEX('ASIGNACIONES'!$H$4:$H$339,MATCH($O86&amp;"|"&amp;$R86&amp;"|"&amp;$AB86,'ASIGNACIONES'!$I$4:$I$339,0)),0)-$AD86)</f>
        <v/>
      </c>
      <c r="AF86" s="10">
        <f>IFERROR(INDEX('2_IMPORTAR_EJECUCION'!$G$9:$G$171,MATCH($C86,'2_IMPORTAR_EJECUCION'!$A$9:$A$171,0)),0)</f>
        <v/>
      </c>
      <c r="AG86" s="10">
        <f>MAX(0,IFERROR(INDEX('2_IMPORTAR_EJECUCION'!$I$9:$I$171,MATCH($C86,'2_IMPORTAR_EJECUCION'!$A$9:$A$171,0)),0)-$AF86)</f>
        <v/>
      </c>
      <c r="AH86" s="10">
        <f>$AF86+$AG86</f>
        <v/>
      </c>
      <c r="AI86" s="6" t="inlineStr"/>
      <c r="AJ86" s="6" t="inlineStr"/>
      <c r="AK86" s="6" t="inlineStr">
        <is>
          <t>ACT-04.pdf</t>
        </is>
      </c>
      <c r="AL86" s="3">
        <f>IF($AK86="","",HYPERLINK(p_ruta_base_checklists&amp;$AK86,"abrir"))</f>
        <v/>
      </c>
      <c r="AM86" s="6" t="inlineStr"/>
    </row>
    <row r="87">
      <c r="A87" s="3" t="inlineStr">
        <is>
          <t>OT-000084</t>
        </is>
      </c>
      <c r="B87" s="3" t="inlineStr">
        <is>
          <t>0010</t>
        </is>
      </c>
      <c r="C87" s="3">
        <f>$A87&amp;IF($B87="","0010",$B87)</f>
        <v/>
      </c>
      <c r="D87" s="3" t="inlineStr">
        <is>
          <t>Reparación de falla — EQ-106</t>
        </is>
      </c>
      <c r="E87" s="3" t="inlineStr">
        <is>
          <t>Reparación de falla en EQ-106</t>
        </is>
      </c>
      <c r="F87" s="3" t="inlineStr">
        <is>
          <t>EQ-106</t>
        </is>
      </c>
      <c r="G87" s="3" t="inlineStr">
        <is>
          <t>CC-220</t>
        </is>
      </c>
      <c r="H87" s="3" t="inlineStr">
        <is>
          <t>PU-ELE</t>
        </is>
      </c>
      <c r="I87" s="3" t="inlineStr">
        <is>
          <t>ACT-03</t>
        </is>
      </c>
      <c r="J87" s="3" t="inlineStr">
        <is>
          <t>TIPO-C1</t>
        </is>
      </c>
      <c r="K87" s="11" t="n">
        <v>46240</v>
      </c>
      <c r="L87" s="3" t="n">
        <v>10</v>
      </c>
      <c r="M87" s="10" t="n">
        <v>400</v>
      </c>
      <c r="N87" s="3">
        <f>IFERROR(INDEX('CAT_ESTADOS_ERP'!$B$4:$B$7,MATCH(IFERROR(INDEX('2_IMPORTAR_EJECUCION'!$D$9:$D$171,MATCH($C87,'2_IMPORTAR_EJECUCION'!$A$9:$A$171,0)),""),'CAT_ESTADOS_ERP'!$A$4:$A$7,0)),"Pendiente")</f>
        <v/>
      </c>
      <c r="O87" s="3">
        <f>IF($K87="","","S"&amp;IF(_xlfn.ISOWEEKNUM($K87)=53,1,_xlfn.ISOWEEKNUM($K87)))</f>
        <v/>
      </c>
      <c r="P87" s="3">
        <f>IF($K87="","",YEAR($K87))</f>
        <v/>
      </c>
      <c r="Q87" s="3">
        <f>IF($K87="","",MONTH($K87))</f>
        <v/>
      </c>
      <c r="R87" s="3">
        <f>IF($K87="","",INDEX(lista_dias,WEEKDAY($K87,2)))</f>
        <v/>
      </c>
      <c r="S87" s="3">
        <f>IFERROR(INDEX('CAT_TIPOS_OT'!$C$4:$C$7,MATCH($J87,'CAT_TIPOS_OT'!$A$4:$A$7,0)),"sin_clasificar")</f>
        <v/>
      </c>
      <c r="T87" s="3">
        <f>IFERROR(INDEX('CAT_CENTROS_COSTO'!$E$4:$E$9,MATCH($G87,'CAT_CENTROS_COSTO'!$A$4:$A$9,0)),"(sin catálogo)")</f>
        <v/>
      </c>
      <c r="U87" s="3">
        <f>IFERROR(INDEX('CAT_CENTROS_COSTO'!$D$4:$D$9,MATCH($G87,'CAT_CENTROS_COSTO'!$A$4:$A$9,0)),"(sin catálogo)")</f>
        <v/>
      </c>
      <c r="V87" s="3">
        <f>IFERROR(INDEX('CAT_CENTROS_COSTO'!$F$4:$F$9,MATCH($G87,'CAT_CENTROS_COSTO'!$A$4:$A$9,0)),"(sin catálogo)")</f>
        <v/>
      </c>
      <c r="W87" s="3">
        <f>IFERROR(INDEX('CAT_PUESTOS'!$B$4:$B$8,MATCH($H87,'CAT_PUESTOS'!$A$4:$A$8,0)),"(sin catálogo)")</f>
        <v/>
      </c>
      <c r="X87" s="3">
        <f>IFERROR(INDEX('CAT_ACTIVIDADES'!$B$4:$B$8,MATCH($I87,'CAT_ACTIVIDADES'!$A$4:$A$8,0)),"(sin catálogo)")</f>
        <v/>
      </c>
      <c r="Y87" s="12">
        <f>IF($K87="","",TODAY()-$K87)</f>
        <v/>
      </c>
      <c r="Z87" s="3">
        <f>IF($Y87="","",IF($Y87&lt;0,"FUTURO",IF($Y87&gt;p_dias_backlog_max,"BACKLOG","MES CORRIENTE")))</f>
        <v/>
      </c>
      <c r="AA87" s="3">
        <f>IF($Y87="",FALSE,AND($Y87&gt;p_dias_backlog_min,$Y87&lt;=p_dias_backlog_max))</f>
        <v/>
      </c>
      <c r="AB87" s="6" t="inlineStr"/>
      <c r="AC87" s="3">
        <f>IF($AB87="","",IFERROR(INDEX('ASIGNACIONES'!$F$4:$F$339,MATCH($O87&amp;"|"&amp;$R87&amp;"|"&amp;$AB87,'ASIGNACIONES'!$I$4:$I$339,0)),""))</f>
        <v/>
      </c>
      <c r="AD87" s="13">
        <f>IF($AB87="","",SUMIFS('ORDENES'!$L$4:$L$203,'ORDENES'!$AB$4:$AB$203,$AB87,'ORDENES'!$O$4:$O$203,$O87,'ORDENES'!$R$4:$R$203,$R87))</f>
        <v/>
      </c>
      <c r="AE87" s="13">
        <f>IF($AD87="","",p_factor_productividad*IFERROR(INDEX('ASIGNACIONES'!$H$4:$H$339,MATCH($O87&amp;"|"&amp;$R87&amp;"|"&amp;$AB87,'ASIGNACIONES'!$I$4:$I$339,0)),0)-$AD87)</f>
        <v/>
      </c>
      <c r="AF87" s="10">
        <f>IFERROR(INDEX('2_IMPORTAR_EJECUCION'!$G$9:$G$171,MATCH($C87,'2_IMPORTAR_EJECUCION'!$A$9:$A$171,0)),0)</f>
        <v/>
      </c>
      <c r="AG87" s="10">
        <f>MAX(0,IFERROR(INDEX('2_IMPORTAR_EJECUCION'!$I$9:$I$171,MATCH($C87,'2_IMPORTAR_EJECUCION'!$A$9:$A$171,0)),0)-$AF87)</f>
        <v/>
      </c>
      <c r="AH87" s="10">
        <f>$AF87+$AG87</f>
        <v/>
      </c>
      <c r="AI87" s="6" t="inlineStr">
        <is>
          <t>PT-CALIENTE</t>
        </is>
      </c>
      <c r="AJ87" s="6" t="inlineStr">
        <is>
          <t>LOTO</t>
        </is>
      </c>
      <c r="AK87" s="6" t="inlineStr"/>
      <c r="AL87" s="3">
        <f>IF($AK87="","",HYPERLINK(p_ruta_base_checklists&amp;$AK87,"abrir"))</f>
        <v/>
      </c>
      <c r="AM87" s="6" t="inlineStr"/>
    </row>
    <row r="88">
      <c r="A88" s="3" t="inlineStr">
        <is>
          <t>OT-000085</t>
        </is>
      </c>
      <c r="B88" s="3" t="inlineStr">
        <is>
          <t>0010</t>
        </is>
      </c>
      <c r="C88" s="3">
        <f>$A88&amp;IF($B88="","0010",$B88)</f>
        <v/>
      </c>
      <c r="D88" s="3" t="inlineStr">
        <is>
          <t>Lubricación programada — EQ-101</t>
        </is>
      </c>
      <c r="E88" s="3" t="inlineStr">
        <is>
          <t>Lubricación programada en EQ-101</t>
        </is>
      </c>
      <c r="F88" s="3" t="inlineStr">
        <is>
          <t>EQ-101</t>
        </is>
      </c>
      <c r="G88" s="3" t="inlineStr">
        <is>
          <t>CC-110</t>
        </is>
      </c>
      <c r="H88" s="3" t="inlineStr">
        <is>
          <t>PU-AUT</t>
        </is>
      </c>
      <c r="I88" s="3" t="inlineStr">
        <is>
          <t>ACT-02</t>
        </is>
      </c>
      <c r="J88" s="3" t="inlineStr">
        <is>
          <t>TIPO-P2</t>
        </is>
      </c>
      <c r="K88" s="11" t="n">
        <v>46220</v>
      </c>
      <c r="L88" s="3" t="n">
        <v>10</v>
      </c>
      <c r="M88" s="10" t="n">
        <v>250</v>
      </c>
      <c r="N88" s="3">
        <f>IFERROR(INDEX('CAT_ESTADOS_ERP'!$B$4:$B$7,MATCH(IFERROR(INDEX('2_IMPORTAR_EJECUCION'!$D$9:$D$171,MATCH($C88,'2_IMPORTAR_EJECUCION'!$A$9:$A$171,0)),""),'CAT_ESTADOS_ERP'!$A$4:$A$7,0)),"Pendiente")</f>
        <v/>
      </c>
      <c r="O88" s="3">
        <f>IF($K88="","","S"&amp;IF(_xlfn.ISOWEEKNUM($K88)=53,1,_xlfn.ISOWEEKNUM($K88)))</f>
        <v/>
      </c>
      <c r="P88" s="3">
        <f>IF($K88="","",YEAR($K88))</f>
        <v/>
      </c>
      <c r="Q88" s="3">
        <f>IF($K88="","",MONTH($K88))</f>
        <v/>
      </c>
      <c r="R88" s="3">
        <f>IF($K88="","",INDEX(lista_dias,WEEKDAY($K88,2)))</f>
        <v/>
      </c>
      <c r="S88" s="3">
        <f>IFERROR(INDEX('CAT_TIPOS_OT'!$C$4:$C$7,MATCH($J88,'CAT_TIPOS_OT'!$A$4:$A$7,0)),"sin_clasificar")</f>
        <v/>
      </c>
      <c r="T88" s="3">
        <f>IFERROR(INDEX('CAT_CENTROS_COSTO'!$E$4:$E$9,MATCH($G88,'CAT_CENTROS_COSTO'!$A$4:$A$9,0)),"(sin catálogo)")</f>
        <v/>
      </c>
      <c r="U88" s="3">
        <f>IFERROR(INDEX('CAT_CENTROS_COSTO'!$D$4:$D$9,MATCH($G88,'CAT_CENTROS_COSTO'!$A$4:$A$9,0)),"(sin catálogo)")</f>
        <v/>
      </c>
      <c r="V88" s="3">
        <f>IFERROR(INDEX('CAT_CENTROS_COSTO'!$F$4:$F$9,MATCH($G88,'CAT_CENTROS_COSTO'!$A$4:$A$9,0)),"(sin catálogo)")</f>
        <v/>
      </c>
      <c r="W88" s="3">
        <f>IFERROR(INDEX('CAT_PUESTOS'!$B$4:$B$8,MATCH($H88,'CAT_PUESTOS'!$A$4:$A$8,0)),"(sin catálogo)")</f>
        <v/>
      </c>
      <c r="X88" s="3">
        <f>IFERROR(INDEX('CAT_ACTIVIDADES'!$B$4:$B$8,MATCH($I88,'CAT_ACTIVIDADES'!$A$4:$A$8,0)),"(sin catálogo)")</f>
        <v/>
      </c>
      <c r="Y88" s="12">
        <f>IF($K88="","",TODAY()-$K88)</f>
        <v/>
      </c>
      <c r="Z88" s="3">
        <f>IF($Y88="","",IF($Y88&lt;0,"FUTURO",IF($Y88&gt;p_dias_backlog_max,"BACKLOG","MES CORRIENTE")))</f>
        <v/>
      </c>
      <c r="AA88" s="3">
        <f>IF($Y88="",FALSE,AND($Y88&gt;p_dias_backlog_min,$Y88&lt;=p_dias_backlog_max))</f>
        <v/>
      </c>
      <c r="AB88" s="6" t="inlineStr">
        <is>
          <t>Técnico 08</t>
        </is>
      </c>
      <c r="AC88" s="3">
        <f>IF($AB88="","",IFERROR(INDEX('ASIGNACIONES'!$F$4:$F$339,MATCH($O88&amp;"|"&amp;$R88&amp;"|"&amp;$AB88,'ASIGNACIONES'!$I$4:$I$339,0)),""))</f>
        <v/>
      </c>
      <c r="AD88" s="13">
        <f>IF($AB88="","",SUMIFS('ORDENES'!$L$4:$L$203,'ORDENES'!$AB$4:$AB$203,$AB88,'ORDENES'!$O$4:$O$203,$O88,'ORDENES'!$R$4:$R$203,$R88))</f>
        <v/>
      </c>
      <c r="AE88" s="13">
        <f>IF($AD88="","",p_factor_productividad*IFERROR(INDEX('ASIGNACIONES'!$H$4:$H$339,MATCH($O88&amp;"|"&amp;$R88&amp;"|"&amp;$AB88,'ASIGNACIONES'!$I$4:$I$339,0)),0)-$AD88)</f>
        <v/>
      </c>
      <c r="AF88" s="10">
        <f>IFERROR(INDEX('2_IMPORTAR_EJECUCION'!$G$9:$G$171,MATCH($C88,'2_IMPORTAR_EJECUCION'!$A$9:$A$171,0)),0)</f>
        <v/>
      </c>
      <c r="AG88" s="10">
        <f>MAX(0,IFERROR(INDEX('2_IMPORTAR_EJECUCION'!$I$9:$I$171,MATCH($C88,'2_IMPORTAR_EJECUCION'!$A$9:$A$171,0)),0)-$AF88)</f>
        <v/>
      </c>
      <c r="AH88" s="10">
        <f>$AF88+$AG88</f>
        <v/>
      </c>
      <c r="AI88" s="6" t="inlineStr"/>
      <c r="AJ88" s="6" t="inlineStr"/>
      <c r="AK88" s="6" t="inlineStr">
        <is>
          <t>ACT-02.pdf</t>
        </is>
      </c>
      <c r="AL88" s="3">
        <f>IF($AK88="","",HYPERLINK(p_ruta_base_checklists&amp;$AK88,"abrir"))</f>
        <v/>
      </c>
      <c r="AM88" s="6" t="inlineStr"/>
    </row>
    <row r="89">
      <c r="A89" s="3" t="inlineStr">
        <is>
          <t>OT-000086</t>
        </is>
      </c>
      <c r="B89" s="3" t="inlineStr">
        <is>
          <t>0010</t>
        </is>
      </c>
      <c r="C89" s="3">
        <f>$A89&amp;IF($B89="","0010",$B89)</f>
        <v/>
      </c>
      <c r="D89" s="3" t="inlineStr">
        <is>
          <t>Análisis predictivo — EQ-108</t>
        </is>
      </c>
      <c r="E89" s="3" t="inlineStr">
        <is>
          <t>Análisis predictivo en EQ-108</t>
        </is>
      </c>
      <c r="F89" s="3" t="inlineStr">
        <is>
          <t>EQ-108</t>
        </is>
      </c>
      <c r="G89" s="3" t="inlineStr">
        <is>
          <t>CC-220</t>
        </is>
      </c>
      <c r="H89" s="3" t="inlineStr">
        <is>
          <t>PU-AUT</t>
        </is>
      </c>
      <c r="I89" s="3" t="inlineStr">
        <is>
          <t>ACT-04</t>
        </is>
      </c>
      <c r="J89" s="3" t="inlineStr">
        <is>
          <t>TIPO-P1</t>
        </is>
      </c>
      <c r="K89" s="11" t="n">
        <v>46216</v>
      </c>
      <c r="L89" s="3" t="n">
        <v>8</v>
      </c>
      <c r="M89" s="10" t="n">
        <v>200</v>
      </c>
      <c r="N89" s="3">
        <f>IFERROR(INDEX('CAT_ESTADOS_ERP'!$B$4:$B$7,MATCH(IFERROR(INDEX('2_IMPORTAR_EJECUCION'!$D$9:$D$171,MATCH($C89,'2_IMPORTAR_EJECUCION'!$A$9:$A$171,0)),""),'CAT_ESTADOS_ERP'!$A$4:$A$7,0)),"Pendiente")</f>
        <v/>
      </c>
      <c r="O89" s="3">
        <f>IF($K89="","","S"&amp;IF(_xlfn.ISOWEEKNUM($K89)=53,1,_xlfn.ISOWEEKNUM($K89)))</f>
        <v/>
      </c>
      <c r="P89" s="3">
        <f>IF($K89="","",YEAR($K89))</f>
        <v/>
      </c>
      <c r="Q89" s="3">
        <f>IF($K89="","",MONTH($K89))</f>
        <v/>
      </c>
      <c r="R89" s="3">
        <f>IF($K89="","",INDEX(lista_dias,WEEKDAY($K89,2)))</f>
        <v/>
      </c>
      <c r="S89" s="3">
        <f>IFERROR(INDEX('CAT_TIPOS_OT'!$C$4:$C$7,MATCH($J89,'CAT_TIPOS_OT'!$A$4:$A$7,0)),"sin_clasificar")</f>
        <v/>
      </c>
      <c r="T89" s="3">
        <f>IFERROR(INDEX('CAT_CENTROS_COSTO'!$E$4:$E$9,MATCH($G89,'CAT_CENTROS_COSTO'!$A$4:$A$9,0)),"(sin catálogo)")</f>
        <v/>
      </c>
      <c r="U89" s="3">
        <f>IFERROR(INDEX('CAT_CENTROS_COSTO'!$D$4:$D$9,MATCH($G89,'CAT_CENTROS_COSTO'!$A$4:$A$9,0)),"(sin catálogo)")</f>
        <v/>
      </c>
      <c r="V89" s="3">
        <f>IFERROR(INDEX('CAT_CENTROS_COSTO'!$F$4:$F$9,MATCH($G89,'CAT_CENTROS_COSTO'!$A$4:$A$9,0)),"(sin catálogo)")</f>
        <v/>
      </c>
      <c r="W89" s="3">
        <f>IFERROR(INDEX('CAT_PUESTOS'!$B$4:$B$8,MATCH($H89,'CAT_PUESTOS'!$A$4:$A$8,0)),"(sin catálogo)")</f>
        <v/>
      </c>
      <c r="X89" s="3">
        <f>IFERROR(INDEX('CAT_ACTIVIDADES'!$B$4:$B$8,MATCH($I89,'CAT_ACTIVIDADES'!$A$4:$A$8,0)),"(sin catálogo)")</f>
        <v/>
      </c>
      <c r="Y89" s="12">
        <f>IF($K89="","",TODAY()-$K89)</f>
        <v/>
      </c>
      <c r="Z89" s="3">
        <f>IF($Y89="","",IF($Y89&lt;0,"FUTURO",IF($Y89&gt;p_dias_backlog_max,"BACKLOG","MES CORRIENTE")))</f>
        <v/>
      </c>
      <c r="AA89" s="3">
        <f>IF($Y89="",FALSE,AND($Y89&gt;p_dias_backlog_min,$Y89&lt;=p_dias_backlog_max))</f>
        <v/>
      </c>
      <c r="AB89" s="6" t="inlineStr">
        <is>
          <t>Técnico 09</t>
        </is>
      </c>
      <c r="AC89" s="3">
        <f>IF($AB89="","",IFERROR(INDEX('ASIGNACIONES'!$F$4:$F$339,MATCH($O89&amp;"|"&amp;$R89&amp;"|"&amp;$AB89,'ASIGNACIONES'!$I$4:$I$339,0)),""))</f>
        <v/>
      </c>
      <c r="AD89" s="13">
        <f>IF($AB89="","",SUMIFS('ORDENES'!$L$4:$L$203,'ORDENES'!$AB$4:$AB$203,$AB89,'ORDENES'!$O$4:$O$203,$O89,'ORDENES'!$R$4:$R$203,$R89))</f>
        <v/>
      </c>
      <c r="AE89" s="13">
        <f>IF($AD89="","",p_factor_productividad*IFERROR(INDEX('ASIGNACIONES'!$H$4:$H$339,MATCH($O89&amp;"|"&amp;$R89&amp;"|"&amp;$AB89,'ASIGNACIONES'!$I$4:$I$339,0)),0)-$AD89)</f>
        <v/>
      </c>
      <c r="AF89" s="10">
        <f>IFERROR(INDEX('2_IMPORTAR_EJECUCION'!$G$9:$G$171,MATCH($C89,'2_IMPORTAR_EJECUCION'!$A$9:$A$171,0)),0)</f>
        <v/>
      </c>
      <c r="AG89" s="10">
        <f>MAX(0,IFERROR(INDEX('2_IMPORTAR_EJECUCION'!$I$9:$I$171,MATCH($C89,'2_IMPORTAR_EJECUCION'!$A$9:$A$171,0)),0)-$AF89)</f>
        <v/>
      </c>
      <c r="AH89" s="10">
        <f>$AF89+$AG89</f>
        <v/>
      </c>
      <c r="AI89" s="6" t="inlineStr"/>
      <c r="AJ89" s="6" t="inlineStr"/>
      <c r="AK89" s="6" t="inlineStr">
        <is>
          <t>ACT-04.pdf</t>
        </is>
      </c>
      <c r="AL89" s="3">
        <f>IF($AK89="","",HYPERLINK(p_ruta_base_checklists&amp;$AK89,"abrir"))</f>
        <v/>
      </c>
      <c r="AM89" s="6" t="inlineStr"/>
    </row>
    <row r="90">
      <c r="A90" s="3" t="inlineStr">
        <is>
          <t>OT-000087</t>
        </is>
      </c>
      <c r="B90" s="3" t="inlineStr">
        <is>
          <t>0010</t>
        </is>
      </c>
      <c r="C90" s="3">
        <f>$A90&amp;IF($B90="","0010",$B90)</f>
        <v/>
      </c>
      <c r="D90" s="3" t="inlineStr">
        <is>
          <t>Inspección de rutina — EQ-103</t>
        </is>
      </c>
      <c r="E90" s="3" t="inlineStr">
        <is>
          <t>Inspección de rutina en EQ-103</t>
        </is>
      </c>
      <c r="F90" s="3" t="inlineStr">
        <is>
          <t>EQ-103</t>
        </is>
      </c>
      <c r="G90" s="3" t="inlineStr">
        <is>
          <t>CC-110</t>
        </is>
      </c>
      <c r="H90" s="3" t="inlineStr">
        <is>
          <t>PU-AUT</t>
        </is>
      </c>
      <c r="I90" s="3" t="inlineStr">
        <is>
          <t>ACT-01</t>
        </is>
      </c>
      <c r="J90" s="3" t="inlineStr">
        <is>
          <t>TIPO-P2</t>
        </is>
      </c>
      <c r="K90" s="11" t="n">
        <v>46217</v>
      </c>
      <c r="L90" s="3" t="n">
        <v>6</v>
      </c>
      <c r="M90" s="10" t="n">
        <v>150</v>
      </c>
      <c r="N90" s="3">
        <f>IFERROR(INDEX('CAT_ESTADOS_ERP'!$B$4:$B$7,MATCH(IFERROR(INDEX('2_IMPORTAR_EJECUCION'!$D$9:$D$171,MATCH($C90,'2_IMPORTAR_EJECUCION'!$A$9:$A$171,0)),""),'CAT_ESTADOS_ERP'!$A$4:$A$7,0)),"Pendiente")</f>
        <v/>
      </c>
      <c r="O90" s="3">
        <f>IF($K90="","","S"&amp;IF(_xlfn.ISOWEEKNUM($K90)=53,1,_xlfn.ISOWEEKNUM($K90)))</f>
        <v/>
      </c>
      <c r="P90" s="3">
        <f>IF($K90="","",YEAR($K90))</f>
        <v/>
      </c>
      <c r="Q90" s="3">
        <f>IF($K90="","",MONTH($K90))</f>
        <v/>
      </c>
      <c r="R90" s="3">
        <f>IF($K90="","",INDEX(lista_dias,WEEKDAY($K90,2)))</f>
        <v/>
      </c>
      <c r="S90" s="3">
        <f>IFERROR(INDEX('CAT_TIPOS_OT'!$C$4:$C$7,MATCH($J90,'CAT_TIPOS_OT'!$A$4:$A$7,0)),"sin_clasificar")</f>
        <v/>
      </c>
      <c r="T90" s="3">
        <f>IFERROR(INDEX('CAT_CENTROS_COSTO'!$E$4:$E$9,MATCH($G90,'CAT_CENTROS_COSTO'!$A$4:$A$9,0)),"(sin catálogo)")</f>
        <v/>
      </c>
      <c r="U90" s="3">
        <f>IFERROR(INDEX('CAT_CENTROS_COSTO'!$D$4:$D$9,MATCH($G90,'CAT_CENTROS_COSTO'!$A$4:$A$9,0)),"(sin catálogo)")</f>
        <v/>
      </c>
      <c r="V90" s="3">
        <f>IFERROR(INDEX('CAT_CENTROS_COSTO'!$F$4:$F$9,MATCH($G90,'CAT_CENTROS_COSTO'!$A$4:$A$9,0)),"(sin catálogo)")</f>
        <v/>
      </c>
      <c r="W90" s="3">
        <f>IFERROR(INDEX('CAT_PUESTOS'!$B$4:$B$8,MATCH($H90,'CAT_PUESTOS'!$A$4:$A$8,0)),"(sin catálogo)")</f>
        <v/>
      </c>
      <c r="X90" s="3">
        <f>IFERROR(INDEX('CAT_ACTIVIDADES'!$B$4:$B$8,MATCH($I90,'CAT_ACTIVIDADES'!$A$4:$A$8,0)),"(sin catálogo)")</f>
        <v/>
      </c>
      <c r="Y90" s="12">
        <f>IF($K90="","",TODAY()-$K90)</f>
        <v/>
      </c>
      <c r="Z90" s="3">
        <f>IF($Y90="","",IF($Y90&lt;0,"FUTURO",IF($Y90&gt;p_dias_backlog_max,"BACKLOG","MES CORRIENTE")))</f>
        <v/>
      </c>
      <c r="AA90" s="3">
        <f>IF($Y90="",FALSE,AND($Y90&gt;p_dias_backlog_min,$Y90&lt;=p_dias_backlog_max))</f>
        <v/>
      </c>
      <c r="AB90" s="6" t="inlineStr">
        <is>
          <t>Técnico 08</t>
        </is>
      </c>
      <c r="AC90" s="3">
        <f>IF($AB90="","",IFERROR(INDEX('ASIGNACIONES'!$F$4:$F$339,MATCH($O90&amp;"|"&amp;$R90&amp;"|"&amp;$AB90,'ASIGNACIONES'!$I$4:$I$339,0)),""))</f>
        <v/>
      </c>
      <c r="AD90" s="13">
        <f>IF($AB90="","",SUMIFS('ORDENES'!$L$4:$L$203,'ORDENES'!$AB$4:$AB$203,$AB90,'ORDENES'!$O$4:$O$203,$O90,'ORDENES'!$R$4:$R$203,$R90))</f>
        <v/>
      </c>
      <c r="AE90" s="13">
        <f>IF($AD90="","",p_factor_productividad*IFERROR(INDEX('ASIGNACIONES'!$H$4:$H$339,MATCH($O90&amp;"|"&amp;$R90&amp;"|"&amp;$AB90,'ASIGNACIONES'!$I$4:$I$339,0)),0)-$AD90)</f>
        <v/>
      </c>
      <c r="AF90" s="10">
        <f>IFERROR(INDEX('2_IMPORTAR_EJECUCION'!$G$9:$G$171,MATCH($C90,'2_IMPORTAR_EJECUCION'!$A$9:$A$171,0)),0)</f>
        <v/>
      </c>
      <c r="AG90" s="10">
        <f>MAX(0,IFERROR(INDEX('2_IMPORTAR_EJECUCION'!$I$9:$I$171,MATCH($C90,'2_IMPORTAR_EJECUCION'!$A$9:$A$171,0)),0)-$AF90)</f>
        <v/>
      </c>
      <c r="AH90" s="10">
        <f>$AF90+$AG90</f>
        <v/>
      </c>
      <c r="AI90" s="6" t="inlineStr"/>
      <c r="AJ90" s="6" t="inlineStr"/>
      <c r="AK90" s="6" t="inlineStr">
        <is>
          <t>ACT-01.pdf</t>
        </is>
      </c>
      <c r="AL90" s="3">
        <f>IF($AK90="","",HYPERLINK(p_ruta_base_checklists&amp;$AK90,"abrir"))</f>
        <v/>
      </c>
      <c r="AM90" s="6" t="inlineStr"/>
    </row>
    <row r="91">
      <c r="A91" s="3" t="inlineStr">
        <is>
          <t>OT-000088</t>
        </is>
      </c>
      <c r="B91" s="3" t="inlineStr">
        <is>
          <t>0010</t>
        </is>
      </c>
      <c r="C91" s="3">
        <f>$A91&amp;IF($B91="","0010",$B91)</f>
        <v/>
      </c>
      <c r="D91" s="3" t="inlineStr">
        <is>
          <t>Lubricación programada — EQ-106</t>
        </is>
      </c>
      <c r="E91" s="3" t="inlineStr">
        <is>
          <t>Lubricación programada en EQ-106</t>
        </is>
      </c>
      <c r="F91" s="3" t="inlineStr">
        <is>
          <t>EQ-106</t>
        </is>
      </c>
      <c r="G91" s="3" t="inlineStr">
        <is>
          <t>CC-220</t>
        </is>
      </c>
      <c r="H91" s="3" t="inlineStr">
        <is>
          <t>PU-AUT</t>
        </is>
      </c>
      <c r="I91" s="3" t="inlineStr">
        <is>
          <t>ACT-02</t>
        </is>
      </c>
      <c r="J91" s="3" t="inlineStr">
        <is>
          <t>TIPO-P1</t>
        </is>
      </c>
      <c r="K91" s="11" t="n">
        <v>46218</v>
      </c>
      <c r="L91" s="3" t="n">
        <v>10</v>
      </c>
      <c r="M91" s="10" t="n">
        <v>250</v>
      </c>
      <c r="N91" s="3">
        <f>IFERROR(INDEX('CAT_ESTADOS_ERP'!$B$4:$B$7,MATCH(IFERROR(INDEX('2_IMPORTAR_EJECUCION'!$D$9:$D$171,MATCH($C91,'2_IMPORTAR_EJECUCION'!$A$9:$A$171,0)),""),'CAT_ESTADOS_ERP'!$A$4:$A$7,0)),"Pendiente")</f>
        <v/>
      </c>
      <c r="O91" s="3">
        <f>IF($K91="","","S"&amp;IF(_xlfn.ISOWEEKNUM($K91)=53,1,_xlfn.ISOWEEKNUM($K91)))</f>
        <v/>
      </c>
      <c r="P91" s="3">
        <f>IF($K91="","",YEAR($K91))</f>
        <v/>
      </c>
      <c r="Q91" s="3">
        <f>IF($K91="","",MONTH($K91))</f>
        <v/>
      </c>
      <c r="R91" s="3">
        <f>IF($K91="","",INDEX(lista_dias,WEEKDAY($K91,2)))</f>
        <v/>
      </c>
      <c r="S91" s="3">
        <f>IFERROR(INDEX('CAT_TIPOS_OT'!$C$4:$C$7,MATCH($J91,'CAT_TIPOS_OT'!$A$4:$A$7,0)),"sin_clasificar")</f>
        <v/>
      </c>
      <c r="T91" s="3">
        <f>IFERROR(INDEX('CAT_CENTROS_COSTO'!$E$4:$E$9,MATCH($G91,'CAT_CENTROS_COSTO'!$A$4:$A$9,0)),"(sin catálogo)")</f>
        <v/>
      </c>
      <c r="U91" s="3">
        <f>IFERROR(INDEX('CAT_CENTROS_COSTO'!$D$4:$D$9,MATCH($G91,'CAT_CENTROS_COSTO'!$A$4:$A$9,0)),"(sin catálogo)")</f>
        <v/>
      </c>
      <c r="V91" s="3">
        <f>IFERROR(INDEX('CAT_CENTROS_COSTO'!$F$4:$F$9,MATCH($G91,'CAT_CENTROS_COSTO'!$A$4:$A$9,0)),"(sin catálogo)")</f>
        <v/>
      </c>
      <c r="W91" s="3">
        <f>IFERROR(INDEX('CAT_PUESTOS'!$B$4:$B$8,MATCH($H91,'CAT_PUESTOS'!$A$4:$A$8,0)),"(sin catálogo)")</f>
        <v/>
      </c>
      <c r="X91" s="3">
        <f>IFERROR(INDEX('CAT_ACTIVIDADES'!$B$4:$B$8,MATCH($I91,'CAT_ACTIVIDADES'!$A$4:$A$8,0)),"(sin catálogo)")</f>
        <v/>
      </c>
      <c r="Y91" s="12">
        <f>IF($K91="","",TODAY()-$K91)</f>
        <v/>
      </c>
      <c r="Z91" s="3">
        <f>IF($Y91="","",IF($Y91&lt;0,"FUTURO",IF($Y91&gt;p_dias_backlog_max,"BACKLOG","MES CORRIENTE")))</f>
        <v/>
      </c>
      <c r="AA91" s="3">
        <f>IF($Y91="",FALSE,AND($Y91&gt;p_dias_backlog_min,$Y91&lt;=p_dias_backlog_max))</f>
        <v/>
      </c>
      <c r="AB91" s="6" t="inlineStr">
        <is>
          <t>Técnico 09</t>
        </is>
      </c>
      <c r="AC91" s="3">
        <f>IF($AB91="","",IFERROR(INDEX('ASIGNACIONES'!$F$4:$F$339,MATCH($O91&amp;"|"&amp;$R91&amp;"|"&amp;$AB91,'ASIGNACIONES'!$I$4:$I$339,0)),""))</f>
        <v/>
      </c>
      <c r="AD91" s="13">
        <f>IF($AB91="","",SUMIFS('ORDENES'!$L$4:$L$203,'ORDENES'!$AB$4:$AB$203,$AB91,'ORDENES'!$O$4:$O$203,$O91,'ORDENES'!$R$4:$R$203,$R91))</f>
        <v/>
      </c>
      <c r="AE91" s="13">
        <f>IF($AD91="","",p_factor_productividad*IFERROR(INDEX('ASIGNACIONES'!$H$4:$H$339,MATCH($O91&amp;"|"&amp;$R91&amp;"|"&amp;$AB91,'ASIGNACIONES'!$I$4:$I$339,0)),0)-$AD91)</f>
        <v/>
      </c>
      <c r="AF91" s="10">
        <f>IFERROR(INDEX('2_IMPORTAR_EJECUCION'!$G$9:$G$171,MATCH($C91,'2_IMPORTAR_EJECUCION'!$A$9:$A$171,0)),0)</f>
        <v/>
      </c>
      <c r="AG91" s="10">
        <f>MAX(0,IFERROR(INDEX('2_IMPORTAR_EJECUCION'!$I$9:$I$171,MATCH($C91,'2_IMPORTAR_EJECUCION'!$A$9:$A$171,0)),0)-$AF91)</f>
        <v/>
      </c>
      <c r="AH91" s="10">
        <f>$AF91+$AG91</f>
        <v/>
      </c>
      <c r="AI91" s="6" t="inlineStr"/>
      <c r="AJ91" s="6" t="inlineStr"/>
      <c r="AK91" s="6" t="inlineStr">
        <is>
          <t>ACT-02.pdf</t>
        </is>
      </c>
      <c r="AL91" s="3">
        <f>IF($AK91="","",HYPERLINK(p_ruta_base_checklists&amp;$AK91,"abrir"))</f>
        <v/>
      </c>
      <c r="AM91" s="6" t="inlineStr"/>
    </row>
    <row r="92">
      <c r="A92" s="3" t="inlineStr">
        <is>
          <t>OT-000089</t>
        </is>
      </c>
      <c r="B92" s="3" t="inlineStr">
        <is>
          <t>0010</t>
        </is>
      </c>
      <c r="C92" s="3">
        <f>$A92&amp;IF($B92="","0010",$B92)</f>
        <v/>
      </c>
      <c r="D92" s="3" t="inlineStr">
        <is>
          <t>Análisis predictivo — EQ-105</t>
        </is>
      </c>
      <c r="E92" s="3" t="inlineStr">
        <is>
          <t>Análisis predictivo en EQ-105</t>
        </is>
      </c>
      <c r="F92" s="3" t="inlineStr">
        <is>
          <t>EQ-105</t>
        </is>
      </c>
      <c r="G92" s="3" t="inlineStr">
        <is>
          <t>CC-110</t>
        </is>
      </c>
      <c r="H92" s="3" t="inlineStr">
        <is>
          <t>PU-AUT</t>
        </is>
      </c>
      <c r="I92" s="3" t="inlineStr">
        <is>
          <t>ACT-04</t>
        </is>
      </c>
      <c r="J92" s="3" t="inlineStr">
        <is>
          <t>TIPO-P2</t>
        </is>
      </c>
      <c r="K92" s="11" t="n">
        <v>46219</v>
      </c>
      <c r="L92" s="3" t="n">
        <v>6</v>
      </c>
      <c r="M92" s="10" t="n">
        <v>150</v>
      </c>
      <c r="N92" s="3">
        <f>IFERROR(INDEX('CAT_ESTADOS_ERP'!$B$4:$B$7,MATCH(IFERROR(INDEX('2_IMPORTAR_EJECUCION'!$D$9:$D$171,MATCH($C92,'2_IMPORTAR_EJECUCION'!$A$9:$A$171,0)),""),'CAT_ESTADOS_ERP'!$A$4:$A$7,0)),"Pendiente")</f>
        <v/>
      </c>
      <c r="O92" s="3">
        <f>IF($K92="","","S"&amp;IF(_xlfn.ISOWEEKNUM($K92)=53,1,_xlfn.ISOWEEKNUM($K92)))</f>
        <v/>
      </c>
      <c r="P92" s="3">
        <f>IF($K92="","",YEAR($K92))</f>
        <v/>
      </c>
      <c r="Q92" s="3">
        <f>IF($K92="","",MONTH($K92))</f>
        <v/>
      </c>
      <c r="R92" s="3">
        <f>IF($K92="","",INDEX(lista_dias,WEEKDAY($K92,2)))</f>
        <v/>
      </c>
      <c r="S92" s="3">
        <f>IFERROR(INDEX('CAT_TIPOS_OT'!$C$4:$C$7,MATCH($J92,'CAT_TIPOS_OT'!$A$4:$A$7,0)),"sin_clasificar")</f>
        <v/>
      </c>
      <c r="T92" s="3">
        <f>IFERROR(INDEX('CAT_CENTROS_COSTO'!$E$4:$E$9,MATCH($G92,'CAT_CENTROS_COSTO'!$A$4:$A$9,0)),"(sin catálogo)")</f>
        <v/>
      </c>
      <c r="U92" s="3">
        <f>IFERROR(INDEX('CAT_CENTROS_COSTO'!$D$4:$D$9,MATCH($G92,'CAT_CENTROS_COSTO'!$A$4:$A$9,0)),"(sin catálogo)")</f>
        <v/>
      </c>
      <c r="V92" s="3">
        <f>IFERROR(INDEX('CAT_CENTROS_COSTO'!$F$4:$F$9,MATCH($G92,'CAT_CENTROS_COSTO'!$A$4:$A$9,0)),"(sin catálogo)")</f>
        <v/>
      </c>
      <c r="W92" s="3">
        <f>IFERROR(INDEX('CAT_PUESTOS'!$B$4:$B$8,MATCH($H92,'CAT_PUESTOS'!$A$4:$A$8,0)),"(sin catálogo)")</f>
        <v/>
      </c>
      <c r="X92" s="3">
        <f>IFERROR(INDEX('CAT_ACTIVIDADES'!$B$4:$B$8,MATCH($I92,'CAT_ACTIVIDADES'!$A$4:$A$8,0)),"(sin catálogo)")</f>
        <v/>
      </c>
      <c r="Y92" s="12">
        <f>IF($K92="","",TODAY()-$K92)</f>
        <v/>
      </c>
      <c r="Z92" s="3">
        <f>IF($Y92="","",IF($Y92&lt;0,"FUTURO",IF($Y92&gt;p_dias_backlog_max,"BACKLOG","MES CORRIENTE")))</f>
        <v/>
      </c>
      <c r="AA92" s="3">
        <f>IF($Y92="",FALSE,AND($Y92&gt;p_dias_backlog_min,$Y92&lt;=p_dias_backlog_max))</f>
        <v/>
      </c>
      <c r="AB92" s="6" t="inlineStr">
        <is>
          <t>Técnico 08</t>
        </is>
      </c>
      <c r="AC92" s="3">
        <f>IF($AB92="","",IFERROR(INDEX('ASIGNACIONES'!$F$4:$F$339,MATCH($O92&amp;"|"&amp;$R92&amp;"|"&amp;$AB92,'ASIGNACIONES'!$I$4:$I$339,0)),""))</f>
        <v/>
      </c>
      <c r="AD92" s="13">
        <f>IF($AB92="","",SUMIFS('ORDENES'!$L$4:$L$203,'ORDENES'!$AB$4:$AB$203,$AB92,'ORDENES'!$O$4:$O$203,$O92,'ORDENES'!$R$4:$R$203,$R92))</f>
        <v/>
      </c>
      <c r="AE92" s="13">
        <f>IF($AD92="","",p_factor_productividad*IFERROR(INDEX('ASIGNACIONES'!$H$4:$H$339,MATCH($O92&amp;"|"&amp;$R92&amp;"|"&amp;$AB92,'ASIGNACIONES'!$I$4:$I$339,0)),0)-$AD92)</f>
        <v/>
      </c>
      <c r="AF92" s="10">
        <f>IFERROR(INDEX('2_IMPORTAR_EJECUCION'!$G$9:$G$171,MATCH($C92,'2_IMPORTAR_EJECUCION'!$A$9:$A$171,0)),0)</f>
        <v/>
      </c>
      <c r="AG92" s="10">
        <f>MAX(0,IFERROR(INDEX('2_IMPORTAR_EJECUCION'!$I$9:$I$171,MATCH($C92,'2_IMPORTAR_EJECUCION'!$A$9:$A$171,0)),0)-$AF92)</f>
        <v/>
      </c>
      <c r="AH92" s="10">
        <f>$AF92+$AG92</f>
        <v/>
      </c>
      <c r="AI92" s="6" t="inlineStr"/>
      <c r="AJ92" s="6" t="inlineStr"/>
      <c r="AK92" s="6" t="inlineStr">
        <is>
          <t>ACT-04.pdf</t>
        </is>
      </c>
      <c r="AL92" s="3">
        <f>IF($AK92="","",HYPERLINK(p_ruta_base_checklists&amp;$AK92,"abrir"))</f>
        <v/>
      </c>
      <c r="AM92" s="6" t="inlineStr"/>
    </row>
    <row r="93">
      <c r="A93" s="3" t="inlineStr">
        <is>
          <t>OT-000090</t>
        </is>
      </c>
      <c r="B93" s="3" t="inlineStr">
        <is>
          <t>0010</t>
        </is>
      </c>
      <c r="C93" s="3">
        <f>$A93&amp;IF($B93="","0010",$B93)</f>
        <v/>
      </c>
      <c r="D93" s="3" t="inlineStr">
        <is>
          <t>Reparación de falla — EQ-108</t>
        </is>
      </c>
      <c r="E93" s="3" t="inlineStr">
        <is>
          <t>Reparación de falla en EQ-108</t>
        </is>
      </c>
      <c r="F93" s="3" t="inlineStr">
        <is>
          <t>EQ-108</t>
        </is>
      </c>
      <c r="G93" s="3" t="inlineStr">
        <is>
          <t>CC-220</t>
        </is>
      </c>
      <c r="H93" s="3" t="inlineStr">
        <is>
          <t>PU-AUT</t>
        </is>
      </c>
      <c r="I93" s="3" t="inlineStr">
        <is>
          <t>ACT-03</t>
        </is>
      </c>
      <c r="J93" s="3" t="inlineStr">
        <is>
          <t>TIPO-C1</t>
        </is>
      </c>
      <c r="K93" s="11" t="n">
        <v>46220</v>
      </c>
      <c r="L93" s="3" t="n">
        <v>10</v>
      </c>
      <c r="M93" s="10" t="n">
        <v>400</v>
      </c>
      <c r="N93" s="3">
        <f>IFERROR(INDEX('CAT_ESTADOS_ERP'!$B$4:$B$7,MATCH(IFERROR(INDEX('2_IMPORTAR_EJECUCION'!$D$9:$D$171,MATCH($C93,'2_IMPORTAR_EJECUCION'!$A$9:$A$171,0)),""),'CAT_ESTADOS_ERP'!$A$4:$A$7,0)),"Pendiente")</f>
        <v/>
      </c>
      <c r="O93" s="3">
        <f>IF($K93="","","S"&amp;IF(_xlfn.ISOWEEKNUM($K93)=53,1,_xlfn.ISOWEEKNUM($K93)))</f>
        <v/>
      </c>
      <c r="P93" s="3">
        <f>IF($K93="","",YEAR($K93))</f>
        <v/>
      </c>
      <c r="Q93" s="3">
        <f>IF($K93="","",MONTH($K93))</f>
        <v/>
      </c>
      <c r="R93" s="3">
        <f>IF($K93="","",INDEX(lista_dias,WEEKDAY($K93,2)))</f>
        <v/>
      </c>
      <c r="S93" s="3">
        <f>IFERROR(INDEX('CAT_TIPOS_OT'!$C$4:$C$7,MATCH($J93,'CAT_TIPOS_OT'!$A$4:$A$7,0)),"sin_clasificar")</f>
        <v/>
      </c>
      <c r="T93" s="3">
        <f>IFERROR(INDEX('CAT_CENTROS_COSTO'!$E$4:$E$9,MATCH($G93,'CAT_CENTROS_COSTO'!$A$4:$A$9,0)),"(sin catálogo)")</f>
        <v/>
      </c>
      <c r="U93" s="3">
        <f>IFERROR(INDEX('CAT_CENTROS_COSTO'!$D$4:$D$9,MATCH($G93,'CAT_CENTROS_COSTO'!$A$4:$A$9,0)),"(sin catálogo)")</f>
        <v/>
      </c>
      <c r="V93" s="3">
        <f>IFERROR(INDEX('CAT_CENTROS_COSTO'!$F$4:$F$9,MATCH($G93,'CAT_CENTROS_COSTO'!$A$4:$A$9,0)),"(sin catálogo)")</f>
        <v/>
      </c>
      <c r="W93" s="3">
        <f>IFERROR(INDEX('CAT_PUESTOS'!$B$4:$B$8,MATCH($H93,'CAT_PUESTOS'!$A$4:$A$8,0)),"(sin catálogo)")</f>
        <v/>
      </c>
      <c r="X93" s="3">
        <f>IFERROR(INDEX('CAT_ACTIVIDADES'!$B$4:$B$8,MATCH($I93,'CAT_ACTIVIDADES'!$A$4:$A$8,0)),"(sin catálogo)")</f>
        <v/>
      </c>
      <c r="Y93" s="12">
        <f>IF($K93="","",TODAY()-$K93)</f>
        <v/>
      </c>
      <c r="Z93" s="3">
        <f>IF($Y93="","",IF($Y93&lt;0,"FUTURO",IF($Y93&gt;p_dias_backlog_max,"BACKLOG","MES CORRIENTE")))</f>
        <v/>
      </c>
      <c r="AA93" s="3">
        <f>IF($Y93="",FALSE,AND($Y93&gt;p_dias_backlog_min,$Y93&lt;=p_dias_backlog_max))</f>
        <v/>
      </c>
      <c r="AB93" s="6" t="inlineStr">
        <is>
          <t>Técnico 09</t>
        </is>
      </c>
      <c r="AC93" s="3">
        <f>IF($AB93="","",IFERROR(INDEX('ASIGNACIONES'!$F$4:$F$339,MATCH($O93&amp;"|"&amp;$R93&amp;"|"&amp;$AB93,'ASIGNACIONES'!$I$4:$I$339,0)),""))</f>
        <v/>
      </c>
      <c r="AD93" s="13">
        <f>IF($AB93="","",SUMIFS('ORDENES'!$L$4:$L$203,'ORDENES'!$AB$4:$AB$203,$AB93,'ORDENES'!$O$4:$O$203,$O93,'ORDENES'!$R$4:$R$203,$R93))</f>
        <v/>
      </c>
      <c r="AE93" s="13">
        <f>IF($AD93="","",p_factor_productividad*IFERROR(INDEX('ASIGNACIONES'!$H$4:$H$339,MATCH($O93&amp;"|"&amp;$R93&amp;"|"&amp;$AB93,'ASIGNACIONES'!$I$4:$I$339,0)),0)-$AD93)</f>
        <v/>
      </c>
      <c r="AF93" s="10">
        <f>IFERROR(INDEX('2_IMPORTAR_EJECUCION'!$G$9:$G$171,MATCH($C93,'2_IMPORTAR_EJECUCION'!$A$9:$A$171,0)),0)</f>
        <v/>
      </c>
      <c r="AG93" s="10">
        <f>MAX(0,IFERROR(INDEX('2_IMPORTAR_EJECUCION'!$I$9:$I$171,MATCH($C93,'2_IMPORTAR_EJECUCION'!$A$9:$A$171,0)),0)-$AF93)</f>
        <v/>
      </c>
      <c r="AH93" s="10">
        <f>$AF93+$AG93</f>
        <v/>
      </c>
      <c r="AI93" s="6" t="inlineStr"/>
      <c r="AJ93" s="6" t="inlineStr"/>
      <c r="AK93" s="6" t="inlineStr"/>
      <c r="AL93" s="3">
        <f>IF($AK93="","",HYPERLINK(p_ruta_base_checklists&amp;$AK93,"abrir"))</f>
        <v/>
      </c>
      <c r="AM93" s="6" t="inlineStr"/>
    </row>
    <row r="94">
      <c r="A94" s="3" t="inlineStr">
        <is>
          <t>OT-000091</t>
        </is>
      </c>
      <c r="B94" s="3" t="inlineStr">
        <is>
          <t>0010</t>
        </is>
      </c>
      <c r="C94" s="3">
        <f>$A94&amp;IF($B94="","0010",$B94)</f>
        <v/>
      </c>
      <c r="D94" s="3" t="inlineStr">
        <is>
          <t>Lubricación programada — EQ-102</t>
        </is>
      </c>
      <c r="E94" s="3" t="inlineStr">
        <is>
          <t>Lubricación programada en EQ-102</t>
        </is>
      </c>
      <c r="F94" s="3" t="inlineStr">
        <is>
          <t>EQ-102</t>
        </is>
      </c>
      <c r="G94" s="3" t="inlineStr">
        <is>
          <t>CC-110</t>
        </is>
      </c>
      <c r="H94" s="3" t="inlineStr">
        <is>
          <t>PU-AUT</t>
        </is>
      </c>
      <c r="I94" s="3" t="inlineStr">
        <is>
          <t>ACT-02</t>
        </is>
      </c>
      <c r="J94" s="3" t="inlineStr">
        <is>
          <t>TIPO-P2</t>
        </is>
      </c>
      <c r="K94" s="11" t="n">
        <v>46223</v>
      </c>
      <c r="L94" s="3" t="n">
        <v>10</v>
      </c>
      <c r="M94" s="10" t="n">
        <v>250</v>
      </c>
      <c r="N94" s="3">
        <f>IFERROR(INDEX('CAT_ESTADOS_ERP'!$B$4:$B$7,MATCH(IFERROR(INDEX('2_IMPORTAR_EJECUCION'!$D$9:$D$171,MATCH($C94,'2_IMPORTAR_EJECUCION'!$A$9:$A$171,0)),""),'CAT_ESTADOS_ERP'!$A$4:$A$7,0)),"Pendiente")</f>
        <v/>
      </c>
      <c r="O94" s="3">
        <f>IF($K94="","","S"&amp;IF(_xlfn.ISOWEEKNUM($K94)=53,1,_xlfn.ISOWEEKNUM($K94)))</f>
        <v/>
      </c>
      <c r="P94" s="3">
        <f>IF($K94="","",YEAR($K94))</f>
        <v/>
      </c>
      <c r="Q94" s="3">
        <f>IF($K94="","",MONTH($K94))</f>
        <v/>
      </c>
      <c r="R94" s="3">
        <f>IF($K94="","",INDEX(lista_dias,WEEKDAY($K94,2)))</f>
        <v/>
      </c>
      <c r="S94" s="3">
        <f>IFERROR(INDEX('CAT_TIPOS_OT'!$C$4:$C$7,MATCH($J94,'CAT_TIPOS_OT'!$A$4:$A$7,0)),"sin_clasificar")</f>
        <v/>
      </c>
      <c r="T94" s="3">
        <f>IFERROR(INDEX('CAT_CENTROS_COSTO'!$E$4:$E$9,MATCH($G94,'CAT_CENTROS_COSTO'!$A$4:$A$9,0)),"(sin catálogo)")</f>
        <v/>
      </c>
      <c r="U94" s="3">
        <f>IFERROR(INDEX('CAT_CENTROS_COSTO'!$D$4:$D$9,MATCH($G94,'CAT_CENTROS_COSTO'!$A$4:$A$9,0)),"(sin catálogo)")</f>
        <v/>
      </c>
      <c r="V94" s="3">
        <f>IFERROR(INDEX('CAT_CENTROS_COSTO'!$F$4:$F$9,MATCH($G94,'CAT_CENTROS_COSTO'!$A$4:$A$9,0)),"(sin catálogo)")</f>
        <v/>
      </c>
      <c r="W94" s="3">
        <f>IFERROR(INDEX('CAT_PUESTOS'!$B$4:$B$8,MATCH($H94,'CAT_PUESTOS'!$A$4:$A$8,0)),"(sin catálogo)")</f>
        <v/>
      </c>
      <c r="X94" s="3">
        <f>IFERROR(INDEX('CAT_ACTIVIDADES'!$B$4:$B$8,MATCH($I94,'CAT_ACTIVIDADES'!$A$4:$A$8,0)),"(sin catálogo)")</f>
        <v/>
      </c>
      <c r="Y94" s="12">
        <f>IF($K94="","",TODAY()-$K94)</f>
        <v/>
      </c>
      <c r="Z94" s="3">
        <f>IF($Y94="","",IF($Y94&lt;0,"FUTURO",IF($Y94&gt;p_dias_backlog_max,"BACKLOG","MES CORRIENTE")))</f>
        <v/>
      </c>
      <c r="AA94" s="3">
        <f>IF($Y94="",FALSE,AND($Y94&gt;p_dias_backlog_min,$Y94&lt;=p_dias_backlog_max))</f>
        <v/>
      </c>
      <c r="AB94" s="6" t="inlineStr">
        <is>
          <t>Técnico 08</t>
        </is>
      </c>
      <c r="AC94" s="3">
        <f>IF($AB94="","",IFERROR(INDEX('ASIGNACIONES'!$F$4:$F$339,MATCH($O94&amp;"|"&amp;$R94&amp;"|"&amp;$AB94,'ASIGNACIONES'!$I$4:$I$339,0)),""))</f>
        <v/>
      </c>
      <c r="AD94" s="13">
        <f>IF($AB94="","",SUMIFS('ORDENES'!$L$4:$L$203,'ORDENES'!$AB$4:$AB$203,$AB94,'ORDENES'!$O$4:$O$203,$O94,'ORDENES'!$R$4:$R$203,$R94))</f>
        <v/>
      </c>
      <c r="AE94" s="13">
        <f>IF($AD94="","",p_factor_productividad*IFERROR(INDEX('ASIGNACIONES'!$H$4:$H$339,MATCH($O94&amp;"|"&amp;$R94&amp;"|"&amp;$AB94,'ASIGNACIONES'!$I$4:$I$339,0)),0)-$AD94)</f>
        <v/>
      </c>
      <c r="AF94" s="10">
        <f>IFERROR(INDEX('2_IMPORTAR_EJECUCION'!$G$9:$G$171,MATCH($C94,'2_IMPORTAR_EJECUCION'!$A$9:$A$171,0)),0)</f>
        <v/>
      </c>
      <c r="AG94" s="10">
        <f>MAX(0,IFERROR(INDEX('2_IMPORTAR_EJECUCION'!$I$9:$I$171,MATCH($C94,'2_IMPORTAR_EJECUCION'!$A$9:$A$171,0)),0)-$AF94)</f>
        <v/>
      </c>
      <c r="AH94" s="10">
        <f>$AF94+$AG94</f>
        <v/>
      </c>
      <c r="AI94" s="6" t="inlineStr"/>
      <c r="AJ94" s="6" t="inlineStr"/>
      <c r="AK94" s="6" t="inlineStr">
        <is>
          <t>ACT-02.pdf</t>
        </is>
      </c>
      <c r="AL94" s="3">
        <f>IF($AK94="","",HYPERLINK(p_ruta_base_checklists&amp;$AK94,"abrir"))</f>
        <v/>
      </c>
      <c r="AM94" s="6" t="inlineStr"/>
    </row>
    <row r="95">
      <c r="A95" s="3" t="inlineStr">
        <is>
          <t>OT-000092</t>
        </is>
      </c>
      <c r="B95" s="3" t="inlineStr">
        <is>
          <t>0010</t>
        </is>
      </c>
      <c r="C95" s="3">
        <f>$A95&amp;IF($B95="","0010",$B95)</f>
        <v/>
      </c>
      <c r="D95" s="3" t="inlineStr">
        <is>
          <t>Análisis predictivo — EQ-106</t>
        </is>
      </c>
      <c r="E95" s="3" t="inlineStr">
        <is>
          <t>Análisis predictivo en EQ-106</t>
        </is>
      </c>
      <c r="F95" s="3" t="inlineStr">
        <is>
          <t>EQ-106</t>
        </is>
      </c>
      <c r="G95" s="3" t="inlineStr">
        <is>
          <t>CC-220</t>
        </is>
      </c>
      <c r="H95" s="3" t="inlineStr">
        <is>
          <t>PU-AUT</t>
        </is>
      </c>
      <c r="I95" s="3" t="inlineStr">
        <is>
          <t>ACT-04</t>
        </is>
      </c>
      <c r="J95" s="3" t="inlineStr">
        <is>
          <t>TIPO-P1</t>
        </is>
      </c>
      <c r="K95" s="11" t="n">
        <v>46224</v>
      </c>
      <c r="L95" s="3" t="n">
        <v>8</v>
      </c>
      <c r="M95" s="10" t="n">
        <v>200</v>
      </c>
      <c r="N95" s="3">
        <f>IFERROR(INDEX('CAT_ESTADOS_ERP'!$B$4:$B$7,MATCH(IFERROR(INDEX('2_IMPORTAR_EJECUCION'!$D$9:$D$171,MATCH($C95,'2_IMPORTAR_EJECUCION'!$A$9:$A$171,0)),""),'CAT_ESTADOS_ERP'!$A$4:$A$7,0)),"Pendiente")</f>
        <v/>
      </c>
      <c r="O95" s="3">
        <f>IF($K95="","","S"&amp;IF(_xlfn.ISOWEEKNUM($K95)=53,1,_xlfn.ISOWEEKNUM($K95)))</f>
        <v/>
      </c>
      <c r="P95" s="3">
        <f>IF($K95="","",YEAR($K95))</f>
        <v/>
      </c>
      <c r="Q95" s="3">
        <f>IF($K95="","",MONTH($K95))</f>
        <v/>
      </c>
      <c r="R95" s="3">
        <f>IF($K95="","",INDEX(lista_dias,WEEKDAY($K95,2)))</f>
        <v/>
      </c>
      <c r="S95" s="3">
        <f>IFERROR(INDEX('CAT_TIPOS_OT'!$C$4:$C$7,MATCH($J95,'CAT_TIPOS_OT'!$A$4:$A$7,0)),"sin_clasificar")</f>
        <v/>
      </c>
      <c r="T95" s="3">
        <f>IFERROR(INDEX('CAT_CENTROS_COSTO'!$E$4:$E$9,MATCH($G95,'CAT_CENTROS_COSTO'!$A$4:$A$9,0)),"(sin catálogo)")</f>
        <v/>
      </c>
      <c r="U95" s="3">
        <f>IFERROR(INDEX('CAT_CENTROS_COSTO'!$D$4:$D$9,MATCH($G95,'CAT_CENTROS_COSTO'!$A$4:$A$9,0)),"(sin catálogo)")</f>
        <v/>
      </c>
      <c r="V95" s="3">
        <f>IFERROR(INDEX('CAT_CENTROS_COSTO'!$F$4:$F$9,MATCH($G95,'CAT_CENTROS_COSTO'!$A$4:$A$9,0)),"(sin catálogo)")</f>
        <v/>
      </c>
      <c r="W95" s="3">
        <f>IFERROR(INDEX('CAT_PUESTOS'!$B$4:$B$8,MATCH($H95,'CAT_PUESTOS'!$A$4:$A$8,0)),"(sin catálogo)")</f>
        <v/>
      </c>
      <c r="X95" s="3">
        <f>IFERROR(INDEX('CAT_ACTIVIDADES'!$B$4:$B$8,MATCH($I95,'CAT_ACTIVIDADES'!$A$4:$A$8,0)),"(sin catálogo)")</f>
        <v/>
      </c>
      <c r="Y95" s="12">
        <f>IF($K95="","",TODAY()-$K95)</f>
        <v/>
      </c>
      <c r="Z95" s="3">
        <f>IF($Y95="","",IF($Y95&lt;0,"FUTURO",IF($Y95&gt;p_dias_backlog_max,"BACKLOG","MES CORRIENTE")))</f>
        <v/>
      </c>
      <c r="AA95" s="3">
        <f>IF($Y95="",FALSE,AND($Y95&gt;p_dias_backlog_min,$Y95&lt;=p_dias_backlog_max))</f>
        <v/>
      </c>
      <c r="AB95" s="6" t="inlineStr">
        <is>
          <t>Técnico 09</t>
        </is>
      </c>
      <c r="AC95" s="3">
        <f>IF($AB95="","",IFERROR(INDEX('ASIGNACIONES'!$F$4:$F$339,MATCH($O95&amp;"|"&amp;$R95&amp;"|"&amp;$AB95,'ASIGNACIONES'!$I$4:$I$339,0)),""))</f>
        <v/>
      </c>
      <c r="AD95" s="13">
        <f>IF($AB95="","",SUMIFS('ORDENES'!$L$4:$L$203,'ORDENES'!$AB$4:$AB$203,$AB95,'ORDENES'!$O$4:$O$203,$O95,'ORDENES'!$R$4:$R$203,$R95))</f>
        <v/>
      </c>
      <c r="AE95" s="13">
        <f>IF($AD95="","",p_factor_productividad*IFERROR(INDEX('ASIGNACIONES'!$H$4:$H$339,MATCH($O95&amp;"|"&amp;$R95&amp;"|"&amp;$AB95,'ASIGNACIONES'!$I$4:$I$339,0)),0)-$AD95)</f>
        <v/>
      </c>
      <c r="AF95" s="10">
        <f>IFERROR(INDEX('2_IMPORTAR_EJECUCION'!$G$9:$G$171,MATCH($C95,'2_IMPORTAR_EJECUCION'!$A$9:$A$171,0)),0)</f>
        <v/>
      </c>
      <c r="AG95" s="10">
        <f>MAX(0,IFERROR(INDEX('2_IMPORTAR_EJECUCION'!$I$9:$I$171,MATCH($C95,'2_IMPORTAR_EJECUCION'!$A$9:$A$171,0)),0)-$AF95)</f>
        <v/>
      </c>
      <c r="AH95" s="10">
        <f>$AF95+$AG95</f>
        <v/>
      </c>
      <c r="AI95" s="6" t="inlineStr"/>
      <c r="AJ95" s="6" t="inlineStr"/>
      <c r="AK95" s="6" t="inlineStr">
        <is>
          <t>ACT-04.pdf</t>
        </is>
      </c>
      <c r="AL95" s="3">
        <f>IF($AK95="","",HYPERLINK(p_ruta_base_checklists&amp;$AK95,"abrir"))</f>
        <v/>
      </c>
      <c r="AM95" s="6" t="inlineStr"/>
    </row>
    <row r="96">
      <c r="A96" s="3" t="inlineStr">
        <is>
          <t>OT-000093</t>
        </is>
      </c>
      <c r="B96" s="3" t="inlineStr">
        <is>
          <t>0010</t>
        </is>
      </c>
      <c r="C96" s="3">
        <f>$A96&amp;IF($B96="","0010",$B96)</f>
        <v/>
      </c>
      <c r="D96" s="3" t="inlineStr">
        <is>
          <t>Inspección de rutina — EQ-104</t>
        </is>
      </c>
      <c r="E96" s="3" t="inlineStr">
        <is>
          <t>Inspección de rutina en EQ-104</t>
        </is>
      </c>
      <c r="F96" s="3" t="inlineStr">
        <is>
          <t>EQ-104</t>
        </is>
      </c>
      <c r="G96" s="3" t="inlineStr">
        <is>
          <t>CC-110</t>
        </is>
      </c>
      <c r="H96" s="3" t="inlineStr">
        <is>
          <t>PU-AUT</t>
        </is>
      </c>
      <c r="I96" s="3" t="inlineStr">
        <is>
          <t>ACT-01</t>
        </is>
      </c>
      <c r="J96" s="3" t="inlineStr">
        <is>
          <t>TIPO-P2</t>
        </is>
      </c>
      <c r="K96" s="11" t="n">
        <v>46225</v>
      </c>
      <c r="L96" s="3" t="n">
        <v>6</v>
      </c>
      <c r="M96" s="10" t="n">
        <v>150</v>
      </c>
      <c r="N96" s="3">
        <f>IFERROR(INDEX('CAT_ESTADOS_ERP'!$B$4:$B$7,MATCH(IFERROR(INDEX('2_IMPORTAR_EJECUCION'!$D$9:$D$171,MATCH($C96,'2_IMPORTAR_EJECUCION'!$A$9:$A$171,0)),""),'CAT_ESTADOS_ERP'!$A$4:$A$7,0)),"Pendiente")</f>
        <v/>
      </c>
      <c r="O96" s="3">
        <f>IF($K96="","","S"&amp;IF(_xlfn.ISOWEEKNUM($K96)=53,1,_xlfn.ISOWEEKNUM($K96)))</f>
        <v/>
      </c>
      <c r="P96" s="3">
        <f>IF($K96="","",YEAR($K96))</f>
        <v/>
      </c>
      <c r="Q96" s="3">
        <f>IF($K96="","",MONTH($K96))</f>
        <v/>
      </c>
      <c r="R96" s="3">
        <f>IF($K96="","",INDEX(lista_dias,WEEKDAY($K96,2)))</f>
        <v/>
      </c>
      <c r="S96" s="3">
        <f>IFERROR(INDEX('CAT_TIPOS_OT'!$C$4:$C$7,MATCH($J96,'CAT_TIPOS_OT'!$A$4:$A$7,0)),"sin_clasificar")</f>
        <v/>
      </c>
      <c r="T96" s="3">
        <f>IFERROR(INDEX('CAT_CENTROS_COSTO'!$E$4:$E$9,MATCH($G96,'CAT_CENTROS_COSTO'!$A$4:$A$9,0)),"(sin catálogo)")</f>
        <v/>
      </c>
      <c r="U96" s="3">
        <f>IFERROR(INDEX('CAT_CENTROS_COSTO'!$D$4:$D$9,MATCH($G96,'CAT_CENTROS_COSTO'!$A$4:$A$9,0)),"(sin catálogo)")</f>
        <v/>
      </c>
      <c r="V96" s="3">
        <f>IFERROR(INDEX('CAT_CENTROS_COSTO'!$F$4:$F$9,MATCH($G96,'CAT_CENTROS_COSTO'!$A$4:$A$9,0)),"(sin catálogo)")</f>
        <v/>
      </c>
      <c r="W96" s="3">
        <f>IFERROR(INDEX('CAT_PUESTOS'!$B$4:$B$8,MATCH($H96,'CAT_PUESTOS'!$A$4:$A$8,0)),"(sin catálogo)")</f>
        <v/>
      </c>
      <c r="X96" s="3">
        <f>IFERROR(INDEX('CAT_ACTIVIDADES'!$B$4:$B$8,MATCH($I96,'CAT_ACTIVIDADES'!$A$4:$A$8,0)),"(sin catálogo)")</f>
        <v/>
      </c>
      <c r="Y96" s="12">
        <f>IF($K96="","",TODAY()-$K96)</f>
        <v/>
      </c>
      <c r="Z96" s="3">
        <f>IF($Y96="","",IF($Y96&lt;0,"FUTURO",IF($Y96&gt;p_dias_backlog_max,"BACKLOG","MES CORRIENTE")))</f>
        <v/>
      </c>
      <c r="AA96" s="3">
        <f>IF($Y96="",FALSE,AND($Y96&gt;p_dias_backlog_min,$Y96&lt;=p_dias_backlog_max))</f>
        <v/>
      </c>
      <c r="AB96" s="6" t="inlineStr">
        <is>
          <t>Técnico 08</t>
        </is>
      </c>
      <c r="AC96" s="3">
        <f>IF($AB96="","",IFERROR(INDEX('ASIGNACIONES'!$F$4:$F$339,MATCH($O96&amp;"|"&amp;$R96&amp;"|"&amp;$AB96,'ASIGNACIONES'!$I$4:$I$339,0)),""))</f>
        <v/>
      </c>
      <c r="AD96" s="13">
        <f>IF($AB96="","",SUMIFS('ORDENES'!$L$4:$L$203,'ORDENES'!$AB$4:$AB$203,$AB96,'ORDENES'!$O$4:$O$203,$O96,'ORDENES'!$R$4:$R$203,$R96))</f>
        <v/>
      </c>
      <c r="AE96" s="13">
        <f>IF($AD96="","",p_factor_productividad*IFERROR(INDEX('ASIGNACIONES'!$H$4:$H$339,MATCH($O96&amp;"|"&amp;$R96&amp;"|"&amp;$AB96,'ASIGNACIONES'!$I$4:$I$339,0)),0)-$AD96)</f>
        <v/>
      </c>
      <c r="AF96" s="10">
        <f>IFERROR(INDEX('2_IMPORTAR_EJECUCION'!$G$9:$G$171,MATCH($C96,'2_IMPORTAR_EJECUCION'!$A$9:$A$171,0)),0)</f>
        <v/>
      </c>
      <c r="AG96" s="10">
        <f>MAX(0,IFERROR(INDEX('2_IMPORTAR_EJECUCION'!$I$9:$I$171,MATCH($C96,'2_IMPORTAR_EJECUCION'!$A$9:$A$171,0)),0)-$AF96)</f>
        <v/>
      </c>
      <c r="AH96" s="10">
        <f>$AF96+$AG96</f>
        <v/>
      </c>
      <c r="AI96" s="6" t="inlineStr"/>
      <c r="AJ96" s="6" t="inlineStr"/>
      <c r="AK96" s="6" t="inlineStr">
        <is>
          <t>ACT-01.pdf</t>
        </is>
      </c>
      <c r="AL96" s="3">
        <f>IF($AK96="","",HYPERLINK(p_ruta_base_checklists&amp;$AK96,"abrir"))</f>
        <v/>
      </c>
      <c r="AM96" s="6" t="inlineStr"/>
    </row>
    <row r="97">
      <c r="A97" s="3" t="inlineStr">
        <is>
          <t>OT-000094</t>
        </is>
      </c>
      <c r="B97" s="3" t="inlineStr">
        <is>
          <t>0010</t>
        </is>
      </c>
      <c r="C97" s="3">
        <f>$A97&amp;IF($B97="","0010",$B97)</f>
        <v/>
      </c>
      <c r="D97" s="3" t="inlineStr">
        <is>
          <t>Lubricación programada — EQ-108</t>
        </is>
      </c>
      <c r="E97" s="3" t="inlineStr">
        <is>
          <t>Lubricación programada en EQ-108</t>
        </is>
      </c>
      <c r="F97" s="3" t="inlineStr">
        <is>
          <t>EQ-108</t>
        </is>
      </c>
      <c r="G97" s="3" t="inlineStr">
        <is>
          <t>CC-220</t>
        </is>
      </c>
      <c r="H97" s="3" t="inlineStr">
        <is>
          <t>PU-AUT</t>
        </is>
      </c>
      <c r="I97" s="3" t="inlineStr">
        <is>
          <t>ACT-02</t>
        </is>
      </c>
      <c r="J97" s="3" t="inlineStr">
        <is>
          <t>TIPO-P1</t>
        </is>
      </c>
      <c r="K97" s="11" t="n">
        <v>46226</v>
      </c>
      <c r="L97" s="3" t="n">
        <v>10</v>
      </c>
      <c r="M97" s="10" t="n">
        <v>250</v>
      </c>
      <c r="N97" s="3">
        <f>IFERROR(INDEX('CAT_ESTADOS_ERP'!$B$4:$B$7,MATCH(IFERROR(INDEX('2_IMPORTAR_EJECUCION'!$D$9:$D$171,MATCH($C97,'2_IMPORTAR_EJECUCION'!$A$9:$A$171,0)),""),'CAT_ESTADOS_ERP'!$A$4:$A$7,0)),"Pendiente")</f>
        <v/>
      </c>
      <c r="O97" s="3">
        <f>IF($K97="","","S"&amp;IF(_xlfn.ISOWEEKNUM($K97)=53,1,_xlfn.ISOWEEKNUM($K97)))</f>
        <v/>
      </c>
      <c r="P97" s="3">
        <f>IF($K97="","",YEAR($K97))</f>
        <v/>
      </c>
      <c r="Q97" s="3">
        <f>IF($K97="","",MONTH($K97))</f>
        <v/>
      </c>
      <c r="R97" s="3">
        <f>IF($K97="","",INDEX(lista_dias,WEEKDAY($K97,2)))</f>
        <v/>
      </c>
      <c r="S97" s="3">
        <f>IFERROR(INDEX('CAT_TIPOS_OT'!$C$4:$C$7,MATCH($J97,'CAT_TIPOS_OT'!$A$4:$A$7,0)),"sin_clasificar")</f>
        <v/>
      </c>
      <c r="T97" s="3">
        <f>IFERROR(INDEX('CAT_CENTROS_COSTO'!$E$4:$E$9,MATCH($G97,'CAT_CENTROS_COSTO'!$A$4:$A$9,0)),"(sin catálogo)")</f>
        <v/>
      </c>
      <c r="U97" s="3">
        <f>IFERROR(INDEX('CAT_CENTROS_COSTO'!$D$4:$D$9,MATCH($G97,'CAT_CENTROS_COSTO'!$A$4:$A$9,0)),"(sin catálogo)")</f>
        <v/>
      </c>
      <c r="V97" s="3">
        <f>IFERROR(INDEX('CAT_CENTROS_COSTO'!$F$4:$F$9,MATCH($G97,'CAT_CENTROS_COSTO'!$A$4:$A$9,0)),"(sin catálogo)")</f>
        <v/>
      </c>
      <c r="W97" s="3">
        <f>IFERROR(INDEX('CAT_PUESTOS'!$B$4:$B$8,MATCH($H97,'CAT_PUESTOS'!$A$4:$A$8,0)),"(sin catálogo)")</f>
        <v/>
      </c>
      <c r="X97" s="3">
        <f>IFERROR(INDEX('CAT_ACTIVIDADES'!$B$4:$B$8,MATCH($I97,'CAT_ACTIVIDADES'!$A$4:$A$8,0)),"(sin catálogo)")</f>
        <v/>
      </c>
      <c r="Y97" s="12">
        <f>IF($K97="","",TODAY()-$K97)</f>
        <v/>
      </c>
      <c r="Z97" s="3">
        <f>IF($Y97="","",IF($Y97&lt;0,"FUTURO",IF($Y97&gt;p_dias_backlog_max,"BACKLOG","MES CORRIENTE")))</f>
        <v/>
      </c>
      <c r="AA97" s="3">
        <f>IF($Y97="",FALSE,AND($Y97&gt;p_dias_backlog_min,$Y97&lt;=p_dias_backlog_max))</f>
        <v/>
      </c>
      <c r="AB97" s="6" t="inlineStr">
        <is>
          <t>Técnico 09</t>
        </is>
      </c>
      <c r="AC97" s="3">
        <f>IF($AB97="","",IFERROR(INDEX('ASIGNACIONES'!$F$4:$F$339,MATCH($O97&amp;"|"&amp;$R97&amp;"|"&amp;$AB97,'ASIGNACIONES'!$I$4:$I$339,0)),""))</f>
        <v/>
      </c>
      <c r="AD97" s="13">
        <f>IF($AB97="","",SUMIFS('ORDENES'!$L$4:$L$203,'ORDENES'!$AB$4:$AB$203,$AB97,'ORDENES'!$O$4:$O$203,$O97,'ORDENES'!$R$4:$R$203,$R97))</f>
        <v/>
      </c>
      <c r="AE97" s="13">
        <f>IF($AD97="","",p_factor_productividad*IFERROR(INDEX('ASIGNACIONES'!$H$4:$H$339,MATCH($O97&amp;"|"&amp;$R97&amp;"|"&amp;$AB97,'ASIGNACIONES'!$I$4:$I$339,0)),0)-$AD97)</f>
        <v/>
      </c>
      <c r="AF97" s="10">
        <f>IFERROR(INDEX('2_IMPORTAR_EJECUCION'!$G$9:$G$171,MATCH($C97,'2_IMPORTAR_EJECUCION'!$A$9:$A$171,0)),0)</f>
        <v/>
      </c>
      <c r="AG97" s="10">
        <f>MAX(0,IFERROR(INDEX('2_IMPORTAR_EJECUCION'!$I$9:$I$171,MATCH($C97,'2_IMPORTAR_EJECUCION'!$A$9:$A$171,0)),0)-$AF97)</f>
        <v/>
      </c>
      <c r="AH97" s="10">
        <f>$AF97+$AG97</f>
        <v/>
      </c>
      <c r="AI97" s="6" t="inlineStr"/>
      <c r="AJ97" s="6" t="inlineStr"/>
      <c r="AK97" s="6" t="inlineStr">
        <is>
          <t>ACT-02.pdf</t>
        </is>
      </c>
      <c r="AL97" s="3">
        <f>IF($AK97="","",HYPERLINK(p_ruta_base_checklists&amp;$AK97,"abrir"))</f>
        <v/>
      </c>
      <c r="AM97" s="6" t="inlineStr"/>
    </row>
    <row r="98">
      <c r="A98" s="3" t="inlineStr">
        <is>
          <t>OT-000095</t>
        </is>
      </c>
      <c r="B98" s="3" t="inlineStr">
        <is>
          <t>0010</t>
        </is>
      </c>
      <c r="C98" s="3">
        <f>$A98&amp;IF($B98="","0010",$B98)</f>
        <v/>
      </c>
      <c r="D98" s="3" t="inlineStr">
        <is>
          <t>Análisis predictivo — EQ-101</t>
        </is>
      </c>
      <c r="E98" s="3" t="inlineStr">
        <is>
          <t>Análisis predictivo en EQ-101</t>
        </is>
      </c>
      <c r="F98" s="3" t="inlineStr">
        <is>
          <t>EQ-101</t>
        </is>
      </c>
      <c r="G98" s="3" t="inlineStr">
        <is>
          <t>CC-110</t>
        </is>
      </c>
      <c r="H98" s="3" t="inlineStr">
        <is>
          <t>PU-AUT</t>
        </is>
      </c>
      <c r="I98" s="3" t="inlineStr">
        <is>
          <t>ACT-04</t>
        </is>
      </c>
      <c r="J98" s="3" t="inlineStr">
        <is>
          <t>TIPO-P2</t>
        </is>
      </c>
      <c r="K98" s="11" t="n">
        <v>46227</v>
      </c>
      <c r="L98" s="3" t="n">
        <v>11</v>
      </c>
      <c r="M98" s="10" t="n">
        <v>275</v>
      </c>
      <c r="N98" s="3">
        <f>IFERROR(INDEX('CAT_ESTADOS_ERP'!$B$4:$B$7,MATCH(IFERROR(INDEX('2_IMPORTAR_EJECUCION'!$D$9:$D$171,MATCH($C98,'2_IMPORTAR_EJECUCION'!$A$9:$A$171,0)),""),'CAT_ESTADOS_ERP'!$A$4:$A$7,0)),"Pendiente")</f>
        <v/>
      </c>
      <c r="O98" s="3">
        <f>IF($K98="","","S"&amp;IF(_xlfn.ISOWEEKNUM($K98)=53,1,_xlfn.ISOWEEKNUM($K98)))</f>
        <v/>
      </c>
      <c r="P98" s="3">
        <f>IF($K98="","",YEAR($K98))</f>
        <v/>
      </c>
      <c r="Q98" s="3">
        <f>IF($K98="","",MONTH($K98))</f>
        <v/>
      </c>
      <c r="R98" s="3">
        <f>IF($K98="","",INDEX(lista_dias,WEEKDAY($K98,2)))</f>
        <v/>
      </c>
      <c r="S98" s="3">
        <f>IFERROR(INDEX('CAT_TIPOS_OT'!$C$4:$C$7,MATCH($J98,'CAT_TIPOS_OT'!$A$4:$A$7,0)),"sin_clasificar")</f>
        <v/>
      </c>
      <c r="T98" s="3">
        <f>IFERROR(INDEX('CAT_CENTROS_COSTO'!$E$4:$E$9,MATCH($G98,'CAT_CENTROS_COSTO'!$A$4:$A$9,0)),"(sin catálogo)")</f>
        <v/>
      </c>
      <c r="U98" s="3">
        <f>IFERROR(INDEX('CAT_CENTROS_COSTO'!$D$4:$D$9,MATCH($G98,'CAT_CENTROS_COSTO'!$A$4:$A$9,0)),"(sin catálogo)")</f>
        <v/>
      </c>
      <c r="V98" s="3">
        <f>IFERROR(INDEX('CAT_CENTROS_COSTO'!$F$4:$F$9,MATCH($G98,'CAT_CENTROS_COSTO'!$A$4:$A$9,0)),"(sin catálogo)")</f>
        <v/>
      </c>
      <c r="W98" s="3">
        <f>IFERROR(INDEX('CAT_PUESTOS'!$B$4:$B$8,MATCH($H98,'CAT_PUESTOS'!$A$4:$A$8,0)),"(sin catálogo)")</f>
        <v/>
      </c>
      <c r="X98" s="3">
        <f>IFERROR(INDEX('CAT_ACTIVIDADES'!$B$4:$B$8,MATCH($I98,'CAT_ACTIVIDADES'!$A$4:$A$8,0)),"(sin catálogo)")</f>
        <v/>
      </c>
      <c r="Y98" s="12">
        <f>IF($K98="","",TODAY()-$K98)</f>
        <v/>
      </c>
      <c r="Z98" s="3">
        <f>IF($Y98="","",IF($Y98&lt;0,"FUTURO",IF($Y98&gt;p_dias_backlog_max,"BACKLOG","MES CORRIENTE")))</f>
        <v/>
      </c>
      <c r="AA98" s="3">
        <f>IF($Y98="",FALSE,AND($Y98&gt;p_dias_backlog_min,$Y98&lt;=p_dias_backlog_max))</f>
        <v/>
      </c>
      <c r="AB98" s="6" t="inlineStr">
        <is>
          <t>Técnico 08</t>
        </is>
      </c>
      <c r="AC98" s="3">
        <f>IF($AB98="","",IFERROR(INDEX('ASIGNACIONES'!$F$4:$F$339,MATCH($O98&amp;"|"&amp;$R98&amp;"|"&amp;$AB98,'ASIGNACIONES'!$I$4:$I$339,0)),""))</f>
        <v/>
      </c>
      <c r="AD98" s="13">
        <f>IF($AB98="","",SUMIFS('ORDENES'!$L$4:$L$203,'ORDENES'!$AB$4:$AB$203,$AB98,'ORDENES'!$O$4:$O$203,$O98,'ORDENES'!$R$4:$R$203,$R98))</f>
        <v/>
      </c>
      <c r="AE98" s="13">
        <f>IF($AD98="","",p_factor_productividad*IFERROR(INDEX('ASIGNACIONES'!$H$4:$H$339,MATCH($O98&amp;"|"&amp;$R98&amp;"|"&amp;$AB98,'ASIGNACIONES'!$I$4:$I$339,0)),0)-$AD98)</f>
        <v/>
      </c>
      <c r="AF98" s="10">
        <f>IFERROR(INDEX('2_IMPORTAR_EJECUCION'!$G$9:$G$171,MATCH($C98,'2_IMPORTAR_EJECUCION'!$A$9:$A$171,0)),0)</f>
        <v/>
      </c>
      <c r="AG98" s="10">
        <f>MAX(0,IFERROR(INDEX('2_IMPORTAR_EJECUCION'!$I$9:$I$171,MATCH($C98,'2_IMPORTAR_EJECUCION'!$A$9:$A$171,0)),0)-$AF98)</f>
        <v/>
      </c>
      <c r="AH98" s="10">
        <f>$AF98+$AG98</f>
        <v/>
      </c>
      <c r="AI98" s="6" t="inlineStr"/>
      <c r="AJ98" s="6" t="inlineStr"/>
      <c r="AK98" s="6" t="inlineStr">
        <is>
          <t>ACT-04.pdf</t>
        </is>
      </c>
      <c r="AL98" s="3">
        <f>IF($AK98="","",HYPERLINK(p_ruta_base_checklists&amp;$AK98,"abrir"))</f>
        <v/>
      </c>
      <c r="AM98" s="6" t="inlineStr"/>
    </row>
    <row r="99">
      <c r="A99" s="3" t="inlineStr">
        <is>
          <t>OT-000096</t>
        </is>
      </c>
      <c r="B99" s="3" t="inlineStr">
        <is>
          <t>0010</t>
        </is>
      </c>
      <c r="C99" s="3">
        <f>$A99&amp;IF($B99="","0010",$B99)</f>
        <v/>
      </c>
      <c r="D99" s="3" t="inlineStr">
        <is>
          <t>Reparación de falla — EQ-106</t>
        </is>
      </c>
      <c r="E99" s="3" t="inlineStr">
        <is>
          <t>Reparación de falla en EQ-106</t>
        </is>
      </c>
      <c r="F99" s="3" t="inlineStr">
        <is>
          <t>EQ-106</t>
        </is>
      </c>
      <c r="G99" s="3" t="inlineStr">
        <is>
          <t>CC-220</t>
        </is>
      </c>
      <c r="H99" s="3" t="inlineStr">
        <is>
          <t>PU-AUT</t>
        </is>
      </c>
      <c r="I99" s="3" t="inlineStr">
        <is>
          <t>ACT-03</t>
        </is>
      </c>
      <c r="J99" s="3" t="inlineStr">
        <is>
          <t>TIPO-C1</t>
        </is>
      </c>
      <c r="K99" s="11" t="n">
        <v>46223</v>
      </c>
      <c r="L99" s="3" t="n">
        <v>10</v>
      </c>
      <c r="M99" s="10" t="n">
        <v>400</v>
      </c>
      <c r="N99" s="3">
        <f>IFERROR(INDEX('CAT_ESTADOS_ERP'!$B$4:$B$7,MATCH(IFERROR(INDEX('2_IMPORTAR_EJECUCION'!$D$9:$D$171,MATCH($C99,'2_IMPORTAR_EJECUCION'!$A$9:$A$171,0)),""),'CAT_ESTADOS_ERP'!$A$4:$A$7,0)),"Pendiente")</f>
        <v/>
      </c>
      <c r="O99" s="3">
        <f>IF($K99="","","S"&amp;IF(_xlfn.ISOWEEKNUM($K99)=53,1,_xlfn.ISOWEEKNUM($K99)))</f>
        <v/>
      </c>
      <c r="P99" s="3">
        <f>IF($K99="","",YEAR($K99))</f>
        <v/>
      </c>
      <c r="Q99" s="3">
        <f>IF($K99="","",MONTH($K99))</f>
        <v/>
      </c>
      <c r="R99" s="3">
        <f>IF($K99="","",INDEX(lista_dias,WEEKDAY($K99,2)))</f>
        <v/>
      </c>
      <c r="S99" s="3">
        <f>IFERROR(INDEX('CAT_TIPOS_OT'!$C$4:$C$7,MATCH($J99,'CAT_TIPOS_OT'!$A$4:$A$7,0)),"sin_clasificar")</f>
        <v/>
      </c>
      <c r="T99" s="3">
        <f>IFERROR(INDEX('CAT_CENTROS_COSTO'!$E$4:$E$9,MATCH($G99,'CAT_CENTROS_COSTO'!$A$4:$A$9,0)),"(sin catálogo)")</f>
        <v/>
      </c>
      <c r="U99" s="3">
        <f>IFERROR(INDEX('CAT_CENTROS_COSTO'!$D$4:$D$9,MATCH($G99,'CAT_CENTROS_COSTO'!$A$4:$A$9,0)),"(sin catálogo)")</f>
        <v/>
      </c>
      <c r="V99" s="3">
        <f>IFERROR(INDEX('CAT_CENTROS_COSTO'!$F$4:$F$9,MATCH($G99,'CAT_CENTROS_COSTO'!$A$4:$A$9,0)),"(sin catálogo)")</f>
        <v/>
      </c>
      <c r="W99" s="3">
        <f>IFERROR(INDEX('CAT_PUESTOS'!$B$4:$B$8,MATCH($H99,'CAT_PUESTOS'!$A$4:$A$8,0)),"(sin catálogo)")</f>
        <v/>
      </c>
      <c r="X99" s="3">
        <f>IFERROR(INDEX('CAT_ACTIVIDADES'!$B$4:$B$8,MATCH($I99,'CAT_ACTIVIDADES'!$A$4:$A$8,0)),"(sin catálogo)")</f>
        <v/>
      </c>
      <c r="Y99" s="12">
        <f>IF($K99="","",TODAY()-$K99)</f>
        <v/>
      </c>
      <c r="Z99" s="3">
        <f>IF($Y99="","",IF($Y99&lt;0,"FUTURO",IF($Y99&gt;p_dias_backlog_max,"BACKLOG","MES CORRIENTE")))</f>
        <v/>
      </c>
      <c r="AA99" s="3">
        <f>IF($Y99="",FALSE,AND($Y99&gt;p_dias_backlog_min,$Y99&lt;=p_dias_backlog_max))</f>
        <v/>
      </c>
      <c r="AB99" s="6" t="inlineStr"/>
      <c r="AC99" s="3">
        <f>IF($AB99="","",IFERROR(INDEX('ASIGNACIONES'!$F$4:$F$339,MATCH($O99&amp;"|"&amp;$R99&amp;"|"&amp;$AB99,'ASIGNACIONES'!$I$4:$I$339,0)),""))</f>
        <v/>
      </c>
      <c r="AD99" s="13">
        <f>IF($AB99="","",SUMIFS('ORDENES'!$L$4:$L$203,'ORDENES'!$AB$4:$AB$203,$AB99,'ORDENES'!$O$4:$O$203,$O99,'ORDENES'!$R$4:$R$203,$R99))</f>
        <v/>
      </c>
      <c r="AE99" s="13">
        <f>IF($AD99="","",p_factor_productividad*IFERROR(INDEX('ASIGNACIONES'!$H$4:$H$339,MATCH($O99&amp;"|"&amp;$R99&amp;"|"&amp;$AB99,'ASIGNACIONES'!$I$4:$I$339,0)),0)-$AD99)</f>
        <v/>
      </c>
      <c r="AF99" s="10">
        <f>IFERROR(INDEX('2_IMPORTAR_EJECUCION'!$G$9:$G$171,MATCH($C99,'2_IMPORTAR_EJECUCION'!$A$9:$A$171,0)),0)</f>
        <v/>
      </c>
      <c r="AG99" s="10">
        <f>MAX(0,IFERROR(INDEX('2_IMPORTAR_EJECUCION'!$I$9:$I$171,MATCH($C99,'2_IMPORTAR_EJECUCION'!$A$9:$A$171,0)),0)-$AF99)</f>
        <v/>
      </c>
      <c r="AH99" s="10">
        <f>$AF99+$AG99</f>
        <v/>
      </c>
      <c r="AI99" s="6" t="inlineStr">
        <is>
          <t>PT-CALIENTE</t>
        </is>
      </c>
      <c r="AJ99" s="6" t="inlineStr">
        <is>
          <t>LOTO</t>
        </is>
      </c>
      <c r="AK99" s="6" t="inlineStr"/>
      <c r="AL99" s="3">
        <f>IF($AK99="","",HYPERLINK(p_ruta_base_checklists&amp;$AK99,"abrir"))</f>
        <v/>
      </c>
      <c r="AM99" s="6" t="inlineStr"/>
    </row>
    <row r="100">
      <c r="A100" s="3" t="inlineStr">
        <is>
          <t>OT-000097</t>
        </is>
      </c>
      <c r="B100" s="3" t="inlineStr">
        <is>
          <t>0010</t>
        </is>
      </c>
      <c r="C100" s="3">
        <f>$A100&amp;IF($B100="","0010",$B100)</f>
        <v/>
      </c>
      <c r="D100" s="3" t="inlineStr">
        <is>
          <t>Lubricación programada — EQ-103</t>
        </is>
      </c>
      <c r="E100" s="3" t="inlineStr">
        <is>
          <t>Lubricación programada en EQ-103</t>
        </is>
      </c>
      <c r="F100" s="3" t="inlineStr">
        <is>
          <t>EQ-103</t>
        </is>
      </c>
      <c r="G100" s="3" t="inlineStr">
        <is>
          <t>CC-110</t>
        </is>
      </c>
      <c r="H100" s="3" t="inlineStr">
        <is>
          <t>PU-AUT</t>
        </is>
      </c>
      <c r="I100" s="3" t="inlineStr">
        <is>
          <t>ACT-02</t>
        </is>
      </c>
      <c r="J100" s="3" t="inlineStr">
        <is>
          <t>TIPO-P2</t>
        </is>
      </c>
      <c r="K100" s="11" t="n">
        <v>46231</v>
      </c>
      <c r="L100" s="3" t="n">
        <v>10</v>
      </c>
      <c r="M100" s="10" t="n">
        <v>250</v>
      </c>
      <c r="N100" s="3">
        <f>IFERROR(INDEX('CAT_ESTADOS_ERP'!$B$4:$B$7,MATCH(IFERROR(INDEX('2_IMPORTAR_EJECUCION'!$D$9:$D$171,MATCH($C100,'2_IMPORTAR_EJECUCION'!$A$9:$A$171,0)),""),'CAT_ESTADOS_ERP'!$A$4:$A$7,0)),"Pendiente")</f>
        <v/>
      </c>
      <c r="O100" s="3">
        <f>IF($K100="","","S"&amp;IF(_xlfn.ISOWEEKNUM($K100)=53,1,_xlfn.ISOWEEKNUM($K100)))</f>
        <v/>
      </c>
      <c r="P100" s="3">
        <f>IF($K100="","",YEAR($K100))</f>
        <v/>
      </c>
      <c r="Q100" s="3">
        <f>IF($K100="","",MONTH($K100))</f>
        <v/>
      </c>
      <c r="R100" s="3">
        <f>IF($K100="","",INDEX(lista_dias,WEEKDAY($K100,2)))</f>
        <v/>
      </c>
      <c r="S100" s="3">
        <f>IFERROR(INDEX('CAT_TIPOS_OT'!$C$4:$C$7,MATCH($J100,'CAT_TIPOS_OT'!$A$4:$A$7,0)),"sin_clasificar")</f>
        <v/>
      </c>
      <c r="T100" s="3">
        <f>IFERROR(INDEX('CAT_CENTROS_COSTO'!$E$4:$E$9,MATCH($G100,'CAT_CENTROS_COSTO'!$A$4:$A$9,0)),"(sin catálogo)")</f>
        <v/>
      </c>
      <c r="U100" s="3">
        <f>IFERROR(INDEX('CAT_CENTROS_COSTO'!$D$4:$D$9,MATCH($G100,'CAT_CENTROS_COSTO'!$A$4:$A$9,0)),"(sin catálogo)")</f>
        <v/>
      </c>
      <c r="V100" s="3">
        <f>IFERROR(INDEX('CAT_CENTROS_COSTO'!$F$4:$F$9,MATCH($G100,'CAT_CENTROS_COSTO'!$A$4:$A$9,0)),"(sin catálogo)")</f>
        <v/>
      </c>
      <c r="W100" s="3">
        <f>IFERROR(INDEX('CAT_PUESTOS'!$B$4:$B$8,MATCH($H100,'CAT_PUESTOS'!$A$4:$A$8,0)),"(sin catálogo)")</f>
        <v/>
      </c>
      <c r="X100" s="3">
        <f>IFERROR(INDEX('CAT_ACTIVIDADES'!$B$4:$B$8,MATCH($I100,'CAT_ACTIVIDADES'!$A$4:$A$8,0)),"(sin catálogo)")</f>
        <v/>
      </c>
      <c r="Y100" s="12">
        <f>IF($K100="","",TODAY()-$K100)</f>
        <v/>
      </c>
      <c r="Z100" s="3">
        <f>IF($Y100="","",IF($Y100&lt;0,"FUTURO",IF($Y100&gt;p_dias_backlog_max,"BACKLOG","MES CORRIENTE")))</f>
        <v/>
      </c>
      <c r="AA100" s="3">
        <f>IF($Y100="",FALSE,AND($Y100&gt;p_dias_backlog_min,$Y100&lt;=p_dias_backlog_max))</f>
        <v/>
      </c>
      <c r="AB100" s="6" t="inlineStr">
        <is>
          <t>Técnico 08</t>
        </is>
      </c>
      <c r="AC100" s="3">
        <f>IF($AB100="","",IFERROR(INDEX('ASIGNACIONES'!$F$4:$F$339,MATCH($O100&amp;"|"&amp;$R100&amp;"|"&amp;$AB100,'ASIGNACIONES'!$I$4:$I$339,0)),""))</f>
        <v/>
      </c>
      <c r="AD100" s="13">
        <f>IF($AB100="","",SUMIFS('ORDENES'!$L$4:$L$203,'ORDENES'!$AB$4:$AB$203,$AB100,'ORDENES'!$O$4:$O$203,$O100,'ORDENES'!$R$4:$R$203,$R100))</f>
        <v/>
      </c>
      <c r="AE100" s="13">
        <f>IF($AD100="","",p_factor_productividad*IFERROR(INDEX('ASIGNACIONES'!$H$4:$H$339,MATCH($O100&amp;"|"&amp;$R100&amp;"|"&amp;$AB100,'ASIGNACIONES'!$I$4:$I$339,0)),0)-$AD100)</f>
        <v/>
      </c>
      <c r="AF100" s="10">
        <f>IFERROR(INDEX('2_IMPORTAR_EJECUCION'!$G$9:$G$171,MATCH($C100,'2_IMPORTAR_EJECUCION'!$A$9:$A$171,0)),0)</f>
        <v/>
      </c>
      <c r="AG100" s="10">
        <f>MAX(0,IFERROR(INDEX('2_IMPORTAR_EJECUCION'!$I$9:$I$171,MATCH($C100,'2_IMPORTAR_EJECUCION'!$A$9:$A$171,0)),0)-$AF100)</f>
        <v/>
      </c>
      <c r="AH100" s="10">
        <f>$AF100+$AG100</f>
        <v/>
      </c>
      <c r="AI100" s="6" t="inlineStr"/>
      <c r="AJ100" s="6" t="inlineStr"/>
      <c r="AK100" s="6" t="inlineStr">
        <is>
          <t>ACT-02.pdf</t>
        </is>
      </c>
      <c r="AL100" s="3">
        <f>IF($AK100="","",HYPERLINK(p_ruta_base_checklists&amp;$AK100,"abrir"))</f>
        <v/>
      </c>
      <c r="AM100" s="6" t="inlineStr"/>
    </row>
    <row r="101">
      <c r="A101" s="3" t="inlineStr">
        <is>
          <t>OT-000098</t>
        </is>
      </c>
      <c r="B101" s="3" t="inlineStr">
        <is>
          <t>0010</t>
        </is>
      </c>
      <c r="C101" s="3">
        <f>$A101&amp;IF($B101="","0010",$B101)</f>
        <v/>
      </c>
      <c r="D101" s="3" t="inlineStr">
        <is>
          <t>Análisis predictivo — EQ-108</t>
        </is>
      </c>
      <c r="E101" s="3" t="inlineStr">
        <is>
          <t>Análisis predictivo en EQ-108</t>
        </is>
      </c>
      <c r="F101" s="3" t="inlineStr">
        <is>
          <t>EQ-108</t>
        </is>
      </c>
      <c r="G101" s="3" t="inlineStr">
        <is>
          <t>CC-220</t>
        </is>
      </c>
      <c r="H101" s="3" t="inlineStr">
        <is>
          <t>PU-AUT</t>
        </is>
      </c>
      <c r="I101" s="3" t="inlineStr">
        <is>
          <t>ACT-04</t>
        </is>
      </c>
      <c r="J101" s="3" t="inlineStr">
        <is>
          <t>TIPO-P1</t>
        </is>
      </c>
      <c r="K101" s="11" t="n">
        <v>46232</v>
      </c>
      <c r="L101" s="3" t="n">
        <v>8</v>
      </c>
      <c r="M101" s="10" t="n">
        <v>200</v>
      </c>
      <c r="N101" s="3">
        <f>IFERROR(INDEX('CAT_ESTADOS_ERP'!$B$4:$B$7,MATCH(IFERROR(INDEX('2_IMPORTAR_EJECUCION'!$D$9:$D$171,MATCH($C101,'2_IMPORTAR_EJECUCION'!$A$9:$A$171,0)),""),'CAT_ESTADOS_ERP'!$A$4:$A$7,0)),"Pendiente")</f>
        <v/>
      </c>
      <c r="O101" s="3">
        <f>IF($K101="","","S"&amp;IF(_xlfn.ISOWEEKNUM($K101)=53,1,_xlfn.ISOWEEKNUM($K101)))</f>
        <v/>
      </c>
      <c r="P101" s="3">
        <f>IF($K101="","",YEAR($K101))</f>
        <v/>
      </c>
      <c r="Q101" s="3">
        <f>IF($K101="","",MONTH($K101))</f>
        <v/>
      </c>
      <c r="R101" s="3">
        <f>IF($K101="","",INDEX(lista_dias,WEEKDAY($K101,2)))</f>
        <v/>
      </c>
      <c r="S101" s="3">
        <f>IFERROR(INDEX('CAT_TIPOS_OT'!$C$4:$C$7,MATCH($J101,'CAT_TIPOS_OT'!$A$4:$A$7,0)),"sin_clasificar")</f>
        <v/>
      </c>
      <c r="T101" s="3">
        <f>IFERROR(INDEX('CAT_CENTROS_COSTO'!$E$4:$E$9,MATCH($G101,'CAT_CENTROS_COSTO'!$A$4:$A$9,0)),"(sin catálogo)")</f>
        <v/>
      </c>
      <c r="U101" s="3">
        <f>IFERROR(INDEX('CAT_CENTROS_COSTO'!$D$4:$D$9,MATCH($G101,'CAT_CENTROS_COSTO'!$A$4:$A$9,0)),"(sin catálogo)")</f>
        <v/>
      </c>
      <c r="V101" s="3">
        <f>IFERROR(INDEX('CAT_CENTROS_COSTO'!$F$4:$F$9,MATCH($G101,'CAT_CENTROS_COSTO'!$A$4:$A$9,0)),"(sin catálogo)")</f>
        <v/>
      </c>
      <c r="W101" s="3">
        <f>IFERROR(INDEX('CAT_PUESTOS'!$B$4:$B$8,MATCH($H101,'CAT_PUESTOS'!$A$4:$A$8,0)),"(sin catálogo)")</f>
        <v/>
      </c>
      <c r="X101" s="3">
        <f>IFERROR(INDEX('CAT_ACTIVIDADES'!$B$4:$B$8,MATCH($I101,'CAT_ACTIVIDADES'!$A$4:$A$8,0)),"(sin catálogo)")</f>
        <v/>
      </c>
      <c r="Y101" s="12">
        <f>IF($K101="","",TODAY()-$K101)</f>
        <v/>
      </c>
      <c r="Z101" s="3">
        <f>IF($Y101="","",IF($Y101&lt;0,"FUTURO",IF($Y101&gt;p_dias_backlog_max,"BACKLOG","MES CORRIENTE")))</f>
        <v/>
      </c>
      <c r="AA101" s="3">
        <f>IF($Y101="",FALSE,AND($Y101&gt;p_dias_backlog_min,$Y101&lt;=p_dias_backlog_max))</f>
        <v/>
      </c>
      <c r="AB101" s="6" t="inlineStr">
        <is>
          <t>Técnico 09</t>
        </is>
      </c>
      <c r="AC101" s="3">
        <f>IF($AB101="","",IFERROR(INDEX('ASIGNACIONES'!$F$4:$F$339,MATCH($O101&amp;"|"&amp;$R101&amp;"|"&amp;$AB101,'ASIGNACIONES'!$I$4:$I$339,0)),""))</f>
        <v/>
      </c>
      <c r="AD101" s="13">
        <f>IF($AB101="","",SUMIFS('ORDENES'!$L$4:$L$203,'ORDENES'!$AB$4:$AB$203,$AB101,'ORDENES'!$O$4:$O$203,$O101,'ORDENES'!$R$4:$R$203,$R101))</f>
        <v/>
      </c>
      <c r="AE101" s="13">
        <f>IF($AD101="","",p_factor_productividad*IFERROR(INDEX('ASIGNACIONES'!$H$4:$H$339,MATCH($O101&amp;"|"&amp;$R101&amp;"|"&amp;$AB101,'ASIGNACIONES'!$I$4:$I$339,0)),0)-$AD101)</f>
        <v/>
      </c>
      <c r="AF101" s="10">
        <f>IFERROR(INDEX('2_IMPORTAR_EJECUCION'!$G$9:$G$171,MATCH($C101,'2_IMPORTAR_EJECUCION'!$A$9:$A$171,0)),0)</f>
        <v/>
      </c>
      <c r="AG101" s="10">
        <f>MAX(0,IFERROR(INDEX('2_IMPORTAR_EJECUCION'!$I$9:$I$171,MATCH($C101,'2_IMPORTAR_EJECUCION'!$A$9:$A$171,0)),0)-$AF101)</f>
        <v/>
      </c>
      <c r="AH101" s="10">
        <f>$AF101+$AG101</f>
        <v/>
      </c>
      <c r="AI101" s="6" t="inlineStr"/>
      <c r="AJ101" s="6" t="inlineStr"/>
      <c r="AK101" s="6" t="inlineStr">
        <is>
          <t>ACT-04.pdf</t>
        </is>
      </c>
      <c r="AL101" s="3">
        <f>IF($AK101="","",HYPERLINK(p_ruta_base_checklists&amp;$AK101,"abrir"))</f>
        <v/>
      </c>
      <c r="AM101" s="6" t="inlineStr"/>
    </row>
    <row r="102">
      <c r="A102" s="3" t="inlineStr">
        <is>
          <t>OT-000099</t>
        </is>
      </c>
      <c r="B102" s="3" t="inlineStr">
        <is>
          <t>0010</t>
        </is>
      </c>
      <c r="C102" s="3">
        <f>$A102&amp;IF($B102="","0010",$B102)</f>
        <v/>
      </c>
      <c r="D102" s="3" t="inlineStr">
        <is>
          <t>Inspección de rutina — EQ-105</t>
        </is>
      </c>
      <c r="E102" s="3" t="inlineStr">
        <is>
          <t>Inspección de rutina en EQ-105</t>
        </is>
      </c>
      <c r="F102" s="3" t="inlineStr">
        <is>
          <t>EQ-105</t>
        </is>
      </c>
      <c r="G102" s="3" t="inlineStr">
        <is>
          <t>CC-110</t>
        </is>
      </c>
      <c r="H102" s="3" t="inlineStr">
        <is>
          <t>PU-AUT</t>
        </is>
      </c>
      <c r="I102" s="3" t="inlineStr">
        <is>
          <t>ACT-01</t>
        </is>
      </c>
      <c r="J102" s="3" t="inlineStr">
        <is>
          <t>TIPO-P2</t>
        </is>
      </c>
      <c r="K102" s="11" t="n">
        <v>46233</v>
      </c>
      <c r="L102" s="3" t="n">
        <v>6</v>
      </c>
      <c r="M102" s="10" t="n">
        <v>150</v>
      </c>
      <c r="N102" s="3">
        <f>IFERROR(INDEX('CAT_ESTADOS_ERP'!$B$4:$B$7,MATCH(IFERROR(INDEX('2_IMPORTAR_EJECUCION'!$D$9:$D$171,MATCH($C102,'2_IMPORTAR_EJECUCION'!$A$9:$A$171,0)),""),'CAT_ESTADOS_ERP'!$A$4:$A$7,0)),"Pendiente")</f>
        <v/>
      </c>
      <c r="O102" s="3">
        <f>IF($K102="","","S"&amp;IF(_xlfn.ISOWEEKNUM($K102)=53,1,_xlfn.ISOWEEKNUM($K102)))</f>
        <v/>
      </c>
      <c r="P102" s="3">
        <f>IF($K102="","",YEAR($K102))</f>
        <v/>
      </c>
      <c r="Q102" s="3">
        <f>IF($K102="","",MONTH($K102))</f>
        <v/>
      </c>
      <c r="R102" s="3">
        <f>IF($K102="","",INDEX(lista_dias,WEEKDAY($K102,2)))</f>
        <v/>
      </c>
      <c r="S102" s="3">
        <f>IFERROR(INDEX('CAT_TIPOS_OT'!$C$4:$C$7,MATCH($J102,'CAT_TIPOS_OT'!$A$4:$A$7,0)),"sin_clasificar")</f>
        <v/>
      </c>
      <c r="T102" s="3">
        <f>IFERROR(INDEX('CAT_CENTROS_COSTO'!$E$4:$E$9,MATCH($G102,'CAT_CENTROS_COSTO'!$A$4:$A$9,0)),"(sin catálogo)")</f>
        <v/>
      </c>
      <c r="U102" s="3">
        <f>IFERROR(INDEX('CAT_CENTROS_COSTO'!$D$4:$D$9,MATCH($G102,'CAT_CENTROS_COSTO'!$A$4:$A$9,0)),"(sin catálogo)")</f>
        <v/>
      </c>
      <c r="V102" s="3">
        <f>IFERROR(INDEX('CAT_CENTROS_COSTO'!$F$4:$F$9,MATCH($G102,'CAT_CENTROS_COSTO'!$A$4:$A$9,0)),"(sin catálogo)")</f>
        <v/>
      </c>
      <c r="W102" s="3">
        <f>IFERROR(INDEX('CAT_PUESTOS'!$B$4:$B$8,MATCH($H102,'CAT_PUESTOS'!$A$4:$A$8,0)),"(sin catálogo)")</f>
        <v/>
      </c>
      <c r="X102" s="3">
        <f>IFERROR(INDEX('CAT_ACTIVIDADES'!$B$4:$B$8,MATCH($I102,'CAT_ACTIVIDADES'!$A$4:$A$8,0)),"(sin catálogo)")</f>
        <v/>
      </c>
      <c r="Y102" s="12">
        <f>IF($K102="","",TODAY()-$K102)</f>
        <v/>
      </c>
      <c r="Z102" s="3">
        <f>IF($Y102="","",IF($Y102&lt;0,"FUTURO",IF($Y102&gt;p_dias_backlog_max,"BACKLOG","MES CORRIENTE")))</f>
        <v/>
      </c>
      <c r="AA102" s="3">
        <f>IF($Y102="",FALSE,AND($Y102&gt;p_dias_backlog_min,$Y102&lt;=p_dias_backlog_max))</f>
        <v/>
      </c>
      <c r="AB102" s="6" t="inlineStr">
        <is>
          <t>Técnico 08</t>
        </is>
      </c>
      <c r="AC102" s="3">
        <f>IF($AB102="","",IFERROR(INDEX('ASIGNACIONES'!$F$4:$F$339,MATCH($O102&amp;"|"&amp;$R102&amp;"|"&amp;$AB102,'ASIGNACIONES'!$I$4:$I$339,0)),""))</f>
        <v/>
      </c>
      <c r="AD102" s="13">
        <f>IF($AB102="","",SUMIFS('ORDENES'!$L$4:$L$203,'ORDENES'!$AB$4:$AB$203,$AB102,'ORDENES'!$O$4:$O$203,$O102,'ORDENES'!$R$4:$R$203,$R102))</f>
        <v/>
      </c>
      <c r="AE102" s="13">
        <f>IF($AD102="","",p_factor_productividad*IFERROR(INDEX('ASIGNACIONES'!$H$4:$H$339,MATCH($O102&amp;"|"&amp;$R102&amp;"|"&amp;$AB102,'ASIGNACIONES'!$I$4:$I$339,0)),0)-$AD102)</f>
        <v/>
      </c>
      <c r="AF102" s="10">
        <f>IFERROR(INDEX('2_IMPORTAR_EJECUCION'!$G$9:$G$171,MATCH($C102,'2_IMPORTAR_EJECUCION'!$A$9:$A$171,0)),0)</f>
        <v/>
      </c>
      <c r="AG102" s="10">
        <f>MAX(0,IFERROR(INDEX('2_IMPORTAR_EJECUCION'!$I$9:$I$171,MATCH($C102,'2_IMPORTAR_EJECUCION'!$A$9:$A$171,0)),0)-$AF102)</f>
        <v/>
      </c>
      <c r="AH102" s="10">
        <f>$AF102+$AG102</f>
        <v/>
      </c>
      <c r="AI102" s="6" t="inlineStr"/>
      <c r="AJ102" s="6" t="inlineStr"/>
      <c r="AK102" s="6" t="inlineStr">
        <is>
          <t>ACT-01.pdf</t>
        </is>
      </c>
      <c r="AL102" s="3">
        <f>IF($AK102="","",HYPERLINK(p_ruta_base_checklists&amp;$AK102,"abrir"))</f>
        <v/>
      </c>
      <c r="AM102" s="6" t="inlineStr"/>
    </row>
    <row r="103">
      <c r="A103" s="3" t="inlineStr">
        <is>
          <t>OT-000100</t>
        </is>
      </c>
      <c r="B103" s="3" t="inlineStr">
        <is>
          <t>0010</t>
        </is>
      </c>
      <c r="C103" s="3">
        <f>$A103&amp;IF($B103="","0010",$B103)</f>
        <v/>
      </c>
      <c r="D103" s="3" t="inlineStr">
        <is>
          <t>Lubricación programada — EQ-106</t>
        </is>
      </c>
      <c r="E103" s="3" t="inlineStr">
        <is>
          <t>Lubricación programada en EQ-106</t>
        </is>
      </c>
      <c r="F103" s="3" t="inlineStr">
        <is>
          <t>EQ-106</t>
        </is>
      </c>
      <c r="G103" s="3" t="inlineStr">
        <is>
          <t>CC-220</t>
        </is>
      </c>
      <c r="H103" s="3" t="inlineStr">
        <is>
          <t>PU-AUT</t>
        </is>
      </c>
      <c r="I103" s="3" t="inlineStr">
        <is>
          <t>ACT-02</t>
        </is>
      </c>
      <c r="J103" s="3" t="inlineStr">
        <is>
          <t>TIPO-P1</t>
        </is>
      </c>
      <c r="K103" s="11" t="n">
        <v>46234</v>
      </c>
      <c r="L103" s="3" t="n">
        <v>11</v>
      </c>
      <c r="M103" s="10" t="n">
        <v>275</v>
      </c>
      <c r="N103" s="3">
        <f>IFERROR(INDEX('CAT_ESTADOS_ERP'!$B$4:$B$7,MATCH(IFERROR(INDEX('2_IMPORTAR_EJECUCION'!$D$9:$D$171,MATCH($C103,'2_IMPORTAR_EJECUCION'!$A$9:$A$171,0)),""),'CAT_ESTADOS_ERP'!$A$4:$A$7,0)),"Pendiente")</f>
        <v/>
      </c>
      <c r="O103" s="3">
        <f>IF($K103="","","S"&amp;IF(_xlfn.ISOWEEKNUM($K103)=53,1,_xlfn.ISOWEEKNUM($K103)))</f>
        <v/>
      </c>
      <c r="P103" s="3">
        <f>IF($K103="","",YEAR($K103))</f>
        <v/>
      </c>
      <c r="Q103" s="3">
        <f>IF($K103="","",MONTH($K103))</f>
        <v/>
      </c>
      <c r="R103" s="3">
        <f>IF($K103="","",INDEX(lista_dias,WEEKDAY($K103,2)))</f>
        <v/>
      </c>
      <c r="S103" s="3">
        <f>IFERROR(INDEX('CAT_TIPOS_OT'!$C$4:$C$7,MATCH($J103,'CAT_TIPOS_OT'!$A$4:$A$7,0)),"sin_clasificar")</f>
        <v/>
      </c>
      <c r="T103" s="3">
        <f>IFERROR(INDEX('CAT_CENTROS_COSTO'!$E$4:$E$9,MATCH($G103,'CAT_CENTROS_COSTO'!$A$4:$A$9,0)),"(sin catálogo)")</f>
        <v/>
      </c>
      <c r="U103" s="3">
        <f>IFERROR(INDEX('CAT_CENTROS_COSTO'!$D$4:$D$9,MATCH($G103,'CAT_CENTROS_COSTO'!$A$4:$A$9,0)),"(sin catálogo)")</f>
        <v/>
      </c>
      <c r="V103" s="3">
        <f>IFERROR(INDEX('CAT_CENTROS_COSTO'!$F$4:$F$9,MATCH($G103,'CAT_CENTROS_COSTO'!$A$4:$A$9,0)),"(sin catálogo)")</f>
        <v/>
      </c>
      <c r="W103" s="3">
        <f>IFERROR(INDEX('CAT_PUESTOS'!$B$4:$B$8,MATCH($H103,'CAT_PUESTOS'!$A$4:$A$8,0)),"(sin catálogo)")</f>
        <v/>
      </c>
      <c r="X103" s="3">
        <f>IFERROR(INDEX('CAT_ACTIVIDADES'!$B$4:$B$8,MATCH($I103,'CAT_ACTIVIDADES'!$A$4:$A$8,0)),"(sin catálogo)")</f>
        <v/>
      </c>
      <c r="Y103" s="12">
        <f>IF($K103="","",TODAY()-$K103)</f>
        <v/>
      </c>
      <c r="Z103" s="3">
        <f>IF($Y103="","",IF($Y103&lt;0,"FUTURO",IF($Y103&gt;p_dias_backlog_max,"BACKLOG","MES CORRIENTE")))</f>
        <v/>
      </c>
      <c r="AA103" s="3">
        <f>IF($Y103="",FALSE,AND($Y103&gt;p_dias_backlog_min,$Y103&lt;=p_dias_backlog_max))</f>
        <v/>
      </c>
      <c r="AB103" s="6" t="inlineStr">
        <is>
          <t>Técnico 09</t>
        </is>
      </c>
      <c r="AC103" s="3">
        <f>IF($AB103="","",IFERROR(INDEX('ASIGNACIONES'!$F$4:$F$339,MATCH($O103&amp;"|"&amp;$R103&amp;"|"&amp;$AB103,'ASIGNACIONES'!$I$4:$I$339,0)),""))</f>
        <v/>
      </c>
      <c r="AD103" s="13">
        <f>IF($AB103="","",SUMIFS('ORDENES'!$L$4:$L$203,'ORDENES'!$AB$4:$AB$203,$AB103,'ORDENES'!$O$4:$O$203,$O103,'ORDENES'!$R$4:$R$203,$R103))</f>
        <v/>
      </c>
      <c r="AE103" s="13">
        <f>IF($AD103="","",p_factor_productividad*IFERROR(INDEX('ASIGNACIONES'!$H$4:$H$339,MATCH($O103&amp;"|"&amp;$R103&amp;"|"&amp;$AB103,'ASIGNACIONES'!$I$4:$I$339,0)),0)-$AD103)</f>
        <v/>
      </c>
      <c r="AF103" s="10">
        <f>IFERROR(INDEX('2_IMPORTAR_EJECUCION'!$G$9:$G$171,MATCH($C103,'2_IMPORTAR_EJECUCION'!$A$9:$A$171,0)),0)</f>
        <v/>
      </c>
      <c r="AG103" s="10">
        <f>MAX(0,IFERROR(INDEX('2_IMPORTAR_EJECUCION'!$I$9:$I$171,MATCH($C103,'2_IMPORTAR_EJECUCION'!$A$9:$A$171,0)),0)-$AF103)</f>
        <v/>
      </c>
      <c r="AH103" s="10">
        <f>$AF103+$AG103</f>
        <v/>
      </c>
      <c r="AI103" s="6" t="inlineStr"/>
      <c r="AJ103" s="6" t="inlineStr"/>
      <c r="AK103" s="6" t="inlineStr">
        <is>
          <t>ACT-02.pdf</t>
        </is>
      </c>
      <c r="AL103" s="3">
        <f>IF($AK103="","",HYPERLINK(p_ruta_base_checklists&amp;$AK103,"abrir"))</f>
        <v/>
      </c>
      <c r="AM103" s="6" t="inlineStr"/>
    </row>
    <row r="104">
      <c r="A104" s="3" t="inlineStr">
        <is>
          <t>OT-000101</t>
        </is>
      </c>
      <c r="B104" s="3" t="inlineStr">
        <is>
          <t>0010</t>
        </is>
      </c>
      <c r="C104" s="3">
        <f>$A104&amp;IF($B104="","0010",$B104)</f>
        <v/>
      </c>
      <c r="D104" s="3" t="inlineStr">
        <is>
          <t>Reparación de falla — EQ-102</t>
        </is>
      </c>
      <c r="E104" s="3" t="inlineStr">
        <is>
          <t>Reparación de falla en EQ-102</t>
        </is>
      </c>
      <c r="F104" s="3" t="inlineStr">
        <is>
          <t>EQ-102</t>
        </is>
      </c>
      <c r="G104" s="3" t="inlineStr">
        <is>
          <t>CC-110</t>
        </is>
      </c>
      <c r="H104" s="3" t="inlineStr">
        <is>
          <t>PU-AUT</t>
        </is>
      </c>
      <c r="I104" s="3" t="inlineStr">
        <is>
          <t>ACT-03</t>
        </is>
      </c>
      <c r="J104" s="3" t="inlineStr">
        <is>
          <t>TIPO-C2</t>
        </is>
      </c>
      <c r="K104" s="11" t="n">
        <v>46230</v>
      </c>
      <c r="L104" s="3" t="n">
        <v>7</v>
      </c>
      <c r="M104" s="10" t="n">
        <v>280</v>
      </c>
      <c r="N104" s="3">
        <f>IFERROR(INDEX('CAT_ESTADOS_ERP'!$B$4:$B$7,MATCH(IFERROR(INDEX('2_IMPORTAR_EJECUCION'!$D$9:$D$171,MATCH($C104,'2_IMPORTAR_EJECUCION'!$A$9:$A$171,0)),""),'CAT_ESTADOS_ERP'!$A$4:$A$7,0)),"Pendiente")</f>
        <v/>
      </c>
      <c r="O104" s="3">
        <f>IF($K104="","","S"&amp;IF(_xlfn.ISOWEEKNUM($K104)=53,1,_xlfn.ISOWEEKNUM($K104)))</f>
        <v/>
      </c>
      <c r="P104" s="3">
        <f>IF($K104="","",YEAR($K104))</f>
        <v/>
      </c>
      <c r="Q104" s="3">
        <f>IF($K104="","",MONTH($K104))</f>
        <v/>
      </c>
      <c r="R104" s="3">
        <f>IF($K104="","",INDEX(lista_dias,WEEKDAY($K104,2)))</f>
        <v/>
      </c>
      <c r="S104" s="3">
        <f>IFERROR(INDEX('CAT_TIPOS_OT'!$C$4:$C$7,MATCH($J104,'CAT_TIPOS_OT'!$A$4:$A$7,0)),"sin_clasificar")</f>
        <v/>
      </c>
      <c r="T104" s="3">
        <f>IFERROR(INDEX('CAT_CENTROS_COSTO'!$E$4:$E$9,MATCH($G104,'CAT_CENTROS_COSTO'!$A$4:$A$9,0)),"(sin catálogo)")</f>
        <v/>
      </c>
      <c r="U104" s="3">
        <f>IFERROR(INDEX('CAT_CENTROS_COSTO'!$D$4:$D$9,MATCH($G104,'CAT_CENTROS_COSTO'!$A$4:$A$9,0)),"(sin catálogo)")</f>
        <v/>
      </c>
      <c r="V104" s="3">
        <f>IFERROR(INDEX('CAT_CENTROS_COSTO'!$F$4:$F$9,MATCH($G104,'CAT_CENTROS_COSTO'!$A$4:$A$9,0)),"(sin catálogo)")</f>
        <v/>
      </c>
      <c r="W104" s="3">
        <f>IFERROR(INDEX('CAT_PUESTOS'!$B$4:$B$8,MATCH($H104,'CAT_PUESTOS'!$A$4:$A$8,0)),"(sin catálogo)")</f>
        <v/>
      </c>
      <c r="X104" s="3">
        <f>IFERROR(INDEX('CAT_ACTIVIDADES'!$B$4:$B$8,MATCH($I104,'CAT_ACTIVIDADES'!$A$4:$A$8,0)),"(sin catálogo)")</f>
        <v/>
      </c>
      <c r="Y104" s="12">
        <f>IF($K104="","",TODAY()-$K104)</f>
        <v/>
      </c>
      <c r="Z104" s="3">
        <f>IF($Y104="","",IF($Y104&lt;0,"FUTURO",IF($Y104&gt;p_dias_backlog_max,"BACKLOG","MES CORRIENTE")))</f>
        <v/>
      </c>
      <c r="AA104" s="3">
        <f>IF($Y104="",FALSE,AND($Y104&gt;p_dias_backlog_min,$Y104&lt;=p_dias_backlog_max))</f>
        <v/>
      </c>
      <c r="AB104" s="6" t="inlineStr">
        <is>
          <t>Técnico 08</t>
        </is>
      </c>
      <c r="AC104" s="3">
        <f>IF($AB104="","",IFERROR(INDEX('ASIGNACIONES'!$F$4:$F$339,MATCH($O104&amp;"|"&amp;$R104&amp;"|"&amp;$AB104,'ASIGNACIONES'!$I$4:$I$339,0)),""))</f>
        <v/>
      </c>
      <c r="AD104" s="13">
        <f>IF($AB104="","",SUMIFS('ORDENES'!$L$4:$L$203,'ORDENES'!$AB$4:$AB$203,$AB104,'ORDENES'!$O$4:$O$203,$O104,'ORDENES'!$R$4:$R$203,$R104))</f>
        <v/>
      </c>
      <c r="AE104" s="13">
        <f>IF($AD104="","",p_factor_productividad*IFERROR(INDEX('ASIGNACIONES'!$H$4:$H$339,MATCH($O104&amp;"|"&amp;$R104&amp;"|"&amp;$AB104,'ASIGNACIONES'!$I$4:$I$339,0)),0)-$AD104)</f>
        <v/>
      </c>
      <c r="AF104" s="10">
        <f>IFERROR(INDEX('2_IMPORTAR_EJECUCION'!$G$9:$G$171,MATCH($C104,'2_IMPORTAR_EJECUCION'!$A$9:$A$171,0)),0)</f>
        <v/>
      </c>
      <c r="AG104" s="10">
        <f>MAX(0,IFERROR(INDEX('2_IMPORTAR_EJECUCION'!$I$9:$I$171,MATCH($C104,'2_IMPORTAR_EJECUCION'!$A$9:$A$171,0)),0)-$AF104)</f>
        <v/>
      </c>
      <c r="AH104" s="10">
        <f>$AF104+$AG104</f>
        <v/>
      </c>
      <c r="AI104" s="6" t="inlineStr"/>
      <c r="AJ104" s="6" t="inlineStr"/>
      <c r="AK104" s="6" t="inlineStr"/>
      <c r="AL104" s="3">
        <f>IF($AK104="","",HYPERLINK(p_ruta_base_checklists&amp;$AK104,"abrir"))</f>
        <v/>
      </c>
      <c r="AM104" s="6" t="inlineStr"/>
    </row>
    <row r="105">
      <c r="A105" s="3" t="inlineStr">
        <is>
          <t>OT-000102</t>
        </is>
      </c>
      <c r="B105" s="3" t="inlineStr">
        <is>
          <t>0010</t>
        </is>
      </c>
      <c r="C105" s="3">
        <f>$A105&amp;IF($B105="","0010",$B105)</f>
        <v/>
      </c>
      <c r="D105" s="3" t="inlineStr">
        <is>
          <t>Inspección de rutina — EQ-108</t>
        </is>
      </c>
      <c r="E105" s="3" t="inlineStr">
        <is>
          <t>Inspección de rutina en EQ-108</t>
        </is>
      </c>
      <c r="F105" s="3" t="inlineStr">
        <is>
          <t>EQ-108</t>
        </is>
      </c>
      <c r="G105" s="3" t="inlineStr">
        <is>
          <t>CC-220</t>
        </is>
      </c>
      <c r="H105" s="3" t="inlineStr">
        <is>
          <t>PU-AUT</t>
        </is>
      </c>
      <c r="I105" s="3" t="inlineStr">
        <is>
          <t>ACT-01</t>
        </is>
      </c>
      <c r="J105" s="3" t="inlineStr">
        <is>
          <t>TIPO-P1</t>
        </is>
      </c>
      <c r="K105" s="11" t="n">
        <v>46238</v>
      </c>
      <c r="L105" s="3" t="n">
        <v>10</v>
      </c>
      <c r="M105" s="10" t="n">
        <v>250</v>
      </c>
      <c r="N105" s="3">
        <f>IFERROR(INDEX('CAT_ESTADOS_ERP'!$B$4:$B$7,MATCH(IFERROR(INDEX('2_IMPORTAR_EJECUCION'!$D$9:$D$171,MATCH($C105,'2_IMPORTAR_EJECUCION'!$A$9:$A$171,0)),""),'CAT_ESTADOS_ERP'!$A$4:$A$7,0)),"Pendiente")</f>
        <v/>
      </c>
      <c r="O105" s="3">
        <f>IF($K105="","","S"&amp;IF(_xlfn.ISOWEEKNUM($K105)=53,1,_xlfn.ISOWEEKNUM($K105)))</f>
        <v/>
      </c>
      <c r="P105" s="3">
        <f>IF($K105="","",YEAR($K105))</f>
        <v/>
      </c>
      <c r="Q105" s="3">
        <f>IF($K105="","",MONTH($K105))</f>
        <v/>
      </c>
      <c r="R105" s="3">
        <f>IF($K105="","",INDEX(lista_dias,WEEKDAY($K105,2)))</f>
        <v/>
      </c>
      <c r="S105" s="3">
        <f>IFERROR(INDEX('CAT_TIPOS_OT'!$C$4:$C$7,MATCH($J105,'CAT_TIPOS_OT'!$A$4:$A$7,0)),"sin_clasificar")</f>
        <v/>
      </c>
      <c r="T105" s="3">
        <f>IFERROR(INDEX('CAT_CENTROS_COSTO'!$E$4:$E$9,MATCH($G105,'CAT_CENTROS_COSTO'!$A$4:$A$9,0)),"(sin catálogo)")</f>
        <v/>
      </c>
      <c r="U105" s="3">
        <f>IFERROR(INDEX('CAT_CENTROS_COSTO'!$D$4:$D$9,MATCH($G105,'CAT_CENTROS_COSTO'!$A$4:$A$9,0)),"(sin catálogo)")</f>
        <v/>
      </c>
      <c r="V105" s="3">
        <f>IFERROR(INDEX('CAT_CENTROS_COSTO'!$F$4:$F$9,MATCH($G105,'CAT_CENTROS_COSTO'!$A$4:$A$9,0)),"(sin catálogo)")</f>
        <v/>
      </c>
      <c r="W105" s="3">
        <f>IFERROR(INDEX('CAT_PUESTOS'!$B$4:$B$8,MATCH($H105,'CAT_PUESTOS'!$A$4:$A$8,0)),"(sin catálogo)")</f>
        <v/>
      </c>
      <c r="X105" s="3">
        <f>IFERROR(INDEX('CAT_ACTIVIDADES'!$B$4:$B$8,MATCH($I105,'CAT_ACTIVIDADES'!$A$4:$A$8,0)),"(sin catálogo)")</f>
        <v/>
      </c>
      <c r="Y105" s="12">
        <f>IF($K105="","",TODAY()-$K105)</f>
        <v/>
      </c>
      <c r="Z105" s="3">
        <f>IF($Y105="","",IF($Y105&lt;0,"FUTURO",IF($Y105&gt;p_dias_backlog_max,"BACKLOG","MES CORRIENTE")))</f>
        <v/>
      </c>
      <c r="AA105" s="3">
        <f>IF($Y105="",FALSE,AND($Y105&gt;p_dias_backlog_min,$Y105&lt;=p_dias_backlog_max))</f>
        <v/>
      </c>
      <c r="AB105" s="6" t="inlineStr">
        <is>
          <t>Técnico 09</t>
        </is>
      </c>
      <c r="AC105" s="3">
        <f>IF($AB105="","",IFERROR(INDEX('ASIGNACIONES'!$F$4:$F$339,MATCH($O105&amp;"|"&amp;$R105&amp;"|"&amp;$AB105,'ASIGNACIONES'!$I$4:$I$339,0)),""))</f>
        <v/>
      </c>
      <c r="AD105" s="13">
        <f>IF($AB105="","",SUMIFS('ORDENES'!$L$4:$L$203,'ORDENES'!$AB$4:$AB$203,$AB105,'ORDENES'!$O$4:$O$203,$O105,'ORDENES'!$R$4:$R$203,$R105))</f>
        <v/>
      </c>
      <c r="AE105" s="13">
        <f>IF($AD105="","",p_factor_productividad*IFERROR(INDEX('ASIGNACIONES'!$H$4:$H$339,MATCH($O105&amp;"|"&amp;$R105&amp;"|"&amp;$AB105,'ASIGNACIONES'!$I$4:$I$339,0)),0)-$AD105)</f>
        <v/>
      </c>
      <c r="AF105" s="10">
        <f>IFERROR(INDEX('2_IMPORTAR_EJECUCION'!$G$9:$G$171,MATCH($C105,'2_IMPORTAR_EJECUCION'!$A$9:$A$171,0)),0)</f>
        <v/>
      </c>
      <c r="AG105" s="10">
        <f>MAX(0,IFERROR(INDEX('2_IMPORTAR_EJECUCION'!$I$9:$I$171,MATCH($C105,'2_IMPORTAR_EJECUCION'!$A$9:$A$171,0)),0)-$AF105)</f>
        <v/>
      </c>
      <c r="AH105" s="10">
        <f>$AF105+$AG105</f>
        <v/>
      </c>
      <c r="AI105" s="6" t="inlineStr"/>
      <c r="AJ105" s="6" t="inlineStr"/>
      <c r="AK105" s="6" t="inlineStr">
        <is>
          <t>ACT-01.pdf</t>
        </is>
      </c>
      <c r="AL105" s="3">
        <f>IF($AK105="","",HYPERLINK(p_ruta_base_checklists&amp;$AK105,"abrir"))</f>
        <v/>
      </c>
      <c r="AM105" s="6" t="inlineStr"/>
    </row>
    <row r="106">
      <c r="A106" s="3" t="inlineStr">
        <is>
          <t>OT-000103</t>
        </is>
      </c>
      <c r="B106" s="3" t="inlineStr">
        <is>
          <t>0010</t>
        </is>
      </c>
      <c r="C106" s="3">
        <f>$A106&amp;IF($B106="","0010",$B106)</f>
        <v/>
      </c>
      <c r="D106" s="3" t="inlineStr">
        <is>
          <t>Lubricación programada — EQ-104</t>
        </is>
      </c>
      <c r="E106" s="3" t="inlineStr">
        <is>
          <t>Lubricación programada en EQ-104</t>
        </is>
      </c>
      <c r="F106" s="3" t="inlineStr">
        <is>
          <t>EQ-104</t>
        </is>
      </c>
      <c r="G106" s="3" t="inlineStr">
        <is>
          <t>CC-110</t>
        </is>
      </c>
      <c r="H106" s="3" t="inlineStr">
        <is>
          <t>PU-AUT</t>
        </is>
      </c>
      <c r="I106" s="3" t="inlineStr">
        <is>
          <t>ACT-02</t>
        </is>
      </c>
      <c r="J106" s="3" t="inlineStr">
        <is>
          <t>TIPO-P2</t>
        </is>
      </c>
      <c r="K106" s="11" t="n">
        <v>46239</v>
      </c>
      <c r="L106" s="3" t="n">
        <v>8</v>
      </c>
      <c r="M106" s="10" t="n">
        <v>200</v>
      </c>
      <c r="N106" s="3">
        <f>IFERROR(INDEX('CAT_ESTADOS_ERP'!$B$4:$B$7,MATCH(IFERROR(INDEX('2_IMPORTAR_EJECUCION'!$D$9:$D$171,MATCH($C106,'2_IMPORTAR_EJECUCION'!$A$9:$A$171,0)),""),'CAT_ESTADOS_ERP'!$A$4:$A$7,0)),"Pendiente")</f>
        <v/>
      </c>
      <c r="O106" s="3">
        <f>IF($K106="","","S"&amp;IF(_xlfn.ISOWEEKNUM($K106)=53,1,_xlfn.ISOWEEKNUM($K106)))</f>
        <v/>
      </c>
      <c r="P106" s="3">
        <f>IF($K106="","",YEAR($K106))</f>
        <v/>
      </c>
      <c r="Q106" s="3">
        <f>IF($K106="","",MONTH($K106))</f>
        <v/>
      </c>
      <c r="R106" s="3">
        <f>IF($K106="","",INDEX(lista_dias,WEEKDAY($K106,2)))</f>
        <v/>
      </c>
      <c r="S106" s="3">
        <f>IFERROR(INDEX('CAT_TIPOS_OT'!$C$4:$C$7,MATCH($J106,'CAT_TIPOS_OT'!$A$4:$A$7,0)),"sin_clasificar")</f>
        <v/>
      </c>
      <c r="T106" s="3">
        <f>IFERROR(INDEX('CAT_CENTROS_COSTO'!$E$4:$E$9,MATCH($G106,'CAT_CENTROS_COSTO'!$A$4:$A$9,0)),"(sin catálogo)")</f>
        <v/>
      </c>
      <c r="U106" s="3">
        <f>IFERROR(INDEX('CAT_CENTROS_COSTO'!$D$4:$D$9,MATCH($G106,'CAT_CENTROS_COSTO'!$A$4:$A$9,0)),"(sin catálogo)")</f>
        <v/>
      </c>
      <c r="V106" s="3">
        <f>IFERROR(INDEX('CAT_CENTROS_COSTO'!$F$4:$F$9,MATCH($G106,'CAT_CENTROS_COSTO'!$A$4:$A$9,0)),"(sin catálogo)")</f>
        <v/>
      </c>
      <c r="W106" s="3">
        <f>IFERROR(INDEX('CAT_PUESTOS'!$B$4:$B$8,MATCH($H106,'CAT_PUESTOS'!$A$4:$A$8,0)),"(sin catálogo)")</f>
        <v/>
      </c>
      <c r="X106" s="3">
        <f>IFERROR(INDEX('CAT_ACTIVIDADES'!$B$4:$B$8,MATCH($I106,'CAT_ACTIVIDADES'!$A$4:$A$8,0)),"(sin catálogo)")</f>
        <v/>
      </c>
      <c r="Y106" s="12">
        <f>IF($K106="","",TODAY()-$K106)</f>
        <v/>
      </c>
      <c r="Z106" s="3">
        <f>IF($Y106="","",IF($Y106&lt;0,"FUTURO",IF($Y106&gt;p_dias_backlog_max,"BACKLOG","MES CORRIENTE")))</f>
        <v/>
      </c>
      <c r="AA106" s="3">
        <f>IF($Y106="",FALSE,AND($Y106&gt;p_dias_backlog_min,$Y106&lt;=p_dias_backlog_max))</f>
        <v/>
      </c>
      <c r="AB106" s="6" t="inlineStr">
        <is>
          <t>Técnico 08</t>
        </is>
      </c>
      <c r="AC106" s="3">
        <f>IF($AB106="","",IFERROR(INDEX('ASIGNACIONES'!$F$4:$F$339,MATCH($O106&amp;"|"&amp;$R106&amp;"|"&amp;$AB106,'ASIGNACIONES'!$I$4:$I$339,0)),""))</f>
        <v/>
      </c>
      <c r="AD106" s="13">
        <f>IF($AB106="","",SUMIFS('ORDENES'!$L$4:$L$203,'ORDENES'!$AB$4:$AB$203,$AB106,'ORDENES'!$O$4:$O$203,$O106,'ORDENES'!$R$4:$R$203,$R106))</f>
        <v/>
      </c>
      <c r="AE106" s="13">
        <f>IF($AD106="","",p_factor_productividad*IFERROR(INDEX('ASIGNACIONES'!$H$4:$H$339,MATCH($O106&amp;"|"&amp;$R106&amp;"|"&amp;$AB106,'ASIGNACIONES'!$I$4:$I$339,0)),0)-$AD106)</f>
        <v/>
      </c>
      <c r="AF106" s="10">
        <f>IFERROR(INDEX('2_IMPORTAR_EJECUCION'!$G$9:$G$171,MATCH($C106,'2_IMPORTAR_EJECUCION'!$A$9:$A$171,0)),0)</f>
        <v/>
      </c>
      <c r="AG106" s="10">
        <f>MAX(0,IFERROR(INDEX('2_IMPORTAR_EJECUCION'!$I$9:$I$171,MATCH($C106,'2_IMPORTAR_EJECUCION'!$A$9:$A$171,0)),0)-$AF106)</f>
        <v/>
      </c>
      <c r="AH106" s="10">
        <f>$AF106+$AG106</f>
        <v/>
      </c>
      <c r="AI106" s="6" t="inlineStr"/>
      <c r="AJ106" s="6" t="inlineStr"/>
      <c r="AK106" s="6" t="inlineStr">
        <is>
          <t>ACT-02.pdf</t>
        </is>
      </c>
      <c r="AL106" s="3">
        <f>IF($AK106="","",HYPERLINK(p_ruta_base_checklists&amp;$AK106,"abrir"))</f>
        <v/>
      </c>
      <c r="AM106" s="6" t="inlineStr"/>
    </row>
    <row r="107">
      <c r="A107" s="3" t="inlineStr">
        <is>
          <t>OT-000104</t>
        </is>
      </c>
      <c r="B107" s="3" t="inlineStr">
        <is>
          <t>0010</t>
        </is>
      </c>
      <c r="C107" s="3">
        <f>$A107&amp;IF($B107="","0010",$B107)</f>
        <v/>
      </c>
      <c r="D107" s="3" t="inlineStr">
        <is>
          <t>Análisis predictivo — EQ-106</t>
        </is>
      </c>
      <c r="E107" s="3" t="inlineStr">
        <is>
          <t>Análisis predictivo en EQ-106</t>
        </is>
      </c>
      <c r="F107" s="3" t="inlineStr">
        <is>
          <t>EQ-106</t>
        </is>
      </c>
      <c r="G107" s="3" t="inlineStr">
        <is>
          <t>CC-220</t>
        </is>
      </c>
      <c r="H107" s="3" t="inlineStr">
        <is>
          <t>PU-AUT</t>
        </is>
      </c>
      <c r="I107" s="3" t="inlineStr">
        <is>
          <t>ACT-04</t>
        </is>
      </c>
      <c r="J107" s="3" t="inlineStr">
        <is>
          <t>TIPO-P1</t>
        </is>
      </c>
      <c r="K107" s="11" t="n">
        <v>46240</v>
      </c>
      <c r="L107" s="3" t="n">
        <v>6</v>
      </c>
      <c r="M107" s="10" t="n">
        <v>150</v>
      </c>
      <c r="N107" s="3">
        <f>IFERROR(INDEX('CAT_ESTADOS_ERP'!$B$4:$B$7,MATCH(IFERROR(INDEX('2_IMPORTAR_EJECUCION'!$D$9:$D$171,MATCH($C107,'2_IMPORTAR_EJECUCION'!$A$9:$A$171,0)),""),'CAT_ESTADOS_ERP'!$A$4:$A$7,0)),"Pendiente")</f>
        <v/>
      </c>
      <c r="O107" s="3">
        <f>IF($K107="","","S"&amp;IF(_xlfn.ISOWEEKNUM($K107)=53,1,_xlfn.ISOWEEKNUM($K107)))</f>
        <v/>
      </c>
      <c r="P107" s="3">
        <f>IF($K107="","",YEAR($K107))</f>
        <v/>
      </c>
      <c r="Q107" s="3">
        <f>IF($K107="","",MONTH($K107))</f>
        <v/>
      </c>
      <c r="R107" s="3">
        <f>IF($K107="","",INDEX(lista_dias,WEEKDAY($K107,2)))</f>
        <v/>
      </c>
      <c r="S107" s="3">
        <f>IFERROR(INDEX('CAT_TIPOS_OT'!$C$4:$C$7,MATCH($J107,'CAT_TIPOS_OT'!$A$4:$A$7,0)),"sin_clasificar")</f>
        <v/>
      </c>
      <c r="T107" s="3">
        <f>IFERROR(INDEX('CAT_CENTROS_COSTO'!$E$4:$E$9,MATCH($G107,'CAT_CENTROS_COSTO'!$A$4:$A$9,0)),"(sin catálogo)")</f>
        <v/>
      </c>
      <c r="U107" s="3">
        <f>IFERROR(INDEX('CAT_CENTROS_COSTO'!$D$4:$D$9,MATCH($G107,'CAT_CENTROS_COSTO'!$A$4:$A$9,0)),"(sin catálogo)")</f>
        <v/>
      </c>
      <c r="V107" s="3">
        <f>IFERROR(INDEX('CAT_CENTROS_COSTO'!$F$4:$F$9,MATCH($G107,'CAT_CENTROS_COSTO'!$A$4:$A$9,0)),"(sin catálogo)")</f>
        <v/>
      </c>
      <c r="W107" s="3">
        <f>IFERROR(INDEX('CAT_PUESTOS'!$B$4:$B$8,MATCH($H107,'CAT_PUESTOS'!$A$4:$A$8,0)),"(sin catálogo)")</f>
        <v/>
      </c>
      <c r="X107" s="3">
        <f>IFERROR(INDEX('CAT_ACTIVIDADES'!$B$4:$B$8,MATCH($I107,'CAT_ACTIVIDADES'!$A$4:$A$8,0)),"(sin catálogo)")</f>
        <v/>
      </c>
      <c r="Y107" s="12">
        <f>IF($K107="","",TODAY()-$K107)</f>
        <v/>
      </c>
      <c r="Z107" s="3">
        <f>IF($Y107="","",IF($Y107&lt;0,"FUTURO",IF($Y107&gt;p_dias_backlog_max,"BACKLOG","MES CORRIENTE")))</f>
        <v/>
      </c>
      <c r="AA107" s="3">
        <f>IF($Y107="",FALSE,AND($Y107&gt;p_dias_backlog_min,$Y107&lt;=p_dias_backlog_max))</f>
        <v/>
      </c>
      <c r="AB107" s="6" t="inlineStr">
        <is>
          <t>Técnico 09</t>
        </is>
      </c>
      <c r="AC107" s="3">
        <f>IF($AB107="","",IFERROR(INDEX('ASIGNACIONES'!$F$4:$F$339,MATCH($O107&amp;"|"&amp;$R107&amp;"|"&amp;$AB107,'ASIGNACIONES'!$I$4:$I$339,0)),""))</f>
        <v/>
      </c>
      <c r="AD107" s="13">
        <f>IF($AB107="","",SUMIFS('ORDENES'!$L$4:$L$203,'ORDENES'!$AB$4:$AB$203,$AB107,'ORDENES'!$O$4:$O$203,$O107,'ORDENES'!$R$4:$R$203,$R107))</f>
        <v/>
      </c>
      <c r="AE107" s="13">
        <f>IF($AD107="","",p_factor_productividad*IFERROR(INDEX('ASIGNACIONES'!$H$4:$H$339,MATCH($O107&amp;"|"&amp;$R107&amp;"|"&amp;$AB107,'ASIGNACIONES'!$I$4:$I$339,0)),0)-$AD107)</f>
        <v/>
      </c>
      <c r="AF107" s="10">
        <f>IFERROR(INDEX('2_IMPORTAR_EJECUCION'!$G$9:$G$171,MATCH($C107,'2_IMPORTAR_EJECUCION'!$A$9:$A$171,0)),0)</f>
        <v/>
      </c>
      <c r="AG107" s="10">
        <f>MAX(0,IFERROR(INDEX('2_IMPORTAR_EJECUCION'!$I$9:$I$171,MATCH($C107,'2_IMPORTAR_EJECUCION'!$A$9:$A$171,0)),0)-$AF107)</f>
        <v/>
      </c>
      <c r="AH107" s="10">
        <f>$AF107+$AG107</f>
        <v/>
      </c>
      <c r="AI107" s="6" t="inlineStr"/>
      <c r="AJ107" s="6" t="inlineStr"/>
      <c r="AK107" s="6" t="inlineStr">
        <is>
          <t>ACT-04.pdf</t>
        </is>
      </c>
      <c r="AL107" s="3">
        <f>IF($AK107="","",HYPERLINK(p_ruta_base_checklists&amp;$AK107,"abrir"))</f>
        <v/>
      </c>
      <c r="AM107" s="6" t="inlineStr"/>
    </row>
    <row r="108">
      <c r="A108" s="3" t="inlineStr">
        <is>
          <t>OT-000105</t>
        </is>
      </c>
      <c r="B108" s="3" t="inlineStr">
        <is>
          <t>0010</t>
        </is>
      </c>
      <c r="C108" s="3">
        <f>$A108&amp;IF($B108="","0010",$B108)</f>
        <v/>
      </c>
      <c r="D108" s="3" t="inlineStr">
        <is>
          <t>Inspección de rutina — EQ-101</t>
        </is>
      </c>
      <c r="E108" s="3" t="inlineStr">
        <is>
          <t>Inspección de rutina en EQ-101</t>
        </is>
      </c>
      <c r="F108" s="3" t="inlineStr">
        <is>
          <t>EQ-101</t>
        </is>
      </c>
      <c r="G108" s="3" t="inlineStr">
        <is>
          <t>CC-110</t>
        </is>
      </c>
      <c r="H108" s="3" t="inlineStr">
        <is>
          <t>PU-AUT</t>
        </is>
      </c>
      <c r="I108" s="3" t="inlineStr">
        <is>
          <t>ACT-01</t>
        </is>
      </c>
      <c r="J108" s="3" t="inlineStr">
        <is>
          <t>TIPO-P2</t>
        </is>
      </c>
      <c r="K108" s="11" t="n">
        <v>46241</v>
      </c>
      <c r="L108" s="3" t="n">
        <v>6</v>
      </c>
      <c r="M108" s="10" t="n">
        <v>150</v>
      </c>
      <c r="N108" s="3">
        <f>IFERROR(INDEX('CAT_ESTADOS_ERP'!$B$4:$B$7,MATCH(IFERROR(INDEX('2_IMPORTAR_EJECUCION'!$D$9:$D$171,MATCH($C108,'2_IMPORTAR_EJECUCION'!$A$9:$A$171,0)),""),'CAT_ESTADOS_ERP'!$A$4:$A$7,0)),"Pendiente")</f>
        <v/>
      </c>
      <c r="O108" s="3">
        <f>IF($K108="","","S"&amp;IF(_xlfn.ISOWEEKNUM($K108)=53,1,_xlfn.ISOWEEKNUM($K108)))</f>
        <v/>
      </c>
      <c r="P108" s="3">
        <f>IF($K108="","",YEAR($K108))</f>
        <v/>
      </c>
      <c r="Q108" s="3">
        <f>IF($K108="","",MONTH($K108))</f>
        <v/>
      </c>
      <c r="R108" s="3">
        <f>IF($K108="","",INDEX(lista_dias,WEEKDAY($K108,2)))</f>
        <v/>
      </c>
      <c r="S108" s="3">
        <f>IFERROR(INDEX('CAT_TIPOS_OT'!$C$4:$C$7,MATCH($J108,'CAT_TIPOS_OT'!$A$4:$A$7,0)),"sin_clasificar")</f>
        <v/>
      </c>
      <c r="T108" s="3">
        <f>IFERROR(INDEX('CAT_CENTROS_COSTO'!$E$4:$E$9,MATCH($G108,'CAT_CENTROS_COSTO'!$A$4:$A$9,0)),"(sin catálogo)")</f>
        <v/>
      </c>
      <c r="U108" s="3">
        <f>IFERROR(INDEX('CAT_CENTROS_COSTO'!$D$4:$D$9,MATCH($G108,'CAT_CENTROS_COSTO'!$A$4:$A$9,0)),"(sin catálogo)")</f>
        <v/>
      </c>
      <c r="V108" s="3">
        <f>IFERROR(INDEX('CAT_CENTROS_COSTO'!$F$4:$F$9,MATCH($G108,'CAT_CENTROS_COSTO'!$A$4:$A$9,0)),"(sin catálogo)")</f>
        <v/>
      </c>
      <c r="W108" s="3">
        <f>IFERROR(INDEX('CAT_PUESTOS'!$B$4:$B$8,MATCH($H108,'CAT_PUESTOS'!$A$4:$A$8,0)),"(sin catálogo)")</f>
        <v/>
      </c>
      <c r="X108" s="3">
        <f>IFERROR(INDEX('CAT_ACTIVIDADES'!$B$4:$B$8,MATCH($I108,'CAT_ACTIVIDADES'!$A$4:$A$8,0)),"(sin catálogo)")</f>
        <v/>
      </c>
      <c r="Y108" s="12">
        <f>IF($K108="","",TODAY()-$K108)</f>
        <v/>
      </c>
      <c r="Z108" s="3">
        <f>IF($Y108="","",IF($Y108&lt;0,"FUTURO",IF($Y108&gt;p_dias_backlog_max,"BACKLOG","MES CORRIENTE")))</f>
        <v/>
      </c>
      <c r="AA108" s="3">
        <f>IF($Y108="",FALSE,AND($Y108&gt;p_dias_backlog_min,$Y108&lt;=p_dias_backlog_max))</f>
        <v/>
      </c>
      <c r="AB108" s="6" t="inlineStr">
        <is>
          <t>Técnico 08</t>
        </is>
      </c>
      <c r="AC108" s="3">
        <f>IF($AB108="","",IFERROR(INDEX('ASIGNACIONES'!$F$4:$F$339,MATCH($O108&amp;"|"&amp;$R108&amp;"|"&amp;$AB108,'ASIGNACIONES'!$I$4:$I$339,0)),""))</f>
        <v/>
      </c>
      <c r="AD108" s="13">
        <f>IF($AB108="","",SUMIFS('ORDENES'!$L$4:$L$203,'ORDENES'!$AB$4:$AB$203,$AB108,'ORDENES'!$O$4:$O$203,$O108,'ORDENES'!$R$4:$R$203,$R108))</f>
        <v/>
      </c>
      <c r="AE108" s="13">
        <f>IF($AD108="","",p_factor_productividad*IFERROR(INDEX('ASIGNACIONES'!$H$4:$H$339,MATCH($O108&amp;"|"&amp;$R108&amp;"|"&amp;$AB108,'ASIGNACIONES'!$I$4:$I$339,0)),0)-$AD108)</f>
        <v/>
      </c>
      <c r="AF108" s="10">
        <f>IFERROR(INDEX('2_IMPORTAR_EJECUCION'!$G$9:$G$171,MATCH($C108,'2_IMPORTAR_EJECUCION'!$A$9:$A$171,0)),0)</f>
        <v/>
      </c>
      <c r="AG108" s="10">
        <f>MAX(0,IFERROR(INDEX('2_IMPORTAR_EJECUCION'!$I$9:$I$171,MATCH($C108,'2_IMPORTAR_EJECUCION'!$A$9:$A$171,0)),0)-$AF108)</f>
        <v/>
      </c>
      <c r="AH108" s="10">
        <f>$AF108+$AG108</f>
        <v/>
      </c>
      <c r="AI108" s="6" t="inlineStr"/>
      <c r="AJ108" s="6" t="inlineStr"/>
      <c r="AK108" s="6" t="inlineStr">
        <is>
          <t>ACT-01.pdf</t>
        </is>
      </c>
      <c r="AL108" s="3">
        <f>IF($AK108="","",HYPERLINK(p_ruta_base_checklists&amp;$AK108,"abrir"))</f>
        <v/>
      </c>
      <c r="AM108" s="6" t="inlineStr"/>
    </row>
    <row r="109">
      <c r="A109" s="3" t="inlineStr">
        <is>
          <t>OT-000106</t>
        </is>
      </c>
      <c r="B109" s="3" t="inlineStr">
        <is>
          <t>0010</t>
        </is>
      </c>
      <c r="C109" s="3">
        <f>$A109&amp;IF($B109="","0010",$B109)</f>
        <v/>
      </c>
      <c r="D109" s="3" t="inlineStr">
        <is>
          <t>Reparación de falla — EQ-108</t>
        </is>
      </c>
      <c r="E109" s="3" t="inlineStr">
        <is>
          <t>Reparación de falla en EQ-108</t>
        </is>
      </c>
      <c r="F109" s="3" t="inlineStr">
        <is>
          <t>EQ-108</t>
        </is>
      </c>
      <c r="G109" s="3" t="inlineStr">
        <is>
          <t>CC-220</t>
        </is>
      </c>
      <c r="H109" s="3" t="inlineStr">
        <is>
          <t>PU-AUT</t>
        </is>
      </c>
      <c r="I109" s="3" t="inlineStr">
        <is>
          <t>ACT-03</t>
        </is>
      </c>
      <c r="J109" s="3" t="inlineStr">
        <is>
          <t>TIPO-C1</t>
        </is>
      </c>
      <c r="K109" s="11" t="n">
        <v>46237</v>
      </c>
      <c r="L109" s="3" t="n">
        <v>6</v>
      </c>
      <c r="M109" s="10" t="n">
        <v>240</v>
      </c>
      <c r="N109" s="3">
        <f>IFERROR(INDEX('CAT_ESTADOS_ERP'!$B$4:$B$7,MATCH(IFERROR(INDEX('2_IMPORTAR_EJECUCION'!$D$9:$D$171,MATCH($C109,'2_IMPORTAR_EJECUCION'!$A$9:$A$171,0)),""),'CAT_ESTADOS_ERP'!$A$4:$A$7,0)),"Pendiente")</f>
        <v/>
      </c>
      <c r="O109" s="3">
        <f>IF($K109="","","S"&amp;IF(_xlfn.ISOWEEKNUM($K109)=53,1,_xlfn.ISOWEEKNUM($K109)))</f>
        <v/>
      </c>
      <c r="P109" s="3">
        <f>IF($K109="","",YEAR($K109))</f>
        <v/>
      </c>
      <c r="Q109" s="3">
        <f>IF($K109="","",MONTH($K109))</f>
        <v/>
      </c>
      <c r="R109" s="3">
        <f>IF($K109="","",INDEX(lista_dias,WEEKDAY($K109,2)))</f>
        <v/>
      </c>
      <c r="S109" s="3">
        <f>IFERROR(INDEX('CAT_TIPOS_OT'!$C$4:$C$7,MATCH($J109,'CAT_TIPOS_OT'!$A$4:$A$7,0)),"sin_clasificar")</f>
        <v/>
      </c>
      <c r="T109" s="3">
        <f>IFERROR(INDEX('CAT_CENTROS_COSTO'!$E$4:$E$9,MATCH($G109,'CAT_CENTROS_COSTO'!$A$4:$A$9,0)),"(sin catálogo)")</f>
        <v/>
      </c>
      <c r="U109" s="3">
        <f>IFERROR(INDEX('CAT_CENTROS_COSTO'!$D$4:$D$9,MATCH($G109,'CAT_CENTROS_COSTO'!$A$4:$A$9,0)),"(sin catálogo)")</f>
        <v/>
      </c>
      <c r="V109" s="3">
        <f>IFERROR(INDEX('CAT_CENTROS_COSTO'!$F$4:$F$9,MATCH($G109,'CAT_CENTROS_COSTO'!$A$4:$A$9,0)),"(sin catálogo)")</f>
        <v/>
      </c>
      <c r="W109" s="3">
        <f>IFERROR(INDEX('CAT_PUESTOS'!$B$4:$B$8,MATCH($H109,'CAT_PUESTOS'!$A$4:$A$8,0)),"(sin catálogo)")</f>
        <v/>
      </c>
      <c r="X109" s="3">
        <f>IFERROR(INDEX('CAT_ACTIVIDADES'!$B$4:$B$8,MATCH($I109,'CAT_ACTIVIDADES'!$A$4:$A$8,0)),"(sin catálogo)")</f>
        <v/>
      </c>
      <c r="Y109" s="12">
        <f>IF($K109="","",TODAY()-$K109)</f>
        <v/>
      </c>
      <c r="Z109" s="3">
        <f>IF($Y109="","",IF($Y109&lt;0,"FUTURO",IF($Y109&gt;p_dias_backlog_max,"BACKLOG","MES CORRIENTE")))</f>
        <v/>
      </c>
      <c r="AA109" s="3">
        <f>IF($Y109="",FALSE,AND($Y109&gt;p_dias_backlog_min,$Y109&lt;=p_dias_backlog_max))</f>
        <v/>
      </c>
      <c r="AB109" s="6" t="inlineStr">
        <is>
          <t>Técnico 09</t>
        </is>
      </c>
      <c r="AC109" s="3">
        <f>IF($AB109="","",IFERROR(INDEX('ASIGNACIONES'!$F$4:$F$339,MATCH($O109&amp;"|"&amp;$R109&amp;"|"&amp;$AB109,'ASIGNACIONES'!$I$4:$I$339,0)),""))</f>
        <v/>
      </c>
      <c r="AD109" s="13">
        <f>IF($AB109="","",SUMIFS('ORDENES'!$L$4:$L$203,'ORDENES'!$AB$4:$AB$203,$AB109,'ORDENES'!$O$4:$O$203,$O109,'ORDENES'!$R$4:$R$203,$R109))</f>
        <v/>
      </c>
      <c r="AE109" s="13">
        <f>IF($AD109="","",p_factor_productividad*IFERROR(INDEX('ASIGNACIONES'!$H$4:$H$339,MATCH($O109&amp;"|"&amp;$R109&amp;"|"&amp;$AB109,'ASIGNACIONES'!$I$4:$I$339,0)),0)-$AD109)</f>
        <v/>
      </c>
      <c r="AF109" s="10">
        <f>IFERROR(INDEX('2_IMPORTAR_EJECUCION'!$G$9:$G$171,MATCH($C109,'2_IMPORTAR_EJECUCION'!$A$9:$A$171,0)),0)</f>
        <v/>
      </c>
      <c r="AG109" s="10">
        <f>MAX(0,IFERROR(INDEX('2_IMPORTAR_EJECUCION'!$I$9:$I$171,MATCH($C109,'2_IMPORTAR_EJECUCION'!$A$9:$A$171,0)),0)-$AF109)</f>
        <v/>
      </c>
      <c r="AH109" s="10">
        <f>$AF109+$AG109</f>
        <v/>
      </c>
      <c r="AI109" s="6" t="inlineStr"/>
      <c r="AJ109" s="6" t="inlineStr"/>
      <c r="AK109" s="6" t="inlineStr"/>
      <c r="AL109" s="3">
        <f>IF($AK109="","",HYPERLINK(p_ruta_base_checklists&amp;$AK109,"abrir"))</f>
        <v/>
      </c>
      <c r="AM109" s="6" t="inlineStr"/>
    </row>
    <row r="110">
      <c r="A110" s="3" t="inlineStr">
        <is>
          <t>OT-000107</t>
        </is>
      </c>
      <c r="B110" s="3" t="inlineStr">
        <is>
          <t>0010</t>
        </is>
      </c>
      <c r="C110" s="3">
        <f>$A110&amp;IF($B110="","0010",$B110)</f>
        <v/>
      </c>
      <c r="D110" s="3" t="inlineStr">
        <is>
          <t>Análisis predictivo — EQ-109</t>
        </is>
      </c>
      <c r="E110" s="3" t="inlineStr">
        <is>
          <t>Análisis predictivo en EQ-109</t>
        </is>
      </c>
      <c r="F110" s="3" t="inlineStr">
        <is>
          <t>EQ-109</t>
        </is>
      </c>
      <c r="G110" s="3" t="inlineStr">
        <is>
          <t>CC-210</t>
        </is>
      </c>
      <c r="H110" s="3" t="inlineStr">
        <is>
          <t>PU-OP</t>
        </is>
      </c>
      <c r="I110" s="3" t="inlineStr">
        <is>
          <t>ACT-04</t>
        </is>
      </c>
      <c r="J110" s="3" t="inlineStr">
        <is>
          <t>TIPO-P2</t>
        </is>
      </c>
      <c r="K110" s="11" t="n">
        <v>46217</v>
      </c>
      <c r="L110" s="3" t="n">
        <v>10</v>
      </c>
      <c r="M110" s="10" t="n">
        <v>250</v>
      </c>
      <c r="N110" s="3">
        <f>IFERROR(INDEX('CAT_ESTADOS_ERP'!$B$4:$B$7,MATCH(IFERROR(INDEX('2_IMPORTAR_EJECUCION'!$D$9:$D$171,MATCH($C110,'2_IMPORTAR_EJECUCION'!$A$9:$A$171,0)),""),'CAT_ESTADOS_ERP'!$A$4:$A$7,0)),"Pendiente")</f>
        <v/>
      </c>
      <c r="O110" s="3">
        <f>IF($K110="","","S"&amp;IF(_xlfn.ISOWEEKNUM($K110)=53,1,_xlfn.ISOWEEKNUM($K110)))</f>
        <v/>
      </c>
      <c r="P110" s="3">
        <f>IF($K110="","",YEAR($K110))</f>
        <v/>
      </c>
      <c r="Q110" s="3">
        <f>IF($K110="","",MONTH($K110))</f>
        <v/>
      </c>
      <c r="R110" s="3">
        <f>IF($K110="","",INDEX(lista_dias,WEEKDAY($K110,2)))</f>
        <v/>
      </c>
      <c r="S110" s="3">
        <f>IFERROR(INDEX('CAT_TIPOS_OT'!$C$4:$C$7,MATCH($J110,'CAT_TIPOS_OT'!$A$4:$A$7,0)),"sin_clasificar")</f>
        <v/>
      </c>
      <c r="T110" s="3">
        <f>IFERROR(INDEX('CAT_CENTROS_COSTO'!$E$4:$E$9,MATCH($G110,'CAT_CENTROS_COSTO'!$A$4:$A$9,0)),"(sin catálogo)")</f>
        <v/>
      </c>
      <c r="U110" s="3">
        <f>IFERROR(INDEX('CAT_CENTROS_COSTO'!$D$4:$D$9,MATCH($G110,'CAT_CENTROS_COSTO'!$A$4:$A$9,0)),"(sin catálogo)")</f>
        <v/>
      </c>
      <c r="V110" s="3">
        <f>IFERROR(INDEX('CAT_CENTROS_COSTO'!$F$4:$F$9,MATCH($G110,'CAT_CENTROS_COSTO'!$A$4:$A$9,0)),"(sin catálogo)")</f>
        <v/>
      </c>
      <c r="W110" s="3">
        <f>IFERROR(INDEX('CAT_PUESTOS'!$B$4:$B$8,MATCH($H110,'CAT_PUESTOS'!$A$4:$A$8,0)),"(sin catálogo)")</f>
        <v/>
      </c>
      <c r="X110" s="3">
        <f>IFERROR(INDEX('CAT_ACTIVIDADES'!$B$4:$B$8,MATCH($I110,'CAT_ACTIVIDADES'!$A$4:$A$8,0)),"(sin catálogo)")</f>
        <v/>
      </c>
      <c r="Y110" s="12">
        <f>IF($K110="","",TODAY()-$K110)</f>
        <v/>
      </c>
      <c r="Z110" s="3">
        <f>IF($Y110="","",IF($Y110&lt;0,"FUTURO",IF($Y110&gt;p_dias_backlog_max,"BACKLOG","MES CORRIENTE")))</f>
        <v/>
      </c>
      <c r="AA110" s="3">
        <f>IF($Y110="",FALSE,AND($Y110&gt;p_dias_backlog_min,$Y110&lt;=p_dias_backlog_max))</f>
        <v/>
      </c>
      <c r="AB110" s="6" t="inlineStr">
        <is>
          <t>Técnico 11</t>
        </is>
      </c>
      <c r="AC110" s="3">
        <f>IF($AB110="","",IFERROR(INDEX('ASIGNACIONES'!$F$4:$F$339,MATCH($O110&amp;"|"&amp;$R110&amp;"|"&amp;$AB110,'ASIGNACIONES'!$I$4:$I$339,0)),""))</f>
        <v/>
      </c>
      <c r="AD110" s="13">
        <f>IF($AB110="","",SUMIFS('ORDENES'!$L$4:$L$203,'ORDENES'!$AB$4:$AB$203,$AB110,'ORDENES'!$O$4:$O$203,$O110,'ORDENES'!$R$4:$R$203,$R110))</f>
        <v/>
      </c>
      <c r="AE110" s="13">
        <f>IF($AD110="","",p_factor_productividad*IFERROR(INDEX('ASIGNACIONES'!$H$4:$H$339,MATCH($O110&amp;"|"&amp;$R110&amp;"|"&amp;$AB110,'ASIGNACIONES'!$I$4:$I$339,0)),0)-$AD110)</f>
        <v/>
      </c>
      <c r="AF110" s="10">
        <f>IFERROR(INDEX('2_IMPORTAR_EJECUCION'!$G$9:$G$171,MATCH($C110,'2_IMPORTAR_EJECUCION'!$A$9:$A$171,0)),0)</f>
        <v/>
      </c>
      <c r="AG110" s="10">
        <f>MAX(0,IFERROR(INDEX('2_IMPORTAR_EJECUCION'!$I$9:$I$171,MATCH($C110,'2_IMPORTAR_EJECUCION'!$A$9:$A$171,0)),0)-$AF110)</f>
        <v/>
      </c>
      <c r="AH110" s="10">
        <f>$AF110+$AG110</f>
        <v/>
      </c>
      <c r="AI110" s="6" t="inlineStr"/>
      <c r="AJ110" s="6" t="inlineStr"/>
      <c r="AK110" s="6" t="inlineStr">
        <is>
          <t>ACT-04.pdf</t>
        </is>
      </c>
      <c r="AL110" s="3">
        <f>IF($AK110="","",HYPERLINK(p_ruta_base_checklists&amp;$AK110,"abrir"))</f>
        <v/>
      </c>
      <c r="AM110" s="6" t="inlineStr"/>
    </row>
    <row r="111">
      <c r="A111" s="3" t="inlineStr">
        <is>
          <t>OT-000108</t>
        </is>
      </c>
      <c r="B111" s="3" t="inlineStr">
        <is>
          <t>0010</t>
        </is>
      </c>
      <c r="C111" s="3">
        <f>$A111&amp;IF($B111="","0010",$B111)</f>
        <v/>
      </c>
      <c r="D111" s="3" t="inlineStr">
        <is>
          <t>Inspección de rutina — EQ-110</t>
        </is>
      </c>
      <c r="E111" s="3" t="inlineStr">
        <is>
          <t>Inspección de rutina en EQ-110</t>
        </is>
      </c>
      <c r="F111" s="3" t="inlineStr">
        <is>
          <t>EQ-110</t>
        </is>
      </c>
      <c r="G111" s="3" t="inlineStr">
        <is>
          <t>CC-320</t>
        </is>
      </c>
      <c r="H111" s="3" t="inlineStr">
        <is>
          <t>PU-OP</t>
        </is>
      </c>
      <c r="I111" s="3" t="inlineStr">
        <is>
          <t>ACT-01</t>
        </is>
      </c>
      <c r="J111" s="3" t="inlineStr">
        <is>
          <t>TIPO-P1</t>
        </is>
      </c>
      <c r="K111" s="11" t="n">
        <v>46218</v>
      </c>
      <c r="L111" s="3" t="n">
        <v>8</v>
      </c>
      <c r="M111" s="10" t="n">
        <v>200</v>
      </c>
      <c r="N111" s="3">
        <f>IFERROR(INDEX('CAT_ESTADOS_ERP'!$B$4:$B$7,MATCH(IFERROR(INDEX('2_IMPORTAR_EJECUCION'!$D$9:$D$171,MATCH($C111,'2_IMPORTAR_EJECUCION'!$A$9:$A$171,0)),""),'CAT_ESTADOS_ERP'!$A$4:$A$7,0)),"Pendiente")</f>
        <v/>
      </c>
      <c r="O111" s="3">
        <f>IF($K111="","","S"&amp;IF(_xlfn.ISOWEEKNUM($K111)=53,1,_xlfn.ISOWEEKNUM($K111)))</f>
        <v/>
      </c>
      <c r="P111" s="3">
        <f>IF($K111="","",YEAR($K111))</f>
        <v/>
      </c>
      <c r="Q111" s="3">
        <f>IF($K111="","",MONTH($K111))</f>
        <v/>
      </c>
      <c r="R111" s="3">
        <f>IF($K111="","",INDEX(lista_dias,WEEKDAY($K111,2)))</f>
        <v/>
      </c>
      <c r="S111" s="3">
        <f>IFERROR(INDEX('CAT_TIPOS_OT'!$C$4:$C$7,MATCH($J111,'CAT_TIPOS_OT'!$A$4:$A$7,0)),"sin_clasificar")</f>
        <v/>
      </c>
      <c r="T111" s="3">
        <f>IFERROR(INDEX('CAT_CENTROS_COSTO'!$E$4:$E$9,MATCH($G111,'CAT_CENTROS_COSTO'!$A$4:$A$9,0)),"(sin catálogo)")</f>
        <v/>
      </c>
      <c r="U111" s="3">
        <f>IFERROR(INDEX('CAT_CENTROS_COSTO'!$D$4:$D$9,MATCH($G111,'CAT_CENTROS_COSTO'!$A$4:$A$9,0)),"(sin catálogo)")</f>
        <v/>
      </c>
      <c r="V111" s="3">
        <f>IFERROR(INDEX('CAT_CENTROS_COSTO'!$F$4:$F$9,MATCH($G111,'CAT_CENTROS_COSTO'!$A$4:$A$9,0)),"(sin catálogo)")</f>
        <v/>
      </c>
      <c r="W111" s="3">
        <f>IFERROR(INDEX('CAT_PUESTOS'!$B$4:$B$8,MATCH($H111,'CAT_PUESTOS'!$A$4:$A$8,0)),"(sin catálogo)")</f>
        <v/>
      </c>
      <c r="X111" s="3">
        <f>IFERROR(INDEX('CAT_ACTIVIDADES'!$B$4:$B$8,MATCH($I111,'CAT_ACTIVIDADES'!$A$4:$A$8,0)),"(sin catálogo)")</f>
        <v/>
      </c>
      <c r="Y111" s="12">
        <f>IF($K111="","",TODAY()-$K111)</f>
        <v/>
      </c>
      <c r="Z111" s="3">
        <f>IF($Y111="","",IF($Y111&lt;0,"FUTURO",IF($Y111&gt;p_dias_backlog_max,"BACKLOG","MES CORRIENTE")))</f>
        <v/>
      </c>
      <c r="AA111" s="3">
        <f>IF($Y111="",FALSE,AND($Y111&gt;p_dias_backlog_min,$Y111&lt;=p_dias_backlog_max))</f>
        <v/>
      </c>
      <c r="AB111" s="6" t="inlineStr"/>
      <c r="AC111" s="3">
        <f>IF($AB111="","",IFERROR(INDEX('ASIGNACIONES'!$F$4:$F$339,MATCH($O111&amp;"|"&amp;$R111&amp;"|"&amp;$AB111,'ASIGNACIONES'!$I$4:$I$339,0)),""))</f>
        <v/>
      </c>
      <c r="AD111" s="13">
        <f>IF($AB111="","",SUMIFS('ORDENES'!$L$4:$L$203,'ORDENES'!$AB$4:$AB$203,$AB111,'ORDENES'!$O$4:$O$203,$O111,'ORDENES'!$R$4:$R$203,$R111))</f>
        <v/>
      </c>
      <c r="AE111" s="13">
        <f>IF($AD111="","",p_factor_productividad*IFERROR(INDEX('ASIGNACIONES'!$H$4:$H$339,MATCH($O111&amp;"|"&amp;$R111&amp;"|"&amp;$AB111,'ASIGNACIONES'!$I$4:$I$339,0)),0)-$AD111)</f>
        <v/>
      </c>
      <c r="AF111" s="10">
        <f>IFERROR(INDEX('2_IMPORTAR_EJECUCION'!$G$9:$G$171,MATCH($C111,'2_IMPORTAR_EJECUCION'!$A$9:$A$171,0)),0)</f>
        <v/>
      </c>
      <c r="AG111" s="10">
        <f>MAX(0,IFERROR(INDEX('2_IMPORTAR_EJECUCION'!$I$9:$I$171,MATCH($C111,'2_IMPORTAR_EJECUCION'!$A$9:$A$171,0)),0)-$AF111)</f>
        <v/>
      </c>
      <c r="AH111" s="10">
        <f>$AF111+$AG111</f>
        <v/>
      </c>
      <c r="AI111" s="6" t="inlineStr"/>
      <c r="AJ111" s="6" t="inlineStr"/>
      <c r="AK111" s="6" t="inlineStr">
        <is>
          <t>ACT-01.pdf</t>
        </is>
      </c>
      <c r="AL111" s="3">
        <f>IF($AK111="","",HYPERLINK(p_ruta_base_checklists&amp;$AK111,"abrir"))</f>
        <v/>
      </c>
      <c r="AM111" s="6" t="inlineStr"/>
    </row>
    <row r="112">
      <c r="A112" s="3" t="inlineStr">
        <is>
          <t>OT-000109</t>
        </is>
      </c>
      <c r="B112" s="3" t="inlineStr">
        <is>
          <t>0010</t>
        </is>
      </c>
      <c r="C112" s="3">
        <f>$A112&amp;IF($B112="","0010",$B112)</f>
        <v/>
      </c>
      <c r="D112" s="3" t="inlineStr">
        <is>
          <t>Lubricación programada — EQ-105</t>
        </is>
      </c>
      <c r="E112" s="3" t="inlineStr">
        <is>
          <t>Lubricación programada en EQ-105</t>
        </is>
      </c>
      <c r="F112" s="3" t="inlineStr">
        <is>
          <t>EQ-105</t>
        </is>
      </c>
      <c r="G112" s="3" t="inlineStr">
        <is>
          <t>CC-120</t>
        </is>
      </c>
      <c r="H112" s="3" t="inlineStr">
        <is>
          <t>PU-OP</t>
        </is>
      </c>
      <c r="I112" s="3" t="inlineStr">
        <is>
          <t>ACT-02</t>
        </is>
      </c>
      <c r="J112" s="3" t="inlineStr">
        <is>
          <t>TIPO-P2</t>
        </is>
      </c>
      <c r="K112" s="11" t="n">
        <v>46219</v>
      </c>
      <c r="L112" s="3" t="n">
        <v>6</v>
      </c>
      <c r="M112" s="10" t="n">
        <v>150</v>
      </c>
      <c r="N112" s="3">
        <f>IFERROR(INDEX('CAT_ESTADOS_ERP'!$B$4:$B$7,MATCH(IFERROR(INDEX('2_IMPORTAR_EJECUCION'!$D$9:$D$171,MATCH($C112,'2_IMPORTAR_EJECUCION'!$A$9:$A$171,0)),""),'CAT_ESTADOS_ERP'!$A$4:$A$7,0)),"Pendiente")</f>
        <v/>
      </c>
      <c r="O112" s="3">
        <f>IF($K112="","","S"&amp;IF(_xlfn.ISOWEEKNUM($K112)=53,1,_xlfn.ISOWEEKNUM($K112)))</f>
        <v/>
      </c>
      <c r="P112" s="3">
        <f>IF($K112="","",YEAR($K112))</f>
        <v/>
      </c>
      <c r="Q112" s="3">
        <f>IF($K112="","",MONTH($K112))</f>
        <v/>
      </c>
      <c r="R112" s="3">
        <f>IF($K112="","",INDEX(lista_dias,WEEKDAY($K112,2)))</f>
        <v/>
      </c>
      <c r="S112" s="3">
        <f>IFERROR(INDEX('CAT_TIPOS_OT'!$C$4:$C$7,MATCH($J112,'CAT_TIPOS_OT'!$A$4:$A$7,0)),"sin_clasificar")</f>
        <v/>
      </c>
      <c r="T112" s="3">
        <f>IFERROR(INDEX('CAT_CENTROS_COSTO'!$E$4:$E$9,MATCH($G112,'CAT_CENTROS_COSTO'!$A$4:$A$9,0)),"(sin catálogo)")</f>
        <v/>
      </c>
      <c r="U112" s="3">
        <f>IFERROR(INDEX('CAT_CENTROS_COSTO'!$D$4:$D$9,MATCH($G112,'CAT_CENTROS_COSTO'!$A$4:$A$9,0)),"(sin catálogo)")</f>
        <v/>
      </c>
      <c r="V112" s="3">
        <f>IFERROR(INDEX('CAT_CENTROS_COSTO'!$F$4:$F$9,MATCH($G112,'CAT_CENTROS_COSTO'!$A$4:$A$9,0)),"(sin catálogo)")</f>
        <v/>
      </c>
      <c r="W112" s="3">
        <f>IFERROR(INDEX('CAT_PUESTOS'!$B$4:$B$8,MATCH($H112,'CAT_PUESTOS'!$A$4:$A$8,0)),"(sin catálogo)")</f>
        <v/>
      </c>
      <c r="X112" s="3">
        <f>IFERROR(INDEX('CAT_ACTIVIDADES'!$B$4:$B$8,MATCH($I112,'CAT_ACTIVIDADES'!$A$4:$A$8,0)),"(sin catálogo)")</f>
        <v/>
      </c>
      <c r="Y112" s="12">
        <f>IF($K112="","",TODAY()-$K112)</f>
        <v/>
      </c>
      <c r="Z112" s="3">
        <f>IF($Y112="","",IF($Y112&lt;0,"FUTURO",IF($Y112&gt;p_dias_backlog_max,"BACKLOG","MES CORRIENTE")))</f>
        <v/>
      </c>
      <c r="AA112" s="3">
        <f>IF($Y112="",FALSE,AND($Y112&gt;p_dias_backlog_min,$Y112&lt;=p_dias_backlog_max))</f>
        <v/>
      </c>
      <c r="AB112" s="6" t="inlineStr">
        <is>
          <t>Técnico 10</t>
        </is>
      </c>
      <c r="AC112" s="3">
        <f>IF($AB112="","",IFERROR(INDEX('ASIGNACIONES'!$F$4:$F$339,MATCH($O112&amp;"|"&amp;$R112&amp;"|"&amp;$AB112,'ASIGNACIONES'!$I$4:$I$339,0)),""))</f>
        <v/>
      </c>
      <c r="AD112" s="13">
        <f>IF($AB112="","",SUMIFS('ORDENES'!$L$4:$L$203,'ORDENES'!$AB$4:$AB$203,$AB112,'ORDENES'!$O$4:$O$203,$O112,'ORDENES'!$R$4:$R$203,$R112))</f>
        <v/>
      </c>
      <c r="AE112" s="13">
        <f>IF($AD112="","",p_factor_productividad*IFERROR(INDEX('ASIGNACIONES'!$H$4:$H$339,MATCH($O112&amp;"|"&amp;$R112&amp;"|"&amp;$AB112,'ASIGNACIONES'!$I$4:$I$339,0)),0)-$AD112)</f>
        <v/>
      </c>
      <c r="AF112" s="10">
        <f>IFERROR(INDEX('2_IMPORTAR_EJECUCION'!$G$9:$G$171,MATCH($C112,'2_IMPORTAR_EJECUCION'!$A$9:$A$171,0)),0)</f>
        <v/>
      </c>
      <c r="AG112" s="10">
        <f>MAX(0,IFERROR(INDEX('2_IMPORTAR_EJECUCION'!$I$9:$I$171,MATCH($C112,'2_IMPORTAR_EJECUCION'!$A$9:$A$171,0)),0)-$AF112)</f>
        <v/>
      </c>
      <c r="AH112" s="10">
        <f>$AF112+$AG112</f>
        <v/>
      </c>
      <c r="AI112" s="6" t="inlineStr"/>
      <c r="AJ112" s="6" t="inlineStr"/>
      <c r="AK112" s="6" t="inlineStr">
        <is>
          <t>ACT-02.pdf</t>
        </is>
      </c>
      <c r="AL112" s="3">
        <f>IF($AK112="","",HYPERLINK(p_ruta_base_checklists&amp;$AK112,"abrir"))</f>
        <v/>
      </c>
      <c r="AM112" s="6" t="inlineStr"/>
    </row>
    <row r="113">
      <c r="A113" s="3" t="inlineStr">
        <is>
          <t>OT-000110</t>
        </is>
      </c>
      <c r="B113" s="3" t="inlineStr">
        <is>
          <t>0010</t>
        </is>
      </c>
      <c r="C113" s="3">
        <f>$A113&amp;IF($B113="","0010",$B113)</f>
        <v/>
      </c>
      <c r="D113" s="3" t="inlineStr">
        <is>
          <t>Análisis predictivo — EQ-108</t>
        </is>
      </c>
      <c r="E113" s="3" t="inlineStr">
        <is>
          <t>Análisis predictivo en EQ-108</t>
        </is>
      </c>
      <c r="F113" s="3" t="inlineStr">
        <is>
          <t>EQ-108</t>
        </is>
      </c>
      <c r="G113" s="3" t="inlineStr">
        <is>
          <t>CC-210</t>
        </is>
      </c>
      <c r="H113" s="3" t="inlineStr">
        <is>
          <t>PU-OP</t>
        </is>
      </c>
      <c r="I113" s="3" t="inlineStr">
        <is>
          <t>ACT-04</t>
        </is>
      </c>
      <c r="J113" s="3" t="inlineStr">
        <is>
          <t>TIPO-P1</t>
        </is>
      </c>
      <c r="K113" s="11" t="n">
        <v>46220</v>
      </c>
      <c r="L113" s="3" t="n">
        <v>6</v>
      </c>
      <c r="M113" s="10" t="n">
        <v>150</v>
      </c>
      <c r="N113" s="3">
        <f>IFERROR(INDEX('CAT_ESTADOS_ERP'!$B$4:$B$7,MATCH(IFERROR(INDEX('2_IMPORTAR_EJECUCION'!$D$9:$D$171,MATCH($C113,'2_IMPORTAR_EJECUCION'!$A$9:$A$171,0)),""),'CAT_ESTADOS_ERP'!$A$4:$A$7,0)),"Pendiente")</f>
        <v/>
      </c>
      <c r="O113" s="3">
        <f>IF($K113="","","S"&amp;IF(_xlfn.ISOWEEKNUM($K113)=53,1,_xlfn.ISOWEEKNUM($K113)))</f>
        <v/>
      </c>
      <c r="P113" s="3">
        <f>IF($K113="","",YEAR($K113))</f>
        <v/>
      </c>
      <c r="Q113" s="3">
        <f>IF($K113="","",MONTH($K113))</f>
        <v/>
      </c>
      <c r="R113" s="3">
        <f>IF($K113="","",INDEX(lista_dias,WEEKDAY($K113,2)))</f>
        <v/>
      </c>
      <c r="S113" s="3">
        <f>IFERROR(INDEX('CAT_TIPOS_OT'!$C$4:$C$7,MATCH($J113,'CAT_TIPOS_OT'!$A$4:$A$7,0)),"sin_clasificar")</f>
        <v/>
      </c>
      <c r="T113" s="3">
        <f>IFERROR(INDEX('CAT_CENTROS_COSTO'!$E$4:$E$9,MATCH($G113,'CAT_CENTROS_COSTO'!$A$4:$A$9,0)),"(sin catálogo)")</f>
        <v/>
      </c>
      <c r="U113" s="3">
        <f>IFERROR(INDEX('CAT_CENTROS_COSTO'!$D$4:$D$9,MATCH($G113,'CAT_CENTROS_COSTO'!$A$4:$A$9,0)),"(sin catálogo)")</f>
        <v/>
      </c>
      <c r="V113" s="3">
        <f>IFERROR(INDEX('CAT_CENTROS_COSTO'!$F$4:$F$9,MATCH($G113,'CAT_CENTROS_COSTO'!$A$4:$A$9,0)),"(sin catálogo)")</f>
        <v/>
      </c>
      <c r="W113" s="3">
        <f>IFERROR(INDEX('CAT_PUESTOS'!$B$4:$B$8,MATCH($H113,'CAT_PUESTOS'!$A$4:$A$8,0)),"(sin catálogo)")</f>
        <v/>
      </c>
      <c r="X113" s="3">
        <f>IFERROR(INDEX('CAT_ACTIVIDADES'!$B$4:$B$8,MATCH($I113,'CAT_ACTIVIDADES'!$A$4:$A$8,0)),"(sin catálogo)")</f>
        <v/>
      </c>
      <c r="Y113" s="12">
        <f>IF($K113="","",TODAY()-$K113)</f>
        <v/>
      </c>
      <c r="Z113" s="3">
        <f>IF($Y113="","",IF($Y113&lt;0,"FUTURO",IF($Y113&gt;p_dias_backlog_max,"BACKLOG","MES CORRIENTE")))</f>
        <v/>
      </c>
      <c r="AA113" s="3">
        <f>IF($Y113="",FALSE,AND($Y113&gt;p_dias_backlog_min,$Y113&lt;=p_dias_backlog_max))</f>
        <v/>
      </c>
      <c r="AB113" s="6" t="inlineStr">
        <is>
          <t>Técnico 11</t>
        </is>
      </c>
      <c r="AC113" s="3">
        <f>IF($AB113="","",IFERROR(INDEX('ASIGNACIONES'!$F$4:$F$339,MATCH($O113&amp;"|"&amp;$R113&amp;"|"&amp;$AB113,'ASIGNACIONES'!$I$4:$I$339,0)),""))</f>
        <v/>
      </c>
      <c r="AD113" s="13">
        <f>IF($AB113="","",SUMIFS('ORDENES'!$L$4:$L$203,'ORDENES'!$AB$4:$AB$203,$AB113,'ORDENES'!$O$4:$O$203,$O113,'ORDENES'!$R$4:$R$203,$R113))</f>
        <v/>
      </c>
      <c r="AE113" s="13">
        <f>IF($AD113="","",p_factor_productividad*IFERROR(INDEX('ASIGNACIONES'!$H$4:$H$339,MATCH($O113&amp;"|"&amp;$R113&amp;"|"&amp;$AB113,'ASIGNACIONES'!$I$4:$I$339,0)),0)-$AD113)</f>
        <v/>
      </c>
      <c r="AF113" s="10">
        <f>IFERROR(INDEX('2_IMPORTAR_EJECUCION'!$G$9:$G$171,MATCH($C113,'2_IMPORTAR_EJECUCION'!$A$9:$A$171,0)),0)</f>
        <v/>
      </c>
      <c r="AG113" s="10">
        <f>MAX(0,IFERROR(INDEX('2_IMPORTAR_EJECUCION'!$I$9:$I$171,MATCH($C113,'2_IMPORTAR_EJECUCION'!$A$9:$A$171,0)),0)-$AF113)</f>
        <v/>
      </c>
      <c r="AH113" s="10">
        <f>$AF113+$AG113</f>
        <v/>
      </c>
      <c r="AI113" s="6" t="inlineStr"/>
      <c r="AJ113" s="6" t="inlineStr"/>
      <c r="AK113" s="6" t="inlineStr">
        <is>
          <t>ACT-04.pdf</t>
        </is>
      </c>
      <c r="AL113" s="3">
        <f>IF($AK113="","",HYPERLINK(p_ruta_base_checklists&amp;$AK113,"abrir"))</f>
        <v/>
      </c>
      <c r="AM113" s="6" t="inlineStr"/>
    </row>
    <row r="114">
      <c r="A114" s="3" t="inlineStr">
        <is>
          <t>OT-000111</t>
        </is>
      </c>
      <c r="B114" s="3" t="inlineStr">
        <is>
          <t>0010</t>
        </is>
      </c>
      <c r="C114" s="3">
        <f>$A114&amp;IF($B114="","0010",$B114)</f>
        <v/>
      </c>
      <c r="D114" s="3" t="inlineStr">
        <is>
          <t>Reparación de falla — EQ-110</t>
        </is>
      </c>
      <c r="E114" s="3" t="inlineStr">
        <is>
          <t>Reparación de falla en EQ-110</t>
        </is>
      </c>
      <c r="F114" s="3" t="inlineStr">
        <is>
          <t>EQ-110</t>
        </is>
      </c>
      <c r="G114" s="3" t="inlineStr">
        <is>
          <t>CC-320</t>
        </is>
      </c>
      <c r="H114" s="3" t="inlineStr">
        <is>
          <t>PU-OP</t>
        </is>
      </c>
      <c r="I114" s="3" t="inlineStr">
        <is>
          <t>ACT-03</t>
        </is>
      </c>
      <c r="J114" s="3" t="inlineStr">
        <is>
          <t>TIPO-C2</t>
        </is>
      </c>
      <c r="K114" s="11" t="n">
        <v>46216</v>
      </c>
      <c r="L114" s="3" t="n">
        <v>8</v>
      </c>
      <c r="M114" s="10" t="n">
        <v>320</v>
      </c>
      <c r="N114" s="3">
        <f>IFERROR(INDEX('CAT_ESTADOS_ERP'!$B$4:$B$7,MATCH(IFERROR(INDEX('2_IMPORTAR_EJECUCION'!$D$9:$D$171,MATCH($C114,'2_IMPORTAR_EJECUCION'!$A$9:$A$171,0)),""),'CAT_ESTADOS_ERP'!$A$4:$A$7,0)),"Pendiente")</f>
        <v/>
      </c>
      <c r="O114" s="3">
        <f>IF($K114="","","S"&amp;IF(_xlfn.ISOWEEKNUM($K114)=53,1,_xlfn.ISOWEEKNUM($K114)))</f>
        <v/>
      </c>
      <c r="P114" s="3">
        <f>IF($K114="","",YEAR($K114))</f>
        <v/>
      </c>
      <c r="Q114" s="3">
        <f>IF($K114="","",MONTH($K114))</f>
        <v/>
      </c>
      <c r="R114" s="3">
        <f>IF($K114="","",INDEX(lista_dias,WEEKDAY($K114,2)))</f>
        <v/>
      </c>
      <c r="S114" s="3">
        <f>IFERROR(INDEX('CAT_TIPOS_OT'!$C$4:$C$7,MATCH($J114,'CAT_TIPOS_OT'!$A$4:$A$7,0)),"sin_clasificar")</f>
        <v/>
      </c>
      <c r="T114" s="3">
        <f>IFERROR(INDEX('CAT_CENTROS_COSTO'!$E$4:$E$9,MATCH($G114,'CAT_CENTROS_COSTO'!$A$4:$A$9,0)),"(sin catálogo)")</f>
        <v/>
      </c>
      <c r="U114" s="3">
        <f>IFERROR(INDEX('CAT_CENTROS_COSTO'!$D$4:$D$9,MATCH($G114,'CAT_CENTROS_COSTO'!$A$4:$A$9,0)),"(sin catálogo)")</f>
        <v/>
      </c>
      <c r="V114" s="3">
        <f>IFERROR(INDEX('CAT_CENTROS_COSTO'!$F$4:$F$9,MATCH($G114,'CAT_CENTROS_COSTO'!$A$4:$A$9,0)),"(sin catálogo)")</f>
        <v/>
      </c>
      <c r="W114" s="3">
        <f>IFERROR(INDEX('CAT_PUESTOS'!$B$4:$B$8,MATCH($H114,'CAT_PUESTOS'!$A$4:$A$8,0)),"(sin catálogo)")</f>
        <v/>
      </c>
      <c r="X114" s="3">
        <f>IFERROR(INDEX('CAT_ACTIVIDADES'!$B$4:$B$8,MATCH($I114,'CAT_ACTIVIDADES'!$A$4:$A$8,0)),"(sin catálogo)")</f>
        <v/>
      </c>
      <c r="Y114" s="12">
        <f>IF($K114="","",TODAY()-$K114)</f>
        <v/>
      </c>
      <c r="Z114" s="3">
        <f>IF($Y114="","",IF($Y114&lt;0,"FUTURO",IF($Y114&gt;p_dias_backlog_max,"BACKLOG","MES CORRIENTE")))</f>
        <v/>
      </c>
      <c r="AA114" s="3">
        <f>IF($Y114="",FALSE,AND($Y114&gt;p_dias_backlog_min,$Y114&lt;=p_dias_backlog_max))</f>
        <v/>
      </c>
      <c r="AB114" s="6" t="inlineStr">
        <is>
          <t>Técnico 12</t>
        </is>
      </c>
      <c r="AC114" s="3">
        <f>IF($AB114="","",IFERROR(INDEX('ASIGNACIONES'!$F$4:$F$339,MATCH($O114&amp;"|"&amp;$R114&amp;"|"&amp;$AB114,'ASIGNACIONES'!$I$4:$I$339,0)),""))</f>
        <v/>
      </c>
      <c r="AD114" s="13">
        <f>IF($AB114="","",SUMIFS('ORDENES'!$L$4:$L$203,'ORDENES'!$AB$4:$AB$203,$AB114,'ORDENES'!$O$4:$O$203,$O114,'ORDENES'!$R$4:$R$203,$R114))</f>
        <v/>
      </c>
      <c r="AE114" s="13">
        <f>IF($AD114="","",p_factor_productividad*IFERROR(INDEX('ASIGNACIONES'!$H$4:$H$339,MATCH($O114&amp;"|"&amp;$R114&amp;"|"&amp;$AB114,'ASIGNACIONES'!$I$4:$I$339,0)),0)-$AD114)</f>
        <v/>
      </c>
      <c r="AF114" s="10">
        <f>IFERROR(INDEX('2_IMPORTAR_EJECUCION'!$G$9:$G$171,MATCH($C114,'2_IMPORTAR_EJECUCION'!$A$9:$A$171,0)),0)</f>
        <v/>
      </c>
      <c r="AG114" s="10">
        <f>MAX(0,IFERROR(INDEX('2_IMPORTAR_EJECUCION'!$I$9:$I$171,MATCH($C114,'2_IMPORTAR_EJECUCION'!$A$9:$A$171,0)),0)-$AF114)</f>
        <v/>
      </c>
      <c r="AH114" s="10">
        <f>$AF114+$AG114</f>
        <v/>
      </c>
      <c r="AI114" s="6" t="inlineStr"/>
      <c r="AJ114" s="6" t="inlineStr"/>
      <c r="AK114" s="6" t="inlineStr"/>
      <c r="AL114" s="3">
        <f>IF($AK114="","",HYPERLINK(p_ruta_base_checklists&amp;$AK114,"abrir"))</f>
        <v/>
      </c>
      <c r="AM114" s="6" t="inlineStr"/>
    </row>
    <row r="115">
      <c r="A115" s="3" t="inlineStr">
        <is>
          <t>OT-000112</t>
        </is>
      </c>
      <c r="B115" s="3" t="inlineStr">
        <is>
          <t>0010</t>
        </is>
      </c>
      <c r="C115" s="3">
        <f>$A115&amp;IF($B115="","0010",$B115)</f>
        <v/>
      </c>
      <c r="D115" s="3" t="inlineStr">
        <is>
          <t>Lubricación programada — EQ-103</t>
        </is>
      </c>
      <c r="E115" s="3" t="inlineStr">
        <is>
          <t>Lubricación programada en EQ-103</t>
        </is>
      </c>
      <c r="F115" s="3" t="inlineStr">
        <is>
          <t>EQ-103</t>
        </is>
      </c>
      <c r="G115" s="3" t="inlineStr">
        <is>
          <t>CC-120</t>
        </is>
      </c>
      <c r="H115" s="3" t="inlineStr">
        <is>
          <t>PU-OP</t>
        </is>
      </c>
      <c r="I115" s="3" t="inlineStr">
        <is>
          <t>ACT-02</t>
        </is>
      </c>
      <c r="J115" s="3" t="inlineStr">
        <is>
          <t>TIPO-P1</t>
        </is>
      </c>
      <c r="K115" s="11" t="n">
        <v>46224</v>
      </c>
      <c r="L115" s="3" t="n">
        <v>10</v>
      </c>
      <c r="M115" s="10" t="n">
        <v>250</v>
      </c>
      <c r="N115" s="3">
        <f>IFERROR(INDEX('CAT_ESTADOS_ERP'!$B$4:$B$7,MATCH(IFERROR(INDEX('2_IMPORTAR_EJECUCION'!$D$9:$D$171,MATCH($C115,'2_IMPORTAR_EJECUCION'!$A$9:$A$171,0)),""),'CAT_ESTADOS_ERP'!$A$4:$A$7,0)),"Pendiente")</f>
        <v/>
      </c>
      <c r="O115" s="3">
        <f>IF($K115="","","S"&amp;IF(_xlfn.ISOWEEKNUM($K115)=53,1,_xlfn.ISOWEEKNUM($K115)))</f>
        <v/>
      </c>
      <c r="P115" s="3">
        <f>IF($K115="","",YEAR($K115))</f>
        <v/>
      </c>
      <c r="Q115" s="3">
        <f>IF($K115="","",MONTH($K115))</f>
        <v/>
      </c>
      <c r="R115" s="3">
        <f>IF($K115="","",INDEX(lista_dias,WEEKDAY($K115,2)))</f>
        <v/>
      </c>
      <c r="S115" s="3">
        <f>IFERROR(INDEX('CAT_TIPOS_OT'!$C$4:$C$7,MATCH($J115,'CAT_TIPOS_OT'!$A$4:$A$7,0)),"sin_clasificar")</f>
        <v/>
      </c>
      <c r="T115" s="3">
        <f>IFERROR(INDEX('CAT_CENTROS_COSTO'!$E$4:$E$9,MATCH($G115,'CAT_CENTROS_COSTO'!$A$4:$A$9,0)),"(sin catálogo)")</f>
        <v/>
      </c>
      <c r="U115" s="3">
        <f>IFERROR(INDEX('CAT_CENTROS_COSTO'!$D$4:$D$9,MATCH($G115,'CAT_CENTROS_COSTO'!$A$4:$A$9,0)),"(sin catálogo)")</f>
        <v/>
      </c>
      <c r="V115" s="3">
        <f>IFERROR(INDEX('CAT_CENTROS_COSTO'!$F$4:$F$9,MATCH($G115,'CAT_CENTROS_COSTO'!$A$4:$A$9,0)),"(sin catálogo)")</f>
        <v/>
      </c>
      <c r="W115" s="3">
        <f>IFERROR(INDEX('CAT_PUESTOS'!$B$4:$B$8,MATCH($H115,'CAT_PUESTOS'!$A$4:$A$8,0)),"(sin catálogo)")</f>
        <v/>
      </c>
      <c r="X115" s="3">
        <f>IFERROR(INDEX('CAT_ACTIVIDADES'!$B$4:$B$8,MATCH($I115,'CAT_ACTIVIDADES'!$A$4:$A$8,0)),"(sin catálogo)")</f>
        <v/>
      </c>
      <c r="Y115" s="12">
        <f>IF($K115="","",TODAY()-$K115)</f>
        <v/>
      </c>
      <c r="Z115" s="3">
        <f>IF($Y115="","",IF($Y115&lt;0,"FUTURO",IF($Y115&gt;p_dias_backlog_max,"BACKLOG","MES CORRIENTE")))</f>
        <v/>
      </c>
      <c r="AA115" s="3">
        <f>IF($Y115="",FALSE,AND($Y115&gt;p_dias_backlog_min,$Y115&lt;=p_dias_backlog_max))</f>
        <v/>
      </c>
      <c r="AB115" s="6" t="inlineStr">
        <is>
          <t>Técnico 10</t>
        </is>
      </c>
      <c r="AC115" s="3">
        <f>IF($AB115="","",IFERROR(INDEX('ASIGNACIONES'!$F$4:$F$339,MATCH($O115&amp;"|"&amp;$R115&amp;"|"&amp;$AB115,'ASIGNACIONES'!$I$4:$I$339,0)),""))</f>
        <v/>
      </c>
      <c r="AD115" s="13">
        <f>IF($AB115="","",SUMIFS('ORDENES'!$L$4:$L$203,'ORDENES'!$AB$4:$AB$203,$AB115,'ORDENES'!$O$4:$O$203,$O115,'ORDENES'!$R$4:$R$203,$R115))</f>
        <v/>
      </c>
      <c r="AE115" s="13">
        <f>IF($AD115="","",p_factor_productividad*IFERROR(INDEX('ASIGNACIONES'!$H$4:$H$339,MATCH($O115&amp;"|"&amp;$R115&amp;"|"&amp;$AB115,'ASIGNACIONES'!$I$4:$I$339,0)),0)-$AD115)</f>
        <v/>
      </c>
      <c r="AF115" s="10">
        <f>IFERROR(INDEX('2_IMPORTAR_EJECUCION'!$G$9:$G$171,MATCH($C115,'2_IMPORTAR_EJECUCION'!$A$9:$A$171,0)),0)</f>
        <v/>
      </c>
      <c r="AG115" s="10">
        <f>MAX(0,IFERROR(INDEX('2_IMPORTAR_EJECUCION'!$I$9:$I$171,MATCH($C115,'2_IMPORTAR_EJECUCION'!$A$9:$A$171,0)),0)-$AF115)</f>
        <v/>
      </c>
      <c r="AH115" s="10">
        <f>$AF115+$AG115</f>
        <v/>
      </c>
      <c r="AI115" s="6" t="inlineStr"/>
      <c r="AJ115" s="6" t="inlineStr"/>
      <c r="AK115" s="6" t="inlineStr">
        <is>
          <t>ACT-02.pdf</t>
        </is>
      </c>
      <c r="AL115" s="3">
        <f>IF($AK115="","",HYPERLINK(p_ruta_base_checklists&amp;$AK115,"abrir"))</f>
        <v/>
      </c>
      <c r="AM115" s="6" t="inlineStr"/>
    </row>
    <row r="116">
      <c r="A116" s="3" t="inlineStr">
        <is>
          <t>OT-000113</t>
        </is>
      </c>
      <c r="B116" s="3" t="inlineStr">
        <is>
          <t>0010</t>
        </is>
      </c>
      <c r="C116" s="3">
        <f>$A116&amp;IF($B116="","0010",$B116)</f>
        <v/>
      </c>
      <c r="D116" s="3" t="inlineStr">
        <is>
          <t>Análisis predictivo — EQ-107</t>
        </is>
      </c>
      <c r="E116" s="3" t="inlineStr">
        <is>
          <t>Análisis predictivo en EQ-107</t>
        </is>
      </c>
      <c r="F116" s="3" t="inlineStr">
        <is>
          <t>EQ-107</t>
        </is>
      </c>
      <c r="G116" s="3" t="inlineStr">
        <is>
          <t>CC-210</t>
        </is>
      </c>
      <c r="H116" s="3" t="inlineStr">
        <is>
          <t>PU-OP</t>
        </is>
      </c>
      <c r="I116" s="3" t="inlineStr">
        <is>
          <t>ACT-04</t>
        </is>
      </c>
      <c r="J116" s="3" t="inlineStr">
        <is>
          <t>TIPO-P2</t>
        </is>
      </c>
      <c r="K116" s="11" t="n">
        <v>46225</v>
      </c>
      <c r="L116" s="3" t="n">
        <v>8</v>
      </c>
      <c r="M116" s="10" t="n">
        <v>200</v>
      </c>
      <c r="N116" s="3">
        <f>IFERROR(INDEX('CAT_ESTADOS_ERP'!$B$4:$B$7,MATCH(IFERROR(INDEX('2_IMPORTAR_EJECUCION'!$D$9:$D$171,MATCH($C116,'2_IMPORTAR_EJECUCION'!$A$9:$A$171,0)),""),'CAT_ESTADOS_ERP'!$A$4:$A$7,0)),"Pendiente")</f>
        <v/>
      </c>
      <c r="O116" s="3">
        <f>IF($K116="","","S"&amp;IF(_xlfn.ISOWEEKNUM($K116)=53,1,_xlfn.ISOWEEKNUM($K116)))</f>
        <v/>
      </c>
      <c r="P116" s="3">
        <f>IF($K116="","",YEAR($K116))</f>
        <v/>
      </c>
      <c r="Q116" s="3">
        <f>IF($K116="","",MONTH($K116))</f>
        <v/>
      </c>
      <c r="R116" s="3">
        <f>IF($K116="","",INDEX(lista_dias,WEEKDAY($K116,2)))</f>
        <v/>
      </c>
      <c r="S116" s="3">
        <f>IFERROR(INDEX('CAT_TIPOS_OT'!$C$4:$C$7,MATCH($J116,'CAT_TIPOS_OT'!$A$4:$A$7,0)),"sin_clasificar")</f>
        <v/>
      </c>
      <c r="T116" s="3">
        <f>IFERROR(INDEX('CAT_CENTROS_COSTO'!$E$4:$E$9,MATCH($G116,'CAT_CENTROS_COSTO'!$A$4:$A$9,0)),"(sin catálogo)")</f>
        <v/>
      </c>
      <c r="U116" s="3">
        <f>IFERROR(INDEX('CAT_CENTROS_COSTO'!$D$4:$D$9,MATCH($G116,'CAT_CENTROS_COSTO'!$A$4:$A$9,0)),"(sin catálogo)")</f>
        <v/>
      </c>
      <c r="V116" s="3">
        <f>IFERROR(INDEX('CAT_CENTROS_COSTO'!$F$4:$F$9,MATCH($G116,'CAT_CENTROS_COSTO'!$A$4:$A$9,0)),"(sin catálogo)")</f>
        <v/>
      </c>
      <c r="W116" s="3">
        <f>IFERROR(INDEX('CAT_PUESTOS'!$B$4:$B$8,MATCH($H116,'CAT_PUESTOS'!$A$4:$A$8,0)),"(sin catálogo)")</f>
        <v/>
      </c>
      <c r="X116" s="3">
        <f>IFERROR(INDEX('CAT_ACTIVIDADES'!$B$4:$B$8,MATCH($I116,'CAT_ACTIVIDADES'!$A$4:$A$8,0)),"(sin catálogo)")</f>
        <v/>
      </c>
      <c r="Y116" s="12">
        <f>IF($K116="","",TODAY()-$K116)</f>
        <v/>
      </c>
      <c r="Z116" s="3">
        <f>IF($Y116="","",IF($Y116&lt;0,"FUTURO",IF($Y116&gt;p_dias_backlog_max,"BACKLOG","MES CORRIENTE")))</f>
        <v/>
      </c>
      <c r="AA116" s="3">
        <f>IF($Y116="",FALSE,AND($Y116&gt;p_dias_backlog_min,$Y116&lt;=p_dias_backlog_max))</f>
        <v/>
      </c>
      <c r="AB116" s="6" t="inlineStr">
        <is>
          <t>Técnico 11</t>
        </is>
      </c>
      <c r="AC116" s="3">
        <f>IF($AB116="","",IFERROR(INDEX('ASIGNACIONES'!$F$4:$F$339,MATCH($O116&amp;"|"&amp;$R116&amp;"|"&amp;$AB116,'ASIGNACIONES'!$I$4:$I$339,0)),""))</f>
        <v/>
      </c>
      <c r="AD116" s="13">
        <f>IF($AB116="","",SUMIFS('ORDENES'!$L$4:$L$203,'ORDENES'!$AB$4:$AB$203,$AB116,'ORDENES'!$O$4:$O$203,$O116,'ORDENES'!$R$4:$R$203,$R116))</f>
        <v/>
      </c>
      <c r="AE116" s="13">
        <f>IF($AD116="","",p_factor_productividad*IFERROR(INDEX('ASIGNACIONES'!$H$4:$H$339,MATCH($O116&amp;"|"&amp;$R116&amp;"|"&amp;$AB116,'ASIGNACIONES'!$I$4:$I$339,0)),0)-$AD116)</f>
        <v/>
      </c>
      <c r="AF116" s="10">
        <f>IFERROR(INDEX('2_IMPORTAR_EJECUCION'!$G$9:$G$171,MATCH($C116,'2_IMPORTAR_EJECUCION'!$A$9:$A$171,0)),0)</f>
        <v/>
      </c>
      <c r="AG116" s="10">
        <f>MAX(0,IFERROR(INDEX('2_IMPORTAR_EJECUCION'!$I$9:$I$171,MATCH($C116,'2_IMPORTAR_EJECUCION'!$A$9:$A$171,0)),0)-$AF116)</f>
        <v/>
      </c>
      <c r="AH116" s="10">
        <f>$AF116+$AG116</f>
        <v/>
      </c>
      <c r="AI116" s="6" t="inlineStr"/>
      <c r="AJ116" s="6" t="inlineStr"/>
      <c r="AK116" s="6" t="inlineStr">
        <is>
          <t>ACT-04.pdf</t>
        </is>
      </c>
      <c r="AL116" s="3">
        <f>IF($AK116="","",HYPERLINK(p_ruta_base_checklists&amp;$AK116,"abrir"))</f>
        <v/>
      </c>
      <c r="AM116" s="6" t="inlineStr"/>
    </row>
    <row r="117">
      <c r="A117" s="3" t="inlineStr">
        <is>
          <t>OT-000114</t>
        </is>
      </c>
      <c r="B117" s="3" t="inlineStr">
        <is>
          <t>0010</t>
        </is>
      </c>
      <c r="C117" s="3">
        <f>$A117&amp;IF($B117="","0010",$B117)</f>
        <v/>
      </c>
      <c r="D117" s="3" t="inlineStr">
        <is>
          <t>Inspección de rutina — EQ-110</t>
        </is>
      </c>
      <c r="E117" s="3" t="inlineStr">
        <is>
          <t>Inspección de rutina en EQ-110</t>
        </is>
      </c>
      <c r="F117" s="3" t="inlineStr">
        <is>
          <t>EQ-110</t>
        </is>
      </c>
      <c r="G117" s="3" t="inlineStr">
        <is>
          <t>CC-320</t>
        </is>
      </c>
      <c r="H117" s="3" t="inlineStr">
        <is>
          <t>PU-OP</t>
        </is>
      </c>
      <c r="I117" s="3" t="inlineStr">
        <is>
          <t>ACT-01</t>
        </is>
      </c>
      <c r="J117" s="3" t="inlineStr">
        <is>
          <t>TIPO-P1</t>
        </is>
      </c>
      <c r="K117" s="11" t="n">
        <v>46226</v>
      </c>
      <c r="L117" s="3" t="n">
        <v>6</v>
      </c>
      <c r="M117" s="10" t="n">
        <v>150</v>
      </c>
      <c r="N117" s="3">
        <f>IFERROR(INDEX('CAT_ESTADOS_ERP'!$B$4:$B$7,MATCH(IFERROR(INDEX('2_IMPORTAR_EJECUCION'!$D$9:$D$171,MATCH($C117,'2_IMPORTAR_EJECUCION'!$A$9:$A$171,0)),""),'CAT_ESTADOS_ERP'!$A$4:$A$7,0)),"Pendiente")</f>
        <v/>
      </c>
      <c r="O117" s="3">
        <f>IF($K117="","","S"&amp;IF(_xlfn.ISOWEEKNUM($K117)=53,1,_xlfn.ISOWEEKNUM($K117)))</f>
        <v/>
      </c>
      <c r="P117" s="3">
        <f>IF($K117="","",YEAR($K117))</f>
        <v/>
      </c>
      <c r="Q117" s="3">
        <f>IF($K117="","",MONTH($K117))</f>
        <v/>
      </c>
      <c r="R117" s="3">
        <f>IF($K117="","",INDEX(lista_dias,WEEKDAY($K117,2)))</f>
        <v/>
      </c>
      <c r="S117" s="3">
        <f>IFERROR(INDEX('CAT_TIPOS_OT'!$C$4:$C$7,MATCH($J117,'CAT_TIPOS_OT'!$A$4:$A$7,0)),"sin_clasificar")</f>
        <v/>
      </c>
      <c r="T117" s="3">
        <f>IFERROR(INDEX('CAT_CENTROS_COSTO'!$E$4:$E$9,MATCH($G117,'CAT_CENTROS_COSTO'!$A$4:$A$9,0)),"(sin catálogo)")</f>
        <v/>
      </c>
      <c r="U117" s="3">
        <f>IFERROR(INDEX('CAT_CENTROS_COSTO'!$D$4:$D$9,MATCH($G117,'CAT_CENTROS_COSTO'!$A$4:$A$9,0)),"(sin catálogo)")</f>
        <v/>
      </c>
      <c r="V117" s="3">
        <f>IFERROR(INDEX('CAT_CENTROS_COSTO'!$F$4:$F$9,MATCH($G117,'CAT_CENTROS_COSTO'!$A$4:$A$9,0)),"(sin catálogo)")</f>
        <v/>
      </c>
      <c r="W117" s="3">
        <f>IFERROR(INDEX('CAT_PUESTOS'!$B$4:$B$8,MATCH($H117,'CAT_PUESTOS'!$A$4:$A$8,0)),"(sin catálogo)")</f>
        <v/>
      </c>
      <c r="X117" s="3">
        <f>IFERROR(INDEX('CAT_ACTIVIDADES'!$B$4:$B$8,MATCH($I117,'CAT_ACTIVIDADES'!$A$4:$A$8,0)),"(sin catálogo)")</f>
        <v/>
      </c>
      <c r="Y117" s="12">
        <f>IF($K117="","",TODAY()-$K117)</f>
        <v/>
      </c>
      <c r="Z117" s="3">
        <f>IF($Y117="","",IF($Y117&lt;0,"FUTURO",IF($Y117&gt;p_dias_backlog_max,"BACKLOG","MES CORRIENTE")))</f>
        <v/>
      </c>
      <c r="AA117" s="3">
        <f>IF($Y117="",FALSE,AND($Y117&gt;p_dias_backlog_min,$Y117&lt;=p_dias_backlog_max))</f>
        <v/>
      </c>
      <c r="AB117" s="6" t="inlineStr">
        <is>
          <t>Técnico 12</t>
        </is>
      </c>
      <c r="AC117" s="3">
        <f>IF($AB117="","",IFERROR(INDEX('ASIGNACIONES'!$F$4:$F$339,MATCH($O117&amp;"|"&amp;$R117&amp;"|"&amp;$AB117,'ASIGNACIONES'!$I$4:$I$339,0)),""))</f>
        <v/>
      </c>
      <c r="AD117" s="13">
        <f>IF($AB117="","",SUMIFS('ORDENES'!$L$4:$L$203,'ORDENES'!$AB$4:$AB$203,$AB117,'ORDENES'!$O$4:$O$203,$O117,'ORDENES'!$R$4:$R$203,$R117))</f>
        <v/>
      </c>
      <c r="AE117" s="13">
        <f>IF($AD117="","",p_factor_productividad*IFERROR(INDEX('ASIGNACIONES'!$H$4:$H$339,MATCH($O117&amp;"|"&amp;$R117&amp;"|"&amp;$AB117,'ASIGNACIONES'!$I$4:$I$339,0)),0)-$AD117)</f>
        <v/>
      </c>
      <c r="AF117" s="10">
        <f>IFERROR(INDEX('2_IMPORTAR_EJECUCION'!$G$9:$G$171,MATCH($C117,'2_IMPORTAR_EJECUCION'!$A$9:$A$171,0)),0)</f>
        <v/>
      </c>
      <c r="AG117" s="10">
        <f>MAX(0,IFERROR(INDEX('2_IMPORTAR_EJECUCION'!$I$9:$I$171,MATCH($C117,'2_IMPORTAR_EJECUCION'!$A$9:$A$171,0)),0)-$AF117)</f>
        <v/>
      </c>
      <c r="AH117" s="10">
        <f>$AF117+$AG117</f>
        <v/>
      </c>
      <c r="AI117" s="6" t="inlineStr"/>
      <c r="AJ117" s="6" t="inlineStr"/>
      <c r="AK117" s="6" t="inlineStr">
        <is>
          <t>ACT-01.pdf</t>
        </is>
      </c>
      <c r="AL117" s="3">
        <f>IF($AK117="","",HYPERLINK(p_ruta_base_checklists&amp;$AK117,"abrir"))</f>
        <v/>
      </c>
      <c r="AM117" s="6" t="inlineStr"/>
    </row>
    <row r="118">
      <c r="A118" s="3" t="inlineStr">
        <is>
          <t>OT-000115</t>
        </is>
      </c>
      <c r="B118" s="3" t="inlineStr">
        <is>
          <t>0010</t>
        </is>
      </c>
      <c r="C118" s="3">
        <f>$A118&amp;IF($B118="","0010",$B118)</f>
        <v/>
      </c>
      <c r="D118" s="3" t="inlineStr">
        <is>
          <t>Lubricación programada — EQ-101</t>
        </is>
      </c>
      <c r="E118" s="3" t="inlineStr">
        <is>
          <t>Lubricación programada en EQ-101</t>
        </is>
      </c>
      <c r="F118" s="3" t="inlineStr">
        <is>
          <t>EQ-101</t>
        </is>
      </c>
      <c r="G118" s="3" t="inlineStr">
        <is>
          <t>CC-120</t>
        </is>
      </c>
      <c r="H118" s="3" t="inlineStr">
        <is>
          <t>PU-OP</t>
        </is>
      </c>
      <c r="I118" s="3" t="inlineStr">
        <is>
          <t>ACT-02</t>
        </is>
      </c>
      <c r="J118" s="3" t="inlineStr">
        <is>
          <t>TIPO-P2</t>
        </is>
      </c>
      <c r="K118" s="11" t="n">
        <v>46227</v>
      </c>
      <c r="L118" s="3" t="n">
        <v>10</v>
      </c>
      <c r="M118" s="10" t="n">
        <v>250</v>
      </c>
      <c r="N118" s="3">
        <f>IFERROR(INDEX('CAT_ESTADOS_ERP'!$B$4:$B$7,MATCH(IFERROR(INDEX('2_IMPORTAR_EJECUCION'!$D$9:$D$171,MATCH($C118,'2_IMPORTAR_EJECUCION'!$A$9:$A$171,0)),""),'CAT_ESTADOS_ERP'!$A$4:$A$7,0)),"Pendiente")</f>
        <v/>
      </c>
      <c r="O118" s="3">
        <f>IF($K118="","","S"&amp;IF(_xlfn.ISOWEEKNUM($K118)=53,1,_xlfn.ISOWEEKNUM($K118)))</f>
        <v/>
      </c>
      <c r="P118" s="3">
        <f>IF($K118="","",YEAR($K118))</f>
        <v/>
      </c>
      <c r="Q118" s="3">
        <f>IF($K118="","",MONTH($K118))</f>
        <v/>
      </c>
      <c r="R118" s="3">
        <f>IF($K118="","",INDEX(lista_dias,WEEKDAY($K118,2)))</f>
        <v/>
      </c>
      <c r="S118" s="3">
        <f>IFERROR(INDEX('CAT_TIPOS_OT'!$C$4:$C$7,MATCH($J118,'CAT_TIPOS_OT'!$A$4:$A$7,0)),"sin_clasificar")</f>
        <v/>
      </c>
      <c r="T118" s="3">
        <f>IFERROR(INDEX('CAT_CENTROS_COSTO'!$E$4:$E$9,MATCH($G118,'CAT_CENTROS_COSTO'!$A$4:$A$9,0)),"(sin catálogo)")</f>
        <v/>
      </c>
      <c r="U118" s="3">
        <f>IFERROR(INDEX('CAT_CENTROS_COSTO'!$D$4:$D$9,MATCH($G118,'CAT_CENTROS_COSTO'!$A$4:$A$9,0)),"(sin catálogo)")</f>
        <v/>
      </c>
      <c r="V118" s="3">
        <f>IFERROR(INDEX('CAT_CENTROS_COSTO'!$F$4:$F$9,MATCH($G118,'CAT_CENTROS_COSTO'!$A$4:$A$9,0)),"(sin catálogo)")</f>
        <v/>
      </c>
      <c r="W118" s="3">
        <f>IFERROR(INDEX('CAT_PUESTOS'!$B$4:$B$8,MATCH($H118,'CAT_PUESTOS'!$A$4:$A$8,0)),"(sin catálogo)")</f>
        <v/>
      </c>
      <c r="X118" s="3">
        <f>IFERROR(INDEX('CAT_ACTIVIDADES'!$B$4:$B$8,MATCH($I118,'CAT_ACTIVIDADES'!$A$4:$A$8,0)),"(sin catálogo)")</f>
        <v/>
      </c>
      <c r="Y118" s="12">
        <f>IF($K118="","",TODAY()-$K118)</f>
        <v/>
      </c>
      <c r="Z118" s="3">
        <f>IF($Y118="","",IF($Y118&lt;0,"FUTURO",IF($Y118&gt;p_dias_backlog_max,"BACKLOG","MES CORRIENTE")))</f>
        <v/>
      </c>
      <c r="AA118" s="3">
        <f>IF($Y118="",FALSE,AND($Y118&gt;p_dias_backlog_min,$Y118&lt;=p_dias_backlog_max))</f>
        <v/>
      </c>
      <c r="AB118" s="6" t="inlineStr">
        <is>
          <t>Técnico 10</t>
        </is>
      </c>
      <c r="AC118" s="3">
        <f>IF($AB118="","",IFERROR(INDEX('ASIGNACIONES'!$F$4:$F$339,MATCH($O118&amp;"|"&amp;$R118&amp;"|"&amp;$AB118,'ASIGNACIONES'!$I$4:$I$339,0)),""))</f>
        <v/>
      </c>
      <c r="AD118" s="13">
        <f>IF($AB118="","",SUMIFS('ORDENES'!$L$4:$L$203,'ORDENES'!$AB$4:$AB$203,$AB118,'ORDENES'!$O$4:$O$203,$O118,'ORDENES'!$R$4:$R$203,$R118))</f>
        <v/>
      </c>
      <c r="AE118" s="13">
        <f>IF($AD118="","",p_factor_productividad*IFERROR(INDEX('ASIGNACIONES'!$H$4:$H$339,MATCH($O118&amp;"|"&amp;$R118&amp;"|"&amp;$AB118,'ASIGNACIONES'!$I$4:$I$339,0)),0)-$AD118)</f>
        <v/>
      </c>
      <c r="AF118" s="10">
        <f>IFERROR(INDEX('2_IMPORTAR_EJECUCION'!$G$9:$G$171,MATCH($C118,'2_IMPORTAR_EJECUCION'!$A$9:$A$171,0)),0)</f>
        <v/>
      </c>
      <c r="AG118" s="10">
        <f>MAX(0,IFERROR(INDEX('2_IMPORTAR_EJECUCION'!$I$9:$I$171,MATCH($C118,'2_IMPORTAR_EJECUCION'!$A$9:$A$171,0)),0)-$AF118)</f>
        <v/>
      </c>
      <c r="AH118" s="10">
        <f>$AF118+$AG118</f>
        <v/>
      </c>
      <c r="AI118" s="6" t="inlineStr"/>
      <c r="AJ118" s="6" t="inlineStr"/>
      <c r="AK118" s="6" t="inlineStr">
        <is>
          <t>ACT-02.pdf</t>
        </is>
      </c>
      <c r="AL118" s="3">
        <f>IF($AK118="","",HYPERLINK(p_ruta_base_checklists&amp;$AK118,"abrir"))</f>
        <v/>
      </c>
      <c r="AM118" s="6" t="inlineStr"/>
    </row>
    <row r="119">
      <c r="A119" s="3" t="inlineStr">
        <is>
          <t>OT-000116</t>
        </is>
      </c>
      <c r="B119" s="3" t="inlineStr">
        <is>
          <t>0010</t>
        </is>
      </c>
      <c r="C119" s="3">
        <f>$A119&amp;IF($B119="","0010",$B119)</f>
        <v/>
      </c>
      <c r="D119" s="3" t="inlineStr">
        <is>
          <t>Análisis predictivo — EQ-106</t>
        </is>
      </c>
      <c r="E119" s="3" t="inlineStr">
        <is>
          <t>Análisis predictivo en EQ-106</t>
        </is>
      </c>
      <c r="F119" s="3" t="inlineStr">
        <is>
          <t>EQ-106</t>
        </is>
      </c>
      <c r="G119" s="3" t="inlineStr">
        <is>
          <t>CC-210</t>
        </is>
      </c>
      <c r="H119" s="3" t="inlineStr">
        <is>
          <t>PU-OP</t>
        </is>
      </c>
      <c r="I119" s="3" t="inlineStr">
        <is>
          <t>ACT-04</t>
        </is>
      </c>
      <c r="J119" s="3" t="inlineStr">
        <is>
          <t>TIPO-P1</t>
        </is>
      </c>
      <c r="K119" s="11" t="n">
        <v>46223</v>
      </c>
      <c r="L119" s="3" t="n">
        <v>2</v>
      </c>
      <c r="M119" s="10" t="n">
        <v>50</v>
      </c>
      <c r="N119" s="3">
        <f>IFERROR(INDEX('CAT_ESTADOS_ERP'!$B$4:$B$7,MATCH(IFERROR(INDEX('2_IMPORTAR_EJECUCION'!$D$9:$D$171,MATCH($C119,'2_IMPORTAR_EJECUCION'!$A$9:$A$171,0)),""),'CAT_ESTADOS_ERP'!$A$4:$A$7,0)),"Pendiente")</f>
        <v/>
      </c>
      <c r="O119" s="3">
        <f>IF($K119="","","S"&amp;IF(_xlfn.ISOWEEKNUM($K119)=53,1,_xlfn.ISOWEEKNUM($K119)))</f>
        <v/>
      </c>
      <c r="P119" s="3">
        <f>IF($K119="","",YEAR($K119))</f>
        <v/>
      </c>
      <c r="Q119" s="3">
        <f>IF($K119="","",MONTH($K119))</f>
        <v/>
      </c>
      <c r="R119" s="3">
        <f>IF($K119="","",INDEX(lista_dias,WEEKDAY($K119,2)))</f>
        <v/>
      </c>
      <c r="S119" s="3">
        <f>IFERROR(INDEX('CAT_TIPOS_OT'!$C$4:$C$7,MATCH($J119,'CAT_TIPOS_OT'!$A$4:$A$7,0)),"sin_clasificar")</f>
        <v/>
      </c>
      <c r="T119" s="3">
        <f>IFERROR(INDEX('CAT_CENTROS_COSTO'!$E$4:$E$9,MATCH($G119,'CAT_CENTROS_COSTO'!$A$4:$A$9,0)),"(sin catálogo)")</f>
        <v/>
      </c>
      <c r="U119" s="3">
        <f>IFERROR(INDEX('CAT_CENTROS_COSTO'!$D$4:$D$9,MATCH($G119,'CAT_CENTROS_COSTO'!$A$4:$A$9,0)),"(sin catálogo)")</f>
        <v/>
      </c>
      <c r="V119" s="3">
        <f>IFERROR(INDEX('CAT_CENTROS_COSTO'!$F$4:$F$9,MATCH($G119,'CAT_CENTROS_COSTO'!$A$4:$A$9,0)),"(sin catálogo)")</f>
        <v/>
      </c>
      <c r="W119" s="3">
        <f>IFERROR(INDEX('CAT_PUESTOS'!$B$4:$B$8,MATCH($H119,'CAT_PUESTOS'!$A$4:$A$8,0)),"(sin catálogo)")</f>
        <v/>
      </c>
      <c r="X119" s="3">
        <f>IFERROR(INDEX('CAT_ACTIVIDADES'!$B$4:$B$8,MATCH($I119,'CAT_ACTIVIDADES'!$A$4:$A$8,0)),"(sin catálogo)")</f>
        <v/>
      </c>
      <c r="Y119" s="12">
        <f>IF($K119="","",TODAY()-$K119)</f>
        <v/>
      </c>
      <c r="Z119" s="3">
        <f>IF($Y119="","",IF($Y119&lt;0,"FUTURO",IF($Y119&gt;p_dias_backlog_max,"BACKLOG","MES CORRIENTE")))</f>
        <v/>
      </c>
      <c r="AA119" s="3">
        <f>IF($Y119="",FALSE,AND($Y119&gt;p_dias_backlog_min,$Y119&lt;=p_dias_backlog_max))</f>
        <v/>
      </c>
      <c r="AB119" s="6" t="inlineStr">
        <is>
          <t>Técnico 11</t>
        </is>
      </c>
      <c r="AC119" s="3">
        <f>IF($AB119="","",IFERROR(INDEX('ASIGNACIONES'!$F$4:$F$339,MATCH($O119&amp;"|"&amp;$R119&amp;"|"&amp;$AB119,'ASIGNACIONES'!$I$4:$I$339,0)),""))</f>
        <v/>
      </c>
      <c r="AD119" s="13">
        <f>IF($AB119="","",SUMIFS('ORDENES'!$L$4:$L$203,'ORDENES'!$AB$4:$AB$203,$AB119,'ORDENES'!$O$4:$O$203,$O119,'ORDENES'!$R$4:$R$203,$R119))</f>
        <v/>
      </c>
      <c r="AE119" s="13">
        <f>IF($AD119="","",p_factor_productividad*IFERROR(INDEX('ASIGNACIONES'!$H$4:$H$339,MATCH($O119&amp;"|"&amp;$R119&amp;"|"&amp;$AB119,'ASIGNACIONES'!$I$4:$I$339,0)),0)-$AD119)</f>
        <v/>
      </c>
      <c r="AF119" s="10">
        <f>IFERROR(INDEX('2_IMPORTAR_EJECUCION'!$G$9:$G$171,MATCH($C119,'2_IMPORTAR_EJECUCION'!$A$9:$A$171,0)),0)</f>
        <v/>
      </c>
      <c r="AG119" s="10">
        <f>MAX(0,IFERROR(INDEX('2_IMPORTAR_EJECUCION'!$I$9:$I$171,MATCH($C119,'2_IMPORTAR_EJECUCION'!$A$9:$A$171,0)),0)-$AF119)</f>
        <v/>
      </c>
      <c r="AH119" s="10">
        <f>$AF119+$AG119</f>
        <v/>
      </c>
      <c r="AI119" s="6" t="inlineStr"/>
      <c r="AJ119" s="6" t="inlineStr"/>
      <c r="AK119" s="6" t="inlineStr">
        <is>
          <t>ACT-04.pdf</t>
        </is>
      </c>
      <c r="AL119" s="3">
        <f>IF($AK119="","",HYPERLINK(p_ruta_base_checklists&amp;$AK119,"abrir"))</f>
        <v/>
      </c>
      <c r="AM119" s="6" t="inlineStr"/>
    </row>
    <row r="120">
      <c r="A120" s="3" t="inlineStr">
        <is>
          <t>OT-000117</t>
        </is>
      </c>
      <c r="B120" s="3" t="inlineStr">
        <is>
          <t>0010</t>
        </is>
      </c>
      <c r="C120" s="3">
        <f>$A120&amp;IF($B120="","0010",$B120)</f>
        <v/>
      </c>
      <c r="D120" s="3" t="inlineStr">
        <is>
          <t>Reparación de falla — EQ-110</t>
        </is>
      </c>
      <c r="E120" s="3" t="inlineStr">
        <is>
          <t>Reparación de falla en EQ-110</t>
        </is>
      </c>
      <c r="F120" s="3" t="inlineStr">
        <is>
          <t>EQ-110</t>
        </is>
      </c>
      <c r="G120" s="3" t="inlineStr">
        <is>
          <t>CC-320</t>
        </is>
      </c>
      <c r="H120" s="3" t="inlineStr">
        <is>
          <t>PU-OP</t>
        </is>
      </c>
      <c r="I120" s="3" t="inlineStr">
        <is>
          <t>ACT-03</t>
        </is>
      </c>
      <c r="J120" s="3" t="inlineStr">
        <is>
          <t>TIPO-C2</t>
        </is>
      </c>
      <c r="K120" s="11" t="n">
        <v>46224</v>
      </c>
      <c r="L120" s="3" t="n">
        <v>9</v>
      </c>
      <c r="M120" s="10" t="n">
        <v>360</v>
      </c>
      <c r="N120" s="3">
        <f>IFERROR(INDEX('CAT_ESTADOS_ERP'!$B$4:$B$7,MATCH(IFERROR(INDEX('2_IMPORTAR_EJECUCION'!$D$9:$D$171,MATCH($C120,'2_IMPORTAR_EJECUCION'!$A$9:$A$171,0)),""),'CAT_ESTADOS_ERP'!$A$4:$A$7,0)),"Pendiente")</f>
        <v/>
      </c>
      <c r="O120" s="3">
        <f>IF($K120="","","S"&amp;IF(_xlfn.ISOWEEKNUM($K120)=53,1,_xlfn.ISOWEEKNUM($K120)))</f>
        <v/>
      </c>
      <c r="P120" s="3">
        <f>IF($K120="","",YEAR($K120))</f>
        <v/>
      </c>
      <c r="Q120" s="3">
        <f>IF($K120="","",MONTH($K120))</f>
        <v/>
      </c>
      <c r="R120" s="3">
        <f>IF($K120="","",INDEX(lista_dias,WEEKDAY($K120,2)))</f>
        <v/>
      </c>
      <c r="S120" s="3">
        <f>IFERROR(INDEX('CAT_TIPOS_OT'!$C$4:$C$7,MATCH($J120,'CAT_TIPOS_OT'!$A$4:$A$7,0)),"sin_clasificar")</f>
        <v/>
      </c>
      <c r="T120" s="3">
        <f>IFERROR(INDEX('CAT_CENTROS_COSTO'!$E$4:$E$9,MATCH($G120,'CAT_CENTROS_COSTO'!$A$4:$A$9,0)),"(sin catálogo)")</f>
        <v/>
      </c>
      <c r="U120" s="3">
        <f>IFERROR(INDEX('CAT_CENTROS_COSTO'!$D$4:$D$9,MATCH($G120,'CAT_CENTROS_COSTO'!$A$4:$A$9,0)),"(sin catálogo)")</f>
        <v/>
      </c>
      <c r="V120" s="3">
        <f>IFERROR(INDEX('CAT_CENTROS_COSTO'!$F$4:$F$9,MATCH($G120,'CAT_CENTROS_COSTO'!$A$4:$A$9,0)),"(sin catálogo)")</f>
        <v/>
      </c>
      <c r="W120" s="3">
        <f>IFERROR(INDEX('CAT_PUESTOS'!$B$4:$B$8,MATCH($H120,'CAT_PUESTOS'!$A$4:$A$8,0)),"(sin catálogo)")</f>
        <v/>
      </c>
      <c r="X120" s="3">
        <f>IFERROR(INDEX('CAT_ACTIVIDADES'!$B$4:$B$8,MATCH($I120,'CAT_ACTIVIDADES'!$A$4:$A$8,0)),"(sin catálogo)")</f>
        <v/>
      </c>
      <c r="Y120" s="12">
        <f>IF($K120="","",TODAY()-$K120)</f>
        <v/>
      </c>
      <c r="Z120" s="3">
        <f>IF($Y120="","",IF($Y120&lt;0,"FUTURO",IF($Y120&gt;p_dias_backlog_max,"BACKLOG","MES CORRIENTE")))</f>
        <v/>
      </c>
      <c r="AA120" s="3">
        <f>IF($Y120="",FALSE,AND($Y120&gt;p_dias_backlog_min,$Y120&lt;=p_dias_backlog_max))</f>
        <v/>
      </c>
      <c r="AB120" s="6" t="inlineStr">
        <is>
          <t>Técnico 12</t>
        </is>
      </c>
      <c r="AC120" s="3">
        <f>IF($AB120="","",IFERROR(INDEX('ASIGNACIONES'!$F$4:$F$339,MATCH($O120&amp;"|"&amp;$R120&amp;"|"&amp;$AB120,'ASIGNACIONES'!$I$4:$I$339,0)),""))</f>
        <v/>
      </c>
      <c r="AD120" s="13">
        <f>IF($AB120="","",SUMIFS('ORDENES'!$L$4:$L$203,'ORDENES'!$AB$4:$AB$203,$AB120,'ORDENES'!$O$4:$O$203,$O120,'ORDENES'!$R$4:$R$203,$R120))</f>
        <v/>
      </c>
      <c r="AE120" s="13">
        <f>IF($AD120="","",p_factor_productividad*IFERROR(INDEX('ASIGNACIONES'!$H$4:$H$339,MATCH($O120&amp;"|"&amp;$R120&amp;"|"&amp;$AB120,'ASIGNACIONES'!$I$4:$I$339,0)),0)-$AD120)</f>
        <v/>
      </c>
      <c r="AF120" s="10">
        <f>IFERROR(INDEX('2_IMPORTAR_EJECUCION'!$G$9:$G$171,MATCH($C120,'2_IMPORTAR_EJECUCION'!$A$9:$A$171,0)),0)</f>
        <v/>
      </c>
      <c r="AG120" s="10">
        <f>MAX(0,IFERROR(INDEX('2_IMPORTAR_EJECUCION'!$I$9:$I$171,MATCH($C120,'2_IMPORTAR_EJECUCION'!$A$9:$A$171,0)),0)-$AF120)</f>
        <v/>
      </c>
      <c r="AH120" s="10">
        <f>$AF120+$AG120</f>
        <v/>
      </c>
      <c r="AI120" s="6" t="inlineStr"/>
      <c r="AJ120" s="6" t="inlineStr"/>
      <c r="AK120" s="6" t="inlineStr"/>
      <c r="AL120" s="3">
        <f>IF($AK120="","",HYPERLINK(p_ruta_base_checklists&amp;$AK120,"abrir"))</f>
        <v/>
      </c>
      <c r="AM120" s="6" t="inlineStr"/>
    </row>
    <row r="121">
      <c r="A121" s="3" t="inlineStr">
        <is>
          <t>OT-000118</t>
        </is>
      </c>
      <c r="B121" s="3" t="inlineStr">
        <is>
          <t>0010</t>
        </is>
      </c>
      <c r="C121" s="3">
        <f>$A121&amp;IF($B121="","0010",$B121)</f>
        <v/>
      </c>
      <c r="D121" s="3" t="inlineStr">
        <is>
          <t>Lubricación programada — EQ-104</t>
        </is>
      </c>
      <c r="E121" s="3" t="inlineStr">
        <is>
          <t>Lubricación programada en EQ-104</t>
        </is>
      </c>
      <c r="F121" s="3" t="inlineStr">
        <is>
          <t>EQ-104</t>
        </is>
      </c>
      <c r="G121" s="3" t="inlineStr">
        <is>
          <t>CC-120</t>
        </is>
      </c>
      <c r="H121" s="3" t="inlineStr">
        <is>
          <t>PU-OP</t>
        </is>
      </c>
      <c r="I121" s="3" t="inlineStr">
        <is>
          <t>ACT-02</t>
        </is>
      </c>
      <c r="J121" s="3" t="inlineStr">
        <is>
          <t>TIPO-P1</t>
        </is>
      </c>
      <c r="K121" s="11" t="n">
        <v>46232</v>
      </c>
      <c r="L121" s="3" t="n">
        <v>10</v>
      </c>
      <c r="M121" s="10" t="n">
        <v>250</v>
      </c>
      <c r="N121" s="3">
        <f>IFERROR(INDEX('CAT_ESTADOS_ERP'!$B$4:$B$7,MATCH(IFERROR(INDEX('2_IMPORTAR_EJECUCION'!$D$9:$D$171,MATCH($C121,'2_IMPORTAR_EJECUCION'!$A$9:$A$171,0)),""),'CAT_ESTADOS_ERP'!$A$4:$A$7,0)),"Pendiente")</f>
        <v/>
      </c>
      <c r="O121" s="3">
        <f>IF($K121="","","S"&amp;IF(_xlfn.ISOWEEKNUM($K121)=53,1,_xlfn.ISOWEEKNUM($K121)))</f>
        <v/>
      </c>
      <c r="P121" s="3">
        <f>IF($K121="","",YEAR($K121))</f>
        <v/>
      </c>
      <c r="Q121" s="3">
        <f>IF($K121="","",MONTH($K121))</f>
        <v/>
      </c>
      <c r="R121" s="3">
        <f>IF($K121="","",INDEX(lista_dias,WEEKDAY($K121,2)))</f>
        <v/>
      </c>
      <c r="S121" s="3">
        <f>IFERROR(INDEX('CAT_TIPOS_OT'!$C$4:$C$7,MATCH($J121,'CAT_TIPOS_OT'!$A$4:$A$7,0)),"sin_clasificar")</f>
        <v/>
      </c>
      <c r="T121" s="3">
        <f>IFERROR(INDEX('CAT_CENTROS_COSTO'!$E$4:$E$9,MATCH($G121,'CAT_CENTROS_COSTO'!$A$4:$A$9,0)),"(sin catálogo)")</f>
        <v/>
      </c>
      <c r="U121" s="3">
        <f>IFERROR(INDEX('CAT_CENTROS_COSTO'!$D$4:$D$9,MATCH($G121,'CAT_CENTROS_COSTO'!$A$4:$A$9,0)),"(sin catálogo)")</f>
        <v/>
      </c>
      <c r="V121" s="3">
        <f>IFERROR(INDEX('CAT_CENTROS_COSTO'!$F$4:$F$9,MATCH($G121,'CAT_CENTROS_COSTO'!$A$4:$A$9,0)),"(sin catálogo)")</f>
        <v/>
      </c>
      <c r="W121" s="3">
        <f>IFERROR(INDEX('CAT_PUESTOS'!$B$4:$B$8,MATCH($H121,'CAT_PUESTOS'!$A$4:$A$8,0)),"(sin catálogo)")</f>
        <v/>
      </c>
      <c r="X121" s="3">
        <f>IFERROR(INDEX('CAT_ACTIVIDADES'!$B$4:$B$8,MATCH($I121,'CAT_ACTIVIDADES'!$A$4:$A$8,0)),"(sin catálogo)")</f>
        <v/>
      </c>
      <c r="Y121" s="12">
        <f>IF($K121="","",TODAY()-$K121)</f>
        <v/>
      </c>
      <c r="Z121" s="3">
        <f>IF($Y121="","",IF($Y121&lt;0,"FUTURO",IF($Y121&gt;p_dias_backlog_max,"BACKLOG","MES CORRIENTE")))</f>
        <v/>
      </c>
      <c r="AA121" s="3">
        <f>IF($Y121="",FALSE,AND($Y121&gt;p_dias_backlog_min,$Y121&lt;=p_dias_backlog_max))</f>
        <v/>
      </c>
      <c r="AB121" s="6" t="inlineStr">
        <is>
          <t>Técnico 10</t>
        </is>
      </c>
      <c r="AC121" s="3">
        <f>IF($AB121="","",IFERROR(INDEX('ASIGNACIONES'!$F$4:$F$339,MATCH($O121&amp;"|"&amp;$R121&amp;"|"&amp;$AB121,'ASIGNACIONES'!$I$4:$I$339,0)),""))</f>
        <v/>
      </c>
      <c r="AD121" s="13">
        <f>IF($AB121="","",SUMIFS('ORDENES'!$L$4:$L$203,'ORDENES'!$AB$4:$AB$203,$AB121,'ORDENES'!$O$4:$O$203,$O121,'ORDENES'!$R$4:$R$203,$R121))</f>
        <v/>
      </c>
      <c r="AE121" s="13">
        <f>IF($AD121="","",p_factor_productividad*IFERROR(INDEX('ASIGNACIONES'!$H$4:$H$339,MATCH($O121&amp;"|"&amp;$R121&amp;"|"&amp;$AB121,'ASIGNACIONES'!$I$4:$I$339,0)),0)-$AD121)</f>
        <v/>
      </c>
      <c r="AF121" s="10">
        <f>IFERROR(INDEX('2_IMPORTAR_EJECUCION'!$G$9:$G$171,MATCH($C121,'2_IMPORTAR_EJECUCION'!$A$9:$A$171,0)),0)</f>
        <v/>
      </c>
      <c r="AG121" s="10">
        <f>MAX(0,IFERROR(INDEX('2_IMPORTAR_EJECUCION'!$I$9:$I$171,MATCH($C121,'2_IMPORTAR_EJECUCION'!$A$9:$A$171,0)),0)-$AF121)</f>
        <v/>
      </c>
      <c r="AH121" s="10">
        <f>$AF121+$AG121</f>
        <v/>
      </c>
      <c r="AI121" s="6" t="inlineStr"/>
      <c r="AJ121" s="6" t="inlineStr"/>
      <c r="AK121" s="6" t="inlineStr">
        <is>
          <t>ACT-02.pdf</t>
        </is>
      </c>
      <c r="AL121" s="3">
        <f>IF($AK121="","",HYPERLINK(p_ruta_base_checklists&amp;$AK121,"abrir"))</f>
        <v/>
      </c>
      <c r="AM121" s="6" t="inlineStr"/>
    </row>
    <row r="122">
      <c r="A122" s="3" t="inlineStr">
        <is>
          <t>OT-000119</t>
        </is>
      </c>
      <c r="B122" s="3" t="inlineStr">
        <is>
          <t>0010</t>
        </is>
      </c>
      <c r="C122" s="3">
        <f>$A122&amp;IF($B122="","0010",$B122)</f>
        <v/>
      </c>
      <c r="D122" s="3" t="inlineStr">
        <is>
          <t>Análisis predictivo — EQ-109</t>
        </is>
      </c>
      <c r="E122" s="3" t="inlineStr">
        <is>
          <t>Análisis predictivo en EQ-109</t>
        </is>
      </c>
      <c r="F122" s="3" t="inlineStr">
        <is>
          <t>EQ-109</t>
        </is>
      </c>
      <c r="G122" s="3" t="inlineStr">
        <is>
          <t>CC-210</t>
        </is>
      </c>
      <c r="H122" s="3" t="inlineStr">
        <is>
          <t>PU-OP</t>
        </is>
      </c>
      <c r="I122" s="3" t="inlineStr">
        <is>
          <t>ACT-04</t>
        </is>
      </c>
      <c r="J122" s="3" t="inlineStr">
        <is>
          <t>TIPO-P2</t>
        </is>
      </c>
      <c r="K122" s="11" t="n">
        <v>46233</v>
      </c>
      <c r="L122" s="3" t="n">
        <v>8</v>
      </c>
      <c r="M122" s="10" t="n">
        <v>200</v>
      </c>
      <c r="N122" s="3">
        <f>IFERROR(INDEX('CAT_ESTADOS_ERP'!$B$4:$B$7,MATCH(IFERROR(INDEX('2_IMPORTAR_EJECUCION'!$D$9:$D$171,MATCH($C122,'2_IMPORTAR_EJECUCION'!$A$9:$A$171,0)),""),'CAT_ESTADOS_ERP'!$A$4:$A$7,0)),"Pendiente")</f>
        <v/>
      </c>
      <c r="O122" s="3">
        <f>IF($K122="","","S"&amp;IF(_xlfn.ISOWEEKNUM($K122)=53,1,_xlfn.ISOWEEKNUM($K122)))</f>
        <v/>
      </c>
      <c r="P122" s="3">
        <f>IF($K122="","",YEAR($K122))</f>
        <v/>
      </c>
      <c r="Q122" s="3">
        <f>IF($K122="","",MONTH($K122))</f>
        <v/>
      </c>
      <c r="R122" s="3">
        <f>IF($K122="","",INDEX(lista_dias,WEEKDAY($K122,2)))</f>
        <v/>
      </c>
      <c r="S122" s="3">
        <f>IFERROR(INDEX('CAT_TIPOS_OT'!$C$4:$C$7,MATCH($J122,'CAT_TIPOS_OT'!$A$4:$A$7,0)),"sin_clasificar")</f>
        <v/>
      </c>
      <c r="T122" s="3">
        <f>IFERROR(INDEX('CAT_CENTROS_COSTO'!$E$4:$E$9,MATCH($G122,'CAT_CENTROS_COSTO'!$A$4:$A$9,0)),"(sin catálogo)")</f>
        <v/>
      </c>
      <c r="U122" s="3">
        <f>IFERROR(INDEX('CAT_CENTROS_COSTO'!$D$4:$D$9,MATCH($G122,'CAT_CENTROS_COSTO'!$A$4:$A$9,0)),"(sin catálogo)")</f>
        <v/>
      </c>
      <c r="V122" s="3">
        <f>IFERROR(INDEX('CAT_CENTROS_COSTO'!$F$4:$F$9,MATCH($G122,'CAT_CENTROS_COSTO'!$A$4:$A$9,0)),"(sin catálogo)")</f>
        <v/>
      </c>
      <c r="W122" s="3">
        <f>IFERROR(INDEX('CAT_PUESTOS'!$B$4:$B$8,MATCH($H122,'CAT_PUESTOS'!$A$4:$A$8,0)),"(sin catálogo)")</f>
        <v/>
      </c>
      <c r="X122" s="3">
        <f>IFERROR(INDEX('CAT_ACTIVIDADES'!$B$4:$B$8,MATCH($I122,'CAT_ACTIVIDADES'!$A$4:$A$8,0)),"(sin catálogo)")</f>
        <v/>
      </c>
      <c r="Y122" s="12">
        <f>IF($K122="","",TODAY()-$K122)</f>
        <v/>
      </c>
      <c r="Z122" s="3">
        <f>IF($Y122="","",IF($Y122&lt;0,"FUTURO",IF($Y122&gt;p_dias_backlog_max,"BACKLOG","MES CORRIENTE")))</f>
        <v/>
      </c>
      <c r="AA122" s="3">
        <f>IF($Y122="",FALSE,AND($Y122&gt;p_dias_backlog_min,$Y122&lt;=p_dias_backlog_max))</f>
        <v/>
      </c>
      <c r="AB122" s="6" t="inlineStr">
        <is>
          <t>Técnico 11</t>
        </is>
      </c>
      <c r="AC122" s="3">
        <f>IF($AB122="","",IFERROR(INDEX('ASIGNACIONES'!$F$4:$F$339,MATCH($O122&amp;"|"&amp;$R122&amp;"|"&amp;$AB122,'ASIGNACIONES'!$I$4:$I$339,0)),""))</f>
        <v/>
      </c>
      <c r="AD122" s="13">
        <f>IF($AB122="","",SUMIFS('ORDENES'!$L$4:$L$203,'ORDENES'!$AB$4:$AB$203,$AB122,'ORDENES'!$O$4:$O$203,$O122,'ORDENES'!$R$4:$R$203,$R122))</f>
        <v/>
      </c>
      <c r="AE122" s="13">
        <f>IF($AD122="","",p_factor_productividad*IFERROR(INDEX('ASIGNACIONES'!$H$4:$H$339,MATCH($O122&amp;"|"&amp;$R122&amp;"|"&amp;$AB122,'ASIGNACIONES'!$I$4:$I$339,0)),0)-$AD122)</f>
        <v/>
      </c>
      <c r="AF122" s="10">
        <f>IFERROR(INDEX('2_IMPORTAR_EJECUCION'!$G$9:$G$171,MATCH($C122,'2_IMPORTAR_EJECUCION'!$A$9:$A$171,0)),0)</f>
        <v/>
      </c>
      <c r="AG122" s="10">
        <f>MAX(0,IFERROR(INDEX('2_IMPORTAR_EJECUCION'!$I$9:$I$171,MATCH($C122,'2_IMPORTAR_EJECUCION'!$A$9:$A$171,0)),0)-$AF122)</f>
        <v/>
      </c>
      <c r="AH122" s="10">
        <f>$AF122+$AG122</f>
        <v/>
      </c>
      <c r="AI122" s="6" t="inlineStr"/>
      <c r="AJ122" s="6" t="inlineStr"/>
      <c r="AK122" s="6" t="inlineStr">
        <is>
          <t>ACT-04.pdf</t>
        </is>
      </c>
      <c r="AL122" s="3">
        <f>IF($AK122="","",HYPERLINK(p_ruta_base_checklists&amp;$AK122,"abrir"))</f>
        <v/>
      </c>
      <c r="AM122" s="6" t="inlineStr"/>
    </row>
    <row r="123">
      <c r="A123" s="3" t="inlineStr">
        <is>
          <t>OT-000120</t>
        </is>
      </c>
      <c r="B123" s="3" t="inlineStr">
        <is>
          <t>0010</t>
        </is>
      </c>
      <c r="C123" s="3">
        <f>$A123&amp;IF($B123="","0010",$B123)</f>
        <v/>
      </c>
      <c r="D123" s="3" t="inlineStr">
        <is>
          <t>Inspección de rutina — EQ-110</t>
        </is>
      </c>
      <c r="E123" s="3" t="inlineStr">
        <is>
          <t>Inspección de rutina en EQ-110</t>
        </is>
      </c>
      <c r="F123" s="3" t="inlineStr">
        <is>
          <t>EQ-110</t>
        </is>
      </c>
      <c r="G123" s="3" t="inlineStr">
        <is>
          <t>CC-320</t>
        </is>
      </c>
      <c r="H123" s="3" t="inlineStr">
        <is>
          <t>PU-OP</t>
        </is>
      </c>
      <c r="I123" s="3" t="inlineStr">
        <is>
          <t>ACT-01</t>
        </is>
      </c>
      <c r="J123" s="3" t="inlineStr">
        <is>
          <t>TIPO-P1</t>
        </is>
      </c>
      <c r="K123" s="11" t="n">
        <v>46234</v>
      </c>
      <c r="L123" s="3" t="n">
        <v>10</v>
      </c>
      <c r="M123" s="10" t="n">
        <v>250</v>
      </c>
      <c r="N123" s="3">
        <f>IFERROR(INDEX('CAT_ESTADOS_ERP'!$B$4:$B$7,MATCH(IFERROR(INDEX('2_IMPORTAR_EJECUCION'!$D$9:$D$171,MATCH($C123,'2_IMPORTAR_EJECUCION'!$A$9:$A$171,0)),""),'CAT_ESTADOS_ERP'!$A$4:$A$7,0)),"Pendiente")</f>
        <v/>
      </c>
      <c r="O123" s="3">
        <f>IF($K123="","","S"&amp;IF(_xlfn.ISOWEEKNUM($K123)=53,1,_xlfn.ISOWEEKNUM($K123)))</f>
        <v/>
      </c>
      <c r="P123" s="3">
        <f>IF($K123="","",YEAR($K123))</f>
        <v/>
      </c>
      <c r="Q123" s="3">
        <f>IF($K123="","",MONTH($K123))</f>
        <v/>
      </c>
      <c r="R123" s="3">
        <f>IF($K123="","",INDEX(lista_dias,WEEKDAY($K123,2)))</f>
        <v/>
      </c>
      <c r="S123" s="3">
        <f>IFERROR(INDEX('CAT_TIPOS_OT'!$C$4:$C$7,MATCH($J123,'CAT_TIPOS_OT'!$A$4:$A$7,0)),"sin_clasificar")</f>
        <v/>
      </c>
      <c r="T123" s="3">
        <f>IFERROR(INDEX('CAT_CENTROS_COSTO'!$E$4:$E$9,MATCH($G123,'CAT_CENTROS_COSTO'!$A$4:$A$9,0)),"(sin catálogo)")</f>
        <v/>
      </c>
      <c r="U123" s="3">
        <f>IFERROR(INDEX('CAT_CENTROS_COSTO'!$D$4:$D$9,MATCH($G123,'CAT_CENTROS_COSTO'!$A$4:$A$9,0)),"(sin catálogo)")</f>
        <v/>
      </c>
      <c r="V123" s="3">
        <f>IFERROR(INDEX('CAT_CENTROS_COSTO'!$F$4:$F$9,MATCH($G123,'CAT_CENTROS_COSTO'!$A$4:$A$9,0)),"(sin catálogo)")</f>
        <v/>
      </c>
      <c r="W123" s="3">
        <f>IFERROR(INDEX('CAT_PUESTOS'!$B$4:$B$8,MATCH($H123,'CAT_PUESTOS'!$A$4:$A$8,0)),"(sin catálogo)")</f>
        <v/>
      </c>
      <c r="X123" s="3">
        <f>IFERROR(INDEX('CAT_ACTIVIDADES'!$B$4:$B$8,MATCH($I123,'CAT_ACTIVIDADES'!$A$4:$A$8,0)),"(sin catálogo)")</f>
        <v/>
      </c>
      <c r="Y123" s="12">
        <f>IF($K123="","",TODAY()-$K123)</f>
        <v/>
      </c>
      <c r="Z123" s="3">
        <f>IF($Y123="","",IF($Y123&lt;0,"FUTURO",IF($Y123&gt;p_dias_backlog_max,"BACKLOG","MES CORRIENTE")))</f>
        <v/>
      </c>
      <c r="AA123" s="3">
        <f>IF($Y123="",FALSE,AND($Y123&gt;p_dias_backlog_min,$Y123&lt;=p_dias_backlog_max))</f>
        <v/>
      </c>
      <c r="AB123" s="6" t="inlineStr"/>
      <c r="AC123" s="3">
        <f>IF($AB123="","",IFERROR(INDEX('ASIGNACIONES'!$F$4:$F$339,MATCH($O123&amp;"|"&amp;$R123&amp;"|"&amp;$AB123,'ASIGNACIONES'!$I$4:$I$339,0)),""))</f>
        <v/>
      </c>
      <c r="AD123" s="13">
        <f>IF($AB123="","",SUMIFS('ORDENES'!$L$4:$L$203,'ORDENES'!$AB$4:$AB$203,$AB123,'ORDENES'!$O$4:$O$203,$O123,'ORDENES'!$R$4:$R$203,$R123))</f>
        <v/>
      </c>
      <c r="AE123" s="13">
        <f>IF($AD123="","",p_factor_productividad*IFERROR(INDEX('ASIGNACIONES'!$H$4:$H$339,MATCH($O123&amp;"|"&amp;$R123&amp;"|"&amp;$AB123,'ASIGNACIONES'!$I$4:$I$339,0)),0)-$AD123)</f>
        <v/>
      </c>
      <c r="AF123" s="10">
        <f>IFERROR(INDEX('2_IMPORTAR_EJECUCION'!$G$9:$G$171,MATCH($C123,'2_IMPORTAR_EJECUCION'!$A$9:$A$171,0)),0)</f>
        <v/>
      </c>
      <c r="AG123" s="10">
        <f>MAX(0,IFERROR(INDEX('2_IMPORTAR_EJECUCION'!$I$9:$I$171,MATCH($C123,'2_IMPORTAR_EJECUCION'!$A$9:$A$171,0)),0)-$AF123)</f>
        <v/>
      </c>
      <c r="AH123" s="10">
        <f>$AF123+$AG123</f>
        <v/>
      </c>
      <c r="AI123" s="6" t="inlineStr"/>
      <c r="AJ123" s="6" t="inlineStr"/>
      <c r="AK123" s="6" t="inlineStr">
        <is>
          <t>ACT-01.pdf</t>
        </is>
      </c>
      <c r="AL123" s="3">
        <f>IF($AK123="","",HYPERLINK(p_ruta_base_checklists&amp;$AK123,"abrir"))</f>
        <v/>
      </c>
      <c r="AM123" s="6" t="inlineStr"/>
    </row>
    <row r="124">
      <c r="A124" s="3" t="inlineStr">
        <is>
          <t>OT-000121</t>
        </is>
      </c>
      <c r="B124" s="3" t="inlineStr">
        <is>
          <t>0010</t>
        </is>
      </c>
      <c r="C124" s="3">
        <f>$A124&amp;IF($B124="","0010",$B124)</f>
        <v/>
      </c>
      <c r="D124" s="3" t="inlineStr">
        <is>
          <t>Reparación de falla — EQ-102</t>
        </is>
      </c>
      <c r="E124" s="3" t="inlineStr">
        <is>
          <t>Reparación de falla en EQ-102</t>
        </is>
      </c>
      <c r="F124" s="3" t="inlineStr">
        <is>
          <t>EQ-102</t>
        </is>
      </c>
      <c r="G124" s="3" t="inlineStr">
        <is>
          <t>CC-120</t>
        </is>
      </c>
      <c r="H124" s="3" t="inlineStr">
        <is>
          <t>PU-OP</t>
        </is>
      </c>
      <c r="I124" s="3" t="inlineStr">
        <is>
          <t>ACT-03</t>
        </is>
      </c>
      <c r="J124" s="3" t="inlineStr">
        <is>
          <t>TIPO-C2</t>
        </is>
      </c>
      <c r="K124" s="11" t="n">
        <v>46230</v>
      </c>
      <c r="L124" s="3" t="n">
        <v>7</v>
      </c>
      <c r="M124" s="10" t="n">
        <v>280</v>
      </c>
      <c r="N124" s="3">
        <f>IFERROR(INDEX('CAT_ESTADOS_ERP'!$B$4:$B$7,MATCH(IFERROR(INDEX('2_IMPORTAR_EJECUCION'!$D$9:$D$171,MATCH($C124,'2_IMPORTAR_EJECUCION'!$A$9:$A$171,0)),""),'CAT_ESTADOS_ERP'!$A$4:$A$7,0)),"Pendiente")</f>
        <v/>
      </c>
      <c r="O124" s="3">
        <f>IF($K124="","","S"&amp;IF(_xlfn.ISOWEEKNUM($K124)=53,1,_xlfn.ISOWEEKNUM($K124)))</f>
        <v/>
      </c>
      <c r="P124" s="3">
        <f>IF($K124="","",YEAR($K124))</f>
        <v/>
      </c>
      <c r="Q124" s="3">
        <f>IF($K124="","",MONTH($K124))</f>
        <v/>
      </c>
      <c r="R124" s="3">
        <f>IF($K124="","",INDEX(lista_dias,WEEKDAY($K124,2)))</f>
        <v/>
      </c>
      <c r="S124" s="3">
        <f>IFERROR(INDEX('CAT_TIPOS_OT'!$C$4:$C$7,MATCH($J124,'CAT_TIPOS_OT'!$A$4:$A$7,0)),"sin_clasificar")</f>
        <v/>
      </c>
      <c r="T124" s="3">
        <f>IFERROR(INDEX('CAT_CENTROS_COSTO'!$E$4:$E$9,MATCH($G124,'CAT_CENTROS_COSTO'!$A$4:$A$9,0)),"(sin catálogo)")</f>
        <v/>
      </c>
      <c r="U124" s="3">
        <f>IFERROR(INDEX('CAT_CENTROS_COSTO'!$D$4:$D$9,MATCH($G124,'CAT_CENTROS_COSTO'!$A$4:$A$9,0)),"(sin catálogo)")</f>
        <v/>
      </c>
      <c r="V124" s="3">
        <f>IFERROR(INDEX('CAT_CENTROS_COSTO'!$F$4:$F$9,MATCH($G124,'CAT_CENTROS_COSTO'!$A$4:$A$9,0)),"(sin catálogo)")</f>
        <v/>
      </c>
      <c r="W124" s="3">
        <f>IFERROR(INDEX('CAT_PUESTOS'!$B$4:$B$8,MATCH($H124,'CAT_PUESTOS'!$A$4:$A$8,0)),"(sin catálogo)")</f>
        <v/>
      </c>
      <c r="X124" s="3">
        <f>IFERROR(INDEX('CAT_ACTIVIDADES'!$B$4:$B$8,MATCH($I124,'CAT_ACTIVIDADES'!$A$4:$A$8,0)),"(sin catálogo)")</f>
        <v/>
      </c>
      <c r="Y124" s="12">
        <f>IF($K124="","",TODAY()-$K124)</f>
        <v/>
      </c>
      <c r="Z124" s="3">
        <f>IF($Y124="","",IF($Y124&lt;0,"FUTURO",IF($Y124&gt;p_dias_backlog_max,"BACKLOG","MES CORRIENTE")))</f>
        <v/>
      </c>
      <c r="AA124" s="3">
        <f>IF($Y124="",FALSE,AND($Y124&gt;p_dias_backlog_min,$Y124&lt;=p_dias_backlog_max))</f>
        <v/>
      </c>
      <c r="AB124" s="6" t="inlineStr">
        <is>
          <t>Técnico 10</t>
        </is>
      </c>
      <c r="AC124" s="3">
        <f>IF($AB124="","",IFERROR(INDEX('ASIGNACIONES'!$F$4:$F$339,MATCH($O124&amp;"|"&amp;$R124&amp;"|"&amp;$AB124,'ASIGNACIONES'!$I$4:$I$339,0)),""))</f>
        <v/>
      </c>
      <c r="AD124" s="13">
        <f>IF($AB124="","",SUMIFS('ORDENES'!$L$4:$L$203,'ORDENES'!$AB$4:$AB$203,$AB124,'ORDENES'!$O$4:$O$203,$O124,'ORDENES'!$R$4:$R$203,$R124))</f>
        <v/>
      </c>
      <c r="AE124" s="13">
        <f>IF($AD124="","",p_factor_productividad*IFERROR(INDEX('ASIGNACIONES'!$H$4:$H$339,MATCH($O124&amp;"|"&amp;$R124&amp;"|"&amp;$AB124,'ASIGNACIONES'!$I$4:$I$339,0)),0)-$AD124)</f>
        <v/>
      </c>
      <c r="AF124" s="10">
        <f>IFERROR(INDEX('2_IMPORTAR_EJECUCION'!$G$9:$G$171,MATCH($C124,'2_IMPORTAR_EJECUCION'!$A$9:$A$171,0)),0)</f>
        <v/>
      </c>
      <c r="AG124" s="10">
        <f>MAX(0,IFERROR(INDEX('2_IMPORTAR_EJECUCION'!$I$9:$I$171,MATCH($C124,'2_IMPORTAR_EJECUCION'!$A$9:$A$171,0)),0)-$AF124)</f>
        <v/>
      </c>
      <c r="AH124" s="10">
        <f>$AF124+$AG124</f>
        <v/>
      </c>
      <c r="AI124" s="6" t="inlineStr"/>
      <c r="AJ124" s="6" t="inlineStr"/>
      <c r="AK124" s="6" t="inlineStr"/>
      <c r="AL124" s="3">
        <f>IF($AK124="","",HYPERLINK(p_ruta_base_checklists&amp;$AK124,"abrir"))</f>
        <v/>
      </c>
      <c r="AM124" s="6" t="inlineStr"/>
    </row>
    <row r="125">
      <c r="A125" s="3" t="inlineStr">
        <is>
          <t>OT-000122</t>
        </is>
      </c>
      <c r="B125" s="3" t="inlineStr">
        <is>
          <t>0010</t>
        </is>
      </c>
      <c r="C125" s="3">
        <f>$A125&amp;IF($B125="","0010",$B125)</f>
        <v/>
      </c>
      <c r="D125" s="3" t="inlineStr">
        <is>
          <t>Análisis predictivo — EQ-108</t>
        </is>
      </c>
      <c r="E125" s="3" t="inlineStr">
        <is>
          <t>Análisis predictivo en EQ-108</t>
        </is>
      </c>
      <c r="F125" s="3" t="inlineStr">
        <is>
          <t>EQ-108</t>
        </is>
      </c>
      <c r="G125" s="3" t="inlineStr">
        <is>
          <t>CC-210</t>
        </is>
      </c>
      <c r="H125" s="3" t="inlineStr">
        <is>
          <t>PU-OP</t>
        </is>
      </c>
      <c r="I125" s="3" t="inlineStr">
        <is>
          <t>ACT-04</t>
        </is>
      </c>
      <c r="J125" s="3" t="inlineStr">
        <is>
          <t>TIPO-P1</t>
        </is>
      </c>
      <c r="K125" s="11" t="n">
        <v>46238</v>
      </c>
      <c r="L125" s="3" t="n">
        <v>10</v>
      </c>
      <c r="M125" s="10" t="n">
        <v>250</v>
      </c>
      <c r="N125" s="3">
        <f>IFERROR(INDEX('CAT_ESTADOS_ERP'!$B$4:$B$7,MATCH(IFERROR(INDEX('2_IMPORTAR_EJECUCION'!$D$9:$D$171,MATCH($C125,'2_IMPORTAR_EJECUCION'!$A$9:$A$171,0)),""),'CAT_ESTADOS_ERP'!$A$4:$A$7,0)),"Pendiente")</f>
        <v/>
      </c>
      <c r="O125" s="3">
        <f>IF($K125="","","S"&amp;IF(_xlfn.ISOWEEKNUM($K125)=53,1,_xlfn.ISOWEEKNUM($K125)))</f>
        <v/>
      </c>
      <c r="P125" s="3">
        <f>IF($K125="","",YEAR($K125))</f>
        <v/>
      </c>
      <c r="Q125" s="3">
        <f>IF($K125="","",MONTH($K125))</f>
        <v/>
      </c>
      <c r="R125" s="3">
        <f>IF($K125="","",INDEX(lista_dias,WEEKDAY($K125,2)))</f>
        <v/>
      </c>
      <c r="S125" s="3">
        <f>IFERROR(INDEX('CAT_TIPOS_OT'!$C$4:$C$7,MATCH($J125,'CAT_TIPOS_OT'!$A$4:$A$7,0)),"sin_clasificar")</f>
        <v/>
      </c>
      <c r="T125" s="3">
        <f>IFERROR(INDEX('CAT_CENTROS_COSTO'!$E$4:$E$9,MATCH($G125,'CAT_CENTROS_COSTO'!$A$4:$A$9,0)),"(sin catálogo)")</f>
        <v/>
      </c>
      <c r="U125" s="3">
        <f>IFERROR(INDEX('CAT_CENTROS_COSTO'!$D$4:$D$9,MATCH($G125,'CAT_CENTROS_COSTO'!$A$4:$A$9,0)),"(sin catálogo)")</f>
        <v/>
      </c>
      <c r="V125" s="3">
        <f>IFERROR(INDEX('CAT_CENTROS_COSTO'!$F$4:$F$9,MATCH($G125,'CAT_CENTROS_COSTO'!$A$4:$A$9,0)),"(sin catálogo)")</f>
        <v/>
      </c>
      <c r="W125" s="3">
        <f>IFERROR(INDEX('CAT_PUESTOS'!$B$4:$B$8,MATCH($H125,'CAT_PUESTOS'!$A$4:$A$8,0)),"(sin catálogo)")</f>
        <v/>
      </c>
      <c r="X125" s="3">
        <f>IFERROR(INDEX('CAT_ACTIVIDADES'!$B$4:$B$8,MATCH($I125,'CAT_ACTIVIDADES'!$A$4:$A$8,0)),"(sin catálogo)")</f>
        <v/>
      </c>
      <c r="Y125" s="12">
        <f>IF($K125="","",TODAY()-$K125)</f>
        <v/>
      </c>
      <c r="Z125" s="3">
        <f>IF($Y125="","",IF($Y125&lt;0,"FUTURO",IF($Y125&gt;p_dias_backlog_max,"BACKLOG","MES CORRIENTE")))</f>
        <v/>
      </c>
      <c r="AA125" s="3">
        <f>IF($Y125="",FALSE,AND($Y125&gt;p_dias_backlog_min,$Y125&lt;=p_dias_backlog_max))</f>
        <v/>
      </c>
      <c r="AB125" s="6" t="inlineStr">
        <is>
          <t>Técnico 11</t>
        </is>
      </c>
      <c r="AC125" s="3">
        <f>IF($AB125="","",IFERROR(INDEX('ASIGNACIONES'!$F$4:$F$339,MATCH($O125&amp;"|"&amp;$R125&amp;"|"&amp;$AB125,'ASIGNACIONES'!$I$4:$I$339,0)),""))</f>
        <v/>
      </c>
      <c r="AD125" s="13">
        <f>IF($AB125="","",SUMIFS('ORDENES'!$L$4:$L$203,'ORDENES'!$AB$4:$AB$203,$AB125,'ORDENES'!$O$4:$O$203,$O125,'ORDENES'!$R$4:$R$203,$R125))</f>
        <v/>
      </c>
      <c r="AE125" s="13">
        <f>IF($AD125="","",p_factor_productividad*IFERROR(INDEX('ASIGNACIONES'!$H$4:$H$339,MATCH($O125&amp;"|"&amp;$R125&amp;"|"&amp;$AB125,'ASIGNACIONES'!$I$4:$I$339,0)),0)-$AD125)</f>
        <v/>
      </c>
      <c r="AF125" s="10">
        <f>IFERROR(INDEX('2_IMPORTAR_EJECUCION'!$G$9:$G$171,MATCH($C125,'2_IMPORTAR_EJECUCION'!$A$9:$A$171,0)),0)</f>
        <v/>
      </c>
      <c r="AG125" s="10">
        <f>MAX(0,IFERROR(INDEX('2_IMPORTAR_EJECUCION'!$I$9:$I$171,MATCH($C125,'2_IMPORTAR_EJECUCION'!$A$9:$A$171,0)),0)-$AF125)</f>
        <v/>
      </c>
      <c r="AH125" s="10">
        <f>$AF125+$AG125</f>
        <v/>
      </c>
      <c r="AI125" s="6" t="inlineStr"/>
      <c r="AJ125" s="6" t="inlineStr"/>
      <c r="AK125" s="6" t="inlineStr">
        <is>
          <t>ACT-04.pdf</t>
        </is>
      </c>
      <c r="AL125" s="3">
        <f>IF($AK125="","",HYPERLINK(p_ruta_base_checklists&amp;$AK125,"abrir"))</f>
        <v/>
      </c>
      <c r="AM125" s="6" t="inlineStr"/>
    </row>
    <row r="126">
      <c r="A126" s="3" t="inlineStr">
        <is>
          <t>OT-000123</t>
        </is>
      </c>
      <c r="B126" s="3" t="inlineStr">
        <is>
          <t>0010</t>
        </is>
      </c>
      <c r="C126" s="3">
        <f>$A126&amp;IF($B126="","0010",$B126)</f>
        <v/>
      </c>
      <c r="D126" s="3" t="inlineStr">
        <is>
          <t>Inspección de rutina — EQ-110</t>
        </is>
      </c>
      <c r="E126" s="3" t="inlineStr">
        <is>
          <t>Inspección de rutina en EQ-110</t>
        </is>
      </c>
      <c r="F126" s="3" t="inlineStr">
        <is>
          <t>EQ-110</t>
        </is>
      </c>
      <c r="G126" s="3" t="inlineStr">
        <is>
          <t>CC-320</t>
        </is>
      </c>
      <c r="H126" s="3" t="inlineStr">
        <is>
          <t>PU-OP</t>
        </is>
      </c>
      <c r="I126" s="3" t="inlineStr">
        <is>
          <t>ACT-01</t>
        </is>
      </c>
      <c r="J126" s="3" t="inlineStr">
        <is>
          <t>TIPO-P2</t>
        </is>
      </c>
      <c r="K126" s="11" t="n">
        <v>46239</v>
      </c>
      <c r="L126" s="3" t="n">
        <v>8</v>
      </c>
      <c r="M126" s="10" t="n">
        <v>200</v>
      </c>
      <c r="N126" s="3">
        <f>IFERROR(INDEX('CAT_ESTADOS_ERP'!$B$4:$B$7,MATCH(IFERROR(INDEX('2_IMPORTAR_EJECUCION'!$D$9:$D$171,MATCH($C126,'2_IMPORTAR_EJECUCION'!$A$9:$A$171,0)),""),'CAT_ESTADOS_ERP'!$A$4:$A$7,0)),"Pendiente")</f>
        <v/>
      </c>
      <c r="O126" s="3">
        <f>IF($K126="","","S"&amp;IF(_xlfn.ISOWEEKNUM($K126)=53,1,_xlfn.ISOWEEKNUM($K126)))</f>
        <v/>
      </c>
      <c r="P126" s="3">
        <f>IF($K126="","",YEAR($K126))</f>
        <v/>
      </c>
      <c r="Q126" s="3">
        <f>IF($K126="","",MONTH($K126))</f>
        <v/>
      </c>
      <c r="R126" s="3">
        <f>IF($K126="","",INDEX(lista_dias,WEEKDAY($K126,2)))</f>
        <v/>
      </c>
      <c r="S126" s="3">
        <f>IFERROR(INDEX('CAT_TIPOS_OT'!$C$4:$C$7,MATCH($J126,'CAT_TIPOS_OT'!$A$4:$A$7,0)),"sin_clasificar")</f>
        <v/>
      </c>
      <c r="T126" s="3">
        <f>IFERROR(INDEX('CAT_CENTROS_COSTO'!$E$4:$E$9,MATCH($G126,'CAT_CENTROS_COSTO'!$A$4:$A$9,0)),"(sin catálogo)")</f>
        <v/>
      </c>
      <c r="U126" s="3">
        <f>IFERROR(INDEX('CAT_CENTROS_COSTO'!$D$4:$D$9,MATCH($G126,'CAT_CENTROS_COSTO'!$A$4:$A$9,0)),"(sin catálogo)")</f>
        <v/>
      </c>
      <c r="V126" s="3">
        <f>IFERROR(INDEX('CAT_CENTROS_COSTO'!$F$4:$F$9,MATCH($G126,'CAT_CENTROS_COSTO'!$A$4:$A$9,0)),"(sin catálogo)")</f>
        <v/>
      </c>
      <c r="W126" s="3">
        <f>IFERROR(INDEX('CAT_PUESTOS'!$B$4:$B$8,MATCH($H126,'CAT_PUESTOS'!$A$4:$A$8,0)),"(sin catálogo)")</f>
        <v/>
      </c>
      <c r="X126" s="3">
        <f>IFERROR(INDEX('CAT_ACTIVIDADES'!$B$4:$B$8,MATCH($I126,'CAT_ACTIVIDADES'!$A$4:$A$8,0)),"(sin catálogo)")</f>
        <v/>
      </c>
      <c r="Y126" s="12">
        <f>IF($K126="","",TODAY()-$K126)</f>
        <v/>
      </c>
      <c r="Z126" s="3">
        <f>IF($Y126="","",IF($Y126&lt;0,"FUTURO",IF($Y126&gt;p_dias_backlog_max,"BACKLOG","MES CORRIENTE")))</f>
        <v/>
      </c>
      <c r="AA126" s="3">
        <f>IF($Y126="",FALSE,AND($Y126&gt;p_dias_backlog_min,$Y126&lt;=p_dias_backlog_max))</f>
        <v/>
      </c>
      <c r="AB126" s="6" t="inlineStr">
        <is>
          <t>Técnico 12</t>
        </is>
      </c>
      <c r="AC126" s="3">
        <f>IF($AB126="","",IFERROR(INDEX('ASIGNACIONES'!$F$4:$F$339,MATCH($O126&amp;"|"&amp;$R126&amp;"|"&amp;$AB126,'ASIGNACIONES'!$I$4:$I$339,0)),""))</f>
        <v/>
      </c>
      <c r="AD126" s="13">
        <f>IF($AB126="","",SUMIFS('ORDENES'!$L$4:$L$203,'ORDENES'!$AB$4:$AB$203,$AB126,'ORDENES'!$O$4:$O$203,$O126,'ORDENES'!$R$4:$R$203,$R126))</f>
        <v/>
      </c>
      <c r="AE126" s="13">
        <f>IF($AD126="","",p_factor_productividad*IFERROR(INDEX('ASIGNACIONES'!$H$4:$H$339,MATCH($O126&amp;"|"&amp;$R126&amp;"|"&amp;$AB126,'ASIGNACIONES'!$I$4:$I$339,0)),0)-$AD126)</f>
        <v/>
      </c>
      <c r="AF126" s="10">
        <f>IFERROR(INDEX('2_IMPORTAR_EJECUCION'!$G$9:$G$171,MATCH($C126,'2_IMPORTAR_EJECUCION'!$A$9:$A$171,0)),0)</f>
        <v/>
      </c>
      <c r="AG126" s="10">
        <f>MAX(0,IFERROR(INDEX('2_IMPORTAR_EJECUCION'!$I$9:$I$171,MATCH($C126,'2_IMPORTAR_EJECUCION'!$A$9:$A$171,0)),0)-$AF126)</f>
        <v/>
      </c>
      <c r="AH126" s="10">
        <f>$AF126+$AG126</f>
        <v/>
      </c>
      <c r="AI126" s="6" t="inlineStr"/>
      <c r="AJ126" s="6" t="inlineStr"/>
      <c r="AK126" s="6" t="inlineStr">
        <is>
          <t>ACT-01.pdf</t>
        </is>
      </c>
      <c r="AL126" s="3">
        <f>IF($AK126="","",HYPERLINK(p_ruta_base_checklists&amp;$AK126,"abrir"))</f>
        <v/>
      </c>
      <c r="AM126" s="6" t="inlineStr"/>
    </row>
    <row r="127">
      <c r="A127" s="3" t="inlineStr">
        <is>
          <t>OT-000124</t>
        </is>
      </c>
      <c r="B127" s="3" t="inlineStr">
        <is>
          <t>0010</t>
        </is>
      </c>
      <c r="C127" s="3">
        <f>$A127&amp;IF($B127="","0010",$B127)</f>
        <v/>
      </c>
      <c r="D127" s="3" t="inlineStr">
        <is>
          <t>Lubricación programada — EQ-105</t>
        </is>
      </c>
      <c r="E127" s="3" t="inlineStr">
        <is>
          <t>Lubricación programada en EQ-105</t>
        </is>
      </c>
      <c r="F127" s="3" t="inlineStr">
        <is>
          <t>EQ-105</t>
        </is>
      </c>
      <c r="G127" s="3" t="inlineStr">
        <is>
          <t>CC-120</t>
        </is>
      </c>
      <c r="H127" s="3" t="inlineStr">
        <is>
          <t>PU-OP</t>
        </is>
      </c>
      <c r="I127" s="3" t="inlineStr">
        <is>
          <t>ACT-02</t>
        </is>
      </c>
      <c r="J127" s="3" t="inlineStr">
        <is>
          <t>TIPO-P1</t>
        </is>
      </c>
      <c r="K127" s="11" t="n">
        <v>46240</v>
      </c>
      <c r="L127" s="3" t="n">
        <v>6</v>
      </c>
      <c r="M127" s="10" t="n">
        <v>150</v>
      </c>
      <c r="N127" s="3">
        <f>IFERROR(INDEX('CAT_ESTADOS_ERP'!$B$4:$B$7,MATCH(IFERROR(INDEX('2_IMPORTAR_EJECUCION'!$D$9:$D$171,MATCH($C127,'2_IMPORTAR_EJECUCION'!$A$9:$A$171,0)),""),'CAT_ESTADOS_ERP'!$A$4:$A$7,0)),"Pendiente")</f>
        <v/>
      </c>
      <c r="O127" s="3">
        <f>IF($K127="","","S"&amp;IF(_xlfn.ISOWEEKNUM($K127)=53,1,_xlfn.ISOWEEKNUM($K127)))</f>
        <v/>
      </c>
      <c r="P127" s="3">
        <f>IF($K127="","",YEAR($K127))</f>
        <v/>
      </c>
      <c r="Q127" s="3">
        <f>IF($K127="","",MONTH($K127))</f>
        <v/>
      </c>
      <c r="R127" s="3">
        <f>IF($K127="","",INDEX(lista_dias,WEEKDAY($K127,2)))</f>
        <v/>
      </c>
      <c r="S127" s="3">
        <f>IFERROR(INDEX('CAT_TIPOS_OT'!$C$4:$C$7,MATCH($J127,'CAT_TIPOS_OT'!$A$4:$A$7,0)),"sin_clasificar")</f>
        <v/>
      </c>
      <c r="T127" s="3">
        <f>IFERROR(INDEX('CAT_CENTROS_COSTO'!$E$4:$E$9,MATCH($G127,'CAT_CENTROS_COSTO'!$A$4:$A$9,0)),"(sin catálogo)")</f>
        <v/>
      </c>
      <c r="U127" s="3">
        <f>IFERROR(INDEX('CAT_CENTROS_COSTO'!$D$4:$D$9,MATCH($G127,'CAT_CENTROS_COSTO'!$A$4:$A$9,0)),"(sin catálogo)")</f>
        <v/>
      </c>
      <c r="V127" s="3">
        <f>IFERROR(INDEX('CAT_CENTROS_COSTO'!$F$4:$F$9,MATCH($G127,'CAT_CENTROS_COSTO'!$A$4:$A$9,0)),"(sin catálogo)")</f>
        <v/>
      </c>
      <c r="W127" s="3">
        <f>IFERROR(INDEX('CAT_PUESTOS'!$B$4:$B$8,MATCH($H127,'CAT_PUESTOS'!$A$4:$A$8,0)),"(sin catálogo)")</f>
        <v/>
      </c>
      <c r="X127" s="3">
        <f>IFERROR(INDEX('CAT_ACTIVIDADES'!$B$4:$B$8,MATCH($I127,'CAT_ACTIVIDADES'!$A$4:$A$8,0)),"(sin catálogo)")</f>
        <v/>
      </c>
      <c r="Y127" s="12">
        <f>IF($K127="","",TODAY()-$K127)</f>
        <v/>
      </c>
      <c r="Z127" s="3">
        <f>IF($Y127="","",IF($Y127&lt;0,"FUTURO",IF($Y127&gt;p_dias_backlog_max,"BACKLOG","MES CORRIENTE")))</f>
        <v/>
      </c>
      <c r="AA127" s="3">
        <f>IF($Y127="",FALSE,AND($Y127&gt;p_dias_backlog_min,$Y127&lt;=p_dias_backlog_max))</f>
        <v/>
      </c>
      <c r="AB127" s="6" t="inlineStr">
        <is>
          <t>Técnico 10</t>
        </is>
      </c>
      <c r="AC127" s="3">
        <f>IF($AB127="","",IFERROR(INDEX('ASIGNACIONES'!$F$4:$F$339,MATCH($O127&amp;"|"&amp;$R127&amp;"|"&amp;$AB127,'ASIGNACIONES'!$I$4:$I$339,0)),""))</f>
        <v/>
      </c>
      <c r="AD127" s="13">
        <f>IF($AB127="","",SUMIFS('ORDENES'!$L$4:$L$203,'ORDENES'!$AB$4:$AB$203,$AB127,'ORDENES'!$O$4:$O$203,$O127,'ORDENES'!$R$4:$R$203,$R127))</f>
        <v/>
      </c>
      <c r="AE127" s="13">
        <f>IF($AD127="","",p_factor_productividad*IFERROR(INDEX('ASIGNACIONES'!$H$4:$H$339,MATCH($O127&amp;"|"&amp;$R127&amp;"|"&amp;$AB127,'ASIGNACIONES'!$I$4:$I$339,0)),0)-$AD127)</f>
        <v/>
      </c>
      <c r="AF127" s="10">
        <f>IFERROR(INDEX('2_IMPORTAR_EJECUCION'!$G$9:$G$171,MATCH($C127,'2_IMPORTAR_EJECUCION'!$A$9:$A$171,0)),0)</f>
        <v/>
      </c>
      <c r="AG127" s="10">
        <f>MAX(0,IFERROR(INDEX('2_IMPORTAR_EJECUCION'!$I$9:$I$171,MATCH($C127,'2_IMPORTAR_EJECUCION'!$A$9:$A$171,0)),0)-$AF127)</f>
        <v/>
      </c>
      <c r="AH127" s="10">
        <f>$AF127+$AG127</f>
        <v/>
      </c>
      <c r="AI127" s="6" t="inlineStr"/>
      <c r="AJ127" s="6" t="inlineStr"/>
      <c r="AK127" s="6" t="inlineStr">
        <is>
          <t>ACT-02.pdf</t>
        </is>
      </c>
      <c r="AL127" s="3">
        <f>IF($AK127="","",HYPERLINK(p_ruta_base_checklists&amp;$AK127,"abrir"))</f>
        <v/>
      </c>
      <c r="AM127" s="6" t="inlineStr"/>
    </row>
    <row r="128">
      <c r="A128" s="3" t="inlineStr">
        <is>
          <t>OT-000125</t>
        </is>
      </c>
      <c r="B128" s="3" t="inlineStr">
        <is>
          <t>0010</t>
        </is>
      </c>
      <c r="C128" s="3">
        <f>$A128&amp;IF($B128="","0010",$B128)</f>
        <v/>
      </c>
      <c r="D128" s="3" t="inlineStr">
        <is>
          <t>Reparación de falla — EQ-107</t>
        </is>
      </c>
      <c r="E128" s="3" t="inlineStr">
        <is>
          <t>Reparación de falla en EQ-107</t>
        </is>
      </c>
      <c r="F128" s="3" t="inlineStr">
        <is>
          <t>EQ-107</t>
        </is>
      </c>
      <c r="G128" s="3" t="inlineStr">
        <is>
          <t>CC-210</t>
        </is>
      </c>
      <c r="H128" s="3" t="inlineStr">
        <is>
          <t>PU-OP</t>
        </is>
      </c>
      <c r="I128" s="3" t="inlineStr">
        <is>
          <t>ACT-03</t>
        </is>
      </c>
      <c r="J128" s="3" t="inlineStr">
        <is>
          <t>TIPO-C2</t>
        </is>
      </c>
      <c r="K128" s="11" t="n">
        <v>46241</v>
      </c>
      <c r="L128" s="3" t="n">
        <v>6</v>
      </c>
      <c r="M128" s="10" t="n">
        <v>240</v>
      </c>
      <c r="N128" s="3">
        <f>IFERROR(INDEX('CAT_ESTADOS_ERP'!$B$4:$B$7,MATCH(IFERROR(INDEX('2_IMPORTAR_EJECUCION'!$D$9:$D$171,MATCH($C128,'2_IMPORTAR_EJECUCION'!$A$9:$A$171,0)),""),'CAT_ESTADOS_ERP'!$A$4:$A$7,0)),"Pendiente")</f>
        <v/>
      </c>
      <c r="O128" s="3">
        <f>IF($K128="","","S"&amp;IF(_xlfn.ISOWEEKNUM($K128)=53,1,_xlfn.ISOWEEKNUM($K128)))</f>
        <v/>
      </c>
      <c r="P128" s="3">
        <f>IF($K128="","",YEAR($K128))</f>
        <v/>
      </c>
      <c r="Q128" s="3">
        <f>IF($K128="","",MONTH($K128))</f>
        <v/>
      </c>
      <c r="R128" s="3">
        <f>IF($K128="","",INDEX(lista_dias,WEEKDAY($K128,2)))</f>
        <v/>
      </c>
      <c r="S128" s="3">
        <f>IFERROR(INDEX('CAT_TIPOS_OT'!$C$4:$C$7,MATCH($J128,'CAT_TIPOS_OT'!$A$4:$A$7,0)),"sin_clasificar")</f>
        <v/>
      </c>
      <c r="T128" s="3">
        <f>IFERROR(INDEX('CAT_CENTROS_COSTO'!$E$4:$E$9,MATCH($G128,'CAT_CENTROS_COSTO'!$A$4:$A$9,0)),"(sin catálogo)")</f>
        <v/>
      </c>
      <c r="U128" s="3">
        <f>IFERROR(INDEX('CAT_CENTROS_COSTO'!$D$4:$D$9,MATCH($G128,'CAT_CENTROS_COSTO'!$A$4:$A$9,0)),"(sin catálogo)")</f>
        <v/>
      </c>
      <c r="V128" s="3">
        <f>IFERROR(INDEX('CAT_CENTROS_COSTO'!$F$4:$F$9,MATCH($G128,'CAT_CENTROS_COSTO'!$A$4:$A$9,0)),"(sin catálogo)")</f>
        <v/>
      </c>
      <c r="W128" s="3">
        <f>IFERROR(INDEX('CAT_PUESTOS'!$B$4:$B$8,MATCH($H128,'CAT_PUESTOS'!$A$4:$A$8,0)),"(sin catálogo)")</f>
        <v/>
      </c>
      <c r="X128" s="3">
        <f>IFERROR(INDEX('CAT_ACTIVIDADES'!$B$4:$B$8,MATCH($I128,'CAT_ACTIVIDADES'!$A$4:$A$8,0)),"(sin catálogo)")</f>
        <v/>
      </c>
      <c r="Y128" s="12">
        <f>IF($K128="","",TODAY()-$K128)</f>
        <v/>
      </c>
      <c r="Z128" s="3">
        <f>IF($Y128="","",IF($Y128&lt;0,"FUTURO",IF($Y128&gt;p_dias_backlog_max,"BACKLOG","MES CORRIENTE")))</f>
        <v/>
      </c>
      <c r="AA128" s="3">
        <f>IF($Y128="",FALSE,AND($Y128&gt;p_dias_backlog_min,$Y128&lt;=p_dias_backlog_max))</f>
        <v/>
      </c>
      <c r="AB128" s="6" t="inlineStr">
        <is>
          <t>Técnico 11</t>
        </is>
      </c>
      <c r="AC128" s="3">
        <f>IF($AB128="","",IFERROR(INDEX('ASIGNACIONES'!$F$4:$F$339,MATCH($O128&amp;"|"&amp;$R128&amp;"|"&amp;$AB128,'ASIGNACIONES'!$I$4:$I$339,0)),""))</f>
        <v/>
      </c>
      <c r="AD128" s="13">
        <f>IF($AB128="","",SUMIFS('ORDENES'!$L$4:$L$203,'ORDENES'!$AB$4:$AB$203,$AB128,'ORDENES'!$O$4:$O$203,$O128,'ORDENES'!$R$4:$R$203,$R128))</f>
        <v/>
      </c>
      <c r="AE128" s="13">
        <f>IF($AD128="","",p_factor_productividad*IFERROR(INDEX('ASIGNACIONES'!$H$4:$H$339,MATCH($O128&amp;"|"&amp;$R128&amp;"|"&amp;$AB128,'ASIGNACIONES'!$I$4:$I$339,0)),0)-$AD128)</f>
        <v/>
      </c>
      <c r="AF128" s="10">
        <f>IFERROR(INDEX('2_IMPORTAR_EJECUCION'!$G$9:$G$171,MATCH($C128,'2_IMPORTAR_EJECUCION'!$A$9:$A$171,0)),0)</f>
        <v/>
      </c>
      <c r="AG128" s="10">
        <f>MAX(0,IFERROR(INDEX('2_IMPORTAR_EJECUCION'!$I$9:$I$171,MATCH($C128,'2_IMPORTAR_EJECUCION'!$A$9:$A$171,0)),0)-$AF128)</f>
        <v/>
      </c>
      <c r="AH128" s="10">
        <f>$AF128+$AG128</f>
        <v/>
      </c>
      <c r="AI128" s="6" t="inlineStr"/>
      <c r="AJ128" s="6" t="inlineStr"/>
      <c r="AK128" s="6" t="inlineStr"/>
      <c r="AL128" s="3">
        <f>IF($AK128="","",HYPERLINK(p_ruta_base_checklists&amp;$AK128,"abrir"))</f>
        <v/>
      </c>
      <c r="AM128" s="6" t="inlineStr"/>
    </row>
    <row r="129">
      <c r="A129" s="3" t="inlineStr">
        <is>
          <t>OT-000126</t>
        </is>
      </c>
      <c r="B129" s="3" t="inlineStr">
        <is>
          <t>0010</t>
        </is>
      </c>
      <c r="C129" s="3">
        <f>$A129&amp;IF($B129="","0010",$B129)</f>
        <v/>
      </c>
      <c r="D129" s="3" t="inlineStr">
        <is>
          <t>Certificación legal — EQ-110</t>
        </is>
      </c>
      <c r="E129" s="3" t="inlineStr">
        <is>
          <t>Certificación legal en EQ-110</t>
        </is>
      </c>
      <c r="F129" s="3" t="inlineStr">
        <is>
          <t>EQ-110</t>
        </is>
      </c>
      <c r="G129" s="3" t="inlineStr">
        <is>
          <t>CC-310</t>
        </is>
      </c>
      <c r="H129" s="3" t="inlineStr">
        <is>
          <t>PU-TER</t>
        </is>
      </c>
      <c r="I129" s="3" t="inlineStr">
        <is>
          <t>ACT-05</t>
        </is>
      </c>
      <c r="J129" s="3" t="inlineStr">
        <is>
          <t>TIPO-P2</t>
        </is>
      </c>
      <c r="K129" s="11" t="n">
        <v>46223</v>
      </c>
      <c r="L129" s="3" t="n">
        <v>10</v>
      </c>
      <c r="M129" s="10" t="n">
        <v>250</v>
      </c>
      <c r="N129" s="3">
        <f>IFERROR(INDEX('CAT_ESTADOS_ERP'!$B$4:$B$7,MATCH(IFERROR(INDEX('2_IMPORTAR_EJECUCION'!$D$9:$D$171,MATCH($C129,'2_IMPORTAR_EJECUCION'!$A$9:$A$171,0)),""),'CAT_ESTADOS_ERP'!$A$4:$A$7,0)),"Pendiente")</f>
        <v/>
      </c>
      <c r="O129" s="3">
        <f>IF($K129="","","S"&amp;IF(_xlfn.ISOWEEKNUM($K129)=53,1,_xlfn.ISOWEEKNUM($K129)))</f>
        <v/>
      </c>
      <c r="P129" s="3">
        <f>IF($K129="","",YEAR($K129))</f>
        <v/>
      </c>
      <c r="Q129" s="3">
        <f>IF($K129="","",MONTH($K129))</f>
        <v/>
      </c>
      <c r="R129" s="3">
        <f>IF($K129="","",INDEX(lista_dias,WEEKDAY($K129,2)))</f>
        <v/>
      </c>
      <c r="S129" s="3">
        <f>IFERROR(INDEX('CAT_TIPOS_OT'!$C$4:$C$7,MATCH($J129,'CAT_TIPOS_OT'!$A$4:$A$7,0)),"sin_clasificar")</f>
        <v/>
      </c>
      <c r="T129" s="3">
        <f>IFERROR(INDEX('CAT_CENTROS_COSTO'!$E$4:$E$9,MATCH($G129,'CAT_CENTROS_COSTO'!$A$4:$A$9,0)),"(sin catálogo)")</f>
        <v/>
      </c>
      <c r="U129" s="3">
        <f>IFERROR(INDEX('CAT_CENTROS_COSTO'!$D$4:$D$9,MATCH($G129,'CAT_CENTROS_COSTO'!$A$4:$A$9,0)),"(sin catálogo)")</f>
        <v/>
      </c>
      <c r="V129" s="3">
        <f>IFERROR(INDEX('CAT_CENTROS_COSTO'!$F$4:$F$9,MATCH($G129,'CAT_CENTROS_COSTO'!$A$4:$A$9,0)),"(sin catálogo)")</f>
        <v/>
      </c>
      <c r="W129" s="3">
        <f>IFERROR(INDEX('CAT_PUESTOS'!$B$4:$B$8,MATCH($H129,'CAT_PUESTOS'!$A$4:$A$8,0)),"(sin catálogo)")</f>
        <v/>
      </c>
      <c r="X129" s="3">
        <f>IFERROR(INDEX('CAT_ACTIVIDADES'!$B$4:$B$8,MATCH($I129,'CAT_ACTIVIDADES'!$A$4:$A$8,0)),"(sin catálogo)")</f>
        <v/>
      </c>
      <c r="Y129" s="12">
        <f>IF($K129="","",TODAY()-$K129)</f>
        <v/>
      </c>
      <c r="Z129" s="3">
        <f>IF($Y129="","",IF($Y129&lt;0,"FUTURO",IF($Y129&gt;p_dias_backlog_max,"BACKLOG","MES CORRIENTE")))</f>
        <v/>
      </c>
      <c r="AA129" s="3">
        <f>IF($Y129="",FALSE,AND($Y129&gt;p_dias_backlog_min,$Y129&lt;=p_dias_backlog_max))</f>
        <v/>
      </c>
      <c r="AB129" s="6" t="inlineStr"/>
      <c r="AC129" s="3">
        <f>IF($AB129="","",IFERROR(INDEX('ASIGNACIONES'!$F$4:$F$339,MATCH($O129&amp;"|"&amp;$R129&amp;"|"&amp;$AB129,'ASIGNACIONES'!$I$4:$I$339,0)),""))</f>
        <v/>
      </c>
      <c r="AD129" s="13">
        <f>IF($AB129="","",SUMIFS('ORDENES'!$L$4:$L$203,'ORDENES'!$AB$4:$AB$203,$AB129,'ORDENES'!$O$4:$O$203,$O129,'ORDENES'!$R$4:$R$203,$R129))</f>
        <v/>
      </c>
      <c r="AE129" s="13">
        <f>IF($AD129="","",p_factor_productividad*IFERROR(INDEX('ASIGNACIONES'!$H$4:$H$339,MATCH($O129&amp;"|"&amp;$R129&amp;"|"&amp;$AB129,'ASIGNACIONES'!$I$4:$I$339,0)),0)-$AD129)</f>
        <v/>
      </c>
      <c r="AF129" s="10">
        <f>IFERROR(INDEX('2_IMPORTAR_EJECUCION'!$G$9:$G$171,MATCH($C129,'2_IMPORTAR_EJECUCION'!$A$9:$A$171,0)),0)</f>
        <v/>
      </c>
      <c r="AG129" s="10">
        <f>MAX(0,IFERROR(INDEX('2_IMPORTAR_EJECUCION'!$I$9:$I$171,MATCH($C129,'2_IMPORTAR_EJECUCION'!$A$9:$A$171,0)),0)-$AF129)</f>
        <v/>
      </c>
      <c r="AH129" s="10">
        <f>$AF129+$AG129</f>
        <v/>
      </c>
      <c r="AI129" s="6" t="inlineStr"/>
      <c r="AJ129" s="6" t="inlineStr"/>
      <c r="AK129" s="6" t="inlineStr"/>
      <c r="AL129" s="3">
        <f>IF($AK129="","",HYPERLINK(p_ruta_base_checklists&amp;$AK129,"abrir"))</f>
        <v/>
      </c>
      <c r="AM129" s="6" t="inlineStr"/>
    </row>
    <row r="130">
      <c r="A130" s="3" t="inlineStr">
        <is>
          <t>OT-000127</t>
        </is>
      </c>
      <c r="B130" s="3" t="inlineStr">
        <is>
          <t>0010</t>
        </is>
      </c>
      <c r="C130" s="3">
        <f>$A130&amp;IF($B130="","0010",$B130)</f>
        <v/>
      </c>
      <c r="D130" s="3" t="inlineStr">
        <is>
          <t>Certificación legal — EQ-111</t>
        </is>
      </c>
      <c r="E130" s="3" t="inlineStr">
        <is>
          <t>Certificación legal en EQ-111</t>
        </is>
      </c>
      <c r="F130" s="3" t="inlineStr">
        <is>
          <t>EQ-111</t>
        </is>
      </c>
      <c r="G130" s="3" t="inlineStr">
        <is>
          <t>CC-310</t>
        </is>
      </c>
      <c r="H130" s="3" t="inlineStr">
        <is>
          <t>PU-TER</t>
        </is>
      </c>
      <c r="I130" s="3" t="inlineStr">
        <is>
          <t>ACT-05</t>
        </is>
      </c>
      <c r="J130" s="3" t="inlineStr">
        <is>
          <t>TIPO-P2</t>
        </is>
      </c>
      <c r="K130" s="11" t="n">
        <v>46224</v>
      </c>
      <c r="L130" s="3" t="n">
        <v>6</v>
      </c>
      <c r="M130" s="10" t="n">
        <v>150</v>
      </c>
      <c r="N130" s="3">
        <f>IFERROR(INDEX('CAT_ESTADOS_ERP'!$B$4:$B$7,MATCH(IFERROR(INDEX('2_IMPORTAR_EJECUCION'!$D$9:$D$171,MATCH($C130,'2_IMPORTAR_EJECUCION'!$A$9:$A$171,0)),""),'CAT_ESTADOS_ERP'!$A$4:$A$7,0)),"Pendiente")</f>
        <v/>
      </c>
      <c r="O130" s="3">
        <f>IF($K130="","","S"&amp;IF(_xlfn.ISOWEEKNUM($K130)=53,1,_xlfn.ISOWEEKNUM($K130)))</f>
        <v/>
      </c>
      <c r="P130" s="3">
        <f>IF($K130="","",YEAR($K130))</f>
        <v/>
      </c>
      <c r="Q130" s="3">
        <f>IF($K130="","",MONTH($K130))</f>
        <v/>
      </c>
      <c r="R130" s="3">
        <f>IF($K130="","",INDEX(lista_dias,WEEKDAY($K130,2)))</f>
        <v/>
      </c>
      <c r="S130" s="3">
        <f>IFERROR(INDEX('CAT_TIPOS_OT'!$C$4:$C$7,MATCH($J130,'CAT_TIPOS_OT'!$A$4:$A$7,0)),"sin_clasificar")</f>
        <v/>
      </c>
      <c r="T130" s="3">
        <f>IFERROR(INDEX('CAT_CENTROS_COSTO'!$E$4:$E$9,MATCH($G130,'CAT_CENTROS_COSTO'!$A$4:$A$9,0)),"(sin catálogo)")</f>
        <v/>
      </c>
      <c r="U130" s="3">
        <f>IFERROR(INDEX('CAT_CENTROS_COSTO'!$D$4:$D$9,MATCH($G130,'CAT_CENTROS_COSTO'!$A$4:$A$9,0)),"(sin catálogo)")</f>
        <v/>
      </c>
      <c r="V130" s="3">
        <f>IFERROR(INDEX('CAT_CENTROS_COSTO'!$F$4:$F$9,MATCH($G130,'CAT_CENTROS_COSTO'!$A$4:$A$9,0)),"(sin catálogo)")</f>
        <v/>
      </c>
      <c r="W130" s="3">
        <f>IFERROR(INDEX('CAT_PUESTOS'!$B$4:$B$8,MATCH($H130,'CAT_PUESTOS'!$A$4:$A$8,0)),"(sin catálogo)")</f>
        <v/>
      </c>
      <c r="X130" s="3">
        <f>IFERROR(INDEX('CAT_ACTIVIDADES'!$B$4:$B$8,MATCH($I130,'CAT_ACTIVIDADES'!$A$4:$A$8,0)),"(sin catálogo)")</f>
        <v/>
      </c>
      <c r="Y130" s="12">
        <f>IF($K130="","",TODAY()-$K130)</f>
        <v/>
      </c>
      <c r="Z130" s="3">
        <f>IF($Y130="","",IF($Y130&lt;0,"FUTURO",IF($Y130&gt;p_dias_backlog_max,"BACKLOG","MES CORRIENTE")))</f>
        <v/>
      </c>
      <c r="AA130" s="3">
        <f>IF($Y130="",FALSE,AND($Y130&gt;p_dias_backlog_min,$Y130&lt;=p_dias_backlog_max))</f>
        <v/>
      </c>
      <c r="AB130" s="6" t="inlineStr"/>
      <c r="AC130" s="3">
        <f>IF($AB130="","",IFERROR(INDEX('ASIGNACIONES'!$F$4:$F$339,MATCH($O130&amp;"|"&amp;$R130&amp;"|"&amp;$AB130,'ASIGNACIONES'!$I$4:$I$339,0)),""))</f>
        <v/>
      </c>
      <c r="AD130" s="13">
        <f>IF($AB130="","",SUMIFS('ORDENES'!$L$4:$L$203,'ORDENES'!$AB$4:$AB$203,$AB130,'ORDENES'!$O$4:$O$203,$O130,'ORDENES'!$R$4:$R$203,$R130))</f>
        <v/>
      </c>
      <c r="AE130" s="13">
        <f>IF($AD130="","",p_factor_productividad*IFERROR(INDEX('ASIGNACIONES'!$H$4:$H$339,MATCH($O130&amp;"|"&amp;$R130&amp;"|"&amp;$AB130,'ASIGNACIONES'!$I$4:$I$339,0)),0)-$AD130)</f>
        <v/>
      </c>
      <c r="AF130" s="10">
        <f>IFERROR(INDEX('2_IMPORTAR_EJECUCION'!$G$9:$G$171,MATCH($C130,'2_IMPORTAR_EJECUCION'!$A$9:$A$171,0)),0)</f>
        <v/>
      </c>
      <c r="AG130" s="10">
        <f>MAX(0,IFERROR(INDEX('2_IMPORTAR_EJECUCION'!$I$9:$I$171,MATCH($C130,'2_IMPORTAR_EJECUCION'!$A$9:$A$171,0)),0)-$AF130)</f>
        <v/>
      </c>
      <c r="AH130" s="10">
        <f>$AF130+$AG130</f>
        <v/>
      </c>
      <c r="AI130" s="6" t="inlineStr"/>
      <c r="AJ130" s="6" t="inlineStr"/>
      <c r="AK130" s="6" t="inlineStr"/>
      <c r="AL130" s="3">
        <f>IF($AK130="","",HYPERLINK(p_ruta_base_checklists&amp;$AK130,"abrir"))</f>
        <v/>
      </c>
      <c r="AM130" s="6" t="inlineStr"/>
    </row>
    <row r="131">
      <c r="A131" s="3" t="inlineStr">
        <is>
          <t>OT-000128</t>
        </is>
      </c>
      <c r="B131" s="3" t="inlineStr">
        <is>
          <t>0010</t>
        </is>
      </c>
      <c r="C131" s="3">
        <f>$A131&amp;IF($B131="","0010",$B131)</f>
        <v/>
      </c>
      <c r="D131" s="3" t="inlineStr">
        <is>
          <t>Certificación legal — EQ-112</t>
        </is>
      </c>
      <c r="E131" s="3" t="inlineStr">
        <is>
          <t>Certificación legal en EQ-112</t>
        </is>
      </c>
      <c r="F131" s="3" t="inlineStr">
        <is>
          <t>EQ-112</t>
        </is>
      </c>
      <c r="G131" s="3" t="inlineStr">
        <is>
          <t>CC-310</t>
        </is>
      </c>
      <c r="H131" s="3" t="inlineStr">
        <is>
          <t>PU-TER</t>
        </is>
      </c>
      <c r="I131" s="3" t="inlineStr">
        <is>
          <t>ACT-05</t>
        </is>
      </c>
      <c r="J131" s="3" t="inlineStr">
        <is>
          <t>TIPO-P2</t>
        </is>
      </c>
      <c r="K131" s="11" t="n">
        <v>46230</v>
      </c>
      <c r="L131" s="3" t="n">
        <v>10</v>
      </c>
      <c r="M131" s="10" t="n">
        <v>250</v>
      </c>
      <c r="N131" s="3">
        <f>IFERROR(INDEX('CAT_ESTADOS_ERP'!$B$4:$B$7,MATCH(IFERROR(INDEX('2_IMPORTAR_EJECUCION'!$D$9:$D$171,MATCH($C131,'2_IMPORTAR_EJECUCION'!$A$9:$A$171,0)),""),'CAT_ESTADOS_ERP'!$A$4:$A$7,0)),"Pendiente")</f>
        <v/>
      </c>
      <c r="O131" s="3">
        <f>IF($K131="","","S"&amp;IF(_xlfn.ISOWEEKNUM($K131)=53,1,_xlfn.ISOWEEKNUM($K131)))</f>
        <v/>
      </c>
      <c r="P131" s="3">
        <f>IF($K131="","",YEAR($K131))</f>
        <v/>
      </c>
      <c r="Q131" s="3">
        <f>IF($K131="","",MONTH($K131))</f>
        <v/>
      </c>
      <c r="R131" s="3">
        <f>IF($K131="","",INDEX(lista_dias,WEEKDAY($K131,2)))</f>
        <v/>
      </c>
      <c r="S131" s="3">
        <f>IFERROR(INDEX('CAT_TIPOS_OT'!$C$4:$C$7,MATCH($J131,'CAT_TIPOS_OT'!$A$4:$A$7,0)),"sin_clasificar")</f>
        <v/>
      </c>
      <c r="T131" s="3">
        <f>IFERROR(INDEX('CAT_CENTROS_COSTO'!$E$4:$E$9,MATCH($G131,'CAT_CENTROS_COSTO'!$A$4:$A$9,0)),"(sin catálogo)")</f>
        <v/>
      </c>
      <c r="U131" s="3">
        <f>IFERROR(INDEX('CAT_CENTROS_COSTO'!$D$4:$D$9,MATCH($G131,'CAT_CENTROS_COSTO'!$A$4:$A$9,0)),"(sin catálogo)")</f>
        <v/>
      </c>
      <c r="V131" s="3">
        <f>IFERROR(INDEX('CAT_CENTROS_COSTO'!$F$4:$F$9,MATCH($G131,'CAT_CENTROS_COSTO'!$A$4:$A$9,0)),"(sin catálogo)")</f>
        <v/>
      </c>
      <c r="W131" s="3">
        <f>IFERROR(INDEX('CAT_PUESTOS'!$B$4:$B$8,MATCH($H131,'CAT_PUESTOS'!$A$4:$A$8,0)),"(sin catálogo)")</f>
        <v/>
      </c>
      <c r="X131" s="3">
        <f>IFERROR(INDEX('CAT_ACTIVIDADES'!$B$4:$B$8,MATCH($I131,'CAT_ACTIVIDADES'!$A$4:$A$8,0)),"(sin catálogo)")</f>
        <v/>
      </c>
      <c r="Y131" s="12">
        <f>IF($K131="","",TODAY()-$K131)</f>
        <v/>
      </c>
      <c r="Z131" s="3">
        <f>IF($Y131="","",IF($Y131&lt;0,"FUTURO",IF($Y131&gt;p_dias_backlog_max,"BACKLOG","MES CORRIENTE")))</f>
        <v/>
      </c>
      <c r="AA131" s="3">
        <f>IF($Y131="",FALSE,AND($Y131&gt;p_dias_backlog_min,$Y131&lt;=p_dias_backlog_max))</f>
        <v/>
      </c>
      <c r="AB131" s="6" t="inlineStr"/>
      <c r="AC131" s="3">
        <f>IF($AB131="","",IFERROR(INDEX('ASIGNACIONES'!$F$4:$F$339,MATCH($O131&amp;"|"&amp;$R131&amp;"|"&amp;$AB131,'ASIGNACIONES'!$I$4:$I$339,0)),""))</f>
        <v/>
      </c>
      <c r="AD131" s="13">
        <f>IF($AB131="","",SUMIFS('ORDENES'!$L$4:$L$203,'ORDENES'!$AB$4:$AB$203,$AB131,'ORDENES'!$O$4:$O$203,$O131,'ORDENES'!$R$4:$R$203,$R131))</f>
        <v/>
      </c>
      <c r="AE131" s="13">
        <f>IF($AD131="","",p_factor_productividad*IFERROR(INDEX('ASIGNACIONES'!$H$4:$H$339,MATCH($O131&amp;"|"&amp;$R131&amp;"|"&amp;$AB131,'ASIGNACIONES'!$I$4:$I$339,0)),0)-$AD131)</f>
        <v/>
      </c>
      <c r="AF131" s="10">
        <f>IFERROR(INDEX('2_IMPORTAR_EJECUCION'!$G$9:$G$171,MATCH($C131,'2_IMPORTAR_EJECUCION'!$A$9:$A$171,0)),0)</f>
        <v/>
      </c>
      <c r="AG131" s="10">
        <f>MAX(0,IFERROR(INDEX('2_IMPORTAR_EJECUCION'!$I$9:$I$171,MATCH($C131,'2_IMPORTAR_EJECUCION'!$A$9:$A$171,0)),0)-$AF131)</f>
        <v/>
      </c>
      <c r="AH131" s="10">
        <f>$AF131+$AG131</f>
        <v/>
      </c>
      <c r="AI131" s="6" t="inlineStr"/>
      <c r="AJ131" s="6" t="inlineStr"/>
      <c r="AK131" s="6" t="inlineStr"/>
      <c r="AL131" s="3">
        <f>IF($AK131="","",HYPERLINK(p_ruta_base_checklists&amp;$AK131,"abrir"))</f>
        <v/>
      </c>
      <c r="AM131" s="6" t="inlineStr"/>
    </row>
    <row r="132">
      <c r="A132" s="3" t="inlineStr">
        <is>
          <t>OT-000129</t>
        </is>
      </c>
      <c r="B132" s="3" t="inlineStr">
        <is>
          <t>0010</t>
        </is>
      </c>
      <c r="C132" s="3">
        <f>$A132&amp;IF($B132="","0010",$B132)</f>
        <v/>
      </c>
      <c r="D132" s="3" t="inlineStr">
        <is>
          <t>Certificación legal — EQ-110</t>
        </is>
      </c>
      <c r="E132" s="3" t="inlineStr">
        <is>
          <t>Certificación legal en EQ-110</t>
        </is>
      </c>
      <c r="F132" s="3" t="inlineStr">
        <is>
          <t>EQ-110</t>
        </is>
      </c>
      <c r="G132" s="3" t="inlineStr">
        <is>
          <t>CC-310</t>
        </is>
      </c>
      <c r="H132" s="3" t="inlineStr">
        <is>
          <t>PU-TER</t>
        </is>
      </c>
      <c r="I132" s="3" t="inlineStr">
        <is>
          <t>ACT-05</t>
        </is>
      </c>
      <c r="J132" s="3" t="inlineStr">
        <is>
          <t>TIPO-P2</t>
        </is>
      </c>
      <c r="K132" s="11" t="n">
        <v>46231</v>
      </c>
      <c r="L132" s="3" t="n">
        <v>2</v>
      </c>
      <c r="M132" s="10" t="n">
        <v>50</v>
      </c>
      <c r="N132" s="3">
        <f>IFERROR(INDEX('CAT_ESTADOS_ERP'!$B$4:$B$7,MATCH(IFERROR(INDEX('2_IMPORTAR_EJECUCION'!$D$9:$D$171,MATCH($C132,'2_IMPORTAR_EJECUCION'!$A$9:$A$171,0)),""),'CAT_ESTADOS_ERP'!$A$4:$A$7,0)),"Pendiente")</f>
        <v/>
      </c>
      <c r="O132" s="3">
        <f>IF($K132="","","S"&amp;IF(_xlfn.ISOWEEKNUM($K132)=53,1,_xlfn.ISOWEEKNUM($K132)))</f>
        <v/>
      </c>
      <c r="P132" s="3">
        <f>IF($K132="","",YEAR($K132))</f>
        <v/>
      </c>
      <c r="Q132" s="3">
        <f>IF($K132="","",MONTH($K132))</f>
        <v/>
      </c>
      <c r="R132" s="3">
        <f>IF($K132="","",INDEX(lista_dias,WEEKDAY($K132,2)))</f>
        <v/>
      </c>
      <c r="S132" s="3">
        <f>IFERROR(INDEX('CAT_TIPOS_OT'!$C$4:$C$7,MATCH($J132,'CAT_TIPOS_OT'!$A$4:$A$7,0)),"sin_clasificar")</f>
        <v/>
      </c>
      <c r="T132" s="3">
        <f>IFERROR(INDEX('CAT_CENTROS_COSTO'!$E$4:$E$9,MATCH($G132,'CAT_CENTROS_COSTO'!$A$4:$A$9,0)),"(sin catálogo)")</f>
        <v/>
      </c>
      <c r="U132" s="3">
        <f>IFERROR(INDEX('CAT_CENTROS_COSTO'!$D$4:$D$9,MATCH($G132,'CAT_CENTROS_COSTO'!$A$4:$A$9,0)),"(sin catálogo)")</f>
        <v/>
      </c>
      <c r="V132" s="3">
        <f>IFERROR(INDEX('CAT_CENTROS_COSTO'!$F$4:$F$9,MATCH($G132,'CAT_CENTROS_COSTO'!$A$4:$A$9,0)),"(sin catálogo)")</f>
        <v/>
      </c>
      <c r="W132" s="3">
        <f>IFERROR(INDEX('CAT_PUESTOS'!$B$4:$B$8,MATCH($H132,'CAT_PUESTOS'!$A$4:$A$8,0)),"(sin catálogo)")</f>
        <v/>
      </c>
      <c r="X132" s="3">
        <f>IFERROR(INDEX('CAT_ACTIVIDADES'!$B$4:$B$8,MATCH($I132,'CAT_ACTIVIDADES'!$A$4:$A$8,0)),"(sin catálogo)")</f>
        <v/>
      </c>
      <c r="Y132" s="12">
        <f>IF($K132="","",TODAY()-$K132)</f>
        <v/>
      </c>
      <c r="Z132" s="3">
        <f>IF($Y132="","",IF($Y132&lt;0,"FUTURO",IF($Y132&gt;p_dias_backlog_max,"BACKLOG","MES CORRIENTE")))</f>
        <v/>
      </c>
      <c r="AA132" s="3">
        <f>IF($Y132="",FALSE,AND($Y132&gt;p_dias_backlog_min,$Y132&lt;=p_dias_backlog_max))</f>
        <v/>
      </c>
      <c r="AB132" s="6" t="inlineStr"/>
      <c r="AC132" s="3">
        <f>IF($AB132="","",IFERROR(INDEX('ASIGNACIONES'!$F$4:$F$339,MATCH($O132&amp;"|"&amp;$R132&amp;"|"&amp;$AB132,'ASIGNACIONES'!$I$4:$I$339,0)),""))</f>
        <v/>
      </c>
      <c r="AD132" s="13">
        <f>IF($AB132="","",SUMIFS('ORDENES'!$L$4:$L$203,'ORDENES'!$AB$4:$AB$203,$AB132,'ORDENES'!$O$4:$O$203,$O132,'ORDENES'!$R$4:$R$203,$R132))</f>
        <v/>
      </c>
      <c r="AE132" s="13">
        <f>IF($AD132="","",p_factor_productividad*IFERROR(INDEX('ASIGNACIONES'!$H$4:$H$339,MATCH($O132&amp;"|"&amp;$R132&amp;"|"&amp;$AB132,'ASIGNACIONES'!$I$4:$I$339,0)),0)-$AD132)</f>
        <v/>
      </c>
      <c r="AF132" s="10">
        <f>IFERROR(INDEX('2_IMPORTAR_EJECUCION'!$G$9:$G$171,MATCH($C132,'2_IMPORTAR_EJECUCION'!$A$9:$A$171,0)),0)</f>
        <v/>
      </c>
      <c r="AG132" s="10">
        <f>MAX(0,IFERROR(INDEX('2_IMPORTAR_EJECUCION'!$I$9:$I$171,MATCH($C132,'2_IMPORTAR_EJECUCION'!$A$9:$A$171,0)),0)-$AF132)</f>
        <v/>
      </c>
      <c r="AH132" s="10">
        <f>$AF132+$AG132</f>
        <v/>
      </c>
      <c r="AI132" s="6" t="inlineStr"/>
      <c r="AJ132" s="6" t="inlineStr"/>
      <c r="AK132" s="6" t="inlineStr"/>
      <c r="AL132" s="3">
        <f>IF($AK132="","",HYPERLINK(p_ruta_base_checklists&amp;$AK132,"abrir"))</f>
        <v/>
      </c>
      <c r="AM132" s="6" t="inlineStr"/>
    </row>
    <row r="133">
      <c r="A133" s="3" t="inlineStr">
        <is>
          <t>OT-000001</t>
        </is>
      </c>
      <c r="B133" s="3" t="inlineStr">
        <is>
          <t>0020</t>
        </is>
      </c>
      <c r="C133" s="3">
        <f>$A133&amp;IF($B133="","0010",$B133)</f>
        <v/>
      </c>
      <c r="D133" s="3" t="inlineStr">
        <is>
          <t>Lubricación programada — EQ-102</t>
        </is>
      </c>
      <c r="E133" s="3" t="inlineStr">
        <is>
          <t>Segunda operación — EQ-102</t>
        </is>
      </c>
      <c r="F133" s="3" t="inlineStr">
        <is>
          <t>EQ-102</t>
        </is>
      </c>
      <c r="G133" s="3" t="inlineStr">
        <is>
          <t>CC-110</t>
        </is>
      </c>
      <c r="H133" s="3" t="inlineStr">
        <is>
          <t>PU-MEC</t>
        </is>
      </c>
      <c r="I133" s="3" t="inlineStr">
        <is>
          <t>ACT-02</t>
        </is>
      </c>
      <c r="J133" s="3" t="inlineStr">
        <is>
          <t>TIPO-P2</t>
        </is>
      </c>
      <c r="K133" s="11" t="n">
        <v>46216</v>
      </c>
      <c r="L133" s="3" t="n">
        <v>2</v>
      </c>
      <c r="M133" s="10" t="n">
        <v>50</v>
      </c>
      <c r="N133" s="3">
        <f>IFERROR(INDEX('CAT_ESTADOS_ERP'!$B$4:$B$7,MATCH(IFERROR(INDEX('2_IMPORTAR_EJECUCION'!$D$9:$D$171,MATCH($C133,'2_IMPORTAR_EJECUCION'!$A$9:$A$171,0)),""),'CAT_ESTADOS_ERP'!$A$4:$A$7,0)),"Pendiente")</f>
        <v/>
      </c>
      <c r="O133" s="3">
        <f>IF($K133="","","S"&amp;IF(_xlfn.ISOWEEKNUM($K133)=53,1,_xlfn.ISOWEEKNUM($K133)))</f>
        <v/>
      </c>
      <c r="P133" s="3">
        <f>IF($K133="","",YEAR($K133))</f>
        <v/>
      </c>
      <c r="Q133" s="3">
        <f>IF($K133="","",MONTH($K133))</f>
        <v/>
      </c>
      <c r="R133" s="3">
        <f>IF($K133="","",INDEX(lista_dias,WEEKDAY($K133,2)))</f>
        <v/>
      </c>
      <c r="S133" s="3">
        <f>IFERROR(INDEX('CAT_TIPOS_OT'!$C$4:$C$7,MATCH($J133,'CAT_TIPOS_OT'!$A$4:$A$7,0)),"sin_clasificar")</f>
        <v/>
      </c>
      <c r="T133" s="3">
        <f>IFERROR(INDEX('CAT_CENTROS_COSTO'!$E$4:$E$9,MATCH($G133,'CAT_CENTROS_COSTO'!$A$4:$A$9,0)),"(sin catálogo)")</f>
        <v/>
      </c>
      <c r="U133" s="3">
        <f>IFERROR(INDEX('CAT_CENTROS_COSTO'!$D$4:$D$9,MATCH($G133,'CAT_CENTROS_COSTO'!$A$4:$A$9,0)),"(sin catálogo)")</f>
        <v/>
      </c>
      <c r="V133" s="3">
        <f>IFERROR(INDEX('CAT_CENTROS_COSTO'!$F$4:$F$9,MATCH($G133,'CAT_CENTROS_COSTO'!$A$4:$A$9,0)),"(sin catálogo)")</f>
        <v/>
      </c>
      <c r="W133" s="3">
        <f>IFERROR(INDEX('CAT_PUESTOS'!$B$4:$B$8,MATCH($H133,'CAT_PUESTOS'!$A$4:$A$8,0)),"(sin catálogo)")</f>
        <v/>
      </c>
      <c r="X133" s="3">
        <f>IFERROR(INDEX('CAT_ACTIVIDADES'!$B$4:$B$8,MATCH($I133,'CAT_ACTIVIDADES'!$A$4:$A$8,0)),"(sin catálogo)")</f>
        <v/>
      </c>
      <c r="Y133" s="12">
        <f>IF($K133="","",TODAY()-$K133)</f>
        <v/>
      </c>
      <c r="Z133" s="3">
        <f>IF($Y133="","",IF($Y133&lt;0,"FUTURO",IF($Y133&gt;p_dias_backlog_max,"BACKLOG","MES CORRIENTE")))</f>
        <v/>
      </c>
      <c r="AA133" s="3">
        <f>IF($Y133="",FALSE,AND($Y133&gt;p_dias_backlog_min,$Y133&lt;=p_dias_backlog_max))</f>
        <v/>
      </c>
      <c r="AB133" s="6" t="inlineStr">
        <is>
          <t>Técnico 01</t>
        </is>
      </c>
      <c r="AC133" s="3">
        <f>IF($AB133="","",IFERROR(INDEX('ASIGNACIONES'!$F$4:$F$339,MATCH($O133&amp;"|"&amp;$R133&amp;"|"&amp;$AB133,'ASIGNACIONES'!$I$4:$I$339,0)),""))</f>
        <v/>
      </c>
      <c r="AD133" s="13">
        <f>IF($AB133="","",SUMIFS('ORDENES'!$L$4:$L$203,'ORDENES'!$AB$4:$AB$203,$AB133,'ORDENES'!$O$4:$O$203,$O133,'ORDENES'!$R$4:$R$203,$R133))</f>
        <v/>
      </c>
      <c r="AE133" s="13">
        <f>IF($AD133="","",p_factor_productividad*IFERROR(INDEX('ASIGNACIONES'!$H$4:$H$339,MATCH($O133&amp;"|"&amp;$R133&amp;"|"&amp;$AB133,'ASIGNACIONES'!$I$4:$I$339,0)),0)-$AD133)</f>
        <v/>
      </c>
      <c r="AF133" s="10">
        <f>IFERROR(INDEX('2_IMPORTAR_EJECUCION'!$G$9:$G$171,MATCH($C133,'2_IMPORTAR_EJECUCION'!$A$9:$A$171,0)),0)</f>
        <v/>
      </c>
      <c r="AG133" s="10">
        <f>MAX(0,IFERROR(INDEX('2_IMPORTAR_EJECUCION'!$I$9:$I$171,MATCH($C133,'2_IMPORTAR_EJECUCION'!$A$9:$A$171,0)),0)-$AF133)</f>
        <v/>
      </c>
      <c r="AH133" s="10">
        <f>$AF133+$AG133</f>
        <v/>
      </c>
      <c r="AI133" s="6" t="inlineStr"/>
      <c r="AJ133" s="6" t="inlineStr"/>
      <c r="AK133" s="6" t="inlineStr"/>
      <c r="AL133" s="3">
        <f>IF($AK133="","",HYPERLINK(p_ruta_base_checklists&amp;$AK133,"abrir"))</f>
        <v/>
      </c>
      <c r="AM133" s="6" t="inlineStr"/>
    </row>
    <row r="134">
      <c r="A134" s="3" t="inlineStr">
        <is>
          <t>OT-000041</t>
        </is>
      </c>
      <c r="B134" s="3" t="inlineStr">
        <is>
          <t>0020</t>
        </is>
      </c>
      <c r="C134" s="3">
        <f>$A134&amp;IF($B134="","0010",$B134)</f>
        <v/>
      </c>
      <c r="D134" s="3" t="inlineStr">
        <is>
          <t>Análisis predictivo — EQ-107</t>
        </is>
      </c>
      <c r="E134" s="3" t="inlineStr">
        <is>
          <t>Segunda operación — EQ-107</t>
        </is>
      </c>
      <c r="F134" s="3" t="inlineStr">
        <is>
          <t>EQ-107</t>
        </is>
      </c>
      <c r="G134" s="3" t="inlineStr">
        <is>
          <t>CC-210</t>
        </is>
      </c>
      <c r="H134" s="3" t="inlineStr">
        <is>
          <t>PU-MEC</t>
        </is>
      </c>
      <c r="I134" s="3" t="inlineStr">
        <is>
          <t>ACT-04</t>
        </is>
      </c>
      <c r="J134" s="3" t="inlineStr">
        <is>
          <t>TIPO-P2</t>
        </is>
      </c>
      <c r="K134" s="11" t="n">
        <v>46237</v>
      </c>
      <c r="L134" s="3" t="n">
        <v>2</v>
      </c>
      <c r="M134" s="10" t="n">
        <v>50</v>
      </c>
      <c r="N134" s="3">
        <f>IFERROR(INDEX('CAT_ESTADOS_ERP'!$B$4:$B$7,MATCH(IFERROR(INDEX('2_IMPORTAR_EJECUCION'!$D$9:$D$171,MATCH($C134,'2_IMPORTAR_EJECUCION'!$A$9:$A$171,0)),""),'CAT_ESTADOS_ERP'!$A$4:$A$7,0)),"Pendiente")</f>
        <v/>
      </c>
      <c r="O134" s="3">
        <f>IF($K134="","","S"&amp;IF(_xlfn.ISOWEEKNUM($K134)=53,1,_xlfn.ISOWEEKNUM($K134)))</f>
        <v/>
      </c>
      <c r="P134" s="3">
        <f>IF($K134="","",YEAR($K134))</f>
        <v/>
      </c>
      <c r="Q134" s="3">
        <f>IF($K134="","",MONTH($K134))</f>
        <v/>
      </c>
      <c r="R134" s="3">
        <f>IF($K134="","",INDEX(lista_dias,WEEKDAY($K134,2)))</f>
        <v/>
      </c>
      <c r="S134" s="3">
        <f>IFERROR(INDEX('CAT_TIPOS_OT'!$C$4:$C$7,MATCH($J134,'CAT_TIPOS_OT'!$A$4:$A$7,0)),"sin_clasificar")</f>
        <v/>
      </c>
      <c r="T134" s="3">
        <f>IFERROR(INDEX('CAT_CENTROS_COSTO'!$E$4:$E$9,MATCH($G134,'CAT_CENTROS_COSTO'!$A$4:$A$9,0)),"(sin catálogo)")</f>
        <v/>
      </c>
      <c r="U134" s="3">
        <f>IFERROR(INDEX('CAT_CENTROS_COSTO'!$D$4:$D$9,MATCH($G134,'CAT_CENTROS_COSTO'!$A$4:$A$9,0)),"(sin catálogo)")</f>
        <v/>
      </c>
      <c r="V134" s="3">
        <f>IFERROR(INDEX('CAT_CENTROS_COSTO'!$F$4:$F$9,MATCH($G134,'CAT_CENTROS_COSTO'!$A$4:$A$9,0)),"(sin catálogo)")</f>
        <v/>
      </c>
      <c r="W134" s="3">
        <f>IFERROR(INDEX('CAT_PUESTOS'!$B$4:$B$8,MATCH($H134,'CAT_PUESTOS'!$A$4:$A$8,0)),"(sin catálogo)")</f>
        <v/>
      </c>
      <c r="X134" s="3">
        <f>IFERROR(INDEX('CAT_ACTIVIDADES'!$B$4:$B$8,MATCH($I134,'CAT_ACTIVIDADES'!$A$4:$A$8,0)),"(sin catálogo)")</f>
        <v/>
      </c>
      <c r="Y134" s="12">
        <f>IF($K134="","",TODAY()-$K134)</f>
        <v/>
      </c>
      <c r="Z134" s="3">
        <f>IF($Y134="","",IF($Y134&lt;0,"FUTURO",IF($Y134&gt;p_dias_backlog_max,"BACKLOG","MES CORRIENTE")))</f>
        <v/>
      </c>
      <c r="AA134" s="3">
        <f>IF($Y134="",FALSE,AND($Y134&gt;p_dias_backlog_min,$Y134&lt;=p_dias_backlog_max))</f>
        <v/>
      </c>
      <c r="AB134" s="6" t="inlineStr">
        <is>
          <t>Técnico 01</t>
        </is>
      </c>
      <c r="AC134" s="3">
        <f>IF($AB134="","",IFERROR(INDEX('ASIGNACIONES'!$F$4:$F$339,MATCH($O134&amp;"|"&amp;$R134&amp;"|"&amp;$AB134,'ASIGNACIONES'!$I$4:$I$339,0)),""))</f>
        <v/>
      </c>
      <c r="AD134" s="13">
        <f>IF($AB134="","",SUMIFS('ORDENES'!$L$4:$L$203,'ORDENES'!$AB$4:$AB$203,$AB134,'ORDENES'!$O$4:$O$203,$O134,'ORDENES'!$R$4:$R$203,$R134))</f>
        <v/>
      </c>
      <c r="AE134" s="13">
        <f>IF($AD134="","",p_factor_productividad*IFERROR(INDEX('ASIGNACIONES'!$H$4:$H$339,MATCH($O134&amp;"|"&amp;$R134&amp;"|"&amp;$AB134,'ASIGNACIONES'!$I$4:$I$339,0)),0)-$AD134)</f>
        <v/>
      </c>
      <c r="AF134" s="10">
        <f>IFERROR(INDEX('2_IMPORTAR_EJECUCION'!$G$9:$G$171,MATCH($C134,'2_IMPORTAR_EJECUCION'!$A$9:$A$171,0)),0)</f>
        <v/>
      </c>
      <c r="AG134" s="10">
        <f>MAX(0,IFERROR(INDEX('2_IMPORTAR_EJECUCION'!$I$9:$I$171,MATCH($C134,'2_IMPORTAR_EJECUCION'!$A$9:$A$171,0)),0)-$AF134)</f>
        <v/>
      </c>
      <c r="AH134" s="10">
        <f>$AF134+$AG134</f>
        <v/>
      </c>
      <c r="AI134" s="6" t="inlineStr"/>
      <c r="AJ134" s="6" t="inlineStr"/>
      <c r="AK134" s="6" t="inlineStr"/>
      <c r="AL134" s="3">
        <f>IF($AK134="","",HYPERLINK(p_ruta_base_checklists&amp;$AK134,"abrir"))</f>
        <v/>
      </c>
      <c r="AM134" s="6" t="inlineStr"/>
    </row>
    <row r="135">
      <c r="A135" s="3" t="inlineStr">
        <is>
          <t>OT-000081</t>
        </is>
      </c>
      <c r="B135" s="3" t="inlineStr">
        <is>
          <t>0020</t>
        </is>
      </c>
      <c r="C135" s="3">
        <f>$A135&amp;IF($B135="","0010",$B135)</f>
        <v/>
      </c>
      <c r="D135" s="3" t="inlineStr">
        <is>
          <t>Inspección de rutina — EQ-102</t>
        </is>
      </c>
      <c r="E135" s="3" t="inlineStr">
        <is>
          <t>Segunda operación — EQ-102</t>
        </is>
      </c>
      <c r="F135" s="3" t="inlineStr">
        <is>
          <t>EQ-102</t>
        </is>
      </c>
      <c r="G135" s="3" t="inlineStr">
        <is>
          <t>CC-120</t>
        </is>
      </c>
      <c r="H135" s="3" t="inlineStr">
        <is>
          <t>PU-ELE</t>
        </is>
      </c>
      <c r="I135" s="3" t="inlineStr">
        <is>
          <t>ACT-01</t>
        </is>
      </c>
      <c r="J135" s="3" t="inlineStr">
        <is>
          <t>TIPO-P2</t>
        </is>
      </c>
      <c r="K135" s="11" t="n">
        <v>46237</v>
      </c>
      <c r="L135" s="3" t="n">
        <v>2</v>
      </c>
      <c r="M135" s="10" t="n">
        <v>50</v>
      </c>
      <c r="N135" s="3">
        <f>IFERROR(INDEX('CAT_ESTADOS_ERP'!$B$4:$B$7,MATCH(IFERROR(INDEX('2_IMPORTAR_EJECUCION'!$D$9:$D$171,MATCH($C135,'2_IMPORTAR_EJECUCION'!$A$9:$A$171,0)),""),'CAT_ESTADOS_ERP'!$A$4:$A$7,0)),"Pendiente")</f>
        <v/>
      </c>
      <c r="O135" s="3">
        <f>IF($K135="","","S"&amp;IF(_xlfn.ISOWEEKNUM($K135)=53,1,_xlfn.ISOWEEKNUM($K135)))</f>
        <v/>
      </c>
      <c r="P135" s="3">
        <f>IF($K135="","",YEAR($K135))</f>
        <v/>
      </c>
      <c r="Q135" s="3">
        <f>IF($K135="","",MONTH($K135))</f>
        <v/>
      </c>
      <c r="R135" s="3">
        <f>IF($K135="","",INDEX(lista_dias,WEEKDAY($K135,2)))</f>
        <v/>
      </c>
      <c r="S135" s="3">
        <f>IFERROR(INDEX('CAT_TIPOS_OT'!$C$4:$C$7,MATCH($J135,'CAT_TIPOS_OT'!$A$4:$A$7,0)),"sin_clasificar")</f>
        <v/>
      </c>
      <c r="T135" s="3">
        <f>IFERROR(INDEX('CAT_CENTROS_COSTO'!$E$4:$E$9,MATCH($G135,'CAT_CENTROS_COSTO'!$A$4:$A$9,0)),"(sin catálogo)")</f>
        <v/>
      </c>
      <c r="U135" s="3">
        <f>IFERROR(INDEX('CAT_CENTROS_COSTO'!$D$4:$D$9,MATCH($G135,'CAT_CENTROS_COSTO'!$A$4:$A$9,0)),"(sin catálogo)")</f>
        <v/>
      </c>
      <c r="V135" s="3">
        <f>IFERROR(INDEX('CAT_CENTROS_COSTO'!$F$4:$F$9,MATCH($G135,'CAT_CENTROS_COSTO'!$A$4:$A$9,0)),"(sin catálogo)")</f>
        <v/>
      </c>
      <c r="W135" s="3">
        <f>IFERROR(INDEX('CAT_PUESTOS'!$B$4:$B$8,MATCH($H135,'CAT_PUESTOS'!$A$4:$A$8,0)),"(sin catálogo)")</f>
        <v/>
      </c>
      <c r="X135" s="3">
        <f>IFERROR(INDEX('CAT_ACTIVIDADES'!$B$4:$B$8,MATCH($I135,'CAT_ACTIVIDADES'!$A$4:$A$8,0)),"(sin catálogo)")</f>
        <v/>
      </c>
      <c r="Y135" s="12">
        <f>IF($K135="","",TODAY()-$K135)</f>
        <v/>
      </c>
      <c r="Z135" s="3">
        <f>IF($Y135="","",IF($Y135&lt;0,"FUTURO",IF($Y135&gt;p_dias_backlog_max,"BACKLOG","MES CORRIENTE")))</f>
        <v/>
      </c>
      <c r="AA135" s="3">
        <f>IF($Y135="",FALSE,AND($Y135&gt;p_dias_backlog_min,$Y135&lt;=p_dias_backlog_max))</f>
        <v/>
      </c>
      <c r="AB135" s="6" t="inlineStr">
        <is>
          <t>Técnico 07</t>
        </is>
      </c>
      <c r="AC135" s="3">
        <f>IF($AB135="","",IFERROR(INDEX('ASIGNACIONES'!$F$4:$F$339,MATCH($O135&amp;"|"&amp;$R135&amp;"|"&amp;$AB135,'ASIGNACIONES'!$I$4:$I$339,0)),""))</f>
        <v/>
      </c>
      <c r="AD135" s="13">
        <f>IF($AB135="","",SUMIFS('ORDENES'!$L$4:$L$203,'ORDENES'!$AB$4:$AB$203,$AB135,'ORDENES'!$O$4:$O$203,$O135,'ORDENES'!$R$4:$R$203,$R135))</f>
        <v/>
      </c>
      <c r="AE135" s="13">
        <f>IF($AD135="","",p_factor_productividad*IFERROR(INDEX('ASIGNACIONES'!$H$4:$H$339,MATCH($O135&amp;"|"&amp;$R135&amp;"|"&amp;$AB135,'ASIGNACIONES'!$I$4:$I$339,0)),0)-$AD135)</f>
        <v/>
      </c>
      <c r="AF135" s="10">
        <f>IFERROR(INDEX('2_IMPORTAR_EJECUCION'!$G$9:$G$171,MATCH($C135,'2_IMPORTAR_EJECUCION'!$A$9:$A$171,0)),0)</f>
        <v/>
      </c>
      <c r="AG135" s="10">
        <f>MAX(0,IFERROR(INDEX('2_IMPORTAR_EJECUCION'!$I$9:$I$171,MATCH($C135,'2_IMPORTAR_EJECUCION'!$A$9:$A$171,0)),0)-$AF135)</f>
        <v/>
      </c>
      <c r="AH135" s="10">
        <f>$AF135+$AG135</f>
        <v/>
      </c>
      <c r="AI135" s="6" t="inlineStr"/>
      <c r="AJ135" s="6" t="inlineStr"/>
      <c r="AK135" s="6" t="inlineStr"/>
      <c r="AL135" s="3">
        <f>IF($AK135="","",HYPERLINK(p_ruta_base_checklists&amp;$AK135,"abrir"))</f>
        <v/>
      </c>
      <c r="AM135" s="6" t="inlineStr"/>
    </row>
    <row r="136">
      <c r="A136" s="3" t="inlineStr">
        <is>
          <t>OT-000121</t>
        </is>
      </c>
      <c r="B136" s="3" t="inlineStr">
        <is>
          <t>0020</t>
        </is>
      </c>
      <c r="C136" s="3">
        <f>$A136&amp;IF($B136="","0010",$B136)</f>
        <v/>
      </c>
      <c r="D136" s="3" t="inlineStr">
        <is>
          <t>Reparación de falla — EQ-102</t>
        </is>
      </c>
      <c r="E136" s="3" t="inlineStr">
        <is>
          <t>Segunda operación — EQ-102</t>
        </is>
      </c>
      <c r="F136" s="3" t="inlineStr">
        <is>
          <t>EQ-102</t>
        </is>
      </c>
      <c r="G136" s="3" t="inlineStr">
        <is>
          <t>CC-120</t>
        </is>
      </c>
      <c r="H136" s="3" t="inlineStr">
        <is>
          <t>PU-OP</t>
        </is>
      </c>
      <c r="I136" s="3" t="inlineStr">
        <is>
          <t>ACT-03</t>
        </is>
      </c>
      <c r="J136" s="3" t="inlineStr">
        <is>
          <t>TIPO-C2</t>
        </is>
      </c>
      <c r="K136" s="11" t="n">
        <v>46230</v>
      </c>
      <c r="L136" s="3" t="n">
        <v>2</v>
      </c>
      <c r="M136" s="10" t="n">
        <v>80</v>
      </c>
      <c r="N136" s="3">
        <f>IFERROR(INDEX('CAT_ESTADOS_ERP'!$B$4:$B$7,MATCH(IFERROR(INDEX('2_IMPORTAR_EJECUCION'!$D$9:$D$171,MATCH($C136,'2_IMPORTAR_EJECUCION'!$A$9:$A$171,0)),""),'CAT_ESTADOS_ERP'!$A$4:$A$7,0)),"Pendiente")</f>
        <v/>
      </c>
      <c r="O136" s="3">
        <f>IF($K136="","","S"&amp;IF(_xlfn.ISOWEEKNUM($K136)=53,1,_xlfn.ISOWEEKNUM($K136)))</f>
        <v/>
      </c>
      <c r="P136" s="3">
        <f>IF($K136="","",YEAR($K136))</f>
        <v/>
      </c>
      <c r="Q136" s="3">
        <f>IF($K136="","",MONTH($K136))</f>
        <v/>
      </c>
      <c r="R136" s="3">
        <f>IF($K136="","",INDEX(lista_dias,WEEKDAY($K136,2)))</f>
        <v/>
      </c>
      <c r="S136" s="3">
        <f>IFERROR(INDEX('CAT_TIPOS_OT'!$C$4:$C$7,MATCH($J136,'CAT_TIPOS_OT'!$A$4:$A$7,0)),"sin_clasificar")</f>
        <v/>
      </c>
      <c r="T136" s="3">
        <f>IFERROR(INDEX('CAT_CENTROS_COSTO'!$E$4:$E$9,MATCH($G136,'CAT_CENTROS_COSTO'!$A$4:$A$9,0)),"(sin catálogo)")</f>
        <v/>
      </c>
      <c r="U136" s="3">
        <f>IFERROR(INDEX('CAT_CENTROS_COSTO'!$D$4:$D$9,MATCH($G136,'CAT_CENTROS_COSTO'!$A$4:$A$9,0)),"(sin catálogo)")</f>
        <v/>
      </c>
      <c r="V136" s="3">
        <f>IFERROR(INDEX('CAT_CENTROS_COSTO'!$F$4:$F$9,MATCH($G136,'CAT_CENTROS_COSTO'!$A$4:$A$9,0)),"(sin catálogo)")</f>
        <v/>
      </c>
      <c r="W136" s="3">
        <f>IFERROR(INDEX('CAT_PUESTOS'!$B$4:$B$8,MATCH($H136,'CAT_PUESTOS'!$A$4:$A$8,0)),"(sin catálogo)")</f>
        <v/>
      </c>
      <c r="X136" s="3">
        <f>IFERROR(INDEX('CAT_ACTIVIDADES'!$B$4:$B$8,MATCH($I136,'CAT_ACTIVIDADES'!$A$4:$A$8,0)),"(sin catálogo)")</f>
        <v/>
      </c>
      <c r="Y136" s="12">
        <f>IF($K136="","",TODAY()-$K136)</f>
        <v/>
      </c>
      <c r="Z136" s="3">
        <f>IF($Y136="","",IF($Y136&lt;0,"FUTURO",IF($Y136&gt;p_dias_backlog_max,"BACKLOG","MES CORRIENTE")))</f>
        <v/>
      </c>
      <c r="AA136" s="3">
        <f>IF($Y136="",FALSE,AND($Y136&gt;p_dias_backlog_min,$Y136&lt;=p_dias_backlog_max))</f>
        <v/>
      </c>
      <c r="AB136" s="6" t="inlineStr">
        <is>
          <t>Técnico 10</t>
        </is>
      </c>
      <c r="AC136" s="3">
        <f>IF($AB136="","",IFERROR(INDEX('ASIGNACIONES'!$F$4:$F$339,MATCH($O136&amp;"|"&amp;$R136&amp;"|"&amp;$AB136,'ASIGNACIONES'!$I$4:$I$339,0)),""))</f>
        <v/>
      </c>
      <c r="AD136" s="13">
        <f>IF($AB136="","",SUMIFS('ORDENES'!$L$4:$L$203,'ORDENES'!$AB$4:$AB$203,$AB136,'ORDENES'!$O$4:$O$203,$O136,'ORDENES'!$R$4:$R$203,$R136))</f>
        <v/>
      </c>
      <c r="AE136" s="13">
        <f>IF($AD136="","",p_factor_productividad*IFERROR(INDEX('ASIGNACIONES'!$H$4:$H$339,MATCH($O136&amp;"|"&amp;$R136&amp;"|"&amp;$AB136,'ASIGNACIONES'!$I$4:$I$339,0)),0)-$AD136)</f>
        <v/>
      </c>
      <c r="AF136" s="10">
        <f>IFERROR(INDEX('2_IMPORTAR_EJECUCION'!$G$9:$G$171,MATCH($C136,'2_IMPORTAR_EJECUCION'!$A$9:$A$171,0)),0)</f>
        <v/>
      </c>
      <c r="AG136" s="10">
        <f>MAX(0,IFERROR(INDEX('2_IMPORTAR_EJECUCION'!$I$9:$I$171,MATCH($C136,'2_IMPORTAR_EJECUCION'!$A$9:$A$171,0)),0)-$AF136)</f>
        <v/>
      </c>
      <c r="AH136" s="10">
        <f>$AF136+$AG136</f>
        <v/>
      </c>
      <c r="AI136" s="6" t="inlineStr"/>
      <c r="AJ136" s="6" t="inlineStr"/>
      <c r="AK136" s="6" t="inlineStr"/>
      <c r="AL136" s="3">
        <f>IF($AK136="","",HYPERLINK(p_ruta_base_checklists&amp;$AK136,"abrir"))</f>
        <v/>
      </c>
      <c r="AM136" s="6" t="inlineStr"/>
    </row>
    <row r="137">
      <c r="A137" s="3" t="inlineStr">
        <is>
          <t>OT-000134</t>
        </is>
      </c>
      <c r="B137" s="3" t="inlineStr">
        <is>
          <t>0010</t>
        </is>
      </c>
      <c r="C137" s="3">
        <f>$A137&amp;IF($B137="","0010",$B137)</f>
        <v/>
      </c>
      <c r="D137" s="3" t="inlineStr">
        <is>
          <t>Reparación de falla — EQ-105</t>
        </is>
      </c>
      <c r="E137" s="3" t="inlineStr">
        <is>
          <t>Reparación de falla en EQ-105</t>
        </is>
      </c>
      <c r="F137" s="3" t="inlineStr">
        <is>
          <t>EQ-105</t>
        </is>
      </c>
      <c r="G137" s="3" t="inlineStr">
        <is>
          <t>CC-110</t>
        </is>
      </c>
      <c r="H137" s="3" t="inlineStr">
        <is>
          <t>PU-MEC</t>
        </is>
      </c>
      <c r="I137" s="3" t="inlineStr">
        <is>
          <t>ACT-03</t>
        </is>
      </c>
      <c r="J137" s="3" t="inlineStr">
        <is>
          <t>TIPO-C1</t>
        </is>
      </c>
      <c r="K137" s="11" t="n">
        <v>46178</v>
      </c>
      <c r="L137" s="3" t="n">
        <v>4</v>
      </c>
      <c r="M137" s="10" t="n">
        <v>160</v>
      </c>
      <c r="N137" s="3">
        <f>IFERROR(INDEX('CAT_ESTADOS_ERP'!$B$4:$B$7,MATCH(IFERROR(INDEX('2_IMPORTAR_EJECUCION'!$D$9:$D$171,MATCH($C137,'2_IMPORTAR_EJECUCION'!$A$9:$A$171,0)),""),'CAT_ESTADOS_ERP'!$A$4:$A$7,0)),"Pendiente")</f>
        <v/>
      </c>
      <c r="O137" s="3">
        <f>IF($K137="","","S"&amp;IF(_xlfn.ISOWEEKNUM($K137)=53,1,_xlfn.ISOWEEKNUM($K137)))</f>
        <v/>
      </c>
      <c r="P137" s="3">
        <f>IF($K137="","",YEAR($K137))</f>
        <v/>
      </c>
      <c r="Q137" s="3">
        <f>IF($K137="","",MONTH($K137))</f>
        <v/>
      </c>
      <c r="R137" s="3">
        <f>IF($K137="","",INDEX(lista_dias,WEEKDAY($K137,2)))</f>
        <v/>
      </c>
      <c r="S137" s="3">
        <f>IFERROR(INDEX('CAT_TIPOS_OT'!$C$4:$C$7,MATCH($J137,'CAT_TIPOS_OT'!$A$4:$A$7,0)),"sin_clasificar")</f>
        <v/>
      </c>
      <c r="T137" s="3">
        <f>IFERROR(INDEX('CAT_CENTROS_COSTO'!$E$4:$E$9,MATCH($G137,'CAT_CENTROS_COSTO'!$A$4:$A$9,0)),"(sin catálogo)")</f>
        <v/>
      </c>
      <c r="U137" s="3">
        <f>IFERROR(INDEX('CAT_CENTROS_COSTO'!$D$4:$D$9,MATCH($G137,'CAT_CENTROS_COSTO'!$A$4:$A$9,0)),"(sin catálogo)")</f>
        <v/>
      </c>
      <c r="V137" s="3">
        <f>IFERROR(INDEX('CAT_CENTROS_COSTO'!$F$4:$F$9,MATCH($G137,'CAT_CENTROS_COSTO'!$A$4:$A$9,0)),"(sin catálogo)")</f>
        <v/>
      </c>
      <c r="W137" s="3">
        <f>IFERROR(INDEX('CAT_PUESTOS'!$B$4:$B$8,MATCH($H137,'CAT_PUESTOS'!$A$4:$A$8,0)),"(sin catálogo)")</f>
        <v/>
      </c>
      <c r="X137" s="3">
        <f>IFERROR(INDEX('CAT_ACTIVIDADES'!$B$4:$B$8,MATCH($I137,'CAT_ACTIVIDADES'!$A$4:$A$8,0)),"(sin catálogo)")</f>
        <v/>
      </c>
      <c r="Y137" s="12">
        <f>IF($K137="","",TODAY()-$K137)</f>
        <v/>
      </c>
      <c r="Z137" s="3">
        <f>IF($Y137="","",IF($Y137&lt;0,"FUTURO",IF($Y137&gt;p_dias_backlog_max,"BACKLOG","MES CORRIENTE")))</f>
        <v/>
      </c>
      <c r="AA137" s="3">
        <f>IF($Y137="",FALSE,AND($Y137&gt;p_dias_backlog_min,$Y137&lt;=p_dias_backlog_max))</f>
        <v/>
      </c>
      <c r="AB137" s="6" t="inlineStr"/>
      <c r="AC137" s="3">
        <f>IF($AB137="","",IFERROR(INDEX('ASIGNACIONES'!$F$4:$F$339,MATCH($O137&amp;"|"&amp;$R137&amp;"|"&amp;$AB137,'ASIGNACIONES'!$I$4:$I$339,0)),""))</f>
        <v/>
      </c>
      <c r="AD137" s="13">
        <f>IF($AB137="","",SUMIFS('ORDENES'!$L$4:$L$203,'ORDENES'!$AB$4:$AB$203,$AB137,'ORDENES'!$O$4:$O$203,$O137,'ORDENES'!$R$4:$R$203,$R137))</f>
        <v/>
      </c>
      <c r="AE137" s="13">
        <f>IF($AD137="","",p_factor_productividad*IFERROR(INDEX('ASIGNACIONES'!$H$4:$H$339,MATCH($O137&amp;"|"&amp;$R137&amp;"|"&amp;$AB137,'ASIGNACIONES'!$I$4:$I$339,0)),0)-$AD137)</f>
        <v/>
      </c>
      <c r="AF137" s="10">
        <f>IFERROR(INDEX('2_IMPORTAR_EJECUCION'!$G$9:$G$171,MATCH($C137,'2_IMPORTAR_EJECUCION'!$A$9:$A$171,0)),0)</f>
        <v/>
      </c>
      <c r="AG137" s="10">
        <f>MAX(0,IFERROR(INDEX('2_IMPORTAR_EJECUCION'!$I$9:$I$171,MATCH($C137,'2_IMPORTAR_EJECUCION'!$A$9:$A$171,0)),0)-$AF137)</f>
        <v/>
      </c>
      <c r="AH137" s="10">
        <f>$AF137+$AG137</f>
        <v/>
      </c>
      <c r="AI137" s="6" t="inlineStr"/>
      <c r="AJ137" s="6" t="inlineStr"/>
      <c r="AK137" s="6" t="inlineStr"/>
      <c r="AL137" s="3">
        <f>IF($AK137="","",HYPERLINK(p_ruta_base_checklists&amp;$AK137,"abrir"))</f>
        <v/>
      </c>
      <c r="AM137" s="6" t="inlineStr"/>
    </row>
    <row r="138">
      <c r="A138" s="3" t="inlineStr">
        <is>
          <t>OT-000135</t>
        </is>
      </c>
      <c r="B138" s="3" t="inlineStr">
        <is>
          <t>0010</t>
        </is>
      </c>
      <c r="C138" s="3">
        <f>$A138&amp;IF($B138="","0010",$B138)</f>
        <v/>
      </c>
      <c r="D138" s="3" t="inlineStr">
        <is>
          <t>Reparación de falla — EQ-101</t>
        </is>
      </c>
      <c r="E138" s="3" t="inlineStr">
        <is>
          <t>Reparación de falla en EQ-101</t>
        </is>
      </c>
      <c r="F138" s="3" t="inlineStr">
        <is>
          <t>EQ-101</t>
        </is>
      </c>
      <c r="G138" s="3" t="inlineStr">
        <is>
          <t>CC-120</t>
        </is>
      </c>
      <c r="H138" s="3" t="inlineStr">
        <is>
          <t>PU-ELE</t>
        </is>
      </c>
      <c r="I138" s="3" t="inlineStr">
        <is>
          <t>ACT-03</t>
        </is>
      </c>
      <c r="J138" s="3" t="inlineStr">
        <is>
          <t>TIPO-C2</t>
        </is>
      </c>
      <c r="K138" s="11" t="n">
        <v>46178</v>
      </c>
      <c r="L138" s="3" t="n">
        <v>6</v>
      </c>
      <c r="M138" s="10" t="n">
        <v>240</v>
      </c>
      <c r="N138" s="3">
        <f>IFERROR(INDEX('CAT_ESTADOS_ERP'!$B$4:$B$7,MATCH(IFERROR(INDEX('2_IMPORTAR_EJECUCION'!$D$9:$D$171,MATCH($C138,'2_IMPORTAR_EJECUCION'!$A$9:$A$171,0)),""),'CAT_ESTADOS_ERP'!$A$4:$A$7,0)),"Pendiente")</f>
        <v/>
      </c>
      <c r="O138" s="3">
        <f>IF($K138="","","S"&amp;IF(_xlfn.ISOWEEKNUM($K138)=53,1,_xlfn.ISOWEEKNUM($K138)))</f>
        <v/>
      </c>
      <c r="P138" s="3">
        <f>IF($K138="","",YEAR($K138))</f>
        <v/>
      </c>
      <c r="Q138" s="3">
        <f>IF($K138="","",MONTH($K138))</f>
        <v/>
      </c>
      <c r="R138" s="3">
        <f>IF($K138="","",INDEX(lista_dias,WEEKDAY($K138,2)))</f>
        <v/>
      </c>
      <c r="S138" s="3">
        <f>IFERROR(INDEX('CAT_TIPOS_OT'!$C$4:$C$7,MATCH($J138,'CAT_TIPOS_OT'!$A$4:$A$7,0)),"sin_clasificar")</f>
        <v/>
      </c>
      <c r="T138" s="3">
        <f>IFERROR(INDEX('CAT_CENTROS_COSTO'!$E$4:$E$9,MATCH($G138,'CAT_CENTROS_COSTO'!$A$4:$A$9,0)),"(sin catálogo)")</f>
        <v/>
      </c>
      <c r="U138" s="3">
        <f>IFERROR(INDEX('CAT_CENTROS_COSTO'!$D$4:$D$9,MATCH($G138,'CAT_CENTROS_COSTO'!$A$4:$A$9,0)),"(sin catálogo)")</f>
        <v/>
      </c>
      <c r="V138" s="3">
        <f>IFERROR(INDEX('CAT_CENTROS_COSTO'!$F$4:$F$9,MATCH($G138,'CAT_CENTROS_COSTO'!$A$4:$A$9,0)),"(sin catálogo)")</f>
        <v/>
      </c>
      <c r="W138" s="3">
        <f>IFERROR(INDEX('CAT_PUESTOS'!$B$4:$B$8,MATCH($H138,'CAT_PUESTOS'!$A$4:$A$8,0)),"(sin catálogo)")</f>
        <v/>
      </c>
      <c r="X138" s="3">
        <f>IFERROR(INDEX('CAT_ACTIVIDADES'!$B$4:$B$8,MATCH($I138,'CAT_ACTIVIDADES'!$A$4:$A$8,0)),"(sin catálogo)")</f>
        <v/>
      </c>
      <c r="Y138" s="12">
        <f>IF($K138="","",TODAY()-$K138)</f>
        <v/>
      </c>
      <c r="Z138" s="3">
        <f>IF($Y138="","",IF($Y138&lt;0,"FUTURO",IF($Y138&gt;p_dias_backlog_max,"BACKLOG","MES CORRIENTE")))</f>
        <v/>
      </c>
      <c r="AA138" s="3">
        <f>IF($Y138="",FALSE,AND($Y138&gt;p_dias_backlog_min,$Y138&lt;=p_dias_backlog_max))</f>
        <v/>
      </c>
      <c r="AB138" s="6" t="inlineStr"/>
      <c r="AC138" s="3">
        <f>IF($AB138="","",IFERROR(INDEX('ASIGNACIONES'!$F$4:$F$339,MATCH($O138&amp;"|"&amp;$R138&amp;"|"&amp;$AB138,'ASIGNACIONES'!$I$4:$I$339,0)),""))</f>
        <v/>
      </c>
      <c r="AD138" s="13">
        <f>IF($AB138="","",SUMIFS('ORDENES'!$L$4:$L$203,'ORDENES'!$AB$4:$AB$203,$AB138,'ORDENES'!$O$4:$O$203,$O138,'ORDENES'!$R$4:$R$203,$R138))</f>
        <v/>
      </c>
      <c r="AE138" s="13">
        <f>IF($AD138="","",p_factor_productividad*IFERROR(INDEX('ASIGNACIONES'!$H$4:$H$339,MATCH($O138&amp;"|"&amp;$R138&amp;"|"&amp;$AB138,'ASIGNACIONES'!$I$4:$I$339,0)),0)-$AD138)</f>
        <v/>
      </c>
      <c r="AF138" s="10">
        <f>IFERROR(INDEX('2_IMPORTAR_EJECUCION'!$G$9:$G$171,MATCH($C138,'2_IMPORTAR_EJECUCION'!$A$9:$A$171,0)),0)</f>
        <v/>
      </c>
      <c r="AG138" s="10">
        <f>MAX(0,IFERROR(INDEX('2_IMPORTAR_EJECUCION'!$I$9:$I$171,MATCH($C138,'2_IMPORTAR_EJECUCION'!$A$9:$A$171,0)),0)-$AF138)</f>
        <v/>
      </c>
      <c r="AH138" s="10">
        <f>$AF138+$AG138</f>
        <v/>
      </c>
      <c r="AI138" s="6" t="inlineStr"/>
      <c r="AJ138" s="6" t="inlineStr"/>
      <c r="AK138" s="6" t="inlineStr"/>
      <c r="AL138" s="3">
        <f>IF($AK138="","",HYPERLINK(p_ruta_base_checklists&amp;$AK138,"abrir"))</f>
        <v/>
      </c>
      <c r="AM138" s="6" t="inlineStr"/>
    </row>
    <row r="139">
      <c r="A139" s="3" t="inlineStr">
        <is>
          <t>OT-000136</t>
        </is>
      </c>
      <c r="B139" s="3" t="inlineStr">
        <is>
          <t>0010</t>
        </is>
      </c>
      <c r="C139" s="3">
        <f>$A139&amp;IF($B139="","0010",$B139)</f>
        <v/>
      </c>
      <c r="D139" s="3" t="inlineStr">
        <is>
          <t>Reparación de falla — EQ-106</t>
        </is>
      </c>
      <c r="E139" s="3" t="inlineStr">
        <is>
          <t>Reparación de falla en EQ-106</t>
        </is>
      </c>
      <c r="F139" s="3" t="inlineStr">
        <is>
          <t>EQ-106</t>
        </is>
      </c>
      <c r="G139" s="3" t="inlineStr">
        <is>
          <t>CC-210</t>
        </is>
      </c>
      <c r="H139" s="3" t="inlineStr">
        <is>
          <t>PU-AUT</t>
        </is>
      </c>
      <c r="I139" s="3" t="inlineStr">
        <is>
          <t>ACT-03</t>
        </is>
      </c>
      <c r="J139" s="3" t="inlineStr">
        <is>
          <t>TIPO-C1</t>
        </is>
      </c>
      <c r="K139" s="11" t="n">
        <v>46178</v>
      </c>
      <c r="L139" s="3" t="n">
        <v>8</v>
      </c>
      <c r="M139" s="10" t="n">
        <v>320</v>
      </c>
      <c r="N139" s="3">
        <f>IFERROR(INDEX('CAT_ESTADOS_ERP'!$B$4:$B$7,MATCH(IFERROR(INDEX('2_IMPORTAR_EJECUCION'!$D$9:$D$171,MATCH($C139,'2_IMPORTAR_EJECUCION'!$A$9:$A$171,0)),""),'CAT_ESTADOS_ERP'!$A$4:$A$7,0)),"Pendiente")</f>
        <v/>
      </c>
      <c r="O139" s="3">
        <f>IF($K139="","","S"&amp;IF(_xlfn.ISOWEEKNUM($K139)=53,1,_xlfn.ISOWEEKNUM($K139)))</f>
        <v/>
      </c>
      <c r="P139" s="3">
        <f>IF($K139="","",YEAR($K139))</f>
        <v/>
      </c>
      <c r="Q139" s="3">
        <f>IF($K139="","",MONTH($K139))</f>
        <v/>
      </c>
      <c r="R139" s="3">
        <f>IF($K139="","",INDEX(lista_dias,WEEKDAY($K139,2)))</f>
        <v/>
      </c>
      <c r="S139" s="3">
        <f>IFERROR(INDEX('CAT_TIPOS_OT'!$C$4:$C$7,MATCH($J139,'CAT_TIPOS_OT'!$A$4:$A$7,0)),"sin_clasificar")</f>
        <v/>
      </c>
      <c r="T139" s="3">
        <f>IFERROR(INDEX('CAT_CENTROS_COSTO'!$E$4:$E$9,MATCH($G139,'CAT_CENTROS_COSTO'!$A$4:$A$9,0)),"(sin catálogo)")</f>
        <v/>
      </c>
      <c r="U139" s="3">
        <f>IFERROR(INDEX('CAT_CENTROS_COSTO'!$D$4:$D$9,MATCH($G139,'CAT_CENTROS_COSTO'!$A$4:$A$9,0)),"(sin catálogo)")</f>
        <v/>
      </c>
      <c r="V139" s="3">
        <f>IFERROR(INDEX('CAT_CENTROS_COSTO'!$F$4:$F$9,MATCH($G139,'CAT_CENTROS_COSTO'!$A$4:$A$9,0)),"(sin catálogo)")</f>
        <v/>
      </c>
      <c r="W139" s="3">
        <f>IFERROR(INDEX('CAT_PUESTOS'!$B$4:$B$8,MATCH($H139,'CAT_PUESTOS'!$A$4:$A$8,0)),"(sin catálogo)")</f>
        <v/>
      </c>
      <c r="X139" s="3">
        <f>IFERROR(INDEX('CAT_ACTIVIDADES'!$B$4:$B$8,MATCH($I139,'CAT_ACTIVIDADES'!$A$4:$A$8,0)),"(sin catálogo)")</f>
        <v/>
      </c>
      <c r="Y139" s="12">
        <f>IF($K139="","",TODAY()-$K139)</f>
        <v/>
      </c>
      <c r="Z139" s="3">
        <f>IF($Y139="","",IF($Y139&lt;0,"FUTURO",IF($Y139&gt;p_dias_backlog_max,"BACKLOG","MES CORRIENTE")))</f>
        <v/>
      </c>
      <c r="AA139" s="3">
        <f>IF($Y139="",FALSE,AND($Y139&gt;p_dias_backlog_min,$Y139&lt;=p_dias_backlog_max))</f>
        <v/>
      </c>
      <c r="AB139" s="6" t="inlineStr"/>
      <c r="AC139" s="3">
        <f>IF($AB139="","",IFERROR(INDEX('ASIGNACIONES'!$F$4:$F$339,MATCH($O139&amp;"|"&amp;$R139&amp;"|"&amp;$AB139,'ASIGNACIONES'!$I$4:$I$339,0)),""))</f>
        <v/>
      </c>
      <c r="AD139" s="13">
        <f>IF($AB139="","",SUMIFS('ORDENES'!$L$4:$L$203,'ORDENES'!$AB$4:$AB$203,$AB139,'ORDENES'!$O$4:$O$203,$O139,'ORDENES'!$R$4:$R$203,$R139))</f>
        <v/>
      </c>
      <c r="AE139" s="13">
        <f>IF($AD139="","",p_factor_productividad*IFERROR(INDEX('ASIGNACIONES'!$H$4:$H$339,MATCH($O139&amp;"|"&amp;$R139&amp;"|"&amp;$AB139,'ASIGNACIONES'!$I$4:$I$339,0)),0)-$AD139)</f>
        <v/>
      </c>
      <c r="AF139" s="10">
        <f>IFERROR(INDEX('2_IMPORTAR_EJECUCION'!$G$9:$G$171,MATCH($C139,'2_IMPORTAR_EJECUCION'!$A$9:$A$171,0)),0)</f>
        <v/>
      </c>
      <c r="AG139" s="10">
        <f>MAX(0,IFERROR(INDEX('2_IMPORTAR_EJECUCION'!$I$9:$I$171,MATCH($C139,'2_IMPORTAR_EJECUCION'!$A$9:$A$171,0)),0)-$AF139)</f>
        <v/>
      </c>
      <c r="AH139" s="10">
        <f>$AF139+$AG139</f>
        <v/>
      </c>
      <c r="AI139" s="6" t="inlineStr"/>
      <c r="AJ139" s="6" t="inlineStr"/>
      <c r="AK139" s="6" t="inlineStr"/>
      <c r="AL139" s="3">
        <f>IF($AK139="","",HYPERLINK(p_ruta_base_checklists&amp;$AK139,"abrir"))</f>
        <v/>
      </c>
      <c r="AM139" s="6" t="inlineStr"/>
    </row>
    <row r="140">
      <c r="A140" s="3" t="inlineStr">
        <is>
          <t>OT-000137</t>
        </is>
      </c>
      <c r="B140" s="3" t="inlineStr">
        <is>
          <t>0010</t>
        </is>
      </c>
      <c r="C140" s="3">
        <f>$A140&amp;IF($B140="","0010",$B140)</f>
        <v/>
      </c>
      <c r="D140" s="3" t="inlineStr">
        <is>
          <t>Análisis predictivo — EQ-107</t>
        </is>
      </c>
      <c r="E140" s="3" t="inlineStr">
        <is>
          <t>Análisis predictivo en EQ-107</t>
        </is>
      </c>
      <c r="F140" s="3" t="inlineStr">
        <is>
          <t>EQ-107</t>
        </is>
      </c>
      <c r="G140" s="3" t="inlineStr">
        <is>
          <t>CC-220</t>
        </is>
      </c>
      <c r="H140" s="3" t="inlineStr">
        <is>
          <t>PU-OP</t>
        </is>
      </c>
      <c r="I140" s="3" t="inlineStr">
        <is>
          <t>ACT-04</t>
        </is>
      </c>
      <c r="J140" s="3" t="inlineStr">
        <is>
          <t>TIPO-P2</t>
        </is>
      </c>
      <c r="K140" s="11" t="n">
        <v>46178</v>
      </c>
      <c r="L140" s="3" t="n">
        <v>4</v>
      </c>
      <c r="M140" s="10" t="n">
        <v>100</v>
      </c>
      <c r="N140" s="3">
        <f>IFERROR(INDEX('CAT_ESTADOS_ERP'!$B$4:$B$7,MATCH(IFERROR(INDEX('2_IMPORTAR_EJECUCION'!$D$9:$D$171,MATCH($C140,'2_IMPORTAR_EJECUCION'!$A$9:$A$171,0)),""),'CAT_ESTADOS_ERP'!$A$4:$A$7,0)),"Pendiente")</f>
        <v/>
      </c>
      <c r="O140" s="3">
        <f>IF($K140="","","S"&amp;IF(_xlfn.ISOWEEKNUM($K140)=53,1,_xlfn.ISOWEEKNUM($K140)))</f>
        <v/>
      </c>
      <c r="P140" s="3">
        <f>IF($K140="","",YEAR($K140))</f>
        <v/>
      </c>
      <c r="Q140" s="3">
        <f>IF($K140="","",MONTH($K140))</f>
        <v/>
      </c>
      <c r="R140" s="3">
        <f>IF($K140="","",INDEX(lista_dias,WEEKDAY($K140,2)))</f>
        <v/>
      </c>
      <c r="S140" s="3">
        <f>IFERROR(INDEX('CAT_TIPOS_OT'!$C$4:$C$7,MATCH($J140,'CAT_TIPOS_OT'!$A$4:$A$7,0)),"sin_clasificar")</f>
        <v/>
      </c>
      <c r="T140" s="3">
        <f>IFERROR(INDEX('CAT_CENTROS_COSTO'!$E$4:$E$9,MATCH($G140,'CAT_CENTROS_COSTO'!$A$4:$A$9,0)),"(sin catálogo)")</f>
        <v/>
      </c>
      <c r="U140" s="3">
        <f>IFERROR(INDEX('CAT_CENTROS_COSTO'!$D$4:$D$9,MATCH($G140,'CAT_CENTROS_COSTO'!$A$4:$A$9,0)),"(sin catálogo)")</f>
        <v/>
      </c>
      <c r="V140" s="3">
        <f>IFERROR(INDEX('CAT_CENTROS_COSTO'!$F$4:$F$9,MATCH($G140,'CAT_CENTROS_COSTO'!$A$4:$A$9,0)),"(sin catálogo)")</f>
        <v/>
      </c>
      <c r="W140" s="3">
        <f>IFERROR(INDEX('CAT_PUESTOS'!$B$4:$B$8,MATCH($H140,'CAT_PUESTOS'!$A$4:$A$8,0)),"(sin catálogo)")</f>
        <v/>
      </c>
      <c r="X140" s="3">
        <f>IFERROR(INDEX('CAT_ACTIVIDADES'!$B$4:$B$8,MATCH($I140,'CAT_ACTIVIDADES'!$A$4:$A$8,0)),"(sin catálogo)")</f>
        <v/>
      </c>
      <c r="Y140" s="12">
        <f>IF($K140="","",TODAY()-$K140)</f>
        <v/>
      </c>
      <c r="Z140" s="3">
        <f>IF($Y140="","",IF($Y140&lt;0,"FUTURO",IF($Y140&gt;p_dias_backlog_max,"BACKLOG","MES CORRIENTE")))</f>
        <v/>
      </c>
      <c r="AA140" s="3">
        <f>IF($Y140="",FALSE,AND($Y140&gt;p_dias_backlog_min,$Y140&lt;=p_dias_backlog_max))</f>
        <v/>
      </c>
      <c r="AB140" s="6" t="inlineStr"/>
      <c r="AC140" s="3">
        <f>IF($AB140="","",IFERROR(INDEX('ASIGNACIONES'!$F$4:$F$339,MATCH($O140&amp;"|"&amp;$R140&amp;"|"&amp;$AB140,'ASIGNACIONES'!$I$4:$I$339,0)),""))</f>
        <v/>
      </c>
      <c r="AD140" s="13">
        <f>IF($AB140="","",SUMIFS('ORDENES'!$L$4:$L$203,'ORDENES'!$AB$4:$AB$203,$AB140,'ORDENES'!$O$4:$O$203,$O140,'ORDENES'!$R$4:$R$203,$R140))</f>
        <v/>
      </c>
      <c r="AE140" s="13">
        <f>IF($AD140="","",p_factor_productividad*IFERROR(INDEX('ASIGNACIONES'!$H$4:$H$339,MATCH($O140&amp;"|"&amp;$R140&amp;"|"&amp;$AB140,'ASIGNACIONES'!$I$4:$I$339,0)),0)-$AD140)</f>
        <v/>
      </c>
      <c r="AF140" s="10">
        <f>IFERROR(INDEX('2_IMPORTAR_EJECUCION'!$G$9:$G$171,MATCH($C140,'2_IMPORTAR_EJECUCION'!$A$9:$A$171,0)),0)</f>
        <v/>
      </c>
      <c r="AG140" s="10">
        <f>MAX(0,IFERROR(INDEX('2_IMPORTAR_EJECUCION'!$I$9:$I$171,MATCH($C140,'2_IMPORTAR_EJECUCION'!$A$9:$A$171,0)),0)-$AF140)</f>
        <v/>
      </c>
      <c r="AH140" s="10">
        <f>$AF140+$AG140</f>
        <v/>
      </c>
      <c r="AI140" s="6" t="inlineStr"/>
      <c r="AJ140" s="6" t="inlineStr"/>
      <c r="AK140" s="6" t="inlineStr"/>
      <c r="AL140" s="3">
        <f>IF($AK140="","",HYPERLINK(p_ruta_base_checklists&amp;$AK140,"abrir"))</f>
        <v/>
      </c>
      <c r="AM140" s="6" t="inlineStr"/>
    </row>
    <row r="141">
      <c r="A141" s="3" t="inlineStr">
        <is>
          <t>OT-000138</t>
        </is>
      </c>
      <c r="B141" s="3" t="inlineStr">
        <is>
          <t>0010</t>
        </is>
      </c>
      <c r="C141" s="3">
        <f>$A141&amp;IF($B141="","0010",$B141)</f>
        <v/>
      </c>
      <c r="D141" s="3" t="inlineStr">
        <is>
          <t>Reparación de falla — EQ-110</t>
        </is>
      </c>
      <c r="E141" s="3" t="inlineStr">
        <is>
          <t>Reparación de falla en EQ-110</t>
        </is>
      </c>
      <c r="F141" s="3" t="inlineStr">
        <is>
          <t>EQ-110</t>
        </is>
      </c>
      <c r="G141" s="3" t="inlineStr">
        <is>
          <t>CC-310</t>
        </is>
      </c>
      <c r="H141" s="3" t="inlineStr">
        <is>
          <t>PU-MEC</t>
        </is>
      </c>
      <c r="I141" s="3" t="inlineStr">
        <is>
          <t>ACT-03</t>
        </is>
      </c>
      <c r="J141" s="3" t="inlineStr">
        <is>
          <t>TIPO-C1</t>
        </is>
      </c>
      <c r="K141" s="11" t="n">
        <v>46178</v>
      </c>
      <c r="L141" s="3" t="n">
        <v>6</v>
      </c>
      <c r="M141" s="10" t="n">
        <v>240</v>
      </c>
      <c r="N141" s="3">
        <f>IFERROR(INDEX('CAT_ESTADOS_ERP'!$B$4:$B$7,MATCH(IFERROR(INDEX('2_IMPORTAR_EJECUCION'!$D$9:$D$171,MATCH($C141,'2_IMPORTAR_EJECUCION'!$A$9:$A$171,0)),""),'CAT_ESTADOS_ERP'!$A$4:$A$7,0)),"Pendiente")</f>
        <v/>
      </c>
      <c r="O141" s="3">
        <f>IF($K141="","","S"&amp;IF(_xlfn.ISOWEEKNUM($K141)=53,1,_xlfn.ISOWEEKNUM($K141)))</f>
        <v/>
      </c>
      <c r="P141" s="3">
        <f>IF($K141="","",YEAR($K141))</f>
        <v/>
      </c>
      <c r="Q141" s="3">
        <f>IF($K141="","",MONTH($K141))</f>
        <v/>
      </c>
      <c r="R141" s="3">
        <f>IF($K141="","",INDEX(lista_dias,WEEKDAY($K141,2)))</f>
        <v/>
      </c>
      <c r="S141" s="3">
        <f>IFERROR(INDEX('CAT_TIPOS_OT'!$C$4:$C$7,MATCH($J141,'CAT_TIPOS_OT'!$A$4:$A$7,0)),"sin_clasificar")</f>
        <v/>
      </c>
      <c r="T141" s="3">
        <f>IFERROR(INDEX('CAT_CENTROS_COSTO'!$E$4:$E$9,MATCH($G141,'CAT_CENTROS_COSTO'!$A$4:$A$9,0)),"(sin catálogo)")</f>
        <v/>
      </c>
      <c r="U141" s="3">
        <f>IFERROR(INDEX('CAT_CENTROS_COSTO'!$D$4:$D$9,MATCH($G141,'CAT_CENTROS_COSTO'!$A$4:$A$9,0)),"(sin catálogo)")</f>
        <v/>
      </c>
      <c r="V141" s="3">
        <f>IFERROR(INDEX('CAT_CENTROS_COSTO'!$F$4:$F$9,MATCH($G141,'CAT_CENTROS_COSTO'!$A$4:$A$9,0)),"(sin catálogo)")</f>
        <v/>
      </c>
      <c r="W141" s="3">
        <f>IFERROR(INDEX('CAT_PUESTOS'!$B$4:$B$8,MATCH($H141,'CAT_PUESTOS'!$A$4:$A$8,0)),"(sin catálogo)")</f>
        <v/>
      </c>
      <c r="X141" s="3">
        <f>IFERROR(INDEX('CAT_ACTIVIDADES'!$B$4:$B$8,MATCH($I141,'CAT_ACTIVIDADES'!$A$4:$A$8,0)),"(sin catálogo)")</f>
        <v/>
      </c>
      <c r="Y141" s="12">
        <f>IF($K141="","",TODAY()-$K141)</f>
        <v/>
      </c>
      <c r="Z141" s="3">
        <f>IF($Y141="","",IF($Y141&lt;0,"FUTURO",IF($Y141&gt;p_dias_backlog_max,"BACKLOG","MES CORRIENTE")))</f>
        <v/>
      </c>
      <c r="AA141" s="3">
        <f>IF($Y141="",FALSE,AND($Y141&gt;p_dias_backlog_min,$Y141&lt;=p_dias_backlog_max))</f>
        <v/>
      </c>
      <c r="AB141" s="6" t="inlineStr"/>
      <c r="AC141" s="3">
        <f>IF($AB141="","",IFERROR(INDEX('ASIGNACIONES'!$F$4:$F$339,MATCH($O141&amp;"|"&amp;$R141&amp;"|"&amp;$AB141,'ASIGNACIONES'!$I$4:$I$339,0)),""))</f>
        <v/>
      </c>
      <c r="AD141" s="13">
        <f>IF($AB141="","",SUMIFS('ORDENES'!$L$4:$L$203,'ORDENES'!$AB$4:$AB$203,$AB141,'ORDENES'!$O$4:$O$203,$O141,'ORDENES'!$R$4:$R$203,$R141))</f>
        <v/>
      </c>
      <c r="AE141" s="13">
        <f>IF($AD141="","",p_factor_productividad*IFERROR(INDEX('ASIGNACIONES'!$H$4:$H$339,MATCH($O141&amp;"|"&amp;$R141&amp;"|"&amp;$AB141,'ASIGNACIONES'!$I$4:$I$339,0)),0)-$AD141)</f>
        <v/>
      </c>
      <c r="AF141" s="10">
        <f>IFERROR(INDEX('2_IMPORTAR_EJECUCION'!$G$9:$G$171,MATCH($C141,'2_IMPORTAR_EJECUCION'!$A$9:$A$171,0)),0)</f>
        <v/>
      </c>
      <c r="AG141" s="10">
        <f>MAX(0,IFERROR(INDEX('2_IMPORTAR_EJECUCION'!$I$9:$I$171,MATCH($C141,'2_IMPORTAR_EJECUCION'!$A$9:$A$171,0)),0)-$AF141)</f>
        <v/>
      </c>
      <c r="AH141" s="10">
        <f>$AF141+$AG141</f>
        <v/>
      </c>
      <c r="AI141" s="6" t="inlineStr"/>
      <c r="AJ141" s="6" t="inlineStr"/>
      <c r="AK141" s="6" t="inlineStr"/>
      <c r="AL141" s="3">
        <f>IF($AK141="","",HYPERLINK(p_ruta_base_checklists&amp;$AK141,"abrir"))</f>
        <v/>
      </c>
      <c r="AM141" s="6" t="inlineStr"/>
    </row>
    <row r="142">
      <c r="A142" s="3" t="inlineStr">
        <is>
          <t>OT-000139</t>
        </is>
      </c>
      <c r="B142" s="3" t="inlineStr">
        <is>
          <t>0010</t>
        </is>
      </c>
      <c r="C142" s="3">
        <f>$A142&amp;IF($B142="","0010",$B142)</f>
        <v/>
      </c>
      <c r="D142" s="3" t="inlineStr">
        <is>
          <t>Reparación de falla — EQ-111</t>
        </is>
      </c>
      <c r="E142" s="3" t="inlineStr">
        <is>
          <t>Reparación de falla en EQ-111</t>
        </is>
      </c>
      <c r="F142" s="3" t="inlineStr">
        <is>
          <t>EQ-111</t>
        </is>
      </c>
      <c r="G142" s="3" t="inlineStr">
        <is>
          <t>CC-320</t>
        </is>
      </c>
      <c r="H142" s="3" t="inlineStr">
        <is>
          <t>PU-ELE</t>
        </is>
      </c>
      <c r="I142" s="3" t="inlineStr">
        <is>
          <t>ACT-03</t>
        </is>
      </c>
      <c r="J142" s="3" t="inlineStr">
        <is>
          <t>TIPO-C2</t>
        </is>
      </c>
      <c r="K142" s="11" t="n">
        <v>46178</v>
      </c>
      <c r="L142" s="3" t="n">
        <v>8</v>
      </c>
      <c r="M142" s="10" t="n">
        <v>320</v>
      </c>
      <c r="N142" s="3">
        <f>IFERROR(INDEX('CAT_ESTADOS_ERP'!$B$4:$B$7,MATCH(IFERROR(INDEX('2_IMPORTAR_EJECUCION'!$D$9:$D$171,MATCH($C142,'2_IMPORTAR_EJECUCION'!$A$9:$A$171,0)),""),'CAT_ESTADOS_ERP'!$A$4:$A$7,0)),"Pendiente")</f>
        <v/>
      </c>
      <c r="O142" s="3">
        <f>IF($K142="","","S"&amp;IF(_xlfn.ISOWEEKNUM($K142)=53,1,_xlfn.ISOWEEKNUM($K142)))</f>
        <v/>
      </c>
      <c r="P142" s="3">
        <f>IF($K142="","",YEAR($K142))</f>
        <v/>
      </c>
      <c r="Q142" s="3">
        <f>IF($K142="","",MONTH($K142))</f>
        <v/>
      </c>
      <c r="R142" s="3">
        <f>IF($K142="","",INDEX(lista_dias,WEEKDAY($K142,2)))</f>
        <v/>
      </c>
      <c r="S142" s="3">
        <f>IFERROR(INDEX('CAT_TIPOS_OT'!$C$4:$C$7,MATCH($J142,'CAT_TIPOS_OT'!$A$4:$A$7,0)),"sin_clasificar")</f>
        <v/>
      </c>
      <c r="T142" s="3">
        <f>IFERROR(INDEX('CAT_CENTROS_COSTO'!$E$4:$E$9,MATCH($G142,'CAT_CENTROS_COSTO'!$A$4:$A$9,0)),"(sin catálogo)")</f>
        <v/>
      </c>
      <c r="U142" s="3">
        <f>IFERROR(INDEX('CAT_CENTROS_COSTO'!$D$4:$D$9,MATCH($G142,'CAT_CENTROS_COSTO'!$A$4:$A$9,0)),"(sin catálogo)")</f>
        <v/>
      </c>
      <c r="V142" s="3">
        <f>IFERROR(INDEX('CAT_CENTROS_COSTO'!$F$4:$F$9,MATCH($G142,'CAT_CENTROS_COSTO'!$A$4:$A$9,0)),"(sin catálogo)")</f>
        <v/>
      </c>
      <c r="W142" s="3">
        <f>IFERROR(INDEX('CAT_PUESTOS'!$B$4:$B$8,MATCH($H142,'CAT_PUESTOS'!$A$4:$A$8,0)),"(sin catálogo)")</f>
        <v/>
      </c>
      <c r="X142" s="3">
        <f>IFERROR(INDEX('CAT_ACTIVIDADES'!$B$4:$B$8,MATCH($I142,'CAT_ACTIVIDADES'!$A$4:$A$8,0)),"(sin catálogo)")</f>
        <v/>
      </c>
      <c r="Y142" s="12">
        <f>IF($K142="","",TODAY()-$K142)</f>
        <v/>
      </c>
      <c r="Z142" s="3">
        <f>IF($Y142="","",IF($Y142&lt;0,"FUTURO",IF($Y142&gt;p_dias_backlog_max,"BACKLOG","MES CORRIENTE")))</f>
        <v/>
      </c>
      <c r="AA142" s="3">
        <f>IF($Y142="",FALSE,AND($Y142&gt;p_dias_backlog_min,$Y142&lt;=p_dias_backlog_max))</f>
        <v/>
      </c>
      <c r="AB142" s="6" t="inlineStr"/>
      <c r="AC142" s="3">
        <f>IF($AB142="","",IFERROR(INDEX('ASIGNACIONES'!$F$4:$F$339,MATCH($O142&amp;"|"&amp;$R142&amp;"|"&amp;$AB142,'ASIGNACIONES'!$I$4:$I$339,0)),""))</f>
        <v/>
      </c>
      <c r="AD142" s="13">
        <f>IF($AB142="","",SUMIFS('ORDENES'!$L$4:$L$203,'ORDENES'!$AB$4:$AB$203,$AB142,'ORDENES'!$O$4:$O$203,$O142,'ORDENES'!$R$4:$R$203,$R142))</f>
        <v/>
      </c>
      <c r="AE142" s="13">
        <f>IF($AD142="","",p_factor_productividad*IFERROR(INDEX('ASIGNACIONES'!$H$4:$H$339,MATCH($O142&amp;"|"&amp;$R142&amp;"|"&amp;$AB142,'ASIGNACIONES'!$I$4:$I$339,0)),0)-$AD142)</f>
        <v/>
      </c>
      <c r="AF142" s="10">
        <f>IFERROR(INDEX('2_IMPORTAR_EJECUCION'!$G$9:$G$171,MATCH($C142,'2_IMPORTAR_EJECUCION'!$A$9:$A$171,0)),0)</f>
        <v/>
      </c>
      <c r="AG142" s="10">
        <f>MAX(0,IFERROR(INDEX('2_IMPORTAR_EJECUCION'!$I$9:$I$171,MATCH($C142,'2_IMPORTAR_EJECUCION'!$A$9:$A$171,0)),0)-$AF142)</f>
        <v/>
      </c>
      <c r="AH142" s="10">
        <f>$AF142+$AG142</f>
        <v/>
      </c>
      <c r="AI142" s="6" t="inlineStr"/>
      <c r="AJ142" s="6" t="inlineStr"/>
      <c r="AK142" s="6" t="inlineStr"/>
      <c r="AL142" s="3">
        <f>IF($AK142="","",HYPERLINK(p_ruta_base_checklists&amp;$AK142,"abrir"))</f>
        <v/>
      </c>
      <c r="AM142" s="6" t="inlineStr"/>
    </row>
    <row r="143">
      <c r="A143" s="3" t="inlineStr">
        <is>
          <t>OT-000140</t>
        </is>
      </c>
      <c r="B143" s="3" t="inlineStr">
        <is>
          <t>0010</t>
        </is>
      </c>
      <c r="C143" s="3">
        <f>$A143&amp;IF($B143="","0010",$B143)</f>
        <v/>
      </c>
      <c r="D143" s="3" t="inlineStr">
        <is>
          <t>Reparación de falla — EQ-101</t>
        </is>
      </c>
      <c r="E143" s="3" t="inlineStr">
        <is>
          <t>Reparación de falla en EQ-101</t>
        </is>
      </c>
      <c r="F143" s="3" t="inlineStr">
        <is>
          <t>EQ-101</t>
        </is>
      </c>
      <c r="G143" s="3" t="inlineStr">
        <is>
          <t>CC-110</t>
        </is>
      </c>
      <c r="H143" s="3" t="inlineStr">
        <is>
          <t>PU-AUT</t>
        </is>
      </c>
      <c r="I143" s="3" t="inlineStr">
        <is>
          <t>ACT-03</t>
        </is>
      </c>
      <c r="J143" s="3" t="inlineStr">
        <is>
          <t>TIPO-C1</t>
        </is>
      </c>
      <c r="K143" s="11" t="n">
        <v>46178</v>
      </c>
      <c r="L143" s="3" t="n">
        <v>4</v>
      </c>
      <c r="M143" s="10" t="n">
        <v>160</v>
      </c>
      <c r="N143" s="3">
        <f>IFERROR(INDEX('CAT_ESTADOS_ERP'!$B$4:$B$7,MATCH(IFERROR(INDEX('2_IMPORTAR_EJECUCION'!$D$9:$D$171,MATCH($C143,'2_IMPORTAR_EJECUCION'!$A$9:$A$171,0)),""),'CAT_ESTADOS_ERP'!$A$4:$A$7,0)),"Pendiente")</f>
        <v/>
      </c>
      <c r="O143" s="3">
        <f>IF($K143="","","S"&amp;IF(_xlfn.ISOWEEKNUM($K143)=53,1,_xlfn.ISOWEEKNUM($K143)))</f>
        <v/>
      </c>
      <c r="P143" s="3">
        <f>IF($K143="","",YEAR($K143))</f>
        <v/>
      </c>
      <c r="Q143" s="3">
        <f>IF($K143="","",MONTH($K143))</f>
        <v/>
      </c>
      <c r="R143" s="3">
        <f>IF($K143="","",INDEX(lista_dias,WEEKDAY($K143,2)))</f>
        <v/>
      </c>
      <c r="S143" s="3">
        <f>IFERROR(INDEX('CAT_TIPOS_OT'!$C$4:$C$7,MATCH($J143,'CAT_TIPOS_OT'!$A$4:$A$7,0)),"sin_clasificar")</f>
        <v/>
      </c>
      <c r="T143" s="3">
        <f>IFERROR(INDEX('CAT_CENTROS_COSTO'!$E$4:$E$9,MATCH($G143,'CAT_CENTROS_COSTO'!$A$4:$A$9,0)),"(sin catálogo)")</f>
        <v/>
      </c>
      <c r="U143" s="3">
        <f>IFERROR(INDEX('CAT_CENTROS_COSTO'!$D$4:$D$9,MATCH($G143,'CAT_CENTROS_COSTO'!$A$4:$A$9,0)),"(sin catálogo)")</f>
        <v/>
      </c>
      <c r="V143" s="3">
        <f>IFERROR(INDEX('CAT_CENTROS_COSTO'!$F$4:$F$9,MATCH($G143,'CAT_CENTROS_COSTO'!$A$4:$A$9,0)),"(sin catálogo)")</f>
        <v/>
      </c>
      <c r="W143" s="3">
        <f>IFERROR(INDEX('CAT_PUESTOS'!$B$4:$B$8,MATCH($H143,'CAT_PUESTOS'!$A$4:$A$8,0)),"(sin catálogo)")</f>
        <v/>
      </c>
      <c r="X143" s="3">
        <f>IFERROR(INDEX('CAT_ACTIVIDADES'!$B$4:$B$8,MATCH($I143,'CAT_ACTIVIDADES'!$A$4:$A$8,0)),"(sin catálogo)")</f>
        <v/>
      </c>
      <c r="Y143" s="12">
        <f>IF($K143="","",TODAY()-$K143)</f>
        <v/>
      </c>
      <c r="Z143" s="3">
        <f>IF($Y143="","",IF($Y143&lt;0,"FUTURO",IF($Y143&gt;p_dias_backlog_max,"BACKLOG","MES CORRIENTE")))</f>
        <v/>
      </c>
      <c r="AA143" s="3">
        <f>IF($Y143="",FALSE,AND($Y143&gt;p_dias_backlog_min,$Y143&lt;=p_dias_backlog_max))</f>
        <v/>
      </c>
      <c r="AB143" s="6" t="inlineStr"/>
      <c r="AC143" s="3">
        <f>IF($AB143="","",IFERROR(INDEX('ASIGNACIONES'!$F$4:$F$339,MATCH($O143&amp;"|"&amp;$R143&amp;"|"&amp;$AB143,'ASIGNACIONES'!$I$4:$I$339,0)),""))</f>
        <v/>
      </c>
      <c r="AD143" s="13">
        <f>IF($AB143="","",SUMIFS('ORDENES'!$L$4:$L$203,'ORDENES'!$AB$4:$AB$203,$AB143,'ORDENES'!$O$4:$O$203,$O143,'ORDENES'!$R$4:$R$203,$R143))</f>
        <v/>
      </c>
      <c r="AE143" s="13">
        <f>IF($AD143="","",p_factor_productividad*IFERROR(INDEX('ASIGNACIONES'!$H$4:$H$339,MATCH($O143&amp;"|"&amp;$R143&amp;"|"&amp;$AB143,'ASIGNACIONES'!$I$4:$I$339,0)),0)-$AD143)</f>
        <v/>
      </c>
      <c r="AF143" s="10">
        <f>IFERROR(INDEX('2_IMPORTAR_EJECUCION'!$G$9:$G$171,MATCH($C143,'2_IMPORTAR_EJECUCION'!$A$9:$A$171,0)),0)</f>
        <v/>
      </c>
      <c r="AG143" s="10">
        <f>MAX(0,IFERROR(INDEX('2_IMPORTAR_EJECUCION'!$I$9:$I$171,MATCH($C143,'2_IMPORTAR_EJECUCION'!$A$9:$A$171,0)),0)-$AF143)</f>
        <v/>
      </c>
      <c r="AH143" s="10">
        <f>$AF143+$AG143</f>
        <v/>
      </c>
      <c r="AI143" s="6" t="inlineStr"/>
      <c r="AJ143" s="6" t="inlineStr"/>
      <c r="AK143" s="6" t="inlineStr"/>
      <c r="AL143" s="3">
        <f>IF($AK143="","",HYPERLINK(p_ruta_base_checklists&amp;$AK143,"abrir"))</f>
        <v/>
      </c>
      <c r="AM143" s="6" t="inlineStr"/>
    </row>
    <row r="144">
      <c r="A144" s="3" t="inlineStr">
        <is>
          <t>OT-000141</t>
        </is>
      </c>
      <c r="B144" s="3" t="inlineStr">
        <is>
          <t>0010</t>
        </is>
      </c>
      <c r="C144" s="3">
        <f>$A144&amp;IF($B144="","0010",$B144)</f>
        <v/>
      </c>
      <c r="D144" s="3" t="inlineStr">
        <is>
          <t>Inspección de rutina — EQ-102</t>
        </is>
      </c>
      <c r="E144" s="3" t="inlineStr">
        <is>
          <t>Inspección de rutina en EQ-102</t>
        </is>
      </c>
      <c r="F144" s="3" t="inlineStr">
        <is>
          <t>EQ-102</t>
        </is>
      </c>
      <c r="G144" s="3" t="inlineStr">
        <is>
          <t>CC-120</t>
        </is>
      </c>
      <c r="H144" s="3" t="inlineStr">
        <is>
          <t>PU-OP</t>
        </is>
      </c>
      <c r="I144" s="3" t="inlineStr">
        <is>
          <t>ACT-01</t>
        </is>
      </c>
      <c r="J144" s="3" t="inlineStr">
        <is>
          <t>TIPO-P2</t>
        </is>
      </c>
      <c r="K144" s="11" t="n">
        <v>46178</v>
      </c>
      <c r="L144" s="3" t="n">
        <v>6</v>
      </c>
      <c r="M144" s="10" t="n">
        <v>150</v>
      </c>
      <c r="N144" s="3">
        <f>IFERROR(INDEX('CAT_ESTADOS_ERP'!$B$4:$B$7,MATCH(IFERROR(INDEX('2_IMPORTAR_EJECUCION'!$D$9:$D$171,MATCH($C144,'2_IMPORTAR_EJECUCION'!$A$9:$A$171,0)),""),'CAT_ESTADOS_ERP'!$A$4:$A$7,0)),"Pendiente")</f>
        <v/>
      </c>
      <c r="O144" s="3">
        <f>IF($K144="","","S"&amp;IF(_xlfn.ISOWEEKNUM($K144)=53,1,_xlfn.ISOWEEKNUM($K144)))</f>
        <v/>
      </c>
      <c r="P144" s="3">
        <f>IF($K144="","",YEAR($K144))</f>
        <v/>
      </c>
      <c r="Q144" s="3">
        <f>IF($K144="","",MONTH($K144))</f>
        <v/>
      </c>
      <c r="R144" s="3">
        <f>IF($K144="","",INDEX(lista_dias,WEEKDAY($K144,2)))</f>
        <v/>
      </c>
      <c r="S144" s="3">
        <f>IFERROR(INDEX('CAT_TIPOS_OT'!$C$4:$C$7,MATCH($J144,'CAT_TIPOS_OT'!$A$4:$A$7,0)),"sin_clasificar")</f>
        <v/>
      </c>
      <c r="T144" s="3">
        <f>IFERROR(INDEX('CAT_CENTROS_COSTO'!$E$4:$E$9,MATCH($G144,'CAT_CENTROS_COSTO'!$A$4:$A$9,0)),"(sin catálogo)")</f>
        <v/>
      </c>
      <c r="U144" s="3">
        <f>IFERROR(INDEX('CAT_CENTROS_COSTO'!$D$4:$D$9,MATCH($G144,'CAT_CENTROS_COSTO'!$A$4:$A$9,0)),"(sin catálogo)")</f>
        <v/>
      </c>
      <c r="V144" s="3">
        <f>IFERROR(INDEX('CAT_CENTROS_COSTO'!$F$4:$F$9,MATCH($G144,'CAT_CENTROS_COSTO'!$A$4:$A$9,0)),"(sin catálogo)")</f>
        <v/>
      </c>
      <c r="W144" s="3">
        <f>IFERROR(INDEX('CAT_PUESTOS'!$B$4:$B$8,MATCH($H144,'CAT_PUESTOS'!$A$4:$A$8,0)),"(sin catálogo)")</f>
        <v/>
      </c>
      <c r="X144" s="3">
        <f>IFERROR(INDEX('CAT_ACTIVIDADES'!$B$4:$B$8,MATCH($I144,'CAT_ACTIVIDADES'!$A$4:$A$8,0)),"(sin catálogo)")</f>
        <v/>
      </c>
      <c r="Y144" s="12">
        <f>IF($K144="","",TODAY()-$K144)</f>
        <v/>
      </c>
      <c r="Z144" s="3">
        <f>IF($Y144="","",IF($Y144&lt;0,"FUTURO",IF($Y144&gt;p_dias_backlog_max,"BACKLOG","MES CORRIENTE")))</f>
        <v/>
      </c>
      <c r="AA144" s="3">
        <f>IF($Y144="",FALSE,AND($Y144&gt;p_dias_backlog_min,$Y144&lt;=p_dias_backlog_max))</f>
        <v/>
      </c>
      <c r="AB144" s="6" t="inlineStr"/>
      <c r="AC144" s="3">
        <f>IF($AB144="","",IFERROR(INDEX('ASIGNACIONES'!$F$4:$F$339,MATCH($O144&amp;"|"&amp;$R144&amp;"|"&amp;$AB144,'ASIGNACIONES'!$I$4:$I$339,0)),""))</f>
        <v/>
      </c>
      <c r="AD144" s="13">
        <f>IF($AB144="","",SUMIFS('ORDENES'!$L$4:$L$203,'ORDENES'!$AB$4:$AB$203,$AB144,'ORDENES'!$O$4:$O$203,$O144,'ORDENES'!$R$4:$R$203,$R144))</f>
        <v/>
      </c>
      <c r="AE144" s="13">
        <f>IF($AD144="","",p_factor_productividad*IFERROR(INDEX('ASIGNACIONES'!$H$4:$H$339,MATCH($O144&amp;"|"&amp;$R144&amp;"|"&amp;$AB144,'ASIGNACIONES'!$I$4:$I$339,0)),0)-$AD144)</f>
        <v/>
      </c>
      <c r="AF144" s="10">
        <f>IFERROR(INDEX('2_IMPORTAR_EJECUCION'!$G$9:$G$171,MATCH($C144,'2_IMPORTAR_EJECUCION'!$A$9:$A$171,0)),0)</f>
        <v/>
      </c>
      <c r="AG144" s="10">
        <f>MAX(0,IFERROR(INDEX('2_IMPORTAR_EJECUCION'!$I$9:$I$171,MATCH($C144,'2_IMPORTAR_EJECUCION'!$A$9:$A$171,0)),0)-$AF144)</f>
        <v/>
      </c>
      <c r="AH144" s="10">
        <f>$AF144+$AG144</f>
        <v/>
      </c>
      <c r="AI144" s="6" t="inlineStr"/>
      <c r="AJ144" s="6" t="inlineStr"/>
      <c r="AK144" s="6" t="inlineStr"/>
      <c r="AL144" s="3">
        <f>IF($AK144="","",HYPERLINK(p_ruta_base_checklists&amp;$AK144,"abrir"))</f>
        <v/>
      </c>
      <c r="AM144" s="6" t="inlineStr"/>
    </row>
    <row r="145">
      <c r="A145" s="3" t="inlineStr">
        <is>
          <t>OT-000142</t>
        </is>
      </c>
      <c r="B145" s="3" t="inlineStr">
        <is>
          <t>0010</t>
        </is>
      </c>
      <c r="C145" s="3">
        <f>$A145&amp;IF($B145="","0010",$B145)</f>
        <v/>
      </c>
      <c r="D145" s="3" t="inlineStr">
        <is>
          <t>Reparación de falla — EQ-103</t>
        </is>
      </c>
      <c r="E145" s="3" t="inlineStr">
        <is>
          <t>Reparación de falla en EQ-103</t>
        </is>
      </c>
      <c r="F145" s="3" t="inlineStr">
        <is>
          <t>EQ-103</t>
        </is>
      </c>
      <c r="G145" s="3" t="inlineStr">
        <is>
          <t>CC-120</t>
        </is>
      </c>
      <c r="H145" s="3" t="inlineStr">
        <is>
          <t>PU-ELE</t>
        </is>
      </c>
      <c r="I145" s="3" t="inlineStr">
        <is>
          <t>ACT-03</t>
        </is>
      </c>
      <c r="J145" s="3" t="inlineStr">
        <is>
          <t>TIPO-C1</t>
        </is>
      </c>
      <c r="K145" s="11" t="n">
        <v>46148</v>
      </c>
      <c r="L145" s="3" t="n">
        <v>4</v>
      </c>
      <c r="M145" s="10" t="n">
        <v>160</v>
      </c>
      <c r="N145" s="3">
        <f>IFERROR(INDEX('CAT_ESTADOS_ERP'!$B$4:$B$7,MATCH(IFERROR(INDEX('2_IMPORTAR_EJECUCION'!$D$9:$D$171,MATCH($C145,'2_IMPORTAR_EJECUCION'!$A$9:$A$171,0)),""),'CAT_ESTADOS_ERP'!$A$4:$A$7,0)),"Pendiente")</f>
        <v/>
      </c>
      <c r="O145" s="3">
        <f>IF($K145="","","S"&amp;IF(_xlfn.ISOWEEKNUM($K145)=53,1,_xlfn.ISOWEEKNUM($K145)))</f>
        <v/>
      </c>
      <c r="P145" s="3">
        <f>IF($K145="","",YEAR($K145))</f>
        <v/>
      </c>
      <c r="Q145" s="3">
        <f>IF($K145="","",MONTH($K145))</f>
        <v/>
      </c>
      <c r="R145" s="3">
        <f>IF($K145="","",INDEX(lista_dias,WEEKDAY($K145,2)))</f>
        <v/>
      </c>
      <c r="S145" s="3">
        <f>IFERROR(INDEX('CAT_TIPOS_OT'!$C$4:$C$7,MATCH($J145,'CAT_TIPOS_OT'!$A$4:$A$7,0)),"sin_clasificar")</f>
        <v/>
      </c>
      <c r="T145" s="3">
        <f>IFERROR(INDEX('CAT_CENTROS_COSTO'!$E$4:$E$9,MATCH($G145,'CAT_CENTROS_COSTO'!$A$4:$A$9,0)),"(sin catálogo)")</f>
        <v/>
      </c>
      <c r="U145" s="3">
        <f>IFERROR(INDEX('CAT_CENTROS_COSTO'!$D$4:$D$9,MATCH($G145,'CAT_CENTROS_COSTO'!$A$4:$A$9,0)),"(sin catálogo)")</f>
        <v/>
      </c>
      <c r="V145" s="3">
        <f>IFERROR(INDEX('CAT_CENTROS_COSTO'!$F$4:$F$9,MATCH($G145,'CAT_CENTROS_COSTO'!$A$4:$A$9,0)),"(sin catálogo)")</f>
        <v/>
      </c>
      <c r="W145" s="3">
        <f>IFERROR(INDEX('CAT_PUESTOS'!$B$4:$B$8,MATCH($H145,'CAT_PUESTOS'!$A$4:$A$8,0)),"(sin catálogo)")</f>
        <v/>
      </c>
      <c r="X145" s="3">
        <f>IFERROR(INDEX('CAT_ACTIVIDADES'!$B$4:$B$8,MATCH($I145,'CAT_ACTIVIDADES'!$A$4:$A$8,0)),"(sin catálogo)")</f>
        <v/>
      </c>
      <c r="Y145" s="12">
        <f>IF($K145="","",TODAY()-$K145)</f>
        <v/>
      </c>
      <c r="Z145" s="3">
        <f>IF($Y145="","",IF($Y145&lt;0,"FUTURO",IF($Y145&gt;p_dias_backlog_max,"BACKLOG","MES CORRIENTE")))</f>
        <v/>
      </c>
      <c r="AA145" s="3">
        <f>IF($Y145="",FALSE,AND($Y145&gt;p_dias_backlog_min,$Y145&lt;=p_dias_backlog_max))</f>
        <v/>
      </c>
      <c r="AB145" s="6" t="inlineStr"/>
      <c r="AC145" s="3">
        <f>IF($AB145="","",IFERROR(INDEX('ASIGNACIONES'!$F$4:$F$339,MATCH($O145&amp;"|"&amp;$R145&amp;"|"&amp;$AB145,'ASIGNACIONES'!$I$4:$I$339,0)),""))</f>
        <v/>
      </c>
      <c r="AD145" s="13">
        <f>IF($AB145="","",SUMIFS('ORDENES'!$L$4:$L$203,'ORDENES'!$AB$4:$AB$203,$AB145,'ORDENES'!$O$4:$O$203,$O145,'ORDENES'!$R$4:$R$203,$R145))</f>
        <v/>
      </c>
      <c r="AE145" s="13">
        <f>IF($AD145="","",p_factor_productividad*IFERROR(INDEX('ASIGNACIONES'!$H$4:$H$339,MATCH($O145&amp;"|"&amp;$R145&amp;"|"&amp;$AB145,'ASIGNACIONES'!$I$4:$I$339,0)),0)-$AD145)</f>
        <v/>
      </c>
      <c r="AF145" s="10">
        <f>IFERROR(INDEX('2_IMPORTAR_EJECUCION'!$G$9:$G$171,MATCH($C145,'2_IMPORTAR_EJECUCION'!$A$9:$A$171,0)),0)</f>
        <v/>
      </c>
      <c r="AG145" s="10">
        <f>MAX(0,IFERROR(INDEX('2_IMPORTAR_EJECUCION'!$I$9:$I$171,MATCH($C145,'2_IMPORTAR_EJECUCION'!$A$9:$A$171,0)),0)-$AF145)</f>
        <v/>
      </c>
      <c r="AH145" s="10">
        <f>$AF145+$AG145</f>
        <v/>
      </c>
      <c r="AI145" s="6" t="inlineStr"/>
      <c r="AJ145" s="6" t="inlineStr"/>
      <c r="AK145" s="6" t="inlineStr"/>
      <c r="AL145" s="3">
        <f>IF($AK145="","",HYPERLINK(p_ruta_base_checklists&amp;$AK145,"abrir"))</f>
        <v/>
      </c>
      <c r="AM145" s="6" t="inlineStr"/>
    </row>
    <row r="146">
      <c r="A146" s="3" t="inlineStr">
        <is>
          <t>OT-000143</t>
        </is>
      </c>
      <c r="B146" s="3" t="inlineStr">
        <is>
          <t>0010</t>
        </is>
      </c>
      <c r="C146" s="3">
        <f>$A146&amp;IF($B146="","0010",$B146)</f>
        <v/>
      </c>
      <c r="D146" s="3" t="inlineStr">
        <is>
          <t>Reparación de falla — EQ-109</t>
        </is>
      </c>
      <c r="E146" s="3" t="inlineStr">
        <is>
          <t>Reparación de falla en EQ-109</t>
        </is>
      </c>
      <c r="F146" s="3" t="inlineStr">
        <is>
          <t>EQ-109</t>
        </is>
      </c>
      <c r="G146" s="3" t="inlineStr">
        <is>
          <t>CC-210</t>
        </is>
      </c>
      <c r="H146" s="3" t="inlineStr">
        <is>
          <t>PU-AUT</t>
        </is>
      </c>
      <c r="I146" s="3" t="inlineStr">
        <is>
          <t>ACT-03</t>
        </is>
      </c>
      <c r="J146" s="3" t="inlineStr">
        <is>
          <t>TIPO-C2</t>
        </is>
      </c>
      <c r="K146" s="11" t="n">
        <v>46148</v>
      </c>
      <c r="L146" s="3" t="n">
        <v>6</v>
      </c>
      <c r="M146" s="10" t="n">
        <v>240</v>
      </c>
      <c r="N146" s="3">
        <f>IFERROR(INDEX('CAT_ESTADOS_ERP'!$B$4:$B$7,MATCH(IFERROR(INDEX('2_IMPORTAR_EJECUCION'!$D$9:$D$171,MATCH($C146,'2_IMPORTAR_EJECUCION'!$A$9:$A$171,0)),""),'CAT_ESTADOS_ERP'!$A$4:$A$7,0)),"Pendiente")</f>
        <v/>
      </c>
      <c r="O146" s="3">
        <f>IF($K146="","","S"&amp;IF(_xlfn.ISOWEEKNUM($K146)=53,1,_xlfn.ISOWEEKNUM($K146)))</f>
        <v/>
      </c>
      <c r="P146" s="3">
        <f>IF($K146="","",YEAR($K146))</f>
        <v/>
      </c>
      <c r="Q146" s="3">
        <f>IF($K146="","",MONTH($K146))</f>
        <v/>
      </c>
      <c r="R146" s="3">
        <f>IF($K146="","",INDEX(lista_dias,WEEKDAY($K146,2)))</f>
        <v/>
      </c>
      <c r="S146" s="3">
        <f>IFERROR(INDEX('CAT_TIPOS_OT'!$C$4:$C$7,MATCH($J146,'CAT_TIPOS_OT'!$A$4:$A$7,0)),"sin_clasificar")</f>
        <v/>
      </c>
      <c r="T146" s="3">
        <f>IFERROR(INDEX('CAT_CENTROS_COSTO'!$E$4:$E$9,MATCH($G146,'CAT_CENTROS_COSTO'!$A$4:$A$9,0)),"(sin catálogo)")</f>
        <v/>
      </c>
      <c r="U146" s="3">
        <f>IFERROR(INDEX('CAT_CENTROS_COSTO'!$D$4:$D$9,MATCH($G146,'CAT_CENTROS_COSTO'!$A$4:$A$9,0)),"(sin catálogo)")</f>
        <v/>
      </c>
      <c r="V146" s="3">
        <f>IFERROR(INDEX('CAT_CENTROS_COSTO'!$F$4:$F$9,MATCH($G146,'CAT_CENTROS_COSTO'!$A$4:$A$9,0)),"(sin catálogo)")</f>
        <v/>
      </c>
      <c r="W146" s="3">
        <f>IFERROR(INDEX('CAT_PUESTOS'!$B$4:$B$8,MATCH($H146,'CAT_PUESTOS'!$A$4:$A$8,0)),"(sin catálogo)")</f>
        <v/>
      </c>
      <c r="X146" s="3">
        <f>IFERROR(INDEX('CAT_ACTIVIDADES'!$B$4:$B$8,MATCH($I146,'CAT_ACTIVIDADES'!$A$4:$A$8,0)),"(sin catálogo)")</f>
        <v/>
      </c>
      <c r="Y146" s="12">
        <f>IF($K146="","",TODAY()-$K146)</f>
        <v/>
      </c>
      <c r="Z146" s="3">
        <f>IF($Y146="","",IF($Y146&lt;0,"FUTURO",IF($Y146&gt;p_dias_backlog_max,"BACKLOG","MES CORRIENTE")))</f>
        <v/>
      </c>
      <c r="AA146" s="3">
        <f>IF($Y146="",FALSE,AND($Y146&gt;p_dias_backlog_min,$Y146&lt;=p_dias_backlog_max))</f>
        <v/>
      </c>
      <c r="AB146" s="6" t="inlineStr"/>
      <c r="AC146" s="3">
        <f>IF($AB146="","",IFERROR(INDEX('ASIGNACIONES'!$F$4:$F$339,MATCH($O146&amp;"|"&amp;$R146&amp;"|"&amp;$AB146,'ASIGNACIONES'!$I$4:$I$339,0)),""))</f>
        <v/>
      </c>
      <c r="AD146" s="13">
        <f>IF($AB146="","",SUMIFS('ORDENES'!$L$4:$L$203,'ORDENES'!$AB$4:$AB$203,$AB146,'ORDENES'!$O$4:$O$203,$O146,'ORDENES'!$R$4:$R$203,$R146))</f>
        <v/>
      </c>
      <c r="AE146" s="13">
        <f>IF($AD146="","",p_factor_productividad*IFERROR(INDEX('ASIGNACIONES'!$H$4:$H$339,MATCH($O146&amp;"|"&amp;$R146&amp;"|"&amp;$AB146,'ASIGNACIONES'!$I$4:$I$339,0)),0)-$AD146)</f>
        <v/>
      </c>
      <c r="AF146" s="10">
        <f>IFERROR(INDEX('2_IMPORTAR_EJECUCION'!$G$9:$G$171,MATCH($C146,'2_IMPORTAR_EJECUCION'!$A$9:$A$171,0)),0)</f>
        <v/>
      </c>
      <c r="AG146" s="10">
        <f>MAX(0,IFERROR(INDEX('2_IMPORTAR_EJECUCION'!$I$9:$I$171,MATCH($C146,'2_IMPORTAR_EJECUCION'!$A$9:$A$171,0)),0)-$AF146)</f>
        <v/>
      </c>
      <c r="AH146" s="10">
        <f>$AF146+$AG146</f>
        <v/>
      </c>
      <c r="AI146" s="6" t="inlineStr"/>
      <c r="AJ146" s="6" t="inlineStr"/>
      <c r="AK146" s="6" t="inlineStr"/>
      <c r="AL146" s="3">
        <f>IF($AK146="","",HYPERLINK(p_ruta_base_checklists&amp;$AK146,"abrir"))</f>
        <v/>
      </c>
      <c r="AM146" s="6" t="inlineStr"/>
    </row>
    <row r="147">
      <c r="A147" s="3" t="inlineStr">
        <is>
          <t>OT-000144</t>
        </is>
      </c>
      <c r="B147" s="3" t="inlineStr">
        <is>
          <t>0010</t>
        </is>
      </c>
      <c r="C147" s="3">
        <f>$A147&amp;IF($B147="","0010",$B147)</f>
        <v/>
      </c>
      <c r="D147" s="3" t="inlineStr">
        <is>
          <t>Reparación de falla — EQ-106</t>
        </is>
      </c>
      <c r="E147" s="3" t="inlineStr">
        <is>
          <t>Reparación de falla en EQ-106</t>
        </is>
      </c>
      <c r="F147" s="3" t="inlineStr">
        <is>
          <t>EQ-106</t>
        </is>
      </c>
      <c r="G147" s="3" t="inlineStr">
        <is>
          <t>CC-220</t>
        </is>
      </c>
      <c r="H147" s="3" t="inlineStr">
        <is>
          <t>PU-OP</t>
        </is>
      </c>
      <c r="I147" s="3" t="inlineStr">
        <is>
          <t>ACT-03</t>
        </is>
      </c>
      <c r="J147" s="3" t="inlineStr">
        <is>
          <t>TIPO-C1</t>
        </is>
      </c>
      <c r="K147" s="11" t="n">
        <v>46148</v>
      </c>
      <c r="L147" s="3" t="n">
        <v>8</v>
      </c>
      <c r="M147" s="10" t="n">
        <v>320</v>
      </c>
      <c r="N147" s="3">
        <f>IFERROR(INDEX('CAT_ESTADOS_ERP'!$B$4:$B$7,MATCH(IFERROR(INDEX('2_IMPORTAR_EJECUCION'!$D$9:$D$171,MATCH($C147,'2_IMPORTAR_EJECUCION'!$A$9:$A$171,0)),""),'CAT_ESTADOS_ERP'!$A$4:$A$7,0)),"Pendiente")</f>
        <v/>
      </c>
      <c r="O147" s="3">
        <f>IF($K147="","","S"&amp;IF(_xlfn.ISOWEEKNUM($K147)=53,1,_xlfn.ISOWEEKNUM($K147)))</f>
        <v/>
      </c>
      <c r="P147" s="3">
        <f>IF($K147="","",YEAR($K147))</f>
        <v/>
      </c>
      <c r="Q147" s="3">
        <f>IF($K147="","",MONTH($K147))</f>
        <v/>
      </c>
      <c r="R147" s="3">
        <f>IF($K147="","",INDEX(lista_dias,WEEKDAY($K147,2)))</f>
        <v/>
      </c>
      <c r="S147" s="3">
        <f>IFERROR(INDEX('CAT_TIPOS_OT'!$C$4:$C$7,MATCH($J147,'CAT_TIPOS_OT'!$A$4:$A$7,0)),"sin_clasificar")</f>
        <v/>
      </c>
      <c r="T147" s="3">
        <f>IFERROR(INDEX('CAT_CENTROS_COSTO'!$E$4:$E$9,MATCH($G147,'CAT_CENTROS_COSTO'!$A$4:$A$9,0)),"(sin catálogo)")</f>
        <v/>
      </c>
      <c r="U147" s="3">
        <f>IFERROR(INDEX('CAT_CENTROS_COSTO'!$D$4:$D$9,MATCH($G147,'CAT_CENTROS_COSTO'!$A$4:$A$9,0)),"(sin catálogo)")</f>
        <v/>
      </c>
      <c r="V147" s="3">
        <f>IFERROR(INDEX('CAT_CENTROS_COSTO'!$F$4:$F$9,MATCH($G147,'CAT_CENTROS_COSTO'!$A$4:$A$9,0)),"(sin catálogo)")</f>
        <v/>
      </c>
      <c r="W147" s="3">
        <f>IFERROR(INDEX('CAT_PUESTOS'!$B$4:$B$8,MATCH($H147,'CAT_PUESTOS'!$A$4:$A$8,0)),"(sin catálogo)")</f>
        <v/>
      </c>
      <c r="X147" s="3">
        <f>IFERROR(INDEX('CAT_ACTIVIDADES'!$B$4:$B$8,MATCH($I147,'CAT_ACTIVIDADES'!$A$4:$A$8,0)),"(sin catálogo)")</f>
        <v/>
      </c>
      <c r="Y147" s="12">
        <f>IF($K147="","",TODAY()-$K147)</f>
        <v/>
      </c>
      <c r="Z147" s="3">
        <f>IF($Y147="","",IF($Y147&lt;0,"FUTURO",IF($Y147&gt;p_dias_backlog_max,"BACKLOG","MES CORRIENTE")))</f>
        <v/>
      </c>
      <c r="AA147" s="3">
        <f>IF($Y147="",FALSE,AND($Y147&gt;p_dias_backlog_min,$Y147&lt;=p_dias_backlog_max))</f>
        <v/>
      </c>
      <c r="AB147" s="6" t="inlineStr"/>
      <c r="AC147" s="3">
        <f>IF($AB147="","",IFERROR(INDEX('ASIGNACIONES'!$F$4:$F$339,MATCH($O147&amp;"|"&amp;$R147&amp;"|"&amp;$AB147,'ASIGNACIONES'!$I$4:$I$339,0)),""))</f>
        <v/>
      </c>
      <c r="AD147" s="13">
        <f>IF($AB147="","",SUMIFS('ORDENES'!$L$4:$L$203,'ORDENES'!$AB$4:$AB$203,$AB147,'ORDENES'!$O$4:$O$203,$O147,'ORDENES'!$R$4:$R$203,$R147))</f>
        <v/>
      </c>
      <c r="AE147" s="13">
        <f>IF($AD147="","",p_factor_productividad*IFERROR(INDEX('ASIGNACIONES'!$H$4:$H$339,MATCH($O147&amp;"|"&amp;$R147&amp;"|"&amp;$AB147,'ASIGNACIONES'!$I$4:$I$339,0)),0)-$AD147)</f>
        <v/>
      </c>
      <c r="AF147" s="10">
        <f>IFERROR(INDEX('2_IMPORTAR_EJECUCION'!$G$9:$G$171,MATCH($C147,'2_IMPORTAR_EJECUCION'!$A$9:$A$171,0)),0)</f>
        <v/>
      </c>
      <c r="AG147" s="10">
        <f>MAX(0,IFERROR(INDEX('2_IMPORTAR_EJECUCION'!$I$9:$I$171,MATCH($C147,'2_IMPORTAR_EJECUCION'!$A$9:$A$171,0)),0)-$AF147)</f>
        <v/>
      </c>
      <c r="AH147" s="10">
        <f>$AF147+$AG147</f>
        <v/>
      </c>
      <c r="AI147" s="6" t="inlineStr"/>
      <c r="AJ147" s="6" t="inlineStr"/>
      <c r="AK147" s="6" t="inlineStr"/>
      <c r="AL147" s="3">
        <f>IF($AK147="","",HYPERLINK(p_ruta_base_checklists&amp;$AK147,"abrir"))</f>
        <v/>
      </c>
      <c r="AM147" s="6" t="inlineStr"/>
    </row>
    <row r="148">
      <c r="A148" s="3" t="inlineStr">
        <is>
          <t>OT-000145</t>
        </is>
      </c>
      <c r="B148" s="3" t="inlineStr">
        <is>
          <t>0010</t>
        </is>
      </c>
      <c r="C148" s="3">
        <f>$A148&amp;IF($B148="","0010",$B148)</f>
        <v/>
      </c>
      <c r="D148" s="3" t="inlineStr">
        <is>
          <t>Lubricación programada — EQ-111</t>
        </is>
      </c>
      <c r="E148" s="3" t="inlineStr">
        <is>
          <t>Lubricación programada en EQ-111</t>
        </is>
      </c>
      <c r="F148" s="3" t="inlineStr">
        <is>
          <t>EQ-111</t>
        </is>
      </c>
      <c r="G148" s="3" t="inlineStr">
        <is>
          <t>CC-310</t>
        </is>
      </c>
      <c r="H148" s="3" t="inlineStr">
        <is>
          <t>PU-MEC</t>
        </is>
      </c>
      <c r="I148" s="3" t="inlineStr">
        <is>
          <t>ACT-02</t>
        </is>
      </c>
      <c r="J148" s="3" t="inlineStr">
        <is>
          <t>TIPO-P2</t>
        </is>
      </c>
      <c r="K148" s="11" t="n">
        <v>46148</v>
      </c>
      <c r="L148" s="3" t="n">
        <v>4</v>
      </c>
      <c r="M148" s="10" t="n">
        <v>100</v>
      </c>
      <c r="N148" s="3">
        <f>IFERROR(INDEX('CAT_ESTADOS_ERP'!$B$4:$B$7,MATCH(IFERROR(INDEX('2_IMPORTAR_EJECUCION'!$D$9:$D$171,MATCH($C148,'2_IMPORTAR_EJECUCION'!$A$9:$A$171,0)),""),'CAT_ESTADOS_ERP'!$A$4:$A$7,0)),"Pendiente")</f>
        <v/>
      </c>
      <c r="O148" s="3">
        <f>IF($K148="","","S"&amp;IF(_xlfn.ISOWEEKNUM($K148)=53,1,_xlfn.ISOWEEKNUM($K148)))</f>
        <v/>
      </c>
      <c r="P148" s="3">
        <f>IF($K148="","",YEAR($K148))</f>
        <v/>
      </c>
      <c r="Q148" s="3">
        <f>IF($K148="","",MONTH($K148))</f>
        <v/>
      </c>
      <c r="R148" s="3">
        <f>IF($K148="","",INDEX(lista_dias,WEEKDAY($K148,2)))</f>
        <v/>
      </c>
      <c r="S148" s="3">
        <f>IFERROR(INDEX('CAT_TIPOS_OT'!$C$4:$C$7,MATCH($J148,'CAT_TIPOS_OT'!$A$4:$A$7,0)),"sin_clasificar")</f>
        <v/>
      </c>
      <c r="T148" s="3">
        <f>IFERROR(INDEX('CAT_CENTROS_COSTO'!$E$4:$E$9,MATCH($G148,'CAT_CENTROS_COSTO'!$A$4:$A$9,0)),"(sin catálogo)")</f>
        <v/>
      </c>
      <c r="U148" s="3">
        <f>IFERROR(INDEX('CAT_CENTROS_COSTO'!$D$4:$D$9,MATCH($G148,'CAT_CENTROS_COSTO'!$A$4:$A$9,0)),"(sin catálogo)")</f>
        <v/>
      </c>
      <c r="V148" s="3">
        <f>IFERROR(INDEX('CAT_CENTROS_COSTO'!$F$4:$F$9,MATCH($G148,'CAT_CENTROS_COSTO'!$A$4:$A$9,0)),"(sin catálogo)")</f>
        <v/>
      </c>
      <c r="W148" s="3">
        <f>IFERROR(INDEX('CAT_PUESTOS'!$B$4:$B$8,MATCH($H148,'CAT_PUESTOS'!$A$4:$A$8,0)),"(sin catálogo)")</f>
        <v/>
      </c>
      <c r="X148" s="3">
        <f>IFERROR(INDEX('CAT_ACTIVIDADES'!$B$4:$B$8,MATCH($I148,'CAT_ACTIVIDADES'!$A$4:$A$8,0)),"(sin catálogo)")</f>
        <v/>
      </c>
      <c r="Y148" s="12">
        <f>IF($K148="","",TODAY()-$K148)</f>
        <v/>
      </c>
      <c r="Z148" s="3">
        <f>IF($Y148="","",IF($Y148&lt;0,"FUTURO",IF($Y148&gt;p_dias_backlog_max,"BACKLOG","MES CORRIENTE")))</f>
        <v/>
      </c>
      <c r="AA148" s="3">
        <f>IF($Y148="",FALSE,AND($Y148&gt;p_dias_backlog_min,$Y148&lt;=p_dias_backlog_max))</f>
        <v/>
      </c>
      <c r="AB148" s="6" t="inlineStr"/>
      <c r="AC148" s="3">
        <f>IF($AB148="","",IFERROR(INDEX('ASIGNACIONES'!$F$4:$F$339,MATCH($O148&amp;"|"&amp;$R148&amp;"|"&amp;$AB148,'ASIGNACIONES'!$I$4:$I$339,0)),""))</f>
        <v/>
      </c>
      <c r="AD148" s="13">
        <f>IF($AB148="","",SUMIFS('ORDENES'!$L$4:$L$203,'ORDENES'!$AB$4:$AB$203,$AB148,'ORDENES'!$O$4:$O$203,$O148,'ORDENES'!$R$4:$R$203,$R148))</f>
        <v/>
      </c>
      <c r="AE148" s="13">
        <f>IF($AD148="","",p_factor_productividad*IFERROR(INDEX('ASIGNACIONES'!$H$4:$H$339,MATCH($O148&amp;"|"&amp;$R148&amp;"|"&amp;$AB148,'ASIGNACIONES'!$I$4:$I$339,0)),0)-$AD148)</f>
        <v/>
      </c>
      <c r="AF148" s="10">
        <f>IFERROR(INDEX('2_IMPORTAR_EJECUCION'!$G$9:$G$171,MATCH($C148,'2_IMPORTAR_EJECUCION'!$A$9:$A$171,0)),0)</f>
        <v/>
      </c>
      <c r="AG148" s="10">
        <f>MAX(0,IFERROR(INDEX('2_IMPORTAR_EJECUCION'!$I$9:$I$171,MATCH($C148,'2_IMPORTAR_EJECUCION'!$A$9:$A$171,0)),0)-$AF148)</f>
        <v/>
      </c>
      <c r="AH148" s="10">
        <f>$AF148+$AG148</f>
        <v/>
      </c>
      <c r="AI148" s="6" t="inlineStr"/>
      <c r="AJ148" s="6" t="inlineStr"/>
      <c r="AK148" s="6" t="inlineStr"/>
      <c r="AL148" s="3">
        <f>IF($AK148="","",HYPERLINK(p_ruta_base_checklists&amp;$AK148,"abrir"))</f>
        <v/>
      </c>
      <c r="AM148" s="6" t="inlineStr"/>
    </row>
    <row r="149">
      <c r="A149" s="3" t="inlineStr">
        <is>
          <t>OT-000146</t>
        </is>
      </c>
      <c r="B149" s="3" t="inlineStr">
        <is>
          <t>0010</t>
        </is>
      </c>
      <c r="C149" s="3">
        <f>$A149&amp;IF($B149="","0010",$B149)</f>
        <v/>
      </c>
      <c r="D149" s="3" t="inlineStr">
        <is>
          <t>Reparación de falla — EQ-112</t>
        </is>
      </c>
      <c r="E149" s="3" t="inlineStr">
        <is>
          <t>Reparación de falla en EQ-112</t>
        </is>
      </c>
      <c r="F149" s="3" t="inlineStr">
        <is>
          <t>EQ-112</t>
        </is>
      </c>
      <c r="G149" s="3" t="inlineStr">
        <is>
          <t>CC-320</t>
        </is>
      </c>
      <c r="H149" s="3" t="inlineStr">
        <is>
          <t>PU-ELE</t>
        </is>
      </c>
      <c r="I149" s="3" t="inlineStr">
        <is>
          <t>ACT-03</t>
        </is>
      </c>
      <c r="J149" s="3" t="inlineStr">
        <is>
          <t>TIPO-C1</t>
        </is>
      </c>
      <c r="K149" s="11" t="n">
        <v>46148</v>
      </c>
      <c r="L149" s="3" t="n">
        <v>6</v>
      </c>
      <c r="M149" s="10" t="n">
        <v>240</v>
      </c>
      <c r="N149" s="3">
        <f>IFERROR(INDEX('CAT_ESTADOS_ERP'!$B$4:$B$7,MATCH(IFERROR(INDEX('2_IMPORTAR_EJECUCION'!$D$9:$D$171,MATCH($C149,'2_IMPORTAR_EJECUCION'!$A$9:$A$171,0)),""),'CAT_ESTADOS_ERP'!$A$4:$A$7,0)),"Pendiente")</f>
        <v/>
      </c>
      <c r="O149" s="3">
        <f>IF($K149="","","S"&amp;IF(_xlfn.ISOWEEKNUM($K149)=53,1,_xlfn.ISOWEEKNUM($K149)))</f>
        <v/>
      </c>
      <c r="P149" s="3">
        <f>IF($K149="","",YEAR($K149))</f>
        <v/>
      </c>
      <c r="Q149" s="3">
        <f>IF($K149="","",MONTH($K149))</f>
        <v/>
      </c>
      <c r="R149" s="3">
        <f>IF($K149="","",INDEX(lista_dias,WEEKDAY($K149,2)))</f>
        <v/>
      </c>
      <c r="S149" s="3">
        <f>IFERROR(INDEX('CAT_TIPOS_OT'!$C$4:$C$7,MATCH($J149,'CAT_TIPOS_OT'!$A$4:$A$7,0)),"sin_clasificar")</f>
        <v/>
      </c>
      <c r="T149" s="3">
        <f>IFERROR(INDEX('CAT_CENTROS_COSTO'!$E$4:$E$9,MATCH($G149,'CAT_CENTROS_COSTO'!$A$4:$A$9,0)),"(sin catálogo)")</f>
        <v/>
      </c>
      <c r="U149" s="3">
        <f>IFERROR(INDEX('CAT_CENTROS_COSTO'!$D$4:$D$9,MATCH($G149,'CAT_CENTROS_COSTO'!$A$4:$A$9,0)),"(sin catálogo)")</f>
        <v/>
      </c>
      <c r="V149" s="3">
        <f>IFERROR(INDEX('CAT_CENTROS_COSTO'!$F$4:$F$9,MATCH($G149,'CAT_CENTROS_COSTO'!$A$4:$A$9,0)),"(sin catálogo)")</f>
        <v/>
      </c>
      <c r="W149" s="3">
        <f>IFERROR(INDEX('CAT_PUESTOS'!$B$4:$B$8,MATCH($H149,'CAT_PUESTOS'!$A$4:$A$8,0)),"(sin catálogo)")</f>
        <v/>
      </c>
      <c r="X149" s="3">
        <f>IFERROR(INDEX('CAT_ACTIVIDADES'!$B$4:$B$8,MATCH($I149,'CAT_ACTIVIDADES'!$A$4:$A$8,0)),"(sin catálogo)")</f>
        <v/>
      </c>
      <c r="Y149" s="12">
        <f>IF($K149="","",TODAY()-$K149)</f>
        <v/>
      </c>
      <c r="Z149" s="3">
        <f>IF($Y149="","",IF($Y149&lt;0,"FUTURO",IF($Y149&gt;p_dias_backlog_max,"BACKLOG","MES CORRIENTE")))</f>
        <v/>
      </c>
      <c r="AA149" s="3">
        <f>IF($Y149="",FALSE,AND($Y149&gt;p_dias_backlog_min,$Y149&lt;=p_dias_backlog_max))</f>
        <v/>
      </c>
      <c r="AB149" s="6" t="inlineStr"/>
      <c r="AC149" s="3">
        <f>IF($AB149="","",IFERROR(INDEX('ASIGNACIONES'!$F$4:$F$339,MATCH($O149&amp;"|"&amp;$R149&amp;"|"&amp;$AB149,'ASIGNACIONES'!$I$4:$I$339,0)),""))</f>
        <v/>
      </c>
      <c r="AD149" s="13">
        <f>IF($AB149="","",SUMIFS('ORDENES'!$L$4:$L$203,'ORDENES'!$AB$4:$AB$203,$AB149,'ORDENES'!$O$4:$O$203,$O149,'ORDENES'!$R$4:$R$203,$R149))</f>
        <v/>
      </c>
      <c r="AE149" s="13">
        <f>IF($AD149="","",p_factor_productividad*IFERROR(INDEX('ASIGNACIONES'!$H$4:$H$339,MATCH($O149&amp;"|"&amp;$R149&amp;"|"&amp;$AB149,'ASIGNACIONES'!$I$4:$I$339,0)),0)-$AD149)</f>
        <v/>
      </c>
      <c r="AF149" s="10">
        <f>IFERROR(INDEX('2_IMPORTAR_EJECUCION'!$G$9:$G$171,MATCH($C149,'2_IMPORTAR_EJECUCION'!$A$9:$A$171,0)),0)</f>
        <v/>
      </c>
      <c r="AG149" s="10">
        <f>MAX(0,IFERROR(INDEX('2_IMPORTAR_EJECUCION'!$I$9:$I$171,MATCH($C149,'2_IMPORTAR_EJECUCION'!$A$9:$A$171,0)),0)-$AF149)</f>
        <v/>
      </c>
      <c r="AH149" s="10">
        <f>$AF149+$AG149</f>
        <v/>
      </c>
      <c r="AI149" s="6" t="inlineStr"/>
      <c r="AJ149" s="6" t="inlineStr"/>
      <c r="AK149" s="6" t="inlineStr"/>
      <c r="AL149" s="3">
        <f>IF($AK149="","",HYPERLINK(p_ruta_base_checklists&amp;$AK149,"abrir"))</f>
        <v/>
      </c>
      <c r="AM149" s="6" t="inlineStr"/>
    </row>
    <row r="150">
      <c r="A150" s="3" t="inlineStr">
        <is>
          <t>OT-000147</t>
        </is>
      </c>
      <c r="B150" s="3" t="inlineStr">
        <is>
          <t>0010</t>
        </is>
      </c>
      <c r="C150" s="3">
        <f>$A150&amp;IF($B150="","0010",$B150)</f>
        <v/>
      </c>
      <c r="D150" s="3" t="inlineStr">
        <is>
          <t>Reparación de falla — EQ-103</t>
        </is>
      </c>
      <c r="E150" s="3" t="inlineStr">
        <is>
          <t>Reparación de falla en EQ-103</t>
        </is>
      </c>
      <c r="F150" s="3" t="inlineStr">
        <is>
          <t>EQ-103</t>
        </is>
      </c>
      <c r="G150" s="3" t="inlineStr">
        <is>
          <t>CC-110</t>
        </is>
      </c>
      <c r="H150" s="3" t="inlineStr">
        <is>
          <t>PU-AUT</t>
        </is>
      </c>
      <c r="I150" s="3" t="inlineStr">
        <is>
          <t>ACT-03</t>
        </is>
      </c>
      <c r="J150" s="3" t="inlineStr">
        <is>
          <t>TIPO-C2</t>
        </is>
      </c>
      <c r="K150" s="11" t="n">
        <v>46148</v>
      </c>
      <c r="L150" s="3" t="n">
        <v>8</v>
      </c>
      <c r="M150" s="10" t="n">
        <v>320</v>
      </c>
      <c r="N150" s="3">
        <f>IFERROR(INDEX('CAT_ESTADOS_ERP'!$B$4:$B$7,MATCH(IFERROR(INDEX('2_IMPORTAR_EJECUCION'!$D$9:$D$171,MATCH($C150,'2_IMPORTAR_EJECUCION'!$A$9:$A$171,0)),""),'CAT_ESTADOS_ERP'!$A$4:$A$7,0)),"Pendiente")</f>
        <v/>
      </c>
      <c r="O150" s="3">
        <f>IF($K150="","","S"&amp;IF(_xlfn.ISOWEEKNUM($K150)=53,1,_xlfn.ISOWEEKNUM($K150)))</f>
        <v/>
      </c>
      <c r="P150" s="3">
        <f>IF($K150="","",YEAR($K150))</f>
        <v/>
      </c>
      <c r="Q150" s="3">
        <f>IF($K150="","",MONTH($K150))</f>
        <v/>
      </c>
      <c r="R150" s="3">
        <f>IF($K150="","",INDEX(lista_dias,WEEKDAY($K150,2)))</f>
        <v/>
      </c>
      <c r="S150" s="3">
        <f>IFERROR(INDEX('CAT_TIPOS_OT'!$C$4:$C$7,MATCH($J150,'CAT_TIPOS_OT'!$A$4:$A$7,0)),"sin_clasificar")</f>
        <v/>
      </c>
      <c r="T150" s="3">
        <f>IFERROR(INDEX('CAT_CENTROS_COSTO'!$E$4:$E$9,MATCH($G150,'CAT_CENTROS_COSTO'!$A$4:$A$9,0)),"(sin catálogo)")</f>
        <v/>
      </c>
      <c r="U150" s="3">
        <f>IFERROR(INDEX('CAT_CENTROS_COSTO'!$D$4:$D$9,MATCH($G150,'CAT_CENTROS_COSTO'!$A$4:$A$9,0)),"(sin catálogo)")</f>
        <v/>
      </c>
      <c r="V150" s="3">
        <f>IFERROR(INDEX('CAT_CENTROS_COSTO'!$F$4:$F$9,MATCH($G150,'CAT_CENTROS_COSTO'!$A$4:$A$9,0)),"(sin catálogo)")</f>
        <v/>
      </c>
      <c r="W150" s="3">
        <f>IFERROR(INDEX('CAT_PUESTOS'!$B$4:$B$8,MATCH($H150,'CAT_PUESTOS'!$A$4:$A$8,0)),"(sin catálogo)")</f>
        <v/>
      </c>
      <c r="X150" s="3">
        <f>IFERROR(INDEX('CAT_ACTIVIDADES'!$B$4:$B$8,MATCH($I150,'CAT_ACTIVIDADES'!$A$4:$A$8,0)),"(sin catálogo)")</f>
        <v/>
      </c>
      <c r="Y150" s="12">
        <f>IF($K150="","",TODAY()-$K150)</f>
        <v/>
      </c>
      <c r="Z150" s="3">
        <f>IF($Y150="","",IF($Y150&lt;0,"FUTURO",IF($Y150&gt;p_dias_backlog_max,"BACKLOG","MES CORRIENTE")))</f>
        <v/>
      </c>
      <c r="AA150" s="3">
        <f>IF($Y150="",FALSE,AND($Y150&gt;p_dias_backlog_min,$Y150&lt;=p_dias_backlog_max))</f>
        <v/>
      </c>
      <c r="AB150" s="6" t="inlineStr"/>
      <c r="AC150" s="3">
        <f>IF($AB150="","",IFERROR(INDEX('ASIGNACIONES'!$F$4:$F$339,MATCH($O150&amp;"|"&amp;$R150&amp;"|"&amp;$AB150,'ASIGNACIONES'!$I$4:$I$339,0)),""))</f>
        <v/>
      </c>
      <c r="AD150" s="13">
        <f>IF($AB150="","",SUMIFS('ORDENES'!$L$4:$L$203,'ORDENES'!$AB$4:$AB$203,$AB150,'ORDENES'!$O$4:$O$203,$O150,'ORDENES'!$R$4:$R$203,$R150))</f>
        <v/>
      </c>
      <c r="AE150" s="13">
        <f>IF($AD150="","",p_factor_productividad*IFERROR(INDEX('ASIGNACIONES'!$H$4:$H$339,MATCH($O150&amp;"|"&amp;$R150&amp;"|"&amp;$AB150,'ASIGNACIONES'!$I$4:$I$339,0)),0)-$AD150)</f>
        <v/>
      </c>
      <c r="AF150" s="10">
        <f>IFERROR(INDEX('2_IMPORTAR_EJECUCION'!$G$9:$G$171,MATCH($C150,'2_IMPORTAR_EJECUCION'!$A$9:$A$171,0)),0)</f>
        <v/>
      </c>
      <c r="AG150" s="10">
        <f>MAX(0,IFERROR(INDEX('2_IMPORTAR_EJECUCION'!$I$9:$I$171,MATCH($C150,'2_IMPORTAR_EJECUCION'!$A$9:$A$171,0)),0)-$AF150)</f>
        <v/>
      </c>
      <c r="AH150" s="10">
        <f>$AF150+$AG150</f>
        <v/>
      </c>
      <c r="AI150" s="6" t="inlineStr"/>
      <c r="AJ150" s="6" t="inlineStr"/>
      <c r="AK150" s="6" t="inlineStr"/>
      <c r="AL150" s="3">
        <f>IF($AK150="","",HYPERLINK(p_ruta_base_checklists&amp;$AK150,"abrir"))</f>
        <v/>
      </c>
      <c r="AM150" s="6" t="inlineStr"/>
    </row>
    <row r="151">
      <c r="A151" s="3" t="inlineStr">
        <is>
          <t>OT-000148</t>
        </is>
      </c>
      <c r="B151" s="3" t="inlineStr">
        <is>
          <t>0010</t>
        </is>
      </c>
      <c r="C151" s="3">
        <f>$A151&amp;IF($B151="","0010",$B151)</f>
        <v/>
      </c>
      <c r="D151" s="3" t="inlineStr">
        <is>
          <t>Reparación de falla — EQ-106</t>
        </is>
      </c>
      <c r="E151" s="3" t="inlineStr">
        <is>
          <t>Reparación de falla en EQ-106</t>
        </is>
      </c>
      <c r="F151" s="3" t="inlineStr">
        <is>
          <t>EQ-106</t>
        </is>
      </c>
      <c r="G151" s="3" t="inlineStr">
        <is>
          <t>CC-210</t>
        </is>
      </c>
      <c r="H151" s="3" t="inlineStr">
        <is>
          <t>PU-AUT</t>
        </is>
      </c>
      <c r="I151" s="3" t="inlineStr">
        <is>
          <t>ACT-03</t>
        </is>
      </c>
      <c r="J151" s="3" t="inlineStr">
        <is>
          <t>TIPO-C1</t>
        </is>
      </c>
      <c r="K151" s="11" t="n">
        <v>46123</v>
      </c>
      <c r="L151" s="3" t="n">
        <v>4</v>
      </c>
      <c r="M151" s="10" t="n">
        <v>160</v>
      </c>
      <c r="N151" s="3">
        <f>IFERROR(INDEX('CAT_ESTADOS_ERP'!$B$4:$B$7,MATCH(IFERROR(INDEX('2_IMPORTAR_EJECUCION'!$D$9:$D$171,MATCH($C151,'2_IMPORTAR_EJECUCION'!$A$9:$A$171,0)),""),'CAT_ESTADOS_ERP'!$A$4:$A$7,0)),"Pendiente")</f>
        <v/>
      </c>
      <c r="O151" s="3">
        <f>IF($K151="","","S"&amp;IF(_xlfn.ISOWEEKNUM($K151)=53,1,_xlfn.ISOWEEKNUM($K151)))</f>
        <v/>
      </c>
      <c r="P151" s="3">
        <f>IF($K151="","",YEAR($K151))</f>
        <v/>
      </c>
      <c r="Q151" s="3">
        <f>IF($K151="","",MONTH($K151))</f>
        <v/>
      </c>
      <c r="R151" s="3">
        <f>IF($K151="","",INDEX(lista_dias,WEEKDAY($K151,2)))</f>
        <v/>
      </c>
      <c r="S151" s="3">
        <f>IFERROR(INDEX('CAT_TIPOS_OT'!$C$4:$C$7,MATCH($J151,'CAT_TIPOS_OT'!$A$4:$A$7,0)),"sin_clasificar")</f>
        <v/>
      </c>
      <c r="T151" s="3">
        <f>IFERROR(INDEX('CAT_CENTROS_COSTO'!$E$4:$E$9,MATCH($G151,'CAT_CENTROS_COSTO'!$A$4:$A$9,0)),"(sin catálogo)")</f>
        <v/>
      </c>
      <c r="U151" s="3">
        <f>IFERROR(INDEX('CAT_CENTROS_COSTO'!$D$4:$D$9,MATCH($G151,'CAT_CENTROS_COSTO'!$A$4:$A$9,0)),"(sin catálogo)")</f>
        <v/>
      </c>
      <c r="V151" s="3">
        <f>IFERROR(INDEX('CAT_CENTROS_COSTO'!$F$4:$F$9,MATCH($G151,'CAT_CENTROS_COSTO'!$A$4:$A$9,0)),"(sin catálogo)")</f>
        <v/>
      </c>
      <c r="W151" s="3">
        <f>IFERROR(INDEX('CAT_PUESTOS'!$B$4:$B$8,MATCH($H151,'CAT_PUESTOS'!$A$4:$A$8,0)),"(sin catálogo)")</f>
        <v/>
      </c>
      <c r="X151" s="3">
        <f>IFERROR(INDEX('CAT_ACTIVIDADES'!$B$4:$B$8,MATCH($I151,'CAT_ACTIVIDADES'!$A$4:$A$8,0)),"(sin catálogo)")</f>
        <v/>
      </c>
      <c r="Y151" s="12">
        <f>IF($K151="","",TODAY()-$K151)</f>
        <v/>
      </c>
      <c r="Z151" s="3">
        <f>IF($Y151="","",IF($Y151&lt;0,"FUTURO",IF($Y151&gt;p_dias_backlog_max,"BACKLOG","MES CORRIENTE")))</f>
        <v/>
      </c>
      <c r="AA151" s="3">
        <f>IF($Y151="",FALSE,AND($Y151&gt;p_dias_backlog_min,$Y151&lt;=p_dias_backlog_max))</f>
        <v/>
      </c>
      <c r="AB151" s="6" t="inlineStr"/>
      <c r="AC151" s="3">
        <f>IF($AB151="","",IFERROR(INDEX('ASIGNACIONES'!$F$4:$F$339,MATCH($O151&amp;"|"&amp;$R151&amp;"|"&amp;$AB151,'ASIGNACIONES'!$I$4:$I$339,0)),""))</f>
        <v/>
      </c>
      <c r="AD151" s="13">
        <f>IF($AB151="","",SUMIFS('ORDENES'!$L$4:$L$203,'ORDENES'!$AB$4:$AB$203,$AB151,'ORDENES'!$O$4:$O$203,$O151,'ORDENES'!$R$4:$R$203,$R151))</f>
        <v/>
      </c>
      <c r="AE151" s="13">
        <f>IF($AD151="","",p_factor_productividad*IFERROR(INDEX('ASIGNACIONES'!$H$4:$H$339,MATCH($O151&amp;"|"&amp;$R151&amp;"|"&amp;$AB151,'ASIGNACIONES'!$I$4:$I$339,0)),0)-$AD151)</f>
        <v/>
      </c>
      <c r="AF151" s="10">
        <f>IFERROR(INDEX('2_IMPORTAR_EJECUCION'!$G$9:$G$171,MATCH($C151,'2_IMPORTAR_EJECUCION'!$A$9:$A$171,0)),0)</f>
        <v/>
      </c>
      <c r="AG151" s="10">
        <f>MAX(0,IFERROR(INDEX('2_IMPORTAR_EJECUCION'!$I$9:$I$171,MATCH($C151,'2_IMPORTAR_EJECUCION'!$A$9:$A$171,0)),0)-$AF151)</f>
        <v/>
      </c>
      <c r="AH151" s="10">
        <f>$AF151+$AG151</f>
        <v/>
      </c>
      <c r="AI151" s="6" t="inlineStr"/>
      <c r="AJ151" s="6" t="inlineStr"/>
      <c r="AK151" s="6" t="inlineStr"/>
      <c r="AL151" s="3">
        <f>IF($AK151="","",HYPERLINK(p_ruta_base_checklists&amp;$AK151,"abrir"))</f>
        <v/>
      </c>
      <c r="AM151" s="6" t="inlineStr"/>
    </row>
    <row r="152">
      <c r="A152" s="3" t="inlineStr">
        <is>
          <t>OT-000149</t>
        </is>
      </c>
      <c r="B152" s="3" t="inlineStr">
        <is>
          <t>0010</t>
        </is>
      </c>
      <c r="C152" s="3">
        <f>$A152&amp;IF($B152="","0010",$B152)</f>
        <v/>
      </c>
      <c r="D152" s="3" t="inlineStr">
        <is>
          <t>Reparación de falla — EQ-107</t>
        </is>
      </c>
      <c r="E152" s="3" t="inlineStr">
        <is>
          <t>Reparación de falla en EQ-107</t>
        </is>
      </c>
      <c r="F152" s="3" t="inlineStr">
        <is>
          <t>EQ-107</t>
        </is>
      </c>
      <c r="G152" s="3" t="inlineStr">
        <is>
          <t>CC-220</t>
        </is>
      </c>
      <c r="H152" s="3" t="inlineStr">
        <is>
          <t>PU-OP</t>
        </is>
      </c>
      <c r="I152" s="3" t="inlineStr">
        <is>
          <t>ACT-03</t>
        </is>
      </c>
      <c r="J152" s="3" t="inlineStr">
        <is>
          <t>TIPO-C2</t>
        </is>
      </c>
      <c r="K152" s="11" t="n">
        <v>46123</v>
      </c>
      <c r="L152" s="3" t="n">
        <v>6</v>
      </c>
      <c r="M152" s="10" t="n">
        <v>240</v>
      </c>
      <c r="N152" s="3">
        <f>IFERROR(INDEX('CAT_ESTADOS_ERP'!$B$4:$B$7,MATCH(IFERROR(INDEX('2_IMPORTAR_EJECUCION'!$D$9:$D$171,MATCH($C152,'2_IMPORTAR_EJECUCION'!$A$9:$A$171,0)),""),'CAT_ESTADOS_ERP'!$A$4:$A$7,0)),"Pendiente")</f>
        <v/>
      </c>
      <c r="O152" s="3">
        <f>IF($K152="","","S"&amp;IF(_xlfn.ISOWEEKNUM($K152)=53,1,_xlfn.ISOWEEKNUM($K152)))</f>
        <v/>
      </c>
      <c r="P152" s="3">
        <f>IF($K152="","",YEAR($K152))</f>
        <v/>
      </c>
      <c r="Q152" s="3">
        <f>IF($K152="","",MONTH($K152))</f>
        <v/>
      </c>
      <c r="R152" s="3">
        <f>IF($K152="","",INDEX(lista_dias,WEEKDAY($K152,2)))</f>
        <v/>
      </c>
      <c r="S152" s="3">
        <f>IFERROR(INDEX('CAT_TIPOS_OT'!$C$4:$C$7,MATCH($J152,'CAT_TIPOS_OT'!$A$4:$A$7,0)),"sin_clasificar")</f>
        <v/>
      </c>
      <c r="T152" s="3">
        <f>IFERROR(INDEX('CAT_CENTROS_COSTO'!$E$4:$E$9,MATCH($G152,'CAT_CENTROS_COSTO'!$A$4:$A$9,0)),"(sin catálogo)")</f>
        <v/>
      </c>
      <c r="U152" s="3">
        <f>IFERROR(INDEX('CAT_CENTROS_COSTO'!$D$4:$D$9,MATCH($G152,'CAT_CENTROS_COSTO'!$A$4:$A$9,0)),"(sin catálogo)")</f>
        <v/>
      </c>
      <c r="V152" s="3">
        <f>IFERROR(INDEX('CAT_CENTROS_COSTO'!$F$4:$F$9,MATCH($G152,'CAT_CENTROS_COSTO'!$A$4:$A$9,0)),"(sin catálogo)")</f>
        <v/>
      </c>
      <c r="W152" s="3">
        <f>IFERROR(INDEX('CAT_PUESTOS'!$B$4:$B$8,MATCH($H152,'CAT_PUESTOS'!$A$4:$A$8,0)),"(sin catálogo)")</f>
        <v/>
      </c>
      <c r="X152" s="3">
        <f>IFERROR(INDEX('CAT_ACTIVIDADES'!$B$4:$B$8,MATCH($I152,'CAT_ACTIVIDADES'!$A$4:$A$8,0)),"(sin catálogo)")</f>
        <v/>
      </c>
      <c r="Y152" s="12">
        <f>IF($K152="","",TODAY()-$K152)</f>
        <v/>
      </c>
      <c r="Z152" s="3">
        <f>IF($Y152="","",IF($Y152&lt;0,"FUTURO",IF($Y152&gt;p_dias_backlog_max,"BACKLOG","MES CORRIENTE")))</f>
        <v/>
      </c>
      <c r="AA152" s="3">
        <f>IF($Y152="",FALSE,AND($Y152&gt;p_dias_backlog_min,$Y152&lt;=p_dias_backlog_max))</f>
        <v/>
      </c>
      <c r="AB152" s="6" t="inlineStr"/>
      <c r="AC152" s="3">
        <f>IF($AB152="","",IFERROR(INDEX('ASIGNACIONES'!$F$4:$F$339,MATCH($O152&amp;"|"&amp;$R152&amp;"|"&amp;$AB152,'ASIGNACIONES'!$I$4:$I$339,0)),""))</f>
        <v/>
      </c>
      <c r="AD152" s="13">
        <f>IF($AB152="","",SUMIFS('ORDENES'!$L$4:$L$203,'ORDENES'!$AB$4:$AB$203,$AB152,'ORDENES'!$O$4:$O$203,$O152,'ORDENES'!$R$4:$R$203,$R152))</f>
        <v/>
      </c>
      <c r="AE152" s="13">
        <f>IF($AD152="","",p_factor_productividad*IFERROR(INDEX('ASIGNACIONES'!$H$4:$H$339,MATCH($O152&amp;"|"&amp;$R152&amp;"|"&amp;$AB152,'ASIGNACIONES'!$I$4:$I$339,0)),0)-$AD152)</f>
        <v/>
      </c>
      <c r="AF152" s="10">
        <f>IFERROR(INDEX('2_IMPORTAR_EJECUCION'!$G$9:$G$171,MATCH($C152,'2_IMPORTAR_EJECUCION'!$A$9:$A$171,0)),0)</f>
        <v/>
      </c>
      <c r="AG152" s="10">
        <f>MAX(0,IFERROR(INDEX('2_IMPORTAR_EJECUCION'!$I$9:$I$171,MATCH($C152,'2_IMPORTAR_EJECUCION'!$A$9:$A$171,0)),0)-$AF152)</f>
        <v/>
      </c>
      <c r="AH152" s="10">
        <f>$AF152+$AG152</f>
        <v/>
      </c>
      <c r="AI152" s="6" t="inlineStr"/>
      <c r="AJ152" s="6" t="inlineStr"/>
      <c r="AK152" s="6" t="inlineStr"/>
      <c r="AL152" s="3">
        <f>IF($AK152="","",HYPERLINK(p_ruta_base_checklists&amp;$AK152,"abrir"))</f>
        <v/>
      </c>
      <c r="AM152" s="6" t="inlineStr"/>
    </row>
    <row r="153">
      <c r="A153" s="3" t="inlineStr">
        <is>
          <t>OT-000150</t>
        </is>
      </c>
      <c r="B153" s="3" t="inlineStr">
        <is>
          <t>0010</t>
        </is>
      </c>
      <c r="C153" s="3">
        <f>$A153&amp;IF($B153="","0010",$B153)</f>
        <v/>
      </c>
      <c r="D153" s="3" t="inlineStr">
        <is>
          <t>Reparación de falla — EQ-110</t>
        </is>
      </c>
      <c r="E153" s="3" t="inlineStr">
        <is>
          <t>Reparación de falla en EQ-110</t>
        </is>
      </c>
      <c r="F153" s="3" t="inlineStr">
        <is>
          <t>EQ-110</t>
        </is>
      </c>
      <c r="G153" s="3" t="inlineStr">
        <is>
          <t>CC-310</t>
        </is>
      </c>
      <c r="H153" s="3" t="inlineStr">
        <is>
          <t>PU-MEC</t>
        </is>
      </c>
      <c r="I153" s="3" t="inlineStr">
        <is>
          <t>ACT-03</t>
        </is>
      </c>
      <c r="J153" s="3" t="inlineStr">
        <is>
          <t>TIPO-C1</t>
        </is>
      </c>
      <c r="K153" s="11" t="n">
        <v>46123</v>
      </c>
      <c r="L153" s="3" t="n">
        <v>8</v>
      </c>
      <c r="M153" s="10" t="n">
        <v>320</v>
      </c>
      <c r="N153" s="3">
        <f>IFERROR(INDEX('CAT_ESTADOS_ERP'!$B$4:$B$7,MATCH(IFERROR(INDEX('2_IMPORTAR_EJECUCION'!$D$9:$D$171,MATCH($C153,'2_IMPORTAR_EJECUCION'!$A$9:$A$171,0)),""),'CAT_ESTADOS_ERP'!$A$4:$A$7,0)),"Pendiente")</f>
        <v/>
      </c>
      <c r="O153" s="3">
        <f>IF($K153="","","S"&amp;IF(_xlfn.ISOWEEKNUM($K153)=53,1,_xlfn.ISOWEEKNUM($K153)))</f>
        <v/>
      </c>
      <c r="P153" s="3">
        <f>IF($K153="","",YEAR($K153))</f>
        <v/>
      </c>
      <c r="Q153" s="3">
        <f>IF($K153="","",MONTH($K153))</f>
        <v/>
      </c>
      <c r="R153" s="3">
        <f>IF($K153="","",INDEX(lista_dias,WEEKDAY($K153,2)))</f>
        <v/>
      </c>
      <c r="S153" s="3">
        <f>IFERROR(INDEX('CAT_TIPOS_OT'!$C$4:$C$7,MATCH($J153,'CAT_TIPOS_OT'!$A$4:$A$7,0)),"sin_clasificar")</f>
        <v/>
      </c>
      <c r="T153" s="3">
        <f>IFERROR(INDEX('CAT_CENTROS_COSTO'!$E$4:$E$9,MATCH($G153,'CAT_CENTROS_COSTO'!$A$4:$A$9,0)),"(sin catálogo)")</f>
        <v/>
      </c>
      <c r="U153" s="3">
        <f>IFERROR(INDEX('CAT_CENTROS_COSTO'!$D$4:$D$9,MATCH($G153,'CAT_CENTROS_COSTO'!$A$4:$A$9,0)),"(sin catálogo)")</f>
        <v/>
      </c>
      <c r="V153" s="3">
        <f>IFERROR(INDEX('CAT_CENTROS_COSTO'!$F$4:$F$9,MATCH($G153,'CAT_CENTROS_COSTO'!$A$4:$A$9,0)),"(sin catálogo)")</f>
        <v/>
      </c>
      <c r="W153" s="3">
        <f>IFERROR(INDEX('CAT_PUESTOS'!$B$4:$B$8,MATCH($H153,'CAT_PUESTOS'!$A$4:$A$8,0)),"(sin catálogo)")</f>
        <v/>
      </c>
      <c r="X153" s="3">
        <f>IFERROR(INDEX('CAT_ACTIVIDADES'!$B$4:$B$8,MATCH($I153,'CAT_ACTIVIDADES'!$A$4:$A$8,0)),"(sin catálogo)")</f>
        <v/>
      </c>
      <c r="Y153" s="12">
        <f>IF($K153="","",TODAY()-$K153)</f>
        <v/>
      </c>
      <c r="Z153" s="3">
        <f>IF($Y153="","",IF($Y153&lt;0,"FUTURO",IF($Y153&gt;p_dias_backlog_max,"BACKLOG","MES CORRIENTE")))</f>
        <v/>
      </c>
      <c r="AA153" s="3">
        <f>IF($Y153="",FALSE,AND($Y153&gt;p_dias_backlog_min,$Y153&lt;=p_dias_backlog_max))</f>
        <v/>
      </c>
      <c r="AB153" s="6" t="inlineStr"/>
      <c r="AC153" s="3">
        <f>IF($AB153="","",IFERROR(INDEX('ASIGNACIONES'!$F$4:$F$339,MATCH($O153&amp;"|"&amp;$R153&amp;"|"&amp;$AB153,'ASIGNACIONES'!$I$4:$I$339,0)),""))</f>
        <v/>
      </c>
      <c r="AD153" s="13">
        <f>IF($AB153="","",SUMIFS('ORDENES'!$L$4:$L$203,'ORDENES'!$AB$4:$AB$203,$AB153,'ORDENES'!$O$4:$O$203,$O153,'ORDENES'!$R$4:$R$203,$R153))</f>
        <v/>
      </c>
      <c r="AE153" s="13">
        <f>IF($AD153="","",p_factor_productividad*IFERROR(INDEX('ASIGNACIONES'!$H$4:$H$339,MATCH($O153&amp;"|"&amp;$R153&amp;"|"&amp;$AB153,'ASIGNACIONES'!$I$4:$I$339,0)),0)-$AD153)</f>
        <v/>
      </c>
      <c r="AF153" s="10">
        <f>IFERROR(INDEX('2_IMPORTAR_EJECUCION'!$G$9:$G$171,MATCH($C153,'2_IMPORTAR_EJECUCION'!$A$9:$A$171,0)),0)</f>
        <v/>
      </c>
      <c r="AG153" s="10">
        <f>MAX(0,IFERROR(INDEX('2_IMPORTAR_EJECUCION'!$I$9:$I$171,MATCH($C153,'2_IMPORTAR_EJECUCION'!$A$9:$A$171,0)),0)-$AF153)</f>
        <v/>
      </c>
      <c r="AH153" s="10">
        <f>$AF153+$AG153</f>
        <v/>
      </c>
      <c r="AI153" s="6" t="inlineStr"/>
      <c r="AJ153" s="6" t="inlineStr"/>
      <c r="AK153" s="6" t="inlineStr"/>
      <c r="AL153" s="3">
        <f>IF($AK153="","",HYPERLINK(p_ruta_base_checklists&amp;$AK153,"abrir"))</f>
        <v/>
      </c>
      <c r="AM153" s="6" t="inlineStr"/>
    </row>
    <row r="154">
      <c r="A154" s="3" t="inlineStr">
        <is>
          <t>OT-000151</t>
        </is>
      </c>
      <c r="B154" s="3" t="inlineStr">
        <is>
          <t>0010</t>
        </is>
      </c>
      <c r="C154" s="3">
        <f>$A154&amp;IF($B154="","0010",$B154)</f>
        <v/>
      </c>
      <c r="D154" s="3" t="inlineStr">
        <is>
          <t>Lubricación programada — EQ-111</t>
        </is>
      </c>
      <c r="E154" s="3" t="inlineStr">
        <is>
          <t>Lubricación programada en EQ-111</t>
        </is>
      </c>
      <c r="F154" s="3" t="inlineStr">
        <is>
          <t>EQ-111</t>
        </is>
      </c>
      <c r="G154" s="3" t="inlineStr">
        <is>
          <t>CC-320</t>
        </is>
      </c>
      <c r="H154" s="3" t="inlineStr">
        <is>
          <t>PU-ELE</t>
        </is>
      </c>
      <c r="I154" s="3" t="inlineStr">
        <is>
          <t>ACT-02</t>
        </is>
      </c>
      <c r="J154" s="3" t="inlineStr">
        <is>
          <t>TIPO-P2</t>
        </is>
      </c>
      <c r="K154" s="11" t="n">
        <v>46123</v>
      </c>
      <c r="L154" s="3" t="n">
        <v>4</v>
      </c>
      <c r="M154" s="10" t="n">
        <v>100</v>
      </c>
      <c r="N154" s="3">
        <f>IFERROR(INDEX('CAT_ESTADOS_ERP'!$B$4:$B$7,MATCH(IFERROR(INDEX('2_IMPORTAR_EJECUCION'!$D$9:$D$171,MATCH($C154,'2_IMPORTAR_EJECUCION'!$A$9:$A$171,0)),""),'CAT_ESTADOS_ERP'!$A$4:$A$7,0)),"Pendiente")</f>
        <v/>
      </c>
      <c r="O154" s="3">
        <f>IF($K154="","","S"&amp;IF(_xlfn.ISOWEEKNUM($K154)=53,1,_xlfn.ISOWEEKNUM($K154)))</f>
        <v/>
      </c>
      <c r="P154" s="3">
        <f>IF($K154="","",YEAR($K154))</f>
        <v/>
      </c>
      <c r="Q154" s="3">
        <f>IF($K154="","",MONTH($K154))</f>
        <v/>
      </c>
      <c r="R154" s="3">
        <f>IF($K154="","",INDEX(lista_dias,WEEKDAY($K154,2)))</f>
        <v/>
      </c>
      <c r="S154" s="3">
        <f>IFERROR(INDEX('CAT_TIPOS_OT'!$C$4:$C$7,MATCH($J154,'CAT_TIPOS_OT'!$A$4:$A$7,0)),"sin_clasificar")</f>
        <v/>
      </c>
      <c r="T154" s="3">
        <f>IFERROR(INDEX('CAT_CENTROS_COSTO'!$E$4:$E$9,MATCH($G154,'CAT_CENTROS_COSTO'!$A$4:$A$9,0)),"(sin catálogo)")</f>
        <v/>
      </c>
      <c r="U154" s="3">
        <f>IFERROR(INDEX('CAT_CENTROS_COSTO'!$D$4:$D$9,MATCH($G154,'CAT_CENTROS_COSTO'!$A$4:$A$9,0)),"(sin catálogo)")</f>
        <v/>
      </c>
      <c r="V154" s="3">
        <f>IFERROR(INDEX('CAT_CENTROS_COSTO'!$F$4:$F$9,MATCH($G154,'CAT_CENTROS_COSTO'!$A$4:$A$9,0)),"(sin catálogo)")</f>
        <v/>
      </c>
      <c r="W154" s="3">
        <f>IFERROR(INDEX('CAT_PUESTOS'!$B$4:$B$8,MATCH($H154,'CAT_PUESTOS'!$A$4:$A$8,0)),"(sin catálogo)")</f>
        <v/>
      </c>
      <c r="X154" s="3">
        <f>IFERROR(INDEX('CAT_ACTIVIDADES'!$B$4:$B$8,MATCH($I154,'CAT_ACTIVIDADES'!$A$4:$A$8,0)),"(sin catálogo)")</f>
        <v/>
      </c>
      <c r="Y154" s="12">
        <f>IF($K154="","",TODAY()-$K154)</f>
        <v/>
      </c>
      <c r="Z154" s="3">
        <f>IF($Y154="","",IF($Y154&lt;0,"FUTURO",IF($Y154&gt;p_dias_backlog_max,"BACKLOG","MES CORRIENTE")))</f>
        <v/>
      </c>
      <c r="AA154" s="3">
        <f>IF($Y154="",FALSE,AND($Y154&gt;p_dias_backlog_min,$Y154&lt;=p_dias_backlog_max))</f>
        <v/>
      </c>
      <c r="AB154" s="6" t="inlineStr"/>
      <c r="AC154" s="3">
        <f>IF($AB154="","",IFERROR(INDEX('ASIGNACIONES'!$F$4:$F$339,MATCH($O154&amp;"|"&amp;$R154&amp;"|"&amp;$AB154,'ASIGNACIONES'!$I$4:$I$339,0)),""))</f>
        <v/>
      </c>
      <c r="AD154" s="13">
        <f>IF($AB154="","",SUMIFS('ORDENES'!$L$4:$L$203,'ORDENES'!$AB$4:$AB$203,$AB154,'ORDENES'!$O$4:$O$203,$O154,'ORDENES'!$R$4:$R$203,$R154))</f>
        <v/>
      </c>
      <c r="AE154" s="13">
        <f>IF($AD154="","",p_factor_productividad*IFERROR(INDEX('ASIGNACIONES'!$H$4:$H$339,MATCH($O154&amp;"|"&amp;$R154&amp;"|"&amp;$AB154,'ASIGNACIONES'!$I$4:$I$339,0)),0)-$AD154)</f>
        <v/>
      </c>
      <c r="AF154" s="10">
        <f>IFERROR(INDEX('2_IMPORTAR_EJECUCION'!$G$9:$G$171,MATCH($C154,'2_IMPORTAR_EJECUCION'!$A$9:$A$171,0)),0)</f>
        <v/>
      </c>
      <c r="AG154" s="10">
        <f>MAX(0,IFERROR(INDEX('2_IMPORTAR_EJECUCION'!$I$9:$I$171,MATCH($C154,'2_IMPORTAR_EJECUCION'!$A$9:$A$171,0)),0)-$AF154)</f>
        <v/>
      </c>
      <c r="AH154" s="10">
        <f>$AF154+$AG154</f>
        <v/>
      </c>
      <c r="AI154" s="6" t="inlineStr"/>
      <c r="AJ154" s="6" t="inlineStr"/>
      <c r="AK154" s="6" t="inlineStr"/>
      <c r="AL154" s="3">
        <f>IF($AK154="","",HYPERLINK(p_ruta_base_checklists&amp;$AK154,"abrir"))</f>
        <v/>
      </c>
      <c r="AM154" s="6" t="inlineStr"/>
    </row>
    <row r="155">
      <c r="A155" s="3" t="inlineStr">
        <is>
          <t>OT-000152</t>
        </is>
      </c>
      <c r="B155" s="3" t="inlineStr">
        <is>
          <t>0010</t>
        </is>
      </c>
      <c r="C155" s="3">
        <f>$A155&amp;IF($B155="","0010",$B155)</f>
        <v/>
      </c>
      <c r="D155" s="3" t="inlineStr">
        <is>
          <t>Reparación de falla — EQ-103</t>
        </is>
      </c>
      <c r="E155" s="3" t="inlineStr">
        <is>
          <t>Reparación de falla en EQ-103</t>
        </is>
      </c>
      <c r="F155" s="3" t="inlineStr">
        <is>
          <t>EQ-103</t>
        </is>
      </c>
      <c r="G155" s="3" t="inlineStr">
        <is>
          <t>CC-110</t>
        </is>
      </c>
      <c r="H155" s="3" t="inlineStr">
        <is>
          <t>PU-AUT</t>
        </is>
      </c>
      <c r="I155" s="3" t="inlineStr">
        <is>
          <t>ACT-03</t>
        </is>
      </c>
      <c r="J155" s="3" t="inlineStr">
        <is>
          <t>TIPO-C1</t>
        </is>
      </c>
      <c r="K155" s="11" t="n">
        <v>46123</v>
      </c>
      <c r="L155" s="3" t="n">
        <v>6</v>
      </c>
      <c r="M155" s="10" t="n">
        <v>240</v>
      </c>
      <c r="N155" s="3">
        <f>IFERROR(INDEX('CAT_ESTADOS_ERP'!$B$4:$B$7,MATCH(IFERROR(INDEX('2_IMPORTAR_EJECUCION'!$D$9:$D$171,MATCH($C155,'2_IMPORTAR_EJECUCION'!$A$9:$A$171,0)),""),'CAT_ESTADOS_ERP'!$A$4:$A$7,0)),"Pendiente")</f>
        <v/>
      </c>
      <c r="O155" s="3">
        <f>IF($K155="","","S"&amp;IF(_xlfn.ISOWEEKNUM($K155)=53,1,_xlfn.ISOWEEKNUM($K155)))</f>
        <v/>
      </c>
      <c r="P155" s="3">
        <f>IF($K155="","",YEAR($K155))</f>
        <v/>
      </c>
      <c r="Q155" s="3">
        <f>IF($K155="","",MONTH($K155))</f>
        <v/>
      </c>
      <c r="R155" s="3">
        <f>IF($K155="","",INDEX(lista_dias,WEEKDAY($K155,2)))</f>
        <v/>
      </c>
      <c r="S155" s="3">
        <f>IFERROR(INDEX('CAT_TIPOS_OT'!$C$4:$C$7,MATCH($J155,'CAT_TIPOS_OT'!$A$4:$A$7,0)),"sin_clasificar")</f>
        <v/>
      </c>
      <c r="T155" s="3">
        <f>IFERROR(INDEX('CAT_CENTROS_COSTO'!$E$4:$E$9,MATCH($G155,'CAT_CENTROS_COSTO'!$A$4:$A$9,0)),"(sin catálogo)")</f>
        <v/>
      </c>
      <c r="U155" s="3">
        <f>IFERROR(INDEX('CAT_CENTROS_COSTO'!$D$4:$D$9,MATCH($G155,'CAT_CENTROS_COSTO'!$A$4:$A$9,0)),"(sin catálogo)")</f>
        <v/>
      </c>
      <c r="V155" s="3">
        <f>IFERROR(INDEX('CAT_CENTROS_COSTO'!$F$4:$F$9,MATCH($G155,'CAT_CENTROS_COSTO'!$A$4:$A$9,0)),"(sin catálogo)")</f>
        <v/>
      </c>
      <c r="W155" s="3">
        <f>IFERROR(INDEX('CAT_PUESTOS'!$B$4:$B$8,MATCH($H155,'CAT_PUESTOS'!$A$4:$A$8,0)),"(sin catálogo)")</f>
        <v/>
      </c>
      <c r="X155" s="3">
        <f>IFERROR(INDEX('CAT_ACTIVIDADES'!$B$4:$B$8,MATCH($I155,'CAT_ACTIVIDADES'!$A$4:$A$8,0)),"(sin catálogo)")</f>
        <v/>
      </c>
      <c r="Y155" s="12">
        <f>IF($K155="","",TODAY()-$K155)</f>
        <v/>
      </c>
      <c r="Z155" s="3">
        <f>IF($Y155="","",IF($Y155&lt;0,"FUTURO",IF($Y155&gt;p_dias_backlog_max,"BACKLOG","MES CORRIENTE")))</f>
        <v/>
      </c>
      <c r="AA155" s="3">
        <f>IF($Y155="",FALSE,AND($Y155&gt;p_dias_backlog_min,$Y155&lt;=p_dias_backlog_max))</f>
        <v/>
      </c>
      <c r="AB155" s="6" t="inlineStr"/>
      <c r="AC155" s="3">
        <f>IF($AB155="","",IFERROR(INDEX('ASIGNACIONES'!$F$4:$F$339,MATCH($O155&amp;"|"&amp;$R155&amp;"|"&amp;$AB155,'ASIGNACIONES'!$I$4:$I$339,0)),""))</f>
        <v/>
      </c>
      <c r="AD155" s="13">
        <f>IF($AB155="","",SUMIFS('ORDENES'!$L$4:$L$203,'ORDENES'!$AB$4:$AB$203,$AB155,'ORDENES'!$O$4:$O$203,$O155,'ORDENES'!$R$4:$R$203,$R155))</f>
        <v/>
      </c>
      <c r="AE155" s="13">
        <f>IF($AD155="","",p_factor_productividad*IFERROR(INDEX('ASIGNACIONES'!$H$4:$H$339,MATCH($O155&amp;"|"&amp;$R155&amp;"|"&amp;$AB155,'ASIGNACIONES'!$I$4:$I$339,0)),0)-$AD155)</f>
        <v/>
      </c>
      <c r="AF155" s="10">
        <f>IFERROR(INDEX('2_IMPORTAR_EJECUCION'!$G$9:$G$171,MATCH($C155,'2_IMPORTAR_EJECUCION'!$A$9:$A$171,0)),0)</f>
        <v/>
      </c>
      <c r="AG155" s="10">
        <f>MAX(0,IFERROR(INDEX('2_IMPORTAR_EJECUCION'!$I$9:$I$171,MATCH($C155,'2_IMPORTAR_EJECUCION'!$A$9:$A$171,0)),0)-$AF155)</f>
        <v/>
      </c>
      <c r="AH155" s="10">
        <f>$AF155+$AG155</f>
        <v/>
      </c>
      <c r="AI155" s="6" t="inlineStr"/>
      <c r="AJ155" s="6" t="inlineStr"/>
      <c r="AK155" s="6" t="inlineStr"/>
      <c r="AL155" s="3">
        <f>IF($AK155="","",HYPERLINK(p_ruta_base_checklists&amp;$AK155,"abrir"))</f>
        <v/>
      </c>
      <c r="AM155" s="6" t="inlineStr"/>
    </row>
    <row r="156">
      <c r="A156" s="3" t="inlineStr">
        <is>
          <t>OT-000153</t>
        </is>
      </c>
      <c r="B156" s="3" t="inlineStr">
        <is>
          <t>0010</t>
        </is>
      </c>
      <c r="C156" s="3">
        <f>$A156&amp;IF($B156="","0010",$B156)</f>
        <v/>
      </c>
      <c r="D156" s="3" t="inlineStr">
        <is>
          <t>Reparación de falla — EQ-104</t>
        </is>
      </c>
      <c r="E156" s="3" t="inlineStr">
        <is>
          <t>Reparación de falla en EQ-104</t>
        </is>
      </c>
      <c r="F156" s="3" t="inlineStr">
        <is>
          <t>EQ-104</t>
        </is>
      </c>
      <c r="G156" s="3" t="inlineStr">
        <is>
          <t>CC-120</t>
        </is>
      </c>
      <c r="H156" s="3" t="inlineStr">
        <is>
          <t>PU-OP</t>
        </is>
      </c>
      <c r="I156" s="3" t="inlineStr">
        <is>
          <t>ACT-03</t>
        </is>
      </c>
      <c r="J156" s="3" t="inlineStr">
        <is>
          <t>TIPO-C2</t>
        </is>
      </c>
      <c r="K156" s="11" t="n">
        <v>46123</v>
      </c>
      <c r="L156" s="3" t="n">
        <v>8</v>
      </c>
      <c r="M156" s="10" t="n">
        <v>320</v>
      </c>
      <c r="N156" s="3">
        <f>IFERROR(INDEX('CAT_ESTADOS_ERP'!$B$4:$B$7,MATCH(IFERROR(INDEX('2_IMPORTAR_EJECUCION'!$D$9:$D$171,MATCH($C156,'2_IMPORTAR_EJECUCION'!$A$9:$A$171,0)),""),'CAT_ESTADOS_ERP'!$A$4:$A$7,0)),"Pendiente")</f>
        <v/>
      </c>
      <c r="O156" s="3">
        <f>IF($K156="","","S"&amp;IF(_xlfn.ISOWEEKNUM($K156)=53,1,_xlfn.ISOWEEKNUM($K156)))</f>
        <v/>
      </c>
      <c r="P156" s="3">
        <f>IF($K156="","",YEAR($K156))</f>
        <v/>
      </c>
      <c r="Q156" s="3">
        <f>IF($K156="","",MONTH($K156))</f>
        <v/>
      </c>
      <c r="R156" s="3">
        <f>IF($K156="","",INDEX(lista_dias,WEEKDAY($K156,2)))</f>
        <v/>
      </c>
      <c r="S156" s="3">
        <f>IFERROR(INDEX('CAT_TIPOS_OT'!$C$4:$C$7,MATCH($J156,'CAT_TIPOS_OT'!$A$4:$A$7,0)),"sin_clasificar")</f>
        <v/>
      </c>
      <c r="T156" s="3">
        <f>IFERROR(INDEX('CAT_CENTROS_COSTO'!$E$4:$E$9,MATCH($G156,'CAT_CENTROS_COSTO'!$A$4:$A$9,0)),"(sin catálogo)")</f>
        <v/>
      </c>
      <c r="U156" s="3">
        <f>IFERROR(INDEX('CAT_CENTROS_COSTO'!$D$4:$D$9,MATCH($G156,'CAT_CENTROS_COSTO'!$A$4:$A$9,0)),"(sin catálogo)")</f>
        <v/>
      </c>
      <c r="V156" s="3">
        <f>IFERROR(INDEX('CAT_CENTROS_COSTO'!$F$4:$F$9,MATCH($G156,'CAT_CENTROS_COSTO'!$A$4:$A$9,0)),"(sin catálogo)")</f>
        <v/>
      </c>
      <c r="W156" s="3">
        <f>IFERROR(INDEX('CAT_PUESTOS'!$B$4:$B$8,MATCH($H156,'CAT_PUESTOS'!$A$4:$A$8,0)),"(sin catálogo)")</f>
        <v/>
      </c>
      <c r="X156" s="3">
        <f>IFERROR(INDEX('CAT_ACTIVIDADES'!$B$4:$B$8,MATCH($I156,'CAT_ACTIVIDADES'!$A$4:$A$8,0)),"(sin catálogo)")</f>
        <v/>
      </c>
      <c r="Y156" s="12">
        <f>IF($K156="","",TODAY()-$K156)</f>
        <v/>
      </c>
      <c r="Z156" s="3">
        <f>IF($Y156="","",IF($Y156&lt;0,"FUTURO",IF($Y156&gt;p_dias_backlog_max,"BACKLOG","MES CORRIENTE")))</f>
        <v/>
      </c>
      <c r="AA156" s="3">
        <f>IF($Y156="",FALSE,AND($Y156&gt;p_dias_backlog_min,$Y156&lt;=p_dias_backlog_max))</f>
        <v/>
      </c>
      <c r="AB156" s="6" t="inlineStr"/>
      <c r="AC156" s="3">
        <f>IF($AB156="","",IFERROR(INDEX('ASIGNACIONES'!$F$4:$F$339,MATCH($O156&amp;"|"&amp;$R156&amp;"|"&amp;$AB156,'ASIGNACIONES'!$I$4:$I$339,0)),""))</f>
        <v/>
      </c>
      <c r="AD156" s="13">
        <f>IF($AB156="","",SUMIFS('ORDENES'!$L$4:$L$203,'ORDENES'!$AB$4:$AB$203,$AB156,'ORDENES'!$O$4:$O$203,$O156,'ORDENES'!$R$4:$R$203,$R156))</f>
        <v/>
      </c>
      <c r="AE156" s="13">
        <f>IF($AD156="","",p_factor_productividad*IFERROR(INDEX('ASIGNACIONES'!$H$4:$H$339,MATCH($O156&amp;"|"&amp;$R156&amp;"|"&amp;$AB156,'ASIGNACIONES'!$I$4:$I$339,0)),0)-$AD156)</f>
        <v/>
      </c>
      <c r="AF156" s="10">
        <f>IFERROR(INDEX('2_IMPORTAR_EJECUCION'!$G$9:$G$171,MATCH($C156,'2_IMPORTAR_EJECUCION'!$A$9:$A$171,0)),0)</f>
        <v/>
      </c>
      <c r="AG156" s="10">
        <f>MAX(0,IFERROR(INDEX('2_IMPORTAR_EJECUCION'!$I$9:$I$171,MATCH($C156,'2_IMPORTAR_EJECUCION'!$A$9:$A$171,0)),0)-$AF156)</f>
        <v/>
      </c>
      <c r="AH156" s="10">
        <f>$AF156+$AG156</f>
        <v/>
      </c>
      <c r="AI156" s="6" t="inlineStr"/>
      <c r="AJ156" s="6" t="inlineStr"/>
      <c r="AK156" s="6" t="inlineStr"/>
      <c r="AL156" s="3">
        <f>IF($AK156="","",HYPERLINK(p_ruta_base_checklists&amp;$AK156,"abrir"))</f>
        <v/>
      </c>
      <c r="AM156" s="6" t="inlineStr"/>
    </row>
    <row r="157">
      <c r="A157" s="3" t="inlineStr">
        <is>
          <t>OT-000154</t>
        </is>
      </c>
      <c r="B157" s="3" t="inlineStr">
        <is>
          <t>0010</t>
        </is>
      </c>
      <c r="C157" s="3">
        <f>$A157&amp;IF($B157="","0010",$B157)</f>
        <v/>
      </c>
      <c r="D157" s="3" t="inlineStr">
        <is>
          <t>Reparación de falla — EQ-108</t>
        </is>
      </c>
      <c r="E157" s="3" t="inlineStr">
        <is>
          <t>Reparación de falla en EQ-108</t>
        </is>
      </c>
      <c r="F157" s="3" t="inlineStr">
        <is>
          <t>EQ-108</t>
        </is>
      </c>
      <c r="G157" s="3" t="inlineStr">
        <is>
          <t>CC-220</t>
        </is>
      </c>
      <c r="H157" s="3" t="inlineStr">
        <is>
          <t>PU-OP</t>
        </is>
      </c>
      <c r="I157" s="3" t="inlineStr">
        <is>
          <t>ACT-03</t>
        </is>
      </c>
      <c r="J157" s="3" t="inlineStr">
        <is>
          <t>TIPO-C1</t>
        </is>
      </c>
      <c r="K157" s="11" t="n">
        <v>46103</v>
      </c>
      <c r="L157" s="3" t="n">
        <v>4</v>
      </c>
      <c r="M157" s="10" t="n">
        <v>160</v>
      </c>
      <c r="N157" s="3">
        <f>IFERROR(INDEX('CAT_ESTADOS_ERP'!$B$4:$B$7,MATCH(IFERROR(INDEX('2_IMPORTAR_EJECUCION'!$D$9:$D$171,MATCH($C157,'2_IMPORTAR_EJECUCION'!$A$9:$A$171,0)),""),'CAT_ESTADOS_ERP'!$A$4:$A$7,0)),"Pendiente")</f>
        <v/>
      </c>
      <c r="O157" s="3">
        <f>IF($K157="","","S"&amp;IF(_xlfn.ISOWEEKNUM($K157)=53,1,_xlfn.ISOWEEKNUM($K157)))</f>
        <v/>
      </c>
      <c r="P157" s="3">
        <f>IF($K157="","",YEAR($K157))</f>
        <v/>
      </c>
      <c r="Q157" s="3">
        <f>IF($K157="","",MONTH($K157))</f>
        <v/>
      </c>
      <c r="R157" s="3">
        <f>IF($K157="","",INDEX(lista_dias,WEEKDAY($K157,2)))</f>
        <v/>
      </c>
      <c r="S157" s="3">
        <f>IFERROR(INDEX('CAT_TIPOS_OT'!$C$4:$C$7,MATCH($J157,'CAT_TIPOS_OT'!$A$4:$A$7,0)),"sin_clasificar")</f>
        <v/>
      </c>
      <c r="T157" s="3">
        <f>IFERROR(INDEX('CAT_CENTROS_COSTO'!$E$4:$E$9,MATCH($G157,'CAT_CENTROS_COSTO'!$A$4:$A$9,0)),"(sin catálogo)")</f>
        <v/>
      </c>
      <c r="U157" s="3">
        <f>IFERROR(INDEX('CAT_CENTROS_COSTO'!$D$4:$D$9,MATCH($G157,'CAT_CENTROS_COSTO'!$A$4:$A$9,0)),"(sin catálogo)")</f>
        <v/>
      </c>
      <c r="V157" s="3">
        <f>IFERROR(INDEX('CAT_CENTROS_COSTO'!$F$4:$F$9,MATCH($G157,'CAT_CENTROS_COSTO'!$A$4:$A$9,0)),"(sin catálogo)")</f>
        <v/>
      </c>
      <c r="W157" s="3">
        <f>IFERROR(INDEX('CAT_PUESTOS'!$B$4:$B$8,MATCH($H157,'CAT_PUESTOS'!$A$4:$A$8,0)),"(sin catálogo)")</f>
        <v/>
      </c>
      <c r="X157" s="3">
        <f>IFERROR(INDEX('CAT_ACTIVIDADES'!$B$4:$B$8,MATCH($I157,'CAT_ACTIVIDADES'!$A$4:$A$8,0)),"(sin catálogo)")</f>
        <v/>
      </c>
      <c r="Y157" s="12">
        <f>IF($K157="","",TODAY()-$K157)</f>
        <v/>
      </c>
      <c r="Z157" s="3">
        <f>IF($Y157="","",IF($Y157&lt;0,"FUTURO",IF($Y157&gt;p_dias_backlog_max,"BACKLOG","MES CORRIENTE")))</f>
        <v/>
      </c>
      <c r="AA157" s="3">
        <f>IF($Y157="",FALSE,AND($Y157&gt;p_dias_backlog_min,$Y157&lt;=p_dias_backlog_max))</f>
        <v/>
      </c>
      <c r="AB157" s="6" t="inlineStr"/>
      <c r="AC157" s="3">
        <f>IF($AB157="","",IFERROR(INDEX('ASIGNACIONES'!$F$4:$F$339,MATCH($O157&amp;"|"&amp;$R157&amp;"|"&amp;$AB157,'ASIGNACIONES'!$I$4:$I$339,0)),""))</f>
        <v/>
      </c>
      <c r="AD157" s="13">
        <f>IF($AB157="","",SUMIFS('ORDENES'!$L$4:$L$203,'ORDENES'!$AB$4:$AB$203,$AB157,'ORDENES'!$O$4:$O$203,$O157,'ORDENES'!$R$4:$R$203,$R157))</f>
        <v/>
      </c>
      <c r="AE157" s="13">
        <f>IF($AD157="","",p_factor_productividad*IFERROR(INDEX('ASIGNACIONES'!$H$4:$H$339,MATCH($O157&amp;"|"&amp;$R157&amp;"|"&amp;$AB157,'ASIGNACIONES'!$I$4:$I$339,0)),0)-$AD157)</f>
        <v/>
      </c>
      <c r="AF157" s="10">
        <f>IFERROR(INDEX('2_IMPORTAR_EJECUCION'!$G$9:$G$171,MATCH($C157,'2_IMPORTAR_EJECUCION'!$A$9:$A$171,0)),0)</f>
        <v/>
      </c>
      <c r="AG157" s="10">
        <f>MAX(0,IFERROR(INDEX('2_IMPORTAR_EJECUCION'!$I$9:$I$171,MATCH($C157,'2_IMPORTAR_EJECUCION'!$A$9:$A$171,0)),0)-$AF157)</f>
        <v/>
      </c>
      <c r="AH157" s="10">
        <f>$AF157+$AG157</f>
        <v/>
      </c>
      <c r="AI157" s="6" t="inlineStr"/>
      <c r="AJ157" s="6" t="inlineStr"/>
      <c r="AK157" s="6" t="inlineStr"/>
      <c r="AL157" s="3">
        <f>IF($AK157="","",HYPERLINK(p_ruta_base_checklists&amp;$AK157,"abrir"))</f>
        <v/>
      </c>
      <c r="AM157" s="6" t="inlineStr"/>
    </row>
    <row r="158">
      <c r="A158" s="3" t="inlineStr">
        <is>
          <t>OT-000155</t>
        </is>
      </c>
      <c r="B158" s="3" t="inlineStr">
        <is>
          <t>0010</t>
        </is>
      </c>
      <c r="C158" s="3">
        <f>$A158&amp;IF($B158="","0010",$B158)</f>
        <v/>
      </c>
      <c r="D158" s="3" t="inlineStr">
        <is>
          <t>Reparación de falla — EQ-112</t>
        </is>
      </c>
      <c r="E158" s="3" t="inlineStr">
        <is>
          <t>Reparación de falla en EQ-112</t>
        </is>
      </c>
      <c r="F158" s="3" t="inlineStr">
        <is>
          <t>EQ-112</t>
        </is>
      </c>
      <c r="G158" s="3" t="inlineStr">
        <is>
          <t>CC-310</t>
        </is>
      </c>
      <c r="H158" s="3" t="inlineStr">
        <is>
          <t>PU-MEC</t>
        </is>
      </c>
      <c r="I158" s="3" t="inlineStr">
        <is>
          <t>ACT-03</t>
        </is>
      </c>
      <c r="J158" s="3" t="inlineStr">
        <is>
          <t>TIPO-C2</t>
        </is>
      </c>
      <c r="K158" s="11" t="n">
        <v>46103</v>
      </c>
      <c r="L158" s="3" t="n">
        <v>6</v>
      </c>
      <c r="M158" s="10" t="n">
        <v>240</v>
      </c>
      <c r="N158" s="3">
        <f>IFERROR(INDEX('CAT_ESTADOS_ERP'!$B$4:$B$7,MATCH(IFERROR(INDEX('2_IMPORTAR_EJECUCION'!$D$9:$D$171,MATCH($C158,'2_IMPORTAR_EJECUCION'!$A$9:$A$171,0)),""),'CAT_ESTADOS_ERP'!$A$4:$A$7,0)),"Pendiente")</f>
        <v/>
      </c>
      <c r="O158" s="3">
        <f>IF($K158="","","S"&amp;IF(_xlfn.ISOWEEKNUM($K158)=53,1,_xlfn.ISOWEEKNUM($K158)))</f>
        <v/>
      </c>
      <c r="P158" s="3">
        <f>IF($K158="","",YEAR($K158))</f>
        <v/>
      </c>
      <c r="Q158" s="3">
        <f>IF($K158="","",MONTH($K158))</f>
        <v/>
      </c>
      <c r="R158" s="3">
        <f>IF($K158="","",INDEX(lista_dias,WEEKDAY($K158,2)))</f>
        <v/>
      </c>
      <c r="S158" s="3">
        <f>IFERROR(INDEX('CAT_TIPOS_OT'!$C$4:$C$7,MATCH($J158,'CAT_TIPOS_OT'!$A$4:$A$7,0)),"sin_clasificar")</f>
        <v/>
      </c>
      <c r="T158" s="3">
        <f>IFERROR(INDEX('CAT_CENTROS_COSTO'!$E$4:$E$9,MATCH($G158,'CAT_CENTROS_COSTO'!$A$4:$A$9,0)),"(sin catálogo)")</f>
        <v/>
      </c>
      <c r="U158" s="3">
        <f>IFERROR(INDEX('CAT_CENTROS_COSTO'!$D$4:$D$9,MATCH($G158,'CAT_CENTROS_COSTO'!$A$4:$A$9,0)),"(sin catálogo)")</f>
        <v/>
      </c>
      <c r="V158" s="3">
        <f>IFERROR(INDEX('CAT_CENTROS_COSTO'!$F$4:$F$9,MATCH($G158,'CAT_CENTROS_COSTO'!$A$4:$A$9,0)),"(sin catálogo)")</f>
        <v/>
      </c>
      <c r="W158" s="3">
        <f>IFERROR(INDEX('CAT_PUESTOS'!$B$4:$B$8,MATCH($H158,'CAT_PUESTOS'!$A$4:$A$8,0)),"(sin catálogo)")</f>
        <v/>
      </c>
      <c r="X158" s="3">
        <f>IFERROR(INDEX('CAT_ACTIVIDADES'!$B$4:$B$8,MATCH($I158,'CAT_ACTIVIDADES'!$A$4:$A$8,0)),"(sin catálogo)")</f>
        <v/>
      </c>
      <c r="Y158" s="12">
        <f>IF($K158="","",TODAY()-$K158)</f>
        <v/>
      </c>
      <c r="Z158" s="3">
        <f>IF($Y158="","",IF($Y158&lt;0,"FUTURO",IF($Y158&gt;p_dias_backlog_max,"BACKLOG","MES CORRIENTE")))</f>
        <v/>
      </c>
      <c r="AA158" s="3">
        <f>IF($Y158="",FALSE,AND($Y158&gt;p_dias_backlog_min,$Y158&lt;=p_dias_backlog_max))</f>
        <v/>
      </c>
      <c r="AB158" s="6" t="inlineStr"/>
      <c r="AC158" s="3">
        <f>IF($AB158="","",IFERROR(INDEX('ASIGNACIONES'!$F$4:$F$339,MATCH($O158&amp;"|"&amp;$R158&amp;"|"&amp;$AB158,'ASIGNACIONES'!$I$4:$I$339,0)),""))</f>
        <v/>
      </c>
      <c r="AD158" s="13">
        <f>IF($AB158="","",SUMIFS('ORDENES'!$L$4:$L$203,'ORDENES'!$AB$4:$AB$203,$AB158,'ORDENES'!$O$4:$O$203,$O158,'ORDENES'!$R$4:$R$203,$R158))</f>
        <v/>
      </c>
      <c r="AE158" s="13">
        <f>IF($AD158="","",p_factor_productividad*IFERROR(INDEX('ASIGNACIONES'!$H$4:$H$339,MATCH($O158&amp;"|"&amp;$R158&amp;"|"&amp;$AB158,'ASIGNACIONES'!$I$4:$I$339,0)),0)-$AD158)</f>
        <v/>
      </c>
      <c r="AF158" s="10">
        <f>IFERROR(INDEX('2_IMPORTAR_EJECUCION'!$G$9:$G$171,MATCH($C158,'2_IMPORTAR_EJECUCION'!$A$9:$A$171,0)),0)</f>
        <v/>
      </c>
      <c r="AG158" s="10">
        <f>MAX(0,IFERROR(INDEX('2_IMPORTAR_EJECUCION'!$I$9:$I$171,MATCH($C158,'2_IMPORTAR_EJECUCION'!$A$9:$A$171,0)),0)-$AF158)</f>
        <v/>
      </c>
      <c r="AH158" s="10">
        <f>$AF158+$AG158</f>
        <v/>
      </c>
      <c r="AI158" s="6" t="inlineStr"/>
      <c r="AJ158" s="6" t="inlineStr"/>
      <c r="AK158" s="6" t="inlineStr"/>
      <c r="AL158" s="3">
        <f>IF($AK158="","",HYPERLINK(p_ruta_base_checklists&amp;$AK158,"abrir"))</f>
        <v/>
      </c>
      <c r="AM158" s="6" t="inlineStr"/>
    </row>
    <row r="159">
      <c r="A159" s="3" t="inlineStr">
        <is>
          <t>OT-000156</t>
        </is>
      </c>
      <c r="B159" s="3" t="inlineStr">
        <is>
          <t>0010</t>
        </is>
      </c>
      <c r="C159" s="3">
        <f>$A159&amp;IF($B159="","0010",$B159)</f>
        <v/>
      </c>
      <c r="D159" s="3" t="inlineStr">
        <is>
          <t>Reparación de falla — EQ-110</t>
        </is>
      </c>
      <c r="E159" s="3" t="inlineStr">
        <is>
          <t>Reparación de falla en EQ-110</t>
        </is>
      </c>
      <c r="F159" s="3" t="inlineStr">
        <is>
          <t>EQ-110</t>
        </is>
      </c>
      <c r="G159" s="3" t="inlineStr">
        <is>
          <t>CC-320</t>
        </is>
      </c>
      <c r="H159" s="3" t="inlineStr">
        <is>
          <t>PU-ELE</t>
        </is>
      </c>
      <c r="I159" s="3" t="inlineStr">
        <is>
          <t>ACT-03</t>
        </is>
      </c>
      <c r="J159" s="3" t="inlineStr">
        <is>
          <t>TIPO-C1</t>
        </is>
      </c>
      <c r="K159" s="11" t="n">
        <v>46103</v>
      </c>
      <c r="L159" s="3" t="n">
        <v>8</v>
      </c>
      <c r="M159" s="10" t="n">
        <v>320</v>
      </c>
      <c r="N159" s="3">
        <f>IFERROR(INDEX('CAT_ESTADOS_ERP'!$B$4:$B$7,MATCH(IFERROR(INDEX('2_IMPORTAR_EJECUCION'!$D$9:$D$171,MATCH($C159,'2_IMPORTAR_EJECUCION'!$A$9:$A$171,0)),""),'CAT_ESTADOS_ERP'!$A$4:$A$7,0)),"Pendiente")</f>
        <v/>
      </c>
      <c r="O159" s="3">
        <f>IF($K159="","","S"&amp;IF(_xlfn.ISOWEEKNUM($K159)=53,1,_xlfn.ISOWEEKNUM($K159)))</f>
        <v/>
      </c>
      <c r="P159" s="3">
        <f>IF($K159="","",YEAR($K159))</f>
        <v/>
      </c>
      <c r="Q159" s="3">
        <f>IF($K159="","",MONTH($K159))</f>
        <v/>
      </c>
      <c r="R159" s="3">
        <f>IF($K159="","",INDEX(lista_dias,WEEKDAY($K159,2)))</f>
        <v/>
      </c>
      <c r="S159" s="3">
        <f>IFERROR(INDEX('CAT_TIPOS_OT'!$C$4:$C$7,MATCH($J159,'CAT_TIPOS_OT'!$A$4:$A$7,0)),"sin_clasificar")</f>
        <v/>
      </c>
      <c r="T159" s="3">
        <f>IFERROR(INDEX('CAT_CENTROS_COSTO'!$E$4:$E$9,MATCH($G159,'CAT_CENTROS_COSTO'!$A$4:$A$9,0)),"(sin catálogo)")</f>
        <v/>
      </c>
      <c r="U159" s="3">
        <f>IFERROR(INDEX('CAT_CENTROS_COSTO'!$D$4:$D$9,MATCH($G159,'CAT_CENTROS_COSTO'!$A$4:$A$9,0)),"(sin catálogo)")</f>
        <v/>
      </c>
      <c r="V159" s="3">
        <f>IFERROR(INDEX('CAT_CENTROS_COSTO'!$F$4:$F$9,MATCH($G159,'CAT_CENTROS_COSTO'!$A$4:$A$9,0)),"(sin catálogo)")</f>
        <v/>
      </c>
      <c r="W159" s="3">
        <f>IFERROR(INDEX('CAT_PUESTOS'!$B$4:$B$8,MATCH($H159,'CAT_PUESTOS'!$A$4:$A$8,0)),"(sin catálogo)")</f>
        <v/>
      </c>
      <c r="X159" s="3">
        <f>IFERROR(INDEX('CAT_ACTIVIDADES'!$B$4:$B$8,MATCH($I159,'CAT_ACTIVIDADES'!$A$4:$A$8,0)),"(sin catálogo)")</f>
        <v/>
      </c>
      <c r="Y159" s="12">
        <f>IF($K159="","",TODAY()-$K159)</f>
        <v/>
      </c>
      <c r="Z159" s="3">
        <f>IF($Y159="","",IF($Y159&lt;0,"FUTURO",IF($Y159&gt;p_dias_backlog_max,"BACKLOG","MES CORRIENTE")))</f>
        <v/>
      </c>
      <c r="AA159" s="3">
        <f>IF($Y159="",FALSE,AND($Y159&gt;p_dias_backlog_min,$Y159&lt;=p_dias_backlog_max))</f>
        <v/>
      </c>
      <c r="AB159" s="6" t="inlineStr"/>
      <c r="AC159" s="3">
        <f>IF($AB159="","",IFERROR(INDEX('ASIGNACIONES'!$F$4:$F$339,MATCH($O159&amp;"|"&amp;$R159&amp;"|"&amp;$AB159,'ASIGNACIONES'!$I$4:$I$339,0)),""))</f>
        <v/>
      </c>
      <c r="AD159" s="13">
        <f>IF($AB159="","",SUMIFS('ORDENES'!$L$4:$L$203,'ORDENES'!$AB$4:$AB$203,$AB159,'ORDENES'!$O$4:$O$203,$O159,'ORDENES'!$R$4:$R$203,$R159))</f>
        <v/>
      </c>
      <c r="AE159" s="13">
        <f>IF($AD159="","",p_factor_productividad*IFERROR(INDEX('ASIGNACIONES'!$H$4:$H$339,MATCH($O159&amp;"|"&amp;$R159&amp;"|"&amp;$AB159,'ASIGNACIONES'!$I$4:$I$339,0)),0)-$AD159)</f>
        <v/>
      </c>
      <c r="AF159" s="10">
        <f>IFERROR(INDEX('2_IMPORTAR_EJECUCION'!$G$9:$G$171,MATCH($C159,'2_IMPORTAR_EJECUCION'!$A$9:$A$171,0)),0)</f>
        <v/>
      </c>
      <c r="AG159" s="10">
        <f>MAX(0,IFERROR(INDEX('2_IMPORTAR_EJECUCION'!$I$9:$I$171,MATCH($C159,'2_IMPORTAR_EJECUCION'!$A$9:$A$171,0)),0)-$AF159)</f>
        <v/>
      </c>
      <c r="AH159" s="10">
        <f>$AF159+$AG159</f>
        <v/>
      </c>
      <c r="AI159" s="6" t="inlineStr"/>
      <c r="AJ159" s="6" t="inlineStr"/>
      <c r="AK159" s="6" t="inlineStr"/>
      <c r="AL159" s="3">
        <f>IF($AK159="","",HYPERLINK(p_ruta_base_checklists&amp;$AK159,"abrir"))</f>
        <v/>
      </c>
      <c r="AM159" s="6" t="inlineStr"/>
    </row>
    <row r="160">
      <c r="A160" s="3" t="inlineStr">
        <is>
          <t>OT-000157</t>
        </is>
      </c>
      <c r="B160" s="3" t="inlineStr">
        <is>
          <t>0010</t>
        </is>
      </c>
      <c r="C160" s="3">
        <f>$A160&amp;IF($B160="","0010",$B160)</f>
        <v/>
      </c>
      <c r="D160" s="3" t="inlineStr">
        <is>
          <t>Lubricación programada — EQ-103</t>
        </is>
      </c>
      <c r="E160" s="3" t="inlineStr">
        <is>
          <t>Lubricación programada en EQ-103</t>
        </is>
      </c>
      <c r="F160" s="3" t="inlineStr">
        <is>
          <t>EQ-103</t>
        </is>
      </c>
      <c r="G160" s="3" t="inlineStr">
        <is>
          <t>CC-110</t>
        </is>
      </c>
      <c r="H160" s="3" t="inlineStr">
        <is>
          <t>PU-AUT</t>
        </is>
      </c>
      <c r="I160" s="3" t="inlineStr">
        <is>
          <t>ACT-02</t>
        </is>
      </c>
      <c r="J160" s="3" t="inlineStr">
        <is>
          <t>TIPO-P2</t>
        </is>
      </c>
      <c r="K160" s="11" t="n">
        <v>46103</v>
      </c>
      <c r="L160" s="3" t="n">
        <v>4</v>
      </c>
      <c r="M160" s="10" t="n">
        <v>100</v>
      </c>
      <c r="N160" s="3">
        <f>IFERROR(INDEX('CAT_ESTADOS_ERP'!$B$4:$B$7,MATCH(IFERROR(INDEX('2_IMPORTAR_EJECUCION'!$D$9:$D$171,MATCH($C160,'2_IMPORTAR_EJECUCION'!$A$9:$A$171,0)),""),'CAT_ESTADOS_ERP'!$A$4:$A$7,0)),"Pendiente")</f>
        <v/>
      </c>
      <c r="O160" s="3">
        <f>IF($K160="","","S"&amp;IF(_xlfn.ISOWEEKNUM($K160)=53,1,_xlfn.ISOWEEKNUM($K160)))</f>
        <v/>
      </c>
      <c r="P160" s="3">
        <f>IF($K160="","",YEAR($K160))</f>
        <v/>
      </c>
      <c r="Q160" s="3">
        <f>IF($K160="","",MONTH($K160))</f>
        <v/>
      </c>
      <c r="R160" s="3">
        <f>IF($K160="","",INDEX(lista_dias,WEEKDAY($K160,2)))</f>
        <v/>
      </c>
      <c r="S160" s="3">
        <f>IFERROR(INDEX('CAT_TIPOS_OT'!$C$4:$C$7,MATCH($J160,'CAT_TIPOS_OT'!$A$4:$A$7,0)),"sin_clasificar")</f>
        <v/>
      </c>
      <c r="T160" s="3">
        <f>IFERROR(INDEX('CAT_CENTROS_COSTO'!$E$4:$E$9,MATCH($G160,'CAT_CENTROS_COSTO'!$A$4:$A$9,0)),"(sin catálogo)")</f>
        <v/>
      </c>
      <c r="U160" s="3">
        <f>IFERROR(INDEX('CAT_CENTROS_COSTO'!$D$4:$D$9,MATCH($G160,'CAT_CENTROS_COSTO'!$A$4:$A$9,0)),"(sin catálogo)")</f>
        <v/>
      </c>
      <c r="V160" s="3">
        <f>IFERROR(INDEX('CAT_CENTROS_COSTO'!$F$4:$F$9,MATCH($G160,'CAT_CENTROS_COSTO'!$A$4:$A$9,0)),"(sin catálogo)")</f>
        <v/>
      </c>
      <c r="W160" s="3">
        <f>IFERROR(INDEX('CAT_PUESTOS'!$B$4:$B$8,MATCH($H160,'CAT_PUESTOS'!$A$4:$A$8,0)),"(sin catálogo)")</f>
        <v/>
      </c>
      <c r="X160" s="3">
        <f>IFERROR(INDEX('CAT_ACTIVIDADES'!$B$4:$B$8,MATCH($I160,'CAT_ACTIVIDADES'!$A$4:$A$8,0)),"(sin catálogo)")</f>
        <v/>
      </c>
      <c r="Y160" s="12">
        <f>IF($K160="","",TODAY()-$K160)</f>
        <v/>
      </c>
      <c r="Z160" s="3">
        <f>IF($Y160="","",IF($Y160&lt;0,"FUTURO",IF($Y160&gt;p_dias_backlog_max,"BACKLOG","MES CORRIENTE")))</f>
        <v/>
      </c>
      <c r="AA160" s="3">
        <f>IF($Y160="",FALSE,AND($Y160&gt;p_dias_backlog_min,$Y160&lt;=p_dias_backlog_max))</f>
        <v/>
      </c>
      <c r="AB160" s="6" t="inlineStr"/>
      <c r="AC160" s="3">
        <f>IF($AB160="","",IFERROR(INDEX('ASIGNACIONES'!$F$4:$F$339,MATCH($O160&amp;"|"&amp;$R160&amp;"|"&amp;$AB160,'ASIGNACIONES'!$I$4:$I$339,0)),""))</f>
        <v/>
      </c>
      <c r="AD160" s="13">
        <f>IF($AB160="","",SUMIFS('ORDENES'!$L$4:$L$203,'ORDENES'!$AB$4:$AB$203,$AB160,'ORDENES'!$O$4:$O$203,$O160,'ORDENES'!$R$4:$R$203,$R160))</f>
        <v/>
      </c>
      <c r="AE160" s="13">
        <f>IF($AD160="","",p_factor_productividad*IFERROR(INDEX('ASIGNACIONES'!$H$4:$H$339,MATCH($O160&amp;"|"&amp;$R160&amp;"|"&amp;$AB160,'ASIGNACIONES'!$I$4:$I$339,0)),0)-$AD160)</f>
        <v/>
      </c>
      <c r="AF160" s="10">
        <f>IFERROR(INDEX('2_IMPORTAR_EJECUCION'!$G$9:$G$171,MATCH($C160,'2_IMPORTAR_EJECUCION'!$A$9:$A$171,0)),0)</f>
        <v/>
      </c>
      <c r="AG160" s="10">
        <f>MAX(0,IFERROR(INDEX('2_IMPORTAR_EJECUCION'!$I$9:$I$171,MATCH($C160,'2_IMPORTAR_EJECUCION'!$A$9:$A$171,0)),0)-$AF160)</f>
        <v/>
      </c>
      <c r="AH160" s="10">
        <f>$AF160+$AG160</f>
        <v/>
      </c>
      <c r="AI160" s="6" t="inlineStr"/>
      <c r="AJ160" s="6" t="inlineStr"/>
      <c r="AK160" s="6" t="inlineStr"/>
      <c r="AL160" s="3">
        <f>IF($AK160="","",HYPERLINK(p_ruta_base_checklists&amp;$AK160,"abrir"))</f>
        <v/>
      </c>
      <c r="AM160" s="6" t="inlineStr"/>
    </row>
    <row r="161">
      <c r="A161" s="3" t="inlineStr">
        <is>
          <t>OT-000158</t>
        </is>
      </c>
      <c r="B161" s="3" t="inlineStr">
        <is>
          <t>0010</t>
        </is>
      </c>
      <c r="C161" s="3">
        <f>$A161&amp;IF($B161="","0010",$B161)</f>
        <v/>
      </c>
      <c r="D161" s="3" t="inlineStr">
        <is>
          <t>Reparación de falla — EQ-112</t>
        </is>
      </c>
      <c r="E161" s="3" t="inlineStr">
        <is>
          <t>Reparación de falla en EQ-112</t>
        </is>
      </c>
      <c r="F161" s="3" t="inlineStr">
        <is>
          <t>EQ-112</t>
        </is>
      </c>
      <c r="G161" s="3" t="inlineStr">
        <is>
          <t>CC-310</t>
        </is>
      </c>
      <c r="H161" s="3" t="inlineStr">
        <is>
          <t>PU-MEC</t>
        </is>
      </c>
      <c r="I161" s="3" t="inlineStr">
        <is>
          <t>ACT-03</t>
        </is>
      </c>
      <c r="J161" s="3" t="inlineStr">
        <is>
          <t>TIPO-C1</t>
        </is>
      </c>
      <c r="K161" s="11" t="n">
        <v>46073</v>
      </c>
      <c r="L161" s="3" t="n">
        <v>4</v>
      </c>
      <c r="M161" s="10" t="n">
        <v>160</v>
      </c>
      <c r="N161" s="3">
        <f>IFERROR(INDEX('CAT_ESTADOS_ERP'!$B$4:$B$7,MATCH(IFERROR(INDEX('2_IMPORTAR_EJECUCION'!$D$9:$D$171,MATCH($C161,'2_IMPORTAR_EJECUCION'!$A$9:$A$171,0)),""),'CAT_ESTADOS_ERP'!$A$4:$A$7,0)),"Pendiente")</f>
        <v/>
      </c>
      <c r="O161" s="3">
        <f>IF($K161="","","S"&amp;IF(_xlfn.ISOWEEKNUM($K161)=53,1,_xlfn.ISOWEEKNUM($K161)))</f>
        <v/>
      </c>
      <c r="P161" s="3">
        <f>IF($K161="","",YEAR($K161))</f>
        <v/>
      </c>
      <c r="Q161" s="3">
        <f>IF($K161="","",MONTH($K161))</f>
        <v/>
      </c>
      <c r="R161" s="3">
        <f>IF($K161="","",INDEX(lista_dias,WEEKDAY($K161,2)))</f>
        <v/>
      </c>
      <c r="S161" s="3">
        <f>IFERROR(INDEX('CAT_TIPOS_OT'!$C$4:$C$7,MATCH($J161,'CAT_TIPOS_OT'!$A$4:$A$7,0)),"sin_clasificar")</f>
        <v/>
      </c>
      <c r="T161" s="3">
        <f>IFERROR(INDEX('CAT_CENTROS_COSTO'!$E$4:$E$9,MATCH($G161,'CAT_CENTROS_COSTO'!$A$4:$A$9,0)),"(sin catálogo)")</f>
        <v/>
      </c>
      <c r="U161" s="3">
        <f>IFERROR(INDEX('CAT_CENTROS_COSTO'!$D$4:$D$9,MATCH($G161,'CAT_CENTROS_COSTO'!$A$4:$A$9,0)),"(sin catálogo)")</f>
        <v/>
      </c>
      <c r="V161" s="3">
        <f>IFERROR(INDEX('CAT_CENTROS_COSTO'!$F$4:$F$9,MATCH($G161,'CAT_CENTROS_COSTO'!$A$4:$A$9,0)),"(sin catálogo)")</f>
        <v/>
      </c>
      <c r="W161" s="3">
        <f>IFERROR(INDEX('CAT_PUESTOS'!$B$4:$B$8,MATCH($H161,'CAT_PUESTOS'!$A$4:$A$8,0)),"(sin catálogo)")</f>
        <v/>
      </c>
      <c r="X161" s="3">
        <f>IFERROR(INDEX('CAT_ACTIVIDADES'!$B$4:$B$8,MATCH($I161,'CAT_ACTIVIDADES'!$A$4:$A$8,0)),"(sin catálogo)")</f>
        <v/>
      </c>
      <c r="Y161" s="12">
        <f>IF($K161="","",TODAY()-$K161)</f>
        <v/>
      </c>
      <c r="Z161" s="3">
        <f>IF($Y161="","",IF($Y161&lt;0,"FUTURO",IF($Y161&gt;p_dias_backlog_max,"BACKLOG","MES CORRIENTE")))</f>
        <v/>
      </c>
      <c r="AA161" s="3">
        <f>IF($Y161="",FALSE,AND($Y161&gt;p_dias_backlog_min,$Y161&lt;=p_dias_backlog_max))</f>
        <v/>
      </c>
      <c r="AB161" s="6" t="inlineStr"/>
      <c r="AC161" s="3">
        <f>IF($AB161="","",IFERROR(INDEX('ASIGNACIONES'!$F$4:$F$339,MATCH($O161&amp;"|"&amp;$R161&amp;"|"&amp;$AB161,'ASIGNACIONES'!$I$4:$I$339,0)),""))</f>
        <v/>
      </c>
      <c r="AD161" s="13">
        <f>IF($AB161="","",SUMIFS('ORDENES'!$L$4:$L$203,'ORDENES'!$AB$4:$AB$203,$AB161,'ORDENES'!$O$4:$O$203,$O161,'ORDENES'!$R$4:$R$203,$R161))</f>
        <v/>
      </c>
      <c r="AE161" s="13">
        <f>IF($AD161="","",p_factor_productividad*IFERROR(INDEX('ASIGNACIONES'!$H$4:$H$339,MATCH($O161&amp;"|"&amp;$R161&amp;"|"&amp;$AB161,'ASIGNACIONES'!$I$4:$I$339,0)),0)-$AD161)</f>
        <v/>
      </c>
      <c r="AF161" s="10">
        <f>IFERROR(INDEX('2_IMPORTAR_EJECUCION'!$G$9:$G$171,MATCH($C161,'2_IMPORTAR_EJECUCION'!$A$9:$A$171,0)),0)</f>
        <v/>
      </c>
      <c r="AG161" s="10">
        <f>MAX(0,IFERROR(INDEX('2_IMPORTAR_EJECUCION'!$I$9:$I$171,MATCH($C161,'2_IMPORTAR_EJECUCION'!$A$9:$A$171,0)),0)-$AF161)</f>
        <v/>
      </c>
      <c r="AH161" s="10">
        <f>$AF161+$AG161</f>
        <v/>
      </c>
      <c r="AI161" s="6" t="inlineStr"/>
      <c r="AJ161" s="6" t="inlineStr"/>
      <c r="AK161" s="6" t="inlineStr"/>
      <c r="AL161" s="3">
        <f>IF($AK161="","",HYPERLINK(p_ruta_base_checklists&amp;$AK161,"abrir"))</f>
        <v/>
      </c>
      <c r="AM161" s="6" t="inlineStr"/>
    </row>
    <row r="162">
      <c r="A162" s="3" t="inlineStr">
        <is>
          <t>OT-000159</t>
        </is>
      </c>
      <c r="B162" s="3" t="inlineStr">
        <is>
          <t>0010</t>
        </is>
      </c>
      <c r="C162" s="3">
        <f>$A162&amp;IF($B162="","0010",$B162)</f>
        <v/>
      </c>
      <c r="D162" s="3" t="inlineStr">
        <is>
          <t>Reparación de falla — EQ-110</t>
        </is>
      </c>
      <c r="E162" s="3" t="inlineStr">
        <is>
          <t>Reparación de falla en EQ-110</t>
        </is>
      </c>
      <c r="F162" s="3" t="inlineStr">
        <is>
          <t>EQ-110</t>
        </is>
      </c>
      <c r="G162" s="3" t="inlineStr">
        <is>
          <t>CC-320</t>
        </is>
      </c>
      <c r="H162" s="3" t="inlineStr">
        <is>
          <t>PU-ELE</t>
        </is>
      </c>
      <c r="I162" s="3" t="inlineStr">
        <is>
          <t>ACT-03</t>
        </is>
      </c>
      <c r="J162" s="3" t="inlineStr">
        <is>
          <t>TIPO-C2</t>
        </is>
      </c>
      <c r="K162" s="11" t="n">
        <v>46073</v>
      </c>
      <c r="L162" s="3" t="n">
        <v>6</v>
      </c>
      <c r="M162" s="10" t="n">
        <v>240</v>
      </c>
      <c r="N162" s="3">
        <f>IFERROR(INDEX('CAT_ESTADOS_ERP'!$B$4:$B$7,MATCH(IFERROR(INDEX('2_IMPORTAR_EJECUCION'!$D$9:$D$171,MATCH($C162,'2_IMPORTAR_EJECUCION'!$A$9:$A$171,0)),""),'CAT_ESTADOS_ERP'!$A$4:$A$7,0)),"Pendiente")</f>
        <v/>
      </c>
      <c r="O162" s="3">
        <f>IF($K162="","","S"&amp;IF(_xlfn.ISOWEEKNUM($K162)=53,1,_xlfn.ISOWEEKNUM($K162)))</f>
        <v/>
      </c>
      <c r="P162" s="3">
        <f>IF($K162="","",YEAR($K162))</f>
        <v/>
      </c>
      <c r="Q162" s="3">
        <f>IF($K162="","",MONTH($K162))</f>
        <v/>
      </c>
      <c r="R162" s="3">
        <f>IF($K162="","",INDEX(lista_dias,WEEKDAY($K162,2)))</f>
        <v/>
      </c>
      <c r="S162" s="3">
        <f>IFERROR(INDEX('CAT_TIPOS_OT'!$C$4:$C$7,MATCH($J162,'CAT_TIPOS_OT'!$A$4:$A$7,0)),"sin_clasificar")</f>
        <v/>
      </c>
      <c r="T162" s="3">
        <f>IFERROR(INDEX('CAT_CENTROS_COSTO'!$E$4:$E$9,MATCH($G162,'CAT_CENTROS_COSTO'!$A$4:$A$9,0)),"(sin catálogo)")</f>
        <v/>
      </c>
      <c r="U162" s="3">
        <f>IFERROR(INDEX('CAT_CENTROS_COSTO'!$D$4:$D$9,MATCH($G162,'CAT_CENTROS_COSTO'!$A$4:$A$9,0)),"(sin catálogo)")</f>
        <v/>
      </c>
      <c r="V162" s="3">
        <f>IFERROR(INDEX('CAT_CENTROS_COSTO'!$F$4:$F$9,MATCH($G162,'CAT_CENTROS_COSTO'!$A$4:$A$9,0)),"(sin catálogo)")</f>
        <v/>
      </c>
      <c r="W162" s="3">
        <f>IFERROR(INDEX('CAT_PUESTOS'!$B$4:$B$8,MATCH($H162,'CAT_PUESTOS'!$A$4:$A$8,0)),"(sin catálogo)")</f>
        <v/>
      </c>
      <c r="X162" s="3">
        <f>IFERROR(INDEX('CAT_ACTIVIDADES'!$B$4:$B$8,MATCH($I162,'CAT_ACTIVIDADES'!$A$4:$A$8,0)),"(sin catálogo)")</f>
        <v/>
      </c>
      <c r="Y162" s="12">
        <f>IF($K162="","",TODAY()-$K162)</f>
        <v/>
      </c>
      <c r="Z162" s="3">
        <f>IF($Y162="","",IF($Y162&lt;0,"FUTURO",IF($Y162&gt;p_dias_backlog_max,"BACKLOG","MES CORRIENTE")))</f>
        <v/>
      </c>
      <c r="AA162" s="3">
        <f>IF($Y162="",FALSE,AND($Y162&gt;p_dias_backlog_min,$Y162&lt;=p_dias_backlog_max))</f>
        <v/>
      </c>
      <c r="AB162" s="6" t="inlineStr"/>
      <c r="AC162" s="3">
        <f>IF($AB162="","",IFERROR(INDEX('ASIGNACIONES'!$F$4:$F$339,MATCH($O162&amp;"|"&amp;$R162&amp;"|"&amp;$AB162,'ASIGNACIONES'!$I$4:$I$339,0)),""))</f>
        <v/>
      </c>
      <c r="AD162" s="13">
        <f>IF($AB162="","",SUMIFS('ORDENES'!$L$4:$L$203,'ORDENES'!$AB$4:$AB$203,$AB162,'ORDENES'!$O$4:$O$203,$O162,'ORDENES'!$R$4:$R$203,$R162))</f>
        <v/>
      </c>
      <c r="AE162" s="13">
        <f>IF($AD162="","",p_factor_productividad*IFERROR(INDEX('ASIGNACIONES'!$H$4:$H$339,MATCH($O162&amp;"|"&amp;$R162&amp;"|"&amp;$AB162,'ASIGNACIONES'!$I$4:$I$339,0)),0)-$AD162)</f>
        <v/>
      </c>
      <c r="AF162" s="10">
        <f>IFERROR(INDEX('2_IMPORTAR_EJECUCION'!$G$9:$G$171,MATCH($C162,'2_IMPORTAR_EJECUCION'!$A$9:$A$171,0)),0)</f>
        <v/>
      </c>
      <c r="AG162" s="10">
        <f>MAX(0,IFERROR(INDEX('2_IMPORTAR_EJECUCION'!$I$9:$I$171,MATCH($C162,'2_IMPORTAR_EJECUCION'!$A$9:$A$171,0)),0)-$AF162)</f>
        <v/>
      </c>
      <c r="AH162" s="10">
        <f>$AF162+$AG162</f>
        <v/>
      </c>
      <c r="AI162" s="6" t="inlineStr"/>
      <c r="AJ162" s="6" t="inlineStr"/>
      <c r="AK162" s="6" t="inlineStr"/>
      <c r="AL162" s="3">
        <f>IF($AK162="","",HYPERLINK(p_ruta_base_checklists&amp;$AK162,"abrir"))</f>
        <v/>
      </c>
      <c r="AM162" s="6" t="inlineStr"/>
    </row>
    <row r="163">
      <c r="A163" s="3" t="inlineStr">
        <is>
          <t>OT-000160</t>
        </is>
      </c>
      <c r="B163" s="3" t="inlineStr">
        <is>
          <t>0010</t>
        </is>
      </c>
      <c r="C163" s="3">
        <f>$A163&amp;IF($B163="","0010",$B163)</f>
        <v/>
      </c>
      <c r="D163" s="3" t="inlineStr">
        <is>
          <t>Reparación de falla — EQ-101</t>
        </is>
      </c>
      <c r="E163" s="3" t="inlineStr">
        <is>
          <t>Reparación de falla en EQ-101</t>
        </is>
      </c>
      <c r="F163" s="3" t="inlineStr">
        <is>
          <t>EQ-101</t>
        </is>
      </c>
      <c r="G163" s="3" t="inlineStr">
        <is>
          <t>CC-110</t>
        </is>
      </c>
      <c r="H163" s="3" t="inlineStr">
        <is>
          <t>PU-AUT</t>
        </is>
      </c>
      <c r="I163" s="3" t="inlineStr">
        <is>
          <t>ACT-03</t>
        </is>
      </c>
      <c r="J163" s="3" t="inlineStr">
        <is>
          <t>TIPO-C1</t>
        </is>
      </c>
      <c r="K163" s="11" t="n">
        <v>46073</v>
      </c>
      <c r="L163" s="3" t="n">
        <v>8</v>
      </c>
      <c r="M163" s="10" t="n">
        <v>320</v>
      </c>
      <c r="N163" s="3">
        <f>IFERROR(INDEX('CAT_ESTADOS_ERP'!$B$4:$B$7,MATCH(IFERROR(INDEX('2_IMPORTAR_EJECUCION'!$D$9:$D$171,MATCH($C163,'2_IMPORTAR_EJECUCION'!$A$9:$A$171,0)),""),'CAT_ESTADOS_ERP'!$A$4:$A$7,0)),"Pendiente")</f>
        <v/>
      </c>
      <c r="O163" s="3">
        <f>IF($K163="","","S"&amp;IF(_xlfn.ISOWEEKNUM($K163)=53,1,_xlfn.ISOWEEKNUM($K163)))</f>
        <v/>
      </c>
      <c r="P163" s="3">
        <f>IF($K163="","",YEAR($K163))</f>
        <v/>
      </c>
      <c r="Q163" s="3">
        <f>IF($K163="","",MONTH($K163))</f>
        <v/>
      </c>
      <c r="R163" s="3">
        <f>IF($K163="","",INDEX(lista_dias,WEEKDAY($K163,2)))</f>
        <v/>
      </c>
      <c r="S163" s="3">
        <f>IFERROR(INDEX('CAT_TIPOS_OT'!$C$4:$C$7,MATCH($J163,'CAT_TIPOS_OT'!$A$4:$A$7,0)),"sin_clasificar")</f>
        <v/>
      </c>
      <c r="T163" s="3">
        <f>IFERROR(INDEX('CAT_CENTROS_COSTO'!$E$4:$E$9,MATCH($G163,'CAT_CENTROS_COSTO'!$A$4:$A$9,0)),"(sin catálogo)")</f>
        <v/>
      </c>
      <c r="U163" s="3">
        <f>IFERROR(INDEX('CAT_CENTROS_COSTO'!$D$4:$D$9,MATCH($G163,'CAT_CENTROS_COSTO'!$A$4:$A$9,0)),"(sin catálogo)")</f>
        <v/>
      </c>
      <c r="V163" s="3">
        <f>IFERROR(INDEX('CAT_CENTROS_COSTO'!$F$4:$F$9,MATCH($G163,'CAT_CENTROS_COSTO'!$A$4:$A$9,0)),"(sin catálogo)")</f>
        <v/>
      </c>
      <c r="W163" s="3">
        <f>IFERROR(INDEX('CAT_PUESTOS'!$B$4:$B$8,MATCH($H163,'CAT_PUESTOS'!$A$4:$A$8,0)),"(sin catálogo)")</f>
        <v/>
      </c>
      <c r="X163" s="3">
        <f>IFERROR(INDEX('CAT_ACTIVIDADES'!$B$4:$B$8,MATCH($I163,'CAT_ACTIVIDADES'!$A$4:$A$8,0)),"(sin catálogo)")</f>
        <v/>
      </c>
      <c r="Y163" s="12">
        <f>IF($K163="","",TODAY()-$K163)</f>
        <v/>
      </c>
      <c r="Z163" s="3">
        <f>IF($Y163="","",IF($Y163&lt;0,"FUTURO",IF($Y163&gt;p_dias_backlog_max,"BACKLOG","MES CORRIENTE")))</f>
        <v/>
      </c>
      <c r="AA163" s="3">
        <f>IF($Y163="",FALSE,AND($Y163&gt;p_dias_backlog_min,$Y163&lt;=p_dias_backlog_max))</f>
        <v/>
      </c>
      <c r="AB163" s="6" t="inlineStr"/>
      <c r="AC163" s="3">
        <f>IF($AB163="","",IFERROR(INDEX('ASIGNACIONES'!$F$4:$F$339,MATCH($O163&amp;"|"&amp;$R163&amp;"|"&amp;$AB163,'ASIGNACIONES'!$I$4:$I$339,0)),""))</f>
        <v/>
      </c>
      <c r="AD163" s="13">
        <f>IF($AB163="","",SUMIFS('ORDENES'!$L$4:$L$203,'ORDENES'!$AB$4:$AB$203,$AB163,'ORDENES'!$O$4:$O$203,$O163,'ORDENES'!$R$4:$R$203,$R163))</f>
        <v/>
      </c>
      <c r="AE163" s="13">
        <f>IF($AD163="","",p_factor_productividad*IFERROR(INDEX('ASIGNACIONES'!$H$4:$H$339,MATCH($O163&amp;"|"&amp;$R163&amp;"|"&amp;$AB163,'ASIGNACIONES'!$I$4:$I$339,0)),0)-$AD163)</f>
        <v/>
      </c>
      <c r="AF163" s="10">
        <f>IFERROR(INDEX('2_IMPORTAR_EJECUCION'!$G$9:$G$171,MATCH($C163,'2_IMPORTAR_EJECUCION'!$A$9:$A$171,0)),0)</f>
        <v/>
      </c>
      <c r="AG163" s="10">
        <f>MAX(0,IFERROR(INDEX('2_IMPORTAR_EJECUCION'!$I$9:$I$171,MATCH($C163,'2_IMPORTAR_EJECUCION'!$A$9:$A$171,0)),0)-$AF163)</f>
        <v/>
      </c>
      <c r="AH163" s="10">
        <f>$AF163+$AG163</f>
        <v/>
      </c>
      <c r="AI163" s="6" t="inlineStr"/>
      <c r="AJ163" s="6" t="inlineStr"/>
      <c r="AK163" s="6" t="inlineStr"/>
      <c r="AL163" s="3">
        <f>IF($AK163="","",HYPERLINK(p_ruta_base_checklists&amp;$AK163,"abrir"))</f>
        <v/>
      </c>
      <c r="AM163" s="6" t="inlineStr"/>
    </row>
    <row r="164">
      <c r="A164" s="3" t="inlineStr">
        <is>
          <t>OT-000161</t>
        </is>
      </c>
      <c r="B164" s="3" t="inlineStr">
        <is>
          <t>0010</t>
        </is>
      </c>
      <c r="C164" s="3">
        <f>$A164&amp;IF($B164="","0010",$B164)</f>
        <v/>
      </c>
      <c r="D164" s="3" t="inlineStr">
        <is>
          <t>Análisis predictivo — EQ-102</t>
        </is>
      </c>
      <c r="E164" s="3" t="inlineStr">
        <is>
          <t>Análisis predictivo en EQ-102</t>
        </is>
      </c>
      <c r="F164" s="3" t="inlineStr">
        <is>
          <t>EQ-102</t>
        </is>
      </c>
      <c r="G164" s="3" t="inlineStr">
        <is>
          <t>CC-120</t>
        </is>
      </c>
      <c r="H164" s="3" t="inlineStr">
        <is>
          <t>PU-OP</t>
        </is>
      </c>
      <c r="I164" s="3" t="inlineStr">
        <is>
          <t>ACT-04</t>
        </is>
      </c>
      <c r="J164" s="3" t="inlineStr">
        <is>
          <t>TIPO-P2</t>
        </is>
      </c>
      <c r="K164" s="11" t="n">
        <v>46073</v>
      </c>
      <c r="L164" s="3" t="n">
        <v>4</v>
      </c>
      <c r="M164" s="10" t="n">
        <v>100</v>
      </c>
      <c r="N164" s="3">
        <f>IFERROR(INDEX('CAT_ESTADOS_ERP'!$B$4:$B$7,MATCH(IFERROR(INDEX('2_IMPORTAR_EJECUCION'!$D$9:$D$171,MATCH($C164,'2_IMPORTAR_EJECUCION'!$A$9:$A$171,0)),""),'CAT_ESTADOS_ERP'!$A$4:$A$7,0)),"Pendiente")</f>
        <v/>
      </c>
      <c r="O164" s="3">
        <f>IF($K164="","","S"&amp;IF(_xlfn.ISOWEEKNUM($K164)=53,1,_xlfn.ISOWEEKNUM($K164)))</f>
        <v/>
      </c>
      <c r="P164" s="3">
        <f>IF($K164="","",YEAR($K164))</f>
        <v/>
      </c>
      <c r="Q164" s="3">
        <f>IF($K164="","",MONTH($K164))</f>
        <v/>
      </c>
      <c r="R164" s="3">
        <f>IF($K164="","",INDEX(lista_dias,WEEKDAY($K164,2)))</f>
        <v/>
      </c>
      <c r="S164" s="3">
        <f>IFERROR(INDEX('CAT_TIPOS_OT'!$C$4:$C$7,MATCH($J164,'CAT_TIPOS_OT'!$A$4:$A$7,0)),"sin_clasificar")</f>
        <v/>
      </c>
      <c r="T164" s="3">
        <f>IFERROR(INDEX('CAT_CENTROS_COSTO'!$E$4:$E$9,MATCH($G164,'CAT_CENTROS_COSTO'!$A$4:$A$9,0)),"(sin catálogo)")</f>
        <v/>
      </c>
      <c r="U164" s="3">
        <f>IFERROR(INDEX('CAT_CENTROS_COSTO'!$D$4:$D$9,MATCH($G164,'CAT_CENTROS_COSTO'!$A$4:$A$9,0)),"(sin catálogo)")</f>
        <v/>
      </c>
      <c r="V164" s="3">
        <f>IFERROR(INDEX('CAT_CENTROS_COSTO'!$F$4:$F$9,MATCH($G164,'CAT_CENTROS_COSTO'!$A$4:$A$9,0)),"(sin catálogo)")</f>
        <v/>
      </c>
      <c r="W164" s="3">
        <f>IFERROR(INDEX('CAT_PUESTOS'!$B$4:$B$8,MATCH($H164,'CAT_PUESTOS'!$A$4:$A$8,0)),"(sin catálogo)")</f>
        <v/>
      </c>
      <c r="X164" s="3">
        <f>IFERROR(INDEX('CAT_ACTIVIDADES'!$B$4:$B$8,MATCH($I164,'CAT_ACTIVIDADES'!$A$4:$A$8,0)),"(sin catálogo)")</f>
        <v/>
      </c>
      <c r="Y164" s="12">
        <f>IF($K164="","",TODAY()-$K164)</f>
        <v/>
      </c>
      <c r="Z164" s="3">
        <f>IF($Y164="","",IF($Y164&lt;0,"FUTURO",IF($Y164&gt;p_dias_backlog_max,"BACKLOG","MES CORRIENTE")))</f>
        <v/>
      </c>
      <c r="AA164" s="3">
        <f>IF($Y164="",FALSE,AND($Y164&gt;p_dias_backlog_min,$Y164&lt;=p_dias_backlog_max))</f>
        <v/>
      </c>
      <c r="AB164" s="6" t="inlineStr"/>
      <c r="AC164" s="3">
        <f>IF($AB164="","",IFERROR(INDEX('ASIGNACIONES'!$F$4:$F$339,MATCH($O164&amp;"|"&amp;$R164&amp;"|"&amp;$AB164,'ASIGNACIONES'!$I$4:$I$339,0)),""))</f>
        <v/>
      </c>
      <c r="AD164" s="13">
        <f>IF($AB164="","",SUMIFS('ORDENES'!$L$4:$L$203,'ORDENES'!$AB$4:$AB$203,$AB164,'ORDENES'!$O$4:$O$203,$O164,'ORDENES'!$R$4:$R$203,$R164))</f>
        <v/>
      </c>
      <c r="AE164" s="13">
        <f>IF($AD164="","",p_factor_productividad*IFERROR(INDEX('ASIGNACIONES'!$H$4:$H$339,MATCH($O164&amp;"|"&amp;$R164&amp;"|"&amp;$AB164,'ASIGNACIONES'!$I$4:$I$339,0)),0)-$AD164)</f>
        <v/>
      </c>
      <c r="AF164" s="10">
        <f>IFERROR(INDEX('2_IMPORTAR_EJECUCION'!$G$9:$G$171,MATCH($C164,'2_IMPORTAR_EJECUCION'!$A$9:$A$171,0)),0)</f>
        <v/>
      </c>
      <c r="AG164" s="10">
        <f>MAX(0,IFERROR(INDEX('2_IMPORTAR_EJECUCION'!$I$9:$I$171,MATCH($C164,'2_IMPORTAR_EJECUCION'!$A$9:$A$171,0)),0)-$AF164)</f>
        <v/>
      </c>
      <c r="AH164" s="10">
        <f>$AF164+$AG164</f>
        <v/>
      </c>
      <c r="AI164" s="6" t="inlineStr"/>
      <c r="AJ164" s="6" t="inlineStr"/>
      <c r="AK164" s="6" t="inlineStr"/>
      <c r="AL164" s="3">
        <f>IF($AK164="","",HYPERLINK(p_ruta_base_checklists&amp;$AK164,"abrir"))</f>
        <v/>
      </c>
      <c r="AM164" s="6" t="inlineStr"/>
    </row>
    <row r="165">
      <c r="A165" s="3" t="inlineStr">
        <is>
          <t>OT-000162</t>
        </is>
      </c>
      <c r="B165" s="3" t="inlineStr">
        <is>
          <t>0010</t>
        </is>
      </c>
      <c r="C165" s="3">
        <f>$A165&amp;IF($B165="","0010",$B165)</f>
        <v/>
      </c>
      <c r="D165" s="3" t="inlineStr">
        <is>
          <t>Inspección de rutina — EQ-103</t>
        </is>
      </c>
      <c r="E165" s="3" t="inlineStr">
        <is>
          <t>Inspección de rutina en EQ-103</t>
        </is>
      </c>
      <c r="F165" s="3" t="inlineStr">
        <is>
          <t>EQ-103</t>
        </is>
      </c>
      <c r="G165" s="3" t="inlineStr">
        <is>
          <t>CC-110</t>
        </is>
      </c>
      <c r="H165" s="3" t="inlineStr">
        <is>
          <t>PU-MEC</t>
        </is>
      </c>
      <c r="I165" s="3" t="inlineStr">
        <is>
          <t>ACT-01</t>
        </is>
      </c>
      <c r="J165" s="3" t="inlineStr">
        <is>
          <t>TIPO-P1</t>
        </is>
      </c>
      <c r="K165" s="11" t="n">
        <v>46183</v>
      </c>
      <c r="L165" s="3" t="n">
        <v>4</v>
      </c>
      <c r="M165" s="10" t="n">
        <v>100</v>
      </c>
      <c r="N165" s="3">
        <f>IFERROR(INDEX('CAT_ESTADOS_ERP'!$B$4:$B$7,MATCH(IFERROR(INDEX('2_IMPORTAR_EJECUCION'!$D$9:$D$171,MATCH($C165,'2_IMPORTAR_EJECUCION'!$A$9:$A$171,0)),""),'CAT_ESTADOS_ERP'!$A$4:$A$7,0)),"Pendiente")</f>
        <v/>
      </c>
      <c r="O165" s="3">
        <f>IF($K165="","","S"&amp;IF(_xlfn.ISOWEEKNUM($K165)=53,1,_xlfn.ISOWEEKNUM($K165)))</f>
        <v/>
      </c>
      <c r="P165" s="3">
        <f>IF($K165="","",YEAR($K165))</f>
        <v/>
      </c>
      <c r="Q165" s="3">
        <f>IF($K165="","",MONTH($K165))</f>
        <v/>
      </c>
      <c r="R165" s="3">
        <f>IF($K165="","",INDEX(lista_dias,WEEKDAY($K165,2)))</f>
        <v/>
      </c>
      <c r="S165" s="3">
        <f>IFERROR(INDEX('CAT_TIPOS_OT'!$C$4:$C$7,MATCH($J165,'CAT_TIPOS_OT'!$A$4:$A$7,0)),"sin_clasificar")</f>
        <v/>
      </c>
      <c r="T165" s="3">
        <f>IFERROR(INDEX('CAT_CENTROS_COSTO'!$E$4:$E$9,MATCH($G165,'CAT_CENTROS_COSTO'!$A$4:$A$9,0)),"(sin catálogo)")</f>
        <v/>
      </c>
      <c r="U165" s="3">
        <f>IFERROR(INDEX('CAT_CENTROS_COSTO'!$D$4:$D$9,MATCH($G165,'CAT_CENTROS_COSTO'!$A$4:$A$9,0)),"(sin catálogo)")</f>
        <v/>
      </c>
      <c r="V165" s="3">
        <f>IFERROR(INDEX('CAT_CENTROS_COSTO'!$F$4:$F$9,MATCH($G165,'CAT_CENTROS_COSTO'!$A$4:$A$9,0)),"(sin catálogo)")</f>
        <v/>
      </c>
      <c r="W165" s="3">
        <f>IFERROR(INDEX('CAT_PUESTOS'!$B$4:$B$8,MATCH($H165,'CAT_PUESTOS'!$A$4:$A$8,0)),"(sin catálogo)")</f>
        <v/>
      </c>
      <c r="X165" s="3">
        <f>IFERROR(INDEX('CAT_ACTIVIDADES'!$B$4:$B$8,MATCH($I165,'CAT_ACTIVIDADES'!$A$4:$A$8,0)),"(sin catálogo)")</f>
        <v/>
      </c>
      <c r="Y165" s="12">
        <f>IF($K165="","",TODAY()-$K165)</f>
        <v/>
      </c>
      <c r="Z165" s="3">
        <f>IF($Y165="","",IF($Y165&lt;0,"FUTURO",IF($Y165&gt;p_dias_backlog_max,"BACKLOG","MES CORRIENTE")))</f>
        <v/>
      </c>
      <c r="AA165" s="3">
        <f>IF($Y165="",FALSE,AND($Y165&gt;p_dias_backlog_min,$Y165&lt;=p_dias_backlog_max))</f>
        <v/>
      </c>
      <c r="AB165" s="6" t="inlineStr"/>
      <c r="AC165" s="3">
        <f>IF($AB165="","",IFERROR(INDEX('ASIGNACIONES'!$F$4:$F$339,MATCH($O165&amp;"|"&amp;$R165&amp;"|"&amp;$AB165,'ASIGNACIONES'!$I$4:$I$339,0)),""))</f>
        <v/>
      </c>
      <c r="AD165" s="13">
        <f>IF($AB165="","",SUMIFS('ORDENES'!$L$4:$L$203,'ORDENES'!$AB$4:$AB$203,$AB165,'ORDENES'!$O$4:$O$203,$O165,'ORDENES'!$R$4:$R$203,$R165))</f>
        <v/>
      </c>
      <c r="AE165" s="13">
        <f>IF($AD165="","",p_factor_productividad*IFERROR(INDEX('ASIGNACIONES'!$H$4:$H$339,MATCH($O165&amp;"|"&amp;$R165&amp;"|"&amp;$AB165,'ASIGNACIONES'!$I$4:$I$339,0)),0)-$AD165)</f>
        <v/>
      </c>
      <c r="AF165" s="10">
        <f>IFERROR(INDEX('2_IMPORTAR_EJECUCION'!$G$9:$G$171,MATCH($C165,'2_IMPORTAR_EJECUCION'!$A$9:$A$171,0)),0)</f>
        <v/>
      </c>
      <c r="AG165" s="10">
        <f>MAX(0,IFERROR(INDEX('2_IMPORTAR_EJECUCION'!$I$9:$I$171,MATCH($C165,'2_IMPORTAR_EJECUCION'!$A$9:$A$171,0)),0)-$AF165)</f>
        <v/>
      </c>
      <c r="AH165" s="10">
        <f>$AF165+$AG165</f>
        <v/>
      </c>
      <c r="AI165" s="6" t="inlineStr"/>
      <c r="AJ165" s="6" t="inlineStr"/>
      <c r="AK165" s="6" t="inlineStr"/>
      <c r="AL165" s="3">
        <f>IF($AK165="","",HYPERLINK(p_ruta_base_checklists&amp;$AK165,"abrir"))</f>
        <v/>
      </c>
      <c r="AM165" s="6" t="inlineStr"/>
    </row>
    <row r="166">
      <c r="A166" s="3" t="inlineStr">
        <is>
          <t>OT-000163</t>
        </is>
      </c>
      <c r="B166" s="3" t="inlineStr">
        <is>
          <t>0010</t>
        </is>
      </c>
      <c r="C166" s="3">
        <f>$A166&amp;IF($B166="","0010",$B166)</f>
        <v/>
      </c>
      <c r="D166" s="3" t="inlineStr">
        <is>
          <t>Reparación de falla — EQ-104</t>
        </is>
      </c>
      <c r="E166" s="3" t="inlineStr">
        <is>
          <t>Reparación de falla en EQ-104</t>
        </is>
      </c>
      <c r="F166" s="3" t="inlineStr">
        <is>
          <t>EQ-104</t>
        </is>
      </c>
      <c r="G166" s="3" t="inlineStr">
        <is>
          <t>CC-120</t>
        </is>
      </c>
      <c r="H166" s="3" t="inlineStr">
        <is>
          <t>PU-ELE</t>
        </is>
      </c>
      <c r="I166" s="3" t="inlineStr">
        <is>
          <t>ACT-03</t>
        </is>
      </c>
      <c r="J166" s="3" t="inlineStr">
        <is>
          <t>TIPO-C2</t>
        </is>
      </c>
      <c r="K166" s="11" t="n">
        <v>46176</v>
      </c>
      <c r="L166" s="3" t="n">
        <v>6</v>
      </c>
      <c r="M166" s="10" t="n">
        <v>240</v>
      </c>
      <c r="N166" s="3">
        <f>IFERROR(INDEX('CAT_ESTADOS_ERP'!$B$4:$B$7,MATCH(IFERROR(INDEX('2_IMPORTAR_EJECUCION'!$D$9:$D$171,MATCH($C166,'2_IMPORTAR_EJECUCION'!$A$9:$A$171,0)),""),'CAT_ESTADOS_ERP'!$A$4:$A$7,0)),"Pendiente")</f>
        <v/>
      </c>
      <c r="O166" s="3">
        <f>IF($K166="","","S"&amp;IF(_xlfn.ISOWEEKNUM($K166)=53,1,_xlfn.ISOWEEKNUM($K166)))</f>
        <v/>
      </c>
      <c r="P166" s="3">
        <f>IF($K166="","",YEAR($K166))</f>
        <v/>
      </c>
      <c r="Q166" s="3">
        <f>IF($K166="","",MONTH($K166))</f>
        <v/>
      </c>
      <c r="R166" s="3">
        <f>IF($K166="","",INDEX(lista_dias,WEEKDAY($K166,2)))</f>
        <v/>
      </c>
      <c r="S166" s="3">
        <f>IFERROR(INDEX('CAT_TIPOS_OT'!$C$4:$C$7,MATCH($J166,'CAT_TIPOS_OT'!$A$4:$A$7,0)),"sin_clasificar")</f>
        <v/>
      </c>
      <c r="T166" s="3">
        <f>IFERROR(INDEX('CAT_CENTROS_COSTO'!$E$4:$E$9,MATCH($G166,'CAT_CENTROS_COSTO'!$A$4:$A$9,0)),"(sin catálogo)")</f>
        <v/>
      </c>
      <c r="U166" s="3">
        <f>IFERROR(INDEX('CAT_CENTROS_COSTO'!$D$4:$D$9,MATCH($G166,'CAT_CENTROS_COSTO'!$A$4:$A$9,0)),"(sin catálogo)")</f>
        <v/>
      </c>
      <c r="V166" s="3">
        <f>IFERROR(INDEX('CAT_CENTROS_COSTO'!$F$4:$F$9,MATCH($G166,'CAT_CENTROS_COSTO'!$A$4:$A$9,0)),"(sin catálogo)")</f>
        <v/>
      </c>
      <c r="W166" s="3">
        <f>IFERROR(INDEX('CAT_PUESTOS'!$B$4:$B$8,MATCH($H166,'CAT_PUESTOS'!$A$4:$A$8,0)),"(sin catálogo)")</f>
        <v/>
      </c>
      <c r="X166" s="3">
        <f>IFERROR(INDEX('CAT_ACTIVIDADES'!$B$4:$B$8,MATCH($I166,'CAT_ACTIVIDADES'!$A$4:$A$8,0)),"(sin catálogo)")</f>
        <v/>
      </c>
      <c r="Y166" s="12">
        <f>IF($K166="","",TODAY()-$K166)</f>
        <v/>
      </c>
      <c r="Z166" s="3">
        <f>IF($Y166="","",IF($Y166&lt;0,"FUTURO",IF($Y166&gt;p_dias_backlog_max,"BACKLOG","MES CORRIENTE")))</f>
        <v/>
      </c>
      <c r="AA166" s="3">
        <f>IF($Y166="",FALSE,AND($Y166&gt;p_dias_backlog_min,$Y166&lt;=p_dias_backlog_max))</f>
        <v/>
      </c>
      <c r="AB166" s="6" t="inlineStr"/>
      <c r="AC166" s="3">
        <f>IF($AB166="","",IFERROR(INDEX('ASIGNACIONES'!$F$4:$F$339,MATCH($O166&amp;"|"&amp;$R166&amp;"|"&amp;$AB166,'ASIGNACIONES'!$I$4:$I$339,0)),""))</f>
        <v/>
      </c>
      <c r="AD166" s="13">
        <f>IF($AB166="","",SUMIFS('ORDENES'!$L$4:$L$203,'ORDENES'!$AB$4:$AB$203,$AB166,'ORDENES'!$O$4:$O$203,$O166,'ORDENES'!$R$4:$R$203,$R166))</f>
        <v/>
      </c>
      <c r="AE166" s="13">
        <f>IF($AD166="","",p_factor_productividad*IFERROR(INDEX('ASIGNACIONES'!$H$4:$H$339,MATCH($O166&amp;"|"&amp;$R166&amp;"|"&amp;$AB166,'ASIGNACIONES'!$I$4:$I$339,0)),0)-$AD166)</f>
        <v/>
      </c>
      <c r="AF166" s="10">
        <f>IFERROR(INDEX('2_IMPORTAR_EJECUCION'!$G$9:$G$171,MATCH($C166,'2_IMPORTAR_EJECUCION'!$A$9:$A$171,0)),0)</f>
        <v/>
      </c>
      <c r="AG166" s="10">
        <f>MAX(0,IFERROR(INDEX('2_IMPORTAR_EJECUCION'!$I$9:$I$171,MATCH($C166,'2_IMPORTAR_EJECUCION'!$A$9:$A$171,0)),0)-$AF166)</f>
        <v/>
      </c>
      <c r="AH166" s="10">
        <f>$AF166+$AG166</f>
        <v/>
      </c>
      <c r="AI166" s="6" t="inlineStr"/>
      <c r="AJ166" s="6" t="inlineStr"/>
      <c r="AK166" s="6" t="inlineStr"/>
      <c r="AL166" s="3">
        <f>IF($AK166="","",HYPERLINK(p_ruta_base_checklists&amp;$AK166,"abrir"))</f>
        <v/>
      </c>
      <c r="AM166" s="6" t="inlineStr"/>
    </row>
    <row r="167">
      <c r="A167" s="3" t="inlineStr">
        <is>
          <t>OT-000164</t>
        </is>
      </c>
      <c r="B167" s="3" t="inlineStr">
        <is>
          <t>0010</t>
        </is>
      </c>
      <c r="C167" s="3">
        <f>$A167&amp;IF($B167="","0010",$B167)</f>
        <v/>
      </c>
      <c r="D167" s="3" t="inlineStr">
        <is>
          <t>Análisis predictivo — EQ-106</t>
        </is>
      </c>
      <c r="E167" s="3" t="inlineStr">
        <is>
          <t>Análisis predictivo en EQ-106</t>
        </is>
      </c>
      <c r="F167" s="3" t="inlineStr">
        <is>
          <t>EQ-106</t>
        </is>
      </c>
      <c r="G167" s="3" t="inlineStr">
        <is>
          <t>CC-210</t>
        </is>
      </c>
      <c r="H167" s="3" t="inlineStr">
        <is>
          <t>PU-AUT</t>
        </is>
      </c>
      <c r="I167" s="3" t="inlineStr">
        <is>
          <t>ACT-04</t>
        </is>
      </c>
      <c r="J167" s="3" t="inlineStr">
        <is>
          <t>TIPO-P1</t>
        </is>
      </c>
      <c r="K167" s="11" t="n">
        <v>46169</v>
      </c>
      <c r="L167" s="3" t="n">
        <v>8</v>
      </c>
      <c r="M167" s="10" t="n">
        <v>200</v>
      </c>
      <c r="N167" s="3">
        <f>IFERROR(INDEX('CAT_ESTADOS_ERP'!$B$4:$B$7,MATCH(IFERROR(INDEX('2_IMPORTAR_EJECUCION'!$D$9:$D$171,MATCH($C167,'2_IMPORTAR_EJECUCION'!$A$9:$A$171,0)),""),'CAT_ESTADOS_ERP'!$A$4:$A$7,0)),"Pendiente")</f>
        <v/>
      </c>
      <c r="O167" s="3">
        <f>IF($K167="","","S"&amp;IF(_xlfn.ISOWEEKNUM($K167)=53,1,_xlfn.ISOWEEKNUM($K167)))</f>
        <v/>
      </c>
      <c r="P167" s="3">
        <f>IF($K167="","",YEAR($K167))</f>
        <v/>
      </c>
      <c r="Q167" s="3">
        <f>IF($K167="","",MONTH($K167))</f>
        <v/>
      </c>
      <c r="R167" s="3">
        <f>IF($K167="","",INDEX(lista_dias,WEEKDAY($K167,2)))</f>
        <v/>
      </c>
      <c r="S167" s="3">
        <f>IFERROR(INDEX('CAT_TIPOS_OT'!$C$4:$C$7,MATCH($J167,'CAT_TIPOS_OT'!$A$4:$A$7,0)),"sin_clasificar")</f>
        <v/>
      </c>
      <c r="T167" s="3">
        <f>IFERROR(INDEX('CAT_CENTROS_COSTO'!$E$4:$E$9,MATCH($G167,'CAT_CENTROS_COSTO'!$A$4:$A$9,0)),"(sin catálogo)")</f>
        <v/>
      </c>
      <c r="U167" s="3">
        <f>IFERROR(INDEX('CAT_CENTROS_COSTO'!$D$4:$D$9,MATCH($G167,'CAT_CENTROS_COSTO'!$A$4:$A$9,0)),"(sin catálogo)")</f>
        <v/>
      </c>
      <c r="V167" s="3">
        <f>IFERROR(INDEX('CAT_CENTROS_COSTO'!$F$4:$F$9,MATCH($G167,'CAT_CENTROS_COSTO'!$A$4:$A$9,0)),"(sin catálogo)")</f>
        <v/>
      </c>
      <c r="W167" s="3">
        <f>IFERROR(INDEX('CAT_PUESTOS'!$B$4:$B$8,MATCH($H167,'CAT_PUESTOS'!$A$4:$A$8,0)),"(sin catálogo)")</f>
        <v/>
      </c>
      <c r="X167" s="3">
        <f>IFERROR(INDEX('CAT_ACTIVIDADES'!$B$4:$B$8,MATCH($I167,'CAT_ACTIVIDADES'!$A$4:$A$8,0)),"(sin catálogo)")</f>
        <v/>
      </c>
      <c r="Y167" s="12">
        <f>IF($K167="","",TODAY()-$K167)</f>
        <v/>
      </c>
      <c r="Z167" s="3">
        <f>IF($Y167="","",IF($Y167&lt;0,"FUTURO",IF($Y167&gt;p_dias_backlog_max,"BACKLOG","MES CORRIENTE")))</f>
        <v/>
      </c>
      <c r="AA167" s="3">
        <f>IF($Y167="",FALSE,AND($Y167&gt;p_dias_backlog_min,$Y167&lt;=p_dias_backlog_max))</f>
        <v/>
      </c>
      <c r="AB167" s="6" t="inlineStr"/>
      <c r="AC167" s="3">
        <f>IF($AB167="","",IFERROR(INDEX('ASIGNACIONES'!$F$4:$F$339,MATCH($O167&amp;"|"&amp;$R167&amp;"|"&amp;$AB167,'ASIGNACIONES'!$I$4:$I$339,0)),""))</f>
        <v/>
      </c>
      <c r="AD167" s="13">
        <f>IF($AB167="","",SUMIFS('ORDENES'!$L$4:$L$203,'ORDENES'!$AB$4:$AB$203,$AB167,'ORDENES'!$O$4:$O$203,$O167,'ORDENES'!$R$4:$R$203,$R167))</f>
        <v/>
      </c>
      <c r="AE167" s="13">
        <f>IF($AD167="","",p_factor_productividad*IFERROR(INDEX('ASIGNACIONES'!$H$4:$H$339,MATCH($O167&amp;"|"&amp;$R167&amp;"|"&amp;$AB167,'ASIGNACIONES'!$I$4:$I$339,0)),0)-$AD167)</f>
        <v/>
      </c>
      <c r="AF167" s="10">
        <f>IFERROR(INDEX('2_IMPORTAR_EJECUCION'!$G$9:$G$171,MATCH($C167,'2_IMPORTAR_EJECUCION'!$A$9:$A$171,0)),0)</f>
        <v/>
      </c>
      <c r="AG167" s="10">
        <f>MAX(0,IFERROR(INDEX('2_IMPORTAR_EJECUCION'!$I$9:$I$171,MATCH($C167,'2_IMPORTAR_EJECUCION'!$A$9:$A$171,0)),0)-$AF167)</f>
        <v/>
      </c>
      <c r="AH167" s="10">
        <f>$AF167+$AG167</f>
        <v/>
      </c>
      <c r="AI167" s="6" t="inlineStr"/>
      <c r="AJ167" s="6" t="inlineStr"/>
      <c r="AK167" s="6" t="inlineStr"/>
      <c r="AL167" s="3">
        <f>IF($AK167="","",HYPERLINK(p_ruta_base_checklists&amp;$AK167,"abrir"))</f>
        <v/>
      </c>
      <c r="AM167" s="6" t="inlineStr"/>
    </row>
    <row r="168">
      <c r="A168" s="3" t="inlineStr">
        <is>
          <t>OT-000165</t>
        </is>
      </c>
      <c r="B168" s="3" t="inlineStr">
        <is>
          <t>0010</t>
        </is>
      </c>
      <c r="C168" s="3">
        <f>$A168&amp;IF($B168="","0010",$B168)</f>
        <v/>
      </c>
      <c r="D168" s="3" t="inlineStr">
        <is>
          <t>Reparación de falla — EQ-107</t>
        </is>
      </c>
      <c r="E168" s="3" t="inlineStr">
        <is>
          <t>Reparación de falla en EQ-107</t>
        </is>
      </c>
      <c r="F168" s="3" t="inlineStr">
        <is>
          <t>EQ-107</t>
        </is>
      </c>
      <c r="G168" s="3" t="inlineStr">
        <is>
          <t>CC-220</t>
        </is>
      </c>
      <c r="H168" s="3" t="inlineStr">
        <is>
          <t>PU-OP</t>
        </is>
      </c>
      <c r="I168" s="3" t="inlineStr">
        <is>
          <t>ACT-03</t>
        </is>
      </c>
      <c r="J168" s="3" t="inlineStr">
        <is>
          <t>TIPO-C2</t>
        </is>
      </c>
      <c r="K168" s="11" t="n">
        <v>46162</v>
      </c>
      <c r="L168" s="3" t="n">
        <v>4</v>
      </c>
      <c r="M168" s="10" t="n">
        <v>160</v>
      </c>
      <c r="N168" s="3">
        <f>IFERROR(INDEX('CAT_ESTADOS_ERP'!$B$4:$B$7,MATCH(IFERROR(INDEX('2_IMPORTAR_EJECUCION'!$D$9:$D$171,MATCH($C168,'2_IMPORTAR_EJECUCION'!$A$9:$A$171,0)),""),'CAT_ESTADOS_ERP'!$A$4:$A$7,0)),"Pendiente")</f>
        <v/>
      </c>
      <c r="O168" s="3">
        <f>IF($K168="","","S"&amp;IF(_xlfn.ISOWEEKNUM($K168)=53,1,_xlfn.ISOWEEKNUM($K168)))</f>
        <v/>
      </c>
      <c r="P168" s="3">
        <f>IF($K168="","",YEAR($K168))</f>
        <v/>
      </c>
      <c r="Q168" s="3">
        <f>IF($K168="","",MONTH($K168))</f>
        <v/>
      </c>
      <c r="R168" s="3">
        <f>IF($K168="","",INDEX(lista_dias,WEEKDAY($K168,2)))</f>
        <v/>
      </c>
      <c r="S168" s="3">
        <f>IFERROR(INDEX('CAT_TIPOS_OT'!$C$4:$C$7,MATCH($J168,'CAT_TIPOS_OT'!$A$4:$A$7,0)),"sin_clasificar")</f>
        <v/>
      </c>
      <c r="T168" s="3">
        <f>IFERROR(INDEX('CAT_CENTROS_COSTO'!$E$4:$E$9,MATCH($G168,'CAT_CENTROS_COSTO'!$A$4:$A$9,0)),"(sin catálogo)")</f>
        <v/>
      </c>
      <c r="U168" s="3">
        <f>IFERROR(INDEX('CAT_CENTROS_COSTO'!$D$4:$D$9,MATCH($G168,'CAT_CENTROS_COSTO'!$A$4:$A$9,0)),"(sin catálogo)")</f>
        <v/>
      </c>
      <c r="V168" s="3">
        <f>IFERROR(INDEX('CAT_CENTROS_COSTO'!$F$4:$F$9,MATCH($G168,'CAT_CENTROS_COSTO'!$A$4:$A$9,0)),"(sin catálogo)")</f>
        <v/>
      </c>
      <c r="W168" s="3">
        <f>IFERROR(INDEX('CAT_PUESTOS'!$B$4:$B$8,MATCH($H168,'CAT_PUESTOS'!$A$4:$A$8,0)),"(sin catálogo)")</f>
        <v/>
      </c>
      <c r="X168" s="3">
        <f>IFERROR(INDEX('CAT_ACTIVIDADES'!$B$4:$B$8,MATCH($I168,'CAT_ACTIVIDADES'!$A$4:$A$8,0)),"(sin catálogo)")</f>
        <v/>
      </c>
      <c r="Y168" s="12">
        <f>IF($K168="","",TODAY()-$K168)</f>
        <v/>
      </c>
      <c r="Z168" s="3">
        <f>IF($Y168="","",IF($Y168&lt;0,"FUTURO",IF($Y168&gt;p_dias_backlog_max,"BACKLOG","MES CORRIENTE")))</f>
        <v/>
      </c>
      <c r="AA168" s="3">
        <f>IF($Y168="",FALSE,AND($Y168&gt;p_dias_backlog_min,$Y168&lt;=p_dias_backlog_max))</f>
        <v/>
      </c>
      <c r="AB168" s="6" t="inlineStr"/>
      <c r="AC168" s="3">
        <f>IF($AB168="","",IFERROR(INDEX('ASIGNACIONES'!$F$4:$F$339,MATCH($O168&amp;"|"&amp;$R168&amp;"|"&amp;$AB168,'ASIGNACIONES'!$I$4:$I$339,0)),""))</f>
        <v/>
      </c>
      <c r="AD168" s="13">
        <f>IF($AB168="","",SUMIFS('ORDENES'!$L$4:$L$203,'ORDENES'!$AB$4:$AB$203,$AB168,'ORDENES'!$O$4:$O$203,$O168,'ORDENES'!$R$4:$R$203,$R168))</f>
        <v/>
      </c>
      <c r="AE168" s="13">
        <f>IF($AD168="","",p_factor_productividad*IFERROR(INDEX('ASIGNACIONES'!$H$4:$H$339,MATCH($O168&amp;"|"&amp;$R168&amp;"|"&amp;$AB168,'ASIGNACIONES'!$I$4:$I$339,0)),0)-$AD168)</f>
        <v/>
      </c>
      <c r="AF168" s="10">
        <f>IFERROR(INDEX('2_IMPORTAR_EJECUCION'!$G$9:$G$171,MATCH($C168,'2_IMPORTAR_EJECUCION'!$A$9:$A$171,0)),0)</f>
        <v/>
      </c>
      <c r="AG168" s="10">
        <f>MAX(0,IFERROR(INDEX('2_IMPORTAR_EJECUCION'!$I$9:$I$171,MATCH($C168,'2_IMPORTAR_EJECUCION'!$A$9:$A$171,0)),0)-$AF168)</f>
        <v/>
      </c>
      <c r="AH168" s="10">
        <f>$AF168+$AG168</f>
        <v/>
      </c>
      <c r="AI168" s="6" t="inlineStr"/>
      <c r="AJ168" s="6" t="inlineStr"/>
      <c r="AK168" s="6" t="inlineStr"/>
      <c r="AL168" s="3">
        <f>IF($AK168="","",HYPERLINK(p_ruta_base_checklists&amp;$AK168,"abrir"))</f>
        <v/>
      </c>
      <c r="AM168" s="6" t="inlineStr"/>
    </row>
    <row r="169">
      <c r="A169" s="3" t="inlineStr">
        <is>
          <t>OT-000166</t>
        </is>
      </c>
      <c r="B169" s="3" t="inlineStr">
        <is>
          <t>0010</t>
        </is>
      </c>
      <c r="C169" s="3">
        <f>$A169&amp;IF($B169="","0010",$B169)</f>
        <v/>
      </c>
      <c r="D169" s="3" t="inlineStr">
        <is>
          <t>Lubricación programada — EQ-111</t>
        </is>
      </c>
      <c r="E169" s="3" t="inlineStr">
        <is>
          <t>Lubricación programada en EQ-111</t>
        </is>
      </c>
      <c r="F169" s="3" t="inlineStr">
        <is>
          <t>EQ-111</t>
        </is>
      </c>
      <c r="G169" s="3" t="inlineStr">
        <is>
          <t>CC-310</t>
        </is>
      </c>
      <c r="H169" s="3" t="inlineStr">
        <is>
          <t>PU-MEC</t>
        </is>
      </c>
      <c r="I169" s="3" t="inlineStr">
        <is>
          <t>ACT-02</t>
        </is>
      </c>
      <c r="J169" s="3" t="inlineStr">
        <is>
          <t>TIPO-P1</t>
        </is>
      </c>
      <c r="K169" s="11" t="n">
        <v>46155</v>
      </c>
      <c r="L169" s="3" t="n">
        <v>6</v>
      </c>
      <c r="M169" s="10" t="n">
        <v>150</v>
      </c>
      <c r="N169" s="3">
        <f>IFERROR(INDEX('CAT_ESTADOS_ERP'!$B$4:$B$7,MATCH(IFERROR(INDEX('2_IMPORTAR_EJECUCION'!$D$9:$D$171,MATCH($C169,'2_IMPORTAR_EJECUCION'!$A$9:$A$171,0)),""),'CAT_ESTADOS_ERP'!$A$4:$A$7,0)),"Pendiente")</f>
        <v/>
      </c>
      <c r="O169" s="3">
        <f>IF($K169="","","S"&amp;IF(_xlfn.ISOWEEKNUM($K169)=53,1,_xlfn.ISOWEEKNUM($K169)))</f>
        <v/>
      </c>
      <c r="P169" s="3">
        <f>IF($K169="","",YEAR($K169))</f>
        <v/>
      </c>
      <c r="Q169" s="3">
        <f>IF($K169="","",MONTH($K169))</f>
        <v/>
      </c>
      <c r="R169" s="3">
        <f>IF($K169="","",INDEX(lista_dias,WEEKDAY($K169,2)))</f>
        <v/>
      </c>
      <c r="S169" s="3">
        <f>IFERROR(INDEX('CAT_TIPOS_OT'!$C$4:$C$7,MATCH($J169,'CAT_TIPOS_OT'!$A$4:$A$7,0)),"sin_clasificar")</f>
        <v/>
      </c>
      <c r="T169" s="3">
        <f>IFERROR(INDEX('CAT_CENTROS_COSTO'!$E$4:$E$9,MATCH($G169,'CAT_CENTROS_COSTO'!$A$4:$A$9,0)),"(sin catálogo)")</f>
        <v/>
      </c>
      <c r="U169" s="3">
        <f>IFERROR(INDEX('CAT_CENTROS_COSTO'!$D$4:$D$9,MATCH($G169,'CAT_CENTROS_COSTO'!$A$4:$A$9,0)),"(sin catálogo)")</f>
        <v/>
      </c>
      <c r="V169" s="3">
        <f>IFERROR(INDEX('CAT_CENTROS_COSTO'!$F$4:$F$9,MATCH($G169,'CAT_CENTROS_COSTO'!$A$4:$A$9,0)),"(sin catálogo)")</f>
        <v/>
      </c>
      <c r="W169" s="3">
        <f>IFERROR(INDEX('CAT_PUESTOS'!$B$4:$B$8,MATCH($H169,'CAT_PUESTOS'!$A$4:$A$8,0)),"(sin catálogo)")</f>
        <v/>
      </c>
      <c r="X169" s="3">
        <f>IFERROR(INDEX('CAT_ACTIVIDADES'!$B$4:$B$8,MATCH($I169,'CAT_ACTIVIDADES'!$A$4:$A$8,0)),"(sin catálogo)")</f>
        <v/>
      </c>
      <c r="Y169" s="12">
        <f>IF($K169="","",TODAY()-$K169)</f>
        <v/>
      </c>
      <c r="Z169" s="3">
        <f>IF($Y169="","",IF($Y169&lt;0,"FUTURO",IF($Y169&gt;p_dias_backlog_max,"BACKLOG","MES CORRIENTE")))</f>
        <v/>
      </c>
      <c r="AA169" s="3">
        <f>IF($Y169="",FALSE,AND($Y169&gt;p_dias_backlog_min,$Y169&lt;=p_dias_backlog_max))</f>
        <v/>
      </c>
      <c r="AB169" s="6" t="inlineStr"/>
      <c r="AC169" s="3">
        <f>IF($AB169="","",IFERROR(INDEX('ASIGNACIONES'!$F$4:$F$339,MATCH($O169&amp;"|"&amp;$R169&amp;"|"&amp;$AB169,'ASIGNACIONES'!$I$4:$I$339,0)),""))</f>
        <v/>
      </c>
      <c r="AD169" s="13">
        <f>IF($AB169="","",SUMIFS('ORDENES'!$L$4:$L$203,'ORDENES'!$AB$4:$AB$203,$AB169,'ORDENES'!$O$4:$O$203,$O169,'ORDENES'!$R$4:$R$203,$R169))</f>
        <v/>
      </c>
      <c r="AE169" s="13">
        <f>IF($AD169="","",p_factor_productividad*IFERROR(INDEX('ASIGNACIONES'!$H$4:$H$339,MATCH($O169&amp;"|"&amp;$R169&amp;"|"&amp;$AB169,'ASIGNACIONES'!$I$4:$I$339,0)),0)-$AD169)</f>
        <v/>
      </c>
      <c r="AF169" s="10">
        <f>IFERROR(INDEX('2_IMPORTAR_EJECUCION'!$G$9:$G$171,MATCH($C169,'2_IMPORTAR_EJECUCION'!$A$9:$A$171,0)),0)</f>
        <v/>
      </c>
      <c r="AG169" s="10">
        <f>MAX(0,IFERROR(INDEX('2_IMPORTAR_EJECUCION'!$I$9:$I$171,MATCH($C169,'2_IMPORTAR_EJECUCION'!$A$9:$A$171,0)),0)-$AF169)</f>
        <v/>
      </c>
      <c r="AH169" s="10">
        <f>$AF169+$AG169</f>
        <v/>
      </c>
      <c r="AI169" s="6" t="inlineStr"/>
      <c r="AJ169" s="6" t="inlineStr"/>
      <c r="AK169" s="6" t="inlineStr"/>
      <c r="AL169" s="3">
        <f>IF($AK169="","",HYPERLINK(p_ruta_base_checklists&amp;$AK169,"abrir"))</f>
        <v/>
      </c>
      <c r="AM169" s="6" t="inlineStr"/>
    </row>
    <row r="170">
      <c r="A170" s="3" t="inlineStr">
        <is>
          <t>OT-000167</t>
        </is>
      </c>
      <c r="B170" s="3" t="inlineStr">
        <is>
          <t>0010</t>
        </is>
      </c>
      <c r="C170" s="3">
        <f>$A170&amp;IF($B170="","0010",$B170)</f>
        <v/>
      </c>
      <c r="D170" s="3" t="inlineStr">
        <is>
          <t>Reparación de falla — EQ-112</t>
        </is>
      </c>
      <c r="E170" s="3" t="inlineStr">
        <is>
          <t>Reparación de falla en EQ-112</t>
        </is>
      </c>
      <c r="F170" s="3" t="inlineStr">
        <is>
          <t>EQ-112</t>
        </is>
      </c>
      <c r="G170" s="3" t="inlineStr">
        <is>
          <t>CC-320</t>
        </is>
      </c>
      <c r="H170" s="3" t="inlineStr">
        <is>
          <t>PU-ELE</t>
        </is>
      </c>
      <c r="I170" s="3" t="inlineStr">
        <is>
          <t>ACT-03</t>
        </is>
      </c>
      <c r="J170" s="3" t="inlineStr">
        <is>
          <t>TIPO-C2</t>
        </is>
      </c>
      <c r="K170" s="11" t="n">
        <v>46148</v>
      </c>
      <c r="L170" s="3" t="n">
        <v>8</v>
      </c>
      <c r="M170" s="10" t="n">
        <v>320</v>
      </c>
      <c r="N170" s="3">
        <f>IFERROR(INDEX('CAT_ESTADOS_ERP'!$B$4:$B$7,MATCH(IFERROR(INDEX('2_IMPORTAR_EJECUCION'!$D$9:$D$171,MATCH($C170,'2_IMPORTAR_EJECUCION'!$A$9:$A$171,0)),""),'CAT_ESTADOS_ERP'!$A$4:$A$7,0)),"Pendiente")</f>
        <v/>
      </c>
      <c r="O170" s="3">
        <f>IF($K170="","","S"&amp;IF(_xlfn.ISOWEEKNUM($K170)=53,1,_xlfn.ISOWEEKNUM($K170)))</f>
        <v/>
      </c>
      <c r="P170" s="3">
        <f>IF($K170="","",YEAR($K170))</f>
        <v/>
      </c>
      <c r="Q170" s="3">
        <f>IF($K170="","",MONTH($K170))</f>
        <v/>
      </c>
      <c r="R170" s="3">
        <f>IF($K170="","",INDEX(lista_dias,WEEKDAY($K170,2)))</f>
        <v/>
      </c>
      <c r="S170" s="3">
        <f>IFERROR(INDEX('CAT_TIPOS_OT'!$C$4:$C$7,MATCH($J170,'CAT_TIPOS_OT'!$A$4:$A$7,0)),"sin_clasificar")</f>
        <v/>
      </c>
      <c r="T170" s="3">
        <f>IFERROR(INDEX('CAT_CENTROS_COSTO'!$E$4:$E$9,MATCH($G170,'CAT_CENTROS_COSTO'!$A$4:$A$9,0)),"(sin catálogo)")</f>
        <v/>
      </c>
      <c r="U170" s="3">
        <f>IFERROR(INDEX('CAT_CENTROS_COSTO'!$D$4:$D$9,MATCH($G170,'CAT_CENTROS_COSTO'!$A$4:$A$9,0)),"(sin catálogo)")</f>
        <v/>
      </c>
      <c r="V170" s="3">
        <f>IFERROR(INDEX('CAT_CENTROS_COSTO'!$F$4:$F$9,MATCH($G170,'CAT_CENTROS_COSTO'!$A$4:$A$9,0)),"(sin catálogo)")</f>
        <v/>
      </c>
      <c r="W170" s="3">
        <f>IFERROR(INDEX('CAT_PUESTOS'!$B$4:$B$8,MATCH($H170,'CAT_PUESTOS'!$A$4:$A$8,0)),"(sin catálogo)")</f>
        <v/>
      </c>
      <c r="X170" s="3">
        <f>IFERROR(INDEX('CAT_ACTIVIDADES'!$B$4:$B$8,MATCH($I170,'CAT_ACTIVIDADES'!$A$4:$A$8,0)),"(sin catálogo)")</f>
        <v/>
      </c>
      <c r="Y170" s="12">
        <f>IF($K170="","",TODAY()-$K170)</f>
        <v/>
      </c>
      <c r="Z170" s="3">
        <f>IF($Y170="","",IF($Y170&lt;0,"FUTURO",IF($Y170&gt;p_dias_backlog_max,"BACKLOG","MES CORRIENTE")))</f>
        <v/>
      </c>
      <c r="AA170" s="3">
        <f>IF($Y170="",FALSE,AND($Y170&gt;p_dias_backlog_min,$Y170&lt;=p_dias_backlog_max))</f>
        <v/>
      </c>
      <c r="AB170" s="6" t="inlineStr"/>
      <c r="AC170" s="3">
        <f>IF($AB170="","",IFERROR(INDEX('ASIGNACIONES'!$F$4:$F$339,MATCH($O170&amp;"|"&amp;$R170&amp;"|"&amp;$AB170,'ASIGNACIONES'!$I$4:$I$339,0)),""))</f>
        <v/>
      </c>
      <c r="AD170" s="13">
        <f>IF($AB170="","",SUMIFS('ORDENES'!$L$4:$L$203,'ORDENES'!$AB$4:$AB$203,$AB170,'ORDENES'!$O$4:$O$203,$O170,'ORDENES'!$R$4:$R$203,$R170))</f>
        <v/>
      </c>
      <c r="AE170" s="13">
        <f>IF($AD170="","",p_factor_productividad*IFERROR(INDEX('ASIGNACIONES'!$H$4:$H$339,MATCH($O170&amp;"|"&amp;$R170&amp;"|"&amp;$AB170,'ASIGNACIONES'!$I$4:$I$339,0)),0)-$AD170)</f>
        <v/>
      </c>
      <c r="AF170" s="10">
        <f>IFERROR(INDEX('2_IMPORTAR_EJECUCION'!$G$9:$G$171,MATCH($C170,'2_IMPORTAR_EJECUCION'!$A$9:$A$171,0)),0)</f>
        <v/>
      </c>
      <c r="AG170" s="10">
        <f>MAX(0,IFERROR(INDEX('2_IMPORTAR_EJECUCION'!$I$9:$I$171,MATCH($C170,'2_IMPORTAR_EJECUCION'!$A$9:$A$171,0)),0)-$AF170)</f>
        <v/>
      </c>
      <c r="AH170" s="10">
        <f>$AF170+$AG170</f>
        <v/>
      </c>
      <c r="AI170" s="6" t="inlineStr"/>
      <c r="AJ170" s="6" t="inlineStr"/>
      <c r="AK170" s="6" t="inlineStr"/>
      <c r="AL170" s="3">
        <f>IF($AK170="","",HYPERLINK(p_ruta_base_checklists&amp;$AK170,"abrir"))</f>
        <v/>
      </c>
      <c r="AM170" s="6" t="inlineStr"/>
    </row>
    <row r="171">
      <c r="A171" s="3" t="inlineStr">
        <is>
          <t>OT-000168</t>
        </is>
      </c>
      <c r="B171" s="3" t="inlineStr">
        <is>
          <t>0010</t>
        </is>
      </c>
      <c r="C171" s="3">
        <f>$A171&amp;IF($B171="","0010",$B171)</f>
        <v/>
      </c>
      <c r="D171" s="3" t="inlineStr">
        <is>
          <t>Inspección de rutina — EQ-104</t>
        </is>
      </c>
      <c r="E171" s="3" t="inlineStr">
        <is>
          <t>Inspección de rutina en EQ-104</t>
        </is>
      </c>
      <c r="F171" s="3" t="inlineStr">
        <is>
          <t>EQ-104</t>
        </is>
      </c>
      <c r="G171" s="3" t="inlineStr">
        <is>
          <t>CC-110</t>
        </is>
      </c>
      <c r="H171" s="3" t="inlineStr">
        <is>
          <t>PU-AUT</t>
        </is>
      </c>
      <c r="I171" s="3" t="inlineStr">
        <is>
          <t>ACT-01</t>
        </is>
      </c>
      <c r="J171" s="3" t="inlineStr">
        <is>
          <t>TIPO-P1</t>
        </is>
      </c>
      <c r="K171" s="11" t="n">
        <v>46141</v>
      </c>
      <c r="L171" s="3" t="n">
        <v>4</v>
      </c>
      <c r="M171" s="10" t="n">
        <v>100</v>
      </c>
      <c r="N171" s="3">
        <f>IFERROR(INDEX('CAT_ESTADOS_ERP'!$B$4:$B$7,MATCH(IFERROR(INDEX('2_IMPORTAR_EJECUCION'!$D$9:$D$171,MATCH($C171,'2_IMPORTAR_EJECUCION'!$A$9:$A$171,0)),""),'CAT_ESTADOS_ERP'!$A$4:$A$7,0)),"Pendiente")</f>
        <v/>
      </c>
      <c r="O171" s="3">
        <f>IF($K171="","","S"&amp;IF(_xlfn.ISOWEEKNUM($K171)=53,1,_xlfn.ISOWEEKNUM($K171)))</f>
        <v/>
      </c>
      <c r="P171" s="3">
        <f>IF($K171="","",YEAR($K171))</f>
        <v/>
      </c>
      <c r="Q171" s="3">
        <f>IF($K171="","",MONTH($K171))</f>
        <v/>
      </c>
      <c r="R171" s="3">
        <f>IF($K171="","",INDEX(lista_dias,WEEKDAY($K171,2)))</f>
        <v/>
      </c>
      <c r="S171" s="3">
        <f>IFERROR(INDEX('CAT_TIPOS_OT'!$C$4:$C$7,MATCH($J171,'CAT_TIPOS_OT'!$A$4:$A$7,0)),"sin_clasificar")</f>
        <v/>
      </c>
      <c r="T171" s="3">
        <f>IFERROR(INDEX('CAT_CENTROS_COSTO'!$E$4:$E$9,MATCH($G171,'CAT_CENTROS_COSTO'!$A$4:$A$9,0)),"(sin catálogo)")</f>
        <v/>
      </c>
      <c r="U171" s="3">
        <f>IFERROR(INDEX('CAT_CENTROS_COSTO'!$D$4:$D$9,MATCH($G171,'CAT_CENTROS_COSTO'!$A$4:$A$9,0)),"(sin catálogo)")</f>
        <v/>
      </c>
      <c r="V171" s="3">
        <f>IFERROR(INDEX('CAT_CENTROS_COSTO'!$F$4:$F$9,MATCH($G171,'CAT_CENTROS_COSTO'!$A$4:$A$9,0)),"(sin catálogo)")</f>
        <v/>
      </c>
      <c r="W171" s="3">
        <f>IFERROR(INDEX('CAT_PUESTOS'!$B$4:$B$8,MATCH($H171,'CAT_PUESTOS'!$A$4:$A$8,0)),"(sin catálogo)")</f>
        <v/>
      </c>
      <c r="X171" s="3">
        <f>IFERROR(INDEX('CAT_ACTIVIDADES'!$B$4:$B$8,MATCH($I171,'CAT_ACTIVIDADES'!$A$4:$A$8,0)),"(sin catálogo)")</f>
        <v/>
      </c>
      <c r="Y171" s="12">
        <f>IF($K171="","",TODAY()-$K171)</f>
        <v/>
      </c>
      <c r="Z171" s="3">
        <f>IF($Y171="","",IF($Y171&lt;0,"FUTURO",IF($Y171&gt;p_dias_backlog_max,"BACKLOG","MES CORRIENTE")))</f>
        <v/>
      </c>
      <c r="AA171" s="3">
        <f>IF($Y171="",FALSE,AND($Y171&gt;p_dias_backlog_min,$Y171&lt;=p_dias_backlog_max))</f>
        <v/>
      </c>
      <c r="AB171" s="6" t="inlineStr"/>
      <c r="AC171" s="3">
        <f>IF($AB171="","",IFERROR(INDEX('ASIGNACIONES'!$F$4:$F$339,MATCH($O171&amp;"|"&amp;$R171&amp;"|"&amp;$AB171,'ASIGNACIONES'!$I$4:$I$339,0)),""))</f>
        <v/>
      </c>
      <c r="AD171" s="13">
        <f>IF($AB171="","",SUMIFS('ORDENES'!$L$4:$L$203,'ORDENES'!$AB$4:$AB$203,$AB171,'ORDENES'!$O$4:$O$203,$O171,'ORDENES'!$R$4:$R$203,$R171))</f>
        <v/>
      </c>
      <c r="AE171" s="13">
        <f>IF($AD171="","",p_factor_productividad*IFERROR(INDEX('ASIGNACIONES'!$H$4:$H$339,MATCH($O171&amp;"|"&amp;$R171&amp;"|"&amp;$AB171,'ASIGNACIONES'!$I$4:$I$339,0)),0)-$AD171)</f>
        <v/>
      </c>
      <c r="AF171" s="10">
        <f>IFERROR(INDEX('2_IMPORTAR_EJECUCION'!$G$9:$G$171,MATCH($C171,'2_IMPORTAR_EJECUCION'!$A$9:$A$171,0)),0)</f>
        <v/>
      </c>
      <c r="AG171" s="10">
        <f>MAX(0,IFERROR(INDEX('2_IMPORTAR_EJECUCION'!$I$9:$I$171,MATCH($C171,'2_IMPORTAR_EJECUCION'!$A$9:$A$171,0)),0)-$AF171)</f>
        <v/>
      </c>
      <c r="AH171" s="10">
        <f>$AF171+$AG171</f>
        <v/>
      </c>
      <c r="AI171" s="6" t="inlineStr"/>
      <c r="AJ171" s="6" t="inlineStr"/>
      <c r="AK171" s="6" t="inlineStr"/>
      <c r="AL171" s="3">
        <f>IF($AK171="","",HYPERLINK(p_ruta_base_checklists&amp;$AK171,"abrir"))</f>
        <v/>
      </c>
      <c r="AM171" s="6" t="inlineStr"/>
    </row>
    <row r="172">
      <c r="A172" s="3" t="inlineStr">
        <is>
          <t>OT-000169</t>
        </is>
      </c>
      <c r="B172" s="3" t="inlineStr">
        <is>
          <t>0010</t>
        </is>
      </c>
      <c r="C172" s="3">
        <f>$A172&amp;IF($B172="","0010",$B172)</f>
        <v/>
      </c>
      <c r="D172" s="3" t="inlineStr">
        <is>
          <t>Reparación de falla — EQ-105</t>
        </is>
      </c>
      <c r="E172" s="3" t="inlineStr">
        <is>
          <t>Reparación de falla en EQ-105</t>
        </is>
      </c>
      <c r="F172" s="3" t="inlineStr">
        <is>
          <t>EQ-105</t>
        </is>
      </c>
      <c r="G172" s="3" t="inlineStr">
        <is>
          <t>CC-120</t>
        </is>
      </c>
      <c r="H172" s="3" t="inlineStr">
        <is>
          <t>PU-OP</t>
        </is>
      </c>
      <c r="I172" s="3" t="inlineStr">
        <is>
          <t>ACT-03</t>
        </is>
      </c>
      <c r="J172" s="3" t="inlineStr">
        <is>
          <t>TIPO-C2</t>
        </is>
      </c>
      <c r="K172" s="11" t="n">
        <v>46134</v>
      </c>
      <c r="L172" s="3" t="n">
        <v>6</v>
      </c>
      <c r="M172" s="10" t="n">
        <v>240</v>
      </c>
      <c r="N172" s="3">
        <f>IFERROR(INDEX('CAT_ESTADOS_ERP'!$B$4:$B$7,MATCH(IFERROR(INDEX('2_IMPORTAR_EJECUCION'!$D$9:$D$171,MATCH($C172,'2_IMPORTAR_EJECUCION'!$A$9:$A$171,0)),""),'CAT_ESTADOS_ERP'!$A$4:$A$7,0)),"Pendiente")</f>
        <v/>
      </c>
      <c r="O172" s="3">
        <f>IF($K172="","","S"&amp;IF(_xlfn.ISOWEEKNUM($K172)=53,1,_xlfn.ISOWEEKNUM($K172)))</f>
        <v/>
      </c>
      <c r="P172" s="3">
        <f>IF($K172="","",YEAR($K172))</f>
        <v/>
      </c>
      <c r="Q172" s="3">
        <f>IF($K172="","",MONTH($K172))</f>
        <v/>
      </c>
      <c r="R172" s="3">
        <f>IF($K172="","",INDEX(lista_dias,WEEKDAY($K172,2)))</f>
        <v/>
      </c>
      <c r="S172" s="3">
        <f>IFERROR(INDEX('CAT_TIPOS_OT'!$C$4:$C$7,MATCH($J172,'CAT_TIPOS_OT'!$A$4:$A$7,0)),"sin_clasificar")</f>
        <v/>
      </c>
      <c r="T172" s="3">
        <f>IFERROR(INDEX('CAT_CENTROS_COSTO'!$E$4:$E$9,MATCH($G172,'CAT_CENTROS_COSTO'!$A$4:$A$9,0)),"(sin catálogo)")</f>
        <v/>
      </c>
      <c r="U172" s="3">
        <f>IFERROR(INDEX('CAT_CENTROS_COSTO'!$D$4:$D$9,MATCH($G172,'CAT_CENTROS_COSTO'!$A$4:$A$9,0)),"(sin catálogo)")</f>
        <v/>
      </c>
      <c r="V172" s="3">
        <f>IFERROR(INDEX('CAT_CENTROS_COSTO'!$F$4:$F$9,MATCH($G172,'CAT_CENTROS_COSTO'!$A$4:$A$9,0)),"(sin catálogo)")</f>
        <v/>
      </c>
      <c r="W172" s="3">
        <f>IFERROR(INDEX('CAT_PUESTOS'!$B$4:$B$8,MATCH($H172,'CAT_PUESTOS'!$A$4:$A$8,0)),"(sin catálogo)")</f>
        <v/>
      </c>
      <c r="X172" s="3">
        <f>IFERROR(INDEX('CAT_ACTIVIDADES'!$B$4:$B$8,MATCH($I172,'CAT_ACTIVIDADES'!$A$4:$A$8,0)),"(sin catálogo)")</f>
        <v/>
      </c>
      <c r="Y172" s="12">
        <f>IF($K172="","",TODAY()-$K172)</f>
        <v/>
      </c>
      <c r="Z172" s="3">
        <f>IF($Y172="","",IF($Y172&lt;0,"FUTURO",IF($Y172&gt;p_dias_backlog_max,"BACKLOG","MES CORRIENTE")))</f>
        <v/>
      </c>
      <c r="AA172" s="3">
        <f>IF($Y172="",FALSE,AND($Y172&gt;p_dias_backlog_min,$Y172&lt;=p_dias_backlog_max))</f>
        <v/>
      </c>
      <c r="AB172" s="6" t="inlineStr"/>
      <c r="AC172" s="3">
        <f>IF($AB172="","",IFERROR(INDEX('ASIGNACIONES'!$F$4:$F$339,MATCH($O172&amp;"|"&amp;$R172&amp;"|"&amp;$AB172,'ASIGNACIONES'!$I$4:$I$339,0)),""))</f>
        <v/>
      </c>
      <c r="AD172" s="13">
        <f>IF($AB172="","",SUMIFS('ORDENES'!$L$4:$L$203,'ORDENES'!$AB$4:$AB$203,$AB172,'ORDENES'!$O$4:$O$203,$O172,'ORDENES'!$R$4:$R$203,$R172))</f>
        <v/>
      </c>
      <c r="AE172" s="13">
        <f>IF($AD172="","",p_factor_productividad*IFERROR(INDEX('ASIGNACIONES'!$H$4:$H$339,MATCH($O172&amp;"|"&amp;$R172&amp;"|"&amp;$AB172,'ASIGNACIONES'!$I$4:$I$339,0)),0)-$AD172)</f>
        <v/>
      </c>
      <c r="AF172" s="10">
        <f>IFERROR(INDEX('2_IMPORTAR_EJECUCION'!$G$9:$G$171,MATCH($C172,'2_IMPORTAR_EJECUCION'!$A$9:$A$171,0)),0)</f>
        <v/>
      </c>
      <c r="AG172" s="10">
        <f>MAX(0,IFERROR(INDEX('2_IMPORTAR_EJECUCION'!$I$9:$I$171,MATCH($C172,'2_IMPORTAR_EJECUCION'!$A$9:$A$171,0)),0)-$AF172)</f>
        <v/>
      </c>
      <c r="AH172" s="10">
        <f>$AF172+$AG172</f>
        <v/>
      </c>
      <c r="AI172" s="6" t="inlineStr"/>
      <c r="AJ172" s="6" t="inlineStr"/>
      <c r="AK172" s="6" t="inlineStr"/>
      <c r="AL172" s="3">
        <f>IF($AK172="","",HYPERLINK(p_ruta_base_checklists&amp;$AK172,"abrir"))</f>
        <v/>
      </c>
      <c r="AM172" s="6" t="inlineStr"/>
    </row>
    <row r="173">
      <c r="A173" s="3" t="inlineStr">
        <is>
          <t>OT-000170</t>
        </is>
      </c>
      <c r="B173" s="3" t="inlineStr">
        <is>
          <t>0010</t>
        </is>
      </c>
      <c r="C173" s="3">
        <f>$A173&amp;IF($B173="","0010",$B173)</f>
        <v/>
      </c>
      <c r="D173" s="3" t="inlineStr">
        <is>
          <t>Análisis predictivo — EQ-108</t>
        </is>
      </c>
      <c r="E173" s="3" t="inlineStr">
        <is>
          <t>Análisis predictivo en EQ-108</t>
        </is>
      </c>
      <c r="F173" s="3" t="inlineStr">
        <is>
          <t>EQ-108</t>
        </is>
      </c>
      <c r="G173" s="3" t="inlineStr">
        <is>
          <t>CC-210</t>
        </is>
      </c>
      <c r="H173" s="3" t="inlineStr">
        <is>
          <t>PU-MEC</t>
        </is>
      </c>
      <c r="I173" s="3" t="inlineStr">
        <is>
          <t>ACT-04</t>
        </is>
      </c>
      <c r="J173" s="3" t="inlineStr">
        <is>
          <t>TIPO-P1</t>
        </is>
      </c>
      <c r="K173" s="11" t="n">
        <v>46127</v>
      </c>
      <c r="L173" s="3" t="n">
        <v>8</v>
      </c>
      <c r="M173" s="10" t="n">
        <v>200</v>
      </c>
      <c r="N173" s="3">
        <f>IFERROR(INDEX('CAT_ESTADOS_ERP'!$B$4:$B$7,MATCH(IFERROR(INDEX('2_IMPORTAR_EJECUCION'!$D$9:$D$171,MATCH($C173,'2_IMPORTAR_EJECUCION'!$A$9:$A$171,0)),""),'CAT_ESTADOS_ERP'!$A$4:$A$7,0)),"Pendiente")</f>
        <v/>
      </c>
      <c r="O173" s="3">
        <f>IF($K173="","","S"&amp;IF(_xlfn.ISOWEEKNUM($K173)=53,1,_xlfn.ISOWEEKNUM($K173)))</f>
        <v/>
      </c>
      <c r="P173" s="3">
        <f>IF($K173="","",YEAR($K173))</f>
        <v/>
      </c>
      <c r="Q173" s="3">
        <f>IF($K173="","",MONTH($K173))</f>
        <v/>
      </c>
      <c r="R173" s="3">
        <f>IF($K173="","",INDEX(lista_dias,WEEKDAY($K173,2)))</f>
        <v/>
      </c>
      <c r="S173" s="3">
        <f>IFERROR(INDEX('CAT_TIPOS_OT'!$C$4:$C$7,MATCH($J173,'CAT_TIPOS_OT'!$A$4:$A$7,0)),"sin_clasificar")</f>
        <v/>
      </c>
      <c r="T173" s="3">
        <f>IFERROR(INDEX('CAT_CENTROS_COSTO'!$E$4:$E$9,MATCH($G173,'CAT_CENTROS_COSTO'!$A$4:$A$9,0)),"(sin catálogo)")</f>
        <v/>
      </c>
      <c r="U173" s="3">
        <f>IFERROR(INDEX('CAT_CENTROS_COSTO'!$D$4:$D$9,MATCH($G173,'CAT_CENTROS_COSTO'!$A$4:$A$9,0)),"(sin catálogo)")</f>
        <v/>
      </c>
      <c r="V173" s="3">
        <f>IFERROR(INDEX('CAT_CENTROS_COSTO'!$F$4:$F$9,MATCH($G173,'CAT_CENTROS_COSTO'!$A$4:$A$9,0)),"(sin catálogo)")</f>
        <v/>
      </c>
      <c r="W173" s="3">
        <f>IFERROR(INDEX('CAT_PUESTOS'!$B$4:$B$8,MATCH($H173,'CAT_PUESTOS'!$A$4:$A$8,0)),"(sin catálogo)")</f>
        <v/>
      </c>
      <c r="X173" s="3">
        <f>IFERROR(INDEX('CAT_ACTIVIDADES'!$B$4:$B$8,MATCH($I173,'CAT_ACTIVIDADES'!$A$4:$A$8,0)),"(sin catálogo)")</f>
        <v/>
      </c>
      <c r="Y173" s="12">
        <f>IF($K173="","",TODAY()-$K173)</f>
        <v/>
      </c>
      <c r="Z173" s="3">
        <f>IF($Y173="","",IF($Y173&lt;0,"FUTURO",IF($Y173&gt;p_dias_backlog_max,"BACKLOG","MES CORRIENTE")))</f>
        <v/>
      </c>
      <c r="AA173" s="3">
        <f>IF($Y173="",FALSE,AND($Y173&gt;p_dias_backlog_min,$Y173&lt;=p_dias_backlog_max))</f>
        <v/>
      </c>
      <c r="AB173" s="6" t="inlineStr"/>
      <c r="AC173" s="3">
        <f>IF($AB173="","",IFERROR(INDEX('ASIGNACIONES'!$F$4:$F$339,MATCH($O173&amp;"|"&amp;$R173&amp;"|"&amp;$AB173,'ASIGNACIONES'!$I$4:$I$339,0)),""))</f>
        <v/>
      </c>
      <c r="AD173" s="13">
        <f>IF($AB173="","",SUMIFS('ORDENES'!$L$4:$L$203,'ORDENES'!$AB$4:$AB$203,$AB173,'ORDENES'!$O$4:$O$203,$O173,'ORDENES'!$R$4:$R$203,$R173))</f>
        <v/>
      </c>
      <c r="AE173" s="13">
        <f>IF($AD173="","",p_factor_productividad*IFERROR(INDEX('ASIGNACIONES'!$H$4:$H$339,MATCH($O173&amp;"|"&amp;$R173&amp;"|"&amp;$AB173,'ASIGNACIONES'!$I$4:$I$339,0)),0)-$AD173)</f>
        <v/>
      </c>
      <c r="AF173" s="10">
        <f>IFERROR(INDEX('2_IMPORTAR_EJECUCION'!$G$9:$G$171,MATCH($C173,'2_IMPORTAR_EJECUCION'!$A$9:$A$171,0)),0)</f>
        <v/>
      </c>
      <c r="AG173" s="10">
        <f>MAX(0,IFERROR(INDEX('2_IMPORTAR_EJECUCION'!$I$9:$I$171,MATCH($C173,'2_IMPORTAR_EJECUCION'!$A$9:$A$171,0)),0)-$AF173)</f>
        <v/>
      </c>
      <c r="AH173" s="10">
        <f>$AF173+$AG173</f>
        <v/>
      </c>
      <c r="AI173" s="6" t="inlineStr"/>
      <c r="AJ173" s="6" t="inlineStr"/>
      <c r="AK173" s="6" t="inlineStr"/>
      <c r="AL173" s="3">
        <f>IF($AK173="","",HYPERLINK(p_ruta_base_checklists&amp;$AK173,"abrir"))</f>
        <v/>
      </c>
      <c r="AM173" s="6" t="inlineStr"/>
    </row>
    <row r="174">
      <c r="A174" s="3" t="inlineStr">
        <is>
          <t>OT-000171</t>
        </is>
      </c>
      <c r="B174" s="3" t="inlineStr">
        <is>
          <t>0010</t>
        </is>
      </c>
      <c r="C174" s="3">
        <f>$A174&amp;IF($B174="","0010",$B174)</f>
        <v/>
      </c>
      <c r="D174" s="3" t="inlineStr">
        <is>
          <t>Reparación de falla — EQ-109</t>
        </is>
      </c>
      <c r="E174" s="3" t="inlineStr">
        <is>
          <t>Reparación de falla en EQ-109</t>
        </is>
      </c>
      <c r="F174" s="3" t="inlineStr">
        <is>
          <t>EQ-109</t>
        </is>
      </c>
      <c r="G174" s="3" t="inlineStr">
        <is>
          <t>CC-220</t>
        </is>
      </c>
      <c r="H174" s="3" t="inlineStr">
        <is>
          <t>PU-ELE</t>
        </is>
      </c>
      <c r="I174" s="3" t="inlineStr">
        <is>
          <t>ACT-03</t>
        </is>
      </c>
      <c r="J174" s="3" t="inlineStr">
        <is>
          <t>TIPO-C2</t>
        </is>
      </c>
      <c r="K174" s="11" t="n">
        <v>46120</v>
      </c>
      <c r="L174" s="3" t="n">
        <v>4</v>
      </c>
      <c r="M174" s="10" t="n">
        <v>160</v>
      </c>
      <c r="N174" s="3">
        <f>IFERROR(INDEX('CAT_ESTADOS_ERP'!$B$4:$B$7,MATCH(IFERROR(INDEX('2_IMPORTAR_EJECUCION'!$D$9:$D$171,MATCH($C174,'2_IMPORTAR_EJECUCION'!$A$9:$A$171,0)),""),'CAT_ESTADOS_ERP'!$A$4:$A$7,0)),"Pendiente")</f>
        <v/>
      </c>
      <c r="O174" s="3">
        <f>IF($K174="","","S"&amp;IF(_xlfn.ISOWEEKNUM($K174)=53,1,_xlfn.ISOWEEKNUM($K174)))</f>
        <v/>
      </c>
      <c r="P174" s="3">
        <f>IF($K174="","",YEAR($K174))</f>
        <v/>
      </c>
      <c r="Q174" s="3">
        <f>IF($K174="","",MONTH($K174))</f>
        <v/>
      </c>
      <c r="R174" s="3">
        <f>IF($K174="","",INDEX(lista_dias,WEEKDAY($K174,2)))</f>
        <v/>
      </c>
      <c r="S174" s="3">
        <f>IFERROR(INDEX('CAT_TIPOS_OT'!$C$4:$C$7,MATCH($J174,'CAT_TIPOS_OT'!$A$4:$A$7,0)),"sin_clasificar")</f>
        <v/>
      </c>
      <c r="T174" s="3">
        <f>IFERROR(INDEX('CAT_CENTROS_COSTO'!$E$4:$E$9,MATCH($G174,'CAT_CENTROS_COSTO'!$A$4:$A$9,0)),"(sin catálogo)")</f>
        <v/>
      </c>
      <c r="U174" s="3">
        <f>IFERROR(INDEX('CAT_CENTROS_COSTO'!$D$4:$D$9,MATCH($G174,'CAT_CENTROS_COSTO'!$A$4:$A$9,0)),"(sin catálogo)")</f>
        <v/>
      </c>
      <c r="V174" s="3">
        <f>IFERROR(INDEX('CAT_CENTROS_COSTO'!$F$4:$F$9,MATCH($G174,'CAT_CENTROS_COSTO'!$A$4:$A$9,0)),"(sin catálogo)")</f>
        <v/>
      </c>
      <c r="W174" s="3">
        <f>IFERROR(INDEX('CAT_PUESTOS'!$B$4:$B$8,MATCH($H174,'CAT_PUESTOS'!$A$4:$A$8,0)),"(sin catálogo)")</f>
        <v/>
      </c>
      <c r="X174" s="3">
        <f>IFERROR(INDEX('CAT_ACTIVIDADES'!$B$4:$B$8,MATCH($I174,'CAT_ACTIVIDADES'!$A$4:$A$8,0)),"(sin catálogo)")</f>
        <v/>
      </c>
      <c r="Y174" s="12">
        <f>IF($K174="","",TODAY()-$K174)</f>
        <v/>
      </c>
      <c r="Z174" s="3">
        <f>IF($Y174="","",IF($Y174&lt;0,"FUTURO",IF($Y174&gt;p_dias_backlog_max,"BACKLOG","MES CORRIENTE")))</f>
        <v/>
      </c>
      <c r="AA174" s="3">
        <f>IF($Y174="",FALSE,AND($Y174&gt;p_dias_backlog_min,$Y174&lt;=p_dias_backlog_max))</f>
        <v/>
      </c>
      <c r="AB174" s="6" t="inlineStr"/>
      <c r="AC174" s="3">
        <f>IF($AB174="","",IFERROR(INDEX('ASIGNACIONES'!$F$4:$F$339,MATCH($O174&amp;"|"&amp;$R174&amp;"|"&amp;$AB174,'ASIGNACIONES'!$I$4:$I$339,0)),""))</f>
        <v/>
      </c>
      <c r="AD174" s="13">
        <f>IF($AB174="","",SUMIFS('ORDENES'!$L$4:$L$203,'ORDENES'!$AB$4:$AB$203,$AB174,'ORDENES'!$O$4:$O$203,$O174,'ORDENES'!$R$4:$R$203,$R174))</f>
        <v/>
      </c>
      <c r="AE174" s="13">
        <f>IF($AD174="","",p_factor_productividad*IFERROR(INDEX('ASIGNACIONES'!$H$4:$H$339,MATCH($O174&amp;"|"&amp;$R174&amp;"|"&amp;$AB174,'ASIGNACIONES'!$I$4:$I$339,0)),0)-$AD174)</f>
        <v/>
      </c>
      <c r="AF174" s="10">
        <f>IFERROR(INDEX('2_IMPORTAR_EJECUCION'!$G$9:$G$171,MATCH($C174,'2_IMPORTAR_EJECUCION'!$A$9:$A$171,0)),0)</f>
        <v/>
      </c>
      <c r="AG174" s="10">
        <f>MAX(0,IFERROR(INDEX('2_IMPORTAR_EJECUCION'!$I$9:$I$171,MATCH($C174,'2_IMPORTAR_EJECUCION'!$A$9:$A$171,0)),0)-$AF174)</f>
        <v/>
      </c>
      <c r="AH174" s="10">
        <f>$AF174+$AG174</f>
        <v/>
      </c>
      <c r="AI174" s="6" t="inlineStr"/>
      <c r="AJ174" s="6" t="inlineStr"/>
      <c r="AK174" s="6" t="inlineStr"/>
      <c r="AL174" s="3">
        <f>IF($AK174="","",HYPERLINK(p_ruta_base_checklists&amp;$AK174,"abrir"))</f>
        <v/>
      </c>
      <c r="AM174" s="6" t="inlineStr"/>
    </row>
    <row r="175">
      <c r="A175" s="3" t="inlineStr">
        <is>
          <t>OT-000172</t>
        </is>
      </c>
      <c r="B175" s="3" t="inlineStr">
        <is>
          <t>0010</t>
        </is>
      </c>
      <c r="C175" s="3">
        <f>$A175&amp;IF($B175="","0010",$B175)</f>
        <v/>
      </c>
      <c r="D175" s="3" t="inlineStr">
        <is>
          <t>Lubricación programada — EQ-111</t>
        </is>
      </c>
      <c r="E175" s="3" t="inlineStr">
        <is>
          <t>Lubricación programada en EQ-111</t>
        </is>
      </c>
      <c r="F175" s="3" t="inlineStr">
        <is>
          <t>EQ-111</t>
        </is>
      </c>
      <c r="G175" s="3" t="inlineStr">
        <is>
          <t>CC-310</t>
        </is>
      </c>
      <c r="H175" s="3" t="inlineStr">
        <is>
          <t>PU-AUT</t>
        </is>
      </c>
      <c r="I175" s="3" t="inlineStr">
        <is>
          <t>ACT-02</t>
        </is>
      </c>
      <c r="J175" s="3" t="inlineStr">
        <is>
          <t>TIPO-P1</t>
        </is>
      </c>
      <c r="K175" s="11" t="n">
        <v>46113</v>
      </c>
      <c r="L175" s="3" t="n">
        <v>6</v>
      </c>
      <c r="M175" s="10" t="n">
        <v>150</v>
      </c>
      <c r="N175" s="3">
        <f>IFERROR(INDEX('CAT_ESTADOS_ERP'!$B$4:$B$7,MATCH(IFERROR(INDEX('2_IMPORTAR_EJECUCION'!$D$9:$D$171,MATCH($C175,'2_IMPORTAR_EJECUCION'!$A$9:$A$171,0)),""),'CAT_ESTADOS_ERP'!$A$4:$A$7,0)),"Pendiente")</f>
        <v/>
      </c>
      <c r="O175" s="3">
        <f>IF($K175="","","S"&amp;IF(_xlfn.ISOWEEKNUM($K175)=53,1,_xlfn.ISOWEEKNUM($K175)))</f>
        <v/>
      </c>
      <c r="P175" s="3">
        <f>IF($K175="","",YEAR($K175))</f>
        <v/>
      </c>
      <c r="Q175" s="3">
        <f>IF($K175="","",MONTH($K175))</f>
        <v/>
      </c>
      <c r="R175" s="3">
        <f>IF($K175="","",INDEX(lista_dias,WEEKDAY($K175,2)))</f>
        <v/>
      </c>
      <c r="S175" s="3">
        <f>IFERROR(INDEX('CAT_TIPOS_OT'!$C$4:$C$7,MATCH($J175,'CAT_TIPOS_OT'!$A$4:$A$7,0)),"sin_clasificar")</f>
        <v/>
      </c>
      <c r="T175" s="3">
        <f>IFERROR(INDEX('CAT_CENTROS_COSTO'!$E$4:$E$9,MATCH($G175,'CAT_CENTROS_COSTO'!$A$4:$A$9,0)),"(sin catálogo)")</f>
        <v/>
      </c>
      <c r="U175" s="3">
        <f>IFERROR(INDEX('CAT_CENTROS_COSTO'!$D$4:$D$9,MATCH($G175,'CAT_CENTROS_COSTO'!$A$4:$A$9,0)),"(sin catálogo)")</f>
        <v/>
      </c>
      <c r="V175" s="3">
        <f>IFERROR(INDEX('CAT_CENTROS_COSTO'!$F$4:$F$9,MATCH($G175,'CAT_CENTROS_COSTO'!$A$4:$A$9,0)),"(sin catálogo)")</f>
        <v/>
      </c>
      <c r="W175" s="3">
        <f>IFERROR(INDEX('CAT_PUESTOS'!$B$4:$B$8,MATCH($H175,'CAT_PUESTOS'!$A$4:$A$8,0)),"(sin catálogo)")</f>
        <v/>
      </c>
      <c r="X175" s="3">
        <f>IFERROR(INDEX('CAT_ACTIVIDADES'!$B$4:$B$8,MATCH($I175,'CAT_ACTIVIDADES'!$A$4:$A$8,0)),"(sin catálogo)")</f>
        <v/>
      </c>
      <c r="Y175" s="12">
        <f>IF($K175="","",TODAY()-$K175)</f>
        <v/>
      </c>
      <c r="Z175" s="3">
        <f>IF($Y175="","",IF($Y175&lt;0,"FUTURO",IF($Y175&gt;p_dias_backlog_max,"BACKLOG","MES CORRIENTE")))</f>
        <v/>
      </c>
      <c r="AA175" s="3">
        <f>IF($Y175="",FALSE,AND($Y175&gt;p_dias_backlog_min,$Y175&lt;=p_dias_backlog_max))</f>
        <v/>
      </c>
      <c r="AB175" s="6" t="inlineStr"/>
      <c r="AC175" s="3">
        <f>IF($AB175="","",IFERROR(INDEX('ASIGNACIONES'!$F$4:$F$339,MATCH($O175&amp;"|"&amp;$R175&amp;"|"&amp;$AB175,'ASIGNACIONES'!$I$4:$I$339,0)),""))</f>
        <v/>
      </c>
      <c r="AD175" s="13">
        <f>IF($AB175="","",SUMIFS('ORDENES'!$L$4:$L$203,'ORDENES'!$AB$4:$AB$203,$AB175,'ORDENES'!$O$4:$O$203,$O175,'ORDENES'!$R$4:$R$203,$R175))</f>
        <v/>
      </c>
      <c r="AE175" s="13">
        <f>IF($AD175="","",p_factor_productividad*IFERROR(INDEX('ASIGNACIONES'!$H$4:$H$339,MATCH($O175&amp;"|"&amp;$R175&amp;"|"&amp;$AB175,'ASIGNACIONES'!$I$4:$I$339,0)),0)-$AD175)</f>
        <v/>
      </c>
      <c r="AF175" s="10">
        <f>IFERROR(INDEX('2_IMPORTAR_EJECUCION'!$G$9:$G$171,MATCH($C175,'2_IMPORTAR_EJECUCION'!$A$9:$A$171,0)),0)</f>
        <v/>
      </c>
      <c r="AG175" s="10">
        <f>MAX(0,IFERROR(INDEX('2_IMPORTAR_EJECUCION'!$I$9:$I$171,MATCH($C175,'2_IMPORTAR_EJECUCION'!$A$9:$A$171,0)),0)-$AF175)</f>
        <v/>
      </c>
      <c r="AH175" s="10">
        <f>$AF175+$AG175</f>
        <v/>
      </c>
      <c r="AI175" s="6" t="inlineStr"/>
      <c r="AJ175" s="6" t="inlineStr"/>
      <c r="AK175" s="6" t="inlineStr"/>
      <c r="AL175" s="3">
        <f>IF($AK175="","",HYPERLINK(p_ruta_base_checklists&amp;$AK175,"abrir"))</f>
        <v/>
      </c>
      <c r="AM175" s="6" t="inlineStr"/>
    </row>
    <row r="176">
      <c r="A176" s="3" t="inlineStr">
        <is>
          <t>OT-000173</t>
        </is>
      </c>
      <c r="B176" s="3" t="inlineStr">
        <is>
          <t>0010</t>
        </is>
      </c>
      <c r="C176" s="3">
        <f>$A176&amp;IF($B176="","0010",$B176)</f>
        <v/>
      </c>
      <c r="D176" s="3" t="inlineStr">
        <is>
          <t>Reparación de falla — EQ-112</t>
        </is>
      </c>
      <c r="E176" s="3" t="inlineStr">
        <is>
          <t>Reparación de falla en EQ-112</t>
        </is>
      </c>
      <c r="F176" s="3" t="inlineStr">
        <is>
          <t>EQ-112</t>
        </is>
      </c>
      <c r="G176" s="3" t="inlineStr">
        <is>
          <t>CC-320</t>
        </is>
      </c>
      <c r="H176" s="3" t="inlineStr">
        <is>
          <t>PU-OP</t>
        </is>
      </c>
      <c r="I176" s="3" t="inlineStr">
        <is>
          <t>ACT-03</t>
        </is>
      </c>
      <c r="J176" s="3" t="inlineStr">
        <is>
          <t>TIPO-C2</t>
        </is>
      </c>
      <c r="K176" s="11" t="n">
        <v>46106</v>
      </c>
      <c r="L176" s="3" t="n">
        <v>8</v>
      </c>
      <c r="M176" s="10" t="n">
        <v>320</v>
      </c>
      <c r="N176" s="3">
        <f>IFERROR(INDEX('CAT_ESTADOS_ERP'!$B$4:$B$7,MATCH(IFERROR(INDEX('2_IMPORTAR_EJECUCION'!$D$9:$D$171,MATCH($C176,'2_IMPORTAR_EJECUCION'!$A$9:$A$171,0)),""),'CAT_ESTADOS_ERP'!$A$4:$A$7,0)),"Pendiente")</f>
        <v/>
      </c>
      <c r="O176" s="3">
        <f>IF($K176="","","S"&amp;IF(_xlfn.ISOWEEKNUM($K176)=53,1,_xlfn.ISOWEEKNUM($K176)))</f>
        <v/>
      </c>
      <c r="P176" s="3">
        <f>IF($K176="","",YEAR($K176))</f>
        <v/>
      </c>
      <c r="Q176" s="3">
        <f>IF($K176="","",MONTH($K176))</f>
        <v/>
      </c>
      <c r="R176" s="3">
        <f>IF($K176="","",INDEX(lista_dias,WEEKDAY($K176,2)))</f>
        <v/>
      </c>
      <c r="S176" s="3">
        <f>IFERROR(INDEX('CAT_TIPOS_OT'!$C$4:$C$7,MATCH($J176,'CAT_TIPOS_OT'!$A$4:$A$7,0)),"sin_clasificar")</f>
        <v/>
      </c>
      <c r="T176" s="3">
        <f>IFERROR(INDEX('CAT_CENTROS_COSTO'!$E$4:$E$9,MATCH($G176,'CAT_CENTROS_COSTO'!$A$4:$A$9,0)),"(sin catálogo)")</f>
        <v/>
      </c>
      <c r="U176" s="3">
        <f>IFERROR(INDEX('CAT_CENTROS_COSTO'!$D$4:$D$9,MATCH($G176,'CAT_CENTROS_COSTO'!$A$4:$A$9,0)),"(sin catálogo)")</f>
        <v/>
      </c>
      <c r="V176" s="3">
        <f>IFERROR(INDEX('CAT_CENTROS_COSTO'!$F$4:$F$9,MATCH($G176,'CAT_CENTROS_COSTO'!$A$4:$A$9,0)),"(sin catálogo)")</f>
        <v/>
      </c>
      <c r="W176" s="3">
        <f>IFERROR(INDEX('CAT_PUESTOS'!$B$4:$B$8,MATCH($H176,'CAT_PUESTOS'!$A$4:$A$8,0)),"(sin catálogo)")</f>
        <v/>
      </c>
      <c r="X176" s="3">
        <f>IFERROR(INDEX('CAT_ACTIVIDADES'!$B$4:$B$8,MATCH($I176,'CAT_ACTIVIDADES'!$A$4:$A$8,0)),"(sin catálogo)")</f>
        <v/>
      </c>
      <c r="Y176" s="12">
        <f>IF($K176="","",TODAY()-$K176)</f>
        <v/>
      </c>
      <c r="Z176" s="3">
        <f>IF($Y176="","",IF($Y176&lt;0,"FUTURO",IF($Y176&gt;p_dias_backlog_max,"BACKLOG","MES CORRIENTE")))</f>
        <v/>
      </c>
      <c r="AA176" s="3">
        <f>IF($Y176="",FALSE,AND($Y176&gt;p_dias_backlog_min,$Y176&lt;=p_dias_backlog_max))</f>
        <v/>
      </c>
      <c r="AB176" s="6" t="inlineStr"/>
      <c r="AC176" s="3">
        <f>IF($AB176="","",IFERROR(INDEX('ASIGNACIONES'!$F$4:$F$339,MATCH($O176&amp;"|"&amp;$R176&amp;"|"&amp;$AB176,'ASIGNACIONES'!$I$4:$I$339,0)),""))</f>
        <v/>
      </c>
      <c r="AD176" s="13">
        <f>IF($AB176="","",SUMIFS('ORDENES'!$L$4:$L$203,'ORDENES'!$AB$4:$AB$203,$AB176,'ORDENES'!$O$4:$O$203,$O176,'ORDENES'!$R$4:$R$203,$R176))</f>
        <v/>
      </c>
      <c r="AE176" s="13">
        <f>IF($AD176="","",p_factor_productividad*IFERROR(INDEX('ASIGNACIONES'!$H$4:$H$339,MATCH($O176&amp;"|"&amp;$R176&amp;"|"&amp;$AB176,'ASIGNACIONES'!$I$4:$I$339,0)),0)-$AD176)</f>
        <v/>
      </c>
      <c r="AF176" s="10">
        <f>IFERROR(INDEX('2_IMPORTAR_EJECUCION'!$G$9:$G$171,MATCH($C176,'2_IMPORTAR_EJECUCION'!$A$9:$A$171,0)),0)</f>
        <v/>
      </c>
      <c r="AG176" s="10">
        <f>MAX(0,IFERROR(INDEX('2_IMPORTAR_EJECUCION'!$I$9:$I$171,MATCH($C176,'2_IMPORTAR_EJECUCION'!$A$9:$A$171,0)),0)-$AF176)</f>
        <v/>
      </c>
      <c r="AH176" s="10">
        <f>$AF176+$AG176</f>
        <v/>
      </c>
      <c r="AI176" s="6" t="inlineStr"/>
      <c r="AJ176" s="6" t="inlineStr"/>
      <c r="AK176" s="6" t="inlineStr"/>
      <c r="AL176" s="3">
        <f>IF($AK176="","",HYPERLINK(p_ruta_base_checklists&amp;$AK176,"abrir"))</f>
        <v/>
      </c>
      <c r="AM176" s="6" t="inlineStr"/>
    </row>
    <row r="177">
      <c r="A177" s="3" t="inlineStr">
        <is>
          <t>OT-000174</t>
        </is>
      </c>
      <c r="B177" s="3" t="inlineStr">
        <is>
          <t>0010</t>
        </is>
      </c>
      <c r="C177" s="3">
        <f>$A177&amp;IF($B177="","0010",$B177)</f>
        <v/>
      </c>
      <c r="D177" s="3" t="inlineStr">
        <is>
          <t>Inspección de rutina — EQ-105</t>
        </is>
      </c>
      <c r="E177" s="3" t="inlineStr">
        <is>
          <t>Inspección de rutina en EQ-105</t>
        </is>
      </c>
      <c r="F177" s="3" t="inlineStr">
        <is>
          <t>EQ-105</t>
        </is>
      </c>
      <c r="G177" s="3" t="inlineStr">
        <is>
          <t>CC-110</t>
        </is>
      </c>
      <c r="H177" s="3" t="inlineStr">
        <is>
          <t>PU-MEC</t>
        </is>
      </c>
      <c r="I177" s="3" t="inlineStr">
        <is>
          <t>ACT-01</t>
        </is>
      </c>
      <c r="J177" s="3" t="inlineStr">
        <is>
          <t>TIPO-P1</t>
        </is>
      </c>
      <c r="K177" s="11" t="n">
        <v>46099</v>
      </c>
      <c r="L177" s="3" t="n">
        <v>4</v>
      </c>
      <c r="M177" s="10" t="n">
        <v>100</v>
      </c>
      <c r="N177" s="3">
        <f>IFERROR(INDEX('CAT_ESTADOS_ERP'!$B$4:$B$7,MATCH(IFERROR(INDEX('2_IMPORTAR_EJECUCION'!$D$9:$D$171,MATCH($C177,'2_IMPORTAR_EJECUCION'!$A$9:$A$171,0)),""),'CAT_ESTADOS_ERP'!$A$4:$A$7,0)),"Pendiente")</f>
        <v/>
      </c>
      <c r="O177" s="3">
        <f>IF($K177="","","S"&amp;IF(_xlfn.ISOWEEKNUM($K177)=53,1,_xlfn.ISOWEEKNUM($K177)))</f>
        <v/>
      </c>
      <c r="P177" s="3">
        <f>IF($K177="","",YEAR($K177))</f>
        <v/>
      </c>
      <c r="Q177" s="3">
        <f>IF($K177="","",MONTH($K177))</f>
        <v/>
      </c>
      <c r="R177" s="3">
        <f>IF($K177="","",INDEX(lista_dias,WEEKDAY($K177,2)))</f>
        <v/>
      </c>
      <c r="S177" s="3">
        <f>IFERROR(INDEX('CAT_TIPOS_OT'!$C$4:$C$7,MATCH($J177,'CAT_TIPOS_OT'!$A$4:$A$7,0)),"sin_clasificar")</f>
        <v/>
      </c>
      <c r="T177" s="3">
        <f>IFERROR(INDEX('CAT_CENTROS_COSTO'!$E$4:$E$9,MATCH($G177,'CAT_CENTROS_COSTO'!$A$4:$A$9,0)),"(sin catálogo)")</f>
        <v/>
      </c>
      <c r="U177" s="3">
        <f>IFERROR(INDEX('CAT_CENTROS_COSTO'!$D$4:$D$9,MATCH($G177,'CAT_CENTROS_COSTO'!$A$4:$A$9,0)),"(sin catálogo)")</f>
        <v/>
      </c>
      <c r="V177" s="3">
        <f>IFERROR(INDEX('CAT_CENTROS_COSTO'!$F$4:$F$9,MATCH($G177,'CAT_CENTROS_COSTO'!$A$4:$A$9,0)),"(sin catálogo)")</f>
        <v/>
      </c>
      <c r="W177" s="3">
        <f>IFERROR(INDEX('CAT_PUESTOS'!$B$4:$B$8,MATCH($H177,'CAT_PUESTOS'!$A$4:$A$8,0)),"(sin catálogo)")</f>
        <v/>
      </c>
      <c r="X177" s="3">
        <f>IFERROR(INDEX('CAT_ACTIVIDADES'!$B$4:$B$8,MATCH($I177,'CAT_ACTIVIDADES'!$A$4:$A$8,0)),"(sin catálogo)")</f>
        <v/>
      </c>
      <c r="Y177" s="12">
        <f>IF($K177="","",TODAY()-$K177)</f>
        <v/>
      </c>
      <c r="Z177" s="3">
        <f>IF($Y177="","",IF($Y177&lt;0,"FUTURO",IF($Y177&gt;p_dias_backlog_max,"BACKLOG","MES CORRIENTE")))</f>
        <v/>
      </c>
      <c r="AA177" s="3">
        <f>IF($Y177="",FALSE,AND($Y177&gt;p_dias_backlog_min,$Y177&lt;=p_dias_backlog_max))</f>
        <v/>
      </c>
      <c r="AB177" s="6" t="inlineStr"/>
      <c r="AC177" s="3">
        <f>IF($AB177="","",IFERROR(INDEX('ASIGNACIONES'!$F$4:$F$339,MATCH($O177&amp;"|"&amp;$R177&amp;"|"&amp;$AB177,'ASIGNACIONES'!$I$4:$I$339,0)),""))</f>
        <v/>
      </c>
      <c r="AD177" s="13">
        <f>IF($AB177="","",SUMIFS('ORDENES'!$L$4:$L$203,'ORDENES'!$AB$4:$AB$203,$AB177,'ORDENES'!$O$4:$O$203,$O177,'ORDENES'!$R$4:$R$203,$R177))</f>
        <v/>
      </c>
      <c r="AE177" s="13">
        <f>IF($AD177="","",p_factor_productividad*IFERROR(INDEX('ASIGNACIONES'!$H$4:$H$339,MATCH($O177&amp;"|"&amp;$R177&amp;"|"&amp;$AB177,'ASIGNACIONES'!$I$4:$I$339,0)),0)-$AD177)</f>
        <v/>
      </c>
      <c r="AF177" s="10">
        <f>IFERROR(INDEX('2_IMPORTAR_EJECUCION'!$G$9:$G$171,MATCH($C177,'2_IMPORTAR_EJECUCION'!$A$9:$A$171,0)),0)</f>
        <v/>
      </c>
      <c r="AG177" s="10">
        <f>MAX(0,IFERROR(INDEX('2_IMPORTAR_EJECUCION'!$I$9:$I$171,MATCH($C177,'2_IMPORTAR_EJECUCION'!$A$9:$A$171,0)),0)-$AF177)</f>
        <v/>
      </c>
      <c r="AH177" s="10">
        <f>$AF177+$AG177</f>
        <v/>
      </c>
      <c r="AI177" s="6" t="inlineStr"/>
      <c r="AJ177" s="6" t="inlineStr"/>
      <c r="AK177" s="6" t="inlineStr"/>
      <c r="AL177" s="3">
        <f>IF($AK177="","",HYPERLINK(p_ruta_base_checklists&amp;$AK177,"abrir"))</f>
        <v/>
      </c>
      <c r="AM177" s="6" t="inlineStr"/>
    </row>
    <row r="178">
      <c r="A178" s="3" t="inlineStr">
        <is>
          <t>OT-000175</t>
        </is>
      </c>
      <c r="B178" s="3" t="inlineStr">
        <is>
          <t>0010</t>
        </is>
      </c>
      <c r="C178" s="3">
        <f>$A178&amp;IF($B178="","0010",$B178)</f>
        <v/>
      </c>
      <c r="D178" s="3" t="inlineStr">
        <is>
          <t>Reparación de falla — EQ-101</t>
        </is>
      </c>
      <c r="E178" s="3" t="inlineStr">
        <is>
          <t>Reparación de falla en EQ-101</t>
        </is>
      </c>
      <c r="F178" s="3" t="inlineStr">
        <is>
          <t>EQ-101</t>
        </is>
      </c>
      <c r="G178" s="3" t="inlineStr">
        <is>
          <t>CC-120</t>
        </is>
      </c>
      <c r="H178" s="3" t="inlineStr">
        <is>
          <t>PU-ELE</t>
        </is>
      </c>
      <c r="I178" s="3" t="inlineStr">
        <is>
          <t>ACT-03</t>
        </is>
      </c>
      <c r="J178" s="3" t="inlineStr">
        <is>
          <t>TIPO-C2</t>
        </is>
      </c>
      <c r="K178" s="11" t="n">
        <v>46092</v>
      </c>
      <c r="L178" s="3" t="n">
        <v>6</v>
      </c>
      <c r="M178" s="10" t="n">
        <v>240</v>
      </c>
      <c r="N178" s="3">
        <f>IFERROR(INDEX('CAT_ESTADOS_ERP'!$B$4:$B$7,MATCH(IFERROR(INDEX('2_IMPORTAR_EJECUCION'!$D$9:$D$171,MATCH($C178,'2_IMPORTAR_EJECUCION'!$A$9:$A$171,0)),""),'CAT_ESTADOS_ERP'!$A$4:$A$7,0)),"Pendiente")</f>
        <v/>
      </c>
      <c r="O178" s="3">
        <f>IF($K178="","","S"&amp;IF(_xlfn.ISOWEEKNUM($K178)=53,1,_xlfn.ISOWEEKNUM($K178)))</f>
        <v/>
      </c>
      <c r="P178" s="3">
        <f>IF($K178="","",YEAR($K178))</f>
        <v/>
      </c>
      <c r="Q178" s="3">
        <f>IF($K178="","",MONTH($K178))</f>
        <v/>
      </c>
      <c r="R178" s="3">
        <f>IF($K178="","",INDEX(lista_dias,WEEKDAY($K178,2)))</f>
        <v/>
      </c>
      <c r="S178" s="3">
        <f>IFERROR(INDEX('CAT_TIPOS_OT'!$C$4:$C$7,MATCH($J178,'CAT_TIPOS_OT'!$A$4:$A$7,0)),"sin_clasificar")</f>
        <v/>
      </c>
      <c r="T178" s="3">
        <f>IFERROR(INDEX('CAT_CENTROS_COSTO'!$E$4:$E$9,MATCH($G178,'CAT_CENTROS_COSTO'!$A$4:$A$9,0)),"(sin catálogo)")</f>
        <v/>
      </c>
      <c r="U178" s="3">
        <f>IFERROR(INDEX('CAT_CENTROS_COSTO'!$D$4:$D$9,MATCH($G178,'CAT_CENTROS_COSTO'!$A$4:$A$9,0)),"(sin catálogo)")</f>
        <v/>
      </c>
      <c r="V178" s="3">
        <f>IFERROR(INDEX('CAT_CENTROS_COSTO'!$F$4:$F$9,MATCH($G178,'CAT_CENTROS_COSTO'!$A$4:$A$9,0)),"(sin catálogo)")</f>
        <v/>
      </c>
      <c r="W178" s="3">
        <f>IFERROR(INDEX('CAT_PUESTOS'!$B$4:$B$8,MATCH($H178,'CAT_PUESTOS'!$A$4:$A$8,0)),"(sin catálogo)")</f>
        <v/>
      </c>
      <c r="X178" s="3">
        <f>IFERROR(INDEX('CAT_ACTIVIDADES'!$B$4:$B$8,MATCH($I178,'CAT_ACTIVIDADES'!$A$4:$A$8,0)),"(sin catálogo)")</f>
        <v/>
      </c>
      <c r="Y178" s="12">
        <f>IF($K178="","",TODAY()-$K178)</f>
        <v/>
      </c>
      <c r="Z178" s="3">
        <f>IF($Y178="","",IF($Y178&lt;0,"FUTURO",IF($Y178&gt;p_dias_backlog_max,"BACKLOG","MES CORRIENTE")))</f>
        <v/>
      </c>
      <c r="AA178" s="3">
        <f>IF($Y178="",FALSE,AND($Y178&gt;p_dias_backlog_min,$Y178&lt;=p_dias_backlog_max))</f>
        <v/>
      </c>
      <c r="AB178" s="6" t="inlineStr"/>
      <c r="AC178" s="3">
        <f>IF($AB178="","",IFERROR(INDEX('ASIGNACIONES'!$F$4:$F$339,MATCH($O178&amp;"|"&amp;$R178&amp;"|"&amp;$AB178,'ASIGNACIONES'!$I$4:$I$339,0)),""))</f>
        <v/>
      </c>
      <c r="AD178" s="13">
        <f>IF($AB178="","",SUMIFS('ORDENES'!$L$4:$L$203,'ORDENES'!$AB$4:$AB$203,$AB178,'ORDENES'!$O$4:$O$203,$O178,'ORDENES'!$R$4:$R$203,$R178))</f>
        <v/>
      </c>
      <c r="AE178" s="13">
        <f>IF($AD178="","",p_factor_productividad*IFERROR(INDEX('ASIGNACIONES'!$H$4:$H$339,MATCH($O178&amp;"|"&amp;$R178&amp;"|"&amp;$AB178,'ASIGNACIONES'!$I$4:$I$339,0)),0)-$AD178)</f>
        <v/>
      </c>
      <c r="AF178" s="10">
        <f>IFERROR(INDEX('2_IMPORTAR_EJECUCION'!$G$9:$G$171,MATCH($C178,'2_IMPORTAR_EJECUCION'!$A$9:$A$171,0)),0)</f>
        <v/>
      </c>
      <c r="AG178" s="10">
        <f>MAX(0,IFERROR(INDEX('2_IMPORTAR_EJECUCION'!$I$9:$I$171,MATCH($C178,'2_IMPORTAR_EJECUCION'!$A$9:$A$171,0)),0)-$AF178)</f>
        <v/>
      </c>
      <c r="AH178" s="10">
        <f>$AF178+$AG178</f>
        <v/>
      </c>
      <c r="AI178" s="6" t="inlineStr"/>
      <c r="AJ178" s="6" t="inlineStr"/>
      <c r="AK178" s="6" t="inlineStr"/>
      <c r="AL178" s="3">
        <f>IF($AK178="","",HYPERLINK(p_ruta_base_checklists&amp;$AK178,"abrir"))</f>
        <v/>
      </c>
      <c r="AM178" s="6" t="inlineStr"/>
    </row>
    <row r="179">
      <c r="A179" s="3" t="inlineStr">
        <is>
          <t>OT-000176</t>
        </is>
      </c>
      <c r="B179" s="3" t="inlineStr">
        <is>
          <t>0010</t>
        </is>
      </c>
      <c r="C179" s="3">
        <f>$A179&amp;IF($B179="","0010",$B179)</f>
        <v/>
      </c>
      <c r="D179" s="3" t="inlineStr">
        <is>
          <t>Análisis predictivo — EQ-106</t>
        </is>
      </c>
      <c r="E179" s="3" t="inlineStr">
        <is>
          <t>Análisis predictivo en EQ-106</t>
        </is>
      </c>
      <c r="F179" s="3" t="inlineStr">
        <is>
          <t>EQ-106</t>
        </is>
      </c>
      <c r="G179" s="3" t="inlineStr">
        <is>
          <t>CC-210</t>
        </is>
      </c>
      <c r="H179" s="3" t="inlineStr">
        <is>
          <t>PU-AUT</t>
        </is>
      </c>
      <c r="I179" s="3" t="inlineStr">
        <is>
          <t>ACT-04</t>
        </is>
      </c>
      <c r="J179" s="3" t="inlineStr">
        <is>
          <t>TIPO-P1</t>
        </is>
      </c>
      <c r="K179" s="11" t="n">
        <v>46085</v>
      </c>
      <c r="L179" s="3" t="n">
        <v>8</v>
      </c>
      <c r="M179" s="10" t="n">
        <v>200</v>
      </c>
      <c r="N179" s="3">
        <f>IFERROR(INDEX('CAT_ESTADOS_ERP'!$B$4:$B$7,MATCH(IFERROR(INDEX('2_IMPORTAR_EJECUCION'!$D$9:$D$171,MATCH($C179,'2_IMPORTAR_EJECUCION'!$A$9:$A$171,0)),""),'CAT_ESTADOS_ERP'!$A$4:$A$7,0)),"Pendiente")</f>
        <v/>
      </c>
      <c r="O179" s="3">
        <f>IF($K179="","","S"&amp;IF(_xlfn.ISOWEEKNUM($K179)=53,1,_xlfn.ISOWEEKNUM($K179)))</f>
        <v/>
      </c>
      <c r="P179" s="3">
        <f>IF($K179="","",YEAR($K179))</f>
        <v/>
      </c>
      <c r="Q179" s="3">
        <f>IF($K179="","",MONTH($K179))</f>
        <v/>
      </c>
      <c r="R179" s="3">
        <f>IF($K179="","",INDEX(lista_dias,WEEKDAY($K179,2)))</f>
        <v/>
      </c>
      <c r="S179" s="3">
        <f>IFERROR(INDEX('CAT_TIPOS_OT'!$C$4:$C$7,MATCH($J179,'CAT_TIPOS_OT'!$A$4:$A$7,0)),"sin_clasificar")</f>
        <v/>
      </c>
      <c r="T179" s="3">
        <f>IFERROR(INDEX('CAT_CENTROS_COSTO'!$E$4:$E$9,MATCH($G179,'CAT_CENTROS_COSTO'!$A$4:$A$9,0)),"(sin catálogo)")</f>
        <v/>
      </c>
      <c r="U179" s="3">
        <f>IFERROR(INDEX('CAT_CENTROS_COSTO'!$D$4:$D$9,MATCH($G179,'CAT_CENTROS_COSTO'!$A$4:$A$9,0)),"(sin catálogo)")</f>
        <v/>
      </c>
      <c r="V179" s="3">
        <f>IFERROR(INDEX('CAT_CENTROS_COSTO'!$F$4:$F$9,MATCH($G179,'CAT_CENTROS_COSTO'!$A$4:$A$9,0)),"(sin catálogo)")</f>
        <v/>
      </c>
      <c r="W179" s="3">
        <f>IFERROR(INDEX('CAT_PUESTOS'!$B$4:$B$8,MATCH($H179,'CAT_PUESTOS'!$A$4:$A$8,0)),"(sin catálogo)")</f>
        <v/>
      </c>
      <c r="X179" s="3">
        <f>IFERROR(INDEX('CAT_ACTIVIDADES'!$B$4:$B$8,MATCH($I179,'CAT_ACTIVIDADES'!$A$4:$A$8,0)),"(sin catálogo)")</f>
        <v/>
      </c>
      <c r="Y179" s="12">
        <f>IF($K179="","",TODAY()-$K179)</f>
        <v/>
      </c>
      <c r="Z179" s="3">
        <f>IF($Y179="","",IF($Y179&lt;0,"FUTURO",IF($Y179&gt;p_dias_backlog_max,"BACKLOG","MES CORRIENTE")))</f>
        <v/>
      </c>
      <c r="AA179" s="3">
        <f>IF($Y179="",FALSE,AND($Y179&gt;p_dias_backlog_min,$Y179&lt;=p_dias_backlog_max))</f>
        <v/>
      </c>
      <c r="AB179" s="6" t="inlineStr"/>
      <c r="AC179" s="3">
        <f>IF($AB179="","",IFERROR(INDEX('ASIGNACIONES'!$F$4:$F$339,MATCH($O179&amp;"|"&amp;$R179&amp;"|"&amp;$AB179,'ASIGNACIONES'!$I$4:$I$339,0)),""))</f>
        <v/>
      </c>
      <c r="AD179" s="13">
        <f>IF($AB179="","",SUMIFS('ORDENES'!$L$4:$L$203,'ORDENES'!$AB$4:$AB$203,$AB179,'ORDENES'!$O$4:$O$203,$O179,'ORDENES'!$R$4:$R$203,$R179))</f>
        <v/>
      </c>
      <c r="AE179" s="13">
        <f>IF($AD179="","",p_factor_productividad*IFERROR(INDEX('ASIGNACIONES'!$H$4:$H$339,MATCH($O179&amp;"|"&amp;$R179&amp;"|"&amp;$AB179,'ASIGNACIONES'!$I$4:$I$339,0)),0)-$AD179)</f>
        <v/>
      </c>
      <c r="AF179" s="10">
        <f>IFERROR(INDEX('2_IMPORTAR_EJECUCION'!$G$9:$G$171,MATCH($C179,'2_IMPORTAR_EJECUCION'!$A$9:$A$171,0)),0)</f>
        <v/>
      </c>
      <c r="AG179" s="10">
        <f>MAX(0,IFERROR(INDEX('2_IMPORTAR_EJECUCION'!$I$9:$I$171,MATCH($C179,'2_IMPORTAR_EJECUCION'!$A$9:$A$171,0)),0)-$AF179)</f>
        <v/>
      </c>
      <c r="AH179" s="10">
        <f>$AF179+$AG179</f>
        <v/>
      </c>
      <c r="AI179" s="6" t="inlineStr"/>
      <c r="AJ179" s="6" t="inlineStr"/>
      <c r="AK179" s="6" t="inlineStr"/>
      <c r="AL179" s="3">
        <f>IF($AK179="","",HYPERLINK(p_ruta_base_checklists&amp;$AK179,"abrir"))</f>
        <v/>
      </c>
      <c r="AM179" s="6" t="inlineStr"/>
    </row>
    <row r="180">
      <c r="A180" s="3" t="inlineStr">
        <is>
          <t>OT-000177</t>
        </is>
      </c>
      <c r="B180" s="3" t="inlineStr">
        <is>
          <t>0010</t>
        </is>
      </c>
      <c r="C180" s="3">
        <f>$A180&amp;IF($B180="","0010",$B180)</f>
        <v/>
      </c>
      <c r="D180" s="3" t="inlineStr">
        <is>
          <t>Inspección de rutina — EQ-103</t>
        </is>
      </c>
      <c r="E180" s="3" t="inlineStr">
        <is>
          <t>Inspección de rutina en EQ-103</t>
        </is>
      </c>
      <c r="F180" s="3" t="inlineStr">
        <is>
          <t>EQ-103</t>
        </is>
      </c>
      <c r="G180" s="3" t="inlineStr">
        <is>
          <t>CC-110</t>
        </is>
      </c>
      <c r="H180" s="3" t="inlineStr">
        <is>
          <t>PU-MEC</t>
        </is>
      </c>
      <c r="I180" s="3" t="inlineStr">
        <is>
          <t>ACT-01</t>
        </is>
      </c>
      <c r="J180" s="3" t="inlineStr">
        <is>
          <t>TIPO-P2</t>
        </is>
      </c>
      <c r="K180" s="11" t="n">
        <v>46263</v>
      </c>
      <c r="L180" s="3" t="n">
        <v>6</v>
      </c>
      <c r="M180" s="10" t="n">
        <v>150</v>
      </c>
      <c r="N180" s="3">
        <f>IFERROR(INDEX('CAT_ESTADOS_ERP'!$B$4:$B$7,MATCH(IFERROR(INDEX('2_IMPORTAR_EJECUCION'!$D$9:$D$171,MATCH($C180,'2_IMPORTAR_EJECUCION'!$A$9:$A$171,0)),""),'CAT_ESTADOS_ERP'!$A$4:$A$7,0)),"Pendiente")</f>
        <v/>
      </c>
      <c r="O180" s="3">
        <f>IF($K180="","","S"&amp;IF(_xlfn.ISOWEEKNUM($K180)=53,1,_xlfn.ISOWEEKNUM($K180)))</f>
        <v/>
      </c>
      <c r="P180" s="3">
        <f>IF($K180="","",YEAR($K180))</f>
        <v/>
      </c>
      <c r="Q180" s="3">
        <f>IF($K180="","",MONTH($K180))</f>
        <v/>
      </c>
      <c r="R180" s="3">
        <f>IF($K180="","",INDEX(lista_dias,WEEKDAY($K180,2)))</f>
        <v/>
      </c>
      <c r="S180" s="3">
        <f>IFERROR(INDEX('CAT_TIPOS_OT'!$C$4:$C$7,MATCH($J180,'CAT_TIPOS_OT'!$A$4:$A$7,0)),"sin_clasificar")</f>
        <v/>
      </c>
      <c r="T180" s="3">
        <f>IFERROR(INDEX('CAT_CENTROS_COSTO'!$E$4:$E$9,MATCH($G180,'CAT_CENTROS_COSTO'!$A$4:$A$9,0)),"(sin catálogo)")</f>
        <v/>
      </c>
      <c r="U180" s="3">
        <f>IFERROR(INDEX('CAT_CENTROS_COSTO'!$D$4:$D$9,MATCH($G180,'CAT_CENTROS_COSTO'!$A$4:$A$9,0)),"(sin catálogo)")</f>
        <v/>
      </c>
      <c r="V180" s="3">
        <f>IFERROR(INDEX('CAT_CENTROS_COSTO'!$F$4:$F$9,MATCH($G180,'CAT_CENTROS_COSTO'!$A$4:$A$9,0)),"(sin catálogo)")</f>
        <v/>
      </c>
      <c r="W180" s="3">
        <f>IFERROR(INDEX('CAT_PUESTOS'!$B$4:$B$8,MATCH($H180,'CAT_PUESTOS'!$A$4:$A$8,0)),"(sin catálogo)")</f>
        <v/>
      </c>
      <c r="X180" s="3">
        <f>IFERROR(INDEX('CAT_ACTIVIDADES'!$B$4:$B$8,MATCH($I180,'CAT_ACTIVIDADES'!$A$4:$A$8,0)),"(sin catálogo)")</f>
        <v/>
      </c>
      <c r="Y180" s="12">
        <f>IF($K180="","",TODAY()-$K180)</f>
        <v/>
      </c>
      <c r="Z180" s="3">
        <f>IF($Y180="","",IF($Y180&lt;0,"FUTURO",IF($Y180&gt;p_dias_backlog_max,"BACKLOG","MES CORRIENTE")))</f>
        <v/>
      </c>
      <c r="AA180" s="3">
        <f>IF($Y180="",FALSE,AND($Y180&gt;p_dias_backlog_min,$Y180&lt;=p_dias_backlog_max))</f>
        <v/>
      </c>
      <c r="AB180" s="6" t="inlineStr"/>
      <c r="AC180" s="3">
        <f>IF($AB180="","",IFERROR(INDEX('ASIGNACIONES'!$F$4:$F$339,MATCH($O180&amp;"|"&amp;$R180&amp;"|"&amp;$AB180,'ASIGNACIONES'!$I$4:$I$339,0)),""))</f>
        <v/>
      </c>
      <c r="AD180" s="13">
        <f>IF($AB180="","",SUMIFS('ORDENES'!$L$4:$L$203,'ORDENES'!$AB$4:$AB$203,$AB180,'ORDENES'!$O$4:$O$203,$O180,'ORDENES'!$R$4:$R$203,$R180))</f>
        <v/>
      </c>
      <c r="AE180" s="13">
        <f>IF($AD180="","",p_factor_productividad*IFERROR(INDEX('ASIGNACIONES'!$H$4:$H$339,MATCH($O180&amp;"|"&amp;$R180&amp;"|"&amp;$AB180,'ASIGNACIONES'!$I$4:$I$339,0)),0)-$AD180)</f>
        <v/>
      </c>
      <c r="AF180" s="10">
        <f>IFERROR(INDEX('2_IMPORTAR_EJECUCION'!$G$9:$G$171,MATCH($C180,'2_IMPORTAR_EJECUCION'!$A$9:$A$171,0)),0)</f>
        <v/>
      </c>
      <c r="AG180" s="10">
        <f>MAX(0,IFERROR(INDEX('2_IMPORTAR_EJECUCION'!$I$9:$I$171,MATCH($C180,'2_IMPORTAR_EJECUCION'!$A$9:$A$171,0)),0)-$AF180)</f>
        <v/>
      </c>
      <c r="AH180" s="10">
        <f>$AF180+$AG180</f>
        <v/>
      </c>
      <c r="AI180" s="6" t="inlineStr"/>
      <c r="AJ180" s="6" t="inlineStr"/>
      <c r="AK180" s="6" t="inlineStr"/>
      <c r="AL180" s="3">
        <f>IF($AK180="","",HYPERLINK(p_ruta_base_checklists&amp;$AK180,"abrir"))</f>
        <v/>
      </c>
      <c r="AM180" s="6" t="inlineStr"/>
    </row>
    <row r="181">
      <c r="A181" s="3" t="inlineStr">
        <is>
          <t>OT-000178</t>
        </is>
      </c>
      <c r="B181" s="3" t="inlineStr">
        <is>
          <t>0010</t>
        </is>
      </c>
      <c r="C181" s="3">
        <f>$A181&amp;IF($B181="","0010",$B181)</f>
        <v/>
      </c>
      <c r="D181" s="3" t="inlineStr">
        <is>
          <t>Lubricación programada — EQ-104</t>
        </is>
      </c>
      <c r="E181" s="3" t="inlineStr">
        <is>
          <t>Lubricación programada en EQ-104</t>
        </is>
      </c>
      <c r="F181" s="3" t="inlineStr">
        <is>
          <t>EQ-104</t>
        </is>
      </c>
      <c r="G181" s="3" t="inlineStr">
        <is>
          <t>CC-110</t>
        </is>
      </c>
      <c r="H181" s="3" t="inlineStr">
        <is>
          <t>PU-MEC</t>
        </is>
      </c>
      <c r="I181" s="3" t="inlineStr">
        <is>
          <t>ACT-02</t>
        </is>
      </c>
      <c r="J181" s="3" t="inlineStr">
        <is>
          <t>TIPO-P1</t>
        </is>
      </c>
      <c r="K181" s="11" t="n">
        <v>46263</v>
      </c>
      <c r="L181" s="3" t="n">
        <v>6</v>
      </c>
      <c r="M181" s="10" t="n">
        <v>150</v>
      </c>
      <c r="N181" s="3">
        <f>IFERROR(INDEX('CAT_ESTADOS_ERP'!$B$4:$B$7,MATCH(IFERROR(INDEX('2_IMPORTAR_EJECUCION'!$D$9:$D$171,MATCH($C181,'2_IMPORTAR_EJECUCION'!$A$9:$A$171,0)),""),'CAT_ESTADOS_ERP'!$A$4:$A$7,0)),"Pendiente")</f>
        <v/>
      </c>
      <c r="O181" s="3">
        <f>IF($K181="","","S"&amp;IF(_xlfn.ISOWEEKNUM($K181)=53,1,_xlfn.ISOWEEKNUM($K181)))</f>
        <v/>
      </c>
      <c r="P181" s="3">
        <f>IF($K181="","",YEAR($K181))</f>
        <v/>
      </c>
      <c r="Q181" s="3">
        <f>IF($K181="","",MONTH($K181))</f>
        <v/>
      </c>
      <c r="R181" s="3">
        <f>IF($K181="","",INDEX(lista_dias,WEEKDAY($K181,2)))</f>
        <v/>
      </c>
      <c r="S181" s="3">
        <f>IFERROR(INDEX('CAT_TIPOS_OT'!$C$4:$C$7,MATCH($J181,'CAT_TIPOS_OT'!$A$4:$A$7,0)),"sin_clasificar")</f>
        <v/>
      </c>
      <c r="T181" s="3">
        <f>IFERROR(INDEX('CAT_CENTROS_COSTO'!$E$4:$E$9,MATCH($G181,'CAT_CENTROS_COSTO'!$A$4:$A$9,0)),"(sin catálogo)")</f>
        <v/>
      </c>
      <c r="U181" s="3">
        <f>IFERROR(INDEX('CAT_CENTROS_COSTO'!$D$4:$D$9,MATCH($G181,'CAT_CENTROS_COSTO'!$A$4:$A$9,0)),"(sin catálogo)")</f>
        <v/>
      </c>
      <c r="V181" s="3">
        <f>IFERROR(INDEX('CAT_CENTROS_COSTO'!$F$4:$F$9,MATCH($G181,'CAT_CENTROS_COSTO'!$A$4:$A$9,0)),"(sin catálogo)")</f>
        <v/>
      </c>
      <c r="W181" s="3">
        <f>IFERROR(INDEX('CAT_PUESTOS'!$B$4:$B$8,MATCH($H181,'CAT_PUESTOS'!$A$4:$A$8,0)),"(sin catálogo)")</f>
        <v/>
      </c>
      <c r="X181" s="3">
        <f>IFERROR(INDEX('CAT_ACTIVIDADES'!$B$4:$B$8,MATCH($I181,'CAT_ACTIVIDADES'!$A$4:$A$8,0)),"(sin catálogo)")</f>
        <v/>
      </c>
      <c r="Y181" s="12">
        <f>IF($K181="","",TODAY()-$K181)</f>
        <v/>
      </c>
      <c r="Z181" s="3">
        <f>IF($Y181="","",IF($Y181&lt;0,"FUTURO",IF($Y181&gt;p_dias_backlog_max,"BACKLOG","MES CORRIENTE")))</f>
        <v/>
      </c>
      <c r="AA181" s="3">
        <f>IF($Y181="",FALSE,AND($Y181&gt;p_dias_backlog_min,$Y181&lt;=p_dias_backlog_max))</f>
        <v/>
      </c>
      <c r="AB181" s="6" t="inlineStr"/>
      <c r="AC181" s="3">
        <f>IF($AB181="","",IFERROR(INDEX('ASIGNACIONES'!$F$4:$F$339,MATCH($O181&amp;"|"&amp;$R181&amp;"|"&amp;$AB181,'ASIGNACIONES'!$I$4:$I$339,0)),""))</f>
        <v/>
      </c>
      <c r="AD181" s="13">
        <f>IF($AB181="","",SUMIFS('ORDENES'!$L$4:$L$203,'ORDENES'!$AB$4:$AB$203,$AB181,'ORDENES'!$O$4:$O$203,$O181,'ORDENES'!$R$4:$R$203,$R181))</f>
        <v/>
      </c>
      <c r="AE181" s="13">
        <f>IF($AD181="","",p_factor_productividad*IFERROR(INDEX('ASIGNACIONES'!$H$4:$H$339,MATCH($O181&amp;"|"&amp;$R181&amp;"|"&amp;$AB181,'ASIGNACIONES'!$I$4:$I$339,0)),0)-$AD181)</f>
        <v/>
      </c>
      <c r="AF181" s="10">
        <f>IFERROR(INDEX('2_IMPORTAR_EJECUCION'!$G$9:$G$171,MATCH($C181,'2_IMPORTAR_EJECUCION'!$A$9:$A$171,0)),0)</f>
        <v/>
      </c>
      <c r="AG181" s="10">
        <f>MAX(0,IFERROR(INDEX('2_IMPORTAR_EJECUCION'!$I$9:$I$171,MATCH($C181,'2_IMPORTAR_EJECUCION'!$A$9:$A$171,0)),0)-$AF181)</f>
        <v/>
      </c>
      <c r="AH181" s="10">
        <f>$AF181+$AG181</f>
        <v/>
      </c>
      <c r="AI181" s="6" t="inlineStr"/>
      <c r="AJ181" s="6" t="inlineStr"/>
      <c r="AK181" s="6" t="inlineStr"/>
      <c r="AL181" s="3">
        <f>IF($AK181="","",HYPERLINK(p_ruta_base_checklists&amp;$AK181,"abrir"))</f>
        <v/>
      </c>
      <c r="AM181" s="6" t="inlineStr"/>
    </row>
    <row r="182">
      <c r="A182" s="3" t="inlineStr">
        <is>
          <t>OT-000179</t>
        </is>
      </c>
      <c r="B182" s="3" t="inlineStr">
        <is>
          <t>0010</t>
        </is>
      </c>
      <c r="C182" s="3">
        <f>$A182&amp;IF($B182="","0010",$B182)</f>
        <v/>
      </c>
      <c r="D182" s="3" t="inlineStr">
        <is>
          <t>Análisis predictivo — EQ-105</t>
        </is>
      </c>
      <c r="E182" s="3" t="inlineStr">
        <is>
          <t>Análisis predictivo en EQ-105</t>
        </is>
      </c>
      <c r="F182" s="3" t="inlineStr">
        <is>
          <t>EQ-105</t>
        </is>
      </c>
      <c r="G182" s="3" t="inlineStr">
        <is>
          <t>CC-110</t>
        </is>
      </c>
      <c r="H182" s="3" t="inlineStr">
        <is>
          <t>PU-MEC</t>
        </is>
      </c>
      <c r="I182" s="3" t="inlineStr">
        <is>
          <t>ACT-04</t>
        </is>
      </c>
      <c r="J182" s="3" t="inlineStr">
        <is>
          <t>TIPO-P2</t>
        </is>
      </c>
      <c r="K182" s="11" t="n">
        <v>46263</v>
      </c>
      <c r="L182" s="3" t="n">
        <v>6</v>
      </c>
      <c r="M182" s="10" t="n">
        <v>150</v>
      </c>
      <c r="N182" s="3">
        <f>IFERROR(INDEX('CAT_ESTADOS_ERP'!$B$4:$B$7,MATCH(IFERROR(INDEX('2_IMPORTAR_EJECUCION'!$D$9:$D$171,MATCH($C182,'2_IMPORTAR_EJECUCION'!$A$9:$A$171,0)),""),'CAT_ESTADOS_ERP'!$A$4:$A$7,0)),"Pendiente")</f>
        <v/>
      </c>
      <c r="O182" s="3">
        <f>IF($K182="","","S"&amp;IF(_xlfn.ISOWEEKNUM($K182)=53,1,_xlfn.ISOWEEKNUM($K182)))</f>
        <v/>
      </c>
      <c r="P182" s="3">
        <f>IF($K182="","",YEAR($K182))</f>
        <v/>
      </c>
      <c r="Q182" s="3">
        <f>IF($K182="","",MONTH($K182))</f>
        <v/>
      </c>
      <c r="R182" s="3">
        <f>IF($K182="","",INDEX(lista_dias,WEEKDAY($K182,2)))</f>
        <v/>
      </c>
      <c r="S182" s="3">
        <f>IFERROR(INDEX('CAT_TIPOS_OT'!$C$4:$C$7,MATCH($J182,'CAT_TIPOS_OT'!$A$4:$A$7,0)),"sin_clasificar")</f>
        <v/>
      </c>
      <c r="T182" s="3">
        <f>IFERROR(INDEX('CAT_CENTROS_COSTO'!$E$4:$E$9,MATCH($G182,'CAT_CENTROS_COSTO'!$A$4:$A$9,0)),"(sin catálogo)")</f>
        <v/>
      </c>
      <c r="U182" s="3">
        <f>IFERROR(INDEX('CAT_CENTROS_COSTO'!$D$4:$D$9,MATCH($G182,'CAT_CENTROS_COSTO'!$A$4:$A$9,0)),"(sin catálogo)")</f>
        <v/>
      </c>
      <c r="V182" s="3">
        <f>IFERROR(INDEX('CAT_CENTROS_COSTO'!$F$4:$F$9,MATCH($G182,'CAT_CENTROS_COSTO'!$A$4:$A$9,0)),"(sin catálogo)")</f>
        <v/>
      </c>
      <c r="W182" s="3">
        <f>IFERROR(INDEX('CAT_PUESTOS'!$B$4:$B$8,MATCH($H182,'CAT_PUESTOS'!$A$4:$A$8,0)),"(sin catálogo)")</f>
        <v/>
      </c>
      <c r="X182" s="3">
        <f>IFERROR(INDEX('CAT_ACTIVIDADES'!$B$4:$B$8,MATCH($I182,'CAT_ACTIVIDADES'!$A$4:$A$8,0)),"(sin catálogo)")</f>
        <v/>
      </c>
      <c r="Y182" s="12">
        <f>IF($K182="","",TODAY()-$K182)</f>
        <v/>
      </c>
      <c r="Z182" s="3">
        <f>IF($Y182="","",IF($Y182&lt;0,"FUTURO",IF($Y182&gt;p_dias_backlog_max,"BACKLOG","MES CORRIENTE")))</f>
        <v/>
      </c>
      <c r="AA182" s="3">
        <f>IF($Y182="",FALSE,AND($Y182&gt;p_dias_backlog_min,$Y182&lt;=p_dias_backlog_max))</f>
        <v/>
      </c>
      <c r="AB182" s="6" t="inlineStr"/>
      <c r="AC182" s="3">
        <f>IF($AB182="","",IFERROR(INDEX('ASIGNACIONES'!$F$4:$F$339,MATCH($O182&amp;"|"&amp;$R182&amp;"|"&amp;$AB182,'ASIGNACIONES'!$I$4:$I$339,0)),""))</f>
        <v/>
      </c>
      <c r="AD182" s="13">
        <f>IF($AB182="","",SUMIFS('ORDENES'!$L$4:$L$203,'ORDENES'!$AB$4:$AB$203,$AB182,'ORDENES'!$O$4:$O$203,$O182,'ORDENES'!$R$4:$R$203,$R182))</f>
        <v/>
      </c>
      <c r="AE182" s="13">
        <f>IF($AD182="","",p_factor_productividad*IFERROR(INDEX('ASIGNACIONES'!$H$4:$H$339,MATCH($O182&amp;"|"&amp;$R182&amp;"|"&amp;$AB182,'ASIGNACIONES'!$I$4:$I$339,0)),0)-$AD182)</f>
        <v/>
      </c>
      <c r="AF182" s="10">
        <f>IFERROR(INDEX('2_IMPORTAR_EJECUCION'!$G$9:$G$171,MATCH($C182,'2_IMPORTAR_EJECUCION'!$A$9:$A$171,0)),0)</f>
        <v/>
      </c>
      <c r="AG182" s="10">
        <f>MAX(0,IFERROR(INDEX('2_IMPORTAR_EJECUCION'!$I$9:$I$171,MATCH($C182,'2_IMPORTAR_EJECUCION'!$A$9:$A$171,0)),0)-$AF182)</f>
        <v/>
      </c>
      <c r="AH182" s="10">
        <f>$AF182+$AG182</f>
        <v/>
      </c>
      <c r="AI182" s="6" t="inlineStr"/>
      <c r="AJ182" s="6" t="inlineStr"/>
      <c r="AK182" s="6" t="inlineStr"/>
      <c r="AL182" s="3">
        <f>IF($AK182="","",HYPERLINK(p_ruta_base_checklists&amp;$AK182,"abrir"))</f>
        <v/>
      </c>
      <c r="AM182" s="6" t="inlineStr"/>
    </row>
    <row r="183">
      <c r="A183" s="3" t="inlineStr">
        <is>
          <t>OT-000180</t>
        </is>
      </c>
      <c r="B183" s="3" t="inlineStr">
        <is>
          <t>0010</t>
        </is>
      </c>
      <c r="C183" s="3">
        <f>$A183&amp;IF($B183="","0010",$B183)</f>
        <v/>
      </c>
      <c r="D183" s="3" t="inlineStr">
        <is>
          <t>Inspección de rutina — EQ-101</t>
        </is>
      </c>
      <c r="E183" s="3" t="inlineStr">
        <is>
          <t>Inspección de rutina en EQ-101</t>
        </is>
      </c>
      <c r="F183" s="3" t="inlineStr">
        <is>
          <t>EQ-101</t>
        </is>
      </c>
      <c r="G183" s="3" t="inlineStr">
        <is>
          <t>CC-110</t>
        </is>
      </c>
      <c r="H183" s="3" t="inlineStr">
        <is>
          <t>PU-ELE</t>
        </is>
      </c>
      <c r="I183" s="3" t="inlineStr">
        <is>
          <t>ACT-01</t>
        </is>
      </c>
      <c r="J183" s="3" t="inlineStr">
        <is>
          <t>TIPO-P1</t>
        </is>
      </c>
      <c r="K183" s="11" t="n">
        <v>46323</v>
      </c>
      <c r="L183" s="3" t="n">
        <v>6</v>
      </c>
      <c r="M183" s="10" t="n">
        <v>150</v>
      </c>
      <c r="N183" s="3">
        <f>IFERROR(INDEX('CAT_ESTADOS_ERP'!$B$4:$B$7,MATCH(IFERROR(INDEX('2_IMPORTAR_EJECUCION'!$D$9:$D$171,MATCH($C183,'2_IMPORTAR_EJECUCION'!$A$9:$A$171,0)),""),'CAT_ESTADOS_ERP'!$A$4:$A$7,0)),"Pendiente")</f>
        <v/>
      </c>
      <c r="O183" s="3">
        <f>IF($K183="","","S"&amp;IF(_xlfn.ISOWEEKNUM($K183)=53,1,_xlfn.ISOWEEKNUM($K183)))</f>
        <v/>
      </c>
      <c r="P183" s="3">
        <f>IF($K183="","",YEAR($K183))</f>
        <v/>
      </c>
      <c r="Q183" s="3">
        <f>IF($K183="","",MONTH($K183))</f>
        <v/>
      </c>
      <c r="R183" s="3">
        <f>IF($K183="","",INDEX(lista_dias,WEEKDAY($K183,2)))</f>
        <v/>
      </c>
      <c r="S183" s="3">
        <f>IFERROR(INDEX('CAT_TIPOS_OT'!$C$4:$C$7,MATCH($J183,'CAT_TIPOS_OT'!$A$4:$A$7,0)),"sin_clasificar")</f>
        <v/>
      </c>
      <c r="T183" s="3">
        <f>IFERROR(INDEX('CAT_CENTROS_COSTO'!$E$4:$E$9,MATCH($G183,'CAT_CENTROS_COSTO'!$A$4:$A$9,0)),"(sin catálogo)")</f>
        <v/>
      </c>
      <c r="U183" s="3">
        <f>IFERROR(INDEX('CAT_CENTROS_COSTO'!$D$4:$D$9,MATCH($G183,'CAT_CENTROS_COSTO'!$A$4:$A$9,0)),"(sin catálogo)")</f>
        <v/>
      </c>
      <c r="V183" s="3">
        <f>IFERROR(INDEX('CAT_CENTROS_COSTO'!$F$4:$F$9,MATCH($G183,'CAT_CENTROS_COSTO'!$A$4:$A$9,0)),"(sin catálogo)")</f>
        <v/>
      </c>
      <c r="W183" s="3">
        <f>IFERROR(INDEX('CAT_PUESTOS'!$B$4:$B$8,MATCH($H183,'CAT_PUESTOS'!$A$4:$A$8,0)),"(sin catálogo)")</f>
        <v/>
      </c>
      <c r="X183" s="3">
        <f>IFERROR(INDEX('CAT_ACTIVIDADES'!$B$4:$B$8,MATCH($I183,'CAT_ACTIVIDADES'!$A$4:$A$8,0)),"(sin catálogo)")</f>
        <v/>
      </c>
      <c r="Y183" s="12">
        <f>IF($K183="","",TODAY()-$K183)</f>
        <v/>
      </c>
      <c r="Z183" s="3">
        <f>IF($Y183="","",IF($Y183&lt;0,"FUTURO",IF($Y183&gt;p_dias_backlog_max,"BACKLOG","MES CORRIENTE")))</f>
        <v/>
      </c>
      <c r="AA183" s="3">
        <f>IF($Y183="",FALSE,AND($Y183&gt;p_dias_backlog_min,$Y183&lt;=p_dias_backlog_max))</f>
        <v/>
      </c>
      <c r="AB183" s="6" t="inlineStr"/>
      <c r="AC183" s="3">
        <f>IF($AB183="","",IFERROR(INDEX('ASIGNACIONES'!$F$4:$F$339,MATCH($O183&amp;"|"&amp;$R183&amp;"|"&amp;$AB183,'ASIGNACIONES'!$I$4:$I$339,0)),""))</f>
        <v/>
      </c>
      <c r="AD183" s="13">
        <f>IF($AB183="","",SUMIFS('ORDENES'!$L$4:$L$203,'ORDENES'!$AB$4:$AB$203,$AB183,'ORDENES'!$O$4:$O$203,$O183,'ORDENES'!$R$4:$R$203,$R183))</f>
        <v/>
      </c>
      <c r="AE183" s="13">
        <f>IF($AD183="","",p_factor_productividad*IFERROR(INDEX('ASIGNACIONES'!$H$4:$H$339,MATCH($O183&amp;"|"&amp;$R183&amp;"|"&amp;$AB183,'ASIGNACIONES'!$I$4:$I$339,0)),0)-$AD183)</f>
        <v/>
      </c>
      <c r="AF183" s="10">
        <f>IFERROR(INDEX('2_IMPORTAR_EJECUCION'!$G$9:$G$171,MATCH($C183,'2_IMPORTAR_EJECUCION'!$A$9:$A$171,0)),0)</f>
        <v/>
      </c>
      <c r="AG183" s="10">
        <f>MAX(0,IFERROR(INDEX('2_IMPORTAR_EJECUCION'!$I$9:$I$171,MATCH($C183,'2_IMPORTAR_EJECUCION'!$A$9:$A$171,0)),0)-$AF183)</f>
        <v/>
      </c>
      <c r="AH183" s="10">
        <f>$AF183+$AG183</f>
        <v/>
      </c>
      <c r="AI183" s="6" t="inlineStr"/>
      <c r="AJ183" s="6" t="inlineStr"/>
      <c r="AK183" s="6" t="inlineStr"/>
      <c r="AL183" s="3">
        <f>IF($AK183="","",HYPERLINK(p_ruta_base_checklists&amp;$AK183,"abrir"))</f>
        <v/>
      </c>
      <c r="AM183" s="6" t="inlineStr"/>
    </row>
    <row r="184">
      <c r="A184" s="3" t="inlineStr">
        <is>
          <t>OT-000181</t>
        </is>
      </c>
      <c r="B184" s="3" t="inlineStr">
        <is>
          <t>0010</t>
        </is>
      </c>
      <c r="C184" s="3">
        <f>$A184&amp;IF($B184="","0010",$B184)</f>
        <v/>
      </c>
      <c r="D184" s="3" t="inlineStr">
        <is>
          <t>Lubricación programada — EQ-102</t>
        </is>
      </c>
      <c r="E184" s="3" t="inlineStr">
        <is>
          <t>Lubricación programada en EQ-102</t>
        </is>
      </c>
      <c r="F184" s="3" t="inlineStr">
        <is>
          <t>EQ-102</t>
        </is>
      </c>
      <c r="G184" s="3" t="inlineStr">
        <is>
          <t>CC-110</t>
        </is>
      </c>
      <c r="H184" s="3" t="inlineStr">
        <is>
          <t>PU-ELE</t>
        </is>
      </c>
      <c r="I184" s="3" t="inlineStr">
        <is>
          <t>ACT-02</t>
        </is>
      </c>
      <c r="J184" s="3" t="inlineStr">
        <is>
          <t>TIPO-P2</t>
        </is>
      </c>
      <c r="K184" s="11" t="n">
        <v>46323</v>
      </c>
      <c r="L184" s="3" t="n">
        <v>6</v>
      </c>
      <c r="M184" s="10" t="n">
        <v>150</v>
      </c>
      <c r="N184" s="3">
        <f>IFERROR(INDEX('CAT_ESTADOS_ERP'!$B$4:$B$7,MATCH(IFERROR(INDEX('2_IMPORTAR_EJECUCION'!$D$9:$D$171,MATCH($C184,'2_IMPORTAR_EJECUCION'!$A$9:$A$171,0)),""),'CAT_ESTADOS_ERP'!$A$4:$A$7,0)),"Pendiente")</f>
        <v/>
      </c>
      <c r="O184" s="3">
        <f>IF($K184="","","S"&amp;IF(_xlfn.ISOWEEKNUM($K184)=53,1,_xlfn.ISOWEEKNUM($K184)))</f>
        <v/>
      </c>
      <c r="P184" s="3">
        <f>IF($K184="","",YEAR($K184))</f>
        <v/>
      </c>
      <c r="Q184" s="3">
        <f>IF($K184="","",MONTH($K184))</f>
        <v/>
      </c>
      <c r="R184" s="3">
        <f>IF($K184="","",INDEX(lista_dias,WEEKDAY($K184,2)))</f>
        <v/>
      </c>
      <c r="S184" s="3">
        <f>IFERROR(INDEX('CAT_TIPOS_OT'!$C$4:$C$7,MATCH($J184,'CAT_TIPOS_OT'!$A$4:$A$7,0)),"sin_clasificar")</f>
        <v/>
      </c>
      <c r="T184" s="3">
        <f>IFERROR(INDEX('CAT_CENTROS_COSTO'!$E$4:$E$9,MATCH($G184,'CAT_CENTROS_COSTO'!$A$4:$A$9,0)),"(sin catálogo)")</f>
        <v/>
      </c>
      <c r="U184" s="3">
        <f>IFERROR(INDEX('CAT_CENTROS_COSTO'!$D$4:$D$9,MATCH($G184,'CAT_CENTROS_COSTO'!$A$4:$A$9,0)),"(sin catálogo)")</f>
        <v/>
      </c>
      <c r="V184" s="3">
        <f>IFERROR(INDEX('CAT_CENTROS_COSTO'!$F$4:$F$9,MATCH($G184,'CAT_CENTROS_COSTO'!$A$4:$A$9,0)),"(sin catálogo)")</f>
        <v/>
      </c>
      <c r="W184" s="3">
        <f>IFERROR(INDEX('CAT_PUESTOS'!$B$4:$B$8,MATCH($H184,'CAT_PUESTOS'!$A$4:$A$8,0)),"(sin catálogo)")</f>
        <v/>
      </c>
      <c r="X184" s="3">
        <f>IFERROR(INDEX('CAT_ACTIVIDADES'!$B$4:$B$8,MATCH($I184,'CAT_ACTIVIDADES'!$A$4:$A$8,0)),"(sin catálogo)")</f>
        <v/>
      </c>
      <c r="Y184" s="12">
        <f>IF($K184="","",TODAY()-$K184)</f>
        <v/>
      </c>
      <c r="Z184" s="3">
        <f>IF($Y184="","",IF($Y184&lt;0,"FUTURO",IF($Y184&gt;p_dias_backlog_max,"BACKLOG","MES CORRIENTE")))</f>
        <v/>
      </c>
      <c r="AA184" s="3">
        <f>IF($Y184="",FALSE,AND($Y184&gt;p_dias_backlog_min,$Y184&lt;=p_dias_backlog_max))</f>
        <v/>
      </c>
      <c r="AB184" s="6" t="inlineStr"/>
      <c r="AC184" s="3">
        <f>IF($AB184="","",IFERROR(INDEX('ASIGNACIONES'!$F$4:$F$339,MATCH($O184&amp;"|"&amp;$R184&amp;"|"&amp;$AB184,'ASIGNACIONES'!$I$4:$I$339,0)),""))</f>
        <v/>
      </c>
      <c r="AD184" s="13">
        <f>IF($AB184="","",SUMIFS('ORDENES'!$L$4:$L$203,'ORDENES'!$AB$4:$AB$203,$AB184,'ORDENES'!$O$4:$O$203,$O184,'ORDENES'!$R$4:$R$203,$R184))</f>
        <v/>
      </c>
      <c r="AE184" s="13">
        <f>IF($AD184="","",p_factor_productividad*IFERROR(INDEX('ASIGNACIONES'!$H$4:$H$339,MATCH($O184&amp;"|"&amp;$R184&amp;"|"&amp;$AB184,'ASIGNACIONES'!$I$4:$I$339,0)),0)-$AD184)</f>
        <v/>
      </c>
      <c r="AF184" s="10">
        <f>IFERROR(INDEX('2_IMPORTAR_EJECUCION'!$G$9:$G$171,MATCH($C184,'2_IMPORTAR_EJECUCION'!$A$9:$A$171,0)),0)</f>
        <v/>
      </c>
      <c r="AG184" s="10">
        <f>MAX(0,IFERROR(INDEX('2_IMPORTAR_EJECUCION'!$I$9:$I$171,MATCH($C184,'2_IMPORTAR_EJECUCION'!$A$9:$A$171,0)),0)-$AF184)</f>
        <v/>
      </c>
      <c r="AH184" s="10">
        <f>$AF184+$AG184</f>
        <v/>
      </c>
      <c r="AI184" s="6" t="inlineStr"/>
      <c r="AJ184" s="6" t="inlineStr"/>
      <c r="AK184" s="6" t="inlineStr"/>
      <c r="AL184" s="3">
        <f>IF($AK184="","",HYPERLINK(p_ruta_base_checklists&amp;$AK184,"abrir"))</f>
        <v/>
      </c>
      <c r="AM184" s="6" t="inlineStr"/>
    </row>
    <row r="185">
      <c r="A185" s="3" t="inlineStr">
        <is>
          <t>OT-000182</t>
        </is>
      </c>
      <c r="B185" s="3" t="inlineStr">
        <is>
          <t>0010</t>
        </is>
      </c>
      <c r="C185" s="3">
        <f>$A185&amp;IF($B185="","0010",$B185)</f>
        <v/>
      </c>
      <c r="D185" s="3" t="inlineStr">
        <is>
          <t>Análisis predictivo — EQ-103</t>
        </is>
      </c>
      <c r="E185" s="3" t="inlineStr">
        <is>
          <t>Análisis predictivo en EQ-103</t>
        </is>
      </c>
      <c r="F185" s="3" t="inlineStr">
        <is>
          <t>EQ-103</t>
        </is>
      </c>
      <c r="G185" s="3" t="inlineStr">
        <is>
          <t>CC-110</t>
        </is>
      </c>
      <c r="H185" s="3" t="inlineStr">
        <is>
          <t>PU-AUT</t>
        </is>
      </c>
      <c r="I185" s="3" t="inlineStr">
        <is>
          <t>ACT-04</t>
        </is>
      </c>
      <c r="J185" s="3" t="inlineStr">
        <is>
          <t>TIPO-P1</t>
        </is>
      </c>
      <c r="K185" s="11" t="n">
        <v>46385</v>
      </c>
      <c r="L185" s="3" t="n">
        <v>4</v>
      </c>
      <c r="M185" s="10" t="n">
        <v>100</v>
      </c>
      <c r="N185" s="3">
        <f>IFERROR(INDEX('CAT_ESTADOS_ERP'!$B$4:$B$7,MATCH(IFERROR(INDEX('2_IMPORTAR_EJECUCION'!$D$9:$D$171,MATCH($C185,'2_IMPORTAR_EJECUCION'!$A$9:$A$171,0)),""),'CAT_ESTADOS_ERP'!$A$4:$A$7,0)),"Pendiente")</f>
        <v/>
      </c>
      <c r="O185" s="3">
        <f>IF($K185="","","S"&amp;IF(_xlfn.ISOWEEKNUM($K185)=53,1,_xlfn.ISOWEEKNUM($K185)))</f>
        <v/>
      </c>
      <c r="P185" s="3">
        <f>IF($K185="","",YEAR($K185))</f>
        <v/>
      </c>
      <c r="Q185" s="3">
        <f>IF($K185="","",MONTH($K185))</f>
        <v/>
      </c>
      <c r="R185" s="3">
        <f>IF($K185="","",INDEX(lista_dias,WEEKDAY($K185,2)))</f>
        <v/>
      </c>
      <c r="S185" s="3">
        <f>IFERROR(INDEX('CAT_TIPOS_OT'!$C$4:$C$7,MATCH($J185,'CAT_TIPOS_OT'!$A$4:$A$7,0)),"sin_clasificar")</f>
        <v/>
      </c>
      <c r="T185" s="3">
        <f>IFERROR(INDEX('CAT_CENTROS_COSTO'!$E$4:$E$9,MATCH($G185,'CAT_CENTROS_COSTO'!$A$4:$A$9,0)),"(sin catálogo)")</f>
        <v/>
      </c>
      <c r="U185" s="3">
        <f>IFERROR(INDEX('CAT_CENTROS_COSTO'!$D$4:$D$9,MATCH($G185,'CAT_CENTROS_COSTO'!$A$4:$A$9,0)),"(sin catálogo)")</f>
        <v/>
      </c>
      <c r="V185" s="3">
        <f>IFERROR(INDEX('CAT_CENTROS_COSTO'!$F$4:$F$9,MATCH($G185,'CAT_CENTROS_COSTO'!$A$4:$A$9,0)),"(sin catálogo)")</f>
        <v/>
      </c>
      <c r="W185" s="3">
        <f>IFERROR(INDEX('CAT_PUESTOS'!$B$4:$B$8,MATCH($H185,'CAT_PUESTOS'!$A$4:$A$8,0)),"(sin catálogo)")</f>
        <v/>
      </c>
      <c r="X185" s="3">
        <f>IFERROR(INDEX('CAT_ACTIVIDADES'!$B$4:$B$8,MATCH($I185,'CAT_ACTIVIDADES'!$A$4:$A$8,0)),"(sin catálogo)")</f>
        <v/>
      </c>
      <c r="Y185" s="12">
        <f>IF($K185="","",TODAY()-$K185)</f>
        <v/>
      </c>
      <c r="Z185" s="3">
        <f>IF($Y185="","",IF($Y185&lt;0,"FUTURO",IF($Y185&gt;p_dias_backlog_max,"BACKLOG","MES CORRIENTE")))</f>
        <v/>
      </c>
      <c r="AA185" s="3">
        <f>IF($Y185="",FALSE,AND($Y185&gt;p_dias_backlog_min,$Y185&lt;=p_dias_backlog_max))</f>
        <v/>
      </c>
      <c r="AB185" s="6" t="inlineStr"/>
      <c r="AC185" s="3">
        <f>IF($AB185="","",IFERROR(INDEX('ASIGNACIONES'!$F$4:$F$339,MATCH($O185&amp;"|"&amp;$R185&amp;"|"&amp;$AB185,'ASIGNACIONES'!$I$4:$I$339,0)),""))</f>
        <v/>
      </c>
      <c r="AD185" s="13">
        <f>IF($AB185="","",SUMIFS('ORDENES'!$L$4:$L$203,'ORDENES'!$AB$4:$AB$203,$AB185,'ORDENES'!$O$4:$O$203,$O185,'ORDENES'!$R$4:$R$203,$R185))</f>
        <v/>
      </c>
      <c r="AE185" s="13">
        <f>IF($AD185="","",p_factor_productividad*IFERROR(INDEX('ASIGNACIONES'!$H$4:$H$339,MATCH($O185&amp;"|"&amp;$R185&amp;"|"&amp;$AB185,'ASIGNACIONES'!$I$4:$I$339,0)),0)-$AD185)</f>
        <v/>
      </c>
      <c r="AF185" s="10">
        <f>IFERROR(INDEX('2_IMPORTAR_EJECUCION'!$G$9:$G$171,MATCH($C185,'2_IMPORTAR_EJECUCION'!$A$9:$A$171,0)),0)</f>
        <v/>
      </c>
      <c r="AG185" s="10">
        <f>MAX(0,IFERROR(INDEX('2_IMPORTAR_EJECUCION'!$I$9:$I$171,MATCH($C185,'2_IMPORTAR_EJECUCION'!$A$9:$A$171,0)),0)-$AF185)</f>
        <v/>
      </c>
      <c r="AH185" s="10">
        <f>$AF185+$AG185</f>
        <v/>
      </c>
      <c r="AI185" s="6" t="inlineStr"/>
      <c r="AJ185" s="6" t="inlineStr"/>
      <c r="AK185" s="6" t="inlineStr"/>
      <c r="AL185" s="3">
        <f>IF($AK185="","",HYPERLINK(p_ruta_base_checklists&amp;$AK185,"abrir"))</f>
        <v/>
      </c>
      <c r="AM185" s="6" t="inlineStr"/>
    </row>
    <row r="186">
      <c r="A186" s="3" t="inlineStr">
        <is>
          <t>OT-000900</t>
        </is>
      </c>
      <c r="B186" s="3" t="inlineStr">
        <is>
          <t>0010</t>
        </is>
      </c>
      <c r="C186" s="3">
        <f>$A186&amp;IF($B186="","0010",$B186)</f>
        <v/>
      </c>
      <c r="D186" s="3" t="inlineStr">
        <is>
          <t>Reparación de falla — EQ-104</t>
        </is>
      </c>
      <c r="E186" s="3" t="inlineStr">
        <is>
          <t>Reparación de falla en EQ-104</t>
        </is>
      </c>
      <c r="F186" s="3" t="inlineStr">
        <is>
          <t>EQ-104</t>
        </is>
      </c>
      <c r="G186" s="3" t="inlineStr">
        <is>
          <t>CC-110</t>
        </is>
      </c>
      <c r="H186" s="3" t="inlineStr">
        <is>
          <t>PU-MEC</t>
        </is>
      </c>
      <c r="I186" s="3" t="inlineStr">
        <is>
          <t>ACT-03</t>
        </is>
      </c>
      <c r="J186" s="3" t="inlineStr">
        <is>
          <t>TIPO-C2</t>
        </is>
      </c>
      <c r="K186" s="11" t="n">
        <v>46173</v>
      </c>
      <c r="L186" s="3" t="n">
        <v>6</v>
      </c>
      <c r="M186" s="10" t="n">
        <v>240</v>
      </c>
      <c r="N186" s="3">
        <f>IFERROR(INDEX('CAT_ESTADOS_ERP'!$B$4:$B$7,MATCH(IFERROR(INDEX('2_IMPORTAR_EJECUCION'!$D$9:$D$171,MATCH($C186,'2_IMPORTAR_EJECUCION'!$A$9:$A$171,0)),""),'CAT_ESTADOS_ERP'!$A$4:$A$7,0)),"Pendiente")</f>
        <v/>
      </c>
      <c r="O186" s="3">
        <f>IF($K186="","","S"&amp;IF(_xlfn.ISOWEEKNUM($K186)=53,1,_xlfn.ISOWEEKNUM($K186)))</f>
        <v/>
      </c>
      <c r="P186" s="3">
        <f>IF($K186="","",YEAR($K186))</f>
        <v/>
      </c>
      <c r="Q186" s="3">
        <f>IF($K186="","",MONTH($K186))</f>
        <v/>
      </c>
      <c r="R186" s="3">
        <f>IF($K186="","",INDEX(lista_dias,WEEKDAY($K186,2)))</f>
        <v/>
      </c>
      <c r="S186" s="3">
        <f>IFERROR(INDEX('CAT_TIPOS_OT'!$C$4:$C$7,MATCH($J186,'CAT_TIPOS_OT'!$A$4:$A$7,0)),"sin_clasificar")</f>
        <v/>
      </c>
      <c r="T186" s="3">
        <f>IFERROR(INDEX('CAT_CENTROS_COSTO'!$E$4:$E$9,MATCH($G186,'CAT_CENTROS_COSTO'!$A$4:$A$9,0)),"(sin catálogo)")</f>
        <v/>
      </c>
      <c r="U186" s="3">
        <f>IFERROR(INDEX('CAT_CENTROS_COSTO'!$D$4:$D$9,MATCH($G186,'CAT_CENTROS_COSTO'!$A$4:$A$9,0)),"(sin catálogo)")</f>
        <v/>
      </c>
      <c r="V186" s="3">
        <f>IFERROR(INDEX('CAT_CENTROS_COSTO'!$F$4:$F$9,MATCH($G186,'CAT_CENTROS_COSTO'!$A$4:$A$9,0)),"(sin catálogo)")</f>
        <v/>
      </c>
      <c r="W186" s="3">
        <f>IFERROR(INDEX('CAT_PUESTOS'!$B$4:$B$8,MATCH($H186,'CAT_PUESTOS'!$A$4:$A$8,0)),"(sin catálogo)")</f>
        <v/>
      </c>
      <c r="X186" s="3">
        <f>IFERROR(INDEX('CAT_ACTIVIDADES'!$B$4:$B$8,MATCH($I186,'CAT_ACTIVIDADES'!$A$4:$A$8,0)),"(sin catálogo)")</f>
        <v/>
      </c>
      <c r="Y186" s="12">
        <f>IF($K186="","",TODAY()-$K186)</f>
        <v/>
      </c>
      <c r="Z186" s="3">
        <f>IF($Y186="","",IF($Y186&lt;0,"FUTURO",IF($Y186&gt;p_dias_backlog_max,"BACKLOG","MES CORRIENTE")))</f>
        <v/>
      </c>
      <c r="AA186" s="3">
        <f>IF($Y186="",FALSE,AND($Y186&gt;p_dias_backlog_min,$Y186&lt;=p_dias_backlog_max))</f>
        <v/>
      </c>
      <c r="AB186" s="6" t="inlineStr"/>
      <c r="AC186" s="3">
        <f>IF($AB186="","",IFERROR(INDEX('ASIGNACIONES'!$F$4:$F$339,MATCH($O186&amp;"|"&amp;$R186&amp;"|"&amp;$AB186,'ASIGNACIONES'!$I$4:$I$339,0)),""))</f>
        <v/>
      </c>
      <c r="AD186" s="13">
        <f>IF($AB186="","",SUMIFS('ORDENES'!$L$4:$L$203,'ORDENES'!$AB$4:$AB$203,$AB186,'ORDENES'!$O$4:$O$203,$O186,'ORDENES'!$R$4:$R$203,$R186))</f>
        <v/>
      </c>
      <c r="AE186" s="13">
        <f>IF($AD186="","",p_factor_productividad*IFERROR(INDEX('ASIGNACIONES'!$H$4:$H$339,MATCH($O186&amp;"|"&amp;$R186&amp;"|"&amp;$AB186,'ASIGNACIONES'!$I$4:$I$339,0)),0)-$AD186)</f>
        <v/>
      </c>
      <c r="AF186" s="10">
        <f>IFERROR(INDEX('2_IMPORTAR_EJECUCION'!$G$9:$G$171,MATCH($C186,'2_IMPORTAR_EJECUCION'!$A$9:$A$171,0)),0)</f>
        <v/>
      </c>
      <c r="AG186" s="10">
        <f>MAX(0,IFERROR(INDEX('2_IMPORTAR_EJECUCION'!$I$9:$I$171,MATCH($C186,'2_IMPORTAR_EJECUCION'!$A$9:$A$171,0)),0)-$AF186)</f>
        <v/>
      </c>
      <c r="AH186" s="10">
        <f>$AF186+$AG186</f>
        <v/>
      </c>
      <c r="AI186" s="6" t="inlineStr"/>
      <c r="AJ186" s="6" t="inlineStr"/>
      <c r="AK186" s="6" t="inlineStr"/>
      <c r="AL186" s="3">
        <f>IF($AK186="","",HYPERLINK(p_ruta_base_checklists&amp;$AK186,"abrir"))</f>
        <v/>
      </c>
      <c r="AM186" s="6" t="inlineStr"/>
    </row>
    <row r="187">
      <c r="A187" s="3" t="inlineStr">
        <is>
          <t>OT-000900</t>
        </is>
      </c>
      <c r="B187" s="3" t="inlineStr">
        <is>
          <t>0010</t>
        </is>
      </c>
      <c r="C187" s="3">
        <f>$A187&amp;IF($B187="","0010",$B187)</f>
        <v/>
      </c>
      <c r="D187" s="3" t="inlineStr">
        <is>
          <t>Reparación de falla — EQ-104</t>
        </is>
      </c>
      <c r="E187" s="3" t="inlineStr">
        <is>
          <t>Reparación de falla en EQ-104</t>
        </is>
      </c>
      <c r="F187" s="3" t="inlineStr">
        <is>
          <t>EQ-104</t>
        </is>
      </c>
      <c r="G187" s="3" t="inlineStr">
        <is>
          <t>CC-110</t>
        </is>
      </c>
      <c r="H187" s="3" t="inlineStr">
        <is>
          <t>PU-MEC</t>
        </is>
      </c>
      <c r="I187" s="3" t="inlineStr">
        <is>
          <t>ACT-03</t>
        </is>
      </c>
      <c r="J187" s="3" t="inlineStr">
        <is>
          <t>TIPO-C2</t>
        </is>
      </c>
      <c r="K187" s="11" t="n">
        <v>46173</v>
      </c>
      <c r="L187" s="3" t="n">
        <v>6</v>
      </c>
      <c r="M187" s="10" t="n">
        <v>240</v>
      </c>
      <c r="N187" s="3">
        <f>IFERROR(INDEX('CAT_ESTADOS_ERP'!$B$4:$B$7,MATCH(IFERROR(INDEX('2_IMPORTAR_EJECUCION'!$D$9:$D$171,MATCH($C187,'2_IMPORTAR_EJECUCION'!$A$9:$A$171,0)),""),'CAT_ESTADOS_ERP'!$A$4:$A$7,0)),"Pendiente")</f>
        <v/>
      </c>
      <c r="O187" s="3">
        <f>IF($K187="","","S"&amp;IF(_xlfn.ISOWEEKNUM($K187)=53,1,_xlfn.ISOWEEKNUM($K187)))</f>
        <v/>
      </c>
      <c r="P187" s="3">
        <f>IF($K187="","",YEAR($K187))</f>
        <v/>
      </c>
      <c r="Q187" s="3">
        <f>IF($K187="","",MONTH($K187))</f>
        <v/>
      </c>
      <c r="R187" s="3">
        <f>IF($K187="","",INDEX(lista_dias,WEEKDAY($K187,2)))</f>
        <v/>
      </c>
      <c r="S187" s="3">
        <f>IFERROR(INDEX('CAT_TIPOS_OT'!$C$4:$C$7,MATCH($J187,'CAT_TIPOS_OT'!$A$4:$A$7,0)),"sin_clasificar")</f>
        <v/>
      </c>
      <c r="T187" s="3">
        <f>IFERROR(INDEX('CAT_CENTROS_COSTO'!$E$4:$E$9,MATCH($G187,'CAT_CENTROS_COSTO'!$A$4:$A$9,0)),"(sin catálogo)")</f>
        <v/>
      </c>
      <c r="U187" s="3">
        <f>IFERROR(INDEX('CAT_CENTROS_COSTO'!$D$4:$D$9,MATCH($G187,'CAT_CENTROS_COSTO'!$A$4:$A$9,0)),"(sin catálogo)")</f>
        <v/>
      </c>
      <c r="V187" s="3">
        <f>IFERROR(INDEX('CAT_CENTROS_COSTO'!$F$4:$F$9,MATCH($G187,'CAT_CENTROS_COSTO'!$A$4:$A$9,0)),"(sin catálogo)")</f>
        <v/>
      </c>
      <c r="W187" s="3">
        <f>IFERROR(INDEX('CAT_PUESTOS'!$B$4:$B$8,MATCH($H187,'CAT_PUESTOS'!$A$4:$A$8,0)),"(sin catálogo)")</f>
        <v/>
      </c>
      <c r="X187" s="3">
        <f>IFERROR(INDEX('CAT_ACTIVIDADES'!$B$4:$B$8,MATCH($I187,'CAT_ACTIVIDADES'!$A$4:$A$8,0)),"(sin catálogo)")</f>
        <v/>
      </c>
      <c r="Y187" s="12">
        <f>IF($K187="","",TODAY()-$K187)</f>
        <v/>
      </c>
      <c r="Z187" s="3">
        <f>IF($Y187="","",IF($Y187&lt;0,"FUTURO",IF($Y187&gt;p_dias_backlog_max,"BACKLOG","MES CORRIENTE")))</f>
        <v/>
      </c>
      <c r="AA187" s="3">
        <f>IF($Y187="",FALSE,AND($Y187&gt;p_dias_backlog_min,$Y187&lt;=p_dias_backlog_max))</f>
        <v/>
      </c>
      <c r="AB187" s="6" t="inlineStr"/>
      <c r="AC187" s="3">
        <f>IF($AB187="","",IFERROR(INDEX('ASIGNACIONES'!$F$4:$F$339,MATCH($O187&amp;"|"&amp;$R187&amp;"|"&amp;$AB187,'ASIGNACIONES'!$I$4:$I$339,0)),""))</f>
        <v/>
      </c>
      <c r="AD187" s="13">
        <f>IF($AB187="","",SUMIFS('ORDENES'!$L$4:$L$203,'ORDENES'!$AB$4:$AB$203,$AB187,'ORDENES'!$O$4:$O$203,$O187,'ORDENES'!$R$4:$R$203,$R187))</f>
        <v/>
      </c>
      <c r="AE187" s="13">
        <f>IF($AD187="","",p_factor_productividad*IFERROR(INDEX('ASIGNACIONES'!$H$4:$H$339,MATCH($O187&amp;"|"&amp;$R187&amp;"|"&amp;$AB187,'ASIGNACIONES'!$I$4:$I$339,0)),0)-$AD187)</f>
        <v/>
      </c>
      <c r="AF187" s="10">
        <f>IFERROR(INDEX('2_IMPORTAR_EJECUCION'!$G$9:$G$171,MATCH($C187,'2_IMPORTAR_EJECUCION'!$A$9:$A$171,0)),0)</f>
        <v/>
      </c>
      <c r="AG187" s="10">
        <f>MAX(0,IFERROR(INDEX('2_IMPORTAR_EJECUCION'!$I$9:$I$171,MATCH($C187,'2_IMPORTAR_EJECUCION'!$A$9:$A$171,0)),0)-$AF187)</f>
        <v/>
      </c>
      <c r="AH187" s="10">
        <f>$AF187+$AG187</f>
        <v/>
      </c>
      <c r="AI187" s="6" t="inlineStr"/>
      <c r="AJ187" s="6" t="inlineStr"/>
      <c r="AK187" s="6" t="inlineStr"/>
      <c r="AL187" s="3">
        <f>IF($AK187="","",HYPERLINK(p_ruta_base_checklists&amp;$AK187,"abrir"))</f>
        <v/>
      </c>
      <c r="AM187" s="6" t="inlineStr"/>
    </row>
    <row r="188">
      <c r="A188" s="3" t="inlineStr">
        <is>
          <t>OT-000901</t>
        </is>
      </c>
      <c r="B188" s="3" t="inlineStr">
        <is>
          <t>0010</t>
        </is>
      </c>
      <c r="C188" s="3">
        <f>$A188&amp;IF($B188="","0010",$B188)</f>
        <v/>
      </c>
      <c r="D188" s="3" t="inlineStr">
        <is>
          <t>Reparación de falla — EQ-101</t>
        </is>
      </c>
      <c r="E188" s="3" t="inlineStr">
        <is>
          <t>Reparación de falla en EQ-101</t>
        </is>
      </c>
      <c r="F188" s="3" t="inlineStr">
        <is>
          <t>EQ-101</t>
        </is>
      </c>
      <c r="G188" s="3" t="inlineStr">
        <is>
          <t>CC-110</t>
        </is>
      </c>
      <c r="H188" s="3" t="inlineStr">
        <is>
          <t>PU-ELE</t>
        </is>
      </c>
      <c r="I188" s="3" t="inlineStr">
        <is>
          <t>ACT-03</t>
        </is>
      </c>
      <c r="J188" s="3" t="inlineStr">
        <is>
          <t>TIPO-C2</t>
        </is>
      </c>
      <c r="K188" s="11" t="n"/>
      <c r="L188" s="3" t="n">
        <v>4</v>
      </c>
      <c r="M188" s="10" t="n">
        <v>160</v>
      </c>
      <c r="N188" s="3">
        <f>IFERROR(INDEX('CAT_ESTADOS_ERP'!$B$4:$B$7,MATCH(IFERROR(INDEX('2_IMPORTAR_EJECUCION'!$D$9:$D$171,MATCH($C188,'2_IMPORTAR_EJECUCION'!$A$9:$A$171,0)),""),'CAT_ESTADOS_ERP'!$A$4:$A$7,0)),"Pendiente")</f>
        <v/>
      </c>
      <c r="O188" s="3">
        <f>IF($K188="","","S"&amp;IF(_xlfn.ISOWEEKNUM($K188)=53,1,_xlfn.ISOWEEKNUM($K188)))</f>
        <v/>
      </c>
      <c r="P188" s="3">
        <f>IF($K188="","",YEAR($K188))</f>
        <v/>
      </c>
      <c r="Q188" s="3">
        <f>IF($K188="","",MONTH($K188))</f>
        <v/>
      </c>
      <c r="R188" s="3">
        <f>IF($K188="","",INDEX(lista_dias,WEEKDAY($K188,2)))</f>
        <v/>
      </c>
      <c r="S188" s="3">
        <f>IFERROR(INDEX('CAT_TIPOS_OT'!$C$4:$C$7,MATCH($J188,'CAT_TIPOS_OT'!$A$4:$A$7,0)),"sin_clasificar")</f>
        <v/>
      </c>
      <c r="T188" s="3">
        <f>IFERROR(INDEX('CAT_CENTROS_COSTO'!$E$4:$E$9,MATCH($G188,'CAT_CENTROS_COSTO'!$A$4:$A$9,0)),"(sin catálogo)")</f>
        <v/>
      </c>
      <c r="U188" s="3">
        <f>IFERROR(INDEX('CAT_CENTROS_COSTO'!$D$4:$D$9,MATCH($G188,'CAT_CENTROS_COSTO'!$A$4:$A$9,0)),"(sin catálogo)")</f>
        <v/>
      </c>
      <c r="V188" s="3">
        <f>IFERROR(INDEX('CAT_CENTROS_COSTO'!$F$4:$F$9,MATCH($G188,'CAT_CENTROS_COSTO'!$A$4:$A$9,0)),"(sin catálogo)")</f>
        <v/>
      </c>
      <c r="W188" s="3">
        <f>IFERROR(INDEX('CAT_PUESTOS'!$B$4:$B$8,MATCH($H188,'CAT_PUESTOS'!$A$4:$A$8,0)),"(sin catálogo)")</f>
        <v/>
      </c>
      <c r="X188" s="3">
        <f>IFERROR(INDEX('CAT_ACTIVIDADES'!$B$4:$B$8,MATCH($I188,'CAT_ACTIVIDADES'!$A$4:$A$8,0)),"(sin catálogo)")</f>
        <v/>
      </c>
      <c r="Y188" s="12">
        <f>IF($K188="","",TODAY()-$K188)</f>
        <v/>
      </c>
      <c r="Z188" s="3">
        <f>IF($Y188="","",IF($Y188&lt;0,"FUTURO",IF($Y188&gt;p_dias_backlog_max,"BACKLOG","MES CORRIENTE")))</f>
        <v/>
      </c>
      <c r="AA188" s="3">
        <f>IF($Y188="",FALSE,AND($Y188&gt;p_dias_backlog_min,$Y188&lt;=p_dias_backlog_max))</f>
        <v/>
      </c>
      <c r="AB188" s="6" t="inlineStr"/>
      <c r="AC188" s="3">
        <f>IF($AB188="","",IFERROR(INDEX('ASIGNACIONES'!$F$4:$F$339,MATCH($O188&amp;"|"&amp;$R188&amp;"|"&amp;$AB188,'ASIGNACIONES'!$I$4:$I$339,0)),""))</f>
        <v/>
      </c>
      <c r="AD188" s="13">
        <f>IF($AB188="","",SUMIFS('ORDENES'!$L$4:$L$203,'ORDENES'!$AB$4:$AB$203,$AB188,'ORDENES'!$O$4:$O$203,$O188,'ORDENES'!$R$4:$R$203,$R188))</f>
        <v/>
      </c>
      <c r="AE188" s="13">
        <f>IF($AD188="","",p_factor_productividad*IFERROR(INDEX('ASIGNACIONES'!$H$4:$H$339,MATCH($O188&amp;"|"&amp;$R188&amp;"|"&amp;$AB188,'ASIGNACIONES'!$I$4:$I$339,0)),0)-$AD188)</f>
        <v/>
      </c>
      <c r="AF188" s="10">
        <f>IFERROR(INDEX('2_IMPORTAR_EJECUCION'!$G$9:$G$171,MATCH($C188,'2_IMPORTAR_EJECUCION'!$A$9:$A$171,0)),0)</f>
        <v/>
      </c>
      <c r="AG188" s="10">
        <f>MAX(0,IFERROR(INDEX('2_IMPORTAR_EJECUCION'!$I$9:$I$171,MATCH($C188,'2_IMPORTAR_EJECUCION'!$A$9:$A$171,0)),0)-$AF188)</f>
        <v/>
      </c>
      <c r="AH188" s="10">
        <f>$AF188+$AG188</f>
        <v/>
      </c>
      <c r="AI188" s="6" t="inlineStr"/>
      <c r="AJ188" s="6" t="inlineStr"/>
      <c r="AK188" s="6" t="inlineStr"/>
      <c r="AL188" s="3">
        <f>IF($AK188="","",HYPERLINK(p_ruta_base_checklists&amp;$AK188,"abrir"))</f>
        <v/>
      </c>
      <c r="AM188" s="6" t="inlineStr"/>
    </row>
    <row r="189">
      <c r="A189" s="3" t="inlineStr">
        <is>
          <t>OT-000902</t>
        </is>
      </c>
      <c r="B189" s="3" t="inlineStr">
        <is>
          <t>0010</t>
        </is>
      </c>
      <c r="C189" s="3">
        <f>$A189&amp;IF($B189="","0010",$B189)</f>
        <v/>
      </c>
      <c r="D189" s="3" t="inlineStr">
        <is>
          <t>Inspección de rutina — EQ-102</t>
        </is>
      </c>
      <c r="E189" s="3" t="inlineStr">
        <is>
          <t>Inspección de rutina en EQ-102</t>
        </is>
      </c>
      <c r="F189" s="3" t="inlineStr">
        <is>
          <t>EQ-102</t>
        </is>
      </c>
      <c r="G189" s="3" t="inlineStr">
        <is>
          <t>CC-110</t>
        </is>
      </c>
      <c r="H189" s="3" t="inlineStr">
        <is>
          <t>PU-MEC</t>
        </is>
      </c>
      <c r="I189" s="3" t="inlineStr">
        <is>
          <t>ACT-01</t>
        </is>
      </c>
      <c r="J189" s="3" t="inlineStr">
        <is>
          <t>TIPO-P1</t>
        </is>
      </c>
      <c r="K189" s="11" t="n"/>
      <c r="L189" s="3" t="n">
        <v>6</v>
      </c>
      <c r="M189" s="10" t="n">
        <v>150</v>
      </c>
      <c r="N189" s="3">
        <f>IFERROR(INDEX('CAT_ESTADOS_ERP'!$B$4:$B$7,MATCH(IFERROR(INDEX('2_IMPORTAR_EJECUCION'!$D$9:$D$171,MATCH($C189,'2_IMPORTAR_EJECUCION'!$A$9:$A$171,0)),""),'CAT_ESTADOS_ERP'!$A$4:$A$7,0)),"Pendiente")</f>
        <v/>
      </c>
      <c r="O189" s="3">
        <f>IF($K189="","","S"&amp;IF(_xlfn.ISOWEEKNUM($K189)=53,1,_xlfn.ISOWEEKNUM($K189)))</f>
        <v/>
      </c>
      <c r="P189" s="3">
        <f>IF($K189="","",YEAR($K189))</f>
        <v/>
      </c>
      <c r="Q189" s="3">
        <f>IF($K189="","",MONTH($K189))</f>
        <v/>
      </c>
      <c r="R189" s="3">
        <f>IF($K189="","",INDEX(lista_dias,WEEKDAY($K189,2)))</f>
        <v/>
      </c>
      <c r="S189" s="3">
        <f>IFERROR(INDEX('CAT_TIPOS_OT'!$C$4:$C$7,MATCH($J189,'CAT_TIPOS_OT'!$A$4:$A$7,0)),"sin_clasificar")</f>
        <v/>
      </c>
      <c r="T189" s="3">
        <f>IFERROR(INDEX('CAT_CENTROS_COSTO'!$E$4:$E$9,MATCH($G189,'CAT_CENTROS_COSTO'!$A$4:$A$9,0)),"(sin catálogo)")</f>
        <v/>
      </c>
      <c r="U189" s="3">
        <f>IFERROR(INDEX('CAT_CENTROS_COSTO'!$D$4:$D$9,MATCH($G189,'CAT_CENTROS_COSTO'!$A$4:$A$9,0)),"(sin catálogo)")</f>
        <v/>
      </c>
      <c r="V189" s="3">
        <f>IFERROR(INDEX('CAT_CENTROS_COSTO'!$F$4:$F$9,MATCH($G189,'CAT_CENTROS_COSTO'!$A$4:$A$9,0)),"(sin catálogo)")</f>
        <v/>
      </c>
      <c r="W189" s="3">
        <f>IFERROR(INDEX('CAT_PUESTOS'!$B$4:$B$8,MATCH($H189,'CAT_PUESTOS'!$A$4:$A$8,0)),"(sin catálogo)")</f>
        <v/>
      </c>
      <c r="X189" s="3">
        <f>IFERROR(INDEX('CAT_ACTIVIDADES'!$B$4:$B$8,MATCH($I189,'CAT_ACTIVIDADES'!$A$4:$A$8,0)),"(sin catálogo)")</f>
        <v/>
      </c>
      <c r="Y189" s="12">
        <f>IF($K189="","",TODAY()-$K189)</f>
        <v/>
      </c>
      <c r="Z189" s="3">
        <f>IF($Y189="","",IF($Y189&lt;0,"FUTURO",IF($Y189&gt;p_dias_backlog_max,"BACKLOG","MES CORRIENTE")))</f>
        <v/>
      </c>
      <c r="AA189" s="3">
        <f>IF($Y189="",FALSE,AND($Y189&gt;p_dias_backlog_min,$Y189&lt;=p_dias_backlog_max))</f>
        <v/>
      </c>
      <c r="AB189" s="6" t="inlineStr"/>
      <c r="AC189" s="3">
        <f>IF($AB189="","",IFERROR(INDEX('ASIGNACIONES'!$F$4:$F$339,MATCH($O189&amp;"|"&amp;$R189&amp;"|"&amp;$AB189,'ASIGNACIONES'!$I$4:$I$339,0)),""))</f>
        <v/>
      </c>
      <c r="AD189" s="13">
        <f>IF($AB189="","",SUMIFS('ORDENES'!$L$4:$L$203,'ORDENES'!$AB$4:$AB$203,$AB189,'ORDENES'!$O$4:$O$203,$O189,'ORDENES'!$R$4:$R$203,$R189))</f>
        <v/>
      </c>
      <c r="AE189" s="13">
        <f>IF($AD189="","",p_factor_productividad*IFERROR(INDEX('ASIGNACIONES'!$H$4:$H$339,MATCH($O189&amp;"|"&amp;$R189&amp;"|"&amp;$AB189,'ASIGNACIONES'!$I$4:$I$339,0)),0)-$AD189)</f>
        <v/>
      </c>
      <c r="AF189" s="10">
        <f>IFERROR(INDEX('2_IMPORTAR_EJECUCION'!$G$9:$G$171,MATCH($C189,'2_IMPORTAR_EJECUCION'!$A$9:$A$171,0)),0)</f>
        <v/>
      </c>
      <c r="AG189" s="10">
        <f>MAX(0,IFERROR(INDEX('2_IMPORTAR_EJECUCION'!$I$9:$I$171,MATCH($C189,'2_IMPORTAR_EJECUCION'!$A$9:$A$171,0)),0)-$AF189)</f>
        <v/>
      </c>
      <c r="AH189" s="10">
        <f>$AF189+$AG189</f>
        <v/>
      </c>
      <c r="AI189" s="6" t="inlineStr"/>
      <c r="AJ189" s="6" t="inlineStr"/>
      <c r="AK189" s="6" t="inlineStr"/>
      <c r="AL189" s="3">
        <f>IF($AK189="","",HYPERLINK(p_ruta_base_checklists&amp;$AK189,"abrir"))</f>
        <v/>
      </c>
      <c r="AM189" s="6" t="inlineStr"/>
    </row>
    <row r="190">
      <c r="A190" s="3" t="inlineStr">
        <is>
          <t>OT-000903</t>
        </is>
      </c>
      <c r="B190" s="3" t="inlineStr">
        <is>
          <t>0010</t>
        </is>
      </c>
      <c r="C190" s="3">
        <f>$A190&amp;IF($B190="","0010",$B190)</f>
        <v/>
      </c>
      <c r="D190" s="3" t="inlineStr">
        <is>
          <t>Reparación de falla — EQ-103</t>
        </is>
      </c>
      <c r="E190" s="3" t="inlineStr">
        <is>
          <t>Reparación de falla en EQ-103</t>
        </is>
      </c>
      <c r="F190" s="3" t="inlineStr">
        <is>
          <t>EQ-103</t>
        </is>
      </c>
      <c r="G190" s="3" t="inlineStr">
        <is>
          <t>CC-110</t>
        </is>
      </c>
      <c r="H190" s="3" t="inlineStr">
        <is>
          <t>PU-AUT</t>
        </is>
      </c>
      <c r="I190" s="3" t="inlineStr">
        <is>
          <t>ACT-03</t>
        </is>
      </c>
      <c r="J190" s="3" t="inlineStr">
        <is>
          <t>TIPO-C2</t>
        </is>
      </c>
      <c r="K190" s="11" t="n">
        <v>46168</v>
      </c>
      <c r="L190" s="3" t="n"/>
      <c r="M190" s="10" t="n">
        <v>0</v>
      </c>
      <c r="N190" s="3">
        <f>IFERROR(INDEX('CAT_ESTADOS_ERP'!$B$4:$B$7,MATCH(IFERROR(INDEX('2_IMPORTAR_EJECUCION'!$D$9:$D$171,MATCH($C190,'2_IMPORTAR_EJECUCION'!$A$9:$A$171,0)),""),'CAT_ESTADOS_ERP'!$A$4:$A$7,0)),"Pendiente")</f>
        <v/>
      </c>
      <c r="O190" s="3">
        <f>IF($K190="","","S"&amp;IF(_xlfn.ISOWEEKNUM($K190)=53,1,_xlfn.ISOWEEKNUM($K190)))</f>
        <v/>
      </c>
      <c r="P190" s="3">
        <f>IF($K190="","",YEAR($K190))</f>
        <v/>
      </c>
      <c r="Q190" s="3">
        <f>IF($K190="","",MONTH($K190))</f>
        <v/>
      </c>
      <c r="R190" s="3">
        <f>IF($K190="","",INDEX(lista_dias,WEEKDAY($K190,2)))</f>
        <v/>
      </c>
      <c r="S190" s="3">
        <f>IFERROR(INDEX('CAT_TIPOS_OT'!$C$4:$C$7,MATCH($J190,'CAT_TIPOS_OT'!$A$4:$A$7,0)),"sin_clasificar")</f>
        <v/>
      </c>
      <c r="T190" s="3">
        <f>IFERROR(INDEX('CAT_CENTROS_COSTO'!$E$4:$E$9,MATCH($G190,'CAT_CENTROS_COSTO'!$A$4:$A$9,0)),"(sin catálogo)")</f>
        <v/>
      </c>
      <c r="U190" s="3">
        <f>IFERROR(INDEX('CAT_CENTROS_COSTO'!$D$4:$D$9,MATCH($G190,'CAT_CENTROS_COSTO'!$A$4:$A$9,0)),"(sin catálogo)")</f>
        <v/>
      </c>
      <c r="V190" s="3">
        <f>IFERROR(INDEX('CAT_CENTROS_COSTO'!$F$4:$F$9,MATCH($G190,'CAT_CENTROS_COSTO'!$A$4:$A$9,0)),"(sin catálogo)")</f>
        <v/>
      </c>
      <c r="W190" s="3">
        <f>IFERROR(INDEX('CAT_PUESTOS'!$B$4:$B$8,MATCH($H190,'CAT_PUESTOS'!$A$4:$A$8,0)),"(sin catálogo)")</f>
        <v/>
      </c>
      <c r="X190" s="3">
        <f>IFERROR(INDEX('CAT_ACTIVIDADES'!$B$4:$B$8,MATCH($I190,'CAT_ACTIVIDADES'!$A$4:$A$8,0)),"(sin catálogo)")</f>
        <v/>
      </c>
      <c r="Y190" s="12">
        <f>IF($K190="","",TODAY()-$K190)</f>
        <v/>
      </c>
      <c r="Z190" s="3">
        <f>IF($Y190="","",IF($Y190&lt;0,"FUTURO",IF($Y190&gt;p_dias_backlog_max,"BACKLOG","MES CORRIENTE")))</f>
        <v/>
      </c>
      <c r="AA190" s="3">
        <f>IF($Y190="",FALSE,AND($Y190&gt;p_dias_backlog_min,$Y190&lt;=p_dias_backlog_max))</f>
        <v/>
      </c>
      <c r="AB190" s="6" t="inlineStr"/>
      <c r="AC190" s="3">
        <f>IF($AB190="","",IFERROR(INDEX('ASIGNACIONES'!$F$4:$F$339,MATCH($O190&amp;"|"&amp;$R190&amp;"|"&amp;$AB190,'ASIGNACIONES'!$I$4:$I$339,0)),""))</f>
        <v/>
      </c>
      <c r="AD190" s="13">
        <f>IF($AB190="","",SUMIFS('ORDENES'!$L$4:$L$203,'ORDENES'!$AB$4:$AB$203,$AB190,'ORDENES'!$O$4:$O$203,$O190,'ORDENES'!$R$4:$R$203,$R190))</f>
        <v/>
      </c>
      <c r="AE190" s="13">
        <f>IF($AD190="","",p_factor_productividad*IFERROR(INDEX('ASIGNACIONES'!$H$4:$H$339,MATCH($O190&amp;"|"&amp;$R190&amp;"|"&amp;$AB190,'ASIGNACIONES'!$I$4:$I$339,0)),0)-$AD190)</f>
        <v/>
      </c>
      <c r="AF190" s="10">
        <f>IFERROR(INDEX('2_IMPORTAR_EJECUCION'!$G$9:$G$171,MATCH($C190,'2_IMPORTAR_EJECUCION'!$A$9:$A$171,0)),0)</f>
        <v/>
      </c>
      <c r="AG190" s="10">
        <f>MAX(0,IFERROR(INDEX('2_IMPORTAR_EJECUCION'!$I$9:$I$171,MATCH($C190,'2_IMPORTAR_EJECUCION'!$A$9:$A$171,0)),0)-$AF190)</f>
        <v/>
      </c>
      <c r="AH190" s="10">
        <f>$AF190+$AG190</f>
        <v/>
      </c>
      <c r="AI190" s="6" t="inlineStr"/>
      <c r="AJ190" s="6" t="inlineStr"/>
      <c r="AK190" s="6" t="inlineStr"/>
      <c r="AL190" s="3">
        <f>IF($AK190="","",HYPERLINK(p_ruta_base_checklists&amp;$AK190,"abrir"))</f>
        <v/>
      </c>
      <c r="AM190" s="6" t="inlineStr"/>
    </row>
    <row r="191">
      <c r="A191" s="3" t="inlineStr">
        <is>
          <t>OT-000904</t>
        </is>
      </c>
      <c r="B191" s="3" t="inlineStr">
        <is>
          <t>0010</t>
        </is>
      </c>
      <c r="C191" s="3">
        <f>$A191&amp;IF($B191="","0010",$B191)</f>
        <v/>
      </c>
      <c r="D191" s="3" t="inlineStr">
        <is>
          <t>Reparación de falla — EQ-104</t>
        </is>
      </c>
      <c r="E191" s="3" t="inlineStr">
        <is>
          <t>Reparación de falla en EQ-104</t>
        </is>
      </c>
      <c r="F191" s="3" t="inlineStr">
        <is>
          <t>EQ-104</t>
        </is>
      </c>
      <c r="G191" s="3" t="inlineStr">
        <is>
          <t>CC-110</t>
        </is>
      </c>
      <c r="H191" s="3" t="inlineStr">
        <is>
          <t>PU-OP</t>
        </is>
      </c>
      <c r="I191" s="3" t="inlineStr">
        <is>
          <t>ACT-03</t>
        </is>
      </c>
      <c r="J191" s="3" t="inlineStr">
        <is>
          <t>TIPO-C1</t>
        </is>
      </c>
      <c r="K191" s="11" t="n">
        <v>46168</v>
      </c>
      <c r="L191" s="3" t="n"/>
      <c r="M191" s="10" t="n">
        <v>0</v>
      </c>
      <c r="N191" s="3">
        <f>IFERROR(INDEX('CAT_ESTADOS_ERP'!$B$4:$B$7,MATCH(IFERROR(INDEX('2_IMPORTAR_EJECUCION'!$D$9:$D$171,MATCH($C191,'2_IMPORTAR_EJECUCION'!$A$9:$A$171,0)),""),'CAT_ESTADOS_ERP'!$A$4:$A$7,0)),"Pendiente")</f>
        <v/>
      </c>
      <c r="O191" s="3">
        <f>IF($K191="","","S"&amp;IF(_xlfn.ISOWEEKNUM($K191)=53,1,_xlfn.ISOWEEKNUM($K191)))</f>
        <v/>
      </c>
      <c r="P191" s="3">
        <f>IF($K191="","",YEAR($K191))</f>
        <v/>
      </c>
      <c r="Q191" s="3">
        <f>IF($K191="","",MONTH($K191))</f>
        <v/>
      </c>
      <c r="R191" s="3">
        <f>IF($K191="","",INDEX(lista_dias,WEEKDAY($K191,2)))</f>
        <v/>
      </c>
      <c r="S191" s="3">
        <f>IFERROR(INDEX('CAT_TIPOS_OT'!$C$4:$C$7,MATCH($J191,'CAT_TIPOS_OT'!$A$4:$A$7,0)),"sin_clasificar")</f>
        <v/>
      </c>
      <c r="T191" s="3">
        <f>IFERROR(INDEX('CAT_CENTROS_COSTO'!$E$4:$E$9,MATCH($G191,'CAT_CENTROS_COSTO'!$A$4:$A$9,0)),"(sin catálogo)")</f>
        <v/>
      </c>
      <c r="U191" s="3">
        <f>IFERROR(INDEX('CAT_CENTROS_COSTO'!$D$4:$D$9,MATCH($G191,'CAT_CENTROS_COSTO'!$A$4:$A$9,0)),"(sin catálogo)")</f>
        <v/>
      </c>
      <c r="V191" s="3">
        <f>IFERROR(INDEX('CAT_CENTROS_COSTO'!$F$4:$F$9,MATCH($G191,'CAT_CENTROS_COSTO'!$A$4:$A$9,0)),"(sin catálogo)")</f>
        <v/>
      </c>
      <c r="W191" s="3">
        <f>IFERROR(INDEX('CAT_PUESTOS'!$B$4:$B$8,MATCH($H191,'CAT_PUESTOS'!$A$4:$A$8,0)),"(sin catálogo)")</f>
        <v/>
      </c>
      <c r="X191" s="3">
        <f>IFERROR(INDEX('CAT_ACTIVIDADES'!$B$4:$B$8,MATCH($I191,'CAT_ACTIVIDADES'!$A$4:$A$8,0)),"(sin catálogo)")</f>
        <v/>
      </c>
      <c r="Y191" s="12">
        <f>IF($K191="","",TODAY()-$K191)</f>
        <v/>
      </c>
      <c r="Z191" s="3">
        <f>IF($Y191="","",IF($Y191&lt;0,"FUTURO",IF($Y191&gt;p_dias_backlog_max,"BACKLOG","MES CORRIENTE")))</f>
        <v/>
      </c>
      <c r="AA191" s="3">
        <f>IF($Y191="",FALSE,AND($Y191&gt;p_dias_backlog_min,$Y191&lt;=p_dias_backlog_max))</f>
        <v/>
      </c>
      <c r="AB191" s="6" t="inlineStr"/>
      <c r="AC191" s="3">
        <f>IF($AB191="","",IFERROR(INDEX('ASIGNACIONES'!$F$4:$F$339,MATCH($O191&amp;"|"&amp;$R191&amp;"|"&amp;$AB191,'ASIGNACIONES'!$I$4:$I$339,0)),""))</f>
        <v/>
      </c>
      <c r="AD191" s="13">
        <f>IF($AB191="","",SUMIFS('ORDENES'!$L$4:$L$203,'ORDENES'!$AB$4:$AB$203,$AB191,'ORDENES'!$O$4:$O$203,$O191,'ORDENES'!$R$4:$R$203,$R191))</f>
        <v/>
      </c>
      <c r="AE191" s="13">
        <f>IF($AD191="","",p_factor_productividad*IFERROR(INDEX('ASIGNACIONES'!$H$4:$H$339,MATCH($O191&amp;"|"&amp;$R191&amp;"|"&amp;$AB191,'ASIGNACIONES'!$I$4:$I$339,0)),0)-$AD191)</f>
        <v/>
      </c>
      <c r="AF191" s="10">
        <f>IFERROR(INDEX('2_IMPORTAR_EJECUCION'!$G$9:$G$171,MATCH($C191,'2_IMPORTAR_EJECUCION'!$A$9:$A$171,0)),0)</f>
        <v/>
      </c>
      <c r="AG191" s="10">
        <f>MAX(0,IFERROR(INDEX('2_IMPORTAR_EJECUCION'!$I$9:$I$171,MATCH($C191,'2_IMPORTAR_EJECUCION'!$A$9:$A$171,0)),0)-$AF191)</f>
        <v/>
      </c>
      <c r="AH191" s="10">
        <f>$AF191+$AG191</f>
        <v/>
      </c>
      <c r="AI191" s="6" t="inlineStr"/>
      <c r="AJ191" s="6" t="inlineStr"/>
      <c r="AK191" s="6" t="inlineStr"/>
      <c r="AL191" s="3">
        <f>IF($AK191="","",HYPERLINK(p_ruta_base_checklists&amp;$AK191,"abrir"))</f>
        <v/>
      </c>
      <c r="AM191" s="6" t="inlineStr"/>
    </row>
    <row r="192">
      <c r="A192" s="3" t="inlineStr">
        <is>
          <t>OT-000905</t>
        </is>
      </c>
      <c r="B192" s="3" t="inlineStr">
        <is>
          <t>0010</t>
        </is>
      </c>
      <c r="C192" s="3">
        <f>$A192&amp;IF($B192="","0010",$B192)</f>
        <v/>
      </c>
      <c r="D192" s="3" t="inlineStr">
        <is>
          <t>Reparación de falla — EQ-105</t>
        </is>
      </c>
      <c r="E192" s="3" t="inlineStr">
        <is>
          <t>Reparación de falla en EQ-105</t>
        </is>
      </c>
      <c r="F192" s="3" t="inlineStr">
        <is>
          <t>EQ-105</t>
        </is>
      </c>
      <c r="G192" s="3" t="inlineStr">
        <is>
          <t>CC-110</t>
        </is>
      </c>
      <c r="H192" s="3" t="inlineStr">
        <is>
          <t>PU-MEC</t>
        </is>
      </c>
      <c r="I192" s="3" t="inlineStr">
        <is>
          <t>ACT-03</t>
        </is>
      </c>
      <c r="J192" s="3" t="inlineStr">
        <is>
          <t>TIPO-X9</t>
        </is>
      </c>
      <c r="K192" s="11" t="n">
        <v>46163</v>
      </c>
      <c r="L192" s="3" t="n">
        <v>4</v>
      </c>
      <c r="M192" s="10" t="n">
        <v>160</v>
      </c>
      <c r="N192" s="3">
        <f>IFERROR(INDEX('CAT_ESTADOS_ERP'!$B$4:$B$7,MATCH(IFERROR(INDEX('2_IMPORTAR_EJECUCION'!$D$9:$D$171,MATCH($C192,'2_IMPORTAR_EJECUCION'!$A$9:$A$171,0)),""),'CAT_ESTADOS_ERP'!$A$4:$A$7,0)),"Pendiente")</f>
        <v/>
      </c>
      <c r="O192" s="3">
        <f>IF($K192="","","S"&amp;IF(_xlfn.ISOWEEKNUM($K192)=53,1,_xlfn.ISOWEEKNUM($K192)))</f>
        <v/>
      </c>
      <c r="P192" s="3">
        <f>IF($K192="","",YEAR($K192))</f>
        <v/>
      </c>
      <c r="Q192" s="3">
        <f>IF($K192="","",MONTH($K192))</f>
        <v/>
      </c>
      <c r="R192" s="3">
        <f>IF($K192="","",INDEX(lista_dias,WEEKDAY($K192,2)))</f>
        <v/>
      </c>
      <c r="S192" s="3">
        <f>IFERROR(INDEX('CAT_TIPOS_OT'!$C$4:$C$7,MATCH($J192,'CAT_TIPOS_OT'!$A$4:$A$7,0)),"sin_clasificar")</f>
        <v/>
      </c>
      <c r="T192" s="3">
        <f>IFERROR(INDEX('CAT_CENTROS_COSTO'!$E$4:$E$9,MATCH($G192,'CAT_CENTROS_COSTO'!$A$4:$A$9,0)),"(sin catálogo)")</f>
        <v/>
      </c>
      <c r="U192" s="3">
        <f>IFERROR(INDEX('CAT_CENTROS_COSTO'!$D$4:$D$9,MATCH($G192,'CAT_CENTROS_COSTO'!$A$4:$A$9,0)),"(sin catálogo)")</f>
        <v/>
      </c>
      <c r="V192" s="3">
        <f>IFERROR(INDEX('CAT_CENTROS_COSTO'!$F$4:$F$9,MATCH($G192,'CAT_CENTROS_COSTO'!$A$4:$A$9,0)),"(sin catálogo)")</f>
        <v/>
      </c>
      <c r="W192" s="3">
        <f>IFERROR(INDEX('CAT_PUESTOS'!$B$4:$B$8,MATCH($H192,'CAT_PUESTOS'!$A$4:$A$8,0)),"(sin catálogo)")</f>
        <v/>
      </c>
      <c r="X192" s="3">
        <f>IFERROR(INDEX('CAT_ACTIVIDADES'!$B$4:$B$8,MATCH($I192,'CAT_ACTIVIDADES'!$A$4:$A$8,0)),"(sin catálogo)")</f>
        <v/>
      </c>
      <c r="Y192" s="12">
        <f>IF($K192="","",TODAY()-$K192)</f>
        <v/>
      </c>
      <c r="Z192" s="3">
        <f>IF($Y192="","",IF($Y192&lt;0,"FUTURO",IF($Y192&gt;p_dias_backlog_max,"BACKLOG","MES CORRIENTE")))</f>
        <v/>
      </c>
      <c r="AA192" s="3">
        <f>IF($Y192="",FALSE,AND($Y192&gt;p_dias_backlog_min,$Y192&lt;=p_dias_backlog_max))</f>
        <v/>
      </c>
      <c r="AB192" s="6" t="inlineStr"/>
      <c r="AC192" s="3">
        <f>IF($AB192="","",IFERROR(INDEX('ASIGNACIONES'!$F$4:$F$339,MATCH($O192&amp;"|"&amp;$R192&amp;"|"&amp;$AB192,'ASIGNACIONES'!$I$4:$I$339,0)),""))</f>
        <v/>
      </c>
      <c r="AD192" s="13">
        <f>IF($AB192="","",SUMIFS('ORDENES'!$L$4:$L$203,'ORDENES'!$AB$4:$AB$203,$AB192,'ORDENES'!$O$4:$O$203,$O192,'ORDENES'!$R$4:$R$203,$R192))</f>
        <v/>
      </c>
      <c r="AE192" s="13">
        <f>IF($AD192="","",p_factor_productividad*IFERROR(INDEX('ASIGNACIONES'!$H$4:$H$339,MATCH($O192&amp;"|"&amp;$R192&amp;"|"&amp;$AB192,'ASIGNACIONES'!$I$4:$I$339,0)),0)-$AD192)</f>
        <v/>
      </c>
      <c r="AF192" s="10">
        <f>IFERROR(INDEX('2_IMPORTAR_EJECUCION'!$G$9:$G$171,MATCH($C192,'2_IMPORTAR_EJECUCION'!$A$9:$A$171,0)),0)</f>
        <v/>
      </c>
      <c r="AG192" s="10">
        <f>MAX(0,IFERROR(INDEX('2_IMPORTAR_EJECUCION'!$I$9:$I$171,MATCH($C192,'2_IMPORTAR_EJECUCION'!$A$9:$A$171,0)),0)-$AF192)</f>
        <v/>
      </c>
      <c r="AH192" s="10">
        <f>$AF192+$AG192</f>
        <v/>
      </c>
      <c r="AI192" s="6" t="inlineStr"/>
      <c r="AJ192" s="6" t="inlineStr"/>
      <c r="AK192" s="6" t="inlineStr"/>
      <c r="AL192" s="3">
        <f>IF($AK192="","",HYPERLINK(p_ruta_base_checklists&amp;$AK192,"abrir"))</f>
        <v/>
      </c>
      <c r="AM192" s="6" t="inlineStr"/>
    </row>
    <row r="193">
      <c r="A193" s="3" t="inlineStr">
        <is>
          <t>OT-000906</t>
        </is>
      </c>
      <c r="B193" s="3" t="inlineStr">
        <is>
          <t>0010</t>
        </is>
      </c>
      <c r="C193" s="3">
        <f>$A193&amp;IF($B193="","0010",$B193)</f>
        <v/>
      </c>
      <c r="D193" s="3" t="inlineStr">
        <is>
          <t>Reparación de falla — EQ-101</t>
        </is>
      </c>
      <c r="E193" s="3" t="inlineStr">
        <is>
          <t>Reparación de falla en EQ-101</t>
        </is>
      </c>
      <c r="F193" s="3" t="inlineStr">
        <is>
          <t>EQ-101</t>
        </is>
      </c>
      <c r="G193" s="3" t="inlineStr">
        <is>
          <t>CC-110</t>
        </is>
      </c>
      <c r="H193" s="3" t="inlineStr">
        <is>
          <t>PU-ELE</t>
        </is>
      </c>
      <c r="I193" s="3" t="inlineStr">
        <is>
          <t>ACT-03</t>
        </is>
      </c>
      <c r="J193" s="3" t="inlineStr">
        <is>
          <t>TIPO-X9</t>
        </is>
      </c>
      <c r="K193" s="11" t="n">
        <v>46163</v>
      </c>
      <c r="L193" s="3" t="n">
        <v>4</v>
      </c>
      <c r="M193" s="10" t="n">
        <v>160</v>
      </c>
      <c r="N193" s="3">
        <f>IFERROR(INDEX('CAT_ESTADOS_ERP'!$B$4:$B$7,MATCH(IFERROR(INDEX('2_IMPORTAR_EJECUCION'!$D$9:$D$171,MATCH($C193,'2_IMPORTAR_EJECUCION'!$A$9:$A$171,0)),""),'CAT_ESTADOS_ERP'!$A$4:$A$7,0)),"Pendiente")</f>
        <v/>
      </c>
      <c r="O193" s="3">
        <f>IF($K193="","","S"&amp;IF(_xlfn.ISOWEEKNUM($K193)=53,1,_xlfn.ISOWEEKNUM($K193)))</f>
        <v/>
      </c>
      <c r="P193" s="3">
        <f>IF($K193="","",YEAR($K193))</f>
        <v/>
      </c>
      <c r="Q193" s="3">
        <f>IF($K193="","",MONTH($K193))</f>
        <v/>
      </c>
      <c r="R193" s="3">
        <f>IF($K193="","",INDEX(lista_dias,WEEKDAY($K193,2)))</f>
        <v/>
      </c>
      <c r="S193" s="3">
        <f>IFERROR(INDEX('CAT_TIPOS_OT'!$C$4:$C$7,MATCH($J193,'CAT_TIPOS_OT'!$A$4:$A$7,0)),"sin_clasificar")</f>
        <v/>
      </c>
      <c r="T193" s="3">
        <f>IFERROR(INDEX('CAT_CENTROS_COSTO'!$E$4:$E$9,MATCH($G193,'CAT_CENTROS_COSTO'!$A$4:$A$9,0)),"(sin catálogo)")</f>
        <v/>
      </c>
      <c r="U193" s="3">
        <f>IFERROR(INDEX('CAT_CENTROS_COSTO'!$D$4:$D$9,MATCH($G193,'CAT_CENTROS_COSTO'!$A$4:$A$9,0)),"(sin catálogo)")</f>
        <v/>
      </c>
      <c r="V193" s="3">
        <f>IFERROR(INDEX('CAT_CENTROS_COSTO'!$F$4:$F$9,MATCH($G193,'CAT_CENTROS_COSTO'!$A$4:$A$9,0)),"(sin catálogo)")</f>
        <v/>
      </c>
      <c r="W193" s="3">
        <f>IFERROR(INDEX('CAT_PUESTOS'!$B$4:$B$8,MATCH($H193,'CAT_PUESTOS'!$A$4:$A$8,0)),"(sin catálogo)")</f>
        <v/>
      </c>
      <c r="X193" s="3">
        <f>IFERROR(INDEX('CAT_ACTIVIDADES'!$B$4:$B$8,MATCH($I193,'CAT_ACTIVIDADES'!$A$4:$A$8,0)),"(sin catálogo)")</f>
        <v/>
      </c>
      <c r="Y193" s="12">
        <f>IF($K193="","",TODAY()-$K193)</f>
        <v/>
      </c>
      <c r="Z193" s="3">
        <f>IF($Y193="","",IF($Y193&lt;0,"FUTURO",IF($Y193&gt;p_dias_backlog_max,"BACKLOG","MES CORRIENTE")))</f>
        <v/>
      </c>
      <c r="AA193" s="3">
        <f>IF($Y193="",FALSE,AND($Y193&gt;p_dias_backlog_min,$Y193&lt;=p_dias_backlog_max))</f>
        <v/>
      </c>
      <c r="AB193" s="6" t="inlineStr"/>
      <c r="AC193" s="3">
        <f>IF($AB193="","",IFERROR(INDEX('ASIGNACIONES'!$F$4:$F$339,MATCH($O193&amp;"|"&amp;$R193&amp;"|"&amp;$AB193,'ASIGNACIONES'!$I$4:$I$339,0)),""))</f>
        <v/>
      </c>
      <c r="AD193" s="13">
        <f>IF($AB193="","",SUMIFS('ORDENES'!$L$4:$L$203,'ORDENES'!$AB$4:$AB$203,$AB193,'ORDENES'!$O$4:$O$203,$O193,'ORDENES'!$R$4:$R$203,$R193))</f>
        <v/>
      </c>
      <c r="AE193" s="13">
        <f>IF($AD193="","",p_factor_productividad*IFERROR(INDEX('ASIGNACIONES'!$H$4:$H$339,MATCH($O193&amp;"|"&amp;$R193&amp;"|"&amp;$AB193,'ASIGNACIONES'!$I$4:$I$339,0)),0)-$AD193)</f>
        <v/>
      </c>
      <c r="AF193" s="10">
        <f>IFERROR(INDEX('2_IMPORTAR_EJECUCION'!$G$9:$G$171,MATCH($C193,'2_IMPORTAR_EJECUCION'!$A$9:$A$171,0)),0)</f>
        <v/>
      </c>
      <c r="AG193" s="10">
        <f>MAX(0,IFERROR(INDEX('2_IMPORTAR_EJECUCION'!$I$9:$I$171,MATCH($C193,'2_IMPORTAR_EJECUCION'!$A$9:$A$171,0)),0)-$AF193)</f>
        <v/>
      </c>
      <c r="AH193" s="10">
        <f>$AF193+$AG193</f>
        <v/>
      </c>
      <c r="AI193" s="6" t="inlineStr"/>
      <c r="AJ193" s="6" t="inlineStr"/>
      <c r="AK193" s="6" t="inlineStr"/>
      <c r="AL193" s="3">
        <f>IF($AK193="","",HYPERLINK(p_ruta_base_checklists&amp;$AK193,"abrir"))</f>
        <v/>
      </c>
      <c r="AM193" s="6" t="inlineStr"/>
    </row>
    <row r="194">
      <c r="A194" s="3" t="inlineStr">
        <is>
          <t>OT-000907</t>
        </is>
      </c>
      <c r="B194" s="3" t="inlineStr">
        <is>
          <t>0010</t>
        </is>
      </c>
      <c r="C194" s="3">
        <f>$A194&amp;IF($B194="","0010",$B194)</f>
        <v/>
      </c>
      <c r="D194" s="3" t="inlineStr">
        <is>
          <t>Reparación de falla — EQ-102</t>
        </is>
      </c>
      <c r="E194" s="3" t="inlineStr">
        <is>
          <t>Reparación de falla en EQ-102</t>
        </is>
      </c>
      <c r="F194" s="3" t="inlineStr">
        <is>
          <t>EQ-102</t>
        </is>
      </c>
      <c r="G194" s="3" t="inlineStr">
        <is>
          <t>CC-999</t>
        </is>
      </c>
      <c r="H194" s="3" t="inlineStr">
        <is>
          <t>PU-MEC</t>
        </is>
      </c>
      <c r="I194" s="3" t="inlineStr">
        <is>
          <t>ACT-03</t>
        </is>
      </c>
      <c r="J194" s="3" t="inlineStr">
        <is>
          <t>TIPO-C2</t>
        </is>
      </c>
      <c r="K194" s="11" t="n">
        <v>46161</v>
      </c>
      <c r="L194" s="3" t="n">
        <v>4</v>
      </c>
      <c r="M194" s="10" t="n">
        <v>160</v>
      </c>
      <c r="N194" s="3">
        <f>IFERROR(INDEX('CAT_ESTADOS_ERP'!$B$4:$B$7,MATCH(IFERROR(INDEX('2_IMPORTAR_EJECUCION'!$D$9:$D$171,MATCH($C194,'2_IMPORTAR_EJECUCION'!$A$9:$A$171,0)),""),'CAT_ESTADOS_ERP'!$A$4:$A$7,0)),"Pendiente")</f>
        <v/>
      </c>
      <c r="O194" s="3">
        <f>IF($K194="","","S"&amp;IF(_xlfn.ISOWEEKNUM($K194)=53,1,_xlfn.ISOWEEKNUM($K194)))</f>
        <v/>
      </c>
      <c r="P194" s="3">
        <f>IF($K194="","",YEAR($K194))</f>
        <v/>
      </c>
      <c r="Q194" s="3">
        <f>IF($K194="","",MONTH($K194))</f>
        <v/>
      </c>
      <c r="R194" s="3">
        <f>IF($K194="","",INDEX(lista_dias,WEEKDAY($K194,2)))</f>
        <v/>
      </c>
      <c r="S194" s="3">
        <f>IFERROR(INDEX('CAT_TIPOS_OT'!$C$4:$C$7,MATCH($J194,'CAT_TIPOS_OT'!$A$4:$A$7,0)),"sin_clasificar")</f>
        <v/>
      </c>
      <c r="T194" s="3">
        <f>IFERROR(INDEX('CAT_CENTROS_COSTO'!$E$4:$E$9,MATCH($G194,'CAT_CENTROS_COSTO'!$A$4:$A$9,0)),"(sin catálogo)")</f>
        <v/>
      </c>
      <c r="U194" s="3">
        <f>IFERROR(INDEX('CAT_CENTROS_COSTO'!$D$4:$D$9,MATCH($G194,'CAT_CENTROS_COSTO'!$A$4:$A$9,0)),"(sin catálogo)")</f>
        <v/>
      </c>
      <c r="V194" s="3">
        <f>IFERROR(INDEX('CAT_CENTROS_COSTO'!$F$4:$F$9,MATCH($G194,'CAT_CENTROS_COSTO'!$A$4:$A$9,0)),"(sin catálogo)")</f>
        <v/>
      </c>
      <c r="W194" s="3">
        <f>IFERROR(INDEX('CAT_PUESTOS'!$B$4:$B$8,MATCH($H194,'CAT_PUESTOS'!$A$4:$A$8,0)),"(sin catálogo)")</f>
        <v/>
      </c>
      <c r="X194" s="3">
        <f>IFERROR(INDEX('CAT_ACTIVIDADES'!$B$4:$B$8,MATCH($I194,'CAT_ACTIVIDADES'!$A$4:$A$8,0)),"(sin catálogo)")</f>
        <v/>
      </c>
      <c r="Y194" s="12">
        <f>IF($K194="","",TODAY()-$K194)</f>
        <v/>
      </c>
      <c r="Z194" s="3">
        <f>IF($Y194="","",IF($Y194&lt;0,"FUTURO",IF($Y194&gt;p_dias_backlog_max,"BACKLOG","MES CORRIENTE")))</f>
        <v/>
      </c>
      <c r="AA194" s="3">
        <f>IF($Y194="",FALSE,AND($Y194&gt;p_dias_backlog_min,$Y194&lt;=p_dias_backlog_max))</f>
        <v/>
      </c>
      <c r="AB194" s="6" t="inlineStr"/>
      <c r="AC194" s="3">
        <f>IF($AB194="","",IFERROR(INDEX('ASIGNACIONES'!$F$4:$F$339,MATCH($O194&amp;"|"&amp;$R194&amp;"|"&amp;$AB194,'ASIGNACIONES'!$I$4:$I$339,0)),""))</f>
        <v/>
      </c>
      <c r="AD194" s="13">
        <f>IF($AB194="","",SUMIFS('ORDENES'!$L$4:$L$203,'ORDENES'!$AB$4:$AB$203,$AB194,'ORDENES'!$O$4:$O$203,$O194,'ORDENES'!$R$4:$R$203,$R194))</f>
        <v/>
      </c>
      <c r="AE194" s="13">
        <f>IF($AD194="","",p_factor_productividad*IFERROR(INDEX('ASIGNACIONES'!$H$4:$H$339,MATCH($O194&amp;"|"&amp;$R194&amp;"|"&amp;$AB194,'ASIGNACIONES'!$I$4:$I$339,0)),0)-$AD194)</f>
        <v/>
      </c>
      <c r="AF194" s="10">
        <f>IFERROR(INDEX('2_IMPORTAR_EJECUCION'!$G$9:$G$171,MATCH($C194,'2_IMPORTAR_EJECUCION'!$A$9:$A$171,0)),0)</f>
        <v/>
      </c>
      <c r="AG194" s="10">
        <f>MAX(0,IFERROR(INDEX('2_IMPORTAR_EJECUCION'!$I$9:$I$171,MATCH($C194,'2_IMPORTAR_EJECUCION'!$A$9:$A$171,0)),0)-$AF194)</f>
        <v/>
      </c>
      <c r="AH194" s="10">
        <f>$AF194+$AG194</f>
        <v/>
      </c>
      <c r="AI194" s="6" t="inlineStr"/>
      <c r="AJ194" s="6" t="inlineStr"/>
      <c r="AK194" s="6" t="inlineStr"/>
      <c r="AL194" s="3">
        <f>IF($AK194="","",HYPERLINK(p_ruta_base_checklists&amp;$AK194,"abrir"))</f>
        <v/>
      </c>
      <c r="AM194" s="6" t="inlineStr"/>
    </row>
    <row r="195">
      <c r="A195" s="3" t="inlineStr">
        <is>
          <t>OT-000908</t>
        </is>
      </c>
      <c r="B195" s="3" t="inlineStr">
        <is>
          <t>0010</t>
        </is>
      </c>
      <c r="C195" s="3">
        <f>$A195&amp;IF($B195="","0010",$B195)</f>
        <v/>
      </c>
      <c r="D195" s="3" t="inlineStr">
        <is>
          <t>Reparación de falla — EQ-103</t>
        </is>
      </c>
      <c r="E195" s="3" t="inlineStr">
        <is>
          <t>Reparación de falla en EQ-103</t>
        </is>
      </c>
      <c r="F195" s="3" t="inlineStr">
        <is>
          <t>EQ-103</t>
        </is>
      </c>
      <c r="G195" s="3" t="inlineStr">
        <is>
          <t>CC-110</t>
        </is>
      </c>
      <c r="H195" s="3" t="inlineStr">
        <is>
          <t>PU-XXX</t>
        </is>
      </c>
      <c r="I195" s="3" t="inlineStr">
        <is>
          <t>ACT-03</t>
        </is>
      </c>
      <c r="J195" s="3" t="inlineStr">
        <is>
          <t>TIPO-C1</t>
        </is>
      </c>
      <c r="K195" s="11" t="n">
        <v>46161</v>
      </c>
      <c r="L195" s="3" t="n">
        <v>4</v>
      </c>
      <c r="M195" s="10" t="n">
        <v>160</v>
      </c>
      <c r="N195" s="3">
        <f>IFERROR(INDEX('CAT_ESTADOS_ERP'!$B$4:$B$7,MATCH(IFERROR(INDEX('2_IMPORTAR_EJECUCION'!$D$9:$D$171,MATCH($C195,'2_IMPORTAR_EJECUCION'!$A$9:$A$171,0)),""),'CAT_ESTADOS_ERP'!$A$4:$A$7,0)),"Pendiente")</f>
        <v/>
      </c>
      <c r="O195" s="3">
        <f>IF($K195="","","S"&amp;IF(_xlfn.ISOWEEKNUM($K195)=53,1,_xlfn.ISOWEEKNUM($K195)))</f>
        <v/>
      </c>
      <c r="P195" s="3">
        <f>IF($K195="","",YEAR($K195))</f>
        <v/>
      </c>
      <c r="Q195" s="3">
        <f>IF($K195="","",MONTH($K195))</f>
        <v/>
      </c>
      <c r="R195" s="3">
        <f>IF($K195="","",INDEX(lista_dias,WEEKDAY($K195,2)))</f>
        <v/>
      </c>
      <c r="S195" s="3">
        <f>IFERROR(INDEX('CAT_TIPOS_OT'!$C$4:$C$7,MATCH($J195,'CAT_TIPOS_OT'!$A$4:$A$7,0)),"sin_clasificar")</f>
        <v/>
      </c>
      <c r="T195" s="3">
        <f>IFERROR(INDEX('CAT_CENTROS_COSTO'!$E$4:$E$9,MATCH($G195,'CAT_CENTROS_COSTO'!$A$4:$A$9,0)),"(sin catálogo)")</f>
        <v/>
      </c>
      <c r="U195" s="3">
        <f>IFERROR(INDEX('CAT_CENTROS_COSTO'!$D$4:$D$9,MATCH($G195,'CAT_CENTROS_COSTO'!$A$4:$A$9,0)),"(sin catálogo)")</f>
        <v/>
      </c>
      <c r="V195" s="3">
        <f>IFERROR(INDEX('CAT_CENTROS_COSTO'!$F$4:$F$9,MATCH($G195,'CAT_CENTROS_COSTO'!$A$4:$A$9,0)),"(sin catálogo)")</f>
        <v/>
      </c>
      <c r="W195" s="3">
        <f>IFERROR(INDEX('CAT_PUESTOS'!$B$4:$B$8,MATCH($H195,'CAT_PUESTOS'!$A$4:$A$8,0)),"(sin catálogo)")</f>
        <v/>
      </c>
      <c r="X195" s="3">
        <f>IFERROR(INDEX('CAT_ACTIVIDADES'!$B$4:$B$8,MATCH($I195,'CAT_ACTIVIDADES'!$A$4:$A$8,0)),"(sin catálogo)")</f>
        <v/>
      </c>
      <c r="Y195" s="12">
        <f>IF($K195="","",TODAY()-$K195)</f>
        <v/>
      </c>
      <c r="Z195" s="3">
        <f>IF($Y195="","",IF($Y195&lt;0,"FUTURO",IF($Y195&gt;p_dias_backlog_max,"BACKLOG","MES CORRIENTE")))</f>
        <v/>
      </c>
      <c r="AA195" s="3">
        <f>IF($Y195="",FALSE,AND($Y195&gt;p_dias_backlog_min,$Y195&lt;=p_dias_backlog_max))</f>
        <v/>
      </c>
      <c r="AB195" s="6" t="inlineStr"/>
      <c r="AC195" s="3">
        <f>IF($AB195="","",IFERROR(INDEX('ASIGNACIONES'!$F$4:$F$339,MATCH($O195&amp;"|"&amp;$R195&amp;"|"&amp;$AB195,'ASIGNACIONES'!$I$4:$I$339,0)),""))</f>
        <v/>
      </c>
      <c r="AD195" s="13">
        <f>IF($AB195="","",SUMIFS('ORDENES'!$L$4:$L$203,'ORDENES'!$AB$4:$AB$203,$AB195,'ORDENES'!$O$4:$O$203,$O195,'ORDENES'!$R$4:$R$203,$R195))</f>
        <v/>
      </c>
      <c r="AE195" s="13">
        <f>IF($AD195="","",p_factor_productividad*IFERROR(INDEX('ASIGNACIONES'!$H$4:$H$339,MATCH($O195&amp;"|"&amp;$R195&amp;"|"&amp;$AB195,'ASIGNACIONES'!$I$4:$I$339,0)),0)-$AD195)</f>
        <v/>
      </c>
      <c r="AF195" s="10">
        <f>IFERROR(INDEX('2_IMPORTAR_EJECUCION'!$G$9:$G$171,MATCH($C195,'2_IMPORTAR_EJECUCION'!$A$9:$A$171,0)),0)</f>
        <v/>
      </c>
      <c r="AG195" s="10">
        <f>MAX(0,IFERROR(INDEX('2_IMPORTAR_EJECUCION'!$I$9:$I$171,MATCH($C195,'2_IMPORTAR_EJECUCION'!$A$9:$A$171,0)),0)-$AF195)</f>
        <v/>
      </c>
      <c r="AH195" s="10">
        <f>$AF195+$AG195</f>
        <v/>
      </c>
      <c r="AI195" s="6" t="inlineStr"/>
      <c r="AJ195" s="6" t="inlineStr"/>
      <c r="AK195" s="6" t="inlineStr"/>
      <c r="AL195" s="3">
        <f>IF($AK195="","",HYPERLINK(p_ruta_base_checklists&amp;$AK195,"abrir"))</f>
        <v/>
      </c>
      <c r="AM195" s="6" t="inlineStr"/>
    </row>
    <row r="196">
      <c r="A196" s="3" t="inlineStr">
        <is>
          <t>OT-000909</t>
        </is>
      </c>
      <c r="B196" s="3" t="inlineStr">
        <is>
          <t>0010</t>
        </is>
      </c>
      <c r="C196" s="3">
        <f>$A196&amp;IF($B196="","0010",$B196)</f>
        <v/>
      </c>
      <c r="D196" s="3" t="inlineStr">
        <is>
          <t>Reparación de falla — EQ-104</t>
        </is>
      </c>
      <c r="E196" s="3" t="inlineStr">
        <is>
          <t>Reparación de falla en EQ-104</t>
        </is>
      </c>
      <c r="F196" s="3" t="inlineStr">
        <is>
          <t>EQ-104</t>
        </is>
      </c>
      <c r="G196" s="3" t="inlineStr">
        <is>
          <t>CC-110</t>
        </is>
      </c>
      <c r="H196" s="3" t="inlineStr">
        <is>
          <t>PU-AUT</t>
        </is>
      </c>
      <c r="I196" s="3" t="inlineStr">
        <is>
          <t>ACT-99</t>
        </is>
      </c>
      <c r="J196" s="3" t="inlineStr">
        <is>
          <t>TIPO-C2</t>
        </is>
      </c>
      <c r="K196" s="11" t="n">
        <v>46159</v>
      </c>
      <c r="L196" s="3" t="n">
        <v>4</v>
      </c>
      <c r="M196" s="10" t="n">
        <v>160</v>
      </c>
      <c r="N196" s="3">
        <f>IFERROR(INDEX('CAT_ESTADOS_ERP'!$B$4:$B$7,MATCH(IFERROR(INDEX('2_IMPORTAR_EJECUCION'!$D$9:$D$171,MATCH($C196,'2_IMPORTAR_EJECUCION'!$A$9:$A$171,0)),""),'CAT_ESTADOS_ERP'!$A$4:$A$7,0)),"Pendiente")</f>
        <v/>
      </c>
      <c r="O196" s="3">
        <f>IF($K196="","","S"&amp;IF(_xlfn.ISOWEEKNUM($K196)=53,1,_xlfn.ISOWEEKNUM($K196)))</f>
        <v/>
      </c>
      <c r="P196" s="3">
        <f>IF($K196="","",YEAR($K196))</f>
        <v/>
      </c>
      <c r="Q196" s="3">
        <f>IF($K196="","",MONTH($K196))</f>
        <v/>
      </c>
      <c r="R196" s="3">
        <f>IF($K196="","",INDEX(lista_dias,WEEKDAY($K196,2)))</f>
        <v/>
      </c>
      <c r="S196" s="3">
        <f>IFERROR(INDEX('CAT_TIPOS_OT'!$C$4:$C$7,MATCH($J196,'CAT_TIPOS_OT'!$A$4:$A$7,0)),"sin_clasificar")</f>
        <v/>
      </c>
      <c r="T196" s="3">
        <f>IFERROR(INDEX('CAT_CENTROS_COSTO'!$E$4:$E$9,MATCH($G196,'CAT_CENTROS_COSTO'!$A$4:$A$9,0)),"(sin catálogo)")</f>
        <v/>
      </c>
      <c r="U196" s="3">
        <f>IFERROR(INDEX('CAT_CENTROS_COSTO'!$D$4:$D$9,MATCH($G196,'CAT_CENTROS_COSTO'!$A$4:$A$9,0)),"(sin catálogo)")</f>
        <v/>
      </c>
      <c r="V196" s="3">
        <f>IFERROR(INDEX('CAT_CENTROS_COSTO'!$F$4:$F$9,MATCH($G196,'CAT_CENTROS_COSTO'!$A$4:$A$9,0)),"(sin catálogo)")</f>
        <v/>
      </c>
      <c r="W196" s="3">
        <f>IFERROR(INDEX('CAT_PUESTOS'!$B$4:$B$8,MATCH($H196,'CAT_PUESTOS'!$A$4:$A$8,0)),"(sin catálogo)")</f>
        <v/>
      </c>
      <c r="X196" s="3">
        <f>IFERROR(INDEX('CAT_ACTIVIDADES'!$B$4:$B$8,MATCH($I196,'CAT_ACTIVIDADES'!$A$4:$A$8,0)),"(sin catálogo)")</f>
        <v/>
      </c>
      <c r="Y196" s="12">
        <f>IF($K196="","",TODAY()-$K196)</f>
        <v/>
      </c>
      <c r="Z196" s="3">
        <f>IF($Y196="","",IF($Y196&lt;0,"FUTURO",IF($Y196&gt;p_dias_backlog_max,"BACKLOG","MES CORRIENTE")))</f>
        <v/>
      </c>
      <c r="AA196" s="3">
        <f>IF($Y196="",FALSE,AND($Y196&gt;p_dias_backlog_min,$Y196&lt;=p_dias_backlog_max))</f>
        <v/>
      </c>
      <c r="AB196" s="6" t="inlineStr"/>
      <c r="AC196" s="3">
        <f>IF($AB196="","",IFERROR(INDEX('ASIGNACIONES'!$F$4:$F$339,MATCH($O196&amp;"|"&amp;$R196&amp;"|"&amp;$AB196,'ASIGNACIONES'!$I$4:$I$339,0)),""))</f>
        <v/>
      </c>
      <c r="AD196" s="13">
        <f>IF($AB196="","",SUMIFS('ORDENES'!$L$4:$L$203,'ORDENES'!$AB$4:$AB$203,$AB196,'ORDENES'!$O$4:$O$203,$O196,'ORDENES'!$R$4:$R$203,$R196))</f>
        <v/>
      </c>
      <c r="AE196" s="13">
        <f>IF($AD196="","",p_factor_productividad*IFERROR(INDEX('ASIGNACIONES'!$H$4:$H$339,MATCH($O196&amp;"|"&amp;$R196&amp;"|"&amp;$AB196,'ASIGNACIONES'!$I$4:$I$339,0)),0)-$AD196)</f>
        <v/>
      </c>
      <c r="AF196" s="10">
        <f>IFERROR(INDEX('2_IMPORTAR_EJECUCION'!$G$9:$G$171,MATCH($C196,'2_IMPORTAR_EJECUCION'!$A$9:$A$171,0)),0)</f>
        <v/>
      </c>
      <c r="AG196" s="10">
        <f>MAX(0,IFERROR(INDEX('2_IMPORTAR_EJECUCION'!$I$9:$I$171,MATCH($C196,'2_IMPORTAR_EJECUCION'!$A$9:$A$171,0)),0)-$AF196)</f>
        <v/>
      </c>
      <c r="AH196" s="10">
        <f>$AF196+$AG196</f>
        <v/>
      </c>
      <c r="AI196" s="6" t="inlineStr"/>
      <c r="AJ196" s="6" t="inlineStr"/>
      <c r="AK196" s="6" t="inlineStr"/>
      <c r="AL196" s="3">
        <f>IF($AK196="","",HYPERLINK(p_ruta_base_checklists&amp;$AK196,"abrir"))</f>
        <v/>
      </c>
      <c r="AM196" s="6" t="inlineStr"/>
    </row>
    <row r="197">
      <c r="A197" s="3" t="inlineStr">
        <is>
          <t>OT-000194</t>
        </is>
      </c>
      <c r="B197" s="3" t="inlineStr">
        <is>
          <t>0010</t>
        </is>
      </c>
      <c r="C197" s="3">
        <f>$A197&amp;IF($B197="","0010",$B197)</f>
        <v/>
      </c>
      <c r="D197" s="3" t="inlineStr">
        <is>
          <t>Reparación de falla — EQ-108</t>
        </is>
      </c>
      <c r="E197" s="3" t="inlineStr">
        <is>
          <t>Reparación de falla en EQ-108</t>
        </is>
      </c>
      <c r="F197" s="3" t="inlineStr">
        <is>
          <t>EQ-108</t>
        </is>
      </c>
      <c r="G197" s="3" t="inlineStr">
        <is>
          <t>CC-220</t>
        </is>
      </c>
      <c r="H197" s="3" t="inlineStr">
        <is>
          <t>PU-ELE</t>
        </is>
      </c>
      <c r="I197" s="3" t="inlineStr">
        <is>
          <t>ACT-03</t>
        </is>
      </c>
      <c r="J197" s="3" t="inlineStr">
        <is>
          <t>TIPO-C1</t>
        </is>
      </c>
      <c r="K197" s="11" t="n">
        <v>46188</v>
      </c>
      <c r="L197" s="3" t="n">
        <v>2</v>
      </c>
      <c r="M197" s="10" t="n">
        <v>80</v>
      </c>
      <c r="N197" s="3">
        <f>IFERROR(INDEX('CAT_ESTADOS_ERP'!$B$4:$B$7,MATCH(IFERROR(INDEX('2_IMPORTAR_EJECUCION'!$D$9:$D$171,MATCH($C197,'2_IMPORTAR_EJECUCION'!$A$9:$A$171,0)),""),'CAT_ESTADOS_ERP'!$A$4:$A$7,0)),"Pendiente")</f>
        <v/>
      </c>
      <c r="O197" s="3">
        <f>IF($K197="","","S"&amp;IF(_xlfn.ISOWEEKNUM($K197)=53,1,_xlfn.ISOWEEKNUM($K197)))</f>
        <v/>
      </c>
      <c r="P197" s="3">
        <f>IF($K197="","",YEAR($K197))</f>
        <v/>
      </c>
      <c r="Q197" s="3">
        <f>IF($K197="","",MONTH($K197))</f>
        <v/>
      </c>
      <c r="R197" s="3">
        <f>IF($K197="","",INDEX(lista_dias,WEEKDAY($K197,2)))</f>
        <v/>
      </c>
      <c r="S197" s="3">
        <f>IFERROR(INDEX('CAT_TIPOS_OT'!$C$4:$C$7,MATCH($J197,'CAT_TIPOS_OT'!$A$4:$A$7,0)),"sin_clasificar")</f>
        <v/>
      </c>
      <c r="T197" s="3">
        <f>IFERROR(INDEX('CAT_CENTROS_COSTO'!$E$4:$E$9,MATCH($G197,'CAT_CENTROS_COSTO'!$A$4:$A$9,0)),"(sin catálogo)")</f>
        <v/>
      </c>
      <c r="U197" s="3">
        <f>IFERROR(INDEX('CAT_CENTROS_COSTO'!$D$4:$D$9,MATCH($G197,'CAT_CENTROS_COSTO'!$A$4:$A$9,0)),"(sin catálogo)")</f>
        <v/>
      </c>
      <c r="V197" s="3">
        <f>IFERROR(INDEX('CAT_CENTROS_COSTO'!$F$4:$F$9,MATCH($G197,'CAT_CENTROS_COSTO'!$A$4:$A$9,0)),"(sin catálogo)")</f>
        <v/>
      </c>
      <c r="W197" s="3">
        <f>IFERROR(INDEX('CAT_PUESTOS'!$B$4:$B$8,MATCH($H197,'CAT_PUESTOS'!$A$4:$A$8,0)),"(sin catálogo)")</f>
        <v/>
      </c>
      <c r="X197" s="3">
        <f>IFERROR(INDEX('CAT_ACTIVIDADES'!$B$4:$B$8,MATCH($I197,'CAT_ACTIVIDADES'!$A$4:$A$8,0)),"(sin catálogo)")</f>
        <v/>
      </c>
      <c r="Y197" s="12">
        <f>IF($K197="","",TODAY()-$K197)</f>
        <v/>
      </c>
      <c r="Z197" s="3">
        <f>IF($Y197="","",IF($Y197&lt;0,"FUTURO",IF($Y197&gt;p_dias_backlog_max,"BACKLOG","MES CORRIENTE")))</f>
        <v/>
      </c>
      <c r="AA197" s="3">
        <f>IF($Y197="",FALSE,AND($Y197&gt;p_dias_backlog_min,$Y197&lt;=p_dias_backlog_max))</f>
        <v/>
      </c>
      <c r="AB197" s="6" t="inlineStr"/>
      <c r="AC197" s="3">
        <f>IF($AB197="","",IFERROR(INDEX('ASIGNACIONES'!$F$4:$F$339,MATCH($O197&amp;"|"&amp;$R197&amp;"|"&amp;$AB197,'ASIGNACIONES'!$I$4:$I$339,0)),""))</f>
        <v/>
      </c>
      <c r="AD197" s="13">
        <f>IF($AB197="","",SUMIFS('ORDENES'!$L$4:$L$203,'ORDENES'!$AB$4:$AB$203,$AB197,'ORDENES'!$O$4:$O$203,$O197,'ORDENES'!$R$4:$R$203,$R197))</f>
        <v/>
      </c>
      <c r="AE197" s="13">
        <f>IF($AD197="","",p_factor_productividad*IFERROR(INDEX('ASIGNACIONES'!$H$4:$H$339,MATCH($O197&amp;"|"&amp;$R197&amp;"|"&amp;$AB197,'ASIGNACIONES'!$I$4:$I$339,0)),0)-$AD197)</f>
        <v/>
      </c>
      <c r="AF197" s="10">
        <f>IFERROR(INDEX('2_IMPORTAR_EJECUCION'!$G$9:$G$171,MATCH($C197,'2_IMPORTAR_EJECUCION'!$A$9:$A$171,0)),0)</f>
        <v/>
      </c>
      <c r="AG197" s="10">
        <f>MAX(0,IFERROR(INDEX('2_IMPORTAR_EJECUCION'!$I$9:$I$171,MATCH($C197,'2_IMPORTAR_EJECUCION'!$A$9:$A$171,0)),0)-$AF197)</f>
        <v/>
      </c>
      <c r="AH197" s="10">
        <f>$AF197+$AG197</f>
        <v/>
      </c>
      <c r="AI197" s="6" t="inlineStr"/>
      <c r="AJ197" s="6" t="inlineStr"/>
      <c r="AK197" s="6" t="inlineStr"/>
      <c r="AL197" s="3">
        <f>IF($AK197="","",HYPERLINK(p_ruta_base_checklists&amp;$AK197,"abrir"))</f>
        <v/>
      </c>
      <c r="AM197" s="6" t="inlineStr"/>
    </row>
    <row r="198">
      <c r="A198" s="3" t="inlineStr">
        <is>
          <t>OT-000195</t>
        </is>
      </c>
      <c r="B198" s="3" t="inlineStr">
        <is>
          <t>0010</t>
        </is>
      </c>
      <c r="C198" s="3">
        <f>$A198&amp;IF($B198="","0010",$B198)</f>
        <v/>
      </c>
      <c r="D198" s="3" t="inlineStr">
        <is>
          <t>Reparación de falla — EQ-109</t>
        </is>
      </c>
      <c r="E198" s="3" t="inlineStr">
        <is>
          <t>Reparación de falla en EQ-109</t>
        </is>
      </c>
      <c r="F198" s="3" t="inlineStr">
        <is>
          <t>EQ-109</t>
        </is>
      </c>
      <c r="G198" s="3" t="inlineStr">
        <is>
          <t>CC-220</t>
        </is>
      </c>
      <c r="H198" s="3" t="inlineStr">
        <is>
          <t>PU-ELE</t>
        </is>
      </c>
      <c r="I198" s="3" t="inlineStr">
        <is>
          <t>ACT-03</t>
        </is>
      </c>
      <c r="J198" s="3" t="inlineStr">
        <is>
          <t>TIPO-C2</t>
        </is>
      </c>
      <c r="K198" s="11" t="n">
        <v>46187</v>
      </c>
      <c r="L198" s="3" t="n">
        <v>2</v>
      </c>
      <c r="M198" s="10" t="n">
        <v>80</v>
      </c>
      <c r="N198" s="3">
        <f>IFERROR(INDEX('CAT_ESTADOS_ERP'!$B$4:$B$7,MATCH(IFERROR(INDEX('2_IMPORTAR_EJECUCION'!$D$9:$D$171,MATCH($C198,'2_IMPORTAR_EJECUCION'!$A$9:$A$171,0)),""),'CAT_ESTADOS_ERP'!$A$4:$A$7,0)),"Pendiente")</f>
        <v/>
      </c>
      <c r="O198" s="3">
        <f>IF($K198="","","S"&amp;IF(_xlfn.ISOWEEKNUM($K198)=53,1,_xlfn.ISOWEEKNUM($K198)))</f>
        <v/>
      </c>
      <c r="P198" s="3">
        <f>IF($K198="","",YEAR($K198))</f>
        <v/>
      </c>
      <c r="Q198" s="3">
        <f>IF($K198="","",MONTH($K198))</f>
        <v/>
      </c>
      <c r="R198" s="3">
        <f>IF($K198="","",INDEX(lista_dias,WEEKDAY($K198,2)))</f>
        <v/>
      </c>
      <c r="S198" s="3">
        <f>IFERROR(INDEX('CAT_TIPOS_OT'!$C$4:$C$7,MATCH($J198,'CAT_TIPOS_OT'!$A$4:$A$7,0)),"sin_clasificar")</f>
        <v/>
      </c>
      <c r="T198" s="3">
        <f>IFERROR(INDEX('CAT_CENTROS_COSTO'!$E$4:$E$9,MATCH($G198,'CAT_CENTROS_COSTO'!$A$4:$A$9,0)),"(sin catálogo)")</f>
        <v/>
      </c>
      <c r="U198" s="3">
        <f>IFERROR(INDEX('CAT_CENTROS_COSTO'!$D$4:$D$9,MATCH($G198,'CAT_CENTROS_COSTO'!$A$4:$A$9,0)),"(sin catálogo)")</f>
        <v/>
      </c>
      <c r="V198" s="3">
        <f>IFERROR(INDEX('CAT_CENTROS_COSTO'!$F$4:$F$9,MATCH($G198,'CAT_CENTROS_COSTO'!$A$4:$A$9,0)),"(sin catálogo)")</f>
        <v/>
      </c>
      <c r="W198" s="3">
        <f>IFERROR(INDEX('CAT_PUESTOS'!$B$4:$B$8,MATCH($H198,'CAT_PUESTOS'!$A$4:$A$8,0)),"(sin catálogo)")</f>
        <v/>
      </c>
      <c r="X198" s="3">
        <f>IFERROR(INDEX('CAT_ACTIVIDADES'!$B$4:$B$8,MATCH($I198,'CAT_ACTIVIDADES'!$A$4:$A$8,0)),"(sin catálogo)")</f>
        <v/>
      </c>
      <c r="Y198" s="12">
        <f>IF($K198="","",TODAY()-$K198)</f>
        <v/>
      </c>
      <c r="Z198" s="3">
        <f>IF($Y198="","",IF($Y198&lt;0,"FUTURO",IF($Y198&gt;p_dias_backlog_max,"BACKLOG","MES CORRIENTE")))</f>
        <v/>
      </c>
      <c r="AA198" s="3">
        <f>IF($Y198="",FALSE,AND($Y198&gt;p_dias_backlog_min,$Y198&lt;=p_dias_backlog_max))</f>
        <v/>
      </c>
      <c r="AB198" s="6" t="inlineStr"/>
      <c r="AC198" s="3">
        <f>IF($AB198="","",IFERROR(INDEX('ASIGNACIONES'!$F$4:$F$339,MATCH($O198&amp;"|"&amp;$R198&amp;"|"&amp;$AB198,'ASIGNACIONES'!$I$4:$I$339,0)),""))</f>
        <v/>
      </c>
      <c r="AD198" s="13">
        <f>IF($AB198="","",SUMIFS('ORDENES'!$L$4:$L$203,'ORDENES'!$AB$4:$AB$203,$AB198,'ORDENES'!$O$4:$O$203,$O198,'ORDENES'!$R$4:$R$203,$R198))</f>
        <v/>
      </c>
      <c r="AE198" s="13">
        <f>IF($AD198="","",p_factor_productividad*IFERROR(INDEX('ASIGNACIONES'!$H$4:$H$339,MATCH($O198&amp;"|"&amp;$R198&amp;"|"&amp;$AB198,'ASIGNACIONES'!$I$4:$I$339,0)),0)-$AD198)</f>
        <v/>
      </c>
      <c r="AF198" s="10">
        <f>IFERROR(INDEX('2_IMPORTAR_EJECUCION'!$G$9:$G$171,MATCH($C198,'2_IMPORTAR_EJECUCION'!$A$9:$A$171,0)),0)</f>
        <v/>
      </c>
      <c r="AG198" s="10">
        <f>MAX(0,IFERROR(INDEX('2_IMPORTAR_EJECUCION'!$I$9:$I$171,MATCH($C198,'2_IMPORTAR_EJECUCION'!$A$9:$A$171,0)),0)-$AF198)</f>
        <v/>
      </c>
      <c r="AH198" s="10">
        <f>$AF198+$AG198</f>
        <v/>
      </c>
      <c r="AI198" s="6" t="inlineStr"/>
      <c r="AJ198" s="6" t="inlineStr"/>
      <c r="AK198" s="6" t="inlineStr"/>
      <c r="AL198" s="3">
        <f>IF($AK198="","",HYPERLINK(p_ruta_base_checklists&amp;$AK198,"abrir"))</f>
        <v/>
      </c>
      <c r="AM198" s="6" t="inlineStr"/>
    </row>
    <row r="199">
      <c r="A199" s="3" t="inlineStr">
        <is>
          <t>OT-000196</t>
        </is>
      </c>
      <c r="B199" s="3" t="inlineStr">
        <is>
          <t>0010</t>
        </is>
      </c>
      <c r="C199" s="3">
        <f>$A199&amp;IF($B199="","0010",$B199)</f>
        <v/>
      </c>
      <c r="D199" s="3" t="inlineStr">
        <is>
          <t>Reparación de falla — EQ-106</t>
        </is>
      </c>
      <c r="E199" s="3" t="inlineStr">
        <is>
          <t>Reparación de falla en EQ-106</t>
        </is>
      </c>
      <c r="F199" s="3" t="inlineStr">
        <is>
          <t>EQ-106</t>
        </is>
      </c>
      <c r="G199" s="3" t="inlineStr">
        <is>
          <t>CC-220</t>
        </is>
      </c>
      <c r="H199" s="3" t="inlineStr">
        <is>
          <t>PU-ELE</t>
        </is>
      </c>
      <c r="I199" s="3" t="inlineStr">
        <is>
          <t>ACT-03</t>
        </is>
      </c>
      <c r="J199" s="3" t="inlineStr">
        <is>
          <t>TIPO-C1</t>
        </is>
      </c>
      <c r="K199" s="11" t="n">
        <v>46186</v>
      </c>
      <c r="L199" s="3" t="n">
        <v>2</v>
      </c>
      <c r="M199" s="10" t="n">
        <v>80</v>
      </c>
      <c r="N199" s="3">
        <f>IFERROR(INDEX('CAT_ESTADOS_ERP'!$B$4:$B$7,MATCH(IFERROR(INDEX('2_IMPORTAR_EJECUCION'!$D$9:$D$171,MATCH($C199,'2_IMPORTAR_EJECUCION'!$A$9:$A$171,0)),""),'CAT_ESTADOS_ERP'!$A$4:$A$7,0)),"Pendiente")</f>
        <v/>
      </c>
      <c r="O199" s="3">
        <f>IF($K199="","","S"&amp;IF(_xlfn.ISOWEEKNUM($K199)=53,1,_xlfn.ISOWEEKNUM($K199)))</f>
        <v/>
      </c>
      <c r="P199" s="3">
        <f>IF($K199="","",YEAR($K199))</f>
        <v/>
      </c>
      <c r="Q199" s="3">
        <f>IF($K199="","",MONTH($K199))</f>
        <v/>
      </c>
      <c r="R199" s="3">
        <f>IF($K199="","",INDEX(lista_dias,WEEKDAY($K199,2)))</f>
        <v/>
      </c>
      <c r="S199" s="3">
        <f>IFERROR(INDEX('CAT_TIPOS_OT'!$C$4:$C$7,MATCH($J199,'CAT_TIPOS_OT'!$A$4:$A$7,0)),"sin_clasificar")</f>
        <v/>
      </c>
      <c r="T199" s="3">
        <f>IFERROR(INDEX('CAT_CENTROS_COSTO'!$E$4:$E$9,MATCH($G199,'CAT_CENTROS_COSTO'!$A$4:$A$9,0)),"(sin catálogo)")</f>
        <v/>
      </c>
      <c r="U199" s="3">
        <f>IFERROR(INDEX('CAT_CENTROS_COSTO'!$D$4:$D$9,MATCH($G199,'CAT_CENTROS_COSTO'!$A$4:$A$9,0)),"(sin catálogo)")</f>
        <v/>
      </c>
      <c r="V199" s="3">
        <f>IFERROR(INDEX('CAT_CENTROS_COSTO'!$F$4:$F$9,MATCH($G199,'CAT_CENTROS_COSTO'!$A$4:$A$9,0)),"(sin catálogo)")</f>
        <v/>
      </c>
      <c r="W199" s="3">
        <f>IFERROR(INDEX('CAT_PUESTOS'!$B$4:$B$8,MATCH($H199,'CAT_PUESTOS'!$A$4:$A$8,0)),"(sin catálogo)")</f>
        <v/>
      </c>
      <c r="X199" s="3">
        <f>IFERROR(INDEX('CAT_ACTIVIDADES'!$B$4:$B$8,MATCH($I199,'CAT_ACTIVIDADES'!$A$4:$A$8,0)),"(sin catálogo)")</f>
        <v/>
      </c>
      <c r="Y199" s="12">
        <f>IF($K199="","",TODAY()-$K199)</f>
        <v/>
      </c>
      <c r="Z199" s="3">
        <f>IF($Y199="","",IF($Y199&lt;0,"FUTURO",IF($Y199&gt;p_dias_backlog_max,"BACKLOG","MES CORRIENTE")))</f>
        <v/>
      </c>
      <c r="AA199" s="3">
        <f>IF($Y199="",FALSE,AND($Y199&gt;p_dias_backlog_min,$Y199&lt;=p_dias_backlog_max))</f>
        <v/>
      </c>
      <c r="AB199" s="6" t="inlineStr"/>
      <c r="AC199" s="3">
        <f>IF($AB199="","",IFERROR(INDEX('ASIGNACIONES'!$F$4:$F$339,MATCH($O199&amp;"|"&amp;$R199&amp;"|"&amp;$AB199,'ASIGNACIONES'!$I$4:$I$339,0)),""))</f>
        <v/>
      </c>
      <c r="AD199" s="13">
        <f>IF($AB199="","",SUMIFS('ORDENES'!$L$4:$L$203,'ORDENES'!$AB$4:$AB$203,$AB199,'ORDENES'!$O$4:$O$203,$O199,'ORDENES'!$R$4:$R$203,$R199))</f>
        <v/>
      </c>
      <c r="AE199" s="13">
        <f>IF($AD199="","",p_factor_productividad*IFERROR(INDEX('ASIGNACIONES'!$H$4:$H$339,MATCH($O199&amp;"|"&amp;$R199&amp;"|"&amp;$AB199,'ASIGNACIONES'!$I$4:$I$339,0)),0)-$AD199)</f>
        <v/>
      </c>
      <c r="AF199" s="10">
        <f>IFERROR(INDEX('2_IMPORTAR_EJECUCION'!$G$9:$G$171,MATCH($C199,'2_IMPORTAR_EJECUCION'!$A$9:$A$171,0)),0)</f>
        <v/>
      </c>
      <c r="AG199" s="10">
        <f>MAX(0,IFERROR(INDEX('2_IMPORTAR_EJECUCION'!$I$9:$I$171,MATCH($C199,'2_IMPORTAR_EJECUCION'!$A$9:$A$171,0)),0)-$AF199)</f>
        <v/>
      </c>
      <c r="AH199" s="10">
        <f>$AF199+$AG199</f>
        <v/>
      </c>
      <c r="AI199" s="6" t="inlineStr"/>
      <c r="AJ199" s="6" t="inlineStr"/>
      <c r="AK199" s="6" t="inlineStr"/>
      <c r="AL199" s="3">
        <f>IF($AK199="","",HYPERLINK(p_ruta_base_checklists&amp;$AK199,"abrir"))</f>
        <v/>
      </c>
      <c r="AM199" s="6" t="inlineStr"/>
    </row>
    <row r="200">
      <c r="A200" s="3" t="inlineStr">
        <is>
          <t>OT-000197</t>
        </is>
      </c>
      <c r="B200" s="3" t="inlineStr">
        <is>
          <t>0010</t>
        </is>
      </c>
      <c r="C200" s="3">
        <f>$A200&amp;IF($B200="","0010",$B200)</f>
        <v/>
      </c>
      <c r="D200" s="3" t="inlineStr">
        <is>
          <t>Reparación de falla — EQ-107</t>
        </is>
      </c>
      <c r="E200" s="3" t="inlineStr">
        <is>
          <t>Reparación de falla en EQ-107</t>
        </is>
      </c>
      <c r="F200" s="3" t="inlineStr">
        <is>
          <t>EQ-107</t>
        </is>
      </c>
      <c r="G200" s="3" t="inlineStr">
        <is>
          <t>CC-220</t>
        </is>
      </c>
      <c r="H200" s="3" t="inlineStr">
        <is>
          <t>PU-ELE</t>
        </is>
      </c>
      <c r="I200" s="3" t="inlineStr">
        <is>
          <t>ACT-03</t>
        </is>
      </c>
      <c r="J200" s="3" t="inlineStr">
        <is>
          <t>TIPO-C2</t>
        </is>
      </c>
      <c r="K200" s="11" t="n">
        <v>46185</v>
      </c>
      <c r="L200" s="3" t="n">
        <v>2</v>
      </c>
      <c r="M200" s="10" t="n">
        <v>80</v>
      </c>
      <c r="N200" s="3">
        <f>IFERROR(INDEX('CAT_ESTADOS_ERP'!$B$4:$B$7,MATCH(IFERROR(INDEX('2_IMPORTAR_EJECUCION'!$D$9:$D$171,MATCH($C200,'2_IMPORTAR_EJECUCION'!$A$9:$A$171,0)),""),'CAT_ESTADOS_ERP'!$A$4:$A$7,0)),"Pendiente")</f>
        <v/>
      </c>
      <c r="O200" s="3">
        <f>IF($K200="","","S"&amp;IF(_xlfn.ISOWEEKNUM($K200)=53,1,_xlfn.ISOWEEKNUM($K200)))</f>
        <v/>
      </c>
      <c r="P200" s="3">
        <f>IF($K200="","",YEAR($K200))</f>
        <v/>
      </c>
      <c r="Q200" s="3">
        <f>IF($K200="","",MONTH($K200))</f>
        <v/>
      </c>
      <c r="R200" s="3">
        <f>IF($K200="","",INDEX(lista_dias,WEEKDAY($K200,2)))</f>
        <v/>
      </c>
      <c r="S200" s="3">
        <f>IFERROR(INDEX('CAT_TIPOS_OT'!$C$4:$C$7,MATCH($J200,'CAT_TIPOS_OT'!$A$4:$A$7,0)),"sin_clasificar")</f>
        <v/>
      </c>
      <c r="T200" s="3">
        <f>IFERROR(INDEX('CAT_CENTROS_COSTO'!$E$4:$E$9,MATCH($G200,'CAT_CENTROS_COSTO'!$A$4:$A$9,0)),"(sin catálogo)")</f>
        <v/>
      </c>
      <c r="U200" s="3">
        <f>IFERROR(INDEX('CAT_CENTROS_COSTO'!$D$4:$D$9,MATCH($G200,'CAT_CENTROS_COSTO'!$A$4:$A$9,0)),"(sin catálogo)")</f>
        <v/>
      </c>
      <c r="V200" s="3">
        <f>IFERROR(INDEX('CAT_CENTROS_COSTO'!$F$4:$F$9,MATCH($G200,'CAT_CENTROS_COSTO'!$A$4:$A$9,0)),"(sin catálogo)")</f>
        <v/>
      </c>
      <c r="W200" s="3">
        <f>IFERROR(INDEX('CAT_PUESTOS'!$B$4:$B$8,MATCH($H200,'CAT_PUESTOS'!$A$4:$A$8,0)),"(sin catálogo)")</f>
        <v/>
      </c>
      <c r="X200" s="3">
        <f>IFERROR(INDEX('CAT_ACTIVIDADES'!$B$4:$B$8,MATCH($I200,'CAT_ACTIVIDADES'!$A$4:$A$8,0)),"(sin catálogo)")</f>
        <v/>
      </c>
      <c r="Y200" s="12">
        <f>IF($K200="","",TODAY()-$K200)</f>
        <v/>
      </c>
      <c r="Z200" s="3">
        <f>IF($Y200="","",IF($Y200&lt;0,"FUTURO",IF($Y200&gt;p_dias_backlog_max,"BACKLOG","MES CORRIENTE")))</f>
        <v/>
      </c>
      <c r="AA200" s="3">
        <f>IF($Y200="",FALSE,AND($Y200&gt;p_dias_backlog_min,$Y200&lt;=p_dias_backlog_max))</f>
        <v/>
      </c>
      <c r="AB200" s="6" t="inlineStr"/>
      <c r="AC200" s="3">
        <f>IF($AB200="","",IFERROR(INDEX('ASIGNACIONES'!$F$4:$F$339,MATCH($O200&amp;"|"&amp;$R200&amp;"|"&amp;$AB200,'ASIGNACIONES'!$I$4:$I$339,0)),""))</f>
        <v/>
      </c>
      <c r="AD200" s="13">
        <f>IF($AB200="","",SUMIFS('ORDENES'!$L$4:$L$203,'ORDENES'!$AB$4:$AB$203,$AB200,'ORDENES'!$O$4:$O$203,$O200,'ORDENES'!$R$4:$R$203,$R200))</f>
        <v/>
      </c>
      <c r="AE200" s="13">
        <f>IF($AD200="","",p_factor_productividad*IFERROR(INDEX('ASIGNACIONES'!$H$4:$H$339,MATCH($O200&amp;"|"&amp;$R200&amp;"|"&amp;$AB200,'ASIGNACIONES'!$I$4:$I$339,0)),0)-$AD200)</f>
        <v/>
      </c>
      <c r="AF200" s="10">
        <f>IFERROR(INDEX('2_IMPORTAR_EJECUCION'!$G$9:$G$171,MATCH($C200,'2_IMPORTAR_EJECUCION'!$A$9:$A$171,0)),0)</f>
        <v/>
      </c>
      <c r="AG200" s="10">
        <f>MAX(0,IFERROR(INDEX('2_IMPORTAR_EJECUCION'!$I$9:$I$171,MATCH($C200,'2_IMPORTAR_EJECUCION'!$A$9:$A$171,0)),0)-$AF200)</f>
        <v/>
      </c>
      <c r="AH200" s="10">
        <f>$AF200+$AG200</f>
        <v/>
      </c>
      <c r="AI200" s="6" t="inlineStr"/>
      <c r="AJ200" s="6" t="inlineStr"/>
      <c r="AK200" s="6" t="inlineStr"/>
      <c r="AL200" s="3">
        <f>IF($AK200="","",HYPERLINK(p_ruta_base_checklists&amp;$AK200,"abrir"))</f>
        <v/>
      </c>
      <c r="AM200" s="6" t="inlineStr"/>
    </row>
    <row r="201">
      <c r="A201" s="3" t="inlineStr">
        <is>
          <t>OT-000198</t>
        </is>
      </c>
      <c r="B201" s="3" t="inlineStr">
        <is>
          <t>0010</t>
        </is>
      </c>
      <c r="C201" s="3">
        <f>$A201&amp;IF($B201="","0010",$B201)</f>
        <v/>
      </c>
      <c r="D201" s="3" t="inlineStr">
        <is>
          <t>Reparación de falla — EQ-108</t>
        </is>
      </c>
      <c r="E201" s="3" t="inlineStr">
        <is>
          <t>Reparación de falla en EQ-108</t>
        </is>
      </c>
      <c r="F201" s="3" t="inlineStr">
        <is>
          <t>EQ-108</t>
        </is>
      </c>
      <c r="G201" s="3" t="inlineStr">
        <is>
          <t>CC-220</t>
        </is>
      </c>
      <c r="H201" s="3" t="inlineStr">
        <is>
          <t>PU-ELE</t>
        </is>
      </c>
      <c r="I201" s="3" t="inlineStr">
        <is>
          <t>ACT-03</t>
        </is>
      </c>
      <c r="J201" s="3" t="inlineStr">
        <is>
          <t>TIPO-C1</t>
        </is>
      </c>
      <c r="K201" s="11" t="n">
        <v>46184</v>
      </c>
      <c r="L201" s="3" t="n">
        <v>2</v>
      </c>
      <c r="M201" s="10" t="n">
        <v>80</v>
      </c>
      <c r="N201" s="3">
        <f>IFERROR(INDEX('CAT_ESTADOS_ERP'!$B$4:$B$7,MATCH(IFERROR(INDEX('2_IMPORTAR_EJECUCION'!$D$9:$D$171,MATCH($C201,'2_IMPORTAR_EJECUCION'!$A$9:$A$171,0)),""),'CAT_ESTADOS_ERP'!$A$4:$A$7,0)),"Pendiente")</f>
        <v/>
      </c>
      <c r="O201" s="3">
        <f>IF($K201="","","S"&amp;IF(_xlfn.ISOWEEKNUM($K201)=53,1,_xlfn.ISOWEEKNUM($K201)))</f>
        <v/>
      </c>
      <c r="P201" s="3">
        <f>IF($K201="","",YEAR($K201))</f>
        <v/>
      </c>
      <c r="Q201" s="3">
        <f>IF($K201="","",MONTH($K201))</f>
        <v/>
      </c>
      <c r="R201" s="3">
        <f>IF($K201="","",INDEX(lista_dias,WEEKDAY($K201,2)))</f>
        <v/>
      </c>
      <c r="S201" s="3">
        <f>IFERROR(INDEX('CAT_TIPOS_OT'!$C$4:$C$7,MATCH($J201,'CAT_TIPOS_OT'!$A$4:$A$7,0)),"sin_clasificar")</f>
        <v/>
      </c>
      <c r="T201" s="3">
        <f>IFERROR(INDEX('CAT_CENTROS_COSTO'!$E$4:$E$9,MATCH($G201,'CAT_CENTROS_COSTO'!$A$4:$A$9,0)),"(sin catálogo)")</f>
        <v/>
      </c>
      <c r="U201" s="3">
        <f>IFERROR(INDEX('CAT_CENTROS_COSTO'!$D$4:$D$9,MATCH($G201,'CAT_CENTROS_COSTO'!$A$4:$A$9,0)),"(sin catálogo)")</f>
        <v/>
      </c>
      <c r="V201" s="3">
        <f>IFERROR(INDEX('CAT_CENTROS_COSTO'!$F$4:$F$9,MATCH($G201,'CAT_CENTROS_COSTO'!$A$4:$A$9,0)),"(sin catálogo)")</f>
        <v/>
      </c>
      <c r="W201" s="3">
        <f>IFERROR(INDEX('CAT_PUESTOS'!$B$4:$B$8,MATCH($H201,'CAT_PUESTOS'!$A$4:$A$8,0)),"(sin catálogo)")</f>
        <v/>
      </c>
      <c r="X201" s="3">
        <f>IFERROR(INDEX('CAT_ACTIVIDADES'!$B$4:$B$8,MATCH($I201,'CAT_ACTIVIDADES'!$A$4:$A$8,0)),"(sin catálogo)")</f>
        <v/>
      </c>
      <c r="Y201" s="12">
        <f>IF($K201="","",TODAY()-$K201)</f>
        <v/>
      </c>
      <c r="Z201" s="3">
        <f>IF($Y201="","",IF($Y201&lt;0,"FUTURO",IF($Y201&gt;p_dias_backlog_max,"BACKLOG","MES CORRIENTE")))</f>
        <v/>
      </c>
      <c r="AA201" s="3">
        <f>IF($Y201="",FALSE,AND($Y201&gt;p_dias_backlog_min,$Y201&lt;=p_dias_backlog_max))</f>
        <v/>
      </c>
      <c r="AB201" s="6" t="inlineStr"/>
      <c r="AC201" s="3">
        <f>IF($AB201="","",IFERROR(INDEX('ASIGNACIONES'!$F$4:$F$339,MATCH($O201&amp;"|"&amp;$R201&amp;"|"&amp;$AB201,'ASIGNACIONES'!$I$4:$I$339,0)),""))</f>
        <v/>
      </c>
      <c r="AD201" s="13">
        <f>IF($AB201="","",SUMIFS('ORDENES'!$L$4:$L$203,'ORDENES'!$AB$4:$AB$203,$AB201,'ORDENES'!$O$4:$O$203,$O201,'ORDENES'!$R$4:$R$203,$R201))</f>
        <v/>
      </c>
      <c r="AE201" s="13">
        <f>IF($AD201="","",p_factor_productividad*IFERROR(INDEX('ASIGNACIONES'!$H$4:$H$339,MATCH($O201&amp;"|"&amp;$R201&amp;"|"&amp;$AB201,'ASIGNACIONES'!$I$4:$I$339,0)),0)-$AD201)</f>
        <v/>
      </c>
      <c r="AF201" s="10">
        <f>IFERROR(INDEX('2_IMPORTAR_EJECUCION'!$G$9:$G$171,MATCH($C201,'2_IMPORTAR_EJECUCION'!$A$9:$A$171,0)),0)</f>
        <v/>
      </c>
      <c r="AG201" s="10">
        <f>MAX(0,IFERROR(INDEX('2_IMPORTAR_EJECUCION'!$I$9:$I$171,MATCH($C201,'2_IMPORTAR_EJECUCION'!$A$9:$A$171,0)),0)-$AF201)</f>
        <v/>
      </c>
      <c r="AH201" s="10">
        <f>$AF201+$AG201</f>
        <v/>
      </c>
      <c r="AI201" s="6" t="inlineStr"/>
      <c r="AJ201" s="6" t="inlineStr"/>
      <c r="AK201" s="6" t="inlineStr"/>
      <c r="AL201" s="3">
        <f>IF($AK201="","",HYPERLINK(p_ruta_base_checklists&amp;$AK201,"abrir"))</f>
        <v/>
      </c>
      <c r="AM201" s="6" t="inlineStr"/>
    </row>
    <row r="202">
      <c r="A202" s="3" t="inlineStr">
        <is>
          <t>OT-000199</t>
        </is>
      </c>
      <c r="B202" s="3" t="inlineStr">
        <is>
          <t>0010</t>
        </is>
      </c>
      <c r="C202" s="3">
        <f>$A202&amp;IF($B202="","0010",$B202)</f>
        <v/>
      </c>
      <c r="D202" s="3" t="inlineStr">
        <is>
          <t>Reparación de falla — EQ-109</t>
        </is>
      </c>
      <c r="E202" s="3" t="inlineStr">
        <is>
          <t>Reparación de falla en EQ-109</t>
        </is>
      </c>
      <c r="F202" s="3" t="inlineStr">
        <is>
          <t>EQ-109</t>
        </is>
      </c>
      <c r="G202" s="3" t="inlineStr">
        <is>
          <t>CC-220</t>
        </is>
      </c>
      <c r="H202" s="3" t="inlineStr">
        <is>
          <t>PU-ELE</t>
        </is>
      </c>
      <c r="I202" s="3" t="inlineStr">
        <is>
          <t>ACT-03</t>
        </is>
      </c>
      <c r="J202" s="3" t="inlineStr">
        <is>
          <t>TIPO-C2</t>
        </is>
      </c>
      <c r="K202" s="11" t="n">
        <v>46183</v>
      </c>
      <c r="L202" s="3" t="n">
        <v>2</v>
      </c>
      <c r="M202" s="10" t="n">
        <v>80</v>
      </c>
      <c r="N202" s="3">
        <f>IFERROR(INDEX('CAT_ESTADOS_ERP'!$B$4:$B$7,MATCH(IFERROR(INDEX('2_IMPORTAR_EJECUCION'!$D$9:$D$171,MATCH($C202,'2_IMPORTAR_EJECUCION'!$A$9:$A$171,0)),""),'CAT_ESTADOS_ERP'!$A$4:$A$7,0)),"Pendiente")</f>
        <v/>
      </c>
      <c r="O202" s="3">
        <f>IF($K202="","","S"&amp;IF(_xlfn.ISOWEEKNUM($K202)=53,1,_xlfn.ISOWEEKNUM($K202)))</f>
        <v/>
      </c>
      <c r="P202" s="3">
        <f>IF($K202="","",YEAR($K202))</f>
        <v/>
      </c>
      <c r="Q202" s="3">
        <f>IF($K202="","",MONTH($K202))</f>
        <v/>
      </c>
      <c r="R202" s="3">
        <f>IF($K202="","",INDEX(lista_dias,WEEKDAY($K202,2)))</f>
        <v/>
      </c>
      <c r="S202" s="3">
        <f>IFERROR(INDEX('CAT_TIPOS_OT'!$C$4:$C$7,MATCH($J202,'CAT_TIPOS_OT'!$A$4:$A$7,0)),"sin_clasificar")</f>
        <v/>
      </c>
      <c r="T202" s="3">
        <f>IFERROR(INDEX('CAT_CENTROS_COSTO'!$E$4:$E$9,MATCH($G202,'CAT_CENTROS_COSTO'!$A$4:$A$9,0)),"(sin catálogo)")</f>
        <v/>
      </c>
      <c r="U202" s="3">
        <f>IFERROR(INDEX('CAT_CENTROS_COSTO'!$D$4:$D$9,MATCH($G202,'CAT_CENTROS_COSTO'!$A$4:$A$9,0)),"(sin catálogo)")</f>
        <v/>
      </c>
      <c r="V202" s="3">
        <f>IFERROR(INDEX('CAT_CENTROS_COSTO'!$F$4:$F$9,MATCH($G202,'CAT_CENTROS_COSTO'!$A$4:$A$9,0)),"(sin catálogo)")</f>
        <v/>
      </c>
      <c r="W202" s="3">
        <f>IFERROR(INDEX('CAT_PUESTOS'!$B$4:$B$8,MATCH($H202,'CAT_PUESTOS'!$A$4:$A$8,0)),"(sin catálogo)")</f>
        <v/>
      </c>
      <c r="X202" s="3">
        <f>IFERROR(INDEX('CAT_ACTIVIDADES'!$B$4:$B$8,MATCH($I202,'CAT_ACTIVIDADES'!$A$4:$A$8,0)),"(sin catálogo)")</f>
        <v/>
      </c>
      <c r="Y202" s="12">
        <f>IF($K202="","",TODAY()-$K202)</f>
        <v/>
      </c>
      <c r="Z202" s="3">
        <f>IF($Y202="","",IF($Y202&lt;0,"FUTURO",IF($Y202&gt;p_dias_backlog_max,"BACKLOG","MES CORRIENTE")))</f>
        <v/>
      </c>
      <c r="AA202" s="3">
        <f>IF($Y202="",FALSE,AND($Y202&gt;p_dias_backlog_min,$Y202&lt;=p_dias_backlog_max))</f>
        <v/>
      </c>
      <c r="AB202" s="6" t="inlineStr"/>
      <c r="AC202" s="3">
        <f>IF($AB202="","",IFERROR(INDEX('ASIGNACIONES'!$F$4:$F$339,MATCH($O202&amp;"|"&amp;$R202&amp;"|"&amp;$AB202,'ASIGNACIONES'!$I$4:$I$339,0)),""))</f>
        <v/>
      </c>
      <c r="AD202" s="13">
        <f>IF($AB202="","",SUMIFS('ORDENES'!$L$4:$L$203,'ORDENES'!$AB$4:$AB$203,$AB202,'ORDENES'!$O$4:$O$203,$O202,'ORDENES'!$R$4:$R$203,$R202))</f>
        <v/>
      </c>
      <c r="AE202" s="13">
        <f>IF($AD202="","",p_factor_productividad*IFERROR(INDEX('ASIGNACIONES'!$H$4:$H$339,MATCH($O202&amp;"|"&amp;$R202&amp;"|"&amp;$AB202,'ASIGNACIONES'!$I$4:$I$339,0)),0)-$AD202)</f>
        <v/>
      </c>
      <c r="AF202" s="10">
        <f>IFERROR(INDEX('2_IMPORTAR_EJECUCION'!$G$9:$G$171,MATCH($C202,'2_IMPORTAR_EJECUCION'!$A$9:$A$171,0)),0)</f>
        <v/>
      </c>
      <c r="AG202" s="10">
        <f>MAX(0,IFERROR(INDEX('2_IMPORTAR_EJECUCION'!$I$9:$I$171,MATCH($C202,'2_IMPORTAR_EJECUCION'!$A$9:$A$171,0)),0)-$AF202)</f>
        <v/>
      </c>
      <c r="AH202" s="10">
        <f>$AF202+$AG202</f>
        <v/>
      </c>
      <c r="AI202" s="6" t="inlineStr"/>
      <c r="AJ202" s="6" t="inlineStr"/>
      <c r="AK202" s="6" t="inlineStr"/>
      <c r="AL202" s="3">
        <f>IF($AK202="","",HYPERLINK(p_ruta_base_checklists&amp;$AK202,"abrir"))</f>
        <v/>
      </c>
      <c r="AM202" s="6" t="inlineStr"/>
    </row>
    <row r="203">
      <c r="A203" s="3" t="inlineStr">
        <is>
          <t>OT-000200</t>
        </is>
      </c>
      <c r="B203" s="3" t="inlineStr">
        <is>
          <t>0010</t>
        </is>
      </c>
      <c r="C203" s="3">
        <f>$A203&amp;IF($B203="","0010",$B203)</f>
        <v/>
      </c>
      <c r="D203" s="3" t="inlineStr">
        <is>
          <t>Reparación de falla — EQ-106</t>
        </is>
      </c>
      <c r="E203" s="3" t="inlineStr">
        <is>
          <t>Reparación de falla en EQ-106</t>
        </is>
      </c>
      <c r="F203" s="3" t="inlineStr">
        <is>
          <t>EQ-106</t>
        </is>
      </c>
      <c r="G203" s="3" t="inlineStr">
        <is>
          <t>CC-220</t>
        </is>
      </c>
      <c r="H203" s="3" t="inlineStr">
        <is>
          <t>PU-ELE</t>
        </is>
      </c>
      <c r="I203" s="3" t="inlineStr">
        <is>
          <t>ACT-03</t>
        </is>
      </c>
      <c r="J203" s="3" t="inlineStr">
        <is>
          <t>TIPO-C1</t>
        </is>
      </c>
      <c r="K203" s="11" t="n">
        <v>46182</v>
      </c>
      <c r="L203" s="3" t="n">
        <v>2</v>
      </c>
      <c r="M203" s="10" t="n">
        <v>80</v>
      </c>
      <c r="N203" s="3">
        <f>IFERROR(INDEX('CAT_ESTADOS_ERP'!$B$4:$B$7,MATCH(IFERROR(INDEX('2_IMPORTAR_EJECUCION'!$D$9:$D$171,MATCH($C203,'2_IMPORTAR_EJECUCION'!$A$9:$A$171,0)),""),'CAT_ESTADOS_ERP'!$A$4:$A$7,0)),"Pendiente")</f>
        <v/>
      </c>
      <c r="O203" s="3">
        <f>IF($K203="","","S"&amp;IF(_xlfn.ISOWEEKNUM($K203)=53,1,_xlfn.ISOWEEKNUM($K203)))</f>
        <v/>
      </c>
      <c r="P203" s="3">
        <f>IF($K203="","",YEAR($K203))</f>
        <v/>
      </c>
      <c r="Q203" s="3">
        <f>IF($K203="","",MONTH($K203))</f>
        <v/>
      </c>
      <c r="R203" s="3">
        <f>IF($K203="","",INDEX(lista_dias,WEEKDAY($K203,2)))</f>
        <v/>
      </c>
      <c r="S203" s="3">
        <f>IFERROR(INDEX('CAT_TIPOS_OT'!$C$4:$C$7,MATCH($J203,'CAT_TIPOS_OT'!$A$4:$A$7,0)),"sin_clasificar")</f>
        <v/>
      </c>
      <c r="T203" s="3">
        <f>IFERROR(INDEX('CAT_CENTROS_COSTO'!$E$4:$E$9,MATCH($G203,'CAT_CENTROS_COSTO'!$A$4:$A$9,0)),"(sin catálogo)")</f>
        <v/>
      </c>
      <c r="U203" s="3">
        <f>IFERROR(INDEX('CAT_CENTROS_COSTO'!$D$4:$D$9,MATCH($G203,'CAT_CENTROS_COSTO'!$A$4:$A$9,0)),"(sin catálogo)")</f>
        <v/>
      </c>
      <c r="V203" s="3">
        <f>IFERROR(INDEX('CAT_CENTROS_COSTO'!$F$4:$F$9,MATCH($G203,'CAT_CENTROS_COSTO'!$A$4:$A$9,0)),"(sin catálogo)")</f>
        <v/>
      </c>
      <c r="W203" s="3">
        <f>IFERROR(INDEX('CAT_PUESTOS'!$B$4:$B$8,MATCH($H203,'CAT_PUESTOS'!$A$4:$A$8,0)),"(sin catálogo)")</f>
        <v/>
      </c>
      <c r="X203" s="3">
        <f>IFERROR(INDEX('CAT_ACTIVIDADES'!$B$4:$B$8,MATCH($I203,'CAT_ACTIVIDADES'!$A$4:$A$8,0)),"(sin catálogo)")</f>
        <v/>
      </c>
      <c r="Y203" s="12">
        <f>IF($K203="","",TODAY()-$K203)</f>
        <v/>
      </c>
      <c r="Z203" s="3">
        <f>IF($Y203="","",IF($Y203&lt;0,"FUTURO",IF($Y203&gt;p_dias_backlog_max,"BACKLOG","MES CORRIENTE")))</f>
        <v/>
      </c>
      <c r="AA203" s="3">
        <f>IF($Y203="",FALSE,AND($Y203&gt;p_dias_backlog_min,$Y203&lt;=p_dias_backlog_max))</f>
        <v/>
      </c>
      <c r="AB203" s="6" t="inlineStr"/>
      <c r="AC203" s="3">
        <f>IF($AB203="","",IFERROR(INDEX('ASIGNACIONES'!$F$4:$F$339,MATCH($O203&amp;"|"&amp;$R203&amp;"|"&amp;$AB203,'ASIGNACIONES'!$I$4:$I$339,0)),""))</f>
        <v/>
      </c>
      <c r="AD203" s="13">
        <f>IF($AB203="","",SUMIFS('ORDENES'!$L$4:$L$203,'ORDENES'!$AB$4:$AB$203,$AB203,'ORDENES'!$O$4:$O$203,$O203,'ORDENES'!$R$4:$R$203,$R203))</f>
        <v/>
      </c>
      <c r="AE203" s="13">
        <f>IF($AD203="","",p_factor_productividad*IFERROR(INDEX('ASIGNACIONES'!$H$4:$H$339,MATCH($O203&amp;"|"&amp;$R203&amp;"|"&amp;$AB203,'ASIGNACIONES'!$I$4:$I$339,0)),0)-$AD203)</f>
        <v/>
      </c>
      <c r="AF203" s="10">
        <f>IFERROR(INDEX('2_IMPORTAR_EJECUCION'!$G$9:$G$171,MATCH($C203,'2_IMPORTAR_EJECUCION'!$A$9:$A$171,0)),0)</f>
        <v/>
      </c>
      <c r="AG203" s="10">
        <f>MAX(0,IFERROR(INDEX('2_IMPORTAR_EJECUCION'!$I$9:$I$171,MATCH($C203,'2_IMPORTAR_EJECUCION'!$A$9:$A$171,0)),0)-$AF203)</f>
        <v/>
      </c>
      <c r="AH203" s="10">
        <f>$AF203+$AG203</f>
        <v/>
      </c>
      <c r="AI203" s="6" t="inlineStr"/>
      <c r="AJ203" s="6" t="inlineStr"/>
      <c r="AK203" s="6" t="inlineStr"/>
      <c r="AL203" s="3">
        <f>IF($AK203="","",HYPERLINK(p_ruta_base_checklists&amp;$AK203,"abrir"))</f>
        <v/>
      </c>
      <c r="AM203" s="6" t="inlineStr"/>
    </row>
  </sheetData>
  <conditionalFormatting sqref="Y4:Y203">
    <cfRule type="cellIs" priority="1" operator="greaterThan" dxfId="0">
      <formula>90</formula>
    </cfRule>
  </conditionalFormatting>
  <conditionalFormatting sqref="AB4:AB203">
    <cfRule type="expression" priority="2" dxfId="1">
      <formula>AND($AA4=TRUE,$AB4="")</formula>
    </cfRule>
  </conditionalFormatting>
  <conditionalFormatting sqref="AE4:AE203">
    <cfRule type="cellIs" priority="3" operator="lessThan" dxfId="0">
      <formula>0</formula>
    </cfRule>
  </conditionalFormatting>
  <dataValidations count="1">
    <dataValidation sqref="AB4:AB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3">
        <f>IF(OR($F4="",ISNUMBER(MATCH($F4,lista_no_disponible,0))),0,p_horas_jornada)</f>
        <v/>
      </c>
      <c r="I4" s="3">
        <f>$A4&amp;"|"&amp;$B4&amp;"|"&amp;$C4</f>
        <v/>
      </c>
    </row>
    <row r="5">
      <c r="A5" s="3" t="inlineStr">
        <is>
          <t>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3">
        <f>IF(OR($F5="",ISNUMBER(MATCH($F5,lista_no_disponible,0))),0,p_horas_jornada)</f>
        <v/>
      </c>
      <c r="I5" s="3">
        <f>$A5&amp;"|"&amp;$B5&amp;"|"&amp;$C5</f>
        <v/>
      </c>
    </row>
    <row r="6">
      <c r="A6" s="3" t="inlineStr">
        <is>
          <t>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3">
        <f>IF(OR($F6="",ISNUMBER(MATCH($F6,lista_no_disponible,0))),0,p_horas_jornada)</f>
        <v/>
      </c>
      <c r="I6" s="3">
        <f>$A6&amp;"|"&amp;$B6&amp;"|"&amp;$C6</f>
        <v/>
      </c>
    </row>
    <row r="7">
      <c r="A7" s="3" t="inlineStr">
        <is>
          <t>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3">
        <f>IF(OR($F7="",ISNUMBER(MATCH($F7,lista_no_disponible,0))),0,p_horas_jornada)</f>
        <v/>
      </c>
      <c r="I7" s="3">
        <f>$A7&amp;"|"&amp;$B7&amp;"|"&amp;$C7</f>
        <v/>
      </c>
    </row>
    <row r="8">
      <c r="A8" s="3" t="inlineStr">
        <is>
          <t>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3">
        <f>IF(OR($F8="",ISNUMBER(MATCH($F8,lista_no_disponible,0))),0,p_horas_jornada)</f>
        <v/>
      </c>
      <c r="I8" s="3">
        <f>$A8&amp;"|"&amp;$B8&amp;"|"&amp;$C8</f>
        <v/>
      </c>
    </row>
    <row r="9">
      <c r="A9" s="3" t="inlineStr">
        <is>
          <t>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/>
      <c r="G9" s="3">
        <f>IFERROR(INDEX('TECNICOS'!$E$4:$E$15,MATCH($C9,'TECNICOS'!$B$4:$B$15,0)),"")</f>
        <v/>
      </c>
      <c r="H9" s="3">
        <f>IF(OR($F9="",ISNUMBER(MATCH($F9,lista_no_disponible,0))),0,p_horas_jornada)</f>
        <v/>
      </c>
      <c r="I9" s="3">
        <f>$A9&amp;"|"&amp;$B9&amp;"|"&amp;$C9</f>
        <v/>
      </c>
    </row>
    <row r="10">
      <c r="A10" s="3" t="inlineStr">
        <is>
          <t>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3">
        <f>IF(OR($F10="",ISNUMBER(MATCH($F10,lista_no_disponible,0))),0,p_horas_jornada)</f>
        <v/>
      </c>
      <c r="I10" s="3">
        <f>$A10&amp;"|"&amp;$B10&amp;"|"&amp;$C10</f>
        <v/>
      </c>
    </row>
    <row r="11">
      <c r="A11" s="3" t="inlineStr">
        <is>
          <t>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3">
        <f>IF(OR($F11="",ISNUMBER(MATCH($F11,lista_no_disponible,0))),0,p_horas_jornada)</f>
        <v/>
      </c>
      <c r="I11" s="3">
        <f>$A11&amp;"|"&amp;$B11&amp;"|"&amp;$C11</f>
        <v/>
      </c>
    </row>
    <row r="12">
      <c r="A12" s="3" t="inlineStr">
        <is>
          <t>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3">
        <f>IF(OR($F12="",ISNUMBER(MATCH($F12,lista_no_disponible,0))),0,p_horas_jornada)</f>
        <v/>
      </c>
      <c r="I12" s="3">
        <f>$A12&amp;"|"&amp;$B12&amp;"|"&amp;$C12</f>
        <v/>
      </c>
    </row>
    <row r="13">
      <c r="A13" s="3" t="inlineStr">
        <is>
          <t>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3">
        <f>IF(OR($F13="",ISNUMBER(MATCH($F13,lista_no_disponible,0))),0,p_horas_jornada)</f>
        <v/>
      </c>
      <c r="I13" s="3">
        <f>$A13&amp;"|"&amp;$B13&amp;"|"&amp;$C13</f>
        <v/>
      </c>
    </row>
    <row r="14">
      <c r="A14" s="3" t="inlineStr">
        <is>
          <t>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3">
        <f>IF(OR($F14="",ISNUMBER(MATCH($F14,lista_no_disponible,0))),0,p_horas_jornada)</f>
        <v/>
      </c>
      <c r="I14" s="3">
        <f>$A14&amp;"|"&amp;$B14&amp;"|"&amp;$C14</f>
        <v/>
      </c>
    </row>
    <row r="15">
      <c r="A15" s="3" t="inlineStr">
        <is>
          <t>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3">
        <f>IF(OR($F15="",ISNUMBER(MATCH($F15,lista_no_disponible,0))),0,p_horas_jornada)</f>
        <v/>
      </c>
      <c r="I15" s="3">
        <f>$A15&amp;"|"&amp;$B15&amp;"|"&amp;$C15</f>
        <v/>
      </c>
    </row>
    <row r="16">
      <c r="A16" s="3" t="inlineStr">
        <is>
          <t>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/>
      <c r="G16" s="3">
        <f>IFERROR(INDEX('TECNICOS'!$E$4:$E$15,MATCH($C16,'TECNICOS'!$B$4:$B$15,0)),"")</f>
        <v/>
      </c>
      <c r="H16" s="3">
        <f>IF(OR($F16="",ISNUMBER(MATCH($F16,lista_no_disponible,0))),0,p_horas_jornada)</f>
        <v/>
      </c>
      <c r="I16" s="3">
        <f>$A16&amp;"|"&amp;$B16&amp;"|"&amp;$C16</f>
        <v/>
      </c>
    </row>
    <row r="17">
      <c r="A17" s="3" t="inlineStr">
        <is>
          <t>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3">
        <f>IF(OR($F17="",ISNUMBER(MATCH($F17,lista_no_disponible,0))),0,p_horas_jornada)</f>
        <v/>
      </c>
      <c r="I17" s="3">
        <f>$A17&amp;"|"&amp;$B17&amp;"|"&amp;$C17</f>
        <v/>
      </c>
    </row>
    <row r="18">
      <c r="A18" s="3" t="inlineStr">
        <is>
          <t>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3">
        <f>IF(OR($F18="",ISNUMBER(MATCH($F18,lista_no_disponible,0))),0,p_horas_jornada)</f>
        <v/>
      </c>
      <c r="I18" s="3">
        <f>$A18&amp;"|"&amp;$B18&amp;"|"&amp;$C18</f>
        <v/>
      </c>
    </row>
    <row r="19">
      <c r="A19" s="3" t="inlineStr">
        <is>
          <t>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3">
        <f>IF(OR($F19="",ISNUMBER(MATCH($F19,lista_no_disponible,0))),0,p_horas_jornada)</f>
        <v/>
      </c>
      <c r="I19" s="3">
        <f>$A19&amp;"|"&amp;$B19&amp;"|"&amp;$C19</f>
        <v/>
      </c>
    </row>
    <row r="20">
      <c r="A20" s="3" t="inlineStr">
        <is>
          <t>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3">
        <f>IF(OR($F20="",ISNUMBER(MATCH($F20,lista_no_disponible,0))),0,p_horas_jornada)</f>
        <v/>
      </c>
      <c r="I20" s="3">
        <f>$A20&amp;"|"&amp;$B20&amp;"|"&amp;$C20</f>
        <v/>
      </c>
    </row>
    <row r="21">
      <c r="A21" s="3" t="inlineStr">
        <is>
          <t>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3">
        <f>IF(OR($F21="",ISNUMBER(MATCH($F21,lista_no_disponible,0))),0,p_horas_jornada)</f>
        <v/>
      </c>
      <c r="I21" s="3">
        <f>$A21&amp;"|"&amp;$B21&amp;"|"&amp;$C21</f>
        <v/>
      </c>
    </row>
    <row r="22">
      <c r="A22" s="3" t="inlineStr">
        <is>
          <t>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3">
        <f>IF(OR($F22="",ISNUMBER(MATCH($F22,lista_no_disponible,0))),0,p_horas_jornada)</f>
        <v/>
      </c>
      <c r="I22" s="3">
        <f>$A22&amp;"|"&amp;$B22&amp;"|"&amp;$C22</f>
        <v/>
      </c>
    </row>
    <row r="23">
      <c r="A23" s="3" t="inlineStr">
        <is>
          <t>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/>
      <c r="G23" s="3">
        <f>IFERROR(INDEX('TECNICOS'!$E$4:$E$15,MATCH($C23,'TECNICOS'!$B$4:$B$15,0)),"")</f>
        <v/>
      </c>
      <c r="H23" s="3">
        <f>IF(OR($F23="",ISNUMBER(MATCH($F23,lista_no_disponible,0))),0,p_horas_jornada)</f>
        <v/>
      </c>
      <c r="I23" s="3">
        <f>$A23&amp;"|"&amp;$B23&amp;"|"&amp;$C23</f>
        <v/>
      </c>
    </row>
    <row r="24">
      <c r="A24" s="3" t="inlineStr">
        <is>
          <t>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3">
        <f>IF(OR($F24="",ISNUMBER(MATCH($F24,lista_no_disponible,0))),0,p_horas_jornada)</f>
        <v/>
      </c>
      <c r="I24" s="3">
        <f>$A24&amp;"|"&amp;$B24&amp;"|"&amp;$C24</f>
        <v/>
      </c>
    </row>
    <row r="25">
      <c r="A25" s="3" t="inlineStr">
        <is>
          <t>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3">
        <f>IF(OR($F25="",ISNUMBER(MATCH($F25,lista_no_disponible,0))),0,p_horas_jornada)</f>
        <v/>
      </c>
      <c r="I25" s="3">
        <f>$A25&amp;"|"&amp;$B25&amp;"|"&amp;$C25</f>
        <v/>
      </c>
    </row>
    <row r="26">
      <c r="A26" s="3" t="inlineStr">
        <is>
          <t>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3">
        <f>IF(OR($F26="",ISNUMBER(MATCH($F26,lista_no_disponible,0))),0,p_horas_jornada)</f>
        <v/>
      </c>
      <c r="I26" s="3">
        <f>$A26&amp;"|"&amp;$B26&amp;"|"&amp;$C26</f>
        <v/>
      </c>
    </row>
    <row r="27">
      <c r="A27" s="3" t="inlineStr">
        <is>
          <t>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3">
        <f>IF(OR($F27="",ISNUMBER(MATCH($F27,lista_no_disponible,0))),0,p_horas_jornada)</f>
        <v/>
      </c>
      <c r="I27" s="3">
        <f>$A27&amp;"|"&amp;$B27&amp;"|"&amp;$C27</f>
        <v/>
      </c>
    </row>
    <row r="28">
      <c r="A28" s="3" t="inlineStr">
        <is>
          <t>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3">
        <f>IF(OR($F28="",ISNUMBER(MATCH($F28,lista_no_disponible,0))),0,p_horas_jornada)</f>
        <v/>
      </c>
      <c r="I28" s="3">
        <f>$A28&amp;"|"&amp;$B28&amp;"|"&amp;$C28</f>
        <v/>
      </c>
    </row>
    <row r="29">
      <c r="A29" s="3" t="inlineStr">
        <is>
          <t>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3">
        <f>IF(OR($F29="",ISNUMBER(MATCH($F29,lista_no_disponible,0))),0,p_horas_jornada)</f>
        <v/>
      </c>
      <c r="I29" s="3">
        <f>$A29&amp;"|"&amp;$B29&amp;"|"&amp;$C29</f>
        <v/>
      </c>
    </row>
    <row r="30">
      <c r="A30" s="3" t="inlineStr">
        <is>
          <t>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/>
      <c r="G30" s="3">
        <f>IFERROR(INDEX('TECNICOS'!$E$4:$E$15,MATCH($C30,'TECNICOS'!$B$4:$B$15,0)),"")</f>
        <v/>
      </c>
      <c r="H30" s="3">
        <f>IF(OR($F30="",ISNUMBER(MATCH($F30,lista_no_disponible,0))),0,p_horas_jornada)</f>
        <v/>
      </c>
      <c r="I30" s="3">
        <f>$A30&amp;"|"&amp;$B30&amp;"|"&amp;$C30</f>
        <v/>
      </c>
    </row>
    <row r="31">
      <c r="A31" s="3" t="inlineStr">
        <is>
          <t>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3">
        <f>IF(OR($F31="",ISNUMBER(MATCH($F31,lista_no_disponible,0))),0,p_horas_jornada)</f>
        <v/>
      </c>
      <c r="I31" s="3">
        <f>$A31&amp;"|"&amp;$B31&amp;"|"&amp;$C31</f>
        <v/>
      </c>
    </row>
    <row r="32">
      <c r="A32" s="3" t="inlineStr">
        <is>
          <t>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3">
        <f>IF(OR($F32="",ISNUMBER(MATCH($F32,lista_no_disponible,0))),0,p_horas_jornada)</f>
        <v/>
      </c>
      <c r="I32" s="3">
        <f>$A32&amp;"|"&amp;$B32&amp;"|"&amp;$C32</f>
        <v/>
      </c>
    </row>
    <row r="33">
      <c r="A33" s="3" t="inlineStr">
        <is>
          <t>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3">
        <f>IF(OR($F33="",ISNUMBER(MATCH($F33,lista_no_disponible,0))),0,p_horas_jornada)</f>
        <v/>
      </c>
      <c r="I33" s="3">
        <f>$A33&amp;"|"&amp;$B33&amp;"|"&amp;$C33</f>
        <v/>
      </c>
    </row>
    <row r="34">
      <c r="A34" s="3" t="inlineStr">
        <is>
          <t>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3">
        <f>IF(OR($F34="",ISNUMBER(MATCH($F34,lista_no_disponible,0))),0,p_horas_jornada)</f>
        <v/>
      </c>
      <c r="I34" s="3">
        <f>$A34&amp;"|"&amp;$B34&amp;"|"&amp;$C34</f>
        <v/>
      </c>
    </row>
    <row r="35">
      <c r="A35" s="3" t="inlineStr">
        <is>
          <t>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3">
        <f>IF(OR($F35="",ISNUMBER(MATCH($F35,lista_no_disponible,0))),0,p_horas_jornada)</f>
        <v/>
      </c>
      <c r="I35" s="3">
        <f>$A35&amp;"|"&amp;$B35&amp;"|"&amp;$C35</f>
        <v/>
      </c>
    </row>
    <row r="36">
      <c r="A36" s="3" t="inlineStr">
        <is>
          <t>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3">
        <f>IF(OR($F36="",ISNUMBER(MATCH($F36,lista_no_disponible,0))),0,p_horas_jornada)</f>
        <v/>
      </c>
      <c r="I36" s="3">
        <f>$A36&amp;"|"&amp;$B36&amp;"|"&amp;$C36</f>
        <v/>
      </c>
    </row>
    <row r="37">
      <c r="A37" s="3" t="inlineStr">
        <is>
          <t>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/>
      <c r="G37" s="3">
        <f>IFERROR(INDEX('TECNICOS'!$E$4:$E$15,MATCH($C37,'TECNICOS'!$B$4:$B$15,0)),"")</f>
        <v/>
      </c>
      <c r="H37" s="3">
        <f>IF(OR($F37="",ISNUMBER(MATCH($F37,lista_no_disponible,0))),0,p_horas_jornada)</f>
        <v/>
      </c>
      <c r="I37" s="3">
        <f>$A37&amp;"|"&amp;$B37&amp;"|"&amp;$C37</f>
        <v/>
      </c>
    </row>
    <row r="38">
      <c r="A38" s="3" t="inlineStr">
        <is>
          <t>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3">
        <f>IF(OR($F38="",ISNUMBER(MATCH($F38,lista_no_disponible,0))),0,p_horas_jornada)</f>
        <v/>
      </c>
      <c r="I38" s="3">
        <f>$A38&amp;"|"&amp;$B38&amp;"|"&amp;$C38</f>
        <v/>
      </c>
    </row>
    <row r="39">
      <c r="A39" s="3" t="inlineStr">
        <is>
          <t>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3">
        <f>IF(OR($F39="",ISNUMBER(MATCH($F39,lista_no_disponible,0))),0,p_horas_jornada)</f>
        <v/>
      </c>
      <c r="I39" s="3">
        <f>$A39&amp;"|"&amp;$B39&amp;"|"&amp;$C39</f>
        <v/>
      </c>
    </row>
    <row r="40">
      <c r="A40" s="3" t="inlineStr">
        <is>
          <t>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3">
        <f>IF(OR($F40="",ISNUMBER(MATCH($F40,lista_no_disponible,0))),0,p_horas_jornada)</f>
        <v/>
      </c>
      <c r="I40" s="3">
        <f>$A40&amp;"|"&amp;$B40&amp;"|"&amp;$C40</f>
        <v/>
      </c>
    </row>
    <row r="41">
      <c r="A41" s="3" t="inlineStr">
        <is>
          <t>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3">
        <f>IF(OR($F41="",ISNUMBER(MATCH($F41,lista_no_disponible,0))),0,p_horas_jornada)</f>
        <v/>
      </c>
      <c r="I41" s="3">
        <f>$A41&amp;"|"&amp;$B41&amp;"|"&amp;$C41</f>
        <v/>
      </c>
    </row>
    <row r="42">
      <c r="A42" s="3" t="inlineStr">
        <is>
          <t>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3">
        <f>IF(OR($F42="",ISNUMBER(MATCH($F42,lista_no_disponible,0))),0,p_horas_jornada)</f>
        <v/>
      </c>
      <c r="I42" s="3">
        <f>$A42&amp;"|"&amp;$B42&amp;"|"&amp;$C42</f>
        <v/>
      </c>
    </row>
    <row r="43">
      <c r="A43" s="3" t="inlineStr">
        <is>
          <t>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3">
        <f>IF(OR($F43="",ISNUMBER(MATCH($F43,lista_no_disponible,0))),0,p_horas_jornada)</f>
        <v/>
      </c>
      <c r="I43" s="3">
        <f>$A43&amp;"|"&amp;$B43&amp;"|"&amp;$C43</f>
        <v/>
      </c>
    </row>
    <row r="44">
      <c r="A44" s="3" t="inlineStr">
        <is>
          <t>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/>
      <c r="G44" s="3">
        <f>IFERROR(INDEX('TECNICOS'!$E$4:$E$15,MATCH($C44,'TECNICOS'!$B$4:$B$15,0)),"")</f>
        <v/>
      </c>
      <c r="H44" s="3">
        <f>IF(OR($F44="",ISNUMBER(MATCH($F44,lista_no_disponible,0))),0,p_horas_jornada)</f>
        <v/>
      </c>
      <c r="I44" s="3">
        <f>$A44&amp;"|"&amp;$B44&amp;"|"&amp;$C44</f>
        <v/>
      </c>
    </row>
    <row r="45">
      <c r="A45" s="3" t="inlineStr">
        <is>
          <t>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3">
        <f>IF(OR($F45="",ISNUMBER(MATCH($F45,lista_no_disponible,0))),0,p_horas_jornada)</f>
        <v/>
      </c>
      <c r="I45" s="3">
        <f>$A45&amp;"|"&amp;$B45&amp;"|"&amp;$C45</f>
        <v/>
      </c>
    </row>
    <row r="46">
      <c r="A46" s="3" t="inlineStr">
        <is>
          <t>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3">
        <f>IF(OR($F46="",ISNUMBER(MATCH($F46,lista_no_disponible,0))),0,p_horas_jornada)</f>
        <v/>
      </c>
      <c r="I46" s="3">
        <f>$A46&amp;"|"&amp;$B46&amp;"|"&amp;$C46</f>
        <v/>
      </c>
    </row>
    <row r="47">
      <c r="A47" s="3" t="inlineStr">
        <is>
          <t>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3">
        <f>IF(OR($F47="",ISNUMBER(MATCH($F47,lista_no_disponible,0))),0,p_horas_jornada)</f>
        <v/>
      </c>
      <c r="I47" s="3">
        <f>$A47&amp;"|"&amp;$B47&amp;"|"&amp;$C47</f>
        <v/>
      </c>
    </row>
    <row r="48">
      <c r="A48" s="3" t="inlineStr">
        <is>
          <t>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3">
        <f>IF(OR($F48="",ISNUMBER(MATCH($F48,lista_no_disponible,0))),0,p_horas_jornada)</f>
        <v/>
      </c>
      <c r="I48" s="3">
        <f>$A48&amp;"|"&amp;$B48&amp;"|"&amp;$C48</f>
        <v/>
      </c>
    </row>
    <row r="49">
      <c r="A49" s="3" t="inlineStr">
        <is>
          <t>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3">
        <f>IF(OR($F49="",ISNUMBER(MATCH($F49,lista_no_disponible,0))),0,p_horas_jornada)</f>
        <v/>
      </c>
      <c r="I49" s="3">
        <f>$A49&amp;"|"&amp;$B49&amp;"|"&amp;$C49</f>
        <v/>
      </c>
    </row>
    <row r="50">
      <c r="A50" s="3" t="inlineStr">
        <is>
          <t>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3">
        <f>IF(OR($F50="",ISNUMBER(MATCH($F50,lista_no_disponible,0))),0,p_horas_jornada)</f>
        <v/>
      </c>
      <c r="I50" s="3">
        <f>$A50&amp;"|"&amp;$B50&amp;"|"&amp;$C50</f>
        <v/>
      </c>
    </row>
    <row r="51">
      <c r="A51" s="3" t="inlineStr">
        <is>
          <t>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/>
      <c r="G51" s="3">
        <f>IFERROR(INDEX('TECNICOS'!$E$4:$E$15,MATCH($C51,'TECNICOS'!$B$4:$B$15,0)),"")</f>
        <v/>
      </c>
      <c r="H51" s="3">
        <f>IF(OR($F51="",ISNUMBER(MATCH($F51,lista_no_disponible,0))),0,p_horas_jornada)</f>
        <v/>
      </c>
      <c r="I51" s="3">
        <f>$A51&amp;"|"&amp;$B51&amp;"|"&amp;$C51</f>
        <v/>
      </c>
    </row>
    <row r="52">
      <c r="A52" s="3" t="inlineStr">
        <is>
          <t>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3">
        <f>IF(OR($F52="",ISNUMBER(MATCH($F52,lista_no_disponible,0))),0,p_horas_jornada)</f>
        <v/>
      </c>
      <c r="I52" s="3">
        <f>$A52&amp;"|"&amp;$B52&amp;"|"&amp;$C52</f>
        <v/>
      </c>
    </row>
    <row r="53">
      <c r="A53" s="3" t="inlineStr">
        <is>
          <t>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T3</t>
        </is>
      </c>
      <c r="G53" s="3">
        <f>IFERROR(INDEX('TECNICOS'!$E$4:$E$15,MATCH($C53,'TECNICOS'!$B$4:$B$15,0)),"")</f>
        <v/>
      </c>
      <c r="H53" s="3">
        <f>IF(OR($F53="",ISNUMBER(MATCH($F53,lista_no_disponible,0))),0,p_horas_jornada)</f>
        <v/>
      </c>
      <c r="I53" s="3">
        <f>$A53&amp;"|"&amp;$B53&amp;"|"&amp;$C53</f>
        <v/>
      </c>
    </row>
    <row r="54">
      <c r="A54" s="3" t="inlineStr">
        <is>
          <t>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T3</t>
        </is>
      </c>
      <c r="G54" s="3">
        <f>IFERROR(INDEX('TECNICOS'!$E$4:$E$15,MATCH($C54,'TECNICOS'!$B$4:$B$15,0)),"")</f>
        <v/>
      </c>
      <c r="H54" s="3">
        <f>IF(OR($F54="",ISNUMBER(MATCH($F54,lista_no_disponible,0))),0,p_horas_jornada)</f>
        <v/>
      </c>
      <c r="I54" s="3">
        <f>$A54&amp;"|"&amp;$B54&amp;"|"&amp;$C54</f>
        <v/>
      </c>
    </row>
    <row r="55">
      <c r="A55" s="3" t="inlineStr">
        <is>
          <t>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T3</t>
        </is>
      </c>
      <c r="G55" s="3">
        <f>IFERROR(INDEX('TECNICOS'!$E$4:$E$15,MATCH($C55,'TECNICOS'!$B$4:$B$15,0)),"")</f>
        <v/>
      </c>
      <c r="H55" s="3">
        <f>IF(OR($F55="",ISNUMBER(MATCH($F55,lista_no_disponible,0))),0,p_horas_jornada)</f>
        <v/>
      </c>
      <c r="I55" s="3">
        <f>$A55&amp;"|"&amp;$B55&amp;"|"&amp;$C55</f>
        <v/>
      </c>
    </row>
    <row r="56">
      <c r="A56" s="3" t="inlineStr">
        <is>
          <t>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T3</t>
        </is>
      </c>
      <c r="G56" s="3">
        <f>IFERROR(INDEX('TECNICOS'!$E$4:$E$15,MATCH($C56,'TECNICOS'!$B$4:$B$15,0)),"")</f>
        <v/>
      </c>
      <c r="H56" s="3">
        <f>IF(OR($F56="",ISNUMBER(MATCH($F56,lista_no_disponible,0))),0,p_horas_jornada)</f>
        <v/>
      </c>
      <c r="I56" s="3">
        <f>$A56&amp;"|"&amp;$B56&amp;"|"&amp;$C56</f>
        <v/>
      </c>
    </row>
    <row r="57">
      <c r="A57" s="3" t="inlineStr">
        <is>
          <t>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T3</t>
        </is>
      </c>
      <c r="G57" s="3">
        <f>IFERROR(INDEX('TECNICOS'!$E$4:$E$15,MATCH($C57,'TECNICOS'!$B$4:$B$15,0)),"")</f>
        <v/>
      </c>
      <c r="H57" s="3">
        <f>IF(OR($F57="",ISNUMBER(MATCH($F57,lista_no_disponible,0))),0,p_horas_jornada)</f>
        <v/>
      </c>
      <c r="I57" s="3">
        <f>$A57&amp;"|"&amp;$B57&amp;"|"&amp;$C57</f>
        <v/>
      </c>
    </row>
    <row r="58">
      <c r="A58" s="3" t="inlineStr">
        <is>
          <t>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/>
      <c r="G58" s="3">
        <f>IFERROR(INDEX('TECNICOS'!$E$4:$E$15,MATCH($C58,'TECNICOS'!$B$4:$B$15,0)),"")</f>
        <v/>
      </c>
      <c r="H58" s="3">
        <f>IF(OR($F58="",ISNUMBER(MATCH($F58,lista_no_disponible,0))),0,p_horas_jornada)</f>
        <v/>
      </c>
      <c r="I58" s="3">
        <f>$A58&amp;"|"&amp;$B58&amp;"|"&amp;$C58</f>
        <v/>
      </c>
    </row>
    <row r="59">
      <c r="A59" s="3" t="inlineStr">
        <is>
          <t>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3">
        <f>IF(OR($F59="",ISNUMBER(MATCH($F59,lista_no_disponible,0))),0,p_horas_jornada)</f>
        <v/>
      </c>
      <c r="I59" s="3">
        <f>$A59&amp;"|"&amp;$B59&amp;"|"&amp;$C59</f>
        <v/>
      </c>
    </row>
    <row r="60">
      <c r="A60" s="3" t="inlineStr">
        <is>
          <t>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T1</t>
        </is>
      </c>
      <c r="G60" s="3">
        <f>IFERROR(INDEX('TECNICOS'!$E$4:$E$15,MATCH($C60,'TECNICOS'!$B$4:$B$15,0)),"")</f>
        <v/>
      </c>
      <c r="H60" s="3">
        <f>IF(OR($F60="",ISNUMBER(MATCH($F60,lista_no_disponible,0))),0,p_horas_jornada)</f>
        <v/>
      </c>
      <c r="I60" s="3">
        <f>$A60&amp;"|"&amp;$B60&amp;"|"&amp;$C60</f>
        <v/>
      </c>
    </row>
    <row r="61">
      <c r="A61" s="3" t="inlineStr">
        <is>
          <t>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T1</t>
        </is>
      </c>
      <c r="G61" s="3">
        <f>IFERROR(INDEX('TECNICOS'!$E$4:$E$15,MATCH($C61,'TECNICOS'!$B$4:$B$15,0)),"")</f>
        <v/>
      </c>
      <c r="H61" s="3">
        <f>IF(OR($F61="",ISNUMBER(MATCH($F61,lista_no_disponible,0))),0,p_horas_jornada)</f>
        <v/>
      </c>
      <c r="I61" s="3">
        <f>$A61&amp;"|"&amp;$B61&amp;"|"&amp;$C61</f>
        <v/>
      </c>
    </row>
    <row r="62">
      <c r="A62" s="3" t="inlineStr">
        <is>
          <t>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T1</t>
        </is>
      </c>
      <c r="G62" s="3">
        <f>IFERROR(INDEX('TECNICOS'!$E$4:$E$15,MATCH($C62,'TECNICOS'!$B$4:$B$15,0)),"")</f>
        <v/>
      </c>
      <c r="H62" s="3">
        <f>IF(OR($F62="",ISNUMBER(MATCH($F62,lista_no_disponible,0))),0,p_horas_jornada)</f>
        <v/>
      </c>
      <c r="I62" s="3">
        <f>$A62&amp;"|"&amp;$B62&amp;"|"&amp;$C62</f>
        <v/>
      </c>
    </row>
    <row r="63">
      <c r="A63" s="3" t="inlineStr">
        <is>
          <t>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T1</t>
        </is>
      </c>
      <c r="G63" s="3">
        <f>IFERROR(INDEX('TECNICOS'!$E$4:$E$15,MATCH($C63,'TECNICOS'!$B$4:$B$15,0)),"")</f>
        <v/>
      </c>
      <c r="H63" s="3">
        <f>IF(OR($F63="",ISNUMBER(MATCH($F63,lista_no_disponible,0))),0,p_horas_jornada)</f>
        <v/>
      </c>
      <c r="I63" s="3">
        <f>$A63&amp;"|"&amp;$B63&amp;"|"&amp;$C63</f>
        <v/>
      </c>
    </row>
    <row r="64">
      <c r="A64" s="3" t="inlineStr">
        <is>
          <t>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T1</t>
        </is>
      </c>
      <c r="G64" s="3">
        <f>IFERROR(INDEX('TECNICOS'!$E$4:$E$15,MATCH($C64,'TECNICOS'!$B$4:$B$15,0)),"")</f>
        <v/>
      </c>
      <c r="H64" s="3">
        <f>IF(OR($F64="",ISNUMBER(MATCH($F64,lista_no_disponible,0))),0,p_horas_jornada)</f>
        <v/>
      </c>
      <c r="I64" s="3">
        <f>$A64&amp;"|"&amp;$B64&amp;"|"&amp;$C64</f>
        <v/>
      </c>
    </row>
    <row r="65">
      <c r="A65" s="3" t="inlineStr">
        <is>
          <t>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/>
      <c r="G65" s="3">
        <f>IFERROR(INDEX('TECNICOS'!$E$4:$E$15,MATCH($C65,'TECNICOS'!$B$4:$B$15,0)),"")</f>
        <v/>
      </c>
      <c r="H65" s="3">
        <f>IF(OR($F65="",ISNUMBER(MATCH($F65,lista_no_disponible,0))),0,p_horas_jornada)</f>
        <v/>
      </c>
      <c r="I65" s="3">
        <f>$A65&amp;"|"&amp;$B65&amp;"|"&amp;$C65</f>
        <v/>
      </c>
    </row>
    <row r="66">
      <c r="A66" s="3" t="inlineStr">
        <is>
          <t>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3">
        <f>IF(OR($F66="",ISNUMBER(MATCH($F66,lista_no_disponible,0))),0,p_horas_jornada)</f>
        <v/>
      </c>
      <c r="I66" s="3">
        <f>$A66&amp;"|"&amp;$B66&amp;"|"&amp;$C66</f>
        <v/>
      </c>
    </row>
    <row r="67">
      <c r="A67" s="3" t="inlineStr">
        <is>
          <t>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B1</t>
        </is>
      </c>
      <c r="G67" s="3">
        <f>IFERROR(INDEX('TECNICOS'!$E$4:$E$15,MATCH($C67,'TECNICOS'!$B$4:$B$15,0)),"")</f>
        <v/>
      </c>
      <c r="H67" s="3">
        <f>IF(OR($F67="",ISNUMBER(MATCH($F67,lista_no_disponible,0))),0,p_horas_jornada)</f>
        <v/>
      </c>
      <c r="I67" s="3">
        <f>$A67&amp;"|"&amp;$B67&amp;"|"&amp;$C67</f>
        <v/>
      </c>
    </row>
    <row r="68">
      <c r="A68" s="3" t="inlineStr">
        <is>
          <t>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B1</t>
        </is>
      </c>
      <c r="G68" s="3">
        <f>IFERROR(INDEX('TECNICOS'!$E$4:$E$15,MATCH($C68,'TECNICOS'!$B$4:$B$15,0)),"")</f>
        <v/>
      </c>
      <c r="H68" s="3">
        <f>IF(OR($F68="",ISNUMBER(MATCH($F68,lista_no_disponible,0))),0,p_horas_jornada)</f>
        <v/>
      </c>
      <c r="I68" s="3">
        <f>$A68&amp;"|"&amp;$B68&amp;"|"&amp;$C68</f>
        <v/>
      </c>
    </row>
    <row r="69">
      <c r="A69" s="3" t="inlineStr">
        <is>
          <t>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B1</t>
        </is>
      </c>
      <c r="G69" s="3">
        <f>IFERROR(INDEX('TECNICOS'!$E$4:$E$15,MATCH($C69,'TECNICOS'!$B$4:$B$15,0)),"")</f>
        <v/>
      </c>
      <c r="H69" s="3">
        <f>IF(OR($F69="",ISNUMBER(MATCH($F69,lista_no_disponible,0))),0,p_horas_jornada)</f>
        <v/>
      </c>
      <c r="I69" s="3">
        <f>$A69&amp;"|"&amp;$B69&amp;"|"&amp;$C69</f>
        <v/>
      </c>
    </row>
    <row r="70">
      <c r="A70" s="3" t="inlineStr">
        <is>
          <t>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B1</t>
        </is>
      </c>
      <c r="G70" s="3">
        <f>IFERROR(INDEX('TECNICOS'!$E$4:$E$15,MATCH($C70,'TECNICOS'!$B$4:$B$15,0)),"")</f>
        <v/>
      </c>
      <c r="H70" s="3">
        <f>IF(OR($F70="",ISNUMBER(MATCH($F70,lista_no_disponible,0))),0,p_horas_jornada)</f>
        <v/>
      </c>
      <c r="I70" s="3">
        <f>$A70&amp;"|"&amp;$B70&amp;"|"&amp;$C70</f>
        <v/>
      </c>
    </row>
    <row r="71">
      <c r="A71" s="3" t="inlineStr">
        <is>
          <t>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B1</t>
        </is>
      </c>
      <c r="G71" s="3">
        <f>IFERROR(INDEX('TECNICOS'!$E$4:$E$15,MATCH($C71,'TECNICOS'!$B$4:$B$15,0)),"")</f>
        <v/>
      </c>
      <c r="H71" s="3">
        <f>IF(OR($F71="",ISNUMBER(MATCH($F71,lista_no_disponible,0))),0,p_horas_jornada)</f>
        <v/>
      </c>
      <c r="I71" s="3">
        <f>$A71&amp;"|"&amp;$B71&amp;"|"&amp;$C71</f>
        <v/>
      </c>
    </row>
    <row r="72">
      <c r="A72" s="3" t="inlineStr">
        <is>
          <t>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/>
      <c r="G72" s="3">
        <f>IFERROR(INDEX('TECNICOS'!$E$4:$E$15,MATCH($C72,'TECNICOS'!$B$4:$B$15,0)),"")</f>
        <v/>
      </c>
      <c r="H72" s="3">
        <f>IF(OR($F72="",ISNUMBER(MATCH($F72,lista_no_disponible,0))),0,p_horas_jornada)</f>
        <v/>
      </c>
      <c r="I72" s="3">
        <f>$A72&amp;"|"&amp;$B72&amp;"|"&amp;$C72</f>
        <v/>
      </c>
    </row>
    <row r="73">
      <c r="A73" s="3" t="inlineStr">
        <is>
          <t>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3">
        <f>IF(OR($F73="",ISNUMBER(MATCH($F73,lista_no_disponible,0))),0,p_horas_jornada)</f>
        <v/>
      </c>
      <c r="I73" s="3">
        <f>$A73&amp;"|"&amp;$B73&amp;"|"&amp;$C73</f>
        <v/>
      </c>
    </row>
    <row r="74">
      <c r="A74" s="3" t="inlineStr">
        <is>
          <t>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3">
        <f>IF(OR($F74="",ISNUMBER(MATCH($F74,lista_no_disponible,0))),0,p_horas_jornada)</f>
        <v/>
      </c>
      <c r="I74" s="3">
        <f>$A74&amp;"|"&amp;$B74&amp;"|"&amp;$C74</f>
        <v/>
      </c>
    </row>
    <row r="75">
      <c r="A75" s="3" t="inlineStr">
        <is>
          <t>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3">
        <f>IF(OR($F75="",ISNUMBER(MATCH($F75,lista_no_disponible,0))),0,p_horas_jornada)</f>
        <v/>
      </c>
      <c r="I75" s="3">
        <f>$A75&amp;"|"&amp;$B75&amp;"|"&amp;$C75</f>
        <v/>
      </c>
    </row>
    <row r="76">
      <c r="A76" s="3" t="inlineStr">
        <is>
          <t>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3">
        <f>IF(OR($F76="",ISNUMBER(MATCH($F76,lista_no_disponible,0))),0,p_horas_jornada)</f>
        <v/>
      </c>
      <c r="I76" s="3">
        <f>$A76&amp;"|"&amp;$B76&amp;"|"&amp;$C76</f>
        <v/>
      </c>
    </row>
    <row r="77">
      <c r="A77" s="3" t="inlineStr">
        <is>
          <t>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3">
        <f>IF(OR($F77="",ISNUMBER(MATCH($F77,lista_no_disponible,0))),0,p_horas_jornada)</f>
        <v/>
      </c>
      <c r="I77" s="3">
        <f>$A77&amp;"|"&amp;$B77&amp;"|"&amp;$C77</f>
        <v/>
      </c>
    </row>
    <row r="78">
      <c r="A78" s="3" t="inlineStr">
        <is>
          <t>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3">
        <f>IF(OR($F78="",ISNUMBER(MATCH($F78,lista_no_disponible,0))),0,p_horas_jornada)</f>
        <v/>
      </c>
      <c r="I78" s="3">
        <f>$A78&amp;"|"&amp;$B78&amp;"|"&amp;$C78</f>
        <v/>
      </c>
    </row>
    <row r="79">
      <c r="A79" s="3" t="inlineStr">
        <is>
          <t>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/>
      <c r="G79" s="3">
        <f>IFERROR(INDEX('TECNICOS'!$E$4:$E$15,MATCH($C79,'TECNICOS'!$B$4:$B$15,0)),"")</f>
        <v/>
      </c>
      <c r="H79" s="3">
        <f>IF(OR($F79="",ISNUMBER(MATCH($F79,lista_no_disponible,0))),0,p_horas_jornada)</f>
        <v/>
      </c>
      <c r="I79" s="3">
        <f>$A79&amp;"|"&amp;$B79&amp;"|"&amp;$C79</f>
        <v/>
      </c>
    </row>
    <row r="80">
      <c r="A80" s="3" t="inlineStr">
        <is>
          <t>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3">
        <f>IF(OR($F80="",ISNUMBER(MATCH($F80,lista_no_disponible,0))),0,p_horas_jornada)</f>
        <v/>
      </c>
      <c r="I80" s="3">
        <f>$A80&amp;"|"&amp;$B80&amp;"|"&amp;$C80</f>
        <v/>
      </c>
    </row>
    <row r="81">
      <c r="A81" s="3" t="inlineStr">
        <is>
          <t>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3">
        <f>IF(OR($F81="",ISNUMBER(MATCH($F81,lista_no_disponible,0))),0,p_horas_jornada)</f>
        <v/>
      </c>
      <c r="I81" s="3">
        <f>$A81&amp;"|"&amp;$B81&amp;"|"&amp;$C81</f>
        <v/>
      </c>
    </row>
    <row r="82">
      <c r="A82" s="3" t="inlineStr">
        <is>
          <t>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3">
        <f>IF(OR($F82="",ISNUMBER(MATCH($F82,lista_no_disponible,0))),0,p_horas_jornada)</f>
        <v/>
      </c>
      <c r="I82" s="3">
        <f>$A82&amp;"|"&amp;$B82&amp;"|"&amp;$C82</f>
        <v/>
      </c>
    </row>
    <row r="83">
      <c r="A83" s="3" t="inlineStr">
        <is>
          <t>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3">
        <f>IF(OR($F83="",ISNUMBER(MATCH($F83,lista_no_disponible,0))),0,p_horas_jornada)</f>
        <v/>
      </c>
      <c r="I83" s="3">
        <f>$A83&amp;"|"&amp;$B83&amp;"|"&amp;$C83</f>
        <v/>
      </c>
    </row>
    <row r="84">
      <c r="A84" s="3" t="inlineStr">
        <is>
          <t>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3">
        <f>IF(OR($F84="",ISNUMBER(MATCH($F84,lista_no_disponible,0))),0,p_horas_jornada)</f>
        <v/>
      </c>
      <c r="I84" s="3">
        <f>$A84&amp;"|"&amp;$B84&amp;"|"&amp;$C84</f>
        <v/>
      </c>
    </row>
    <row r="85">
      <c r="A85" s="3" t="inlineStr">
        <is>
          <t>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3">
        <f>IF(OR($F85="",ISNUMBER(MATCH($F85,lista_no_disponible,0))),0,p_horas_jornada)</f>
        <v/>
      </c>
      <c r="I85" s="3">
        <f>$A85&amp;"|"&amp;$B85&amp;"|"&amp;$C85</f>
        <v/>
      </c>
    </row>
    <row r="86">
      <c r="A86" s="3" t="inlineStr">
        <is>
          <t>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/>
      <c r="G86" s="3">
        <f>IFERROR(INDEX('TECNICOS'!$E$4:$E$15,MATCH($C86,'TECNICOS'!$B$4:$B$15,0)),"")</f>
        <v/>
      </c>
      <c r="H86" s="3">
        <f>IF(OR($F86="",ISNUMBER(MATCH($F86,lista_no_disponible,0))),0,p_horas_jornada)</f>
        <v/>
      </c>
      <c r="I86" s="3">
        <f>$A86&amp;"|"&amp;$B86&amp;"|"&amp;$C86</f>
        <v/>
      </c>
    </row>
    <row r="87">
      <c r="A87" s="3" t="inlineStr">
        <is>
          <t>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3">
        <f>IF(OR($F87="",ISNUMBER(MATCH($F87,lista_no_disponible,0))),0,p_horas_jornada)</f>
        <v/>
      </c>
      <c r="I87" s="3">
        <f>$A87&amp;"|"&amp;$B87&amp;"|"&amp;$C87</f>
        <v/>
      </c>
    </row>
    <row r="88">
      <c r="A88" s="3" t="inlineStr">
        <is>
          <t>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3">
        <f>IF(OR($F88="",ISNUMBER(MATCH($F88,lista_no_disponible,0))),0,p_horas_jornada)</f>
        <v/>
      </c>
      <c r="I88" s="3">
        <f>$A88&amp;"|"&amp;$B88&amp;"|"&amp;$C88</f>
        <v/>
      </c>
    </row>
    <row r="89">
      <c r="A89" s="3" t="inlineStr">
        <is>
          <t>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3">
        <f>IF(OR($F89="",ISNUMBER(MATCH($F89,lista_no_disponible,0))),0,p_horas_jornada)</f>
        <v/>
      </c>
      <c r="I89" s="3">
        <f>$A89&amp;"|"&amp;$B89&amp;"|"&amp;$C89</f>
        <v/>
      </c>
    </row>
    <row r="90">
      <c r="A90" s="3" t="inlineStr">
        <is>
          <t>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3">
        <f>IF(OR($F90="",ISNUMBER(MATCH($F90,lista_no_disponible,0))),0,p_horas_jornada)</f>
        <v/>
      </c>
      <c r="I90" s="3">
        <f>$A90&amp;"|"&amp;$B90&amp;"|"&amp;$C90</f>
        <v/>
      </c>
    </row>
    <row r="91">
      <c r="A91" s="3" t="inlineStr">
        <is>
          <t>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3">
        <f>IF(OR($F91="",ISNUMBER(MATCH($F91,lista_no_disponible,0))),0,p_horas_jornada)</f>
        <v/>
      </c>
      <c r="I91" s="3">
        <f>$A91&amp;"|"&amp;$B91&amp;"|"&amp;$C91</f>
        <v/>
      </c>
    </row>
    <row r="92">
      <c r="A92" s="3" t="inlineStr">
        <is>
          <t>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3">
        <f>IF(OR($F92="",ISNUMBER(MATCH($F92,lista_no_disponible,0))),0,p_horas_jornada)</f>
        <v/>
      </c>
      <c r="I92" s="3">
        <f>$A92&amp;"|"&amp;$B92&amp;"|"&amp;$C92</f>
        <v/>
      </c>
    </row>
    <row r="93">
      <c r="A93" s="3" t="inlineStr">
        <is>
          <t>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/>
      <c r="G93" s="3">
        <f>IFERROR(INDEX('TECNICOS'!$E$4:$E$15,MATCH($C93,'TECNICOS'!$B$4:$B$15,0)),"")</f>
        <v/>
      </c>
      <c r="H93" s="3">
        <f>IF(OR($F93="",ISNUMBER(MATCH($F93,lista_no_disponible,0))),0,p_horas_jornada)</f>
        <v/>
      </c>
      <c r="I93" s="3">
        <f>$A93&amp;"|"&amp;$B93&amp;"|"&amp;$C93</f>
        <v/>
      </c>
    </row>
    <row r="94">
      <c r="A94" s="3" t="inlineStr">
        <is>
          <t>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3">
        <f>IF(OR($F94="",ISNUMBER(MATCH($F94,lista_no_disponible,0))),0,p_horas_jornada)</f>
        <v/>
      </c>
      <c r="I94" s="3">
        <f>$A94&amp;"|"&amp;$B94&amp;"|"&amp;$C94</f>
        <v/>
      </c>
    </row>
    <row r="95">
      <c r="A95" s="3" t="inlineStr">
        <is>
          <t>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3">
        <f>IF(OR($F95="",ISNUMBER(MATCH($F95,lista_no_disponible,0))),0,p_horas_jornada)</f>
        <v/>
      </c>
      <c r="I95" s="3">
        <f>$A95&amp;"|"&amp;$B95&amp;"|"&amp;$C95</f>
        <v/>
      </c>
    </row>
    <row r="96">
      <c r="A96" s="3" t="inlineStr">
        <is>
          <t>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3">
        <f>IF(OR($F96="",ISNUMBER(MATCH($F96,lista_no_disponible,0))),0,p_horas_jornada)</f>
        <v/>
      </c>
      <c r="I96" s="3">
        <f>$A96&amp;"|"&amp;$B96&amp;"|"&amp;$C96</f>
        <v/>
      </c>
    </row>
    <row r="97">
      <c r="A97" s="3" t="inlineStr">
        <is>
          <t>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3">
        <f>IF(OR($F97="",ISNUMBER(MATCH($F97,lista_no_disponible,0))),0,p_horas_jornada)</f>
        <v/>
      </c>
      <c r="I97" s="3">
        <f>$A97&amp;"|"&amp;$B97&amp;"|"&amp;$C97</f>
        <v/>
      </c>
    </row>
    <row r="98">
      <c r="A98" s="3" t="inlineStr">
        <is>
          <t>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3">
        <f>IF(OR($F98="",ISNUMBER(MATCH($F98,lista_no_disponible,0))),0,p_horas_jornada)</f>
        <v/>
      </c>
      <c r="I98" s="3">
        <f>$A98&amp;"|"&amp;$B98&amp;"|"&amp;$C98</f>
        <v/>
      </c>
    </row>
    <row r="99">
      <c r="A99" s="3" t="inlineStr">
        <is>
          <t>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3">
        <f>IF(OR($F99="",ISNUMBER(MATCH($F99,lista_no_disponible,0))),0,p_horas_jornada)</f>
        <v/>
      </c>
      <c r="I99" s="3">
        <f>$A99&amp;"|"&amp;$B99&amp;"|"&amp;$C99</f>
        <v/>
      </c>
    </row>
    <row r="100">
      <c r="A100" s="3" t="inlineStr">
        <is>
          <t>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/>
      <c r="G100" s="3">
        <f>IFERROR(INDEX('TECNICOS'!$E$4:$E$15,MATCH($C100,'TECNICOS'!$B$4:$B$15,0)),"")</f>
        <v/>
      </c>
      <c r="H100" s="3">
        <f>IF(OR($F100="",ISNUMBER(MATCH($F100,lista_no_disponible,0))),0,p_horas_jornada)</f>
        <v/>
      </c>
      <c r="I100" s="3">
        <f>$A100&amp;"|"&amp;$B100&amp;"|"&amp;$C100</f>
        <v/>
      </c>
    </row>
    <row r="101">
      <c r="A101" s="3" t="inlineStr">
        <is>
          <t>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3">
        <f>IF(OR($F101="",ISNUMBER(MATCH($F101,lista_no_disponible,0))),0,p_horas_jornada)</f>
        <v/>
      </c>
      <c r="I101" s="3">
        <f>$A101&amp;"|"&amp;$B101&amp;"|"&amp;$C101</f>
        <v/>
      </c>
    </row>
    <row r="102">
      <c r="A102" s="3" t="inlineStr">
        <is>
          <t>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3">
        <f>IF(OR($F102="",ISNUMBER(MATCH($F102,lista_no_disponible,0))),0,p_horas_jornada)</f>
        <v/>
      </c>
      <c r="I102" s="3">
        <f>$A102&amp;"|"&amp;$B102&amp;"|"&amp;$C102</f>
        <v/>
      </c>
    </row>
    <row r="103">
      <c r="A103" s="3" t="inlineStr">
        <is>
          <t>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3">
        <f>IF(OR($F103="",ISNUMBER(MATCH($F103,lista_no_disponible,0))),0,p_horas_jornada)</f>
        <v/>
      </c>
      <c r="I103" s="3">
        <f>$A103&amp;"|"&amp;$B103&amp;"|"&amp;$C103</f>
        <v/>
      </c>
    </row>
    <row r="104">
      <c r="A104" s="3" t="inlineStr">
        <is>
          <t>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3">
        <f>IF(OR($F104="",ISNUMBER(MATCH($F104,lista_no_disponible,0))),0,p_horas_jornada)</f>
        <v/>
      </c>
      <c r="I104" s="3">
        <f>$A104&amp;"|"&amp;$B104&amp;"|"&amp;$C104</f>
        <v/>
      </c>
    </row>
    <row r="105">
      <c r="A105" s="3" t="inlineStr">
        <is>
          <t>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3">
        <f>IF(OR($F105="",ISNUMBER(MATCH($F105,lista_no_disponible,0))),0,p_horas_jornada)</f>
        <v/>
      </c>
      <c r="I105" s="3">
        <f>$A105&amp;"|"&amp;$B105&amp;"|"&amp;$C105</f>
        <v/>
      </c>
    </row>
    <row r="106">
      <c r="A106" s="3" t="inlineStr">
        <is>
          <t>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3">
        <f>IF(OR($F106="",ISNUMBER(MATCH($F106,lista_no_disponible,0))),0,p_horas_jornada)</f>
        <v/>
      </c>
      <c r="I106" s="3">
        <f>$A106&amp;"|"&amp;$B106&amp;"|"&amp;$C106</f>
        <v/>
      </c>
    </row>
    <row r="107">
      <c r="A107" s="3" t="inlineStr">
        <is>
          <t>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/>
      <c r="G107" s="3">
        <f>IFERROR(INDEX('TECNICOS'!$E$4:$E$15,MATCH($C107,'TECNICOS'!$B$4:$B$15,0)),"")</f>
        <v/>
      </c>
      <c r="H107" s="3">
        <f>IF(OR($F107="",ISNUMBER(MATCH($F107,lista_no_disponible,0))),0,p_horas_jornada)</f>
        <v/>
      </c>
      <c r="I107" s="3">
        <f>$A107&amp;"|"&amp;$B107&amp;"|"&amp;$C107</f>
        <v/>
      </c>
    </row>
    <row r="108">
      <c r="A108" s="3" t="inlineStr">
        <is>
          <t>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3">
        <f>IF(OR($F108="",ISNUMBER(MATCH($F108,lista_no_disponible,0))),0,p_horas_jornada)</f>
        <v/>
      </c>
      <c r="I108" s="3">
        <f>$A108&amp;"|"&amp;$B108&amp;"|"&amp;$C108</f>
        <v/>
      </c>
    </row>
    <row r="109">
      <c r="A109" s="3" t="inlineStr">
        <is>
          <t>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3">
        <f>IF(OR($F109="",ISNUMBER(MATCH($F109,lista_no_disponible,0))),0,p_horas_jornada)</f>
        <v/>
      </c>
      <c r="I109" s="3">
        <f>$A109&amp;"|"&amp;$B109&amp;"|"&amp;$C109</f>
        <v/>
      </c>
    </row>
    <row r="110">
      <c r="A110" s="3" t="inlineStr">
        <is>
          <t>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3">
        <f>IF(OR($F110="",ISNUMBER(MATCH($F110,lista_no_disponible,0))),0,p_horas_jornada)</f>
        <v/>
      </c>
      <c r="I110" s="3">
        <f>$A110&amp;"|"&amp;$B110&amp;"|"&amp;$C110</f>
        <v/>
      </c>
    </row>
    <row r="111">
      <c r="A111" s="3" t="inlineStr">
        <is>
          <t>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3">
        <f>IF(OR($F111="",ISNUMBER(MATCH($F111,lista_no_disponible,0))),0,p_horas_jornada)</f>
        <v/>
      </c>
      <c r="I111" s="3">
        <f>$A111&amp;"|"&amp;$B111&amp;"|"&amp;$C111</f>
        <v/>
      </c>
    </row>
    <row r="112">
      <c r="A112" s="3" t="inlineStr">
        <is>
          <t>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3">
        <f>IF(OR($F112="",ISNUMBER(MATCH($F112,lista_no_disponible,0))),0,p_horas_jornada)</f>
        <v/>
      </c>
      <c r="I112" s="3">
        <f>$A112&amp;"|"&amp;$B112&amp;"|"&amp;$C112</f>
        <v/>
      </c>
    </row>
    <row r="113">
      <c r="A113" s="3" t="inlineStr">
        <is>
          <t>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3">
        <f>IF(OR($F113="",ISNUMBER(MATCH($F113,lista_no_disponible,0))),0,p_horas_jornada)</f>
        <v/>
      </c>
      <c r="I113" s="3">
        <f>$A113&amp;"|"&amp;$B113&amp;"|"&amp;$C113</f>
        <v/>
      </c>
    </row>
    <row r="114">
      <c r="A114" s="3" t="inlineStr">
        <is>
          <t>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/>
      <c r="G114" s="3">
        <f>IFERROR(INDEX('TECNICOS'!$E$4:$E$15,MATCH($C114,'TECNICOS'!$B$4:$B$15,0)),"")</f>
        <v/>
      </c>
      <c r="H114" s="3">
        <f>IF(OR($F114="",ISNUMBER(MATCH($F114,lista_no_disponible,0))),0,p_horas_jornada)</f>
        <v/>
      </c>
      <c r="I114" s="3">
        <f>$A114&amp;"|"&amp;$B114&amp;"|"&amp;$C114</f>
        <v/>
      </c>
    </row>
    <row r="115">
      <c r="A115" s="3" t="inlineStr">
        <is>
          <t>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3">
        <f>IF(OR($F115="",ISNUMBER(MATCH($F115,lista_no_disponible,0))),0,p_horas_jornada)</f>
        <v/>
      </c>
      <c r="I115" s="3">
        <f>$A115&amp;"|"&amp;$B115&amp;"|"&amp;$C115</f>
        <v/>
      </c>
    </row>
    <row r="116">
      <c r="A116" s="3" t="inlineStr">
        <is>
          <t>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3">
        <f>IF(OR($F116="",ISNUMBER(MATCH($F116,lista_no_disponible,0))),0,p_horas_jornada)</f>
        <v/>
      </c>
      <c r="I116" s="3">
        <f>$A116&amp;"|"&amp;$B116&amp;"|"&amp;$C116</f>
        <v/>
      </c>
    </row>
    <row r="117">
      <c r="A117" s="3" t="inlineStr">
        <is>
          <t>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3">
        <f>IF(OR($F117="",ISNUMBER(MATCH($F117,lista_no_disponible,0))),0,p_horas_jornada)</f>
        <v/>
      </c>
      <c r="I117" s="3">
        <f>$A117&amp;"|"&amp;$B117&amp;"|"&amp;$C117</f>
        <v/>
      </c>
    </row>
    <row r="118">
      <c r="A118" s="3" t="inlineStr">
        <is>
          <t>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3">
        <f>IF(OR($F118="",ISNUMBER(MATCH($F118,lista_no_disponible,0))),0,p_horas_jornada)</f>
        <v/>
      </c>
      <c r="I118" s="3">
        <f>$A118&amp;"|"&amp;$B118&amp;"|"&amp;$C118</f>
        <v/>
      </c>
    </row>
    <row r="119">
      <c r="A119" s="3" t="inlineStr">
        <is>
          <t>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3">
        <f>IF(OR($F119="",ISNUMBER(MATCH($F119,lista_no_disponible,0))),0,p_horas_jornada)</f>
        <v/>
      </c>
      <c r="I119" s="3">
        <f>$A119&amp;"|"&amp;$B119&amp;"|"&amp;$C119</f>
        <v/>
      </c>
    </row>
    <row r="120">
      <c r="A120" s="3" t="inlineStr">
        <is>
          <t>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3">
        <f>IF(OR($F120="",ISNUMBER(MATCH($F120,lista_no_disponible,0))),0,p_horas_jornada)</f>
        <v/>
      </c>
      <c r="I120" s="3">
        <f>$A120&amp;"|"&amp;$B120&amp;"|"&amp;$C120</f>
        <v/>
      </c>
    </row>
    <row r="121">
      <c r="A121" s="3" t="inlineStr">
        <is>
          <t>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/>
      <c r="G121" s="3">
        <f>IFERROR(INDEX('TECNICOS'!$E$4:$E$15,MATCH($C121,'TECNICOS'!$B$4:$B$15,0)),"")</f>
        <v/>
      </c>
      <c r="H121" s="3">
        <f>IF(OR($F121="",ISNUMBER(MATCH($F121,lista_no_disponible,0))),0,p_horas_jornada)</f>
        <v/>
      </c>
      <c r="I121" s="3">
        <f>$A121&amp;"|"&amp;$B121&amp;"|"&amp;$C121</f>
        <v/>
      </c>
    </row>
    <row r="122">
      <c r="A122" s="3" t="inlineStr">
        <is>
          <t>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3">
        <f>IF(OR($F122="",ISNUMBER(MATCH($F122,lista_no_disponible,0))),0,p_horas_jornada)</f>
        <v/>
      </c>
      <c r="I122" s="3">
        <f>$A122&amp;"|"&amp;$B122&amp;"|"&amp;$C122</f>
        <v/>
      </c>
    </row>
    <row r="123">
      <c r="A123" s="3" t="inlineStr">
        <is>
          <t>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3">
        <f>IF(OR($F123="",ISNUMBER(MATCH($F123,lista_no_disponible,0))),0,p_horas_jornada)</f>
        <v/>
      </c>
      <c r="I123" s="3">
        <f>$A123&amp;"|"&amp;$B123&amp;"|"&amp;$C123</f>
        <v/>
      </c>
    </row>
    <row r="124">
      <c r="A124" s="3" t="inlineStr">
        <is>
          <t>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3">
        <f>IF(OR($F124="",ISNUMBER(MATCH($F124,lista_no_disponible,0))),0,p_horas_jornada)</f>
        <v/>
      </c>
      <c r="I124" s="3">
        <f>$A124&amp;"|"&amp;$B124&amp;"|"&amp;$C124</f>
        <v/>
      </c>
    </row>
    <row r="125">
      <c r="A125" s="3" t="inlineStr">
        <is>
          <t>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3">
        <f>IF(OR($F125="",ISNUMBER(MATCH($F125,lista_no_disponible,0))),0,p_horas_jornada)</f>
        <v/>
      </c>
      <c r="I125" s="3">
        <f>$A125&amp;"|"&amp;$B125&amp;"|"&amp;$C125</f>
        <v/>
      </c>
    </row>
    <row r="126">
      <c r="A126" s="3" t="inlineStr">
        <is>
          <t>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3">
        <f>IF(OR($F126="",ISNUMBER(MATCH($F126,lista_no_disponible,0))),0,p_horas_jornada)</f>
        <v/>
      </c>
      <c r="I126" s="3">
        <f>$A126&amp;"|"&amp;$B126&amp;"|"&amp;$C126</f>
        <v/>
      </c>
    </row>
    <row r="127">
      <c r="A127" s="3" t="inlineStr">
        <is>
          <t>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3">
        <f>IF(OR($F127="",ISNUMBER(MATCH($F127,lista_no_disponible,0))),0,p_horas_jornada)</f>
        <v/>
      </c>
      <c r="I127" s="3">
        <f>$A127&amp;"|"&amp;$B127&amp;"|"&amp;$C127</f>
        <v/>
      </c>
    </row>
    <row r="128">
      <c r="A128" s="3" t="inlineStr">
        <is>
          <t>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/>
      <c r="G128" s="3">
        <f>IFERROR(INDEX('TECNICOS'!$E$4:$E$15,MATCH($C128,'TECNICOS'!$B$4:$B$15,0)),"")</f>
        <v/>
      </c>
      <c r="H128" s="3">
        <f>IF(OR($F128="",ISNUMBER(MATCH($F128,lista_no_disponible,0))),0,p_horas_jornada)</f>
        <v/>
      </c>
      <c r="I128" s="3">
        <f>$A128&amp;"|"&amp;$B128&amp;"|"&amp;$C128</f>
        <v/>
      </c>
    </row>
    <row r="129">
      <c r="A129" s="3" t="inlineStr">
        <is>
          <t>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3">
        <f>IF(OR($F129="",ISNUMBER(MATCH($F129,lista_no_disponible,0))),0,p_horas_jornada)</f>
        <v/>
      </c>
      <c r="I129" s="3">
        <f>$A129&amp;"|"&amp;$B129&amp;"|"&amp;$C129</f>
        <v/>
      </c>
    </row>
    <row r="130">
      <c r="A130" s="3" t="inlineStr">
        <is>
          <t>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3">
        <f>IF(OR($F130="",ISNUMBER(MATCH($F130,lista_no_disponible,0))),0,p_horas_jornada)</f>
        <v/>
      </c>
      <c r="I130" s="3">
        <f>$A130&amp;"|"&amp;$B130&amp;"|"&amp;$C130</f>
        <v/>
      </c>
    </row>
    <row r="131">
      <c r="A131" s="3" t="inlineStr">
        <is>
          <t>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3">
        <f>IF(OR($F131="",ISNUMBER(MATCH($F131,lista_no_disponible,0))),0,p_horas_jornada)</f>
        <v/>
      </c>
      <c r="I131" s="3">
        <f>$A131&amp;"|"&amp;$B131&amp;"|"&amp;$C131</f>
        <v/>
      </c>
    </row>
    <row r="132">
      <c r="A132" s="3" t="inlineStr">
        <is>
          <t>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3">
        <f>IF(OR($F132="",ISNUMBER(MATCH($F132,lista_no_disponible,0))),0,p_horas_jornada)</f>
        <v/>
      </c>
      <c r="I132" s="3">
        <f>$A132&amp;"|"&amp;$B132&amp;"|"&amp;$C132</f>
        <v/>
      </c>
    </row>
    <row r="133">
      <c r="A133" s="3" t="inlineStr">
        <is>
          <t>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3">
        <f>IF(OR($F133="",ISNUMBER(MATCH($F133,lista_no_disponible,0))),0,p_horas_jornada)</f>
        <v/>
      </c>
      <c r="I133" s="3">
        <f>$A133&amp;"|"&amp;$B133&amp;"|"&amp;$C133</f>
        <v/>
      </c>
    </row>
    <row r="134">
      <c r="A134" s="3" t="inlineStr">
        <is>
          <t>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3">
        <f>IF(OR($F134="",ISNUMBER(MATCH($F134,lista_no_disponible,0))),0,p_horas_jornada)</f>
        <v/>
      </c>
      <c r="I134" s="3">
        <f>$A134&amp;"|"&amp;$B134&amp;"|"&amp;$C134</f>
        <v/>
      </c>
    </row>
    <row r="135">
      <c r="A135" s="3" t="inlineStr">
        <is>
          <t>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/>
      <c r="G135" s="3">
        <f>IFERROR(INDEX('TECNICOS'!$E$4:$E$15,MATCH($C135,'TECNICOS'!$B$4:$B$15,0)),"")</f>
        <v/>
      </c>
      <c r="H135" s="3">
        <f>IF(OR($F135="",ISNUMBER(MATCH($F135,lista_no_disponible,0))),0,p_horas_jornada)</f>
        <v/>
      </c>
      <c r="I135" s="3">
        <f>$A135&amp;"|"&amp;$B135&amp;"|"&amp;$C135</f>
        <v/>
      </c>
    </row>
    <row r="136">
      <c r="A136" s="3" t="inlineStr">
        <is>
          <t>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3">
        <f>IF(OR($F136="",ISNUMBER(MATCH($F136,lista_no_disponible,0))),0,p_horas_jornada)</f>
        <v/>
      </c>
      <c r="I136" s="3">
        <f>$A136&amp;"|"&amp;$B136&amp;"|"&amp;$C136</f>
        <v/>
      </c>
    </row>
    <row r="137">
      <c r="A137" s="3" t="inlineStr">
        <is>
          <t>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T3</t>
        </is>
      </c>
      <c r="G137" s="3">
        <f>IFERROR(INDEX('TECNICOS'!$E$4:$E$15,MATCH($C137,'TECNICOS'!$B$4:$B$15,0)),"")</f>
        <v/>
      </c>
      <c r="H137" s="3">
        <f>IF(OR($F137="",ISNUMBER(MATCH($F137,lista_no_disponible,0))),0,p_horas_jornada)</f>
        <v/>
      </c>
      <c r="I137" s="3">
        <f>$A137&amp;"|"&amp;$B137&amp;"|"&amp;$C137</f>
        <v/>
      </c>
    </row>
    <row r="138">
      <c r="A138" s="3" t="inlineStr">
        <is>
          <t>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T3</t>
        </is>
      </c>
      <c r="G138" s="3">
        <f>IFERROR(INDEX('TECNICOS'!$E$4:$E$15,MATCH($C138,'TECNICOS'!$B$4:$B$15,0)),"")</f>
        <v/>
      </c>
      <c r="H138" s="3">
        <f>IF(OR($F138="",ISNUMBER(MATCH($F138,lista_no_disponible,0))),0,p_horas_jornada)</f>
        <v/>
      </c>
      <c r="I138" s="3">
        <f>$A138&amp;"|"&amp;$B138&amp;"|"&amp;$C138</f>
        <v/>
      </c>
    </row>
    <row r="139">
      <c r="A139" s="3" t="inlineStr">
        <is>
          <t>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T3</t>
        </is>
      </c>
      <c r="G139" s="3">
        <f>IFERROR(INDEX('TECNICOS'!$E$4:$E$15,MATCH($C139,'TECNICOS'!$B$4:$B$15,0)),"")</f>
        <v/>
      </c>
      <c r="H139" s="3">
        <f>IF(OR($F139="",ISNUMBER(MATCH($F139,lista_no_disponible,0))),0,p_horas_jornada)</f>
        <v/>
      </c>
      <c r="I139" s="3">
        <f>$A139&amp;"|"&amp;$B139&amp;"|"&amp;$C139</f>
        <v/>
      </c>
    </row>
    <row r="140">
      <c r="A140" s="3" t="inlineStr">
        <is>
          <t>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T3</t>
        </is>
      </c>
      <c r="G140" s="3">
        <f>IFERROR(INDEX('TECNICOS'!$E$4:$E$15,MATCH($C140,'TECNICOS'!$B$4:$B$15,0)),"")</f>
        <v/>
      </c>
      <c r="H140" s="3">
        <f>IF(OR($F140="",ISNUMBER(MATCH($F140,lista_no_disponible,0))),0,p_horas_jornada)</f>
        <v/>
      </c>
      <c r="I140" s="3">
        <f>$A140&amp;"|"&amp;$B140&amp;"|"&amp;$C140</f>
        <v/>
      </c>
    </row>
    <row r="141">
      <c r="A141" s="3" t="inlineStr">
        <is>
          <t>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T3</t>
        </is>
      </c>
      <c r="G141" s="3">
        <f>IFERROR(INDEX('TECNICOS'!$E$4:$E$15,MATCH($C141,'TECNICOS'!$B$4:$B$15,0)),"")</f>
        <v/>
      </c>
      <c r="H141" s="3">
        <f>IF(OR($F141="",ISNUMBER(MATCH($F141,lista_no_disponible,0))),0,p_horas_jornada)</f>
        <v/>
      </c>
      <c r="I141" s="3">
        <f>$A141&amp;"|"&amp;$B141&amp;"|"&amp;$C141</f>
        <v/>
      </c>
    </row>
    <row r="142">
      <c r="A142" s="3" t="inlineStr">
        <is>
          <t>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/>
      <c r="G142" s="3">
        <f>IFERROR(INDEX('TECNICOS'!$E$4:$E$15,MATCH($C142,'TECNICOS'!$B$4:$B$15,0)),"")</f>
        <v/>
      </c>
      <c r="H142" s="3">
        <f>IF(OR($F142="",ISNUMBER(MATCH($F142,lista_no_disponible,0))),0,p_horas_jornada)</f>
        <v/>
      </c>
      <c r="I142" s="3">
        <f>$A142&amp;"|"&amp;$B142&amp;"|"&amp;$C142</f>
        <v/>
      </c>
    </row>
    <row r="143">
      <c r="A143" s="3" t="inlineStr">
        <is>
          <t>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3">
        <f>IF(OR($F143="",ISNUMBER(MATCH($F143,lista_no_disponible,0))),0,p_horas_jornada)</f>
        <v/>
      </c>
      <c r="I143" s="3">
        <f>$A143&amp;"|"&amp;$B143&amp;"|"&amp;$C143</f>
        <v/>
      </c>
    </row>
    <row r="144">
      <c r="A144" s="3" t="inlineStr">
        <is>
          <t>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T1</t>
        </is>
      </c>
      <c r="G144" s="3">
        <f>IFERROR(INDEX('TECNICOS'!$E$4:$E$15,MATCH($C144,'TECNICOS'!$B$4:$B$15,0)),"")</f>
        <v/>
      </c>
      <c r="H144" s="3">
        <f>IF(OR($F144="",ISNUMBER(MATCH($F144,lista_no_disponible,0))),0,p_horas_jornada)</f>
        <v/>
      </c>
      <c r="I144" s="3">
        <f>$A144&amp;"|"&amp;$B144&amp;"|"&amp;$C144</f>
        <v/>
      </c>
    </row>
    <row r="145">
      <c r="A145" s="3" t="inlineStr">
        <is>
          <t>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T1</t>
        </is>
      </c>
      <c r="G145" s="3">
        <f>IFERROR(INDEX('TECNICOS'!$E$4:$E$15,MATCH($C145,'TECNICOS'!$B$4:$B$15,0)),"")</f>
        <v/>
      </c>
      <c r="H145" s="3">
        <f>IF(OR($F145="",ISNUMBER(MATCH($F145,lista_no_disponible,0))),0,p_horas_jornada)</f>
        <v/>
      </c>
      <c r="I145" s="3">
        <f>$A145&amp;"|"&amp;$B145&amp;"|"&amp;$C145</f>
        <v/>
      </c>
    </row>
    <row r="146">
      <c r="A146" s="3" t="inlineStr">
        <is>
          <t>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T1</t>
        </is>
      </c>
      <c r="G146" s="3">
        <f>IFERROR(INDEX('TECNICOS'!$E$4:$E$15,MATCH($C146,'TECNICOS'!$B$4:$B$15,0)),"")</f>
        <v/>
      </c>
      <c r="H146" s="3">
        <f>IF(OR($F146="",ISNUMBER(MATCH($F146,lista_no_disponible,0))),0,p_horas_jornada)</f>
        <v/>
      </c>
      <c r="I146" s="3">
        <f>$A146&amp;"|"&amp;$B146&amp;"|"&amp;$C146</f>
        <v/>
      </c>
    </row>
    <row r="147">
      <c r="A147" s="3" t="inlineStr">
        <is>
          <t>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T1</t>
        </is>
      </c>
      <c r="G147" s="3">
        <f>IFERROR(INDEX('TECNICOS'!$E$4:$E$15,MATCH($C147,'TECNICOS'!$B$4:$B$15,0)),"")</f>
        <v/>
      </c>
      <c r="H147" s="3">
        <f>IF(OR($F147="",ISNUMBER(MATCH($F147,lista_no_disponible,0))),0,p_horas_jornada)</f>
        <v/>
      </c>
      <c r="I147" s="3">
        <f>$A147&amp;"|"&amp;$B147&amp;"|"&amp;$C147</f>
        <v/>
      </c>
    </row>
    <row r="148">
      <c r="A148" s="3" t="inlineStr">
        <is>
          <t>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T1</t>
        </is>
      </c>
      <c r="G148" s="3">
        <f>IFERROR(INDEX('TECNICOS'!$E$4:$E$15,MATCH($C148,'TECNICOS'!$B$4:$B$15,0)),"")</f>
        <v/>
      </c>
      <c r="H148" s="3">
        <f>IF(OR($F148="",ISNUMBER(MATCH($F148,lista_no_disponible,0))),0,p_horas_jornada)</f>
        <v/>
      </c>
      <c r="I148" s="3">
        <f>$A148&amp;"|"&amp;$B148&amp;"|"&amp;$C148</f>
        <v/>
      </c>
    </row>
    <row r="149">
      <c r="A149" s="3" t="inlineStr">
        <is>
          <t>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/>
      <c r="G149" s="3">
        <f>IFERROR(INDEX('TECNICOS'!$E$4:$E$15,MATCH($C149,'TECNICOS'!$B$4:$B$15,0)),"")</f>
        <v/>
      </c>
      <c r="H149" s="3">
        <f>IF(OR($F149="",ISNUMBER(MATCH($F149,lista_no_disponible,0))),0,p_horas_jornada)</f>
        <v/>
      </c>
      <c r="I149" s="3">
        <f>$A149&amp;"|"&amp;$B149&amp;"|"&amp;$C149</f>
        <v/>
      </c>
    </row>
    <row r="150">
      <c r="A150" s="3" t="inlineStr">
        <is>
          <t>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3">
        <f>IF(OR($F150="",ISNUMBER(MATCH($F150,lista_no_disponible,0))),0,p_horas_jornada)</f>
        <v/>
      </c>
      <c r="I150" s="3">
        <f>$A150&amp;"|"&amp;$B150&amp;"|"&amp;$C150</f>
        <v/>
      </c>
    </row>
    <row r="151">
      <c r="A151" s="3" t="inlineStr">
        <is>
          <t>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B1</t>
        </is>
      </c>
      <c r="G151" s="3">
        <f>IFERROR(INDEX('TECNICOS'!$E$4:$E$15,MATCH($C151,'TECNICOS'!$B$4:$B$15,0)),"")</f>
        <v/>
      </c>
      <c r="H151" s="3">
        <f>IF(OR($F151="",ISNUMBER(MATCH($F151,lista_no_disponible,0))),0,p_horas_jornada)</f>
        <v/>
      </c>
      <c r="I151" s="3">
        <f>$A151&amp;"|"&amp;$B151&amp;"|"&amp;$C151</f>
        <v/>
      </c>
    </row>
    <row r="152">
      <c r="A152" s="3" t="inlineStr">
        <is>
          <t>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B1</t>
        </is>
      </c>
      <c r="G152" s="3">
        <f>IFERROR(INDEX('TECNICOS'!$E$4:$E$15,MATCH($C152,'TECNICOS'!$B$4:$B$15,0)),"")</f>
        <v/>
      </c>
      <c r="H152" s="3">
        <f>IF(OR($F152="",ISNUMBER(MATCH($F152,lista_no_disponible,0))),0,p_horas_jornada)</f>
        <v/>
      </c>
      <c r="I152" s="3">
        <f>$A152&amp;"|"&amp;$B152&amp;"|"&amp;$C152</f>
        <v/>
      </c>
    </row>
    <row r="153">
      <c r="A153" s="3" t="inlineStr">
        <is>
          <t>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B1</t>
        </is>
      </c>
      <c r="G153" s="3">
        <f>IFERROR(INDEX('TECNICOS'!$E$4:$E$15,MATCH($C153,'TECNICOS'!$B$4:$B$15,0)),"")</f>
        <v/>
      </c>
      <c r="H153" s="3">
        <f>IF(OR($F153="",ISNUMBER(MATCH($F153,lista_no_disponible,0))),0,p_horas_jornada)</f>
        <v/>
      </c>
      <c r="I153" s="3">
        <f>$A153&amp;"|"&amp;$B153&amp;"|"&amp;$C153</f>
        <v/>
      </c>
    </row>
    <row r="154">
      <c r="A154" s="3" t="inlineStr">
        <is>
          <t>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B1</t>
        </is>
      </c>
      <c r="G154" s="3">
        <f>IFERROR(INDEX('TECNICOS'!$E$4:$E$15,MATCH($C154,'TECNICOS'!$B$4:$B$15,0)),"")</f>
        <v/>
      </c>
      <c r="H154" s="3">
        <f>IF(OR($F154="",ISNUMBER(MATCH($F154,lista_no_disponible,0))),0,p_horas_jornada)</f>
        <v/>
      </c>
      <c r="I154" s="3">
        <f>$A154&amp;"|"&amp;$B154&amp;"|"&amp;$C154</f>
        <v/>
      </c>
    </row>
    <row r="155">
      <c r="A155" s="3" t="inlineStr">
        <is>
          <t>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B1</t>
        </is>
      </c>
      <c r="G155" s="3">
        <f>IFERROR(INDEX('TECNICOS'!$E$4:$E$15,MATCH($C155,'TECNICOS'!$B$4:$B$15,0)),"")</f>
        <v/>
      </c>
      <c r="H155" s="3">
        <f>IF(OR($F155="",ISNUMBER(MATCH($F155,lista_no_disponible,0))),0,p_horas_jornada)</f>
        <v/>
      </c>
      <c r="I155" s="3">
        <f>$A155&amp;"|"&amp;$B155&amp;"|"&amp;$C155</f>
        <v/>
      </c>
    </row>
    <row r="156">
      <c r="A156" s="3" t="inlineStr">
        <is>
          <t>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/>
      <c r="G156" s="3">
        <f>IFERROR(INDEX('TECNICOS'!$E$4:$E$15,MATCH($C156,'TECNICOS'!$B$4:$B$15,0)),"")</f>
        <v/>
      </c>
      <c r="H156" s="3">
        <f>IF(OR($F156="",ISNUMBER(MATCH($F156,lista_no_disponible,0))),0,p_horas_jornada)</f>
        <v/>
      </c>
      <c r="I156" s="3">
        <f>$A156&amp;"|"&amp;$B156&amp;"|"&amp;$C156</f>
        <v/>
      </c>
    </row>
    <row r="157">
      <c r="A157" s="3" t="inlineStr">
        <is>
          <t>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3">
        <f>IF(OR($F157="",ISNUMBER(MATCH($F157,lista_no_disponible,0))),0,p_horas_jornada)</f>
        <v/>
      </c>
      <c r="I157" s="3">
        <f>$A157&amp;"|"&amp;$B157&amp;"|"&amp;$C157</f>
        <v/>
      </c>
    </row>
    <row r="158">
      <c r="A158" s="3" t="inlineStr">
        <is>
          <t>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3">
        <f>IF(OR($F158="",ISNUMBER(MATCH($F158,lista_no_disponible,0))),0,p_horas_jornada)</f>
        <v/>
      </c>
      <c r="I158" s="3">
        <f>$A158&amp;"|"&amp;$B158&amp;"|"&amp;$C158</f>
        <v/>
      </c>
    </row>
    <row r="159">
      <c r="A159" s="3" t="inlineStr">
        <is>
          <t>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3">
        <f>IF(OR($F159="",ISNUMBER(MATCH($F159,lista_no_disponible,0))),0,p_horas_jornada)</f>
        <v/>
      </c>
      <c r="I159" s="3">
        <f>$A159&amp;"|"&amp;$B159&amp;"|"&amp;$C159</f>
        <v/>
      </c>
    </row>
    <row r="160">
      <c r="A160" s="3" t="inlineStr">
        <is>
          <t>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3">
        <f>IF(OR($F160="",ISNUMBER(MATCH($F160,lista_no_disponible,0))),0,p_horas_jornada)</f>
        <v/>
      </c>
      <c r="I160" s="3">
        <f>$A160&amp;"|"&amp;$B160&amp;"|"&amp;$C160</f>
        <v/>
      </c>
    </row>
    <row r="161">
      <c r="A161" s="3" t="inlineStr">
        <is>
          <t>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3">
        <f>IF(OR($F161="",ISNUMBER(MATCH($F161,lista_no_disponible,0))),0,p_horas_jornada)</f>
        <v/>
      </c>
      <c r="I161" s="3">
        <f>$A161&amp;"|"&amp;$B161&amp;"|"&amp;$C161</f>
        <v/>
      </c>
    </row>
    <row r="162">
      <c r="A162" s="3" t="inlineStr">
        <is>
          <t>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3">
        <f>IF(OR($F162="",ISNUMBER(MATCH($F162,lista_no_disponible,0))),0,p_horas_jornada)</f>
        <v/>
      </c>
      <c r="I162" s="3">
        <f>$A162&amp;"|"&amp;$B162&amp;"|"&amp;$C162</f>
        <v/>
      </c>
    </row>
    <row r="163">
      <c r="A163" s="3" t="inlineStr">
        <is>
          <t>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/>
      <c r="G163" s="3">
        <f>IFERROR(INDEX('TECNICOS'!$E$4:$E$15,MATCH($C163,'TECNICOS'!$B$4:$B$15,0)),"")</f>
        <v/>
      </c>
      <c r="H163" s="3">
        <f>IF(OR($F163="",ISNUMBER(MATCH($F163,lista_no_disponible,0))),0,p_horas_jornada)</f>
        <v/>
      </c>
      <c r="I163" s="3">
        <f>$A163&amp;"|"&amp;$B163&amp;"|"&amp;$C163</f>
        <v/>
      </c>
    </row>
    <row r="164">
      <c r="A164" s="3" t="inlineStr">
        <is>
          <t>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3">
        <f>IF(OR($F164="",ISNUMBER(MATCH($F164,lista_no_disponible,0))),0,p_horas_jornada)</f>
        <v/>
      </c>
      <c r="I164" s="3">
        <f>$A164&amp;"|"&amp;$B164&amp;"|"&amp;$C164</f>
        <v/>
      </c>
    </row>
    <row r="165">
      <c r="A165" s="3" t="inlineStr">
        <is>
          <t>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3">
        <f>IF(OR($F165="",ISNUMBER(MATCH($F165,lista_no_disponible,0))),0,p_horas_jornada)</f>
        <v/>
      </c>
      <c r="I165" s="3">
        <f>$A165&amp;"|"&amp;$B165&amp;"|"&amp;$C165</f>
        <v/>
      </c>
    </row>
    <row r="166">
      <c r="A166" s="3" t="inlineStr">
        <is>
          <t>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3">
        <f>IF(OR($F166="",ISNUMBER(MATCH($F166,lista_no_disponible,0))),0,p_horas_jornada)</f>
        <v/>
      </c>
      <c r="I166" s="3">
        <f>$A166&amp;"|"&amp;$B166&amp;"|"&amp;$C166</f>
        <v/>
      </c>
    </row>
    <row r="167">
      <c r="A167" s="3" t="inlineStr">
        <is>
          <t>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3">
        <f>IF(OR($F167="",ISNUMBER(MATCH($F167,lista_no_disponible,0))),0,p_horas_jornada)</f>
        <v/>
      </c>
      <c r="I167" s="3">
        <f>$A167&amp;"|"&amp;$B167&amp;"|"&amp;$C167</f>
        <v/>
      </c>
    </row>
    <row r="168">
      <c r="A168" s="3" t="inlineStr">
        <is>
          <t>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3">
        <f>IF(OR($F168="",ISNUMBER(MATCH($F168,lista_no_disponible,0))),0,p_horas_jornada)</f>
        <v/>
      </c>
      <c r="I168" s="3">
        <f>$A168&amp;"|"&amp;$B168&amp;"|"&amp;$C168</f>
        <v/>
      </c>
    </row>
    <row r="169">
      <c r="A169" s="3" t="inlineStr">
        <is>
          <t>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3">
        <f>IF(OR($F169="",ISNUMBER(MATCH($F169,lista_no_disponible,0))),0,p_horas_jornada)</f>
        <v/>
      </c>
      <c r="I169" s="3">
        <f>$A169&amp;"|"&amp;$B169&amp;"|"&amp;$C169</f>
        <v/>
      </c>
    </row>
    <row r="170">
      <c r="A170" s="3" t="inlineStr">
        <is>
          <t>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/>
      <c r="G170" s="3">
        <f>IFERROR(INDEX('TECNICOS'!$E$4:$E$15,MATCH($C170,'TECNICOS'!$B$4:$B$15,0)),"")</f>
        <v/>
      </c>
      <c r="H170" s="3">
        <f>IF(OR($F170="",ISNUMBER(MATCH($F170,lista_no_disponible,0))),0,p_horas_jornada)</f>
        <v/>
      </c>
      <c r="I170" s="3">
        <f>$A170&amp;"|"&amp;$B170&amp;"|"&amp;$C170</f>
        <v/>
      </c>
    </row>
    <row r="171">
      <c r="A171" s="3" t="inlineStr">
        <is>
          <t>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3">
        <f>IF(OR($F171="",ISNUMBER(MATCH($F171,lista_no_disponible,0))),0,p_horas_jornada)</f>
        <v/>
      </c>
      <c r="I171" s="3">
        <f>$A171&amp;"|"&amp;$B171&amp;"|"&amp;$C171</f>
        <v/>
      </c>
    </row>
    <row r="172">
      <c r="A172" s="3" t="inlineStr">
        <is>
          <t>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3">
        <f>IF(OR($F172="",ISNUMBER(MATCH($F172,lista_no_disponible,0))),0,p_horas_jornada)</f>
        <v/>
      </c>
      <c r="I172" s="3">
        <f>$A172&amp;"|"&amp;$B172&amp;"|"&amp;$C172</f>
        <v/>
      </c>
    </row>
    <row r="173">
      <c r="A173" s="3" t="inlineStr">
        <is>
          <t>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3">
        <f>IF(OR($F173="",ISNUMBER(MATCH($F173,lista_no_disponible,0))),0,p_horas_jornada)</f>
        <v/>
      </c>
      <c r="I173" s="3">
        <f>$A173&amp;"|"&amp;$B173&amp;"|"&amp;$C173</f>
        <v/>
      </c>
    </row>
    <row r="174">
      <c r="A174" s="3" t="inlineStr">
        <is>
          <t>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3">
        <f>IF(OR($F174="",ISNUMBER(MATCH($F174,lista_no_disponible,0))),0,p_horas_jornada)</f>
        <v/>
      </c>
      <c r="I174" s="3">
        <f>$A174&amp;"|"&amp;$B174&amp;"|"&amp;$C174</f>
        <v/>
      </c>
    </row>
    <row r="175">
      <c r="A175" s="3" t="inlineStr">
        <is>
          <t>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3">
        <f>IF(OR($F175="",ISNUMBER(MATCH($F175,lista_no_disponible,0))),0,p_horas_jornada)</f>
        <v/>
      </c>
      <c r="I175" s="3">
        <f>$A175&amp;"|"&amp;$B175&amp;"|"&amp;$C175</f>
        <v/>
      </c>
    </row>
    <row r="176">
      <c r="A176" s="3" t="inlineStr">
        <is>
          <t>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3">
        <f>IF(OR($F176="",ISNUMBER(MATCH($F176,lista_no_disponible,0))),0,p_horas_jornada)</f>
        <v/>
      </c>
      <c r="I176" s="3">
        <f>$A176&amp;"|"&amp;$B176&amp;"|"&amp;$C176</f>
        <v/>
      </c>
    </row>
    <row r="177">
      <c r="A177" s="3" t="inlineStr">
        <is>
          <t>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/>
      <c r="G177" s="3">
        <f>IFERROR(INDEX('TECNICOS'!$E$4:$E$15,MATCH($C177,'TECNICOS'!$B$4:$B$15,0)),"")</f>
        <v/>
      </c>
      <c r="H177" s="3">
        <f>IF(OR($F177="",ISNUMBER(MATCH($F177,lista_no_disponible,0))),0,p_horas_jornada)</f>
        <v/>
      </c>
      <c r="I177" s="3">
        <f>$A177&amp;"|"&amp;$B177&amp;"|"&amp;$C177</f>
        <v/>
      </c>
    </row>
    <row r="178">
      <c r="A178" s="3" t="inlineStr">
        <is>
          <t>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3">
        <f>IF(OR($F178="",ISNUMBER(MATCH($F178,lista_no_disponible,0))),0,p_horas_jornada)</f>
        <v/>
      </c>
      <c r="I178" s="3">
        <f>$A178&amp;"|"&amp;$B178&amp;"|"&amp;$C178</f>
        <v/>
      </c>
    </row>
    <row r="179">
      <c r="A179" s="3" t="inlineStr">
        <is>
          <t>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3">
        <f>IF(OR($F179="",ISNUMBER(MATCH($F179,lista_no_disponible,0))),0,p_horas_jornada)</f>
        <v/>
      </c>
      <c r="I179" s="3">
        <f>$A179&amp;"|"&amp;$B179&amp;"|"&amp;$C179</f>
        <v/>
      </c>
    </row>
    <row r="180">
      <c r="A180" s="3" t="inlineStr">
        <is>
          <t>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3">
        <f>IF(OR($F180="",ISNUMBER(MATCH($F180,lista_no_disponible,0))),0,p_horas_jornada)</f>
        <v/>
      </c>
      <c r="I180" s="3">
        <f>$A180&amp;"|"&amp;$B180&amp;"|"&amp;$C180</f>
        <v/>
      </c>
    </row>
    <row r="181">
      <c r="A181" s="3" t="inlineStr">
        <is>
          <t>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3">
        <f>IF(OR($F181="",ISNUMBER(MATCH($F181,lista_no_disponible,0))),0,p_horas_jornada)</f>
        <v/>
      </c>
      <c r="I181" s="3">
        <f>$A181&amp;"|"&amp;$B181&amp;"|"&amp;$C181</f>
        <v/>
      </c>
    </row>
    <row r="182">
      <c r="A182" s="3" t="inlineStr">
        <is>
          <t>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3">
        <f>IF(OR($F182="",ISNUMBER(MATCH($F182,lista_no_disponible,0))),0,p_horas_jornada)</f>
        <v/>
      </c>
      <c r="I182" s="3">
        <f>$A182&amp;"|"&amp;$B182&amp;"|"&amp;$C182</f>
        <v/>
      </c>
    </row>
    <row r="183">
      <c r="A183" s="3" t="inlineStr">
        <is>
          <t>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3">
        <f>IF(OR($F183="",ISNUMBER(MATCH($F183,lista_no_disponible,0))),0,p_horas_jornada)</f>
        <v/>
      </c>
      <c r="I183" s="3">
        <f>$A183&amp;"|"&amp;$B183&amp;"|"&amp;$C183</f>
        <v/>
      </c>
    </row>
    <row r="184">
      <c r="A184" s="3" t="inlineStr">
        <is>
          <t>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/>
      <c r="G184" s="3">
        <f>IFERROR(INDEX('TECNICOS'!$E$4:$E$15,MATCH($C184,'TECNICOS'!$B$4:$B$15,0)),"")</f>
        <v/>
      </c>
      <c r="H184" s="3">
        <f>IF(OR($F184="",ISNUMBER(MATCH($F184,lista_no_disponible,0))),0,p_horas_jornada)</f>
        <v/>
      </c>
      <c r="I184" s="3">
        <f>$A184&amp;"|"&amp;$B184&amp;"|"&amp;$C184</f>
        <v/>
      </c>
    </row>
    <row r="185">
      <c r="A185" s="3" t="inlineStr">
        <is>
          <t>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3">
        <f>IF(OR($F185="",ISNUMBER(MATCH($F185,lista_no_disponible,0))),0,p_horas_jornada)</f>
        <v/>
      </c>
      <c r="I185" s="3">
        <f>$A185&amp;"|"&amp;$B185&amp;"|"&amp;$C185</f>
        <v/>
      </c>
    </row>
    <row r="186">
      <c r="A186" s="3" t="inlineStr">
        <is>
          <t>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3">
        <f>IF(OR($F186="",ISNUMBER(MATCH($F186,lista_no_disponible,0))),0,p_horas_jornada)</f>
        <v/>
      </c>
      <c r="I186" s="3">
        <f>$A186&amp;"|"&amp;$B186&amp;"|"&amp;$C186</f>
        <v/>
      </c>
    </row>
    <row r="187">
      <c r="A187" s="3" t="inlineStr">
        <is>
          <t>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3">
        <f>IF(OR($F187="",ISNUMBER(MATCH($F187,lista_no_disponible,0))),0,p_horas_jornada)</f>
        <v/>
      </c>
      <c r="I187" s="3">
        <f>$A187&amp;"|"&amp;$B187&amp;"|"&amp;$C187</f>
        <v/>
      </c>
    </row>
    <row r="188">
      <c r="A188" s="3" t="inlineStr">
        <is>
          <t>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3">
        <f>IF(OR($F188="",ISNUMBER(MATCH($F188,lista_no_disponible,0))),0,p_horas_jornada)</f>
        <v/>
      </c>
      <c r="I188" s="3">
        <f>$A188&amp;"|"&amp;$B188&amp;"|"&amp;$C188</f>
        <v/>
      </c>
    </row>
    <row r="189">
      <c r="A189" s="3" t="inlineStr">
        <is>
          <t>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3">
        <f>IF(OR($F189="",ISNUMBER(MATCH($F189,lista_no_disponible,0))),0,p_horas_jornada)</f>
        <v/>
      </c>
      <c r="I189" s="3">
        <f>$A189&amp;"|"&amp;$B189&amp;"|"&amp;$C189</f>
        <v/>
      </c>
    </row>
    <row r="190">
      <c r="A190" s="3" t="inlineStr">
        <is>
          <t>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3">
        <f>IF(OR($F190="",ISNUMBER(MATCH($F190,lista_no_disponible,0))),0,p_horas_jornada)</f>
        <v/>
      </c>
      <c r="I190" s="3">
        <f>$A190&amp;"|"&amp;$B190&amp;"|"&amp;$C190</f>
        <v/>
      </c>
    </row>
    <row r="191">
      <c r="A191" s="3" t="inlineStr">
        <is>
          <t>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/>
      <c r="G191" s="3">
        <f>IFERROR(INDEX('TECNICOS'!$E$4:$E$15,MATCH($C191,'TECNICOS'!$B$4:$B$15,0)),"")</f>
        <v/>
      </c>
      <c r="H191" s="3">
        <f>IF(OR($F191="",ISNUMBER(MATCH($F191,lista_no_disponible,0))),0,p_horas_jornada)</f>
        <v/>
      </c>
      <c r="I191" s="3">
        <f>$A191&amp;"|"&amp;$B191&amp;"|"&amp;$C191</f>
        <v/>
      </c>
    </row>
    <row r="192">
      <c r="A192" s="3" t="inlineStr">
        <is>
          <t>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3">
        <f>IF(OR($F192="",ISNUMBER(MATCH($F192,lista_no_disponible,0))),0,p_horas_jornada)</f>
        <v/>
      </c>
      <c r="I192" s="3">
        <f>$A192&amp;"|"&amp;$B192&amp;"|"&amp;$C192</f>
        <v/>
      </c>
    </row>
    <row r="193">
      <c r="A193" s="3" t="inlineStr">
        <is>
          <t>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3">
        <f>IF(OR($F193="",ISNUMBER(MATCH($F193,lista_no_disponible,0))),0,p_horas_jornada)</f>
        <v/>
      </c>
      <c r="I193" s="3">
        <f>$A193&amp;"|"&amp;$B193&amp;"|"&amp;$C193</f>
        <v/>
      </c>
    </row>
    <row r="194">
      <c r="A194" s="3" t="inlineStr">
        <is>
          <t>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3">
        <f>IF(OR($F194="",ISNUMBER(MATCH($F194,lista_no_disponible,0))),0,p_horas_jornada)</f>
        <v/>
      </c>
      <c r="I194" s="3">
        <f>$A194&amp;"|"&amp;$B194&amp;"|"&amp;$C194</f>
        <v/>
      </c>
    </row>
    <row r="195">
      <c r="A195" s="3" t="inlineStr">
        <is>
          <t>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3">
        <f>IF(OR($F195="",ISNUMBER(MATCH($F195,lista_no_disponible,0))),0,p_horas_jornada)</f>
        <v/>
      </c>
      <c r="I195" s="3">
        <f>$A195&amp;"|"&amp;$B195&amp;"|"&amp;$C195</f>
        <v/>
      </c>
    </row>
    <row r="196">
      <c r="A196" s="3" t="inlineStr">
        <is>
          <t>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3">
        <f>IF(OR($F196="",ISNUMBER(MATCH($F196,lista_no_disponible,0))),0,p_horas_jornada)</f>
        <v/>
      </c>
      <c r="I196" s="3">
        <f>$A196&amp;"|"&amp;$B196&amp;"|"&amp;$C196</f>
        <v/>
      </c>
    </row>
    <row r="197">
      <c r="A197" s="3" t="inlineStr">
        <is>
          <t>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3">
        <f>IF(OR($F197="",ISNUMBER(MATCH($F197,lista_no_disponible,0))),0,p_horas_jornada)</f>
        <v/>
      </c>
      <c r="I197" s="3">
        <f>$A197&amp;"|"&amp;$B197&amp;"|"&amp;$C197</f>
        <v/>
      </c>
    </row>
    <row r="198">
      <c r="A198" s="3" t="inlineStr">
        <is>
          <t>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/>
      <c r="G198" s="3">
        <f>IFERROR(INDEX('TECNICOS'!$E$4:$E$15,MATCH($C198,'TECNICOS'!$B$4:$B$15,0)),"")</f>
        <v/>
      </c>
      <c r="H198" s="3">
        <f>IF(OR($F198="",ISNUMBER(MATCH($F198,lista_no_disponible,0))),0,p_horas_jornada)</f>
        <v/>
      </c>
      <c r="I198" s="3">
        <f>$A198&amp;"|"&amp;$B198&amp;"|"&amp;$C198</f>
        <v/>
      </c>
    </row>
    <row r="199">
      <c r="A199" s="3" t="inlineStr">
        <is>
          <t>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3">
        <f>IF(OR($F199="",ISNUMBER(MATCH($F199,lista_no_disponible,0))),0,p_horas_jornada)</f>
        <v/>
      </c>
      <c r="I199" s="3">
        <f>$A199&amp;"|"&amp;$B199&amp;"|"&amp;$C199</f>
        <v/>
      </c>
    </row>
    <row r="200">
      <c r="A200" s="3" t="inlineStr">
        <is>
          <t>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3">
        <f>IF(OR($F200="",ISNUMBER(MATCH($F200,lista_no_disponible,0))),0,p_horas_jornada)</f>
        <v/>
      </c>
      <c r="I200" s="3">
        <f>$A200&amp;"|"&amp;$B200&amp;"|"&amp;$C200</f>
        <v/>
      </c>
    </row>
    <row r="201">
      <c r="A201" s="3" t="inlineStr">
        <is>
          <t>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3">
        <f>IF(OR($F201="",ISNUMBER(MATCH($F201,lista_no_disponible,0))),0,p_horas_jornada)</f>
        <v/>
      </c>
      <c r="I201" s="3">
        <f>$A201&amp;"|"&amp;$B201&amp;"|"&amp;$C201</f>
        <v/>
      </c>
    </row>
    <row r="202">
      <c r="A202" s="3" t="inlineStr">
        <is>
          <t>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3">
        <f>IF(OR($F202="",ISNUMBER(MATCH($F202,lista_no_disponible,0))),0,p_horas_jornada)</f>
        <v/>
      </c>
      <c r="I202" s="3">
        <f>$A202&amp;"|"&amp;$B202&amp;"|"&amp;$C202</f>
        <v/>
      </c>
    </row>
    <row r="203">
      <c r="A203" s="3" t="inlineStr">
        <is>
          <t>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3">
        <f>IF(OR($F203="",ISNUMBER(MATCH($F203,lista_no_disponible,0))),0,p_horas_jornada)</f>
        <v/>
      </c>
      <c r="I203" s="3">
        <f>$A203&amp;"|"&amp;$B203&amp;"|"&amp;$C203</f>
        <v/>
      </c>
    </row>
    <row r="204">
      <c r="A204" s="3" t="inlineStr">
        <is>
          <t>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3">
        <f>IF(OR($F204="",ISNUMBER(MATCH($F204,lista_no_disponible,0))),0,p_horas_jornada)</f>
        <v/>
      </c>
      <c r="I204" s="3">
        <f>$A204&amp;"|"&amp;$B204&amp;"|"&amp;$C204</f>
        <v/>
      </c>
    </row>
    <row r="205">
      <c r="A205" s="3" t="inlineStr">
        <is>
          <t>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/>
      <c r="G205" s="3">
        <f>IFERROR(INDEX('TECNICOS'!$E$4:$E$15,MATCH($C205,'TECNICOS'!$B$4:$B$15,0)),"")</f>
        <v/>
      </c>
      <c r="H205" s="3">
        <f>IF(OR($F205="",ISNUMBER(MATCH($F205,lista_no_disponible,0))),0,p_horas_jornada)</f>
        <v/>
      </c>
      <c r="I205" s="3">
        <f>$A205&amp;"|"&amp;$B205&amp;"|"&amp;$C205</f>
        <v/>
      </c>
    </row>
    <row r="206">
      <c r="A206" s="3" t="inlineStr">
        <is>
          <t>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3">
        <f>IF(OR($F206="",ISNUMBER(MATCH($F206,lista_no_disponible,0))),0,p_horas_jornada)</f>
        <v/>
      </c>
      <c r="I206" s="3">
        <f>$A206&amp;"|"&amp;$B206&amp;"|"&amp;$C206</f>
        <v/>
      </c>
    </row>
    <row r="207">
      <c r="A207" s="3" t="inlineStr">
        <is>
          <t>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3">
        <f>IF(OR($F207="",ISNUMBER(MATCH($F207,lista_no_disponible,0))),0,p_horas_jornada)</f>
        <v/>
      </c>
      <c r="I207" s="3">
        <f>$A207&amp;"|"&amp;$B207&amp;"|"&amp;$C207</f>
        <v/>
      </c>
    </row>
    <row r="208">
      <c r="A208" s="3" t="inlineStr">
        <is>
          <t>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3">
        <f>IF(OR($F208="",ISNUMBER(MATCH($F208,lista_no_disponible,0))),0,p_horas_jornada)</f>
        <v/>
      </c>
      <c r="I208" s="3">
        <f>$A208&amp;"|"&amp;$B208&amp;"|"&amp;$C208</f>
        <v/>
      </c>
    </row>
    <row r="209">
      <c r="A209" s="3" t="inlineStr">
        <is>
          <t>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3">
        <f>IF(OR($F209="",ISNUMBER(MATCH($F209,lista_no_disponible,0))),0,p_horas_jornada)</f>
        <v/>
      </c>
      <c r="I209" s="3">
        <f>$A209&amp;"|"&amp;$B209&amp;"|"&amp;$C209</f>
        <v/>
      </c>
    </row>
    <row r="210">
      <c r="A210" s="3" t="inlineStr">
        <is>
          <t>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3">
        <f>IF(OR($F210="",ISNUMBER(MATCH($F210,lista_no_disponible,0))),0,p_horas_jornada)</f>
        <v/>
      </c>
      <c r="I210" s="3">
        <f>$A210&amp;"|"&amp;$B210&amp;"|"&amp;$C210</f>
        <v/>
      </c>
    </row>
    <row r="211">
      <c r="A211" s="3" t="inlineStr">
        <is>
          <t>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3">
        <f>IF(OR($F211="",ISNUMBER(MATCH($F211,lista_no_disponible,0))),0,p_horas_jornada)</f>
        <v/>
      </c>
      <c r="I211" s="3">
        <f>$A211&amp;"|"&amp;$B211&amp;"|"&amp;$C211</f>
        <v/>
      </c>
    </row>
    <row r="212">
      <c r="A212" s="3" t="inlineStr">
        <is>
          <t>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/>
      <c r="G212" s="3">
        <f>IFERROR(INDEX('TECNICOS'!$E$4:$E$15,MATCH($C212,'TECNICOS'!$B$4:$B$15,0)),"")</f>
        <v/>
      </c>
      <c r="H212" s="3">
        <f>IF(OR($F212="",ISNUMBER(MATCH($F212,lista_no_disponible,0))),0,p_horas_jornada)</f>
        <v/>
      </c>
      <c r="I212" s="3">
        <f>$A212&amp;"|"&amp;$B212&amp;"|"&amp;$C212</f>
        <v/>
      </c>
    </row>
    <row r="213">
      <c r="A213" s="3" t="inlineStr">
        <is>
          <t>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3">
        <f>IF(OR($F213="",ISNUMBER(MATCH($F213,lista_no_disponible,0))),0,p_horas_jornada)</f>
        <v/>
      </c>
      <c r="I213" s="3">
        <f>$A213&amp;"|"&amp;$B213&amp;"|"&amp;$C213</f>
        <v/>
      </c>
    </row>
    <row r="214">
      <c r="A214" s="3" t="inlineStr">
        <is>
          <t>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3">
        <f>IF(OR($F214="",ISNUMBER(MATCH($F214,lista_no_disponible,0))),0,p_horas_jornada)</f>
        <v/>
      </c>
      <c r="I214" s="3">
        <f>$A214&amp;"|"&amp;$B214&amp;"|"&amp;$C214</f>
        <v/>
      </c>
    </row>
    <row r="215">
      <c r="A215" s="3" t="inlineStr">
        <is>
          <t>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3">
        <f>IF(OR($F215="",ISNUMBER(MATCH($F215,lista_no_disponible,0))),0,p_horas_jornada)</f>
        <v/>
      </c>
      <c r="I215" s="3">
        <f>$A215&amp;"|"&amp;$B215&amp;"|"&amp;$C215</f>
        <v/>
      </c>
    </row>
    <row r="216">
      <c r="A216" s="3" t="inlineStr">
        <is>
          <t>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3">
        <f>IF(OR($F216="",ISNUMBER(MATCH($F216,lista_no_disponible,0))),0,p_horas_jornada)</f>
        <v/>
      </c>
      <c r="I216" s="3">
        <f>$A216&amp;"|"&amp;$B216&amp;"|"&amp;$C216</f>
        <v/>
      </c>
    </row>
    <row r="217">
      <c r="A217" s="3" t="inlineStr">
        <is>
          <t>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3">
        <f>IF(OR($F217="",ISNUMBER(MATCH($F217,lista_no_disponible,0))),0,p_horas_jornada)</f>
        <v/>
      </c>
      <c r="I217" s="3">
        <f>$A217&amp;"|"&amp;$B217&amp;"|"&amp;$C217</f>
        <v/>
      </c>
    </row>
    <row r="218">
      <c r="A218" s="3" t="inlineStr">
        <is>
          <t>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3">
        <f>IF(OR($F218="",ISNUMBER(MATCH($F218,lista_no_disponible,0))),0,p_horas_jornada)</f>
        <v/>
      </c>
      <c r="I218" s="3">
        <f>$A218&amp;"|"&amp;$B218&amp;"|"&amp;$C218</f>
        <v/>
      </c>
    </row>
    <row r="219">
      <c r="A219" s="3" t="inlineStr">
        <is>
          <t>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/>
      <c r="G219" s="3">
        <f>IFERROR(INDEX('TECNICOS'!$E$4:$E$15,MATCH($C219,'TECNICOS'!$B$4:$B$15,0)),"")</f>
        <v/>
      </c>
      <c r="H219" s="3">
        <f>IF(OR($F219="",ISNUMBER(MATCH($F219,lista_no_disponible,0))),0,p_horas_jornada)</f>
        <v/>
      </c>
      <c r="I219" s="3">
        <f>$A219&amp;"|"&amp;$B219&amp;"|"&amp;$C219</f>
        <v/>
      </c>
    </row>
    <row r="220">
      <c r="A220" s="3" t="inlineStr">
        <is>
          <t>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3">
        <f>IF(OR($F220="",ISNUMBER(MATCH($F220,lista_no_disponible,0))),0,p_horas_jornada)</f>
        <v/>
      </c>
      <c r="I220" s="3">
        <f>$A220&amp;"|"&amp;$B220&amp;"|"&amp;$C220</f>
        <v/>
      </c>
    </row>
    <row r="221">
      <c r="A221" s="3" t="inlineStr">
        <is>
          <t>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T3</t>
        </is>
      </c>
      <c r="G221" s="3">
        <f>IFERROR(INDEX('TECNICOS'!$E$4:$E$15,MATCH($C221,'TECNICOS'!$B$4:$B$15,0)),"")</f>
        <v/>
      </c>
      <c r="H221" s="3">
        <f>IF(OR($F221="",ISNUMBER(MATCH($F221,lista_no_disponible,0))),0,p_horas_jornada)</f>
        <v/>
      </c>
      <c r="I221" s="3">
        <f>$A221&amp;"|"&amp;$B221&amp;"|"&amp;$C221</f>
        <v/>
      </c>
    </row>
    <row r="222">
      <c r="A222" s="3" t="inlineStr">
        <is>
          <t>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T3</t>
        </is>
      </c>
      <c r="G222" s="3">
        <f>IFERROR(INDEX('TECNICOS'!$E$4:$E$15,MATCH($C222,'TECNICOS'!$B$4:$B$15,0)),"")</f>
        <v/>
      </c>
      <c r="H222" s="3">
        <f>IF(OR($F222="",ISNUMBER(MATCH($F222,lista_no_disponible,0))),0,p_horas_jornada)</f>
        <v/>
      </c>
      <c r="I222" s="3">
        <f>$A222&amp;"|"&amp;$B222&amp;"|"&amp;$C222</f>
        <v/>
      </c>
    </row>
    <row r="223">
      <c r="A223" s="3" t="inlineStr">
        <is>
          <t>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T3</t>
        </is>
      </c>
      <c r="G223" s="3">
        <f>IFERROR(INDEX('TECNICOS'!$E$4:$E$15,MATCH($C223,'TECNICOS'!$B$4:$B$15,0)),"")</f>
        <v/>
      </c>
      <c r="H223" s="3">
        <f>IF(OR($F223="",ISNUMBER(MATCH($F223,lista_no_disponible,0))),0,p_horas_jornada)</f>
        <v/>
      </c>
      <c r="I223" s="3">
        <f>$A223&amp;"|"&amp;$B223&amp;"|"&amp;$C223</f>
        <v/>
      </c>
    </row>
    <row r="224">
      <c r="A224" s="3" t="inlineStr">
        <is>
          <t>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T3</t>
        </is>
      </c>
      <c r="G224" s="3">
        <f>IFERROR(INDEX('TECNICOS'!$E$4:$E$15,MATCH($C224,'TECNICOS'!$B$4:$B$15,0)),"")</f>
        <v/>
      </c>
      <c r="H224" s="3">
        <f>IF(OR($F224="",ISNUMBER(MATCH($F224,lista_no_disponible,0))),0,p_horas_jornada)</f>
        <v/>
      </c>
      <c r="I224" s="3">
        <f>$A224&amp;"|"&amp;$B224&amp;"|"&amp;$C224</f>
        <v/>
      </c>
    </row>
    <row r="225">
      <c r="A225" s="3" t="inlineStr">
        <is>
          <t>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T3</t>
        </is>
      </c>
      <c r="G225" s="3">
        <f>IFERROR(INDEX('TECNICOS'!$E$4:$E$15,MATCH($C225,'TECNICOS'!$B$4:$B$15,0)),"")</f>
        <v/>
      </c>
      <c r="H225" s="3">
        <f>IF(OR($F225="",ISNUMBER(MATCH($F225,lista_no_disponible,0))),0,p_horas_jornada)</f>
        <v/>
      </c>
      <c r="I225" s="3">
        <f>$A225&amp;"|"&amp;$B225&amp;"|"&amp;$C225</f>
        <v/>
      </c>
    </row>
    <row r="226">
      <c r="A226" s="3" t="inlineStr">
        <is>
          <t>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/>
      <c r="G226" s="3">
        <f>IFERROR(INDEX('TECNICOS'!$E$4:$E$15,MATCH($C226,'TECNICOS'!$B$4:$B$15,0)),"")</f>
        <v/>
      </c>
      <c r="H226" s="3">
        <f>IF(OR($F226="",ISNUMBER(MATCH($F226,lista_no_disponible,0))),0,p_horas_jornada)</f>
        <v/>
      </c>
      <c r="I226" s="3">
        <f>$A226&amp;"|"&amp;$B226&amp;"|"&amp;$C226</f>
        <v/>
      </c>
    </row>
    <row r="227">
      <c r="A227" s="3" t="inlineStr">
        <is>
          <t>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3">
        <f>IF(OR($F227="",ISNUMBER(MATCH($F227,lista_no_disponible,0))),0,p_horas_jornada)</f>
        <v/>
      </c>
      <c r="I227" s="3">
        <f>$A227&amp;"|"&amp;$B227&amp;"|"&amp;$C227</f>
        <v/>
      </c>
    </row>
    <row r="228">
      <c r="A228" s="3" t="inlineStr">
        <is>
          <t>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T1</t>
        </is>
      </c>
      <c r="G228" s="3">
        <f>IFERROR(INDEX('TECNICOS'!$E$4:$E$15,MATCH($C228,'TECNICOS'!$B$4:$B$15,0)),"")</f>
        <v/>
      </c>
      <c r="H228" s="3">
        <f>IF(OR($F228="",ISNUMBER(MATCH($F228,lista_no_disponible,0))),0,p_horas_jornada)</f>
        <v/>
      </c>
      <c r="I228" s="3">
        <f>$A228&amp;"|"&amp;$B228&amp;"|"&amp;$C228</f>
        <v/>
      </c>
    </row>
    <row r="229">
      <c r="A229" s="3" t="inlineStr">
        <is>
          <t>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T1</t>
        </is>
      </c>
      <c r="G229" s="3">
        <f>IFERROR(INDEX('TECNICOS'!$E$4:$E$15,MATCH($C229,'TECNICOS'!$B$4:$B$15,0)),"")</f>
        <v/>
      </c>
      <c r="H229" s="3">
        <f>IF(OR($F229="",ISNUMBER(MATCH($F229,lista_no_disponible,0))),0,p_horas_jornada)</f>
        <v/>
      </c>
      <c r="I229" s="3">
        <f>$A229&amp;"|"&amp;$B229&amp;"|"&amp;$C229</f>
        <v/>
      </c>
    </row>
    <row r="230">
      <c r="A230" s="3" t="inlineStr">
        <is>
          <t>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T1</t>
        </is>
      </c>
      <c r="G230" s="3">
        <f>IFERROR(INDEX('TECNICOS'!$E$4:$E$15,MATCH($C230,'TECNICOS'!$B$4:$B$15,0)),"")</f>
        <v/>
      </c>
      <c r="H230" s="3">
        <f>IF(OR($F230="",ISNUMBER(MATCH($F230,lista_no_disponible,0))),0,p_horas_jornada)</f>
        <v/>
      </c>
      <c r="I230" s="3">
        <f>$A230&amp;"|"&amp;$B230&amp;"|"&amp;$C230</f>
        <v/>
      </c>
    </row>
    <row r="231">
      <c r="A231" s="3" t="inlineStr">
        <is>
          <t>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T1</t>
        </is>
      </c>
      <c r="G231" s="3">
        <f>IFERROR(INDEX('TECNICOS'!$E$4:$E$15,MATCH($C231,'TECNICOS'!$B$4:$B$15,0)),"")</f>
        <v/>
      </c>
      <c r="H231" s="3">
        <f>IF(OR($F231="",ISNUMBER(MATCH($F231,lista_no_disponible,0))),0,p_horas_jornada)</f>
        <v/>
      </c>
      <c r="I231" s="3">
        <f>$A231&amp;"|"&amp;$B231&amp;"|"&amp;$C231</f>
        <v/>
      </c>
    </row>
    <row r="232">
      <c r="A232" s="3" t="inlineStr">
        <is>
          <t>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T1</t>
        </is>
      </c>
      <c r="G232" s="3">
        <f>IFERROR(INDEX('TECNICOS'!$E$4:$E$15,MATCH($C232,'TECNICOS'!$B$4:$B$15,0)),"")</f>
        <v/>
      </c>
      <c r="H232" s="3">
        <f>IF(OR($F232="",ISNUMBER(MATCH($F232,lista_no_disponible,0))),0,p_horas_jornada)</f>
        <v/>
      </c>
      <c r="I232" s="3">
        <f>$A232&amp;"|"&amp;$B232&amp;"|"&amp;$C232</f>
        <v/>
      </c>
    </row>
    <row r="233">
      <c r="A233" s="3" t="inlineStr">
        <is>
          <t>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/>
      <c r="G233" s="3">
        <f>IFERROR(INDEX('TECNICOS'!$E$4:$E$15,MATCH($C233,'TECNICOS'!$B$4:$B$15,0)),"")</f>
        <v/>
      </c>
      <c r="H233" s="3">
        <f>IF(OR($F233="",ISNUMBER(MATCH($F233,lista_no_disponible,0))),0,p_horas_jornada)</f>
        <v/>
      </c>
      <c r="I233" s="3">
        <f>$A233&amp;"|"&amp;$B233&amp;"|"&amp;$C233</f>
        <v/>
      </c>
    </row>
    <row r="234">
      <c r="A234" s="3" t="inlineStr">
        <is>
          <t>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3">
        <f>IF(OR($F234="",ISNUMBER(MATCH($F234,lista_no_disponible,0))),0,p_horas_jornada)</f>
        <v/>
      </c>
      <c r="I234" s="3">
        <f>$A234&amp;"|"&amp;$B234&amp;"|"&amp;$C234</f>
        <v/>
      </c>
    </row>
    <row r="235">
      <c r="A235" s="3" t="inlineStr">
        <is>
          <t>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B1</t>
        </is>
      </c>
      <c r="G235" s="3">
        <f>IFERROR(INDEX('TECNICOS'!$E$4:$E$15,MATCH($C235,'TECNICOS'!$B$4:$B$15,0)),"")</f>
        <v/>
      </c>
      <c r="H235" s="3">
        <f>IF(OR($F235="",ISNUMBER(MATCH($F235,lista_no_disponible,0))),0,p_horas_jornada)</f>
        <v/>
      </c>
      <c r="I235" s="3">
        <f>$A235&amp;"|"&amp;$B235&amp;"|"&amp;$C235</f>
        <v/>
      </c>
    </row>
    <row r="236">
      <c r="A236" s="3" t="inlineStr">
        <is>
          <t>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B1</t>
        </is>
      </c>
      <c r="G236" s="3">
        <f>IFERROR(INDEX('TECNICOS'!$E$4:$E$15,MATCH($C236,'TECNICOS'!$B$4:$B$15,0)),"")</f>
        <v/>
      </c>
      <c r="H236" s="3">
        <f>IF(OR($F236="",ISNUMBER(MATCH($F236,lista_no_disponible,0))),0,p_horas_jornada)</f>
        <v/>
      </c>
      <c r="I236" s="3">
        <f>$A236&amp;"|"&amp;$B236&amp;"|"&amp;$C236</f>
        <v/>
      </c>
    </row>
    <row r="237">
      <c r="A237" s="3" t="inlineStr">
        <is>
          <t>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B1</t>
        </is>
      </c>
      <c r="G237" s="3">
        <f>IFERROR(INDEX('TECNICOS'!$E$4:$E$15,MATCH($C237,'TECNICOS'!$B$4:$B$15,0)),"")</f>
        <v/>
      </c>
      <c r="H237" s="3">
        <f>IF(OR($F237="",ISNUMBER(MATCH($F237,lista_no_disponible,0))),0,p_horas_jornada)</f>
        <v/>
      </c>
      <c r="I237" s="3">
        <f>$A237&amp;"|"&amp;$B237&amp;"|"&amp;$C237</f>
        <v/>
      </c>
    </row>
    <row r="238">
      <c r="A238" s="3" t="inlineStr">
        <is>
          <t>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B1</t>
        </is>
      </c>
      <c r="G238" s="3">
        <f>IFERROR(INDEX('TECNICOS'!$E$4:$E$15,MATCH($C238,'TECNICOS'!$B$4:$B$15,0)),"")</f>
        <v/>
      </c>
      <c r="H238" s="3">
        <f>IF(OR($F238="",ISNUMBER(MATCH($F238,lista_no_disponible,0))),0,p_horas_jornada)</f>
        <v/>
      </c>
      <c r="I238" s="3">
        <f>$A238&amp;"|"&amp;$B238&amp;"|"&amp;$C238</f>
        <v/>
      </c>
    </row>
    <row r="239">
      <c r="A239" s="3" t="inlineStr">
        <is>
          <t>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B1</t>
        </is>
      </c>
      <c r="G239" s="3">
        <f>IFERROR(INDEX('TECNICOS'!$E$4:$E$15,MATCH($C239,'TECNICOS'!$B$4:$B$15,0)),"")</f>
        <v/>
      </c>
      <c r="H239" s="3">
        <f>IF(OR($F239="",ISNUMBER(MATCH($F239,lista_no_disponible,0))),0,p_horas_jornada)</f>
        <v/>
      </c>
      <c r="I239" s="3">
        <f>$A239&amp;"|"&amp;$B239&amp;"|"&amp;$C239</f>
        <v/>
      </c>
    </row>
    <row r="240">
      <c r="A240" s="3" t="inlineStr">
        <is>
          <t>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/>
      <c r="G240" s="3">
        <f>IFERROR(INDEX('TECNICOS'!$E$4:$E$15,MATCH($C240,'TECNICOS'!$B$4:$B$15,0)),"")</f>
        <v/>
      </c>
      <c r="H240" s="3">
        <f>IF(OR($F240="",ISNUMBER(MATCH($F240,lista_no_disponible,0))),0,p_horas_jornada)</f>
        <v/>
      </c>
      <c r="I240" s="3">
        <f>$A240&amp;"|"&amp;$B240&amp;"|"&amp;$C240</f>
        <v/>
      </c>
    </row>
    <row r="241">
      <c r="A241" s="3" t="inlineStr">
        <is>
          <t>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3">
        <f>IF(OR($F241="",ISNUMBER(MATCH($F241,lista_no_disponible,0))),0,p_horas_jornada)</f>
        <v/>
      </c>
      <c r="I241" s="3">
        <f>$A241&amp;"|"&amp;$B241&amp;"|"&amp;$C241</f>
        <v/>
      </c>
    </row>
    <row r="242">
      <c r="A242" s="3" t="inlineStr">
        <is>
          <t>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3">
        <f>IF(OR($F242="",ISNUMBER(MATCH($F242,lista_no_disponible,0))),0,p_horas_jornada)</f>
        <v/>
      </c>
      <c r="I242" s="3">
        <f>$A242&amp;"|"&amp;$B242&amp;"|"&amp;$C242</f>
        <v/>
      </c>
    </row>
    <row r="243">
      <c r="A243" s="3" t="inlineStr">
        <is>
          <t>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3">
        <f>IF(OR($F243="",ISNUMBER(MATCH($F243,lista_no_disponible,0))),0,p_horas_jornada)</f>
        <v/>
      </c>
      <c r="I243" s="3">
        <f>$A243&amp;"|"&amp;$B243&amp;"|"&amp;$C243</f>
        <v/>
      </c>
    </row>
    <row r="244">
      <c r="A244" s="3" t="inlineStr">
        <is>
          <t>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3">
        <f>IF(OR($F244="",ISNUMBER(MATCH($F244,lista_no_disponible,0))),0,p_horas_jornada)</f>
        <v/>
      </c>
      <c r="I244" s="3">
        <f>$A244&amp;"|"&amp;$B244&amp;"|"&amp;$C244</f>
        <v/>
      </c>
    </row>
    <row r="245">
      <c r="A245" s="3" t="inlineStr">
        <is>
          <t>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3">
        <f>IF(OR($F245="",ISNUMBER(MATCH($F245,lista_no_disponible,0))),0,p_horas_jornada)</f>
        <v/>
      </c>
      <c r="I245" s="3">
        <f>$A245&amp;"|"&amp;$B245&amp;"|"&amp;$C245</f>
        <v/>
      </c>
    </row>
    <row r="246">
      <c r="A246" s="3" t="inlineStr">
        <is>
          <t>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3">
        <f>IF(OR($F246="",ISNUMBER(MATCH($F246,lista_no_disponible,0))),0,p_horas_jornada)</f>
        <v/>
      </c>
      <c r="I246" s="3">
        <f>$A246&amp;"|"&amp;$B246&amp;"|"&amp;$C246</f>
        <v/>
      </c>
    </row>
    <row r="247">
      <c r="A247" s="3" t="inlineStr">
        <is>
          <t>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/>
      <c r="G247" s="3">
        <f>IFERROR(INDEX('TECNICOS'!$E$4:$E$15,MATCH($C247,'TECNICOS'!$B$4:$B$15,0)),"")</f>
        <v/>
      </c>
      <c r="H247" s="3">
        <f>IF(OR($F247="",ISNUMBER(MATCH($F247,lista_no_disponible,0))),0,p_horas_jornada)</f>
        <v/>
      </c>
      <c r="I247" s="3">
        <f>$A247&amp;"|"&amp;$B247&amp;"|"&amp;$C247</f>
        <v/>
      </c>
    </row>
    <row r="248">
      <c r="A248" s="3" t="inlineStr">
        <is>
          <t>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3">
        <f>IF(OR($F248="",ISNUMBER(MATCH($F248,lista_no_disponible,0))),0,p_horas_jornada)</f>
        <v/>
      </c>
      <c r="I248" s="3">
        <f>$A248&amp;"|"&amp;$B248&amp;"|"&amp;$C248</f>
        <v/>
      </c>
    </row>
    <row r="249">
      <c r="A249" s="3" t="inlineStr">
        <is>
          <t>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3">
        <f>IF(OR($F249="",ISNUMBER(MATCH($F249,lista_no_disponible,0))),0,p_horas_jornada)</f>
        <v/>
      </c>
      <c r="I249" s="3">
        <f>$A249&amp;"|"&amp;$B249&amp;"|"&amp;$C249</f>
        <v/>
      </c>
    </row>
    <row r="250">
      <c r="A250" s="3" t="inlineStr">
        <is>
          <t>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3">
        <f>IF(OR($F250="",ISNUMBER(MATCH($F250,lista_no_disponible,0))),0,p_horas_jornada)</f>
        <v/>
      </c>
      <c r="I250" s="3">
        <f>$A250&amp;"|"&amp;$B250&amp;"|"&amp;$C250</f>
        <v/>
      </c>
    </row>
    <row r="251">
      <c r="A251" s="3" t="inlineStr">
        <is>
          <t>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3">
        <f>IF(OR($F251="",ISNUMBER(MATCH($F251,lista_no_disponible,0))),0,p_horas_jornada)</f>
        <v/>
      </c>
      <c r="I251" s="3">
        <f>$A251&amp;"|"&amp;$B251&amp;"|"&amp;$C251</f>
        <v/>
      </c>
    </row>
    <row r="252">
      <c r="A252" s="3" t="inlineStr">
        <is>
          <t>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3">
        <f>IF(OR($F252="",ISNUMBER(MATCH($F252,lista_no_disponible,0))),0,p_horas_jornada)</f>
        <v/>
      </c>
      <c r="I252" s="3">
        <f>$A252&amp;"|"&amp;$B252&amp;"|"&amp;$C252</f>
        <v/>
      </c>
    </row>
    <row r="253">
      <c r="A253" s="3" t="inlineStr">
        <is>
          <t>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3">
        <f>IF(OR($F253="",ISNUMBER(MATCH($F253,lista_no_disponible,0))),0,p_horas_jornada)</f>
        <v/>
      </c>
      <c r="I253" s="3">
        <f>$A253&amp;"|"&amp;$B253&amp;"|"&amp;$C253</f>
        <v/>
      </c>
    </row>
    <row r="254">
      <c r="A254" s="3" t="inlineStr">
        <is>
          <t>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/>
      <c r="G254" s="3">
        <f>IFERROR(INDEX('TECNICOS'!$E$4:$E$15,MATCH($C254,'TECNICOS'!$B$4:$B$15,0)),"")</f>
        <v/>
      </c>
      <c r="H254" s="3">
        <f>IF(OR($F254="",ISNUMBER(MATCH($F254,lista_no_disponible,0))),0,p_horas_jornada)</f>
        <v/>
      </c>
      <c r="I254" s="3">
        <f>$A254&amp;"|"&amp;$B254&amp;"|"&amp;$C254</f>
        <v/>
      </c>
    </row>
    <row r="255">
      <c r="A255" s="3" t="inlineStr">
        <is>
          <t>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/>
      <c r="G255" s="3">
        <f>IFERROR(INDEX('TECNICOS'!$E$4:$E$15,MATCH($C255,'TECNICOS'!$B$4:$B$15,0)),"")</f>
        <v/>
      </c>
      <c r="H255" s="3">
        <f>IF(OR($F255="",ISNUMBER(MATCH($F255,lista_no_disponible,0))),0,p_horas_jornada)</f>
        <v/>
      </c>
      <c r="I255" s="3">
        <f>$A255&amp;"|"&amp;$B255&amp;"|"&amp;$C255</f>
        <v/>
      </c>
    </row>
    <row r="256">
      <c r="A256" s="3" t="inlineStr">
        <is>
          <t>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3">
        <f>IF(OR($F256="",ISNUMBER(MATCH($F256,lista_no_disponible,0))),0,p_horas_jornada)</f>
        <v/>
      </c>
      <c r="I256" s="3">
        <f>$A256&amp;"|"&amp;$B256&amp;"|"&amp;$C256</f>
        <v/>
      </c>
    </row>
    <row r="257">
      <c r="A257" s="3" t="inlineStr">
        <is>
          <t>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3">
        <f>IF(OR($F257="",ISNUMBER(MATCH($F257,lista_no_disponible,0))),0,p_horas_jornada)</f>
        <v/>
      </c>
      <c r="I257" s="3">
        <f>$A257&amp;"|"&amp;$B257&amp;"|"&amp;$C257</f>
        <v/>
      </c>
    </row>
    <row r="258">
      <c r="A258" s="3" t="inlineStr">
        <is>
          <t>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3">
        <f>IF(OR($F258="",ISNUMBER(MATCH($F258,lista_no_disponible,0))),0,p_horas_jornada)</f>
        <v/>
      </c>
      <c r="I258" s="3">
        <f>$A258&amp;"|"&amp;$B258&amp;"|"&amp;$C258</f>
        <v/>
      </c>
    </row>
    <row r="259">
      <c r="A259" s="3" t="inlineStr">
        <is>
          <t>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3">
        <f>IF(OR($F259="",ISNUMBER(MATCH($F259,lista_no_disponible,0))),0,p_horas_jornada)</f>
        <v/>
      </c>
      <c r="I259" s="3">
        <f>$A259&amp;"|"&amp;$B259&amp;"|"&amp;$C259</f>
        <v/>
      </c>
    </row>
    <row r="260">
      <c r="A260" s="3" t="inlineStr">
        <is>
          <t>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3">
        <f>IF(OR($F260="",ISNUMBER(MATCH($F260,lista_no_disponible,0))),0,p_horas_jornada)</f>
        <v/>
      </c>
      <c r="I260" s="3">
        <f>$A260&amp;"|"&amp;$B260&amp;"|"&amp;$C260</f>
        <v/>
      </c>
    </row>
    <row r="261">
      <c r="A261" s="3" t="inlineStr">
        <is>
          <t>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/>
      <c r="G261" s="3">
        <f>IFERROR(INDEX('TECNICOS'!$E$4:$E$15,MATCH($C261,'TECNICOS'!$B$4:$B$15,0)),"")</f>
        <v/>
      </c>
      <c r="H261" s="3">
        <f>IF(OR($F261="",ISNUMBER(MATCH($F261,lista_no_disponible,0))),0,p_horas_jornada)</f>
        <v/>
      </c>
      <c r="I261" s="3">
        <f>$A261&amp;"|"&amp;$B261&amp;"|"&amp;$C261</f>
        <v/>
      </c>
    </row>
    <row r="262">
      <c r="A262" s="3" t="inlineStr">
        <is>
          <t>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3">
        <f>IF(OR($F262="",ISNUMBER(MATCH($F262,lista_no_disponible,0))),0,p_horas_jornada)</f>
        <v/>
      </c>
      <c r="I262" s="3">
        <f>$A262&amp;"|"&amp;$B262&amp;"|"&amp;$C262</f>
        <v/>
      </c>
    </row>
    <row r="263">
      <c r="A263" s="3" t="inlineStr">
        <is>
          <t>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3">
        <f>IF(OR($F263="",ISNUMBER(MATCH($F263,lista_no_disponible,0))),0,p_horas_jornada)</f>
        <v/>
      </c>
      <c r="I263" s="3">
        <f>$A263&amp;"|"&amp;$B263&amp;"|"&amp;$C263</f>
        <v/>
      </c>
    </row>
    <row r="264">
      <c r="A264" s="3" t="inlineStr">
        <is>
          <t>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3">
        <f>IF(OR($F264="",ISNUMBER(MATCH($F264,lista_no_disponible,0))),0,p_horas_jornada)</f>
        <v/>
      </c>
      <c r="I264" s="3">
        <f>$A264&amp;"|"&amp;$B264&amp;"|"&amp;$C264</f>
        <v/>
      </c>
    </row>
    <row r="265">
      <c r="A265" s="3" t="inlineStr">
        <is>
          <t>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3">
        <f>IF(OR($F265="",ISNUMBER(MATCH($F265,lista_no_disponible,0))),0,p_horas_jornada)</f>
        <v/>
      </c>
      <c r="I265" s="3">
        <f>$A265&amp;"|"&amp;$B265&amp;"|"&amp;$C265</f>
        <v/>
      </c>
    </row>
    <row r="266">
      <c r="A266" s="3" t="inlineStr">
        <is>
          <t>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3">
        <f>IF(OR($F266="",ISNUMBER(MATCH($F266,lista_no_disponible,0))),0,p_horas_jornada)</f>
        <v/>
      </c>
      <c r="I266" s="3">
        <f>$A266&amp;"|"&amp;$B266&amp;"|"&amp;$C266</f>
        <v/>
      </c>
    </row>
    <row r="267">
      <c r="A267" s="3" t="inlineStr">
        <is>
          <t>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3">
        <f>IF(OR($F267="",ISNUMBER(MATCH($F267,lista_no_disponible,0))),0,p_horas_jornada)</f>
        <v/>
      </c>
      <c r="I267" s="3">
        <f>$A267&amp;"|"&amp;$B267&amp;"|"&amp;$C267</f>
        <v/>
      </c>
    </row>
    <row r="268">
      <c r="A268" s="3" t="inlineStr">
        <is>
          <t>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/>
      <c r="G268" s="3">
        <f>IFERROR(INDEX('TECNICOS'!$E$4:$E$15,MATCH($C268,'TECNICOS'!$B$4:$B$15,0)),"")</f>
        <v/>
      </c>
      <c r="H268" s="3">
        <f>IF(OR($F268="",ISNUMBER(MATCH($F268,lista_no_disponible,0))),0,p_horas_jornada)</f>
        <v/>
      </c>
      <c r="I268" s="3">
        <f>$A268&amp;"|"&amp;$B268&amp;"|"&amp;$C268</f>
        <v/>
      </c>
    </row>
    <row r="269">
      <c r="A269" s="3" t="inlineStr">
        <is>
          <t>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3">
        <f>IF(OR($F269="",ISNUMBER(MATCH($F269,lista_no_disponible,0))),0,p_horas_jornada)</f>
        <v/>
      </c>
      <c r="I269" s="3">
        <f>$A269&amp;"|"&amp;$B269&amp;"|"&amp;$C269</f>
        <v/>
      </c>
    </row>
    <row r="270">
      <c r="A270" s="3" t="inlineStr">
        <is>
          <t>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3">
        <f>IF(OR($F270="",ISNUMBER(MATCH($F270,lista_no_disponible,0))),0,p_horas_jornada)</f>
        <v/>
      </c>
      <c r="I270" s="3">
        <f>$A270&amp;"|"&amp;$B270&amp;"|"&amp;$C270</f>
        <v/>
      </c>
    </row>
    <row r="271">
      <c r="A271" s="3" t="inlineStr">
        <is>
          <t>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3">
        <f>IF(OR($F271="",ISNUMBER(MATCH($F271,lista_no_disponible,0))),0,p_horas_jornada)</f>
        <v/>
      </c>
      <c r="I271" s="3">
        <f>$A271&amp;"|"&amp;$B271&amp;"|"&amp;$C271</f>
        <v/>
      </c>
    </row>
    <row r="272">
      <c r="A272" s="3" t="inlineStr">
        <is>
          <t>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3">
        <f>IF(OR($F272="",ISNUMBER(MATCH($F272,lista_no_disponible,0))),0,p_horas_jornada)</f>
        <v/>
      </c>
      <c r="I272" s="3">
        <f>$A272&amp;"|"&amp;$B272&amp;"|"&amp;$C272</f>
        <v/>
      </c>
    </row>
    <row r="273">
      <c r="A273" s="3" t="inlineStr">
        <is>
          <t>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3">
        <f>IF(OR($F273="",ISNUMBER(MATCH($F273,lista_no_disponible,0))),0,p_horas_jornada)</f>
        <v/>
      </c>
      <c r="I273" s="3">
        <f>$A273&amp;"|"&amp;$B273&amp;"|"&amp;$C273</f>
        <v/>
      </c>
    </row>
    <row r="274">
      <c r="A274" s="3" t="inlineStr">
        <is>
          <t>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3">
        <f>IF(OR($F274="",ISNUMBER(MATCH($F274,lista_no_disponible,0))),0,p_horas_jornada)</f>
        <v/>
      </c>
      <c r="I274" s="3">
        <f>$A274&amp;"|"&amp;$B274&amp;"|"&amp;$C274</f>
        <v/>
      </c>
    </row>
    <row r="275">
      <c r="A275" s="3" t="inlineStr">
        <is>
          <t>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/>
      <c r="G275" s="3">
        <f>IFERROR(INDEX('TECNICOS'!$E$4:$E$15,MATCH($C275,'TECNICOS'!$B$4:$B$15,0)),"")</f>
        <v/>
      </c>
      <c r="H275" s="3">
        <f>IF(OR($F275="",ISNUMBER(MATCH($F275,lista_no_disponible,0))),0,p_horas_jornada)</f>
        <v/>
      </c>
      <c r="I275" s="3">
        <f>$A275&amp;"|"&amp;$B275&amp;"|"&amp;$C275</f>
        <v/>
      </c>
    </row>
    <row r="276">
      <c r="A276" s="3" t="inlineStr">
        <is>
          <t>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3">
        <f>IF(OR($F276="",ISNUMBER(MATCH($F276,lista_no_disponible,0))),0,p_horas_jornada)</f>
        <v/>
      </c>
      <c r="I276" s="3">
        <f>$A276&amp;"|"&amp;$B276&amp;"|"&amp;$C276</f>
        <v/>
      </c>
    </row>
    <row r="277">
      <c r="A277" s="3" t="inlineStr">
        <is>
          <t>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3">
        <f>IF(OR($F277="",ISNUMBER(MATCH($F277,lista_no_disponible,0))),0,p_horas_jornada)</f>
        <v/>
      </c>
      <c r="I277" s="3">
        <f>$A277&amp;"|"&amp;$B277&amp;"|"&amp;$C277</f>
        <v/>
      </c>
    </row>
    <row r="278">
      <c r="A278" s="3" t="inlineStr">
        <is>
          <t>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3">
        <f>IF(OR($F278="",ISNUMBER(MATCH($F278,lista_no_disponible,0))),0,p_horas_jornada)</f>
        <v/>
      </c>
      <c r="I278" s="3">
        <f>$A278&amp;"|"&amp;$B278&amp;"|"&amp;$C278</f>
        <v/>
      </c>
    </row>
    <row r="279">
      <c r="A279" s="3" t="inlineStr">
        <is>
          <t>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3">
        <f>IF(OR($F279="",ISNUMBER(MATCH($F279,lista_no_disponible,0))),0,p_horas_jornada)</f>
        <v/>
      </c>
      <c r="I279" s="3">
        <f>$A279&amp;"|"&amp;$B279&amp;"|"&amp;$C279</f>
        <v/>
      </c>
    </row>
    <row r="280">
      <c r="A280" s="3" t="inlineStr">
        <is>
          <t>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3">
        <f>IF(OR($F280="",ISNUMBER(MATCH($F280,lista_no_disponible,0))),0,p_horas_jornada)</f>
        <v/>
      </c>
      <c r="I280" s="3">
        <f>$A280&amp;"|"&amp;$B280&amp;"|"&amp;$C280</f>
        <v/>
      </c>
    </row>
    <row r="281">
      <c r="A281" s="3" t="inlineStr">
        <is>
          <t>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3">
        <f>IF(OR($F281="",ISNUMBER(MATCH($F281,lista_no_disponible,0))),0,p_horas_jornada)</f>
        <v/>
      </c>
      <c r="I281" s="3">
        <f>$A281&amp;"|"&amp;$B281&amp;"|"&amp;$C281</f>
        <v/>
      </c>
    </row>
    <row r="282">
      <c r="A282" s="3" t="inlineStr">
        <is>
          <t>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/>
      <c r="G282" s="3">
        <f>IFERROR(INDEX('TECNICOS'!$E$4:$E$15,MATCH($C282,'TECNICOS'!$B$4:$B$15,0)),"")</f>
        <v/>
      </c>
      <c r="H282" s="3">
        <f>IF(OR($F282="",ISNUMBER(MATCH($F282,lista_no_disponible,0))),0,p_horas_jornada)</f>
        <v/>
      </c>
      <c r="I282" s="3">
        <f>$A282&amp;"|"&amp;$B282&amp;"|"&amp;$C282</f>
        <v/>
      </c>
    </row>
    <row r="283">
      <c r="A283" s="3" t="inlineStr">
        <is>
          <t>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3">
        <f>IF(OR($F283="",ISNUMBER(MATCH($F283,lista_no_disponible,0))),0,p_horas_jornada)</f>
        <v/>
      </c>
      <c r="I283" s="3">
        <f>$A283&amp;"|"&amp;$B283&amp;"|"&amp;$C283</f>
        <v/>
      </c>
    </row>
    <row r="284">
      <c r="A284" s="3" t="inlineStr">
        <is>
          <t>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3">
        <f>IF(OR($F284="",ISNUMBER(MATCH($F284,lista_no_disponible,0))),0,p_horas_jornada)</f>
        <v/>
      </c>
      <c r="I284" s="3">
        <f>$A284&amp;"|"&amp;$B284&amp;"|"&amp;$C284</f>
        <v/>
      </c>
    </row>
    <row r="285">
      <c r="A285" s="3" t="inlineStr">
        <is>
          <t>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3">
        <f>IF(OR($F285="",ISNUMBER(MATCH($F285,lista_no_disponible,0))),0,p_horas_jornada)</f>
        <v/>
      </c>
      <c r="I285" s="3">
        <f>$A285&amp;"|"&amp;$B285&amp;"|"&amp;$C285</f>
        <v/>
      </c>
    </row>
    <row r="286">
      <c r="A286" s="3" t="inlineStr">
        <is>
          <t>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3">
        <f>IF(OR($F286="",ISNUMBER(MATCH($F286,lista_no_disponible,0))),0,p_horas_jornada)</f>
        <v/>
      </c>
      <c r="I286" s="3">
        <f>$A286&amp;"|"&amp;$B286&amp;"|"&amp;$C286</f>
        <v/>
      </c>
    </row>
    <row r="287">
      <c r="A287" s="3" t="inlineStr">
        <is>
          <t>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3">
        <f>IF(OR($F287="",ISNUMBER(MATCH($F287,lista_no_disponible,0))),0,p_horas_jornada)</f>
        <v/>
      </c>
      <c r="I287" s="3">
        <f>$A287&amp;"|"&amp;$B287&amp;"|"&amp;$C287</f>
        <v/>
      </c>
    </row>
    <row r="288">
      <c r="A288" s="3" t="inlineStr">
        <is>
          <t>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3">
        <f>IF(OR($F288="",ISNUMBER(MATCH($F288,lista_no_disponible,0))),0,p_horas_jornada)</f>
        <v/>
      </c>
      <c r="I288" s="3">
        <f>$A288&amp;"|"&amp;$B288&amp;"|"&amp;$C288</f>
        <v/>
      </c>
    </row>
    <row r="289">
      <c r="A289" s="3" t="inlineStr">
        <is>
          <t>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/>
      <c r="G289" s="3">
        <f>IFERROR(INDEX('TECNICOS'!$E$4:$E$15,MATCH($C289,'TECNICOS'!$B$4:$B$15,0)),"")</f>
        <v/>
      </c>
      <c r="H289" s="3">
        <f>IF(OR($F289="",ISNUMBER(MATCH($F289,lista_no_disponible,0))),0,p_horas_jornada)</f>
        <v/>
      </c>
      <c r="I289" s="3">
        <f>$A289&amp;"|"&amp;$B289&amp;"|"&amp;$C289</f>
        <v/>
      </c>
    </row>
    <row r="290">
      <c r="A290" s="3" t="inlineStr">
        <is>
          <t>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3">
        <f>IF(OR($F290="",ISNUMBER(MATCH($F290,lista_no_disponible,0))),0,p_horas_jornada)</f>
        <v/>
      </c>
      <c r="I290" s="3">
        <f>$A290&amp;"|"&amp;$B290&amp;"|"&amp;$C290</f>
        <v/>
      </c>
    </row>
    <row r="291">
      <c r="A291" s="3" t="inlineStr">
        <is>
          <t>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3">
        <f>IF(OR($F291="",ISNUMBER(MATCH($F291,lista_no_disponible,0))),0,p_horas_jornada)</f>
        <v/>
      </c>
      <c r="I291" s="3">
        <f>$A291&amp;"|"&amp;$B291&amp;"|"&amp;$C291</f>
        <v/>
      </c>
    </row>
    <row r="292">
      <c r="A292" s="3" t="inlineStr">
        <is>
          <t>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3">
        <f>IF(OR($F292="",ISNUMBER(MATCH($F292,lista_no_disponible,0))),0,p_horas_jornada)</f>
        <v/>
      </c>
      <c r="I292" s="3">
        <f>$A292&amp;"|"&amp;$B292&amp;"|"&amp;$C292</f>
        <v/>
      </c>
    </row>
    <row r="293">
      <c r="A293" s="3" t="inlineStr">
        <is>
          <t>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3">
        <f>IF(OR($F293="",ISNUMBER(MATCH($F293,lista_no_disponible,0))),0,p_horas_jornada)</f>
        <v/>
      </c>
      <c r="I293" s="3">
        <f>$A293&amp;"|"&amp;$B293&amp;"|"&amp;$C293</f>
        <v/>
      </c>
    </row>
    <row r="294">
      <c r="A294" s="3" t="inlineStr">
        <is>
          <t>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3">
        <f>IF(OR($F294="",ISNUMBER(MATCH($F294,lista_no_disponible,0))),0,p_horas_jornada)</f>
        <v/>
      </c>
      <c r="I294" s="3">
        <f>$A294&amp;"|"&amp;$B294&amp;"|"&amp;$C294</f>
        <v/>
      </c>
    </row>
    <row r="295">
      <c r="A295" s="3" t="inlineStr">
        <is>
          <t>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3">
        <f>IF(OR($F295="",ISNUMBER(MATCH($F295,lista_no_disponible,0))),0,p_horas_jornada)</f>
        <v/>
      </c>
      <c r="I295" s="3">
        <f>$A295&amp;"|"&amp;$B295&amp;"|"&amp;$C295</f>
        <v/>
      </c>
    </row>
    <row r="296">
      <c r="A296" s="3" t="inlineStr">
        <is>
          <t>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/>
      <c r="G296" s="3">
        <f>IFERROR(INDEX('TECNICOS'!$E$4:$E$15,MATCH($C296,'TECNICOS'!$B$4:$B$15,0)),"")</f>
        <v/>
      </c>
      <c r="H296" s="3">
        <f>IF(OR($F296="",ISNUMBER(MATCH($F296,lista_no_disponible,0))),0,p_horas_jornada)</f>
        <v/>
      </c>
      <c r="I296" s="3">
        <f>$A296&amp;"|"&amp;$B296&amp;"|"&amp;$C296</f>
        <v/>
      </c>
    </row>
    <row r="297">
      <c r="A297" s="3" t="inlineStr">
        <is>
          <t>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3">
        <f>IF(OR($F297="",ISNUMBER(MATCH($F297,lista_no_disponible,0))),0,p_horas_jornada)</f>
        <v/>
      </c>
      <c r="I297" s="3">
        <f>$A297&amp;"|"&amp;$B297&amp;"|"&amp;$C297</f>
        <v/>
      </c>
    </row>
    <row r="298">
      <c r="A298" s="3" t="inlineStr">
        <is>
          <t>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3">
        <f>IF(OR($F298="",ISNUMBER(MATCH($F298,lista_no_disponible,0))),0,p_horas_jornada)</f>
        <v/>
      </c>
      <c r="I298" s="3">
        <f>$A298&amp;"|"&amp;$B298&amp;"|"&amp;$C298</f>
        <v/>
      </c>
    </row>
    <row r="299">
      <c r="A299" s="3" t="inlineStr">
        <is>
          <t>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3">
        <f>IF(OR($F299="",ISNUMBER(MATCH($F299,lista_no_disponible,0))),0,p_horas_jornada)</f>
        <v/>
      </c>
      <c r="I299" s="3">
        <f>$A299&amp;"|"&amp;$B299&amp;"|"&amp;$C299</f>
        <v/>
      </c>
    </row>
    <row r="300">
      <c r="A300" s="3" t="inlineStr">
        <is>
          <t>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3">
        <f>IF(OR($F300="",ISNUMBER(MATCH($F300,lista_no_disponible,0))),0,p_horas_jornada)</f>
        <v/>
      </c>
      <c r="I300" s="3">
        <f>$A300&amp;"|"&amp;$B300&amp;"|"&amp;$C300</f>
        <v/>
      </c>
    </row>
    <row r="301">
      <c r="A301" s="3" t="inlineStr">
        <is>
          <t>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3">
        <f>IF(OR($F301="",ISNUMBER(MATCH($F301,lista_no_disponible,0))),0,p_horas_jornada)</f>
        <v/>
      </c>
      <c r="I301" s="3">
        <f>$A301&amp;"|"&amp;$B301&amp;"|"&amp;$C301</f>
        <v/>
      </c>
    </row>
    <row r="302">
      <c r="A302" s="3" t="inlineStr">
        <is>
          <t>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3">
        <f>IF(OR($F302="",ISNUMBER(MATCH($F302,lista_no_disponible,0))),0,p_horas_jornada)</f>
        <v/>
      </c>
      <c r="I302" s="3">
        <f>$A302&amp;"|"&amp;$B302&amp;"|"&amp;$C302</f>
        <v/>
      </c>
    </row>
    <row r="303">
      <c r="A303" s="3" t="inlineStr">
        <is>
          <t>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/>
      <c r="G303" s="3">
        <f>IFERROR(INDEX('TECNICOS'!$E$4:$E$15,MATCH($C303,'TECNICOS'!$B$4:$B$15,0)),"")</f>
        <v/>
      </c>
      <c r="H303" s="3">
        <f>IF(OR($F303="",ISNUMBER(MATCH($F303,lista_no_disponible,0))),0,p_horas_jornada)</f>
        <v/>
      </c>
      <c r="I303" s="3">
        <f>$A303&amp;"|"&amp;$B303&amp;"|"&amp;$C303</f>
        <v/>
      </c>
    </row>
    <row r="304">
      <c r="A304" s="3" t="inlineStr">
        <is>
          <t>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3">
        <f>IF(OR($F304="",ISNUMBER(MATCH($F304,lista_no_disponible,0))),0,p_horas_jornada)</f>
        <v/>
      </c>
      <c r="I304" s="3">
        <f>$A304&amp;"|"&amp;$B304&amp;"|"&amp;$C304</f>
        <v/>
      </c>
    </row>
    <row r="305">
      <c r="A305" s="3" t="inlineStr">
        <is>
          <t>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T3</t>
        </is>
      </c>
      <c r="G305" s="3">
        <f>IFERROR(INDEX('TECNICOS'!$E$4:$E$15,MATCH($C305,'TECNICOS'!$B$4:$B$15,0)),"")</f>
        <v/>
      </c>
      <c r="H305" s="3">
        <f>IF(OR($F305="",ISNUMBER(MATCH($F305,lista_no_disponible,0))),0,p_horas_jornada)</f>
        <v/>
      </c>
      <c r="I305" s="3">
        <f>$A305&amp;"|"&amp;$B305&amp;"|"&amp;$C305</f>
        <v/>
      </c>
    </row>
    <row r="306">
      <c r="A306" s="3" t="inlineStr">
        <is>
          <t>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T3</t>
        </is>
      </c>
      <c r="G306" s="3">
        <f>IFERROR(INDEX('TECNICOS'!$E$4:$E$15,MATCH($C306,'TECNICOS'!$B$4:$B$15,0)),"")</f>
        <v/>
      </c>
      <c r="H306" s="3">
        <f>IF(OR($F306="",ISNUMBER(MATCH($F306,lista_no_disponible,0))),0,p_horas_jornada)</f>
        <v/>
      </c>
      <c r="I306" s="3">
        <f>$A306&amp;"|"&amp;$B306&amp;"|"&amp;$C306</f>
        <v/>
      </c>
    </row>
    <row r="307">
      <c r="A307" s="3" t="inlineStr">
        <is>
          <t>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T3</t>
        </is>
      </c>
      <c r="G307" s="3">
        <f>IFERROR(INDEX('TECNICOS'!$E$4:$E$15,MATCH($C307,'TECNICOS'!$B$4:$B$15,0)),"")</f>
        <v/>
      </c>
      <c r="H307" s="3">
        <f>IF(OR($F307="",ISNUMBER(MATCH($F307,lista_no_disponible,0))),0,p_horas_jornada)</f>
        <v/>
      </c>
      <c r="I307" s="3">
        <f>$A307&amp;"|"&amp;$B307&amp;"|"&amp;$C307</f>
        <v/>
      </c>
    </row>
    <row r="308">
      <c r="A308" s="3" t="inlineStr">
        <is>
          <t>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T3</t>
        </is>
      </c>
      <c r="G308" s="3">
        <f>IFERROR(INDEX('TECNICOS'!$E$4:$E$15,MATCH($C308,'TECNICOS'!$B$4:$B$15,0)),"")</f>
        <v/>
      </c>
      <c r="H308" s="3">
        <f>IF(OR($F308="",ISNUMBER(MATCH($F308,lista_no_disponible,0))),0,p_horas_jornada)</f>
        <v/>
      </c>
      <c r="I308" s="3">
        <f>$A308&amp;"|"&amp;$B308&amp;"|"&amp;$C308</f>
        <v/>
      </c>
    </row>
    <row r="309">
      <c r="A309" s="3" t="inlineStr">
        <is>
          <t>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T3</t>
        </is>
      </c>
      <c r="G309" s="3">
        <f>IFERROR(INDEX('TECNICOS'!$E$4:$E$15,MATCH($C309,'TECNICOS'!$B$4:$B$15,0)),"")</f>
        <v/>
      </c>
      <c r="H309" s="3">
        <f>IF(OR($F309="",ISNUMBER(MATCH($F309,lista_no_disponible,0))),0,p_horas_jornada)</f>
        <v/>
      </c>
      <c r="I309" s="3">
        <f>$A309&amp;"|"&amp;$B309&amp;"|"&amp;$C309</f>
        <v/>
      </c>
    </row>
    <row r="310">
      <c r="A310" s="3" t="inlineStr">
        <is>
          <t>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/>
      <c r="G310" s="3">
        <f>IFERROR(INDEX('TECNICOS'!$E$4:$E$15,MATCH($C310,'TECNICOS'!$B$4:$B$15,0)),"")</f>
        <v/>
      </c>
      <c r="H310" s="3">
        <f>IF(OR($F310="",ISNUMBER(MATCH($F310,lista_no_disponible,0))),0,p_horas_jornada)</f>
        <v/>
      </c>
      <c r="I310" s="3">
        <f>$A310&amp;"|"&amp;$B310&amp;"|"&amp;$C310</f>
        <v/>
      </c>
    </row>
    <row r="311">
      <c r="A311" s="3" t="inlineStr">
        <is>
          <t>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3">
        <f>IF(OR($F311="",ISNUMBER(MATCH($F311,lista_no_disponible,0))),0,p_horas_jornada)</f>
        <v/>
      </c>
      <c r="I311" s="3">
        <f>$A311&amp;"|"&amp;$B311&amp;"|"&amp;$C311</f>
        <v/>
      </c>
    </row>
    <row r="312">
      <c r="A312" s="3" t="inlineStr">
        <is>
          <t>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T1</t>
        </is>
      </c>
      <c r="G312" s="3">
        <f>IFERROR(INDEX('TECNICOS'!$E$4:$E$15,MATCH($C312,'TECNICOS'!$B$4:$B$15,0)),"")</f>
        <v/>
      </c>
      <c r="H312" s="3">
        <f>IF(OR($F312="",ISNUMBER(MATCH($F312,lista_no_disponible,0))),0,p_horas_jornada)</f>
        <v/>
      </c>
      <c r="I312" s="3">
        <f>$A312&amp;"|"&amp;$B312&amp;"|"&amp;$C312</f>
        <v/>
      </c>
    </row>
    <row r="313">
      <c r="A313" s="3" t="inlineStr">
        <is>
          <t>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T1</t>
        </is>
      </c>
      <c r="G313" s="3">
        <f>IFERROR(INDEX('TECNICOS'!$E$4:$E$15,MATCH($C313,'TECNICOS'!$B$4:$B$15,0)),"")</f>
        <v/>
      </c>
      <c r="H313" s="3">
        <f>IF(OR($F313="",ISNUMBER(MATCH($F313,lista_no_disponible,0))),0,p_horas_jornada)</f>
        <v/>
      </c>
      <c r="I313" s="3">
        <f>$A313&amp;"|"&amp;$B313&amp;"|"&amp;$C313</f>
        <v/>
      </c>
    </row>
    <row r="314">
      <c r="A314" s="3" t="inlineStr">
        <is>
          <t>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T1</t>
        </is>
      </c>
      <c r="G314" s="3">
        <f>IFERROR(INDEX('TECNICOS'!$E$4:$E$15,MATCH($C314,'TECNICOS'!$B$4:$B$15,0)),"")</f>
        <v/>
      </c>
      <c r="H314" s="3">
        <f>IF(OR($F314="",ISNUMBER(MATCH($F314,lista_no_disponible,0))),0,p_horas_jornada)</f>
        <v/>
      </c>
      <c r="I314" s="3">
        <f>$A314&amp;"|"&amp;$B314&amp;"|"&amp;$C314</f>
        <v/>
      </c>
    </row>
    <row r="315">
      <c r="A315" s="3" t="inlineStr">
        <is>
          <t>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T1</t>
        </is>
      </c>
      <c r="G315" s="3">
        <f>IFERROR(INDEX('TECNICOS'!$E$4:$E$15,MATCH($C315,'TECNICOS'!$B$4:$B$15,0)),"")</f>
        <v/>
      </c>
      <c r="H315" s="3">
        <f>IF(OR($F315="",ISNUMBER(MATCH($F315,lista_no_disponible,0))),0,p_horas_jornada)</f>
        <v/>
      </c>
      <c r="I315" s="3">
        <f>$A315&amp;"|"&amp;$B315&amp;"|"&amp;$C315</f>
        <v/>
      </c>
    </row>
    <row r="316">
      <c r="A316" s="3" t="inlineStr">
        <is>
          <t>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T1</t>
        </is>
      </c>
      <c r="G316" s="3">
        <f>IFERROR(INDEX('TECNICOS'!$E$4:$E$15,MATCH($C316,'TECNICOS'!$B$4:$B$15,0)),"")</f>
        <v/>
      </c>
      <c r="H316" s="3">
        <f>IF(OR($F316="",ISNUMBER(MATCH($F316,lista_no_disponible,0))),0,p_horas_jornada)</f>
        <v/>
      </c>
      <c r="I316" s="3">
        <f>$A316&amp;"|"&amp;$B316&amp;"|"&amp;$C316</f>
        <v/>
      </c>
    </row>
    <row r="317">
      <c r="A317" s="3" t="inlineStr">
        <is>
          <t>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/>
      <c r="G317" s="3">
        <f>IFERROR(INDEX('TECNICOS'!$E$4:$E$15,MATCH($C317,'TECNICOS'!$B$4:$B$15,0)),"")</f>
        <v/>
      </c>
      <c r="H317" s="3">
        <f>IF(OR($F317="",ISNUMBER(MATCH($F317,lista_no_disponible,0))),0,p_horas_jornada)</f>
        <v/>
      </c>
      <c r="I317" s="3">
        <f>$A317&amp;"|"&amp;$B317&amp;"|"&amp;$C317</f>
        <v/>
      </c>
    </row>
    <row r="318">
      <c r="A318" s="3" t="inlineStr">
        <is>
          <t>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3">
        <f>IF(OR($F318="",ISNUMBER(MATCH($F318,lista_no_disponible,0))),0,p_horas_jornada)</f>
        <v/>
      </c>
      <c r="I318" s="3">
        <f>$A318&amp;"|"&amp;$B318&amp;"|"&amp;$C318</f>
        <v/>
      </c>
    </row>
    <row r="319">
      <c r="A319" s="3" t="inlineStr">
        <is>
          <t>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B1</t>
        </is>
      </c>
      <c r="G319" s="3">
        <f>IFERROR(INDEX('TECNICOS'!$E$4:$E$15,MATCH($C319,'TECNICOS'!$B$4:$B$15,0)),"")</f>
        <v/>
      </c>
      <c r="H319" s="3">
        <f>IF(OR($F319="",ISNUMBER(MATCH($F319,lista_no_disponible,0))),0,p_horas_jornada)</f>
        <v/>
      </c>
      <c r="I319" s="3">
        <f>$A319&amp;"|"&amp;$B319&amp;"|"&amp;$C319</f>
        <v/>
      </c>
    </row>
    <row r="320">
      <c r="A320" s="3" t="inlineStr">
        <is>
          <t>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B1</t>
        </is>
      </c>
      <c r="G320" s="3">
        <f>IFERROR(INDEX('TECNICOS'!$E$4:$E$15,MATCH($C320,'TECNICOS'!$B$4:$B$15,0)),"")</f>
        <v/>
      </c>
      <c r="H320" s="3">
        <f>IF(OR($F320="",ISNUMBER(MATCH($F320,lista_no_disponible,0))),0,p_horas_jornada)</f>
        <v/>
      </c>
      <c r="I320" s="3">
        <f>$A320&amp;"|"&amp;$B320&amp;"|"&amp;$C320</f>
        <v/>
      </c>
    </row>
    <row r="321">
      <c r="A321" s="3" t="inlineStr">
        <is>
          <t>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B1</t>
        </is>
      </c>
      <c r="G321" s="3">
        <f>IFERROR(INDEX('TECNICOS'!$E$4:$E$15,MATCH($C321,'TECNICOS'!$B$4:$B$15,0)),"")</f>
        <v/>
      </c>
      <c r="H321" s="3">
        <f>IF(OR($F321="",ISNUMBER(MATCH($F321,lista_no_disponible,0))),0,p_horas_jornada)</f>
        <v/>
      </c>
      <c r="I321" s="3">
        <f>$A321&amp;"|"&amp;$B321&amp;"|"&amp;$C321</f>
        <v/>
      </c>
    </row>
    <row r="322">
      <c r="A322" s="3" t="inlineStr">
        <is>
          <t>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B1</t>
        </is>
      </c>
      <c r="G322" s="3">
        <f>IFERROR(INDEX('TECNICOS'!$E$4:$E$15,MATCH($C322,'TECNICOS'!$B$4:$B$15,0)),"")</f>
        <v/>
      </c>
      <c r="H322" s="3">
        <f>IF(OR($F322="",ISNUMBER(MATCH($F322,lista_no_disponible,0))),0,p_horas_jornada)</f>
        <v/>
      </c>
      <c r="I322" s="3">
        <f>$A322&amp;"|"&amp;$B322&amp;"|"&amp;$C322</f>
        <v/>
      </c>
    </row>
    <row r="323">
      <c r="A323" s="3" t="inlineStr">
        <is>
          <t>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B1</t>
        </is>
      </c>
      <c r="G323" s="3">
        <f>IFERROR(INDEX('TECNICOS'!$E$4:$E$15,MATCH($C323,'TECNICOS'!$B$4:$B$15,0)),"")</f>
        <v/>
      </c>
      <c r="H323" s="3">
        <f>IF(OR($F323="",ISNUMBER(MATCH($F323,lista_no_disponible,0))),0,p_horas_jornada)</f>
        <v/>
      </c>
      <c r="I323" s="3">
        <f>$A323&amp;"|"&amp;$B323&amp;"|"&amp;$C323</f>
        <v/>
      </c>
    </row>
    <row r="324">
      <c r="A324" s="3" t="inlineStr">
        <is>
          <t>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/>
      <c r="G324" s="3">
        <f>IFERROR(INDEX('TECNICOS'!$E$4:$E$15,MATCH($C324,'TECNICOS'!$B$4:$B$15,0)),"")</f>
        <v/>
      </c>
      <c r="H324" s="3">
        <f>IF(OR($F324="",ISNUMBER(MATCH($F324,lista_no_disponible,0))),0,p_horas_jornada)</f>
        <v/>
      </c>
      <c r="I324" s="3">
        <f>$A324&amp;"|"&amp;$B324&amp;"|"&amp;$C324</f>
        <v/>
      </c>
    </row>
    <row r="325">
      <c r="A325" s="3" t="inlineStr">
        <is>
          <t>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3">
        <f>IF(OR($F325="",ISNUMBER(MATCH($F325,lista_no_disponible,0))),0,p_horas_jornada)</f>
        <v/>
      </c>
      <c r="I325" s="3">
        <f>$A325&amp;"|"&amp;$B325&amp;"|"&amp;$C325</f>
        <v/>
      </c>
    </row>
    <row r="326">
      <c r="A326" s="3" t="inlineStr">
        <is>
          <t>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3">
        <f>IF(OR($F326="",ISNUMBER(MATCH($F326,lista_no_disponible,0))),0,p_horas_jornada)</f>
        <v/>
      </c>
      <c r="I326" s="3">
        <f>$A326&amp;"|"&amp;$B326&amp;"|"&amp;$C326</f>
        <v/>
      </c>
    </row>
    <row r="327">
      <c r="A327" s="3" t="inlineStr">
        <is>
          <t>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3">
        <f>IF(OR($F327="",ISNUMBER(MATCH($F327,lista_no_disponible,0))),0,p_horas_jornada)</f>
        <v/>
      </c>
      <c r="I327" s="3">
        <f>$A327&amp;"|"&amp;$B327&amp;"|"&amp;$C327</f>
        <v/>
      </c>
    </row>
    <row r="328">
      <c r="A328" s="3" t="inlineStr">
        <is>
          <t>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3">
        <f>IF(OR($F328="",ISNUMBER(MATCH($F328,lista_no_disponible,0))),0,p_horas_jornada)</f>
        <v/>
      </c>
      <c r="I328" s="3">
        <f>$A328&amp;"|"&amp;$B328&amp;"|"&amp;$C328</f>
        <v/>
      </c>
    </row>
    <row r="329">
      <c r="A329" s="3" t="inlineStr">
        <is>
          <t>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3">
        <f>IF(OR($F329="",ISNUMBER(MATCH($F329,lista_no_disponible,0))),0,p_horas_jornada)</f>
        <v/>
      </c>
      <c r="I329" s="3">
        <f>$A329&amp;"|"&amp;$B329&amp;"|"&amp;$C329</f>
        <v/>
      </c>
    </row>
    <row r="330">
      <c r="A330" s="3" t="inlineStr">
        <is>
          <t>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3">
        <f>IF(OR($F330="",ISNUMBER(MATCH($F330,lista_no_disponible,0))),0,p_horas_jornada)</f>
        <v/>
      </c>
      <c r="I330" s="3">
        <f>$A330&amp;"|"&amp;$B330&amp;"|"&amp;$C330</f>
        <v/>
      </c>
    </row>
    <row r="331">
      <c r="A331" s="3" t="inlineStr">
        <is>
          <t>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/>
      <c r="G331" s="3">
        <f>IFERROR(INDEX('TECNICOS'!$E$4:$E$15,MATCH($C331,'TECNICOS'!$B$4:$B$15,0)),"")</f>
        <v/>
      </c>
      <c r="H331" s="3">
        <f>IF(OR($F331="",ISNUMBER(MATCH($F331,lista_no_disponible,0))),0,p_horas_jornada)</f>
        <v/>
      </c>
      <c r="I331" s="3">
        <f>$A331&amp;"|"&amp;$B331&amp;"|"&amp;$C331</f>
        <v/>
      </c>
    </row>
    <row r="332">
      <c r="A332" s="3" t="inlineStr">
        <is>
          <t>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3">
        <f>IF(OR($F332="",ISNUMBER(MATCH($F332,lista_no_disponible,0))),0,p_horas_jornada)</f>
        <v/>
      </c>
      <c r="I332" s="3">
        <f>$A332&amp;"|"&amp;$B332&amp;"|"&amp;$C332</f>
        <v/>
      </c>
    </row>
    <row r="333">
      <c r="A333" s="3" t="inlineStr">
        <is>
          <t>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3">
        <f>IF(OR($F333="",ISNUMBER(MATCH($F333,lista_no_disponible,0))),0,p_horas_jornada)</f>
        <v/>
      </c>
      <c r="I333" s="3">
        <f>$A333&amp;"|"&amp;$B333&amp;"|"&amp;$C333</f>
        <v/>
      </c>
    </row>
    <row r="334">
      <c r="A334" s="3" t="inlineStr">
        <is>
          <t>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3">
        <f>IF(OR($F334="",ISNUMBER(MATCH($F334,lista_no_disponible,0))),0,p_horas_jornada)</f>
        <v/>
      </c>
      <c r="I334" s="3">
        <f>$A334&amp;"|"&amp;$B334&amp;"|"&amp;$C334</f>
        <v/>
      </c>
    </row>
    <row r="335">
      <c r="A335" s="3" t="inlineStr">
        <is>
          <t>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3">
        <f>IF(OR($F335="",ISNUMBER(MATCH($F335,lista_no_disponible,0))),0,p_horas_jornada)</f>
        <v/>
      </c>
      <c r="I335" s="3">
        <f>$A335&amp;"|"&amp;$B335&amp;"|"&amp;$C335</f>
        <v/>
      </c>
    </row>
    <row r="336">
      <c r="A336" s="3" t="inlineStr">
        <is>
          <t>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3">
        <f>IF(OR($F336="",ISNUMBER(MATCH($F336,lista_no_disponible,0))),0,p_horas_jornada)</f>
        <v/>
      </c>
      <c r="I336" s="3">
        <f>$A336&amp;"|"&amp;$B336&amp;"|"&amp;$C336</f>
        <v/>
      </c>
    </row>
    <row r="337">
      <c r="A337" s="3" t="inlineStr">
        <is>
          <t>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3">
        <f>IF(OR($F337="",ISNUMBER(MATCH($F337,lista_no_disponible,0))),0,p_horas_jornada)</f>
        <v/>
      </c>
      <c r="I337" s="3">
        <f>$A337&amp;"|"&amp;$B337&amp;"|"&amp;$C337</f>
        <v/>
      </c>
    </row>
    <row r="338">
      <c r="A338" s="3" t="inlineStr">
        <is>
          <t>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/>
      <c r="G338" s="3">
        <f>IFERROR(INDEX('TECNICOS'!$E$4:$E$15,MATCH($C338,'TECNICOS'!$B$4:$B$15,0)),"")</f>
        <v/>
      </c>
      <c r="H338" s="3">
        <f>IF(OR($F338="",ISNUMBER(MATCH($F338,lista_no_disponible,0))),0,p_horas_jornada)</f>
        <v/>
      </c>
      <c r="I338" s="3">
        <f>$A338&amp;"|"&amp;$B338&amp;"|"&amp;$C338</f>
        <v/>
      </c>
    </row>
    <row r="339">
      <c r="A339" s="3" t="inlineStr">
        <is>
          <t>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3">
        <f>IF(OR($F339="",ISNUMBER(MATCH($F339,lista_no_disponible,0))),0,p_horas_jornada)</f>
        <v/>
      </c>
      <c r="I339" s="3">
        <f>$A339&amp;"|"&amp;$B339&amp;"|"&amp;$C339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</cols>
  <sheetData>
    <row r="1">
      <c r="A1" s="1" t="inlineStr">
        <is>
          <t>PERFIL DE HH (REGLA-6) — especialidad × semana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</row>
    <row r="4">
      <c r="A4" s="3" t="inlineStr">
        <is>
          <t>MEC</t>
        </is>
      </c>
      <c r="B4" s="3" t="inlineStr">
        <is>
          <t>S29</t>
        </is>
      </c>
      <c r="C4" s="14">
        <f>SUMIFS('ASIGNACIONES'!$H$4:$H$339,'ASIGNACIONES'!$E$4:$E$339,$A4,'ASIGNACIONES'!$A$4:$A$339,$B4)</f>
        <v/>
      </c>
      <c r="D4" s="14">
        <f>C4*p_factor_productividad</f>
        <v/>
      </c>
      <c r="E4" s="14">
        <f>SUMIFS('ORDENES'!$L$4:$L$203,'ORDENES'!$W$4:$W$203,$A4,'ORDENES'!$O$4:$O$203,$B4,'ORDENES'!$S$4:$S$203,"preventiva")</f>
        <v/>
      </c>
      <c r="F4" s="14">
        <f>SUMIFS('ORDENES'!$L$4:$L$203,'ORDENES'!$W$4:$W$203,$A4,'ORDENES'!$O$4:$O$203,$B4,'ORDENES'!$S$4:$S$203,"correctiva")</f>
        <v/>
      </c>
      <c r="G4" s="14">
        <f>E4+F4</f>
        <v/>
      </c>
      <c r="H4" s="14">
        <f>D4-G4</f>
        <v/>
      </c>
      <c r="I4" s="15">
        <f>IF(D4=0,"",G4/D4)</f>
        <v/>
      </c>
    </row>
    <row r="5">
      <c r="A5" s="3" t="inlineStr">
        <is>
          <t>MEC</t>
        </is>
      </c>
      <c r="B5" s="3" t="inlineStr">
        <is>
          <t>S30</t>
        </is>
      </c>
      <c r="C5" s="14">
        <f>SUMIFS('ASIGNACIONES'!$H$4:$H$339,'ASIGNACIONES'!$E$4:$E$339,$A5,'ASIGNACIONES'!$A$4:$A$339,$B5)</f>
        <v/>
      </c>
      <c r="D5" s="14">
        <f>C5*p_factor_productividad</f>
        <v/>
      </c>
      <c r="E5" s="14">
        <f>SUMIFS('ORDENES'!$L$4:$L$203,'ORDENES'!$W$4:$W$203,$A5,'ORDENES'!$O$4:$O$203,$B5,'ORDENES'!$S$4:$S$203,"preventiva")</f>
        <v/>
      </c>
      <c r="F5" s="14">
        <f>SUMIFS('ORDENES'!$L$4:$L$203,'ORDENES'!$W$4:$W$203,$A5,'ORDENES'!$O$4:$O$203,$B5,'ORDENES'!$S$4:$S$203,"correctiva")</f>
        <v/>
      </c>
      <c r="G5" s="14">
        <f>E5+F5</f>
        <v/>
      </c>
      <c r="H5" s="14">
        <f>D5-G5</f>
        <v/>
      </c>
      <c r="I5" s="15">
        <f>IF(D5=0,"",G5/D5)</f>
        <v/>
      </c>
    </row>
    <row r="6">
      <c r="A6" s="3" t="inlineStr">
        <is>
          <t>MEC</t>
        </is>
      </c>
      <c r="B6" s="3" t="inlineStr">
        <is>
          <t>S31</t>
        </is>
      </c>
      <c r="C6" s="14">
        <f>SUMIFS('ASIGNACIONES'!$H$4:$H$339,'ASIGNACIONES'!$E$4:$E$339,$A6,'ASIGNACIONES'!$A$4:$A$339,$B6)</f>
        <v/>
      </c>
      <c r="D6" s="14">
        <f>C6*p_factor_productividad</f>
        <v/>
      </c>
      <c r="E6" s="14">
        <f>SUMIFS('ORDENES'!$L$4:$L$203,'ORDENES'!$W$4:$W$203,$A6,'ORDENES'!$O$4:$O$203,$B6,'ORDENES'!$S$4:$S$203,"preventiva")</f>
        <v/>
      </c>
      <c r="F6" s="14">
        <f>SUMIFS('ORDENES'!$L$4:$L$203,'ORDENES'!$W$4:$W$203,$A6,'ORDENES'!$O$4:$O$203,$B6,'ORDENES'!$S$4:$S$203,"correctiva")</f>
        <v/>
      </c>
      <c r="G6" s="14">
        <f>E6+F6</f>
        <v/>
      </c>
      <c r="H6" s="14">
        <f>D6-G6</f>
        <v/>
      </c>
      <c r="I6" s="15">
        <f>IF(D6=0,"",G6/D6)</f>
        <v/>
      </c>
    </row>
    <row r="7">
      <c r="A7" s="3" t="inlineStr">
        <is>
          <t>MEC</t>
        </is>
      </c>
      <c r="B7" s="3" t="inlineStr">
        <is>
          <t>S32</t>
        </is>
      </c>
      <c r="C7" s="14">
        <f>SUMIFS('ASIGNACIONES'!$H$4:$H$339,'ASIGNACIONES'!$E$4:$E$339,$A7,'ASIGNACIONES'!$A$4:$A$339,$B7)</f>
        <v/>
      </c>
      <c r="D7" s="14">
        <f>C7*p_factor_productividad</f>
        <v/>
      </c>
      <c r="E7" s="14">
        <f>SUMIFS('ORDENES'!$L$4:$L$203,'ORDENES'!$W$4:$W$203,$A7,'ORDENES'!$O$4:$O$203,$B7,'ORDENES'!$S$4:$S$203,"preventiva")</f>
        <v/>
      </c>
      <c r="F7" s="14">
        <f>SUMIFS('ORDENES'!$L$4:$L$203,'ORDENES'!$W$4:$W$203,$A7,'ORDENES'!$O$4:$O$203,$B7,'ORDENES'!$S$4:$S$203,"correctiva")</f>
        <v/>
      </c>
      <c r="G7" s="14">
        <f>E7+F7</f>
        <v/>
      </c>
      <c r="H7" s="14">
        <f>D7-G7</f>
        <v/>
      </c>
      <c r="I7" s="15">
        <f>IF(D7=0,"",G7/D7)</f>
        <v/>
      </c>
    </row>
    <row r="8">
      <c r="A8" s="3" t="inlineStr">
        <is>
          <t>ELE</t>
        </is>
      </c>
      <c r="B8" s="3" t="inlineStr">
        <is>
          <t>S29</t>
        </is>
      </c>
      <c r="C8" s="14">
        <f>SUMIFS('ASIGNACIONES'!$H$4:$H$339,'ASIGNACIONES'!$E$4:$E$339,$A8,'ASIGNACIONES'!$A$4:$A$339,$B8)</f>
        <v/>
      </c>
      <c r="D8" s="14">
        <f>C8*p_factor_productividad</f>
        <v/>
      </c>
      <c r="E8" s="14">
        <f>SUMIFS('ORDENES'!$L$4:$L$203,'ORDENES'!$W$4:$W$203,$A8,'ORDENES'!$O$4:$O$203,$B8,'ORDENES'!$S$4:$S$203,"preventiva")</f>
        <v/>
      </c>
      <c r="F8" s="14">
        <f>SUMIFS('ORDENES'!$L$4:$L$203,'ORDENES'!$W$4:$W$203,$A8,'ORDENES'!$O$4:$O$203,$B8,'ORDENES'!$S$4:$S$203,"correctiva")</f>
        <v/>
      </c>
      <c r="G8" s="14">
        <f>E8+F8</f>
        <v/>
      </c>
      <c r="H8" s="14">
        <f>D8-G8</f>
        <v/>
      </c>
      <c r="I8" s="15">
        <f>IF(D8=0,"",G8/D8)</f>
        <v/>
      </c>
    </row>
    <row r="9">
      <c r="A9" s="3" t="inlineStr">
        <is>
          <t>ELE</t>
        </is>
      </c>
      <c r="B9" s="3" t="inlineStr">
        <is>
          <t>S30</t>
        </is>
      </c>
      <c r="C9" s="14">
        <f>SUMIFS('ASIGNACIONES'!$H$4:$H$339,'ASIGNACIONES'!$E$4:$E$339,$A9,'ASIGNACIONES'!$A$4:$A$339,$B9)</f>
        <v/>
      </c>
      <c r="D9" s="14">
        <f>C9*p_factor_productividad</f>
        <v/>
      </c>
      <c r="E9" s="14">
        <f>SUMIFS('ORDENES'!$L$4:$L$203,'ORDENES'!$W$4:$W$203,$A9,'ORDENES'!$O$4:$O$203,$B9,'ORDENES'!$S$4:$S$203,"preventiva")</f>
        <v/>
      </c>
      <c r="F9" s="14">
        <f>SUMIFS('ORDENES'!$L$4:$L$203,'ORDENES'!$W$4:$W$203,$A9,'ORDENES'!$O$4:$O$203,$B9,'ORDENES'!$S$4:$S$203,"correctiva")</f>
        <v/>
      </c>
      <c r="G9" s="14">
        <f>E9+F9</f>
        <v/>
      </c>
      <c r="H9" s="14">
        <f>D9-G9</f>
        <v/>
      </c>
      <c r="I9" s="15">
        <f>IF(D9=0,"",G9/D9)</f>
        <v/>
      </c>
    </row>
    <row r="10">
      <c r="A10" s="3" t="inlineStr">
        <is>
          <t>ELE</t>
        </is>
      </c>
      <c r="B10" s="3" t="inlineStr">
        <is>
          <t>S31</t>
        </is>
      </c>
      <c r="C10" s="14">
        <f>SUMIFS('ASIGNACIONES'!$H$4:$H$339,'ASIGNACIONES'!$E$4:$E$339,$A10,'ASIGNACIONES'!$A$4:$A$339,$B10)</f>
        <v/>
      </c>
      <c r="D10" s="14">
        <f>C10*p_factor_productividad</f>
        <v/>
      </c>
      <c r="E10" s="14">
        <f>SUMIFS('ORDENES'!$L$4:$L$203,'ORDENES'!$W$4:$W$203,$A10,'ORDENES'!$O$4:$O$203,$B10,'ORDENES'!$S$4:$S$203,"preventiva")</f>
        <v/>
      </c>
      <c r="F10" s="14">
        <f>SUMIFS('ORDENES'!$L$4:$L$203,'ORDENES'!$W$4:$W$203,$A10,'ORDENES'!$O$4:$O$203,$B10,'ORDENES'!$S$4:$S$203,"correctiva")</f>
        <v/>
      </c>
      <c r="G10" s="14">
        <f>E10+F10</f>
        <v/>
      </c>
      <c r="H10" s="14">
        <f>D10-G10</f>
        <v/>
      </c>
      <c r="I10" s="15">
        <f>IF(D10=0,"",G10/D10)</f>
        <v/>
      </c>
    </row>
    <row r="11">
      <c r="A11" s="3" t="inlineStr">
        <is>
          <t>ELE</t>
        </is>
      </c>
      <c r="B11" s="3" t="inlineStr">
        <is>
          <t>S32</t>
        </is>
      </c>
      <c r="C11" s="14">
        <f>SUMIFS('ASIGNACIONES'!$H$4:$H$339,'ASIGNACIONES'!$E$4:$E$339,$A11,'ASIGNACIONES'!$A$4:$A$339,$B11)</f>
        <v/>
      </c>
      <c r="D11" s="14">
        <f>C11*p_factor_productividad</f>
        <v/>
      </c>
      <c r="E11" s="14">
        <f>SUMIFS('ORDENES'!$L$4:$L$203,'ORDENES'!$W$4:$W$203,$A11,'ORDENES'!$O$4:$O$203,$B11,'ORDENES'!$S$4:$S$203,"preventiva")</f>
        <v/>
      </c>
      <c r="F11" s="14">
        <f>SUMIFS('ORDENES'!$L$4:$L$203,'ORDENES'!$W$4:$W$203,$A11,'ORDENES'!$O$4:$O$203,$B11,'ORDENES'!$S$4:$S$203,"correctiva")</f>
        <v/>
      </c>
      <c r="G11" s="14">
        <f>E11+F11</f>
        <v/>
      </c>
      <c r="H11" s="14">
        <f>D11-G11</f>
        <v/>
      </c>
      <c r="I11" s="15">
        <f>IF(D11=0,"",G11/D11)</f>
        <v/>
      </c>
    </row>
    <row r="12">
      <c r="A12" s="3" t="inlineStr">
        <is>
          <t>AUT</t>
        </is>
      </c>
      <c r="B12" s="3" t="inlineStr">
        <is>
          <t>S29</t>
        </is>
      </c>
      <c r="C12" s="14">
        <f>SUMIFS('ASIGNACIONES'!$H$4:$H$339,'ASIGNACIONES'!$E$4:$E$339,$A12,'ASIGNACIONES'!$A$4:$A$339,$B12)</f>
        <v/>
      </c>
      <c r="D12" s="14">
        <f>C12*p_factor_productividad</f>
        <v/>
      </c>
      <c r="E12" s="14">
        <f>SUMIFS('ORDENES'!$L$4:$L$203,'ORDENES'!$W$4:$W$203,$A12,'ORDENES'!$O$4:$O$203,$B12,'ORDENES'!$S$4:$S$203,"preventiva")</f>
        <v/>
      </c>
      <c r="F12" s="14">
        <f>SUMIFS('ORDENES'!$L$4:$L$203,'ORDENES'!$W$4:$W$203,$A12,'ORDENES'!$O$4:$O$203,$B12,'ORDENES'!$S$4:$S$203,"correctiva")</f>
        <v/>
      </c>
      <c r="G12" s="14">
        <f>E12+F12</f>
        <v/>
      </c>
      <c r="H12" s="14">
        <f>D12-G12</f>
        <v/>
      </c>
      <c r="I12" s="15">
        <f>IF(D12=0,"",G12/D12)</f>
        <v/>
      </c>
    </row>
    <row r="13">
      <c r="A13" s="3" t="inlineStr">
        <is>
          <t>AUT</t>
        </is>
      </c>
      <c r="B13" s="3" t="inlineStr">
        <is>
          <t>S30</t>
        </is>
      </c>
      <c r="C13" s="14">
        <f>SUMIFS('ASIGNACIONES'!$H$4:$H$339,'ASIGNACIONES'!$E$4:$E$339,$A13,'ASIGNACIONES'!$A$4:$A$339,$B13)</f>
        <v/>
      </c>
      <c r="D13" s="14">
        <f>C13*p_factor_productividad</f>
        <v/>
      </c>
      <c r="E13" s="14">
        <f>SUMIFS('ORDENES'!$L$4:$L$203,'ORDENES'!$W$4:$W$203,$A13,'ORDENES'!$O$4:$O$203,$B13,'ORDENES'!$S$4:$S$203,"preventiva")</f>
        <v/>
      </c>
      <c r="F13" s="14">
        <f>SUMIFS('ORDENES'!$L$4:$L$203,'ORDENES'!$W$4:$W$203,$A13,'ORDENES'!$O$4:$O$203,$B13,'ORDENES'!$S$4:$S$203,"correctiva")</f>
        <v/>
      </c>
      <c r="G13" s="14">
        <f>E13+F13</f>
        <v/>
      </c>
      <c r="H13" s="14">
        <f>D13-G13</f>
        <v/>
      </c>
      <c r="I13" s="15">
        <f>IF(D13=0,"",G13/D13)</f>
        <v/>
      </c>
    </row>
    <row r="14">
      <c r="A14" s="3" t="inlineStr">
        <is>
          <t>AUT</t>
        </is>
      </c>
      <c r="B14" s="3" t="inlineStr">
        <is>
          <t>S31</t>
        </is>
      </c>
      <c r="C14" s="14">
        <f>SUMIFS('ASIGNACIONES'!$H$4:$H$339,'ASIGNACIONES'!$E$4:$E$339,$A14,'ASIGNACIONES'!$A$4:$A$339,$B14)</f>
        <v/>
      </c>
      <c r="D14" s="14">
        <f>C14*p_factor_productividad</f>
        <v/>
      </c>
      <c r="E14" s="14">
        <f>SUMIFS('ORDENES'!$L$4:$L$203,'ORDENES'!$W$4:$W$203,$A14,'ORDENES'!$O$4:$O$203,$B14,'ORDENES'!$S$4:$S$203,"preventiva")</f>
        <v/>
      </c>
      <c r="F14" s="14">
        <f>SUMIFS('ORDENES'!$L$4:$L$203,'ORDENES'!$W$4:$W$203,$A14,'ORDENES'!$O$4:$O$203,$B14,'ORDENES'!$S$4:$S$203,"correctiva")</f>
        <v/>
      </c>
      <c r="G14" s="14">
        <f>E14+F14</f>
        <v/>
      </c>
      <c r="H14" s="14">
        <f>D14-G14</f>
        <v/>
      </c>
      <c r="I14" s="15">
        <f>IF(D14=0,"",G14/D14)</f>
        <v/>
      </c>
    </row>
    <row r="15">
      <c r="A15" s="3" t="inlineStr">
        <is>
          <t>AUT</t>
        </is>
      </c>
      <c r="B15" s="3" t="inlineStr">
        <is>
          <t>S32</t>
        </is>
      </c>
      <c r="C15" s="14">
        <f>SUMIFS('ASIGNACIONES'!$H$4:$H$339,'ASIGNACIONES'!$E$4:$E$339,$A15,'ASIGNACIONES'!$A$4:$A$339,$B15)</f>
        <v/>
      </c>
      <c r="D15" s="14">
        <f>C15*p_factor_productividad</f>
        <v/>
      </c>
      <c r="E15" s="14">
        <f>SUMIFS('ORDENES'!$L$4:$L$203,'ORDENES'!$W$4:$W$203,$A15,'ORDENES'!$O$4:$O$203,$B15,'ORDENES'!$S$4:$S$203,"preventiva")</f>
        <v/>
      </c>
      <c r="F15" s="14">
        <f>SUMIFS('ORDENES'!$L$4:$L$203,'ORDENES'!$W$4:$W$203,$A15,'ORDENES'!$O$4:$O$203,$B15,'ORDENES'!$S$4:$S$203,"correctiva")</f>
        <v/>
      </c>
      <c r="G15" s="14">
        <f>E15+F15</f>
        <v/>
      </c>
      <c r="H15" s="14">
        <f>D15-G15</f>
        <v/>
      </c>
      <c r="I15" s="15">
        <f>IF(D15=0,"",G15/D15)</f>
        <v/>
      </c>
    </row>
    <row r="16">
      <c r="A16" s="3" t="inlineStr">
        <is>
          <t>OP</t>
        </is>
      </c>
      <c r="B16" s="3" t="inlineStr">
        <is>
          <t>S29</t>
        </is>
      </c>
      <c r="C16" s="14">
        <f>SUMIFS('ASIGNACIONES'!$H$4:$H$339,'ASIGNACIONES'!$E$4:$E$339,$A16,'ASIGNACIONES'!$A$4:$A$339,$B16)</f>
        <v/>
      </c>
      <c r="D16" s="14">
        <f>C16*p_factor_productividad</f>
        <v/>
      </c>
      <c r="E16" s="14">
        <f>SUMIFS('ORDENES'!$L$4:$L$203,'ORDENES'!$W$4:$W$203,$A16,'ORDENES'!$O$4:$O$203,$B16,'ORDENES'!$S$4:$S$203,"preventiva")</f>
        <v/>
      </c>
      <c r="F16" s="14">
        <f>SUMIFS('ORDENES'!$L$4:$L$203,'ORDENES'!$W$4:$W$203,$A16,'ORDENES'!$O$4:$O$203,$B16,'ORDENES'!$S$4:$S$203,"correctiva")</f>
        <v/>
      </c>
      <c r="G16" s="14">
        <f>E16+F16</f>
        <v/>
      </c>
      <c r="H16" s="14">
        <f>D16-G16</f>
        <v/>
      </c>
      <c r="I16" s="15">
        <f>IF(D16=0,"",G16/D16)</f>
        <v/>
      </c>
    </row>
    <row r="17">
      <c r="A17" s="3" t="inlineStr">
        <is>
          <t>OP</t>
        </is>
      </c>
      <c r="B17" s="3" t="inlineStr">
        <is>
          <t>S30</t>
        </is>
      </c>
      <c r="C17" s="14">
        <f>SUMIFS('ASIGNACIONES'!$H$4:$H$339,'ASIGNACIONES'!$E$4:$E$339,$A17,'ASIGNACIONES'!$A$4:$A$339,$B17)</f>
        <v/>
      </c>
      <c r="D17" s="14">
        <f>C17*p_factor_productividad</f>
        <v/>
      </c>
      <c r="E17" s="14">
        <f>SUMIFS('ORDENES'!$L$4:$L$203,'ORDENES'!$W$4:$W$203,$A17,'ORDENES'!$O$4:$O$203,$B17,'ORDENES'!$S$4:$S$203,"preventiva")</f>
        <v/>
      </c>
      <c r="F17" s="14">
        <f>SUMIFS('ORDENES'!$L$4:$L$203,'ORDENES'!$W$4:$W$203,$A17,'ORDENES'!$O$4:$O$203,$B17,'ORDENES'!$S$4:$S$203,"correctiva")</f>
        <v/>
      </c>
      <c r="G17" s="14">
        <f>E17+F17</f>
        <v/>
      </c>
      <c r="H17" s="14">
        <f>D17-G17</f>
        <v/>
      </c>
      <c r="I17" s="15">
        <f>IF(D17=0,"",G17/D17)</f>
        <v/>
      </c>
    </row>
    <row r="18">
      <c r="A18" s="3" t="inlineStr">
        <is>
          <t>OP</t>
        </is>
      </c>
      <c r="B18" s="3" t="inlineStr">
        <is>
          <t>S31</t>
        </is>
      </c>
      <c r="C18" s="14">
        <f>SUMIFS('ASIGNACIONES'!$H$4:$H$339,'ASIGNACIONES'!$E$4:$E$339,$A18,'ASIGNACIONES'!$A$4:$A$339,$B18)</f>
        <v/>
      </c>
      <c r="D18" s="14">
        <f>C18*p_factor_productividad</f>
        <v/>
      </c>
      <c r="E18" s="14">
        <f>SUMIFS('ORDENES'!$L$4:$L$203,'ORDENES'!$W$4:$W$203,$A18,'ORDENES'!$O$4:$O$203,$B18,'ORDENES'!$S$4:$S$203,"preventiva")</f>
        <v/>
      </c>
      <c r="F18" s="14">
        <f>SUMIFS('ORDENES'!$L$4:$L$203,'ORDENES'!$W$4:$W$203,$A18,'ORDENES'!$O$4:$O$203,$B18,'ORDENES'!$S$4:$S$203,"correctiva")</f>
        <v/>
      </c>
      <c r="G18" s="14">
        <f>E18+F18</f>
        <v/>
      </c>
      <c r="H18" s="14">
        <f>D18-G18</f>
        <v/>
      </c>
      <c r="I18" s="15">
        <f>IF(D18=0,"",G18/D18)</f>
        <v/>
      </c>
    </row>
    <row r="19">
      <c r="A19" s="3" t="inlineStr">
        <is>
          <t>OP</t>
        </is>
      </c>
      <c r="B19" s="3" t="inlineStr">
        <is>
          <t>S32</t>
        </is>
      </c>
      <c r="C19" s="14">
        <f>SUMIFS('ASIGNACIONES'!$H$4:$H$339,'ASIGNACIONES'!$E$4:$E$339,$A19,'ASIGNACIONES'!$A$4:$A$339,$B19)</f>
        <v/>
      </c>
      <c r="D19" s="14">
        <f>C19*p_factor_productividad</f>
        <v/>
      </c>
      <c r="E19" s="14">
        <f>SUMIFS('ORDENES'!$L$4:$L$203,'ORDENES'!$W$4:$W$203,$A19,'ORDENES'!$O$4:$O$203,$B19,'ORDENES'!$S$4:$S$203,"preventiva")</f>
        <v/>
      </c>
      <c r="F19" s="14">
        <f>SUMIFS('ORDENES'!$L$4:$L$203,'ORDENES'!$W$4:$W$203,$A19,'ORDENES'!$O$4:$O$203,$B19,'ORDENES'!$S$4:$S$203,"correctiva")</f>
        <v/>
      </c>
      <c r="G19" s="14">
        <f>E19+F19</f>
        <v/>
      </c>
      <c r="H19" s="14">
        <f>D19-G19</f>
        <v/>
      </c>
      <c r="I19" s="15">
        <f>IF(D19=0,"",G19/D19)</f>
        <v/>
      </c>
    </row>
    <row r="20">
      <c r="A20" s="3" t="inlineStr">
        <is>
          <t>TERCERO</t>
        </is>
      </c>
      <c r="B20" s="3" t="inlineStr">
        <is>
          <t>S29</t>
        </is>
      </c>
      <c r="C20" s="14">
        <f>SUMIFS('ASIGNACIONES'!$H$4:$H$339,'ASIGNACIONES'!$E$4:$E$339,$A20,'ASIGNACIONES'!$A$4:$A$339,$B20)</f>
        <v/>
      </c>
      <c r="D20" s="14">
        <f>C20*p_factor_productividad</f>
        <v/>
      </c>
      <c r="E20" s="14">
        <f>SUMIFS('ORDENES'!$L$4:$L$203,'ORDENES'!$W$4:$W$203,$A20,'ORDENES'!$O$4:$O$203,$B20,'ORDENES'!$S$4:$S$203,"preventiva")</f>
        <v/>
      </c>
      <c r="F20" s="14">
        <f>SUMIFS('ORDENES'!$L$4:$L$203,'ORDENES'!$W$4:$W$203,$A20,'ORDENES'!$O$4:$O$203,$B20,'ORDENES'!$S$4:$S$203,"correctiva")</f>
        <v/>
      </c>
      <c r="G20" s="14">
        <f>E20+F20</f>
        <v/>
      </c>
      <c r="H20" s="14">
        <f>D20-G20</f>
        <v/>
      </c>
      <c r="I20" s="15">
        <f>IF(D20=0,"",G20/D20)</f>
        <v/>
      </c>
    </row>
    <row r="21">
      <c r="A21" s="3" t="inlineStr">
        <is>
          <t>TERCERO</t>
        </is>
      </c>
      <c r="B21" s="3" t="inlineStr">
        <is>
          <t>S30</t>
        </is>
      </c>
      <c r="C21" s="14">
        <f>SUMIFS('ASIGNACIONES'!$H$4:$H$339,'ASIGNACIONES'!$E$4:$E$339,$A21,'ASIGNACIONES'!$A$4:$A$339,$B21)</f>
        <v/>
      </c>
      <c r="D21" s="14">
        <f>C21*p_factor_productividad</f>
        <v/>
      </c>
      <c r="E21" s="14">
        <f>SUMIFS('ORDENES'!$L$4:$L$203,'ORDENES'!$W$4:$W$203,$A21,'ORDENES'!$O$4:$O$203,$B21,'ORDENES'!$S$4:$S$203,"preventiva")</f>
        <v/>
      </c>
      <c r="F21" s="14">
        <f>SUMIFS('ORDENES'!$L$4:$L$203,'ORDENES'!$W$4:$W$203,$A21,'ORDENES'!$O$4:$O$203,$B21,'ORDENES'!$S$4:$S$203,"correctiva")</f>
        <v/>
      </c>
      <c r="G21" s="14">
        <f>E21+F21</f>
        <v/>
      </c>
      <c r="H21" s="14">
        <f>D21-G21</f>
        <v/>
      </c>
      <c r="I21" s="15">
        <f>IF(D21=0,"",G21/D21)</f>
        <v/>
      </c>
    </row>
    <row r="22">
      <c r="A22" s="3" t="inlineStr">
        <is>
          <t>TERCERO</t>
        </is>
      </c>
      <c r="B22" s="3" t="inlineStr">
        <is>
          <t>S31</t>
        </is>
      </c>
      <c r="C22" s="14">
        <f>SUMIFS('ASIGNACIONES'!$H$4:$H$339,'ASIGNACIONES'!$E$4:$E$339,$A22,'ASIGNACIONES'!$A$4:$A$339,$B22)</f>
        <v/>
      </c>
      <c r="D22" s="14">
        <f>C22*p_factor_productividad</f>
        <v/>
      </c>
      <c r="E22" s="14">
        <f>SUMIFS('ORDENES'!$L$4:$L$203,'ORDENES'!$W$4:$W$203,$A22,'ORDENES'!$O$4:$O$203,$B22,'ORDENES'!$S$4:$S$203,"preventiva")</f>
        <v/>
      </c>
      <c r="F22" s="14">
        <f>SUMIFS('ORDENES'!$L$4:$L$203,'ORDENES'!$W$4:$W$203,$A22,'ORDENES'!$O$4:$O$203,$B22,'ORDENES'!$S$4:$S$203,"correctiva")</f>
        <v/>
      </c>
      <c r="G22" s="14">
        <f>E22+F22</f>
        <v/>
      </c>
      <c r="H22" s="14">
        <f>D22-G22</f>
        <v/>
      </c>
      <c r="I22" s="15">
        <f>IF(D22=0,"",G22/D22)</f>
        <v/>
      </c>
    </row>
    <row r="23">
      <c r="A23" s="3" t="inlineStr">
        <is>
          <t>TERCERO</t>
        </is>
      </c>
      <c r="B23" s="3" t="inlineStr">
        <is>
          <t>S32</t>
        </is>
      </c>
      <c r="C23" s="14">
        <f>SUMIFS('ASIGNACIONES'!$H$4:$H$339,'ASIGNACIONES'!$E$4:$E$339,$A23,'ASIGNACIONES'!$A$4:$A$339,$B23)</f>
        <v/>
      </c>
      <c r="D23" s="14">
        <f>C23*p_factor_productividad</f>
        <v/>
      </c>
      <c r="E23" s="14">
        <f>SUMIFS('ORDENES'!$L$4:$L$203,'ORDENES'!$W$4:$W$203,$A23,'ORDENES'!$O$4:$O$203,$B23,'ORDENES'!$S$4:$S$203,"preventiva")</f>
        <v/>
      </c>
      <c r="F23" s="14">
        <f>SUMIFS('ORDENES'!$L$4:$L$203,'ORDENES'!$W$4:$W$203,$A23,'ORDENES'!$O$4:$O$203,$B23,'ORDENES'!$S$4:$S$203,"correctiva")</f>
        <v/>
      </c>
      <c r="G23" s="14">
        <f>E23+F23</f>
        <v/>
      </c>
      <c r="H23" s="14">
        <f>D23-G23</f>
        <v/>
      </c>
      <c r="I23" s="15">
        <f>IF(D23=0,"",G23/D23)</f>
        <v/>
      </c>
    </row>
    <row r="25">
      <c r="A25" s="4" t="inlineStr">
        <is>
          <t>MATRIZ % CARGA — semáforo: verde &lt; 85 %, amarillo 85–100 %, rojo &gt; 100 %</t>
        </is>
      </c>
    </row>
    <row r="26">
      <c r="A26" s="5" t="inlineStr">
        <is>
          <t>especialidad</t>
        </is>
      </c>
      <c r="B26" s="5" t="inlineStr">
        <is>
          <t>S29</t>
        </is>
      </c>
      <c r="C26" s="5" t="inlineStr">
        <is>
          <t>S30</t>
        </is>
      </c>
      <c r="D26" s="5" t="inlineStr">
        <is>
          <t>S31</t>
        </is>
      </c>
      <c r="E26" s="5" t="inlineStr">
        <is>
          <t>S32</t>
        </is>
      </c>
    </row>
    <row r="27">
      <c r="A27" s="3" t="inlineStr">
        <is>
          <t>MEC</t>
        </is>
      </c>
      <c r="B27" s="15">
        <f>$I$4</f>
        <v/>
      </c>
      <c r="C27" s="15">
        <f>$I$5</f>
        <v/>
      </c>
      <c r="D27" s="15">
        <f>$I$6</f>
        <v/>
      </c>
      <c r="E27" s="15">
        <f>$I$7</f>
        <v/>
      </c>
    </row>
    <row r="28">
      <c r="A28" s="3" t="inlineStr">
        <is>
          <t>ELE</t>
        </is>
      </c>
      <c r="B28" s="15">
        <f>$I$8</f>
        <v/>
      </c>
      <c r="C28" s="15">
        <f>$I$9</f>
        <v/>
      </c>
      <c r="D28" s="15">
        <f>$I$10</f>
        <v/>
      </c>
      <c r="E28" s="15">
        <f>$I$11</f>
        <v/>
      </c>
    </row>
    <row r="29">
      <c r="A29" s="3" t="inlineStr">
        <is>
          <t>AUT</t>
        </is>
      </c>
      <c r="B29" s="15">
        <f>$I$12</f>
        <v/>
      </c>
      <c r="C29" s="15">
        <f>$I$13</f>
        <v/>
      </c>
      <c r="D29" s="15">
        <f>$I$14</f>
        <v/>
      </c>
      <c r="E29" s="15">
        <f>$I$15</f>
        <v/>
      </c>
    </row>
    <row r="30">
      <c r="A30" s="3" t="inlineStr">
        <is>
          <t>OP</t>
        </is>
      </c>
      <c r="B30" s="15">
        <f>$I$16</f>
        <v/>
      </c>
      <c r="C30" s="15">
        <f>$I$17</f>
        <v/>
      </c>
      <c r="D30" s="15">
        <f>$I$18</f>
        <v/>
      </c>
      <c r="E30" s="15">
        <f>$I$19</f>
        <v/>
      </c>
    </row>
    <row r="31">
      <c r="A31" s="3" t="inlineStr">
        <is>
          <t>TERCERO</t>
        </is>
      </c>
      <c r="B31" s="15">
        <f>$I$20</f>
        <v/>
      </c>
      <c r="C31" s="15">
        <f>$I$21</f>
        <v/>
      </c>
      <c r="D31" s="15">
        <f>$I$22</f>
        <v/>
      </c>
      <c r="E31" s="15">
        <f>$I$23</f>
        <v/>
      </c>
    </row>
    <row r="33">
      <c r="A33" s="4" t="inlineStr">
        <is>
          <t>RATIO CORRECTIVO/PREVENTIVO POR SEMANA (REGLA-9) — meta: correctivo ≤ 20 % de las HH</t>
        </is>
      </c>
    </row>
    <row r="34">
      <c r="A34" s="5" t="inlineStr">
        <is>
          <t>semana</t>
        </is>
      </c>
      <c r="B34" s="5" t="inlineStr">
        <is>
          <t>hh_preventiva</t>
        </is>
      </c>
      <c r="C34" s="5" t="inlineStr">
        <is>
          <t>hh_correctiva</t>
        </is>
      </c>
      <c r="D34" s="5" t="inlineStr">
        <is>
          <t>ratio_corr_prev</t>
        </is>
      </c>
      <c r="E34" s="5" t="inlineStr">
        <is>
          <t>pct_correctivo</t>
        </is>
      </c>
      <c r="F34" s="5" t="inlineStr">
        <is>
          <t>cumple_meta</t>
        </is>
      </c>
    </row>
    <row r="35">
      <c r="A35" s="3" t="inlineStr">
        <is>
          <t>S29</t>
        </is>
      </c>
      <c r="B35" s="14">
        <f>SUMIFS('ORDENES'!$L$4:$L$203,'ORDENES'!$O$4:$O$203,$A35,'ORDENES'!$S$4:$S$203,"preventiva")</f>
        <v/>
      </c>
      <c r="C35" s="14">
        <f>SUMIFS('ORDENES'!$L$4:$L$203,'ORDENES'!$O$4:$O$203,$A35,'ORDENES'!$S$4:$S$203,"correctiva")</f>
        <v/>
      </c>
      <c r="D35" s="15">
        <f>IF(B35=0,"",C35/B35)</f>
        <v/>
      </c>
      <c r="E35" s="15">
        <f>IF(B35+C35=0,"",C35/(B35+C35))</f>
        <v/>
      </c>
      <c r="F35" s="3">
        <f>IF(E35="","",IF(E35&lt;=1-p_meta_ratio_prev_corr,"SI","NO"))</f>
        <v/>
      </c>
    </row>
    <row r="36">
      <c r="A36" s="3" t="inlineStr">
        <is>
          <t>S30</t>
        </is>
      </c>
      <c r="B36" s="14">
        <f>SUMIFS('ORDENES'!$L$4:$L$203,'ORDENES'!$O$4:$O$203,$A36,'ORDENES'!$S$4:$S$203,"preventiva")</f>
        <v/>
      </c>
      <c r="C36" s="14">
        <f>SUMIFS('ORDENES'!$L$4:$L$203,'ORDENES'!$O$4:$O$203,$A36,'ORDENES'!$S$4:$S$203,"correctiva")</f>
        <v/>
      </c>
      <c r="D36" s="15">
        <f>IF(B36=0,"",C36/B36)</f>
        <v/>
      </c>
      <c r="E36" s="15">
        <f>IF(B36+C36=0,"",C36/(B36+C36))</f>
        <v/>
      </c>
      <c r="F36" s="3">
        <f>IF(E36="","",IF(E36&lt;=1-p_meta_ratio_prev_corr,"SI","NO"))</f>
        <v/>
      </c>
    </row>
    <row r="37">
      <c r="A37" s="3" t="inlineStr">
        <is>
          <t>S31</t>
        </is>
      </c>
      <c r="B37" s="14">
        <f>SUMIFS('ORDENES'!$L$4:$L$203,'ORDENES'!$O$4:$O$203,$A37,'ORDENES'!$S$4:$S$203,"preventiva")</f>
        <v/>
      </c>
      <c r="C37" s="14">
        <f>SUMIFS('ORDENES'!$L$4:$L$203,'ORDENES'!$O$4:$O$203,$A37,'ORDENES'!$S$4:$S$203,"correctiva")</f>
        <v/>
      </c>
      <c r="D37" s="15">
        <f>IF(B37=0,"",C37/B37)</f>
        <v/>
      </c>
      <c r="E37" s="15">
        <f>IF(B37+C37=0,"",C37/(B37+C37))</f>
        <v/>
      </c>
      <c r="F37" s="3">
        <f>IF(E37="","",IF(E37&lt;=1-p_meta_ratio_prev_corr,"SI","NO"))</f>
        <v/>
      </c>
    </row>
    <row r="38">
      <c r="A38" s="3" t="inlineStr">
        <is>
          <t>S32</t>
        </is>
      </c>
      <c r="B38" s="14">
        <f>SUMIFS('ORDENES'!$L$4:$L$203,'ORDENES'!$O$4:$O$203,$A38,'ORDENES'!$S$4:$S$203,"preventiva")</f>
        <v/>
      </c>
      <c r="C38" s="14">
        <f>SUMIFS('ORDENES'!$L$4:$L$203,'ORDENES'!$O$4:$O$203,$A38,'ORDENES'!$S$4:$S$203,"correctiva")</f>
        <v/>
      </c>
      <c r="D38" s="15">
        <f>IF(B38=0,"",C38/B38)</f>
        <v/>
      </c>
      <c r="E38" s="15">
        <f>IF(B38+C38=0,"",C38/(B38+C38))</f>
        <v/>
      </c>
      <c r="F38" s="3">
        <f>IF(E38="","",IF(E38&lt;=1-p_meta_ratio_prev_corr,"SI","NO"))</f>
        <v/>
      </c>
    </row>
  </sheetData>
  <conditionalFormatting sqref="I4:I2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7:E31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6" t="inlineStr">
        <is>
          <t>S30</t>
        </is>
      </c>
      <c r="C3" s="4" t="inlineStr">
        <is>
          <t>día:</t>
        </is>
      </c>
      <c r="D3" s="16" t="inlineStr">
        <is>
          <t>(todos)</t>
        </is>
      </c>
      <c r="E3" s="4" t="inlineStr">
        <is>
          <t>turno:</t>
        </is>
      </c>
      <c r="F3" s="16" t="inlineStr">
        <is>
          <t>(todos)</t>
        </is>
      </c>
      <c r="G3" s="4" t="inlineStr">
        <is>
          <t>coordinador:</t>
        </is>
      </c>
      <c r="H3" s="16" t="inlineStr">
        <is>
          <t>(todos)</t>
        </is>
      </c>
      <c r="I3" s="4" t="inlineStr">
        <is>
          <t>área:</t>
        </is>
      </c>
      <c r="J3" s="16" t="inlineStr">
        <is>
          <t>(todos)</t>
        </is>
      </c>
      <c r="K3" s="4" t="inlineStr">
        <is>
          <t>especialidad:</t>
        </is>
      </c>
      <c r="L3" s="16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("&amp;IFERROR(INDEX('ASIGNACIONES'!$F$4:$F$339,MATCH($B$3&amp;"|"&amp;$D$3&amp;"|"&amp;$P4,'ASIGNACIONES'!$I$4:$I$339,0)),"")&amp;")")</f>
        <v/>
      </c>
      <c r="S4" s="14">
        <f>IF(AND($L$3&lt;&gt;"(todos)",$Q4&lt;&gt;$L$3),NA(),SUMIFS('ORDENES'!$L$4:$L$203,'ORDENES'!$AB$4:$AB$203,$P4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4" s="14">
        <f>IF(ISNA($S4),NA(),MIN($S4,$V4))</f>
        <v/>
      </c>
      <c r="U4" s="14">
        <f>IF(ISNA($S4),NA(),MAX(0,$S4-$V4))</f>
        <v/>
      </c>
      <c r="V4" s="14">
        <f>IF(AND($L$3&lt;&gt;"(todos)",$Q4&lt;&gt;$L$3),NA(),p_factor_productividad*SUMIFS('ASIGNACIONES'!$H$4:$H$339,'ASIGNACIONES'!$C$4:$C$339,$P4,'ASIGNACIONES'!$A$4:$A$339,IF($B$3="(todos)","*",$B$3),'ASIGNACIONES'!$B$4:$B$339,IF($D$3="(todos)","*",$D$3)))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COUNTIFS($A$26:$A$225,IF($B$3="(todos)","*",$B$3),$B$26:$B$225,IF($D$3="(todos)","*",$D$3),$C$26:$C$225,IF($F$3="(todos)","*",$F$3),$D$26:$D$225,IF($H$3="(todos)","*",$H$3),$E$26:$E$225,IF($J$3="(todos)","*",$J$3),$F$26:$F$225,IF($L$3="(todos)","*",$L$3))</f>
        <v/>
      </c>
      <c r="C5" s="4" t="inlineStr">
        <is>
          <t>HH:</t>
        </is>
      </c>
      <c r="D5" s="14">
        <f>SUMIFS($K$26:$K$225,$A$26:$A$225,IF($B$3="(todos)","*",$B$3),$B$26:$B$225,IF($D$3="(todos)","*",$D$3),$C$26:$C$225,IF($F$3="(todos)","*",$F$3),$D$26:$D$225,IF($H$3="(todos)","*",$H$3),$E$26:$E$225,IF($J$3="(todos)","*",$J$3),$F$26:$F$225,IF($L$3="(todos)","*",$L$3))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("&amp;IFERROR(INDEX('ASIGNACIONES'!$F$4:$F$339,MATCH($B$3&amp;"|"&amp;$D$3&amp;"|"&amp;$P5,'ASIGNACIONES'!$I$4:$I$339,0)),"")&amp;")")</f>
        <v/>
      </c>
      <c r="S5" s="14">
        <f>IF(AND($L$3&lt;&gt;"(todos)",$Q5&lt;&gt;$L$3),NA(),SUMIFS('ORDENES'!$L$4:$L$203,'ORDENES'!$AB$4:$AB$203,$P5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5" s="14">
        <f>IF(ISNA($S5),NA(),MIN($S5,$V5))</f>
        <v/>
      </c>
      <c r="U5" s="14">
        <f>IF(ISNA($S5),NA(),MAX(0,$S5-$V5))</f>
        <v/>
      </c>
      <c r="V5" s="14">
        <f>IF(AND($L$3&lt;&gt;"(todos)",$Q5&lt;&gt;$L$3),NA(),p_factor_productividad*SUMIFS('ASIGNACIONES'!$H$4:$H$339,'ASIGNACIONES'!$C$4:$C$339,$P5,'ASIGNACIONES'!$A$4:$A$339,IF($B$3="(todos)","*",$B$3),'ASIGNACIONES'!$B$4:$B$339,IF($D$3="(todos)","*",$D$3)))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("&amp;IFERROR(INDEX('ASIGNACIONES'!$F$4:$F$339,MATCH($B$3&amp;"|"&amp;$D$3&amp;"|"&amp;$P6,'ASIGNACIONES'!$I$4:$I$339,0)),"")&amp;")")</f>
        <v/>
      </c>
      <c r="S6" s="14">
        <f>IF(AND($L$3&lt;&gt;"(todos)",$Q6&lt;&gt;$L$3),NA(),SUMIFS('ORDENES'!$L$4:$L$203,'ORDENES'!$AB$4:$AB$203,$P6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6" s="14">
        <f>IF(ISNA($S6),NA(),MIN($S6,$V6))</f>
        <v/>
      </c>
      <c r="U6" s="14">
        <f>IF(ISNA($S6),NA(),MAX(0,$S6-$V6))</f>
        <v/>
      </c>
      <c r="V6" s="14">
        <f>IF(AND($L$3&lt;&gt;"(todos)",$Q6&lt;&gt;$L$3),NA(),p_factor_productividad*SUMIFS('ASIGNACIONES'!$H$4:$H$339,'ASIGNACIONES'!$C$4:$C$339,$P6,'ASIGNACIONES'!$A$4:$A$339,IF($B$3="(todos)","*",$B$3),'ASIGNACIONES'!$B$4:$B$339,IF($D$3="(todos)","*",$D$3)))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("&amp;IFERROR(INDEX('ASIGNACIONES'!$F$4:$F$339,MATCH($B$3&amp;"|"&amp;$D$3&amp;"|"&amp;$P7,'ASIGNACIONES'!$I$4:$I$339,0)),"")&amp;")")</f>
        <v/>
      </c>
      <c r="S7" s="14">
        <f>IF(AND($L$3&lt;&gt;"(todos)",$Q7&lt;&gt;$L$3),NA(),SUMIFS('ORDENES'!$L$4:$L$203,'ORDENES'!$AB$4:$AB$203,$P7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7" s="14">
        <f>IF(ISNA($S7),NA(),MIN($S7,$V7))</f>
        <v/>
      </c>
      <c r="U7" s="14">
        <f>IF(ISNA($S7),NA(),MAX(0,$S7-$V7))</f>
        <v/>
      </c>
      <c r="V7" s="14">
        <f>IF(AND($L$3&lt;&gt;"(todos)",$Q7&lt;&gt;$L$3),NA(),p_factor_productividad*SUMIFS('ASIGNACIONES'!$H$4:$H$339,'ASIGNACIONES'!$C$4:$C$339,$P7,'ASIGNACIONES'!$A$4:$A$339,IF($B$3="(todos)","*",$B$3),'ASIGNACIONES'!$B$4:$B$339,IF($D$3="(todos)","*",$D$3)))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("&amp;IFERROR(INDEX('ASIGNACIONES'!$F$4:$F$339,MATCH($B$3&amp;"|"&amp;$D$3&amp;"|"&amp;$P8,'ASIGNACIONES'!$I$4:$I$339,0)),"")&amp;")")</f>
        <v/>
      </c>
      <c r="S8" s="14">
        <f>IF(AND($L$3&lt;&gt;"(todos)",$Q8&lt;&gt;$L$3),NA(),SUMIFS('ORDENES'!$L$4:$L$203,'ORDENES'!$AB$4:$AB$203,$P8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8" s="14">
        <f>IF(ISNA($S8),NA(),MIN($S8,$V8))</f>
        <v/>
      </c>
      <c r="U8" s="14">
        <f>IF(ISNA($S8),NA(),MAX(0,$S8-$V8))</f>
        <v/>
      </c>
      <c r="V8" s="14">
        <f>IF(AND($L$3&lt;&gt;"(todos)",$Q8&lt;&gt;$L$3),NA(),p_factor_productividad*SUMIFS('ASIGNACIONES'!$H$4:$H$339,'ASIGNACIONES'!$C$4:$C$339,$P8,'ASIGNACIONES'!$A$4:$A$339,IF($B$3="(todos)","*",$B$3),'ASIGNACIONES'!$B$4:$B$339,IF($D$3="(todos)","*",$D$3)))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("&amp;IFERROR(INDEX('ASIGNACIONES'!$F$4:$F$339,MATCH($B$3&amp;"|"&amp;$D$3&amp;"|"&amp;$P9,'ASIGNACIONES'!$I$4:$I$339,0)),"")&amp;")")</f>
        <v/>
      </c>
      <c r="S9" s="14">
        <f>IF(AND($L$3&lt;&gt;"(todos)",$Q9&lt;&gt;$L$3),NA(),SUMIFS('ORDENES'!$L$4:$L$203,'ORDENES'!$AB$4:$AB$203,$P9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9" s="14">
        <f>IF(ISNA($S9),NA(),MIN($S9,$V9))</f>
        <v/>
      </c>
      <c r="U9" s="14">
        <f>IF(ISNA($S9),NA(),MAX(0,$S9-$V9))</f>
        <v/>
      </c>
      <c r="V9" s="14">
        <f>IF(AND($L$3&lt;&gt;"(todos)",$Q9&lt;&gt;$L$3),NA(),p_factor_productividad*SUMIFS('ASIGNACIONES'!$H$4:$H$339,'ASIGNACIONES'!$C$4:$C$339,$P9,'ASIGNACIONES'!$A$4:$A$339,IF($B$3="(todos)","*",$B$3),'ASIGNACIONES'!$B$4:$B$339,IF($D$3="(todos)","*",$D$3)))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("&amp;IFERROR(INDEX('ASIGNACIONES'!$F$4:$F$339,MATCH($B$3&amp;"|"&amp;$D$3&amp;"|"&amp;$P10,'ASIGNACIONES'!$I$4:$I$339,0)),"")&amp;")")</f>
        <v/>
      </c>
      <c r="S10" s="14">
        <f>IF(AND($L$3&lt;&gt;"(todos)",$Q10&lt;&gt;$L$3),NA(),SUMIFS('ORDENES'!$L$4:$L$203,'ORDENES'!$AB$4:$AB$203,$P10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10" s="14">
        <f>IF(ISNA($S10),NA(),MIN($S10,$V10))</f>
        <v/>
      </c>
      <c r="U10" s="14">
        <f>IF(ISNA($S10),NA(),MAX(0,$S10-$V10))</f>
        <v/>
      </c>
      <c r="V10" s="14">
        <f>IF(AND($L$3&lt;&gt;"(todos)",$Q10&lt;&gt;$L$3),NA(),p_factor_productividad*SUMIFS('ASIGNACIONES'!$H$4:$H$339,'ASIGNACIONES'!$C$4:$C$339,$P10,'ASIGNACIONES'!$A$4:$A$339,IF($B$3="(todos)","*",$B$3),'ASIGNACIONES'!$B$4:$B$339,IF($D$3="(todos)","*",$D$3)))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("&amp;IFERROR(INDEX('ASIGNACIONES'!$F$4:$F$339,MATCH($B$3&amp;"|"&amp;$D$3&amp;"|"&amp;$P11,'ASIGNACIONES'!$I$4:$I$339,0)),"")&amp;")")</f>
        <v/>
      </c>
      <c r="S11" s="14">
        <f>IF(AND($L$3&lt;&gt;"(todos)",$Q11&lt;&gt;$L$3),NA(),SUMIFS('ORDENES'!$L$4:$L$203,'ORDENES'!$AB$4:$AB$203,$P11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11" s="14">
        <f>IF(ISNA($S11),NA(),MIN($S11,$V11))</f>
        <v/>
      </c>
      <c r="U11" s="14">
        <f>IF(ISNA($S11),NA(),MAX(0,$S11-$V11))</f>
        <v/>
      </c>
      <c r="V11" s="14">
        <f>IF(AND($L$3&lt;&gt;"(todos)",$Q11&lt;&gt;$L$3),NA(),p_factor_productividad*SUMIFS('ASIGNACIONES'!$H$4:$H$339,'ASIGNACIONES'!$C$4:$C$339,$P11,'ASIGNACIONES'!$A$4:$A$339,IF($B$3="(todos)","*",$B$3),'ASIGNACIONES'!$B$4:$B$339,IF($D$3="(todos)","*",$D$3)))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("&amp;IFERROR(INDEX('ASIGNACIONES'!$F$4:$F$339,MATCH($B$3&amp;"|"&amp;$D$3&amp;"|"&amp;$P12,'ASIGNACIONES'!$I$4:$I$339,0)),"")&amp;")")</f>
        <v/>
      </c>
      <c r="S12" s="14">
        <f>IF(AND($L$3&lt;&gt;"(todos)",$Q12&lt;&gt;$L$3),NA(),SUMIFS('ORDENES'!$L$4:$L$203,'ORDENES'!$AB$4:$AB$203,$P12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12" s="14">
        <f>IF(ISNA($S12),NA(),MIN($S12,$V12))</f>
        <v/>
      </c>
      <c r="U12" s="14">
        <f>IF(ISNA($S12),NA(),MAX(0,$S12-$V12))</f>
        <v/>
      </c>
      <c r="V12" s="14">
        <f>IF(AND($L$3&lt;&gt;"(todos)",$Q12&lt;&gt;$L$3),NA(),p_factor_productividad*SUMIFS('ASIGNACIONES'!$H$4:$H$339,'ASIGNACIONES'!$C$4:$C$339,$P12,'ASIGNACIONES'!$A$4:$A$339,IF($B$3="(todos)","*",$B$3),'ASIGNACIONES'!$B$4:$B$339,IF($D$3="(todos)","*",$D$3)))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("&amp;IFERROR(INDEX('ASIGNACIONES'!$F$4:$F$339,MATCH($B$3&amp;"|"&amp;$D$3&amp;"|"&amp;$P13,'ASIGNACIONES'!$I$4:$I$339,0)),"")&amp;")")</f>
        <v/>
      </c>
      <c r="S13" s="14">
        <f>IF(AND($L$3&lt;&gt;"(todos)",$Q13&lt;&gt;$L$3),NA(),SUMIFS('ORDENES'!$L$4:$L$203,'ORDENES'!$AB$4:$AB$203,$P13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13" s="14">
        <f>IF(ISNA($S13),NA(),MIN($S13,$V13))</f>
        <v/>
      </c>
      <c r="U13" s="14">
        <f>IF(ISNA($S13),NA(),MAX(0,$S13-$V13))</f>
        <v/>
      </c>
      <c r="V13" s="14">
        <f>IF(AND($L$3&lt;&gt;"(todos)",$Q13&lt;&gt;$L$3),NA(),p_factor_productividad*SUMIFS('ASIGNACIONES'!$H$4:$H$339,'ASIGNACIONES'!$C$4:$C$339,$P13,'ASIGNACIONES'!$A$4:$A$339,IF($B$3="(todos)","*",$B$3),'ASIGNACIONES'!$B$4:$B$339,IF($D$3="(todos)","*",$D$3)))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("&amp;IFERROR(INDEX('ASIGNACIONES'!$F$4:$F$339,MATCH($B$3&amp;"|"&amp;$D$3&amp;"|"&amp;$P14,'ASIGNACIONES'!$I$4:$I$339,0)),"")&amp;")")</f>
        <v/>
      </c>
      <c r="S14" s="14">
        <f>IF(AND($L$3&lt;&gt;"(todos)",$Q14&lt;&gt;$L$3),NA(),SUMIFS('ORDENES'!$L$4:$L$203,'ORDENES'!$AB$4:$AB$203,$P14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14" s="14">
        <f>IF(ISNA($S14),NA(),MIN($S14,$V14))</f>
        <v/>
      </c>
      <c r="U14" s="14">
        <f>IF(ISNA($S14),NA(),MAX(0,$S14-$V14))</f>
        <v/>
      </c>
      <c r="V14" s="14">
        <f>IF(AND($L$3&lt;&gt;"(todos)",$Q14&lt;&gt;$L$3),NA(),p_factor_productividad*SUMIFS('ASIGNACIONES'!$H$4:$H$339,'ASIGNACIONES'!$C$4:$C$339,$P14,'ASIGNACIONES'!$A$4:$A$339,IF($B$3="(todos)","*",$B$3),'ASIGNACIONES'!$B$4:$B$339,IF($D$3="(todos)","*",$D$3)))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("&amp;IFERROR(INDEX('ASIGNACIONES'!$F$4:$F$339,MATCH($B$3&amp;"|"&amp;$D$3&amp;"|"&amp;$P15,'ASIGNACIONES'!$I$4:$I$339,0)),"")&amp;")")</f>
        <v/>
      </c>
      <c r="S15" s="14">
        <f>IF(AND($L$3&lt;&gt;"(todos)",$Q15&lt;&gt;$L$3),NA(),SUMIFS('ORDENES'!$L$4:$L$203,'ORDENES'!$AB$4:$AB$203,$P15,'ORDENES'!$O$4:$O$203,IF($B$3="(todos)","*",$B$3),'ORDENES'!$R$4:$R$203,IF($D$3="(todos)","*",$D$3),'ORDENES'!$AC$4:$AC$203,IF($F$3="(todos)","*",$F$3),'ORDENES'!$V$4:$V$203,IF($H$3="(todos)","*",$H$3),'ORDENES'!$U$4:$U$203,IF($J$3="(todos)","*",$J$3)))</f>
        <v/>
      </c>
      <c r="T15" s="14">
        <f>IF(ISNA($S15),NA(),MIN($S15,$V15))</f>
        <v/>
      </c>
      <c r="U15" s="14">
        <f>IF(ISNA($S15),NA(),MAX(0,$S15-$V15))</f>
        <v/>
      </c>
      <c r="V15" s="14">
        <f>IF(AND($L$3&lt;&gt;"(todos)",$Q15&lt;&gt;$L$3),NA(),p_factor_productividad*SUMIFS('ASIGNACIONES'!$H$4:$H$339,'ASIGNACIONES'!$C$4:$C$339,$P15,'ASIGNACIONES'!$A$4:$A$339,IF($B$3="(todos)","*",$B$3),'ASIGNACIONES'!$B$4:$B$339,IF($D$3="(todos)","*",$D$3)))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IF('ORDENES'!$O4="","-",'ORDENES'!$O4)</f>
        <v/>
      </c>
      <c r="B26" s="3">
        <f>IF('ORDENES'!$R4="","-",'ORDENES'!$R4)</f>
        <v/>
      </c>
      <c r="C26" s="3">
        <f>IF('ORDENES'!$AC4="","-",'ORDENES'!$AC4)</f>
        <v/>
      </c>
      <c r="D26" s="3">
        <f>IF('ORDENES'!$V4="","-",'ORDENES'!$V4)</f>
        <v/>
      </c>
      <c r="E26" s="3">
        <f>IF('ORDENES'!$U4="","-",'ORDENES'!$U4)</f>
        <v/>
      </c>
      <c r="F26" s="3">
        <f>IF('ORDENES'!$W4="","-",'ORDENES'!$W4)</f>
        <v/>
      </c>
      <c r="G26" s="3">
        <f>IF('ORDENES'!$AB4="","-",'ORDENES'!$AB4)</f>
        <v/>
      </c>
      <c r="H26" s="3">
        <f>IF('ORDENES'!$C4="","-",'ORDENES'!$C4)</f>
        <v/>
      </c>
      <c r="I26" s="3">
        <f>IF('ORDENES'!$E4="","-",'ORDENES'!$E4)</f>
        <v/>
      </c>
      <c r="J26" s="3">
        <f>IF('ORDENES'!$F4="","-",'ORDENES'!$F4)</f>
        <v/>
      </c>
      <c r="K26" s="12">
        <f>IF('ORDENES'!$L4="",0,'ORDENES'!$L4)</f>
        <v/>
      </c>
      <c r="L26" s="3">
        <f>IF('ORDENES'!$N4="","-",'ORDENES'!$N4)</f>
        <v/>
      </c>
      <c r="M26" s="3">
        <f>'ORDENES'!$AA4</f>
        <v/>
      </c>
    </row>
    <row r="27">
      <c r="A27" s="3">
        <f>IF('ORDENES'!$O5="","-",'ORDENES'!$O5)</f>
        <v/>
      </c>
      <c r="B27" s="3">
        <f>IF('ORDENES'!$R5="","-",'ORDENES'!$R5)</f>
        <v/>
      </c>
      <c r="C27" s="3">
        <f>IF('ORDENES'!$AC5="","-",'ORDENES'!$AC5)</f>
        <v/>
      </c>
      <c r="D27" s="3">
        <f>IF('ORDENES'!$V5="","-",'ORDENES'!$V5)</f>
        <v/>
      </c>
      <c r="E27" s="3">
        <f>IF('ORDENES'!$U5="","-",'ORDENES'!$U5)</f>
        <v/>
      </c>
      <c r="F27" s="3">
        <f>IF('ORDENES'!$W5="","-",'ORDENES'!$W5)</f>
        <v/>
      </c>
      <c r="G27" s="3">
        <f>IF('ORDENES'!$AB5="","-",'ORDENES'!$AB5)</f>
        <v/>
      </c>
      <c r="H27" s="3">
        <f>IF('ORDENES'!$C5="","-",'ORDENES'!$C5)</f>
        <v/>
      </c>
      <c r="I27" s="3">
        <f>IF('ORDENES'!$E5="","-",'ORDENES'!$E5)</f>
        <v/>
      </c>
      <c r="J27" s="3">
        <f>IF('ORDENES'!$F5="","-",'ORDENES'!$F5)</f>
        <v/>
      </c>
      <c r="K27" s="12">
        <f>IF('ORDENES'!$L5="",0,'ORDENES'!$L5)</f>
        <v/>
      </c>
      <c r="L27" s="3">
        <f>IF('ORDENES'!$N5="","-",'ORDENES'!$N5)</f>
        <v/>
      </c>
      <c r="M27" s="3">
        <f>'ORDENES'!$AA5</f>
        <v/>
      </c>
    </row>
    <row r="28">
      <c r="A28" s="3">
        <f>IF('ORDENES'!$O6="","-",'ORDENES'!$O6)</f>
        <v/>
      </c>
      <c r="B28" s="3">
        <f>IF('ORDENES'!$R6="","-",'ORDENES'!$R6)</f>
        <v/>
      </c>
      <c r="C28" s="3">
        <f>IF('ORDENES'!$AC6="","-",'ORDENES'!$AC6)</f>
        <v/>
      </c>
      <c r="D28" s="3">
        <f>IF('ORDENES'!$V6="","-",'ORDENES'!$V6)</f>
        <v/>
      </c>
      <c r="E28" s="3">
        <f>IF('ORDENES'!$U6="","-",'ORDENES'!$U6)</f>
        <v/>
      </c>
      <c r="F28" s="3">
        <f>IF('ORDENES'!$W6="","-",'ORDENES'!$W6)</f>
        <v/>
      </c>
      <c r="G28" s="3">
        <f>IF('ORDENES'!$AB6="","-",'ORDENES'!$AB6)</f>
        <v/>
      </c>
      <c r="H28" s="3">
        <f>IF('ORDENES'!$C6="","-",'ORDENES'!$C6)</f>
        <v/>
      </c>
      <c r="I28" s="3">
        <f>IF('ORDENES'!$E6="","-",'ORDENES'!$E6)</f>
        <v/>
      </c>
      <c r="J28" s="3">
        <f>IF('ORDENES'!$F6="","-",'ORDENES'!$F6)</f>
        <v/>
      </c>
      <c r="K28" s="12">
        <f>IF('ORDENES'!$L6="",0,'ORDENES'!$L6)</f>
        <v/>
      </c>
      <c r="L28" s="3">
        <f>IF('ORDENES'!$N6="","-",'ORDENES'!$N6)</f>
        <v/>
      </c>
      <c r="M28" s="3">
        <f>'ORDENES'!$AA6</f>
        <v/>
      </c>
    </row>
    <row r="29">
      <c r="A29" s="3">
        <f>IF('ORDENES'!$O7="","-",'ORDENES'!$O7)</f>
        <v/>
      </c>
      <c r="B29" s="3">
        <f>IF('ORDENES'!$R7="","-",'ORDENES'!$R7)</f>
        <v/>
      </c>
      <c r="C29" s="3">
        <f>IF('ORDENES'!$AC7="","-",'ORDENES'!$AC7)</f>
        <v/>
      </c>
      <c r="D29" s="3">
        <f>IF('ORDENES'!$V7="","-",'ORDENES'!$V7)</f>
        <v/>
      </c>
      <c r="E29" s="3">
        <f>IF('ORDENES'!$U7="","-",'ORDENES'!$U7)</f>
        <v/>
      </c>
      <c r="F29" s="3">
        <f>IF('ORDENES'!$W7="","-",'ORDENES'!$W7)</f>
        <v/>
      </c>
      <c r="G29" s="3">
        <f>IF('ORDENES'!$AB7="","-",'ORDENES'!$AB7)</f>
        <v/>
      </c>
      <c r="H29" s="3">
        <f>IF('ORDENES'!$C7="","-",'ORDENES'!$C7)</f>
        <v/>
      </c>
      <c r="I29" s="3">
        <f>IF('ORDENES'!$E7="","-",'ORDENES'!$E7)</f>
        <v/>
      </c>
      <c r="J29" s="3">
        <f>IF('ORDENES'!$F7="","-",'ORDENES'!$F7)</f>
        <v/>
      </c>
      <c r="K29" s="12">
        <f>IF('ORDENES'!$L7="",0,'ORDENES'!$L7)</f>
        <v/>
      </c>
      <c r="L29" s="3">
        <f>IF('ORDENES'!$N7="","-",'ORDENES'!$N7)</f>
        <v/>
      </c>
      <c r="M29" s="3">
        <f>'ORDENES'!$AA7</f>
        <v/>
      </c>
    </row>
    <row r="30">
      <c r="A30" s="3">
        <f>IF('ORDENES'!$O8="","-",'ORDENES'!$O8)</f>
        <v/>
      </c>
      <c r="B30" s="3">
        <f>IF('ORDENES'!$R8="","-",'ORDENES'!$R8)</f>
        <v/>
      </c>
      <c r="C30" s="3">
        <f>IF('ORDENES'!$AC8="","-",'ORDENES'!$AC8)</f>
        <v/>
      </c>
      <c r="D30" s="3">
        <f>IF('ORDENES'!$V8="","-",'ORDENES'!$V8)</f>
        <v/>
      </c>
      <c r="E30" s="3">
        <f>IF('ORDENES'!$U8="","-",'ORDENES'!$U8)</f>
        <v/>
      </c>
      <c r="F30" s="3">
        <f>IF('ORDENES'!$W8="","-",'ORDENES'!$W8)</f>
        <v/>
      </c>
      <c r="G30" s="3">
        <f>IF('ORDENES'!$AB8="","-",'ORDENES'!$AB8)</f>
        <v/>
      </c>
      <c r="H30" s="3">
        <f>IF('ORDENES'!$C8="","-",'ORDENES'!$C8)</f>
        <v/>
      </c>
      <c r="I30" s="3">
        <f>IF('ORDENES'!$E8="","-",'ORDENES'!$E8)</f>
        <v/>
      </c>
      <c r="J30" s="3">
        <f>IF('ORDENES'!$F8="","-",'ORDENES'!$F8)</f>
        <v/>
      </c>
      <c r="K30" s="12">
        <f>IF('ORDENES'!$L8="",0,'ORDENES'!$L8)</f>
        <v/>
      </c>
      <c r="L30" s="3">
        <f>IF('ORDENES'!$N8="","-",'ORDENES'!$N8)</f>
        <v/>
      </c>
      <c r="M30" s="3">
        <f>'ORDENES'!$AA8</f>
        <v/>
      </c>
    </row>
    <row r="31">
      <c r="A31" s="3">
        <f>IF('ORDENES'!$O9="","-",'ORDENES'!$O9)</f>
        <v/>
      </c>
      <c r="B31" s="3">
        <f>IF('ORDENES'!$R9="","-",'ORDENES'!$R9)</f>
        <v/>
      </c>
      <c r="C31" s="3">
        <f>IF('ORDENES'!$AC9="","-",'ORDENES'!$AC9)</f>
        <v/>
      </c>
      <c r="D31" s="3">
        <f>IF('ORDENES'!$V9="","-",'ORDENES'!$V9)</f>
        <v/>
      </c>
      <c r="E31" s="3">
        <f>IF('ORDENES'!$U9="","-",'ORDENES'!$U9)</f>
        <v/>
      </c>
      <c r="F31" s="3">
        <f>IF('ORDENES'!$W9="","-",'ORDENES'!$W9)</f>
        <v/>
      </c>
      <c r="G31" s="3">
        <f>IF('ORDENES'!$AB9="","-",'ORDENES'!$AB9)</f>
        <v/>
      </c>
      <c r="H31" s="3">
        <f>IF('ORDENES'!$C9="","-",'ORDENES'!$C9)</f>
        <v/>
      </c>
      <c r="I31" s="3">
        <f>IF('ORDENES'!$E9="","-",'ORDENES'!$E9)</f>
        <v/>
      </c>
      <c r="J31" s="3">
        <f>IF('ORDENES'!$F9="","-",'ORDENES'!$F9)</f>
        <v/>
      </c>
      <c r="K31" s="12">
        <f>IF('ORDENES'!$L9="",0,'ORDENES'!$L9)</f>
        <v/>
      </c>
      <c r="L31" s="3">
        <f>IF('ORDENES'!$N9="","-",'ORDENES'!$N9)</f>
        <v/>
      </c>
      <c r="M31" s="3">
        <f>'ORDENES'!$AA9</f>
        <v/>
      </c>
    </row>
    <row r="32">
      <c r="A32" s="3">
        <f>IF('ORDENES'!$O10="","-",'ORDENES'!$O10)</f>
        <v/>
      </c>
      <c r="B32" s="3">
        <f>IF('ORDENES'!$R10="","-",'ORDENES'!$R10)</f>
        <v/>
      </c>
      <c r="C32" s="3">
        <f>IF('ORDENES'!$AC10="","-",'ORDENES'!$AC10)</f>
        <v/>
      </c>
      <c r="D32" s="3">
        <f>IF('ORDENES'!$V10="","-",'ORDENES'!$V10)</f>
        <v/>
      </c>
      <c r="E32" s="3">
        <f>IF('ORDENES'!$U10="","-",'ORDENES'!$U10)</f>
        <v/>
      </c>
      <c r="F32" s="3">
        <f>IF('ORDENES'!$W10="","-",'ORDENES'!$W10)</f>
        <v/>
      </c>
      <c r="G32" s="3">
        <f>IF('ORDENES'!$AB10="","-",'ORDENES'!$AB10)</f>
        <v/>
      </c>
      <c r="H32" s="3">
        <f>IF('ORDENES'!$C10="","-",'ORDENES'!$C10)</f>
        <v/>
      </c>
      <c r="I32" s="3">
        <f>IF('ORDENES'!$E10="","-",'ORDENES'!$E10)</f>
        <v/>
      </c>
      <c r="J32" s="3">
        <f>IF('ORDENES'!$F10="","-",'ORDENES'!$F10)</f>
        <v/>
      </c>
      <c r="K32" s="12">
        <f>IF('ORDENES'!$L10="",0,'ORDENES'!$L10)</f>
        <v/>
      </c>
      <c r="L32" s="3">
        <f>IF('ORDENES'!$N10="","-",'ORDENES'!$N10)</f>
        <v/>
      </c>
      <c r="M32" s="3">
        <f>'ORDENES'!$AA10</f>
        <v/>
      </c>
    </row>
    <row r="33">
      <c r="A33" s="3">
        <f>IF('ORDENES'!$O11="","-",'ORDENES'!$O11)</f>
        <v/>
      </c>
      <c r="B33" s="3">
        <f>IF('ORDENES'!$R11="","-",'ORDENES'!$R11)</f>
        <v/>
      </c>
      <c r="C33" s="3">
        <f>IF('ORDENES'!$AC11="","-",'ORDENES'!$AC11)</f>
        <v/>
      </c>
      <c r="D33" s="3">
        <f>IF('ORDENES'!$V11="","-",'ORDENES'!$V11)</f>
        <v/>
      </c>
      <c r="E33" s="3">
        <f>IF('ORDENES'!$U11="","-",'ORDENES'!$U11)</f>
        <v/>
      </c>
      <c r="F33" s="3">
        <f>IF('ORDENES'!$W11="","-",'ORDENES'!$W11)</f>
        <v/>
      </c>
      <c r="G33" s="3">
        <f>IF('ORDENES'!$AB11="","-",'ORDENES'!$AB11)</f>
        <v/>
      </c>
      <c r="H33" s="3">
        <f>IF('ORDENES'!$C11="","-",'ORDENES'!$C11)</f>
        <v/>
      </c>
      <c r="I33" s="3">
        <f>IF('ORDENES'!$E11="","-",'ORDENES'!$E11)</f>
        <v/>
      </c>
      <c r="J33" s="3">
        <f>IF('ORDENES'!$F11="","-",'ORDENES'!$F11)</f>
        <v/>
      </c>
      <c r="K33" s="12">
        <f>IF('ORDENES'!$L11="",0,'ORDENES'!$L11)</f>
        <v/>
      </c>
      <c r="L33" s="3">
        <f>IF('ORDENES'!$N11="","-",'ORDENES'!$N11)</f>
        <v/>
      </c>
      <c r="M33" s="3">
        <f>'ORDENES'!$AA11</f>
        <v/>
      </c>
    </row>
    <row r="34">
      <c r="A34" s="3">
        <f>IF('ORDENES'!$O12="","-",'ORDENES'!$O12)</f>
        <v/>
      </c>
      <c r="B34" s="3">
        <f>IF('ORDENES'!$R12="","-",'ORDENES'!$R12)</f>
        <v/>
      </c>
      <c r="C34" s="3">
        <f>IF('ORDENES'!$AC12="","-",'ORDENES'!$AC12)</f>
        <v/>
      </c>
      <c r="D34" s="3">
        <f>IF('ORDENES'!$V12="","-",'ORDENES'!$V12)</f>
        <v/>
      </c>
      <c r="E34" s="3">
        <f>IF('ORDENES'!$U12="","-",'ORDENES'!$U12)</f>
        <v/>
      </c>
      <c r="F34" s="3">
        <f>IF('ORDENES'!$W12="","-",'ORDENES'!$W12)</f>
        <v/>
      </c>
      <c r="G34" s="3">
        <f>IF('ORDENES'!$AB12="","-",'ORDENES'!$AB12)</f>
        <v/>
      </c>
      <c r="H34" s="3">
        <f>IF('ORDENES'!$C12="","-",'ORDENES'!$C12)</f>
        <v/>
      </c>
      <c r="I34" s="3">
        <f>IF('ORDENES'!$E12="","-",'ORDENES'!$E12)</f>
        <v/>
      </c>
      <c r="J34" s="3">
        <f>IF('ORDENES'!$F12="","-",'ORDENES'!$F12)</f>
        <v/>
      </c>
      <c r="K34" s="12">
        <f>IF('ORDENES'!$L12="",0,'ORDENES'!$L12)</f>
        <v/>
      </c>
      <c r="L34" s="3">
        <f>IF('ORDENES'!$N12="","-",'ORDENES'!$N12)</f>
        <v/>
      </c>
      <c r="M34" s="3">
        <f>'ORDENES'!$AA12</f>
        <v/>
      </c>
    </row>
    <row r="35">
      <c r="A35" s="3">
        <f>IF('ORDENES'!$O13="","-",'ORDENES'!$O13)</f>
        <v/>
      </c>
      <c r="B35" s="3">
        <f>IF('ORDENES'!$R13="","-",'ORDENES'!$R13)</f>
        <v/>
      </c>
      <c r="C35" s="3">
        <f>IF('ORDENES'!$AC13="","-",'ORDENES'!$AC13)</f>
        <v/>
      </c>
      <c r="D35" s="3">
        <f>IF('ORDENES'!$V13="","-",'ORDENES'!$V13)</f>
        <v/>
      </c>
      <c r="E35" s="3">
        <f>IF('ORDENES'!$U13="","-",'ORDENES'!$U13)</f>
        <v/>
      </c>
      <c r="F35" s="3">
        <f>IF('ORDENES'!$W13="","-",'ORDENES'!$W13)</f>
        <v/>
      </c>
      <c r="G35" s="3">
        <f>IF('ORDENES'!$AB13="","-",'ORDENES'!$AB13)</f>
        <v/>
      </c>
      <c r="H35" s="3">
        <f>IF('ORDENES'!$C13="","-",'ORDENES'!$C13)</f>
        <v/>
      </c>
      <c r="I35" s="3">
        <f>IF('ORDENES'!$E13="","-",'ORDENES'!$E13)</f>
        <v/>
      </c>
      <c r="J35" s="3">
        <f>IF('ORDENES'!$F13="","-",'ORDENES'!$F13)</f>
        <v/>
      </c>
      <c r="K35" s="12">
        <f>IF('ORDENES'!$L13="",0,'ORDENES'!$L13)</f>
        <v/>
      </c>
      <c r="L35" s="3">
        <f>IF('ORDENES'!$N13="","-",'ORDENES'!$N13)</f>
        <v/>
      </c>
      <c r="M35" s="3">
        <f>'ORDENES'!$AA13</f>
        <v/>
      </c>
    </row>
    <row r="36">
      <c r="A36" s="3">
        <f>IF('ORDENES'!$O14="","-",'ORDENES'!$O14)</f>
        <v/>
      </c>
      <c r="B36" s="3">
        <f>IF('ORDENES'!$R14="","-",'ORDENES'!$R14)</f>
        <v/>
      </c>
      <c r="C36" s="3">
        <f>IF('ORDENES'!$AC14="","-",'ORDENES'!$AC14)</f>
        <v/>
      </c>
      <c r="D36" s="3">
        <f>IF('ORDENES'!$V14="","-",'ORDENES'!$V14)</f>
        <v/>
      </c>
      <c r="E36" s="3">
        <f>IF('ORDENES'!$U14="","-",'ORDENES'!$U14)</f>
        <v/>
      </c>
      <c r="F36" s="3">
        <f>IF('ORDENES'!$W14="","-",'ORDENES'!$W14)</f>
        <v/>
      </c>
      <c r="G36" s="3">
        <f>IF('ORDENES'!$AB14="","-",'ORDENES'!$AB14)</f>
        <v/>
      </c>
      <c r="H36" s="3">
        <f>IF('ORDENES'!$C14="","-",'ORDENES'!$C14)</f>
        <v/>
      </c>
      <c r="I36" s="3">
        <f>IF('ORDENES'!$E14="","-",'ORDENES'!$E14)</f>
        <v/>
      </c>
      <c r="J36" s="3">
        <f>IF('ORDENES'!$F14="","-",'ORDENES'!$F14)</f>
        <v/>
      </c>
      <c r="K36" s="12">
        <f>IF('ORDENES'!$L14="",0,'ORDENES'!$L14)</f>
        <v/>
      </c>
      <c r="L36" s="3">
        <f>IF('ORDENES'!$N14="","-",'ORDENES'!$N14)</f>
        <v/>
      </c>
      <c r="M36" s="3">
        <f>'ORDENES'!$AA14</f>
        <v/>
      </c>
    </row>
    <row r="37">
      <c r="A37" s="3">
        <f>IF('ORDENES'!$O15="","-",'ORDENES'!$O15)</f>
        <v/>
      </c>
      <c r="B37" s="3">
        <f>IF('ORDENES'!$R15="","-",'ORDENES'!$R15)</f>
        <v/>
      </c>
      <c r="C37" s="3">
        <f>IF('ORDENES'!$AC15="","-",'ORDENES'!$AC15)</f>
        <v/>
      </c>
      <c r="D37" s="3">
        <f>IF('ORDENES'!$V15="","-",'ORDENES'!$V15)</f>
        <v/>
      </c>
      <c r="E37" s="3">
        <f>IF('ORDENES'!$U15="","-",'ORDENES'!$U15)</f>
        <v/>
      </c>
      <c r="F37" s="3">
        <f>IF('ORDENES'!$W15="","-",'ORDENES'!$W15)</f>
        <v/>
      </c>
      <c r="G37" s="3">
        <f>IF('ORDENES'!$AB15="","-",'ORDENES'!$AB15)</f>
        <v/>
      </c>
      <c r="H37" s="3">
        <f>IF('ORDENES'!$C15="","-",'ORDENES'!$C15)</f>
        <v/>
      </c>
      <c r="I37" s="3">
        <f>IF('ORDENES'!$E15="","-",'ORDENES'!$E15)</f>
        <v/>
      </c>
      <c r="J37" s="3">
        <f>IF('ORDENES'!$F15="","-",'ORDENES'!$F15)</f>
        <v/>
      </c>
      <c r="K37" s="12">
        <f>IF('ORDENES'!$L15="",0,'ORDENES'!$L15)</f>
        <v/>
      </c>
      <c r="L37" s="3">
        <f>IF('ORDENES'!$N15="","-",'ORDENES'!$N15)</f>
        <v/>
      </c>
      <c r="M37" s="3">
        <f>'ORDENES'!$AA15</f>
        <v/>
      </c>
    </row>
    <row r="38">
      <c r="A38" s="3">
        <f>IF('ORDENES'!$O16="","-",'ORDENES'!$O16)</f>
        <v/>
      </c>
      <c r="B38" s="3">
        <f>IF('ORDENES'!$R16="","-",'ORDENES'!$R16)</f>
        <v/>
      </c>
      <c r="C38" s="3">
        <f>IF('ORDENES'!$AC16="","-",'ORDENES'!$AC16)</f>
        <v/>
      </c>
      <c r="D38" s="3">
        <f>IF('ORDENES'!$V16="","-",'ORDENES'!$V16)</f>
        <v/>
      </c>
      <c r="E38" s="3">
        <f>IF('ORDENES'!$U16="","-",'ORDENES'!$U16)</f>
        <v/>
      </c>
      <c r="F38" s="3">
        <f>IF('ORDENES'!$W16="","-",'ORDENES'!$W16)</f>
        <v/>
      </c>
      <c r="G38" s="3">
        <f>IF('ORDENES'!$AB16="","-",'ORDENES'!$AB16)</f>
        <v/>
      </c>
      <c r="H38" s="3">
        <f>IF('ORDENES'!$C16="","-",'ORDENES'!$C16)</f>
        <v/>
      </c>
      <c r="I38" s="3">
        <f>IF('ORDENES'!$E16="","-",'ORDENES'!$E16)</f>
        <v/>
      </c>
      <c r="J38" s="3">
        <f>IF('ORDENES'!$F16="","-",'ORDENES'!$F16)</f>
        <v/>
      </c>
      <c r="K38" s="12">
        <f>IF('ORDENES'!$L16="",0,'ORDENES'!$L16)</f>
        <v/>
      </c>
      <c r="L38" s="3">
        <f>IF('ORDENES'!$N16="","-",'ORDENES'!$N16)</f>
        <v/>
      </c>
      <c r="M38" s="3">
        <f>'ORDENES'!$AA16</f>
        <v/>
      </c>
    </row>
    <row r="39">
      <c r="A39" s="3">
        <f>IF('ORDENES'!$O17="","-",'ORDENES'!$O17)</f>
        <v/>
      </c>
      <c r="B39" s="3">
        <f>IF('ORDENES'!$R17="","-",'ORDENES'!$R17)</f>
        <v/>
      </c>
      <c r="C39" s="3">
        <f>IF('ORDENES'!$AC17="","-",'ORDENES'!$AC17)</f>
        <v/>
      </c>
      <c r="D39" s="3">
        <f>IF('ORDENES'!$V17="","-",'ORDENES'!$V17)</f>
        <v/>
      </c>
      <c r="E39" s="3">
        <f>IF('ORDENES'!$U17="","-",'ORDENES'!$U17)</f>
        <v/>
      </c>
      <c r="F39" s="3">
        <f>IF('ORDENES'!$W17="","-",'ORDENES'!$W17)</f>
        <v/>
      </c>
      <c r="G39" s="3">
        <f>IF('ORDENES'!$AB17="","-",'ORDENES'!$AB17)</f>
        <v/>
      </c>
      <c r="H39" s="3">
        <f>IF('ORDENES'!$C17="","-",'ORDENES'!$C17)</f>
        <v/>
      </c>
      <c r="I39" s="3">
        <f>IF('ORDENES'!$E17="","-",'ORDENES'!$E17)</f>
        <v/>
      </c>
      <c r="J39" s="3">
        <f>IF('ORDENES'!$F17="","-",'ORDENES'!$F17)</f>
        <v/>
      </c>
      <c r="K39" s="12">
        <f>IF('ORDENES'!$L17="",0,'ORDENES'!$L17)</f>
        <v/>
      </c>
      <c r="L39" s="3">
        <f>IF('ORDENES'!$N17="","-",'ORDENES'!$N17)</f>
        <v/>
      </c>
      <c r="M39" s="3">
        <f>'ORDENES'!$AA17</f>
        <v/>
      </c>
    </row>
    <row r="40">
      <c r="A40" s="3">
        <f>IF('ORDENES'!$O18="","-",'ORDENES'!$O18)</f>
        <v/>
      </c>
      <c r="B40" s="3">
        <f>IF('ORDENES'!$R18="","-",'ORDENES'!$R18)</f>
        <v/>
      </c>
      <c r="C40" s="3">
        <f>IF('ORDENES'!$AC18="","-",'ORDENES'!$AC18)</f>
        <v/>
      </c>
      <c r="D40" s="3">
        <f>IF('ORDENES'!$V18="","-",'ORDENES'!$V18)</f>
        <v/>
      </c>
      <c r="E40" s="3">
        <f>IF('ORDENES'!$U18="","-",'ORDENES'!$U18)</f>
        <v/>
      </c>
      <c r="F40" s="3">
        <f>IF('ORDENES'!$W18="","-",'ORDENES'!$W18)</f>
        <v/>
      </c>
      <c r="G40" s="3">
        <f>IF('ORDENES'!$AB18="","-",'ORDENES'!$AB18)</f>
        <v/>
      </c>
      <c r="H40" s="3">
        <f>IF('ORDENES'!$C18="","-",'ORDENES'!$C18)</f>
        <v/>
      </c>
      <c r="I40" s="3">
        <f>IF('ORDENES'!$E18="","-",'ORDENES'!$E18)</f>
        <v/>
      </c>
      <c r="J40" s="3">
        <f>IF('ORDENES'!$F18="","-",'ORDENES'!$F18)</f>
        <v/>
      </c>
      <c r="K40" s="12">
        <f>IF('ORDENES'!$L18="",0,'ORDENES'!$L18)</f>
        <v/>
      </c>
      <c r="L40" s="3">
        <f>IF('ORDENES'!$N18="","-",'ORDENES'!$N18)</f>
        <v/>
      </c>
      <c r="M40" s="3">
        <f>'ORDENES'!$AA18</f>
        <v/>
      </c>
    </row>
    <row r="41">
      <c r="A41" s="3">
        <f>IF('ORDENES'!$O19="","-",'ORDENES'!$O19)</f>
        <v/>
      </c>
      <c r="B41" s="3">
        <f>IF('ORDENES'!$R19="","-",'ORDENES'!$R19)</f>
        <v/>
      </c>
      <c r="C41" s="3">
        <f>IF('ORDENES'!$AC19="","-",'ORDENES'!$AC19)</f>
        <v/>
      </c>
      <c r="D41" s="3">
        <f>IF('ORDENES'!$V19="","-",'ORDENES'!$V19)</f>
        <v/>
      </c>
      <c r="E41" s="3">
        <f>IF('ORDENES'!$U19="","-",'ORDENES'!$U19)</f>
        <v/>
      </c>
      <c r="F41" s="3">
        <f>IF('ORDENES'!$W19="","-",'ORDENES'!$W19)</f>
        <v/>
      </c>
      <c r="G41" s="3">
        <f>IF('ORDENES'!$AB19="","-",'ORDENES'!$AB19)</f>
        <v/>
      </c>
      <c r="H41" s="3">
        <f>IF('ORDENES'!$C19="","-",'ORDENES'!$C19)</f>
        <v/>
      </c>
      <c r="I41" s="3">
        <f>IF('ORDENES'!$E19="","-",'ORDENES'!$E19)</f>
        <v/>
      </c>
      <c r="J41" s="3">
        <f>IF('ORDENES'!$F19="","-",'ORDENES'!$F19)</f>
        <v/>
      </c>
      <c r="K41" s="12">
        <f>IF('ORDENES'!$L19="",0,'ORDENES'!$L19)</f>
        <v/>
      </c>
      <c r="L41" s="3">
        <f>IF('ORDENES'!$N19="","-",'ORDENES'!$N19)</f>
        <v/>
      </c>
      <c r="M41" s="3">
        <f>'ORDENES'!$AA19</f>
        <v/>
      </c>
    </row>
    <row r="42">
      <c r="A42" s="3">
        <f>IF('ORDENES'!$O20="","-",'ORDENES'!$O20)</f>
        <v/>
      </c>
      <c r="B42" s="3">
        <f>IF('ORDENES'!$R20="","-",'ORDENES'!$R20)</f>
        <v/>
      </c>
      <c r="C42" s="3">
        <f>IF('ORDENES'!$AC20="","-",'ORDENES'!$AC20)</f>
        <v/>
      </c>
      <c r="D42" s="3">
        <f>IF('ORDENES'!$V20="","-",'ORDENES'!$V20)</f>
        <v/>
      </c>
      <c r="E42" s="3">
        <f>IF('ORDENES'!$U20="","-",'ORDENES'!$U20)</f>
        <v/>
      </c>
      <c r="F42" s="3">
        <f>IF('ORDENES'!$W20="","-",'ORDENES'!$W20)</f>
        <v/>
      </c>
      <c r="G42" s="3">
        <f>IF('ORDENES'!$AB20="","-",'ORDENES'!$AB20)</f>
        <v/>
      </c>
      <c r="H42" s="3">
        <f>IF('ORDENES'!$C20="","-",'ORDENES'!$C20)</f>
        <v/>
      </c>
      <c r="I42" s="3">
        <f>IF('ORDENES'!$E20="","-",'ORDENES'!$E20)</f>
        <v/>
      </c>
      <c r="J42" s="3">
        <f>IF('ORDENES'!$F20="","-",'ORDENES'!$F20)</f>
        <v/>
      </c>
      <c r="K42" s="12">
        <f>IF('ORDENES'!$L20="",0,'ORDENES'!$L20)</f>
        <v/>
      </c>
      <c r="L42" s="3">
        <f>IF('ORDENES'!$N20="","-",'ORDENES'!$N20)</f>
        <v/>
      </c>
      <c r="M42" s="3">
        <f>'ORDENES'!$AA20</f>
        <v/>
      </c>
    </row>
    <row r="43">
      <c r="A43" s="3">
        <f>IF('ORDENES'!$O21="","-",'ORDENES'!$O21)</f>
        <v/>
      </c>
      <c r="B43" s="3">
        <f>IF('ORDENES'!$R21="","-",'ORDENES'!$R21)</f>
        <v/>
      </c>
      <c r="C43" s="3">
        <f>IF('ORDENES'!$AC21="","-",'ORDENES'!$AC21)</f>
        <v/>
      </c>
      <c r="D43" s="3">
        <f>IF('ORDENES'!$V21="","-",'ORDENES'!$V21)</f>
        <v/>
      </c>
      <c r="E43" s="3">
        <f>IF('ORDENES'!$U21="","-",'ORDENES'!$U21)</f>
        <v/>
      </c>
      <c r="F43" s="3">
        <f>IF('ORDENES'!$W21="","-",'ORDENES'!$W21)</f>
        <v/>
      </c>
      <c r="G43" s="3">
        <f>IF('ORDENES'!$AB21="","-",'ORDENES'!$AB21)</f>
        <v/>
      </c>
      <c r="H43" s="3">
        <f>IF('ORDENES'!$C21="","-",'ORDENES'!$C21)</f>
        <v/>
      </c>
      <c r="I43" s="3">
        <f>IF('ORDENES'!$E21="","-",'ORDENES'!$E21)</f>
        <v/>
      </c>
      <c r="J43" s="3">
        <f>IF('ORDENES'!$F21="","-",'ORDENES'!$F21)</f>
        <v/>
      </c>
      <c r="K43" s="12">
        <f>IF('ORDENES'!$L21="",0,'ORDENES'!$L21)</f>
        <v/>
      </c>
      <c r="L43" s="3">
        <f>IF('ORDENES'!$N21="","-",'ORDENES'!$N21)</f>
        <v/>
      </c>
      <c r="M43" s="3">
        <f>'ORDENES'!$AA21</f>
        <v/>
      </c>
    </row>
    <row r="44">
      <c r="A44" s="3">
        <f>IF('ORDENES'!$O22="","-",'ORDENES'!$O22)</f>
        <v/>
      </c>
      <c r="B44" s="3">
        <f>IF('ORDENES'!$R22="","-",'ORDENES'!$R22)</f>
        <v/>
      </c>
      <c r="C44" s="3">
        <f>IF('ORDENES'!$AC22="","-",'ORDENES'!$AC22)</f>
        <v/>
      </c>
      <c r="D44" s="3">
        <f>IF('ORDENES'!$V22="","-",'ORDENES'!$V22)</f>
        <v/>
      </c>
      <c r="E44" s="3">
        <f>IF('ORDENES'!$U22="","-",'ORDENES'!$U22)</f>
        <v/>
      </c>
      <c r="F44" s="3">
        <f>IF('ORDENES'!$W22="","-",'ORDENES'!$W22)</f>
        <v/>
      </c>
      <c r="G44" s="3">
        <f>IF('ORDENES'!$AB22="","-",'ORDENES'!$AB22)</f>
        <v/>
      </c>
      <c r="H44" s="3">
        <f>IF('ORDENES'!$C22="","-",'ORDENES'!$C22)</f>
        <v/>
      </c>
      <c r="I44" s="3">
        <f>IF('ORDENES'!$E22="","-",'ORDENES'!$E22)</f>
        <v/>
      </c>
      <c r="J44" s="3">
        <f>IF('ORDENES'!$F22="","-",'ORDENES'!$F22)</f>
        <v/>
      </c>
      <c r="K44" s="12">
        <f>IF('ORDENES'!$L22="",0,'ORDENES'!$L22)</f>
        <v/>
      </c>
      <c r="L44" s="3">
        <f>IF('ORDENES'!$N22="","-",'ORDENES'!$N22)</f>
        <v/>
      </c>
      <c r="M44" s="3">
        <f>'ORDENES'!$AA22</f>
        <v/>
      </c>
    </row>
    <row r="45">
      <c r="A45" s="3">
        <f>IF('ORDENES'!$O23="","-",'ORDENES'!$O23)</f>
        <v/>
      </c>
      <c r="B45" s="3">
        <f>IF('ORDENES'!$R23="","-",'ORDENES'!$R23)</f>
        <v/>
      </c>
      <c r="C45" s="3">
        <f>IF('ORDENES'!$AC23="","-",'ORDENES'!$AC23)</f>
        <v/>
      </c>
      <c r="D45" s="3">
        <f>IF('ORDENES'!$V23="","-",'ORDENES'!$V23)</f>
        <v/>
      </c>
      <c r="E45" s="3">
        <f>IF('ORDENES'!$U23="","-",'ORDENES'!$U23)</f>
        <v/>
      </c>
      <c r="F45" s="3">
        <f>IF('ORDENES'!$W23="","-",'ORDENES'!$W23)</f>
        <v/>
      </c>
      <c r="G45" s="3">
        <f>IF('ORDENES'!$AB23="","-",'ORDENES'!$AB23)</f>
        <v/>
      </c>
      <c r="H45" s="3">
        <f>IF('ORDENES'!$C23="","-",'ORDENES'!$C23)</f>
        <v/>
      </c>
      <c r="I45" s="3">
        <f>IF('ORDENES'!$E23="","-",'ORDENES'!$E23)</f>
        <v/>
      </c>
      <c r="J45" s="3">
        <f>IF('ORDENES'!$F23="","-",'ORDENES'!$F23)</f>
        <v/>
      </c>
      <c r="K45" s="12">
        <f>IF('ORDENES'!$L23="",0,'ORDENES'!$L23)</f>
        <v/>
      </c>
      <c r="L45" s="3">
        <f>IF('ORDENES'!$N23="","-",'ORDENES'!$N23)</f>
        <v/>
      </c>
      <c r="M45" s="3">
        <f>'ORDENES'!$AA23</f>
        <v/>
      </c>
    </row>
    <row r="46">
      <c r="A46" s="3">
        <f>IF('ORDENES'!$O24="","-",'ORDENES'!$O24)</f>
        <v/>
      </c>
      <c r="B46" s="3">
        <f>IF('ORDENES'!$R24="","-",'ORDENES'!$R24)</f>
        <v/>
      </c>
      <c r="C46" s="3">
        <f>IF('ORDENES'!$AC24="","-",'ORDENES'!$AC24)</f>
        <v/>
      </c>
      <c r="D46" s="3">
        <f>IF('ORDENES'!$V24="","-",'ORDENES'!$V24)</f>
        <v/>
      </c>
      <c r="E46" s="3">
        <f>IF('ORDENES'!$U24="","-",'ORDENES'!$U24)</f>
        <v/>
      </c>
      <c r="F46" s="3">
        <f>IF('ORDENES'!$W24="","-",'ORDENES'!$W24)</f>
        <v/>
      </c>
      <c r="G46" s="3">
        <f>IF('ORDENES'!$AB24="","-",'ORDENES'!$AB24)</f>
        <v/>
      </c>
      <c r="H46" s="3">
        <f>IF('ORDENES'!$C24="","-",'ORDENES'!$C24)</f>
        <v/>
      </c>
      <c r="I46" s="3">
        <f>IF('ORDENES'!$E24="","-",'ORDENES'!$E24)</f>
        <v/>
      </c>
      <c r="J46" s="3">
        <f>IF('ORDENES'!$F24="","-",'ORDENES'!$F24)</f>
        <v/>
      </c>
      <c r="K46" s="12">
        <f>IF('ORDENES'!$L24="",0,'ORDENES'!$L24)</f>
        <v/>
      </c>
      <c r="L46" s="3">
        <f>IF('ORDENES'!$N24="","-",'ORDENES'!$N24)</f>
        <v/>
      </c>
      <c r="M46" s="3">
        <f>'ORDENES'!$AA24</f>
        <v/>
      </c>
    </row>
    <row r="47">
      <c r="A47" s="3">
        <f>IF('ORDENES'!$O25="","-",'ORDENES'!$O25)</f>
        <v/>
      </c>
      <c r="B47" s="3">
        <f>IF('ORDENES'!$R25="","-",'ORDENES'!$R25)</f>
        <v/>
      </c>
      <c r="C47" s="3">
        <f>IF('ORDENES'!$AC25="","-",'ORDENES'!$AC25)</f>
        <v/>
      </c>
      <c r="D47" s="3">
        <f>IF('ORDENES'!$V25="","-",'ORDENES'!$V25)</f>
        <v/>
      </c>
      <c r="E47" s="3">
        <f>IF('ORDENES'!$U25="","-",'ORDENES'!$U25)</f>
        <v/>
      </c>
      <c r="F47" s="3">
        <f>IF('ORDENES'!$W25="","-",'ORDENES'!$W25)</f>
        <v/>
      </c>
      <c r="G47" s="3">
        <f>IF('ORDENES'!$AB25="","-",'ORDENES'!$AB25)</f>
        <v/>
      </c>
      <c r="H47" s="3">
        <f>IF('ORDENES'!$C25="","-",'ORDENES'!$C25)</f>
        <v/>
      </c>
      <c r="I47" s="3">
        <f>IF('ORDENES'!$E25="","-",'ORDENES'!$E25)</f>
        <v/>
      </c>
      <c r="J47" s="3">
        <f>IF('ORDENES'!$F25="","-",'ORDENES'!$F25)</f>
        <v/>
      </c>
      <c r="K47" s="12">
        <f>IF('ORDENES'!$L25="",0,'ORDENES'!$L25)</f>
        <v/>
      </c>
      <c r="L47" s="3">
        <f>IF('ORDENES'!$N25="","-",'ORDENES'!$N25)</f>
        <v/>
      </c>
      <c r="M47" s="3">
        <f>'ORDENES'!$AA25</f>
        <v/>
      </c>
    </row>
    <row r="48">
      <c r="A48" s="3">
        <f>IF('ORDENES'!$O26="","-",'ORDENES'!$O26)</f>
        <v/>
      </c>
      <c r="B48" s="3">
        <f>IF('ORDENES'!$R26="","-",'ORDENES'!$R26)</f>
        <v/>
      </c>
      <c r="C48" s="3">
        <f>IF('ORDENES'!$AC26="","-",'ORDENES'!$AC26)</f>
        <v/>
      </c>
      <c r="D48" s="3">
        <f>IF('ORDENES'!$V26="","-",'ORDENES'!$V26)</f>
        <v/>
      </c>
      <c r="E48" s="3">
        <f>IF('ORDENES'!$U26="","-",'ORDENES'!$U26)</f>
        <v/>
      </c>
      <c r="F48" s="3">
        <f>IF('ORDENES'!$W26="","-",'ORDENES'!$W26)</f>
        <v/>
      </c>
      <c r="G48" s="3">
        <f>IF('ORDENES'!$AB26="","-",'ORDENES'!$AB26)</f>
        <v/>
      </c>
      <c r="H48" s="3">
        <f>IF('ORDENES'!$C26="","-",'ORDENES'!$C26)</f>
        <v/>
      </c>
      <c r="I48" s="3">
        <f>IF('ORDENES'!$E26="","-",'ORDENES'!$E26)</f>
        <v/>
      </c>
      <c r="J48" s="3">
        <f>IF('ORDENES'!$F26="","-",'ORDENES'!$F26)</f>
        <v/>
      </c>
      <c r="K48" s="12">
        <f>IF('ORDENES'!$L26="",0,'ORDENES'!$L26)</f>
        <v/>
      </c>
      <c r="L48" s="3">
        <f>IF('ORDENES'!$N26="","-",'ORDENES'!$N26)</f>
        <v/>
      </c>
      <c r="M48" s="3">
        <f>'ORDENES'!$AA26</f>
        <v/>
      </c>
    </row>
    <row r="49">
      <c r="A49" s="3">
        <f>IF('ORDENES'!$O27="","-",'ORDENES'!$O27)</f>
        <v/>
      </c>
      <c r="B49" s="3">
        <f>IF('ORDENES'!$R27="","-",'ORDENES'!$R27)</f>
        <v/>
      </c>
      <c r="C49" s="3">
        <f>IF('ORDENES'!$AC27="","-",'ORDENES'!$AC27)</f>
        <v/>
      </c>
      <c r="D49" s="3">
        <f>IF('ORDENES'!$V27="","-",'ORDENES'!$V27)</f>
        <v/>
      </c>
      <c r="E49" s="3">
        <f>IF('ORDENES'!$U27="","-",'ORDENES'!$U27)</f>
        <v/>
      </c>
      <c r="F49" s="3">
        <f>IF('ORDENES'!$W27="","-",'ORDENES'!$W27)</f>
        <v/>
      </c>
      <c r="G49" s="3">
        <f>IF('ORDENES'!$AB27="","-",'ORDENES'!$AB27)</f>
        <v/>
      </c>
      <c r="H49" s="3">
        <f>IF('ORDENES'!$C27="","-",'ORDENES'!$C27)</f>
        <v/>
      </c>
      <c r="I49" s="3">
        <f>IF('ORDENES'!$E27="","-",'ORDENES'!$E27)</f>
        <v/>
      </c>
      <c r="J49" s="3">
        <f>IF('ORDENES'!$F27="","-",'ORDENES'!$F27)</f>
        <v/>
      </c>
      <c r="K49" s="12">
        <f>IF('ORDENES'!$L27="",0,'ORDENES'!$L27)</f>
        <v/>
      </c>
      <c r="L49" s="3">
        <f>IF('ORDENES'!$N27="","-",'ORDENES'!$N27)</f>
        <v/>
      </c>
      <c r="M49" s="3">
        <f>'ORDENES'!$AA27</f>
        <v/>
      </c>
    </row>
    <row r="50">
      <c r="A50" s="3">
        <f>IF('ORDENES'!$O28="","-",'ORDENES'!$O28)</f>
        <v/>
      </c>
      <c r="B50" s="3">
        <f>IF('ORDENES'!$R28="","-",'ORDENES'!$R28)</f>
        <v/>
      </c>
      <c r="C50" s="3">
        <f>IF('ORDENES'!$AC28="","-",'ORDENES'!$AC28)</f>
        <v/>
      </c>
      <c r="D50" s="3">
        <f>IF('ORDENES'!$V28="","-",'ORDENES'!$V28)</f>
        <v/>
      </c>
      <c r="E50" s="3">
        <f>IF('ORDENES'!$U28="","-",'ORDENES'!$U28)</f>
        <v/>
      </c>
      <c r="F50" s="3">
        <f>IF('ORDENES'!$W28="","-",'ORDENES'!$W28)</f>
        <v/>
      </c>
      <c r="G50" s="3">
        <f>IF('ORDENES'!$AB28="","-",'ORDENES'!$AB28)</f>
        <v/>
      </c>
      <c r="H50" s="3">
        <f>IF('ORDENES'!$C28="","-",'ORDENES'!$C28)</f>
        <v/>
      </c>
      <c r="I50" s="3">
        <f>IF('ORDENES'!$E28="","-",'ORDENES'!$E28)</f>
        <v/>
      </c>
      <c r="J50" s="3">
        <f>IF('ORDENES'!$F28="","-",'ORDENES'!$F28)</f>
        <v/>
      </c>
      <c r="K50" s="12">
        <f>IF('ORDENES'!$L28="",0,'ORDENES'!$L28)</f>
        <v/>
      </c>
      <c r="L50" s="3">
        <f>IF('ORDENES'!$N28="","-",'ORDENES'!$N28)</f>
        <v/>
      </c>
      <c r="M50" s="3">
        <f>'ORDENES'!$AA28</f>
        <v/>
      </c>
    </row>
    <row r="51">
      <c r="A51" s="3">
        <f>IF('ORDENES'!$O29="","-",'ORDENES'!$O29)</f>
        <v/>
      </c>
      <c r="B51" s="3">
        <f>IF('ORDENES'!$R29="","-",'ORDENES'!$R29)</f>
        <v/>
      </c>
      <c r="C51" s="3">
        <f>IF('ORDENES'!$AC29="","-",'ORDENES'!$AC29)</f>
        <v/>
      </c>
      <c r="D51" s="3">
        <f>IF('ORDENES'!$V29="","-",'ORDENES'!$V29)</f>
        <v/>
      </c>
      <c r="E51" s="3">
        <f>IF('ORDENES'!$U29="","-",'ORDENES'!$U29)</f>
        <v/>
      </c>
      <c r="F51" s="3">
        <f>IF('ORDENES'!$W29="","-",'ORDENES'!$W29)</f>
        <v/>
      </c>
      <c r="G51" s="3">
        <f>IF('ORDENES'!$AB29="","-",'ORDENES'!$AB29)</f>
        <v/>
      </c>
      <c r="H51" s="3">
        <f>IF('ORDENES'!$C29="","-",'ORDENES'!$C29)</f>
        <v/>
      </c>
      <c r="I51" s="3">
        <f>IF('ORDENES'!$E29="","-",'ORDENES'!$E29)</f>
        <v/>
      </c>
      <c r="J51" s="3">
        <f>IF('ORDENES'!$F29="","-",'ORDENES'!$F29)</f>
        <v/>
      </c>
      <c r="K51" s="12">
        <f>IF('ORDENES'!$L29="",0,'ORDENES'!$L29)</f>
        <v/>
      </c>
      <c r="L51" s="3">
        <f>IF('ORDENES'!$N29="","-",'ORDENES'!$N29)</f>
        <v/>
      </c>
      <c r="M51" s="3">
        <f>'ORDENES'!$AA29</f>
        <v/>
      </c>
    </row>
    <row r="52">
      <c r="A52" s="3">
        <f>IF('ORDENES'!$O30="","-",'ORDENES'!$O30)</f>
        <v/>
      </c>
      <c r="B52" s="3">
        <f>IF('ORDENES'!$R30="","-",'ORDENES'!$R30)</f>
        <v/>
      </c>
      <c r="C52" s="3">
        <f>IF('ORDENES'!$AC30="","-",'ORDENES'!$AC30)</f>
        <v/>
      </c>
      <c r="D52" s="3">
        <f>IF('ORDENES'!$V30="","-",'ORDENES'!$V30)</f>
        <v/>
      </c>
      <c r="E52" s="3">
        <f>IF('ORDENES'!$U30="","-",'ORDENES'!$U30)</f>
        <v/>
      </c>
      <c r="F52" s="3">
        <f>IF('ORDENES'!$W30="","-",'ORDENES'!$W30)</f>
        <v/>
      </c>
      <c r="G52" s="3">
        <f>IF('ORDENES'!$AB30="","-",'ORDENES'!$AB30)</f>
        <v/>
      </c>
      <c r="H52" s="3">
        <f>IF('ORDENES'!$C30="","-",'ORDENES'!$C30)</f>
        <v/>
      </c>
      <c r="I52" s="3">
        <f>IF('ORDENES'!$E30="","-",'ORDENES'!$E30)</f>
        <v/>
      </c>
      <c r="J52" s="3">
        <f>IF('ORDENES'!$F30="","-",'ORDENES'!$F30)</f>
        <v/>
      </c>
      <c r="K52" s="12">
        <f>IF('ORDENES'!$L30="",0,'ORDENES'!$L30)</f>
        <v/>
      </c>
      <c r="L52" s="3">
        <f>IF('ORDENES'!$N30="","-",'ORDENES'!$N30)</f>
        <v/>
      </c>
      <c r="M52" s="3">
        <f>'ORDENES'!$AA30</f>
        <v/>
      </c>
    </row>
    <row r="53">
      <c r="A53" s="3">
        <f>IF('ORDENES'!$O31="","-",'ORDENES'!$O31)</f>
        <v/>
      </c>
      <c r="B53" s="3">
        <f>IF('ORDENES'!$R31="","-",'ORDENES'!$R31)</f>
        <v/>
      </c>
      <c r="C53" s="3">
        <f>IF('ORDENES'!$AC31="","-",'ORDENES'!$AC31)</f>
        <v/>
      </c>
      <c r="D53" s="3">
        <f>IF('ORDENES'!$V31="","-",'ORDENES'!$V31)</f>
        <v/>
      </c>
      <c r="E53" s="3">
        <f>IF('ORDENES'!$U31="","-",'ORDENES'!$U31)</f>
        <v/>
      </c>
      <c r="F53" s="3">
        <f>IF('ORDENES'!$W31="","-",'ORDENES'!$W31)</f>
        <v/>
      </c>
      <c r="G53" s="3">
        <f>IF('ORDENES'!$AB31="","-",'ORDENES'!$AB31)</f>
        <v/>
      </c>
      <c r="H53" s="3">
        <f>IF('ORDENES'!$C31="","-",'ORDENES'!$C31)</f>
        <v/>
      </c>
      <c r="I53" s="3">
        <f>IF('ORDENES'!$E31="","-",'ORDENES'!$E31)</f>
        <v/>
      </c>
      <c r="J53" s="3">
        <f>IF('ORDENES'!$F31="","-",'ORDENES'!$F31)</f>
        <v/>
      </c>
      <c r="K53" s="12">
        <f>IF('ORDENES'!$L31="",0,'ORDENES'!$L31)</f>
        <v/>
      </c>
      <c r="L53" s="3">
        <f>IF('ORDENES'!$N31="","-",'ORDENES'!$N31)</f>
        <v/>
      </c>
      <c r="M53" s="3">
        <f>'ORDENES'!$AA31</f>
        <v/>
      </c>
    </row>
    <row r="54">
      <c r="A54" s="3">
        <f>IF('ORDENES'!$O32="","-",'ORDENES'!$O32)</f>
        <v/>
      </c>
      <c r="B54" s="3">
        <f>IF('ORDENES'!$R32="","-",'ORDENES'!$R32)</f>
        <v/>
      </c>
      <c r="C54" s="3">
        <f>IF('ORDENES'!$AC32="","-",'ORDENES'!$AC32)</f>
        <v/>
      </c>
      <c r="D54" s="3">
        <f>IF('ORDENES'!$V32="","-",'ORDENES'!$V32)</f>
        <v/>
      </c>
      <c r="E54" s="3">
        <f>IF('ORDENES'!$U32="","-",'ORDENES'!$U32)</f>
        <v/>
      </c>
      <c r="F54" s="3">
        <f>IF('ORDENES'!$W32="","-",'ORDENES'!$W32)</f>
        <v/>
      </c>
      <c r="G54" s="3">
        <f>IF('ORDENES'!$AB32="","-",'ORDENES'!$AB32)</f>
        <v/>
      </c>
      <c r="H54" s="3">
        <f>IF('ORDENES'!$C32="","-",'ORDENES'!$C32)</f>
        <v/>
      </c>
      <c r="I54" s="3">
        <f>IF('ORDENES'!$E32="","-",'ORDENES'!$E32)</f>
        <v/>
      </c>
      <c r="J54" s="3">
        <f>IF('ORDENES'!$F32="","-",'ORDENES'!$F32)</f>
        <v/>
      </c>
      <c r="K54" s="12">
        <f>IF('ORDENES'!$L32="",0,'ORDENES'!$L32)</f>
        <v/>
      </c>
      <c r="L54" s="3">
        <f>IF('ORDENES'!$N32="","-",'ORDENES'!$N32)</f>
        <v/>
      </c>
      <c r="M54" s="3">
        <f>'ORDENES'!$AA32</f>
        <v/>
      </c>
    </row>
    <row r="55">
      <c r="A55" s="3">
        <f>IF('ORDENES'!$O33="","-",'ORDENES'!$O33)</f>
        <v/>
      </c>
      <c r="B55" s="3">
        <f>IF('ORDENES'!$R33="","-",'ORDENES'!$R33)</f>
        <v/>
      </c>
      <c r="C55" s="3">
        <f>IF('ORDENES'!$AC33="","-",'ORDENES'!$AC33)</f>
        <v/>
      </c>
      <c r="D55" s="3">
        <f>IF('ORDENES'!$V33="","-",'ORDENES'!$V33)</f>
        <v/>
      </c>
      <c r="E55" s="3">
        <f>IF('ORDENES'!$U33="","-",'ORDENES'!$U33)</f>
        <v/>
      </c>
      <c r="F55" s="3">
        <f>IF('ORDENES'!$W33="","-",'ORDENES'!$W33)</f>
        <v/>
      </c>
      <c r="G55" s="3">
        <f>IF('ORDENES'!$AB33="","-",'ORDENES'!$AB33)</f>
        <v/>
      </c>
      <c r="H55" s="3">
        <f>IF('ORDENES'!$C33="","-",'ORDENES'!$C33)</f>
        <v/>
      </c>
      <c r="I55" s="3">
        <f>IF('ORDENES'!$E33="","-",'ORDENES'!$E33)</f>
        <v/>
      </c>
      <c r="J55" s="3">
        <f>IF('ORDENES'!$F33="","-",'ORDENES'!$F33)</f>
        <v/>
      </c>
      <c r="K55" s="12">
        <f>IF('ORDENES'!$L33="",0,'ORDENES'!$L33)</f>
        <v/>
      </c>
      <c r="L55" s="3">
        <f>IF('ORDENES'!$N33="","-",'ORDENES'!$N33)</f>
        <v/>
      </c>
      <c r="M55" s="3">
        <f>'ORDENES'!$AA33</f>
        <v/>
      </c>
    </row>
    <row r="56">
      <c r="A56" s="3">
        <f>IF('ORDENES'!$O34="","-",'ORDENES'!$O34)</f>
        <v/>
      </c>
      <c r="B56" s="3">
        <f>IF('ORDENES'!$R34="","-",'ORDENES'!$R34)</f>
        <v/>
      </c>
      <c r="C56" s="3">
        <f>IF('ORDENES'!$AC34="","-",'ORDENES'!$AC34)</f>
        <v/>
      </c>
      <c r="D56" s="3">
        <f>IF('ORDENES'!$V34="","-",'ORDENES'!$V34)</f>
        <v/>
      </c>
      <c r="E56" s="3">
        <f>IF('ORDENES'!$U34="","-",'ORDENES'!$U34)</f>
        <v/>
      </c>
      <c r="F56" s="3">
        <f>IF('ORDENES'!$W34="","-",'ORDENES'!$W34)</f>
        <v/>
      </c>
      <c r="G56" s="3">
        <f>IF('ORDENES'!$AB34="","-",'ORDENES'!$AB34)</f>
        <v/>
      </c>
      <c r="H56" s="3">
        <f>IF('ORDENES'!$C34="","-",'ORDENES'!$C34)</f>
        <v/>
      </c>
      <c r="I56" s="3">
        <f>IF('ORDENES'!$E34="","-",'ORDENES'!$E34)</f>
        <v/>
      </c>
      <c r="J56" s="3">
        <f>IF('ORDENES'!$F34="","-",'ORDENES'!$F34)</f>
        <v/>
      </c>
      <c r="K56" s="12">
        <f>IF('ORDENES'!$L34="",0,'ORDENES'!$L34)</f>
        <v/>
      </c>
      <c r="L56" s="3">
        <f>IF('ORDENES'!$N34="","-",'ORDENES'!$N34)</f>
        <v/>
      </c>
      <c r="M56" s="3">
        <f>'ORDENES'!$AA34</f>
        <v/>
      </c>
    </row>
    <row r="57">
      <c r="A57" s="3">
        <f>IF('ORDENES'!$O35="","-",'ORDENES'!$O35)</f>
        <v/>
      </c>
      <c r="B57" s="3">
        <f>IF('ORDENES'!$R35="","-",'ORDENES'!$R35)</f>
        <v/>
      </c>
      <c r="C57" s="3">
        <f>IF('ORDENES'!$AC35="","-",'ORDENES'!$AC35)</f>
        <v/>
      </c>
      <c r="D57" s="3">
        <f>IF('ORDENES'!$V35="","-",'ORDENES'!$V35)</f>
        <v/>
      </c>
      <c r="E57" s="3">
        <f>IF('ORDENES'!$U35="","-",'ORDENES'!$U35)</f>
        <v/>
      </c>
      <c r="F57" s="3">
        <f>IF('ORDENES'!$W35="","-",'ORDENES'!$W35)</f>
        <v/>
      </c>
      <c r="G57" s="3">
        <f>IF('ORDENES'!$AB35="","-",'ORDENES'!$AB35)</f>
        <v/>
      </c>
      <c r="H57" s="3">
        <f>IF('ORDENES'!$C35="","-",'ORDENES'!$C35)</f>
        <v/>
      </c>
      <c r="I57" s="3">
        <f>IF('ORDENES'!$E35="","-",'ORDENES'!$E35)</f>
        <v/>
      </c>
      <c r="J57" s="3">
        <f>IF('ORDENES'!$F35="","-",'ORDENES'!$F35)</f>
        <v/>
      </c>
      <c r="K57" s="12">
        <f>IF('ORDENES'!$L35="",0,'ORDENES'!$L35)</f>
        <v/>
      </c>
      <c r="L57" s="3">
        <f>IF('ORDENES'!$N35="","-",'ORDENES'!$N35)</f>
        <v/>
      </c>
      <c r="M57" s="3">
        <f>'ORDENES'!$AA35</f>
        <v/>
      </c>
    </row>
    <row r="58">
      <c r="A58" s="3">
        <f>IF('ORDENES'!$O36="","-",'ORDENES'!$O36)</f>
        <v/>
      </c>
      <c r="B58" s="3">
        <f>IF('ORDENES'!$R36="","-",'ORDENES'!$R36)</f>
        <v/>
      </c>
      <c r="C58" s="3">
        <f>IF('ORDENES'!$AC36="","-",'ORDENES'!$AC36)</f>
        <v/>
      </c>
      <c r="D58" s="3">
        <f>IF('ORDENES'!$V36="","-",'ORDENES'!$V36)</f>
        <v/>
      </c>
      <c r="E58" s="3">
        <f>IF('ORDENES'!$U36="","-",'ORDENES'!$U36)</f>
        <v/>
      </c>
      <c r="F58" s="3">
        <f>IF('ORDENES'!$W36="","-",'ORDENES'!$W36)</f>
        <v/>
      </c>
      <c r="G58" s="3">
        <f>IF('ORDENES'!$AB36="","-",'ORDENES'!$AB36)</f>
        <v/>
      </c>
      <c r="H58" s="3">
        <f>IF('ORDENES'!$C36="","-",'ORDENES'!$C36)</f>
        <v/>
      </c>
      <c r="I58" s="3">
        <f>IF('ORDENES'!$E36="","-",'ORDENES'!$E36)</f>
        <v/>
      </c>
      <c r="J58" s="3">
        <f>IF('ORDENES'!$F36="","-",'ORDENES'!$F36)</f>
        <v/>
      </c>
      <c r="K58" s="12">
        <f>IF('ORDENES'!$L36="",0,'ORDENES'!$L36)</f>
        <v/>
      </c>
      <c r="L58" s="3">
        <f>IF('ORDENES'!$N36="","-",'ORDENES'!$N36)</f>
        <v/>
      </c>
      <c r="M58" s="3">
        <f>'ORDENES'!$AA36</f>
        <v/>
      </c>
    </row>
    <row r="59">
      <c r="A59" s="3">
        <f>IF('ORDENES'!$O37="","-",'ORDENES'!$O37)</f>
        <v/>
      </c>
      <c r="B59" s="3">
        <f>IF('ORDENES'!$R37="","-",'ORDENES'!$R37)</f>
        <v/>
      </c>
      <c r="C59" s="3">
        <f>IF('ORDENES'!$AC37="","-",'ORDENES'!$AC37)</f>
        <v/>
      </c>
      <c r="D59" s="3">
        <f>IF('ORDENES'!$V37="","-",'ORDENES'!$V37)</f>
        <v/>
      </c>
      <c r="E59" s="3">
        <f>IF('ORDENES'!$U37="","-",'ORDENES'!$U37)</f>
        <v/>
      </c>
      <c r="F59" s="3">
        <f>IF('ORDENES'!$W37="","-",'ORDENES'!$W37)</f>
        <v/>
      </c>
      <c r="G59" s="3">
        <f>IF('ORDENES'!$AB37="","-",'ORDENES'!$AB37)</f>
        <v/>
      </c>
      <c r="H59" s="3">
        <f>IF('ORDENES'!$C37="","-",'ORDENES'!$C37)</f>
        <v/>
      </c>
      <c r="I59" s="3">
        <f>IF('ORDENES'!$E37="","-",'ORDENES'!$E37)</f>
        <v/>
      </c>
      <c r="J59" s="3">
        <f>IF('ORDENES'!$F37="","-",'ORDENES'!$F37)</f>
        <v/>
      </c>
      <c r="K59" s="12">
        <f>IF('ORDENES'!$L37="",0,'ORDENES'!$L37)</f>
        <v/>
      </c>
      <c r="L59" s="3">
        <f>IF('ORDENES'!$N37="","-",'ORDENES'!$N37)</f>
        <v/>
      </c>
      <c r="M59" s="3">
        <f>'ORDENES'!$AA37</f>
        <v/>
      </c>
    </row>
    <row r="60">
      <c r="A60" s="3">
        <f>IF('ORDENES'!$O38="","-",'ORDENES'!$O38)</f>
        <v/>
      </c>
      <c r="B60" s="3">
        <f>IF('ORDENES'!$R38="","-",'ORDENES'!$R38)</f>
        <v/>
      </c>
      <c r="C60" s="3">
        <f>IF('ORDENES'!$AC38="","-",'ORDENES'!$AC38)</f>
        <v/>
      </c>
      <c r="D60" s="3">
        <f>IF('ORDENES'!$V38="","-",'ORDENES'!$V38)</f>
        <v/>
      </c>
      <c r="E60" s="3">
        <f>IF('ORDENES'!$U38="","-",'ORDENES'!$U38)</f>
        <v/>
      </c>
      <c r="F60" s="3">
        <f>IF('ORDENES'!$W38="","-",'ORDENES'!$W38)</f>
        <v/>
      </c>
      <c r="G60" s="3">
        <f>IF('ORDENES'!$AB38="","-",'ORDENES'!$AB38)</f>
        <v/>
      </c>
      <c r="H60" s="3">
        <f>IF('ORDENES'!$C38="","-",'ORDENES'!$C38)</f>
        <v/>
      </c>
      <c r="I60" s="3">
        <f>IF('ORDENES'!$E38="","-",'ORDENES'!$E38)</f>
        <v/>
      </c>
      <c r="J60" s="3">
        <f>IF('ORDENES'!$F38="","-",'ORDENES'!$F38)</f>
        <v/>
      </c>
      <c r="K60" s="12">
        <f>IF('ORDENES'!$L38="",0,'ORDENES'!$L38)</f>
        <v/>
      </c>
      <c r="L60" s="3">
        <f>IF('ORDENES'!$N38="","-",'ORDENES'!$N38)</f>
        <v/>
      </c>
      <c r="M60" s="3">
        <f>'ORDENES'!$AA38</f>
        <v/>
      </c>
    </row>
    <row r="61">
      <c r="A61" s="3">
        <f>IF('ORDENES'!$O39="","-",'ORDENES'!$O39)</f>
        <v/>
      </c>
      <c r="B61" s="3">
        <f>IF('ORDENES'!$R39="","-",'ORDENES'!$R39)</f>
        <v/>
      </c>
      <c r="C61" s="3">
        <f>IF('ORDENES'!$AC39="","-",'ORDENES'!$AC39)</f>
        <v/>
      </c>
      <c r="D61" s="3">
        <f>IF('ORDENES'!$V39="","-",'ORDENES'!$V39)</f>
        <v/>
      </c>
      <c r="E61" s="3">
        <f>IF('ORDENES'!$U39="","-",'ORDENES'!$U39)</f>
        <v/>
      </c>
      <c r="F61" s="3">
        <f>IF('ORDENES'!$W39="","-",'ORDENES'!$W39)</f>
        <v/>
      </c>
      <c r="G61" s="3">
        <f>IF('ORDENES'!$AB39="","-",'ORDENES'!$AB39)</f>
        <v/>
      </c>
      <c r="H61" s="3">
        <f>IF('ORDENES'!$C39="","-",'ORDENES'!$C39)</f>
        <v/>
      </c>
      <c r="I61" s="3">
        <f>IF('ORDENES'!$E39="","-",'ORDENES'!$E39)</f>
        <v/>
      </c>
      <c r="J61" s="3">
        <f>IF('ORDENES'!$F39="","-",'ORDENES'!$F39)</f>
        <v/>
      </c>
      <c r="K61" s="12">
        <f>IF('ORDENES'!$L39="",0,'ORDENES'!$L39)</f>
        <v/>
      </c>
      <c r="L61" s="3">
        <f>IF('ORDENES'!$N39="","-",'ORDENES'!$N39)</f>
        <v/>
      </c>
      <c r="M61" s="3">
        <f>'ORDENES'!$AA39</f>
        <v/>
      </c>
    </row>
    <row r="62">
      <c r="A62" s="3">
        <f>IF('ORDENES'!$O40="","-",'ORDENES'!$O40)</f>
        <v/>
      </c>
      <c r="B62" s="3">
        <f>IF('ORDENES'!$R40="","-",'ORDENES'!$R40)</f>
        <v/>
      </c>
      <c r="C62" s="3">
        <f>IF('ORDENES'!$AC40="","-",'ORDENES'!$AC40)</f>
        <v/>
      </c>
      <c r="D62" s="3">
        <f>IF('ORDENES'!$V40="","-",'ORDENES'!$V40)</f>
        <v/>
      </c>
      <c r="E62" s="3">
        <f>IF('ORDENES'!$U40="","-",'ORDENES'!$U40)</f>
        <v/>
      </c>
      <c r="F62" s="3">
        <f>IF('ORDENES'!$W40="","-",'ORDENES'!$W40)</f>
        <v/>
      </c>
      <c r="G62" s="3">
        <f>IF('ORDENES'!$AB40="","-",'ORDENES'!$AB40)</f>
        <v/>
      </c>
      <c r="H62" s="3">
        <f>IF('ORDENES'!$C40="","-",'ORDENES'!$C40)</f>
        <v/>
      </c>
      <c r="I62" s="3">
        <f>IF('ORDENES'!$E40="","-",'ORDENES'!$E40)</f>
        <v/>
      </c>
      <c r="J62" s="3">
        <f>IF('ORDENES'!$F40="","-",'ORDENES'!$F40)</f>
        <v/>
      </c>
      <c r="K62" s="12">
        <f>IF('ORDENES'!$L40="",0,'ORDENES'!$L40)</f>
        <v/>
      </c>
      <c r="L62" s="3">
        <f>IF('ORDENES'!$N40="","-",'ORDENES'!$N40)</f>
        <v/>
      </c>
      <c r="M62" s="3">
        <f>'ORDENES'!$AA40</f>
        <v/>
      </c>
    </row>
    <row r="63">
      <c r="A63" s="3">
        <f>IF('ORDENES'!$O41="","-",'ORDENES'!$O41)</f>
        <v/>
      </c>
      <c r="B63" s="3">
        <f>IF('ORDENES'!$R41="","-",'ORDENES'!$R41)</f>
        <v/>
      </c>
      <c r="C63" s="3">
        <f>IF('ORDENES'!$AC41="","-",'ORDENES'!$AC41)</f>
        <v/>
      </c>
      <c r="D63" s="3">
        <f>IF('ORDENES'!$V41="","-",'ORDENES'!$V41)</f>
        <v/>
      </c>
      <c r="E63" s="3">
        <f>IF('ORDENES'!$U41="","-",'ORDENES'!$U41)</f>
        <v/>
      </c>
      <c r="F63" s="3">
        <f>IF('ORDENES'!$W41="","-",'ORDENES'!$W41)</f>
        <v/>
      </c>
      <c r="G63" s="3">
        <f>IF('ORDENES'!$AB41="","-",'ORDENES'!$AB41)</f>
        <v/>
      </c>
      <c r="H63" s="3">
        <f>IF('ORDENES'!$C41="","-",'ORDENES'!$C41)</f>
        <v/>
      </c>
      <c r="I63" s="3">
        <f>IF('ORDENES'!$E41="","-",'ORDENES'!$E41)</f>
        <v/>
      </c>
      <c r="J63" s="3">
        <f>IF('ORDENES'!$F41="","-",'ORDENES'!$F41)</f>
        <v/>
      </c>
      <c r="K63" s="12">
        <f>IF('ORDENES'!$L41="",0,'ORDENES'!$L41)</f>
        <v/>
      </c>
      <c r="L63" s="3">
        <f>IF('ORDENES'!$N41="","-",'ORDENES'!$N41)</f>
        <v/>
      </c>
      <c r="M63" s="3">
        <f>'ORDENES'!$AA41</f>
        <v/>
      </c>
    </row>
    <row r="64">
      <c r="A64" s="3">
        <f>IF('ORDENES'!$O42="","-",'ORDENES'!$O42)</f>
        <v/>
      </c>
      <c r="B64" s="3">
        <f>IF('ORDENES'!$R42="","-",'ORDENES'!$R42)</f>
        <v/>
      </c>
      <c r="C64" s="3">
        <f>IF('ORDENES'!$AC42="","-",'ORDENES'!$AC42)</f>
        <v/>
      </c>
      <c r="D64" s="3">
        <f>IF('ORDENES'!$V42="","-",'ORDENES'!$V42)</f>
        <v/>
      </c>
      <c r="E64" s="3">
        <f>IF('ORDENES'!$U42="","-",'ORDENES'!$U42)</f>
        <v/>
      </c>
      <c r="F64" s="3">
        <f>IF('ORDENES'!$W42="","-",'ORDENES'!$W42)</f>
        <v/>
      </c>
      <c r="G64" s="3">
        <f>IF('ORDENES'!$AB42="","-",'ORDENES'!$AB42)</f>
        <v/>
      </c>
      <c r="H64" s="3">
        <f>IF('ORDENES'!$C42="","-",'ORDENES'!$C42)</f>
        <v/>
      </c>
      <c r="I64" s="3">
        <f>IF('ORDENES'!$E42="","-",'ORDENES'!$E42)</f>
        <v/>
      </c>
      <c r="J64" s="3">
        <f>IF('ORDENES'!$F42="","-",'ORDENES'!$F42)</f>
        <v/>
      </c>
      <c r="K64" s="12">
        <f>IF('ORDENES'!$L42="",0,'ORDENES'!$L42)</f>
        <v/>
      </c>
      <c r="L64" s="3">
        <f>IF('ORDENES'!$N42="","-",'ORDENES'!$N42)</f>
        <v/>
      </c>
      <c r="M64" s="3">
        <f>'ORDENES'!$AA42</f>
        <v/>
      </c>
    </row>
    <row r="65">
      <c r="A65" s="3">
        <f>IF('ORDENES'!$O43="","-",'ORDENES'!$O43)</f>
        <v/>
      </c>
      <c r="B65" s="3">
        <f>IF('ORDENES'!$R43="","-",'ORDENES'!$R43)</f>
        <v/>
      </c>
      <c r="C65" s="3">
        <f>IF('ORDENES'!$AC43="","-",'ORDENES'!$AC43)</f>
        <v/>
      </c>
      <c r="D65" s="3">
        <f>IF('ORDENES'!$V43="","-",'ORDENES'!$V43)</f>
        <v/>
      </c>
      <c r="E65" s="3">
        <f>IF('ORDENES'!$U43="","-",'ORDENES'!$U43)</f>
        <v/>
      </c>
      <c r="F65" s="3">
        <f>IF('ORDENES'!$W43="","-",'ORDENES'!$W43)</f>
        <v/>
      </c>
      <c r="G65" s="3">
        <f>IF('ORDENES'!$AB43="","-",'ORDENES'!$AB43)</f>
        <v/>
      </c>
      <c r="H65" s="3">
        <f>IF('ORDENES'!$C43="","-",'ORDENES'!$C43)</f>
        <v/>
      </c>
      <c r="I65" s="3">
        <f>IF('ORDENES'!$E43="","-",'ORDENES'!$E43)</f>
        <v/>
      </c>
      <c r="J65" s="3">
        <f>IF('ORDENES'!$F43="","-",'ORDENES'!$F43)</f>
        <v/>
      </c>
      <c r="K65" s="12">
        <f>IF('ORDENES'!$L43="",0,'ORDENES'!$L43)</f>
        <v/>
      </c>
      <c r="L65" s="3">
        <f>IF('ORDENES'!$N43="","-",'ORDENES'!$N43)</f>
        <v/>
      </c>
      <c r="M65" s="3">
        <f>'ORDENES'!$AA43</f>
        <v/>
      </c>
    </row>
    <row r="66">
      <c r="A66" s="3">
        <f>IF('ORDENES'!$O44="","-",'ORDENES'!$O44)</f>
        <v/>
      </c>
      <c r="B66" s="3">
        <f>IF('ORDENES'!$R44="","-",'ORDENES'!$R44)</f>
        <v/>
      </c>
      <c r="C66" s="3">
        <f>IF('ORDENES'!$AC44="","-",'ORDENES'!$AC44)</f>
        <v/>
      </c>
      <c r="D66" s="3">
        <f>IF('ORDENES'!$V44="","-",'ORDENES'!$V44)</f>
        <v/>
      </c>
      <c r="E66" s="3">
        <f>IF('ORDENES'!$U44="","-",'ORDENES'!$U44)</f>
        <v/>
      </c>
      <c r="F66" s="3">
        <f>IF('ORDENES'!$W44="","-",'ORDENES'!$W44)</f>
        <v/>
      </c>
      <c r="G66" s="3">
        <f>IF('ORDENES'!$AB44="","-",'ORDENES'!$AB44)</f>
        <v/>
      </c>
      <c r="H66" s="3">
        <f>IF('ORDENES'!$C44="","-",'ORDENES'!$C44)</f>
        <v/>
      </c>
      <c r="I66" s="3">
        <f>IF('ORDENES'!$E44="","-",'ORDENES'!$E44)</f>
        <v/>
      </c>
      <c r="J66" s="3">
        <f>IF('ORDENES'!$F44="","-",'ORDENES'!$F44)</f>
        <v/>
      </c>
      <c r="K66" s="12">
        <f>IF('ORDENES'!$L44="",0,'ORDENES'!$L44)</f>
        <v/>
      </c>
      <c r="L66" s="3">
        <f>IF('ORDENES'!$N44="","-",'ORDENES'!$N44)</f>
        <v/>
      </c>
      <c r="M66" s="3">
        <f>'ORDENES'!$AA44</f>
        <v/>
      </c>
    </row>
    <row r="67">
      <c r="A67" s="3">
        <f>IF('ORDENES'!$O45="","-",'ORDENES'!$O45)</f>
        <v/>
      </c>
      <c r="B67" s="3">
        <f>IF('ORDENES'!$R45="","-",'ORDENES'!$R45)</f>
        <v/>
      </c>
      <c r="C67" s="3">
        <f>IF('ORDENES'!$AC45="","-",'ORDENES'!$AC45)</f>
        <v/>
      </c>
      <c r="D67" s="3">
        <f>IF('ORDENES'!$V45="","-",'ORDENES'!$V45)</f>
        <v/>
      </c>
      <c r="E67" s="3">
        <f>IF('ORDENES'!$U45="","-",'ORDENES'!$U45)</f>
        <v/>
      </c>
      <c r="F67" s="3">
        <f>IF('ORDENES'!$W45="","-",'ORDENES'!$W45)</f>
        <v/>
      </c>
      <c r="G67" s="3">
        <f>IF('ORDENES'!$AB45="","-",'ORDENES'!$AB45)</f>
        <v/>
      </c>
      <c r="H67" s="3">
        <f>IF('ORDENES'!$C45="","-",'ORDENES'!$C45)</f>
        <v/>
      </c>
      <c r="I67" s="3">
        <f>IF('ORDENES'!$E45="","-",'ORDENES'!$E45)</f>
        <v/>
      </c>
      <c r="J67" s="3">
        <f>IF('ORDENES'!$F45="","-",'ORDENES'!$F45)</f>
        <v/>
      </c>
      <c r="K67" s="12">
        <f>IF('ORDENES'!$L45="",0,'ORDENES'!$L45)</f>
        <v/>
      </c>
      <c r="L67" s="3">
        <f>IF('ORDENES'!$N45="","-",'ORDENES'!$N45)</f>
        <v/>
      </c>
      <c r="M67" s="3">
        <f>'ORDENES'!$AA45</f>
        <v/>
      </c>
    </row>
    <row r="68">
      <c r="A68" s="3">
        <f>IF('ORDENES'!$O46="","-",'ORDENES'!$O46)</f>
        <v/>
      </c>
      <c r="B68" s="3">
        <f>IF('ORDENES'!$R46="","-",'ORDENES'!$R46)</f>
        <v/>
      </c>
      <c r="C68" s="3">
        <f>IF('ORDENES'!$AC46="","-",'ORDENES'!$AC46)</f>
        <v/>
      </c>
      <c r="D68" s="3">
        <f>IF('ORDENES'!$V46="","-",'ORDENES'!$V46)</f>
        <v/>
      </c>
      <c r="E68" s="3">
        <f>IF('ORDENES'!$U46="","-",'ORDENES'!$U46)</f>
        <v/>
      </c>
      <c r="F68" s="3">
        <f>IF('ORDENES'!$W46="","-",'ORDENES'!$W46)</f>
        <v/>
      </c>
      <c r="G68" s="3">
        <f>IF('ORDENES'!$AB46="","-",'ORDENES'!$AB46)</f>
        <v/>
      </c>
      <c r="H68" s="3">
        <f>IF('ORDENES'!$C46="","-",'ORDENES'!$C46)</f>
        <v/>
      </c>
      <c r="I68" s="3">
        <f>IF('ORDENES'!$E46="","-",'ORDENES'!$E46)</f>
        <v/>
      </c>
      <c r="J68" s="3">
        <f>IF('ORDENES'!$F46="","-",'ORDENES'!$F46)</f>
        <v/>
      </c>
      <c r="K68" s="12">
        <f>IF('ORDENES'!$L46="",0,'ORDENES'!$L46)</f>
        <v/>
      </c>
      <c r="L68" s="3">
        <f>IF('ORDENES'!$N46="","-",'ORDENES'!$N46)</f>
        <v/>
      </c>
      <c r="M68" s="3">
        <f>'ORDENES'!$AA46</f>
        <v/>
      </c>
    </row>
    <row r="69">
      <c r="A69" s="3">
        <f>IF('ORDENES'!$O47="","-",'ORDENES'!$O47)</f>
        <v/>
      </c>
      <c r="B69" s="3">
        <f>IF('ORDENES'!$R47="","-",'ORDENES'!$R47)</f>
        <v/>
      </c>
      <c r="C69" s="3">
        <f>IF('ORDENES'!$AC47="","-",'ORDENES'!$AC47)</f>
        <v/>
      </c>
      <c r="D69" s="3">
        <f>IF('ORDENES'!$V47="","-",'ORDENES'!$V47)</f>
        <v/>
      </c>
      <c r="E69" s="3">
        <f>IF('ORDENES'!$U47="","-",'ORDENES'!$U47)</f>
        <v/>
      </c>
      <c r="F69" s="3">
        <f>IF('ORDENES'!$W47="","-",'ORDENES'!$W47)</f>
        <v/>
      </c>
      <c r="G69" s="3">
        <f>IF('ORDENES'!$AB47="","-",'ORDENES'!$AB47)</f>
        <v/>
      </c>
      <c r="H69" s="3">
        <f>IF('ORDENES'!$C47="","-",'ORDENES'!$C47)</f>
        <v/>
      </c>
      <c r="I69" s="3">
        <f>IF('ORDENES'!$E47="","-",'ORDENES'!$E47)</f>
        <v/>
      </c>
      <c r="J69" s="3">
        <f>IF('ORDENES'!$F47="","-",'ORDENES'!$F47)</f>
        <v/>
      </c>
      <c r="K69" s="12">
        <f>IF('ORDENES'!$L47="",0,'ORDENES'!$L47)</f>
        <v/>
      </c>
      <c r="L69" s="3">
        <f>IF('ORDENES'!$N47="","-",'ORDENES'!$N47)</f>
        <v/>
      </c>
      <c r="M69" s="3">
        <f>'ORDENES'!$AA47</f>
        <v/>
      </c>
    </row>
    <row r="70">
      <c r="A70" s="3">
        <f>IF('ORDENES'!$O48="","-",'ORDENES'!$O48)</f>
        <v/>
      </c>
      <c r="B70" s="3">
        <f>IF('ORDENES'!$R48="","-",'ORDENES'!$R48)</f>
        <v/>
      </c>
      <c r="C70" s="3">
        <f>IF('ORDENES'!$AC48="","-",'ORDENES'!$AC48)</f>
        <v/>
      </c>
      <c r="D70" s="3">
        <f>IF('ORDENES'!$V48="","-",'ORDENES'!$V48)</f>
        <v/>
      </c>
      <c r="E70" s="3">
        <f>IF('ORDENES'!$U48="","-",'ORDENES'!$U48)</f>
        <v/>
      </c>
      <c r="F70" s="3">
        <f>IF('ORDENES'!$W48="","-",'ORDENES'!$W48)</f>
        <v/>
      </c>
      <c r="G70" s="3">
        <f>IF('ORDENES'!$AB48="","-",'ORDENES'!$AB48)</f>
        <v/>
      </c>
      <c r="H70" s="3">
        <f>IF('ORDENES'!$C48="","-",'ORDENES'!$C48)</f>
        <v/>
      </c>
      <c r="I70" s="3">
        <f>IF('ORDENES'!$E48="","-",'ORDENES'!$E48)</f>
        <v/>
      </c>
      <c r="J70" s="3">
        <f>IF('ORDENES'!$F48="","-",'ORDENES'!$F48)</f>
        <v/>
      </c>
      <c r="K70" s="12">
        <f>IF('ORDENES'!$L48="",0,'ORDENES'!$L48)</f>
        <v/>
      </c>
      <c r="L70" s="3">
        <f>IF('ORDENES'!$N48="","-",'ORDENES'!$N48)</f>
        <v/>
      </c>
      <c r="M70" s="3">
        <f>'ORDENES'!$AA48</f>
        <v/>
      </c>
    </row>
    <row r="71">
      <c r="A71" s="3">
        <f>IF('ORDENES'!$O49="","-",'ORDENES'!$O49)</f>
        <v/>
      </c>
      <c r="B71" s="3">
        <f>IF('ORDENES'!$R49="","-",'ORDENES'!$R49)</f>
        <v/>
      </c>
      <c r="C71" s="3">
        <f>IF('ORDENES'!$AC49="","-",'ORDENES'!$AC49)</f>
        <v/>
      </c>
      <c r="D71" s="3">
        <f>IF('ORDENES'!$V49="","-",'ORDENES'!$V49)</f>
        <v/>
      </c>
      <c r="E71" s="3">
        <f>IF('ORDENES'!$U49="","-",'ORDENES'!$U49)</f>
        <v/>
      </c>
      <c r="F71" s="3">
        <f>IF('ORDENES'!$W49="","-",'ORDENES'!$W49)</f>
        <v/>
      </c>
      <c r="G71" s="3">
        <f>IF('ORDENES'!$AB49="","-",'ORDENES'!$AB49)</f>
        <v/>
      </c>
      <c r="H71" s="3">
        <f>IF('ORDENES'!$C49="","-",'ORDENES'!$C49)</f>
        <v/>
      </c>
      <c r="I71" s="3">
        <f>IF('ORDENES'!$E49="","-",'ORDENES'!$E49)</f>
        <v/>
      </c>
      <c r="J71" s="3">
        <f>IF('ORDENES'!$F49="","-",'ORDENES'!$F49)</f>
        <v/>
      </c>
      <c r="K71" s="12">
        <f>IF('ORDENES'!$L49="",0,'ORDENES'!$L49)</f>
        <v/>
      </c>
      <c r="L71" s="3">
        <f>IF('ORDENES'!$N49="","-",'ORDENES'!$N49)</f>
        <v/>
      </c>
      <c r="M71" s="3">
        <f>'ORDENES'!$AA49</f>
        <v/>
      </c>
    </row>
    <row r="72">
      <c r="A72" s="3">
        <f>IF('ORDENES'!$O50="","-",'ORDENES'!$O50)</f>
        <v/>
      </c>
      <c r="B72" s="3">
        <f>IF('ORDENES'!$R50="","-",'ORDENES'!$R50)</f>
        <v/>
      </c>
      <c r="C72" s="3">
        <f>IF('ORDENES'!$AC50="","-",'ORDENES'!$AC50)</f>
        <v/>
      </c>
      <c r="D72" s="3">
        <f>IF('ORDENES'!$V50="","-",'ORDENES'!$V50)</f>
        <v/>
      </c>
      <c r="E72" s="3">
        <f>IF('ORDENES'!$U50="","-",'ORDENES'!$U50)</f>
        <v/>
      </c>
      <c r="F72" s="3">
        <f>IF('ORDENES'!$W50="","-",'ORDENES'!$W50)</f>
        <v/>
      </c>
      <c r="G72" s="3">
        <f>IF('ORDENES'!$AB50="","-",'ORDENES'!$AB50)</f>
        <v/>
      </c>
      <c r="H72" s="3">
        <f>IF('ORDENES'!$C50="","-",'ORDENES'!$C50)</f>
        <v/>
      </c>
      <c r="I72" s="3">
        <f>IF('ORDENES'!$E50="","-",'ORDENES'!$E50)</f>
        <v/>
      </c>
      <c r="J72" s="3">
        <f>IF('ORDENES'!$F50="","-",'ORDENES'!$F50)</f>
        <v/>
      </c>
      <c r="K72" s="12">
        <f>IF('ORDENES'!$L50="",0,'ORDENES'!$L50)</f>
        <v/>
      </c>
      <c r="L72" s="3">
        <f>IF('ORDENES'!$N50="","-",'ORDENES'!$N50)</f>
        <v/>
      </c>
      <c r="M72" s="3">
        <f>'ORDENES'!$AA50</f>
        <v/>
      </c>
    </row>
    <row r="73">
      <c r="A73" s="3">
        <f>IF('ORDENES'!$O51="","-",'ORDENES'!$O51)</f>
        <v/>
      </c>
      <c r="B73" s="3">
        <f>IF('ORDENES'!$R51="","-",'ORDENES'!$R51)</f>
        <v/>
      </c>
      <c r="C73" s="3">
        <f>IF('ORDENES'!$AC51="","-",'ORDENES'!$AC51)</f>
        <v/>
      </c>
      <c r="D73" s="3">
        <f>IF('ORDENES'!$V51="","-",'ORDENES'!$V51)</f>
        <v/>
      </c>
      <c r="E73" s="3">
        <f>IF('ORDENES'!$U51="","-",'ORDENES'!$U51)</f>
        <v/>
      </c>
      <c r="F73" s="3">
        <f>IF('ORDENES'!$W51="","-",'ORDENES'!$W51)</f>
        <v/>
      </c>
      <c r="G73" s="3">
        <f>IF('ORDENES'!$AB51="","-",'ORDENES'!$AB51)</f>
        <v/>
      </c>
      <c r="H73" s="3">
        <f>IF('ORDENES'!$C51="","-",'ORDENES'!$C51)</f>
        <v/>
      </c>
      <c r="I73" s="3">
        <f>IF('ORDENES'!$E51="","-",'ORDENES'!$E51)</f>
        <v/>
      </c>
      <c r="J73" s="3">
        <f>IF('ORDENES'!$F51="","-",'ORDENES'!$F51)</f>
        <v/>
      </c>
      <c r="K73" s="12">
        <f>IF('ORDENES'!$L51="",0,'ORDENES'!$L51)</f>
        <v/>
      </c>
      <c r="L73" s="3">
        <f>IF('ORDENES'!$N51="","-",'ORDENES'!$N51)</f>
        <v/>
      </c>
      <c r="M73" s="3">
        <f>'ORDENES'!$AA51</f>
        <v/>
      </c>
    </row>
    <row r="74">
      <c r="A74" s="3">
        <f>IF('ORDENES'!$O52="","-",'ORDENES'!$O52)</f>
        <v/>
      </c>
      <c r="B74" s="3">
        <f>IF('ORDENES'!$R52="","-",'ORDENES'!$R52)</f>
        <v/>
      </c>
      <c r="C74" s="3">
        <f>IF('ORDENES'!$AC52="","-",'ORDENES'!$AC52)</f>
        <v/>
      </c>
      <c r="D74" s="3">
        <f>IF('ORDENES'!$V52="","-",'ORDENES'!$V52)</f>
        <v/>
      </c>
      <c r="E74" s="3">
        <f>IF('ORDENES'!$U52="","-",'ORDENES'!$U52)</f>
        <v/>
      </c>
      <c r="F74" s="3">
        <f>IF('ORDENES'!$W52="","-",'ORDENES'!$W52)</f>
        <v/>
      </c>
      <c r="G74" s="3">
        <f>IF('ORDENES'!$AB52="","-",'ORDENES'!$AB52)</f>
        <v/>
      </c>
      <c r="H74" s="3">
        <f>IF('ORDENES'!$C52="","-",'ORDENES'!$C52)</f>
        <v/>
      </c>
      <c r="I74" s="3">
        <f>IF('ORDENES'!$E52="","-",'ORDENES'!$E52)</f>
        <v/>
      </c>
      <c r="J74" s="3">
        <f>IF('ORDENES'!$F52="","-",'ORDENES'!$F52)</f>
        <v/>
      </c>
      <c r="K74" s="12">
        <f>IF('ORDENES'!$L52="",0,'ORDENES'!$L52)</f>
        <v/>
      </c>
      <c r="L74" s="3">
        <f>IF('ORDENES'!$N52="","-",'ORDENES'!$N52)</f>
        <v/>
      </c>
      <c r="M74" s="3">
        <f>'ORDENES'!$AA52</f>
        <v/>
      </c>
    </row>
    <row r="75">
      <c r="A75" s="3">
        <f>IF('ORDENES'!$O53="","-",'ORDENES'!$O53)</f>
        <v/>
      </c>
      <c r="B75" s="3">
        <f>IF('ORDENES'!$R53="","-",'ORDENES'!$R53)</f>
        <v/>
      </c>
      <c r="C75" s="3">
        <f>IF('ORDENES'!$AC53="","-",'ORDENES'!$AC53)</f>
        <v/>
      </c>
      <c r="D75" s="3">
        <f>IF('ORDENES'!$V53="","-",'ORDENES'!$V53)</f>
        <v/>
      </c>
      <c r="E75" s="3">
        <f>IF('ORDENES'!$U53="","-",'ORDENES'!$U53)</f>
        <v/>
      </c>
      <c r="F75" s="3">
        <f>IF('ORDENES'!$W53="","-",'ORDENES'!$W53)</f>
        <v/>
      </c>
      <c r="G75" s="3">
        <f>IF('ORDENES'!$AB53="","-",'ORDENES'!$AB53)</f>
        <v/>
      </c>
      <c r="H75" s="3">
        <f>IF('ORDENES'!$C53="","-",'ORDENES'!$C53)</f>
        <v/>
      </c>
      <c r="I75" s="3">
        <f>IF('ORDENES'!$E53="","-",'ORDENES'!$E53)</f>
        <v/>
      </c>
      <c r="J75" s="3">
        <f>IF('ORDENES'!$F53="","-",'ORDENES'!$F53)</f>
        <v/>
      </c>
      <c r="K75" s="12">
        <f>IF('ORDENES'!$L53="",0,'ORDENES'!$L53)</f>
        <v/>
      </c>
      <c r="L75" s="3">
        <f>IF('ORDENES'!$N53="","-",'ORDENES'!$N53)</f>
        <v/>
      </c>
      <c r="M75" s="3">
        <f>'ORDENES'!$AA53</f>
        <v/>
      </c>
    </row>
    <row r="76">
      <c r="A76" s="3">
        <f>IF('ORDENES'!$O54="","-",'ORDENES'!$O54)</f>
        <v/>
      </c>
      <c r="B76" s="3">
        <f>IF('ORDENES'!$R54="","-",'ORDENES'!$R54)</f>
        <v/>
      </c>
      <c r="C76" s="3">
        <f>IF('ORDENES'!$AC54="","-",'ORDENES'!$AC54)</f>
        <v/>
      </c>
      <c r="D76" s="3">
        <f>IF('ORDENES'!$V54="","-",'ORDENES'!$V54)</f>
        <v/>
      </c>
      <c r="E76" s="3">
        <f>IF('ORDENES'!$U54="","-",'ORDENES'!$U54)</f>
        <v/>
      </c>
      <c r="F76" s="3">
        <f>IF('ORDENES'!$W54="","-",'ORDENES'!$W54)</f>
        <v/>
      </c>
      <c r="G76" s="3">
        <f>IF('ORDENES'!$AB54="","-",'ORDENES'!$AB54)</f>
        <v/>
      </c>
      <c r="H76" s="3">
        <f>IF('ORDENES'!$C54="","-",'ORDENES'!$C54)</f>
        <v/>
      </c>
      <c r="I76" s="3">
        <f>IF('ORDENES'!$E54="","-",'ORDENES'!$E54)</f>
        <v/>
      </c>
      <c r="J76" s="3">
        <f>IF('ORDENES'!$F54="","-",'ORDENES'!$F54)</f>
        <v/>
      </c>
      <c r="K76" s="12">
        <f>IF('ORDENES'!$L54="",0,'ORDENES'!$L54)</f>
        <v/>
      </c>
      <c r="L76" s="3">
        <f>IF('ORDENES'!$N54="","-",'ORDENES'!$N54)</f>
        <v/>
      </c>
      <c r="M76" s="3">
        <f>'ORDENES'!$AA54</f>
        <v/>
      </c>
    </row>
    <row r="77">
      <c r="A77" s="3">
        <f>IF('ORDENES'!$O55="","-",'ORDENES'!$O55)</f>
        <v/>
      </c>
      <c r="B77" s="3">
        <f>IF('ORDENES'!$R55="","-",'ORDENES'!$R55)</f>
        <v/>
      </c>
      <c r="C77" s="3">
        <f>IF('ORDENES'!$AC55="","-",'ORDENES'!$AC55)</f>
        <v/>
      </c>
      <c r="D77" s="3">
        <f>IF('ORDENES'!$V55="","-",'ORDENES'!$V55)</f>
        <v/>
      </c>
      <c r="E77" s="3">
        <f>IF('ORDENES'!$U55="","-",'ORDENES'!$U55)</f>
        <v/>
      </c>
      <c r="F77" s="3">
        <f>IF('ORDENES'!$W55="","-",'ORDENES'!$W55)</f>
        <v/>
      </c>
      <c r="G77" s="3">
        <f>IF('ORDENES'!$AB55="","-",'ORDENES'!$AB55)</f>
        <v/>
      </c>
      <c r="H77" s="3">
        <f>IF('ORDENES'!$C55="","-",'ORDENES'!$C55)</f>
        <v/>
      </c>
      <c r="I77" s="3">
        <f>IF('ORDENES'!$E55="","-",'ORDENES'!$E55)</f>
        <v/>
      </c>
      <c r="J77" s="3">
        <f>IF('ORDENES'!$F55="","-",'ORDENES'!$F55)</f>
        <v/>
      </c>
      <c r="K77" s="12">
        <f>IF('ORDENES'!$L55="",0,'ORDENES'!$L55)</f>
        <v/>
      </c>
      <c r="L77" s="3">
        <f>IF('ORDENES'!$N55="","-",'ORDENES'!$N55)</f>
        <v/>
      </c>
      <c r="M77" s="3">
        <f>'ORDENES'!$AA55</f>
        <v/>
      </c>
    </row>
    <row r="78">
      <c r="A78" s="3">
        <f>IF('ORDENES'!$O56="","-",'ORDENES'!$O56)</f>
        <v/>
      </c>
      <c r="B78" s="3">
        <f>IF('ORDENES'!$R56="","-",'ORDENES'!$R56)</f>
        <v/>
      </c>
      <c r="C78" s="3">
        <f>IF('ORDENES'!$AC56="","-",'ORDENES'!$AC56)</f>
        <v/>
      </c>
      <c r="D78" s="3">
        <f>IF('ORDENES'!$V56="","-",'ORDENES'!$V56)</f>
        <v/>
      </c>
      <c r="E78" s="3">
        <f>IF('ORDENES'!$U56="","-",'ORDENES'!$U56)</f>
        <v/>
      </c>
      <c r="F78" s="3">
        <f>IF('ORDENES'!$W56="","-",'ORDENES'!$W56)</f>
        <v/>
      </c>
      <c r="G78" s="3">
        <f>IF('ORDENES'!$AB56="","-",'ORDENES'!$AB56)</f>
        <v/>
      </c>
      <c r="H78" s="3">
        <f>IF('ORDENES'!$C56="","-",'ORDENES'!$C56)</f>
        <v/>
      </c>
      <c r="I78" s="3">
        <f>IF('ORDENES'!$E56="","-",'ORDENES'!$E56)</f>
        <v/>
      </c>
      <c r="J78" s="3">
        <f>IF('ORDENES'!$F56="","-",'ORDENES'!$F56)</f>
        <v/>
      </c>
      <c r="K78" s="12">
        <f>IF('ORDENES'!$L56="",0,'ORDENES'!$L56)</f>
        <v/>
      </c>
      <c r="L78" s="3">
        <f>IF('ORDENES'!$N56="","-",'ORDENES'!$N56)</f>
        <v/>
      </c>
      <c r="M78" s="3">
        <f>'ORDENES'!$AA56</f>
        <v/>
      </c>
    </row>
    <row r="79">
      <c r="A79" s="3">
        <f>IF('ORDENES'!$O57="","-",'ORDENES'!$O57)</f>
        <v/>
      </c>
      <c r="B79" s="3">
        <f>IF('ORDENES'!$R57="","-",'ORDENES'!$R57)</f>
        <v/>
      </c>
      <c r="C79" s="3">
        <f>IF('ORDENES'!$AC57="","-",'ORDENES'!$AC57)</f>
        <v/>
      </c>
      <c r="D79" s="3">
        <f>IF('ORDENES'!$V57="","-",'ORDENES'!$V57)</f>
        <v/>
      </c>
      <c r="E79" s="3">
        <f>IF('ORDENES'!$U57="","-",'ORDENES'!$U57)</f>
        <v/>
      </c>
      <c r="F79" s="3">
        <f>IF('ORDENES'!$W57="","-",'ORDENES'!$W57)</f>
        <v/>
      </c>
      <c r="G79" s="3">
        <f>IF('ORDENES'!$AB57="","-",'ORDENES'!$AB57)</f>
        <v/>
      </c>
      <c r="H79" s="3">
        <f>IF('ORDENES'!$C57="","-",'ORDENES'!$C57)</f>
        <v/>
      </c>
      <c r="I79" s="3">
        <f>IF('ORDENES'!$E57="","-",'ORDENES'!$E57)</f>
        <v/>
      </c>
      <c r="J79" s="3">
        <f>IF('ORDENES'!$F57="","-",'ORDENES'!$F57)</f>
        <v/>
      </c>
      <c r="K79" s="12">
        <f>IF('ORDENES'!$L57="",0,'ORDENES'!$L57)</f>
        <v/>
      </c>
      <c r="L79" s="3">
        <f>IF('ORDENES'!$N57="","-",'ORDENES'!$N57)</f>
        <v/>
      </c>
      <c r="M79" s="3">
        <f>'ORDENES'!$AA57</f>
        <v/>
      </c>
    </row>
    <row r="80">
      <c r="A80" s="3">
        <f>IF('ORDENES'!$O58="","-",'ORDENES'!$O58)</f>
        <v/>
      </c>
      <c r="B80" s="3">
        <f>IF('ORDENES'!$R58="","-",'ORDENES'!$R58)</f>
        <v/>
      </c>
      <c r="C80" s="3">
        <f>IF('ORDENES'!$AC58="","-",'ORDENES'!$AC58)</f>
        <v/>
      </c>
      <c r="D80" s="3">
        <f>IF('ORDENES'!$V58="","-",'ORDENES'!$V58)</f>
        <v/>
      </c>
      <c r="E80" s="3">
        <f>IF('ORDENES'!$U58="","-",'ORDENES'!$U58)</f>
        <v/>
      </c>
      <c r="F80" s="3">
        <f>IF('ORDENES'!$W58="","-",'ORDENES'!$W58)</f>
        <v/>
      </c>
      <c r="G80" s="3">
        <f>IF('ORDENES'!$AB58="","-",'ORDENES'!$AB58)</f>
        <v/>
      </c>
      <c r="H80" s="3">
        <f>IF('ORDENES'!$C58="","-",'ORDENES'!$C58)</f>
        <v/>
      </c>
      <c r="I80" s="3">
        <f>IF('ORDENES'!$E58="","-",'ORDENES'!$E58)</f>
        <v/>
      </c>
      <c r="J80" s="3">
        <f>IF('ORDENES'!$F58="","-",'ORDENES'!$F58)</f>
        <v/>
      </c>
      <c r="K80" s="12">
        <f>IF('ORDENES'!$L58="",0,'ORDENES'!$L58)</f>
        <v/>
      </c>
      <c r="L80" s="3">
        <f>IF('ORDENES'!$N58="","-",'ORDENES'!$N58)</f>
        <v/>
      </c>
      <c r="M80" s="3">
        <f>'ORDENES'!$AA58</f>
        <v/>
      </c>
    </row>
    <row r="81">
      <c r="A81" s="3">
        <f>IF('ORDENES'!$O59="","-",'ORDENES'!$O59)</f>
        <v/>
      </c>
      <c r="B81" s="3">
        <f>IF('ORDENES'!$R59="","-",'ORDENES'!$R59)</f>
        <v/>
      </c>
      <c r="C81" s="3">
        <f>IF('ORDENES'!$AC59="","-",'ORDENES'!$AC59)</f>
        <v/>
      </c>
      <c r="D81" s="3">
        <f>IF('ORDENES'!$V59="","-",'ORDENES'!$V59)</f>
        <v/>
      </c>
      <c r="E81" s="3">
        <f>IF('ORDENES'!$U59="","-",'ORDENES'!$U59)</f>
        <v/>
      </c>
      <c r="F81" s="3">
        <f>IF('ORDENES'!$W59="","-",'ORDENES'!$W59)</f>
        <v/>
      </c>
      <c r="G81" s="3">
        <f>IF('ORDENES'!$AB59="","-",'ORDENES'!$AB59)</f>
        <v/>
      </c>
      <c r="H81" s="3">
        <f>IF('ORDENES'!$C59="","-",'ORDENES'!$C59)</f>
        <v/>
      </c>
      <c r="I81" s="3">
        <f>IF('ORDENES'!$E59="","-",'ORDENES'!$E59)</f>
        <v/>
      </c>
      <c r="J81" s="3">
        <f>IF('ORDENES'!$F59="","-",'ORDENES'!$F59)</f>
        <v/>
      </c>
      <c r="K81" s="12">
        <f>IF('ORDENES'!$L59="",0,'ORDENES'!$L59)</f>
        <v/>
      </c>
      <c r="L81" s="3">
        <f>IF('ORDENES'!$N59="","-",'ORDENES'!$N59)</f>
        <v/>
      </c>
      <c r="M81" s="3">
        <f>'ORDENES'!$AA59</f>
        <v/>
      </c>
    </row>
    <row r="82">
      <c r="A82" s="3">
        <f>IF('ORDENES'!$O60="","-",'ORDENES'!$O60)</f>
        <v/>
      </c>
      <c r="B82" s="3">
        <f>IF('ORDENES'!$R60="","-",'ORDENES'!$R60)</f>
        <v/>
      </c>
      <c r="C82" s="3">
        <f>IF('ORDENES'!$AC60="","-",'ORDENES'!$AC60)</f>
        <v/>
      </c>
      <c r="D82" s="3">
        <f>IF('ORDENES'!$V60="","-",'ORDENES'!$V60)</f>
        <v/>
      </c>
      <c r="E82" s="3">
        <f>IF('ORDENES'!$U60="","-",'ORDENES'!$U60)</f>
        <v/>
      </c>
      <c r="F82" s="3">
        <f>IF('ORDENES'!$W60="","-",'ORDENES'!$W60)</f>
        <v/>
      </c>
      <c r="G82" s="3">
        <f>IF('ORDENES'!$AB60="","-",'ORDENES'!$AB60)</f>
        <v/>
      </c>
      <c r="H82" s="3">
        <f>IF('ORDENES'!$C60="","-",'ORDENES'!$C60)</f>
        <v/>
      </c>
      <c r="I82" s="3">
        <f>IF('ORDENES'!$E60="","-",'ORDENES'!$E60)</f>
        <v/>
      </c>
      <c r="J82" s="3">
        <f>IF('ORDENES'!$F60="","-",'ORDENES'!$F60)</f>
        <v/>
      </c>
      <c r="K82" s="12">
        <f>IF('ORDENES'!$L60="",0,'ORDENES'!$L60)</f>
        <v/>
      </c>
      <c r="L82" s="3">
        <f>IF('ORDENES'!$N60="","-",'ORDENES'!$N60)</f>
        <v/>
      </c>
      <c r="M82" s="3">
        <f>'ORDENES'!$AA60</f>
        <v/>
      </c>
    </row>
    <row r="83">
      <c r="A83" s="3">
        <f>IF('ORDENES'!$O61="","-",'ORDENES'!$O61)</f>
        <v/>
      </c>
      <c r="B83" s="3">
        <f>IF('ORDENES'!$R61="","-",'ORDENES'!$R61)</f>
        <v/>
      </c>
      <c r="C83" s="3">
        <f>IF('ORDENES'!$AC61="","-",'ORDENES'!$AC61)</f>
        <v/>
      </c>
      <c r="D83" s="3">
        <f>IF('ORDENES'!$V61="","-",'ORDENES'!$V61)</f>
        <v/>
      </c>
      <c r="E83" s="3">
        <f>IF('ORDENES'!$U61="","-",'ORDENES'!$U61)</f>
        <v/>
      </c>
      <c r="F83" s="3">
        <f>IF('ORDENES'!$W61="","-",'ORDENES'!$W61)</f>
        <v/>
      </c>
      <c r="G83" s="3">
        <f>IF('ORDENES'!$AB61="","-",'ORDENES'!$AB61)</f>
        <v/>
      </c>
      <c r="H83" s="3">
        <f>IF('ORDENES'!$C61="","-",'ORDENES'!$C61)</f>
        <v/>
      </c>
      <c r="I83" s="3">
        <f>IF('ORDENES'!$E61="","-",'ORDENES'!$E61)</f>
        <v/>
      </c>
      <c r="J83" s="3">
        <f>IF('ORDENES'!$F61="","-",'ORDENES'!$F61)</f>
        <v/>
      </c>
      <c r="K83" s="12">
        <f>IF('ORDENES'!$L61="",0,'ORDENES'!$L61)</f>
        <v/>
      </c>
      <c r="L83" s="3">
        <f>IF('ORDENES'!$N61="","-",'ORDENES'!$N61)</f>
        <v/>
      </c>
      <c r="M83" s="3">
        <f>'ORDENES'!$AA61</f>
        <v/>
      </c>
    </row>
    <row r="84">
      <c r="A84" s="3">
        <f>IF('ORDENES'!$O62="","-",'ORDENES'!$O62)</f>
        <v/>
      </c>
      <c r="B84" s="3">
        <f>IF('ORDENES'!$R62="","-",'ORDENES'!$R62)</f>
        <v/>
      </c>
      <c r="C84" s="3">
        <f>IF('ORDENES'!$AC62="","-",'ORDENES'!$AC62)</f>
        <v/>
      </c>
      <c r="D84" s="3">
        <f>IF('ORDENES'!$V62="","-",'ORDENES'!$V62)</f>
        <v/>
      </c>
      <c r="E84" s="3">
        <f>IF('ORDENES'!$U62="","-",'ORDENES'!$U62)</f>
        <v/>
      </c>
      <c r="F84" s="3">
        <f>IF('ORDENES'!$W62="","-",'ORDENES'!$W62)</f>
        <v/>
      </c>
      <c r="G84" s="3">
        <f>IF('ORDENES'!$AB62="","-",'ORDENES'!$AB62)</f>
        <v/>
      </c>
      <c r="H84" s="3">
        <f>IF('ORDENES'!$C62="","-",'ORDENES'!$C62)</f>
        <v/>
      </c>
      <c r="I84" s="3">
        <f>IF('ORDENES'!$E62="","-",'ORDENES'!$E62)</f>
        <v/>
      </c>
      <c r="J84" s="3">
        <f>IF('ORDENES'!$F62="","-",'ORDENES'!$F62)</f>
        <v/>
      </c>
      <c r="K84" s="12">
        <f>IF('ORDENES'!$L62="",0,'ORDENES'!$L62)</f>
        <v/>
      </c>
      <c r="L84" s="3">
        <f>IF('ORDENES'!$N62="","-",'ORDENES'!$N62)</f>
        <v/>
      </c>
      <c r="M84" s="3">
        <f>'ORDENES'!$AA62</f>
        <v/>
      </c>
    </row>
    <row r="85">
      <c r="A85" s="3">
        <f>IF('ORDENES'!$O63="","-",'ORDENES'!$O63)</f>
        <v/>
      </c>
      <c r="B85" s="3">
        <f>IF('ORDENES'!$R63="","-",'ORDENES'!$R63)</f>
        <v/>
      </c>
      <c r="C85" s="3">
        <f>IF('ORDENES'!$AC63="","-",'ORDENES'!$AC63)</f>
        <v/>
      </c>
      <c r="D85" s="3">
        <f>IF('ORDENES'!$V63="","-",'ORDENES'!$V63)</f>
        <v/>
      </c>
      <c r="E85" s="3">
        <f>IF('ORDENES'!$U63="","-",'ORDENES'!$U63)</f>
        <v/>
      </c>
      <c r="F85" s="3">
        <f>IF('ORDENES'!$W63="","-",'ORDENES'!$W63)</f>
        <v/>
      </c>
      <c r="G85" s="3">
        <f>IF('ORDENES'!$AB63="","-",'ORDENES'!$AB63)</f>
        <v/>
      </c>
      <c r="H85" s="3">
        <f>IF('ORDENES'!$C63="","-",'ORDENES'!$C63)</f>
        <v/>
      </c>
      <c r="I85" s="3">
        <f>IF('ORDENES'!$E63="","-",'ORDENES'!$E63)</f>
        <v/>
      </c>
      <c r="J85" s="3">
        <f>IF('ORDENES'!$F63="","-",'ORDENES'!$F63)</f>
        <v/>
      </c>
      <c r="K85" s="12">
        <f>IF('ORDENES'!$L63="",0,'ORDENES'!$L63)</f>
        <v/>
      </c>
      <c r="L85" s="3">
        <f>IF('ORDENES'!$N63="","-",'ORDENES'!$N63)</f>
        <v/>
      </c>
      <c r="M85" s="3">
        <f>'ORDENES'!$AA63</f>
        <v/>
      </c>
    </row>
    <row r="86">
      <c r="A86" s="3">
        <f>IF('ORDENES'!$O64="","-",'ORDENES'!$O64)</f>
        <v/>
      </c>
      <c r="B86" s="3">
        <f>IF('ORDENES'!$R64="","-",'ORDENES'!$R64)</f>
        <v/>
      </c>
      <c r="C86" s="3">
        <f>IF('ORDENES'!$AC64="","-",'ORDENES'!$AC64)</f>
        <v/>
      </c>
      <c r="D86" s="3">
        <f>IF('ORDENES'!$V64="","-",'ORDENES'!$V64)</f>
        <v/>
      </c>
      <c r="E86" s="3">
        <f>IF('ORDENES'!$U64="","-",'ORDENES'!$U64)</f>
        <v/>
      </c>
      <c r="F86" s="3">
        <f>IF('ORDENES'!$W64="","-",'ORDENES'!$W64)</f>
        <v/>
      </c>
      <c r="G86" s="3">
        <f>IF('ORDENES'!$AB64="","-",'ORDENES'!$AB64)</f>
        <v/>
      </c>
      <c r="H86" s="3">
        <f>IF('ORDENES'!$C64="","-",'ORDENES'!$C64)</f>
        <v/>
      </c>
      <c r="I86" s="3">
        <f>IF('ORDENES'!$E64="","-",'ORDENES'!$E64)</f>
        <v/>
      </c>
      <c r="J86" s="3">
        <f>IF('ORDENES'!$F64="","-",'ORDENES'!$F64)</f>
        <v/>
      </c>
      <c r="K86" s="12">
        <f>IF('ORDENES'!$L64="",0,'ORDENES'!$L64)</f>
        <v/>
      </c>
      <c r="L86" s="3">
        <f>IF('ORDENES'!$N64="","-",'ORDENES'!$N64)</f>
        <v/>
      </c>
      <c r="M86" s="3">
        <f>'ORDENES'!$AA64</f>
        <v/>
      </c>
    </row>
    <row r="87">
      <c r="A87" s="3">
        <f>IF('ORDENES'!$O65="","-",'ORDENES'!$O65)</f>
        <v/>
      </c>
      <c r="B87" s="3">
        <f>IF('ORDENES'!$R65="","-",'ORDENES'!$R65)</f>
        <v/>
      </c>
      <c r="C87" s="3">
        <f>IF('ORDENES'!$AC65="","-",'ORDENES'!$AC65)</f>
        <v/>
      </c>
      <c r="D87" s="3">
        <f>IF('ORDENES'!$V65="","-",'ORDENES'!$V65)</f>
        <v/>
      </c>
      <c r="E87" s="3">
        <f>IF('ORDENES'!$U65="","-",'ORDENES'!$U65)</f>
        <v/>
      </c>
      <c r="F87" s="3">
        <f>IF('ORDENES'!$W65="","-",'ORDENES'!$W65)</f>
        <v/>
      </c>
      <c r="G87" s="3">
        <f>IF('ORDENES'!$AB65="","-",'ORDENES'!$AB65)</f>
        <v/>
      </c>
      <c r="H87" s="3">
        <f>IF('ORDENES'!$C65="","-",'ORDENES'!$C65)</f>
        <v/>
      </c>
      <c r="I87" s="3">
        <f>IF('ORDENES'!$E65="","-",'ORDENES'!$E65)</f>
        <v/>
      </c>
      <c r="J87" s="3">
        <f>IF('ORDENES'!$F65="","-",'ORDENES'!$F65)</f>
        <v/>
      </c>
      <c r="K87" s="12">
        <f>IF('ORDENES'!$L65="",0,'ORDENES'!$L65)</f>
        <v/>
      </c>
      <c r="L87" s="3">
        <f>IF('ORDENES'!$N65="","-",'ORDENES'!$N65)</f>
        <v/>
      </c>
      <c r="M87" s="3">
        <f>'ORDENES'!$AA65</f>
        <v/>
      </c>
    </row>
    <row r="88">
      <c r="A88" s="3">
        <f>IF('ORDENES'!$O66="","-",'ORDENES'!$O66)</f>
        <v/>
      </c>
      <c r="B88" s="3">
        <f>IF('ORDENES'!$R66="","-",'ORDENES'!$R66)</f>
        <v/>
      </c>
      <c r="C88" s="3">
        <f>IF('ORDENES'!$AC66="","-",'ORDENES'!$AC66)</f>
        <v/>
      </c>
      <c r="D88" s="3">
        <f>IF('ORDENES'!$V66="","-",'ORDENES'!$V66)</f>
        <v/>
      </c>
      <c r="E88" s="3">
        <f>IF('ORDENES'!$U66="","-",'ORDENES'!$U66)</f>
        <v/>
      </c>
      <c r="F88" s="3">
        <f>IF('ORDENES'!$W66="","-",'ORDENES'!$W66)</f>
        <v/>
      </c>
      <c r="G88" s="3">
        <f>IF('ORDENES'!$AB66="","-",'ORDENES'!$AB66)</f>
        <v/>
      </c>
      <c r="H88" s="3">
        <f>IF('ORDENES'!$C66="","-",'ORDENES'!$C66)</f>
        <v/>
      </c>
      <c r="I88" s="3">
        <f>IF('ORDENES'!$E66="","-",'ORDENES'!$E66)</f>
        <v/>
      </c>
      <c r="J88" s="3">
        <f>IF('ORDENES'!$F66="","-",'ORDENES'!$F66)</f>
        <v/>
      </c>
      <c r="K88" s="12">
        <f>IF('ORDENES'!$L66="",0,'ORDENES'!$L66)</f>
        <v/>
      </c>
      <c r="L88" s="3">
        <f>IF('ORDENES'!$N66="","-",'ORDENES'!$N66)</f>
        <v/>
      </c>
      <c r="M88" s="3">
        <f>'ORDENES'!$AA66</f>
        <v/>
      </c>
    </row>
    <row r="89">
      <c r="A89" s="3">
        <f>IF('ORDENES'!$O67="","-",'ORDENES'!$O67)</f>
        <v/>
      </c>
      <c r="B89" s="3">
        <f>IF('ORDENES'!$R67="","-",'ORDENES'!$R67)</f>
        <v/>
      </c>
      <c r="C89" s="3">
        <f>IF('ORDENES'!$AC67="","-",'ORDENES'!$AC67)</f>
        <v/>
      </c>
      <c r="D89" s="3">
        <f>IF('ORDENES'!$V67="","-",'ORDENES'!$V67)</f>
        <v/>
      </c>
      <c r="E89" s="3">
        <f>IF('ORDENES'!$U67="","-",'ORDENES'!$U67)</f>
        <v/>
      </c>
      <c r="F89" s="3">
        <f>IF('ORDENES'!$W67="","-",'ORDENES'!$W67)</f>
        <v/>
      </c>
      <c r="G89" s="3">
        <f>IF('ORDENES'!$AB67="","-",'ORDENES'!$AB67)</f>
        <v/>
      </c>
      <c r="H89" s="3">
        <f>IF('ORDENES'!$C67="","-",'ORDENES'!$C67)</f>
        <v/>
      </c>
      <c r="I89" s="3">
        <f>IF('ORDENES'!$E67="","-",'ORDENES'!$E67)</f>
        <v/>
      </c>
      <c r="J89" s="3">
        <f>IF('ORDENES'!$F67="","-",'ORDENES'!$F67)</f>
        <v/>
      </c>
      <c r="K89" s="12">
        <f>IF('ORDENES'!$L67="",0,'ORDENES'!$L67)</f>
        <v/>
      </c>
      <c r="L89" s="3">
        <f>IF('ORDENES'!$N67="","-",'ORDENES'!$N67)</f>
        <v/>
      </c>
      <c r="M89" s="3">
        <f>'ORDENES'!$AA67</f>
        <v/>
      </c>
    </row>
    <row r="90">
      <c r="A90" s="3">
        <f>IF('ORDENES'!$O68="","-",'ORDENES'!$O68)</f>
        <v/>
      </c>
      <c r="B90" s="3">
        <f>IF('ORDENES'!$R68="","-",'ORDENES'!$R68)</f>
        <v/>
      </c>
      <c r="C90" s="3">
        <f>IF('ORDENES'!$AC68="","-",'ORDENES'!$AC68)</f>
        <v/>
      </c>
      <c r="D90" s="3">
        <f>IF('ORDENES'!$V68="","-",'ORDENES'!$V68)</f>
        <v/>
      </c>
      <c r="E90" s="3">
        <f>IF('ORDENES'!$U68="","-",'ORDENES'!$U68)</f>
        <v/>
      </c>
      <c r="F90" s="3">
        <f>IF('ORDENES'!$W68="","-",'ORDENES'!$W68)</f>
        <v/>
      </c>
      <c r="G90" s="3">
        <f>IF('ORDENES'!$AB68="","-",'ORDENES'!$AB68)</f>
        <v/>
      </c>
      <c r="H90" s="3">
        <f>IF('ORDENES'!$C68="","-",'ORDENES'!$C68)</f>
        <v/>
      </c>
      <c r="I90" s="3">
        <f>IF('ORDENES'!$E68="","-",'ORDENES'!$E68)</f>
        <v/>
      </c>
      <c r="J90" s="3">
        <f>IF('ORDENES'!$F68="","-",'ORDENES'!$F68)</f>
        <v/>
      </c>
      <c r="K90" s="12">
        <f>IF('ORDENES'!$L68="",0,'ORDENES'!$L68)</f>
        <v/>
      </c>
      <c r="L90" s="3">
        <f>IF('ORDENES'!$N68="","-",'ORDENES'!$N68)</f>
        <v/>
      </c>
      <c r="M90" s="3">
        <f>'ORDENES'!$AA68</f>
        <v/>
      </c>
    </row>
    <row r="91">
      <c r="A91" s="3">
        <f>IF('ORDENES'!$O69="","-",'ORDENES'!$O69)</f>
        <v/>
      </c>
      <c r="B91" s="3">
        <f>IF('ORDENES'!$R69="","-",'ORDENES'!$R69)</f>
        <v/>
      </c>
      <c r="C91" s="3">
        <f>IF('ORDENES'!$AC69="","-",'ORDENES'!$AC69)</f>
        <v/>
      </c>
      <c r="D91" s="3">
        <f>IF('ORDENES'!$V69="","-",'ORDENES'!$V69)</f>
        <v/>
      </c>
      <c r="E91" s="3">
        <f>IF('ORDENES'!$U69="","-",'ORDENES'!$U69)</f>
        <v/>
      </c>
      <c r="F91" s="3">
        <f>IF('ORDENES'!$W69="","-",'ORDENES'!$W69)</f>
        <v/>
      </c>
      <c r="G91" s="3">
        <f>IF('ORDENES'!$AB69="","-",'ORDENES'!$AB69)</f>
        <v/>
      </c>
      <c r="H91" s="3">
        <f>IF('ORDENES'!$C69="","-",'ORDENES'!$C69)</f>
        <v/>
      </c>
      <c r="I91" s="3">
        <f>IF('ORDENES'!$E69="","-",'ORDENES'!$E69)</f>
        <v/>
      </c>
      <c r="J91" s="3">
        <f>IF('ORDENES'!$F69="","-",'ORDENES'!$F69)</f>
        <v/>
      </c>
      <c r="K91" s="12">
        <f>IF('ORDENES'!$L69="",0,'ORDENES'!$L69)</f>
        <v/>
      </c>
      <c r="L91" s="3">
        <f>IF('ORDENES'!$N69="","-",'ORDENES'!$N69)</f>
        <v/>
      </c>
      <c r="M91" s="3">
        <f>'ORDENES'!$AA69</f>
        <v/>
      </c>
    </row>
    <row r="92">
      <c r="A92" s="3">
        <f>IF('ORDENES'!$O70="","-",'ORDENES'!$O70)</f>
        <v/>
      </c>
      <c r="B92" s="3">
        <f>IF('ORDENES'!$R70="","-",'ORDENES'!$R70)</f>
        <v/>
      </c>
      <c r="C92" s="3">
        <f>IF('ORDENES'!$AC70="","-",'ORDENES'!$AC70)</f>
        <v/>
      </c>
      <c r="D92" s="3">
        <f>IF('ORDENES'!$V70="","-",'ORDENES'!$V70)</f>
        <v/>
      </c>
      <c r="E92" s="3">
        <f>IF('ORDENES'!$U70="","-",'ORDENES'!$U70)</f>
        <v/>
      </c>
      <c r="F92" s="3">
        <f>IF('ORDENES'!$W70="","-",'ORDENES'!$W70)</f>
        <v/>
      </c>
      <c r="G92" s="3">
        <f>IF('ORDENES'!$AB70="","-",'ORDENES'!$AB70)</f>
        <v/>
      </c>
      <c r="H92" s="3">
        <f>IF('ORDENES'!$C70="","-",'ORDENES'!$C70)</f>
        <v/>
      </c>
      <c r="I92" s="3">
        <f>IF('ORDENES'!$E70="","-",'ORDENES'!$E70)</f>
        <v/>
      </c>
      <c r="J92" s="3">
        <f>IF('ORDENES'!$F70="","-",'ORDENES'!$F70)</f>
        <v/>
      </c>
      <c r="K92" s="12">
        <f>IF('ORDENES'!$L70="",0,'ORDENES'!$L70)</f>
        <v/>
      </c>
      <c r="L92" s="3">
        <f>IF('ORDENES'!$N70="","-",'ORDENES'!$N70)</f>
        <v/>
      </c>
      <c r="M92" s="3">
        <f>'ORDENES'!$AA70</f>
        <v/>
      </c>
    </row>
    <row r="93">
      <c r="A93" s="3">
        <f>IF('ORDENES'!$O71="","-",'ORDENES'!$O71)</f>
        <v/>
      </c>
      <c r="B93" s="3">
        <f>IF('ORDENES'!$R71="","-",'ORDENES'!$R71)</f>
        <v/>
      </c>
      <c r="C93" s="3">
        <f>IF('ORDENES'!$AC71="","-",'ORDENES'!$AC71)</f>
        <v/>
      </c>
      <c r="D93" s="3">
        <f>IF('ORDENES'!$V71="","-",'ORDENES'!$V71)</f>
        <v/>
      </c>
      <c r="E93" s="3">
        <f>IF('ORDENES'!$U71="","-",'ORDENES'!$U71)</f>
        <v/>
      </c>
      <c r="F93" s="3">
        <f>IF('ORDENES'!$W71="","-",'ORDENES'!$W71)</f>
        <v/>
      </c>
      <c r="G93" s="3">
        <f>IF('ORDENES'!$AB71="","-",'ORDENES'!$AB71)</f>
        <v/>
      </c>
      <c r="H93" s="3">
        <f>IF('ORDENES'!$C71="","-",'ORDENES'!$C71)</f>
        <v/>
      </c>
      <c r="I93" s="3">
        <f>IF('ORDENES'!$E71="","-",'ORDENES'!$E71)</f>
        <v/>
      </c>
      <c r="J93" s="3">
        <f>IF('ORDENES'!$F71="","-",'ORDENES'!$F71)</f>
        <v/>
      </c>
      <c r="K93" s="12">
        <f>IF('ORDENES'!$L71="",0,'ORDENES'!$L71)</f>
        <v/>
      </c>
      <c r="L93" s="3">
        <f>IF('ORDENES'!$N71="","-",'ORDENES'!$N71)</f>
        <v/>
      </c>
      <c r="M93" s="3">
        <f>'ORDENES'!$AA71</f>
        <v/>
      </c>
    </row>
    <row r="94">
      <c r="A94" s="3">
        <f>IF('ORDENES'!$O72="","-",'ORDENES'!$O72)</f>
        <v/>
      </c>
      <c r="B94" s="3">
        <f>IF('ORDENES'!$R72="","-",'ORDENES'!$R72)</f>
        <v/>
      </c>
      <c r="C94" s="3">
        <f>IF('ORDENES'!$AC72="","-",'ORDENES'!$AC72)</f>
        <v/>
      </c>
      <c r="D94" s="3">
        <f>IF('ORDENES'!$V72="","-",'ORDENES'!$V72)</f>
        <v/>
      </c>
      <c r="E94" s="3">
        <f>IF('ORDENES'!$U72="","-",'ORDENES'!$U72)</f>
        <v/>
      </c>
      <c r="F94" s="3">
        <f>IF('ORDENES'!$W72="","-",'ORDENES'!$W72)</f>
        <v/>
      </c>
      <c r="G94" s="3">
        <f>IF('ORDENES'!$AB72="","-",'ORDENES'!$AB72)</f>
        <v/>
      </c>
      <c r="H94" s="3">
        <f>IF('ORDENES'!$C72="","-",'ORDENES'!$C72)</f>
        <v/>
      </c>
      <c r="I94" s="3">
        <f>IF('ORDENES'!$E72="","-",'ORDENES'!$E72)</f>
        <v/>
      </c>
      <c r="J94" s="3">
        <f>IF('ORDENES'!$F72="","-",'ORDENES'!$F72)</f>
        <v/>
      </c>
      <c r="K94" s="12">
        <f>IF('ORDENES'!$L72="",0,'ORDENES'!$L72)</f>
        <v/>
      </c>
      <c r="L94" s="3">
        <f>IF('ORDENES'!$N72="","-",'ORDENES'!$N72)</f>
        <v/>
      </c>
      <c r="M94" s="3">
        <f>'ORDENES'!$AA72</f>
        <v/>
      </c>
    </row>
    <row r="95">
      <c r="A95" s="3">
        <f>IF('ORDENES'!$O73="","-",'ORDENES'!$O73)</f>
        <v/>
      </c>
      <c r="B95" s="3">
        <f>IF('ORDENES'!$R73="","-",'ORDENES'!$R73)</f>
        <v/>
      </c>
      <c r="C95" s="3">
        <f>IF('ORDENES'!$AC73="","-",'ORDENES'!$AC73)</f>
        <v/>
      </c>
      <c r="D95" s="3">
        <f>IF('ORDENES'!$V73="","-",'ORDENES'!$V73)</f>
        <v/>
      </c>
      <c r="E95" s="3">
        <f>IF('ORDENES'!$U73="","-",'ORDENES'!$U73)</f>
        <v/>
      </c>
      <c r="F95" s="3">
        <f>IF('ORDENES'!$W73="","-",'ORDENES'!$W73)</f>
        <v/>
      </c>
      <c r="G95" s="3">
        <f>IF('ORDENES'!$AB73="","-",'ORDENES'!$AB73)</f>
        <v/>
      </c>
      <c r="H95" s="3">
        <f>IF('ORDENES'!$C73="","-",'ORDENES'!$C73)</f>
        <v/>
      </c>
      <c r="I95" s="3">
        <f>IF('ORDENES'!$E73="","-",'ORDENES'!$E73)</f>
        <v/>
      </c>
      <c r="J95" s="3">
        <f>IF('ORDENES'!$F73="","-",'ORDENES'!$F73)</f>
        <v/>
      </c>
      <c r="K95" s="12">
        <f>IF('ORDENES'!$L73="",0,'ORDENES'!$L73)</f>
        <v/>
      </c>
      <c r="L95" s="3">
        <f>IF('ORDENES'!$N73="","-",'ORDENES'!$N73)</f>
        <v/>
      </c>
      <c r="M95" s="3">
        <f>'ORDENES'!$AA73</f>
        <v/>
      </c>
    </row>
    <row r="96">
      <c r="A96" s="3">
        <f>IF('ORDENES'!$O74="","-",'ORDENES'!$O74)</f>
        <v/>
      </c>
      <c r="B96" s="3">
        <f>IF('ORDENES'!$R74="","-",'ORDENES'!$R74)</f>
        <v/>
      </c>
      <c r="C96" s="3">
        <f>IF('ORDENES'!$AC74="","-",'ORDENES'!$AC74)</f>
        <v/>
      </c>
      <c r="D96" s="3">
        <f>IF('ORDENES'!$V74="","-",'ORDENES'!$V74)</f>
        <v/>
      </c>
      <c r="E96" s="3">
        <f>IF('ORDENES'!$U74="","-",'ORDENES'!$U74)</f>
        <v/>
      </c>
      <c r="F96" s="3">
        <f>IF('ORDENES'!$W74="","-",'ORDENES'!$W74)</f>
        <v/>
      </c>
      <c r="G96" s="3">
        <f>IF('ORDENES'!$AB74="","-",'ORDENES'!$AB74)</f>
        <v/>
      </c>
      <c r="H96" s="3">
        <f>IF('ORDENES'!$C74="","-",'ORDENES'!$C74)</f>
        <v/>
      </c>
      <c r="I96" s="3">
        <f>IF('ORDENES'!$E74="","-",'ORDENES'!$E74)</f>
        <v/>
      </c>
      <c r="J96" s="3">
        <f>IF('ORDENES'!$F74="","-",'ORDENES'!$F74)</f>
        <v/>
      </c>
      <c r="K96" s="12">
        <f>IF('ORDENES'!$L74="",0,'ORDENES'!$L74)</f>
        <v/>
      </c>
      <c r="L96" s="3">
        <f>IF('ORDENES'!$N74="","-",'ORDENES'!$N74)</f>
        <v/>
      </c>
      <c r="M96" s="3">
        <f>'ORDENES'!$AA74</f>
        <v/>
      </c>
    </row>
    <row r="97">
      <c r="A97" s="3">
        <f>IF('ORDENES'!$O75="","-",'ORDENES'!$O75)</f>
        <v/>
      </c>
      <c r="B97" s="3">
        <f>IF('ORDENES'!$R75="","-",'ORDENES'!$R75)</f>
        <v/>
      </c>
      <c r="C97" s="3">
        <f>IF('ORDENES'!$AC75="","-",'ORDENES'!$AC75)</f>
        <v/>
      </c>
      <c r="D97" s="3">
        <f>IF('ORDENES'!$V75="","-",'ORDENES'!$V75)</f>
        <v/>
      </c>
      <c r="E97" s="3">
        <f>IF('ORDENES'!$U75="","-",'ORDENES'!$U75)</f>
        <v/>
      </c>
      <c r="F97" s="3">
        <f>IF('ORDENES'!$W75="","-",'ORDENES'!$W75)</f>
        <v/>
      </c>
      <c r="G97" s="3">
        <f>IF('ORDENES'!$AB75="","-",'ORDENES'!$AB75)</f>
        <v/>
      </c>
      <c r="H97" s="3">
        <f>IF('ORDENES'!$C75="","-",'ORDENES'!$C75)</f>
        <v/>
      </c>
      <c r="I97" s="3">
        <f>IF('ORDENES'!$E75="","-",'ORDENES'!$E75)</f>
        <v/>
      </c>
      <c r="J97" s="3">
        <f>IF('ORDENES'!$F75="","-",'ORDENES'!$F75)</f>
        <v/>
      </c>
      <c r="K97" s="12">
        <f>IF('ORDENES'!$L75="",0,'ORDENES'!$L75)</f>
        <v/>
      </c>
      <c r="L97" s="3">
        <f>IF('ORDENES'!$N75="","-",'ORDENES'!$N75)</f>
        <v/>
      </c>
      <c r="M97" s="3">
        <f>'ORDENES'!$AA75</f>
        <v/>
      </c>
    </row>
    <row r="98">
      <c r="A98" s="3">
        <f>IF('ORDENES'!$O76="","-",'ORDENES'!$O76)</f>
        <v/>
      </c>
      <c r="B98" s="3">
        <f>IF('ORDENES'!$R76="","-",'ORDENES'!$R76)</f>
        <v/>
      </c>
      <c r="C98" s="3">
        <f>IF('ORDENES'!$AC76="","-",'ORDENES'!$AC76)</f>
        <v/>
      </c>
      <c r="D98" s="3">
        <f>IF('ORDENES'!$V76="","-",'ORDENES'!$V76)</f>
        <v/>
      </c>
      <c r="E98" s="3">
        <f>IF('ORDENES'!$U76="","-",'ORDENES'!$U76)</f>
        <v/>
      </c>
      <c r="F98" s="3">
        <f>IF('ORDENES'!$W76="","-",'ORDENES'!$W76)</f>
        <v/>
      </c>
      <c r="G98" s="3">
        <f>IF('ORDENES'!$AB76="","-",'ORDENES'!$AB76)</f>
        <v/>
      </c>
      <c r="H98" s="3">
        <f>IF('ORDENES'!$C76="","-",'ORDENES'!$C76)</f>
        <v/>
      </c>
      <c r="I98" s="3">
        <f>IF('ORDENES'!$E76="","-",'ORDENES'!$E76)</f>
        <v/>
      </c>
      <c r="J98" s="3">
        <f>IF('ORDENES'!$F76="","-",'ORDENES'!$F76)</f>
        <v/>
      </c>
      <c r="K98" s="12">
        <f>IF('ORDENES'!$L76="",0,'ORDENES'!$L76)</f>
        <v/>
      </c>
      <c r="L98" s="3">
        <f>IF('ORDENES'!$N76="","-",'ORDENES'!$N76)</f>
        <v/>
      </c>
      <c r="M98" s="3">
        <f>'ORDENES'!$AA76</f>
        <v/>
      </c>
    </row>
    <row r="99">
      <c r="A99" s="3">
        <f>IF('ORDENES'!$O77="","-",'ORDENES'!$O77)</f>
        <v/>
      </c>
      <c r="B99" s="3">
        <f>IF('ORDENES'!$R77="","-",'ORDENES'!$R77)</f>
        <v/>
      </c>
      <c r="C99" s="3">
        <f>IF('ORDENES'!$AC77="","-",'ORDENES'!$AC77)</f>
        <v/>
      </c>
      <c r="D99" s="3">
        <f>IF('ORDENES'!$V77="","-",'ORDENES'!$V77)</f>
        <v/>
      </c>
      <c r="E99" s="3">
        <f>IF('ORDENES'!$U77="","-",'ORDENES'!$U77)</f>
        <v/>
      </c>
      <c r="F99" s="3">
        <f>IF('ORDENES'!$W77="","-",'ORDENES'!$W77)</f>
        <v/>
      </c>
      <c r="G99" s="3">
        <f>IF('ORDENES'!$AB77="","-",'ORDENES'!$AB77)</f>
        <v/>
      </c>
      <c r="H99" s="3">
        <f>IF('ORDENES'!$C77="","-",'ORDENES'!$C77)</f>
        <v/>
      </c>
      <c r="I99" s="3">
        <f>IF('ORDENES'!$E77="","-",'ORDENES'!$E77)</f>
        <v/>
      </c>
      <c r="J99" s="3">
        <f>IF('ORDENES'!$F77="","-",'ORDENES'!$F77)</f>
        <v/>
      </c>
      <c r="K99" s="12">
        <f>IF('ORDENES'!$L77="",0,'ORDENES'!$L77)</f>
        <v/>
      </c>
      <c r="L99" s="3">
        <f>IF('ORDENES'!$N77="","-",'ORDENES'!$N77)</f>
        <v/>
      </c>
      <c r="M99" s="3">
        <f>'ORDENES'!$AA77</f>
        <v/>
      </c>
    </row>
    <row r="100">
      <c r="A100" s="3">
        <f>IF('ORDENES'!$O78="","-",'ORDENES'!$O78)</f>
        <v/>
      </c>
      <c r="B100" s="3">
        <f>IF('ORDENES'!$R78="","-",'ORDENES'!$R78)</f>
        <v/>
      </c>
      <c r="C100" s="3">
        <f>IF('ORDENES'!$AC78="","-",'ORDENES'!$AC78)</f>
        <v/>
      </c>
      <c r="D100" s="3">
        <f>IF('ORDENES'!$V78="","-",'ORDENES'!$V78)</f>
        <v/>
      </c>
      <c r="E100" s="3">
        <f>IF('ORDENES'!$U78="","-",'ORDENES'!$U78)</f>
        <v/>
      </c>
      <c r="F100" s="3">
        <f>IF('ORDENES'!$W78="","-",'ORDENES'!$W78)</f>
        <v/>
      </c>
      <c r="G100" s="3">
        <f>IF('ORDENES'!$AB78="","-",'ORDENES'!$AB78)</f>
        <v/>
      </c>
      <c r="H100" s="3">
        <f>IF('ORDENES'!$C78="","-",'ORDENES'!$C78)</f>
        <v/>
      </c>
      <c r="I100" s="3">
        <f>IF('ORDENES'!$E78="","-",'ORDENES'!$E78)</f>
        <v/>
      </c>
      <c r="J100" s="3">
        <f>IF('ORDENES'!$F78="","-",'ORDENES'!$F78)</f>
        <v/>
      </c>
      <c r="K100" s="12">
        <f>IF('ORDENES'!$L78="",0,'ORDENES'!$L78)</f>
        <v/>
      </c>
      <c r="L100" s="3">
        <f>IF('ORDENES'!$N78="","-",'ORDENES'!$N78)</f>
        <v/>
      </c>
      <c r="M100" s="3">
        <f>'ORDENES'!$AA78</f>
        <v/>
      </c>
    </row>
    <row r="101">
      <c r="A101" s="3">
        <f>IF('ORDENES'!$O79="","-",'ORDENES'!$O79)</f>
        <v/>
      </c>
      <c r="B101" s="3">
        <f>IF('ORDENES'!$R79="","-",'ORDENES'!$R79)</f>
        <v/>
      </c>
      <c r="C101" s="3">
        <f>IF('ORDENES'!$AC79="","-",'ORDENES'!$AC79)</f>
        <v/>
      </c>
      <c r="D101" s="3">
        <f>IF('ORDENES'!$V79="","-",'ORDENES'!$V79)</f>
        <v/>
      </c>
      <c r="E101" s="3">
        <f>IF('ORDENES'!$U79="","-",'ORDENES'!$U79)</f>
        <v/>
      </c>
      <c r="F101" s="3">
        <f>IF('ORDENES'!$W79="","-",'ORDENES'!$W79)</f>
        <v/>
      </c>
      <c r="G101" s="3">
        <f>IF('ORDENES'!$AB79="","-",'ORDENES'!$AB79)</f>
        <v/>
      </c>
      <c r="H101" s="3">
        <f>IF('ORDENES'!$C79="","-",'ORDENES'!$C79)</f>
        <v/>
      </c>
      <c r="I101" s="3">
        <f>IF('ORDENES'!$E79="","-",'ORDENES'!$E79)</f>
        <v/>
      </c>
      <c r="J101" s="3">
        <f>IF('ORDENES'!$F79="","-",'ORDENES'!$F79)</f>
        <v/>
      </c>
      <c r="K101" s="12">
        <f>IF('ORDENES'!$L79="",0,'ORDENES'!$L79)</f>
        <v/>
      </c>
      <c r="L101" s="3">
        <f>IF('ORDENES'!$N79="","-",'ORDENES'!$N79)</f>
        <v/>
      </c>
      <c r="M101" s="3">
        <f>'ORDENES'!$AA79</f>
        <v/>
      </c>
    </row>
    <row r="102">
      <c r="A102" s="3">
        <f>IF('ORDENES'!$O80="","-",'ORDENES'!$O80)</f>
        <v/>
      </c>
      <c r="B102" s="3">
        <f>IF('ORDENES'!$R80="","-",'ORDENES'!$R80)</f>
        <v/>
      </c>
      <c r="C102" s="3">
        <f>IF('ORDENES'!$AC80="","-",'ORDENES'!$AC80)</f>
        <v/>
      </c>
      <c r="D102" s="3">
        <f>IF('ORDENES'!$V80="","-",'ORDENES'!$V80)</f>
        <v/>
      </c>
      <c r="E102" s="3">
        <f>IF('ORDENES'!$U80="","-",'ORDENES'!$U80)</f>
        <v/>
      </c>
      <c r="F102" s="3">
        <f>IF('ORDENES'!$W80="","-",'ORDENES'!$W80)</f>
        <v/>
      </c>
      <c r="G102" s="3">
        <f>IF('ORDENES'!$AB80="","-",'ORDENES'!$AB80)</f>
        <v/>
      </c>
      <c r="H102" s="3">
        <f>IF('ORDENES'!$C80="","-",'ORDENES'!$C80)</f>
        <v/>
      </c>
      <c r="I102" s="3">
        <f>IF('ORDENES'!$E80="","-",'ORDENES'!$E80)</f>
        <v/>
      </c>
      <c r="J102" s="3">
        <f>IF('ORDENES'!$F80="","-",'ORDENES'!$F80)</f>
        <v/>
      </c>
      <c r="K102" s="12">
        <f>IF('ORDENES'!$L80="",0,'ORDENES'!$L80)</f>
        <v/>
      </c>
      <c r="L102" s="3">
        <f>IF('ORDENES'!$N80="","-",'ORDENES'!$N80)</f>
        <v/>
      </c>
      <c r="M102" s="3">
        <f>'ORDENES'!$AA80</f>
        <v/>
      </c>
    </row>
    <row r="103">
      <c r="A103" s="3">
        <f>IF('ORDENES'!$O81="","-",'ORDENES'!$O81)</f>
        <v/>
      </c>
      <c r="B103" s="3">
        <f>IF('ORDENES'!$R81="","-",'ORDENES'!$R81)</f>
        <v/>
      </c>
      <c r="C103" s="3">
        <f>IF('ORDENES'!$AC81="","-",'ORDENES'!$AC81)</f>
        <v/>
      </c>
      <c r="D103" s="3">
        <f>IF('ORDENES'!$V81="","-",'ORDENES'!$V81)</f>
        <v/>
      </c>
      <c r="E103" s="3">
        <f>IF('ORDENES'!$U81="","-",'ORDENES'!$U81)</f>
        <v/>
      </c>
      <c r="F103" s="3">
        <f>IF('ORDENES'!$W81="","-",'ORDENES'!$W81)</f>
        <v/>
      </c>
      <c r="G103" s="3">
        <f>IF('ORDENES'!$AB81="","-",'ORDENES'!$AB81)</f>
        <v/>
      </c>
      <c r="H103" s="3">
        <f>IF('ORDENES'!$C81="","-",'ORDENES'!$C81)</f>
        <v/>
      </c>
      <c r="I103" s="3">
        <f>IF('ORDENES'!$E81="","-",'ORDENES'!$E81)</f>
        <v/>
      </c>
      <c r="J103" s="3">
        <f>IF('ORDENES'!$F81="","-",'ORDENES'!$F81)</f>
        <v/>
      </c>
      <c r="K103" s="12">
        <f>IF('ORDENES'!$L81="",0,'ORDENES'!$L81)</f>
        <v/>
      </c>
      <c r="L103" s="3">
        <f>IF('ORDENES'!$N81="","-",'ORDENES'!$N81)</f>
        <v/>
      </c>
      <c r="M103" s="3">
        <f>'ORDENES'!$AA81</f>
        <v/>
      </c>
    </row>
    <row r="104">
      <c r="A104" s="3">
        <f>IF('ORDENES'!$O82="","-",'ORDENES'!$O82)</f>
        <v/>
      </c>
      <c r="B104" s="3">
        <f>IF('ORDENES'!$R82="","-",'ORDENES'!$R82)</f>
        <v/>
      </c>
      <c r="C104" s="3">
        <f>IF('ORDENES'!$AC82="","-",'ORDENES'!$AC82)</f>
        <v/>
      </c>
      <c r="D104" s="3">
        <f>IF('ORDENES'!$V82="","-",'ORDENES'!$V82)</f>
        <v/>
      </c>
      <c r="E104" s="3">
        <f>IF('ORDENES'!$U82="","-",'ORDENES'!$U82)</f>
        <v/>
      </c>
      <c r="F104" s="3">
        <f>IF('ORDENES'!$W82="","-",'ORDENES'!$W82)</f>
        <v/>
      </c>
      <c r="G104" s="3">
        <f>IF('ORDENES'!$AB82="","-",'ORDENES'!$AB82)</f>
        <v/>
      </c>
      <c r="H104" s="3">
        <f>IF('ORDENES'!$C82="","-",'ORDENES'!$C82)</f>
        <v/>
      </c>
      <c r="I104" s="3">
        <f>IF('ORDENES'!$E82="","-",'ORDENES'!$E82)</f>
        <v/>
      </c>
      <c r="J104" s="3">
        <f>IF('ORDENES'!$F82="","-",'ORDENES'!$F82)</f>
        <v/>
      </c>
      <c r="K104" s="12">
        <f>IF('ORDENES'!$L82="",0,'ORDENES'!$L82)</f>
        <v/>
      </c>
      <c r="L104" s="3">
        <f>IF('ORDENES'!$N82="","-",'ORDENES'!$N82)</f>
        <v/>
      </c>
      <c r="M104" s="3">
        <f>'ORDENES'!$AA82</f>
        <v/>
      </c>
    </row>
    <row r="105">
      <c r="A105" s="3">
        <f>IF('ORDENES'!$O83="","-",'ORDENES'!$O83)</f>
        <v/>
      </c>
      <c r="B105" s="3">
        <f>IF('ORDENES'!$R83="","-",'ORDENES'!$R83)</f>
        <v/>
      </c>
      <c r="C105" s="3">
        <f>IF('ORDENES'!$AC83="","-",'ORDENES'!$AC83)</f>
        <v/>
      </c>
      <c r="D105" s="3">
        <f>IF('ORDENES'!$V83="","-",'ORDENES'!$V83)</f>
        <v/>
      </c>
      <c r="E105" s="3">
        <f>IF('ORDENES'!$U83="","-",'ORDENES'!$U83)</f>
        <v/>
      </c>
      <c r="F105" s="3">
        <f>IF('ORDENES'!$W83="","-",'ORDENES'!$W83)</f>
        <v/>
      </c>
      <c r="G105" s="3">
        <f>IF('ORDENES'!$AB83="","-",'ORDENES'!$AB83)</f>
        <v/>
      </c>
      <c r="H105" s="3">
        <f>IF('ORDENES'!$C83="","-",'ORDENES'!$C83)</f>
        <v/>
      </c>
      <c r="I105" s="3">
        <f>IF('ORDENES'!$E83="","-",'ORDENES'!$E83)</f>
        <v/>
      </c>
      <c r="J105" s="3">
        <f>IF('ORDENES'!$F83="","-",'ORDENES'!$F83)</f>
        <v/>
      </c>
      <c r="K105" s="12">
        <f>IF('ORDENES'!$L83="",0,'ORDENES'!$L83)</f>
        <v/>
      </c>
      <c r="L105" s="3">
        <f>IF('ORDENES'!$N83="","-",'ORDENES'!$N83)</f>
        <v/>
      </c>
      <c r="M105" s="3">
        <f>'ORDENES'!$AA83</f>
        <v/>
      </c>
    </row>
    <row r="106">
      <c r="A106" s="3">
        <f>IF('ORDENES'!$O84="","-",'ORDENES'!$O84)</f>
        <v/>
      </c>
      <c r="B106" s="3">
        <f>IF('ORDENES'!$R84="","-",'ORDENES'!$R84)</f>
        <v/>
      </c>
      <c r="C106" s="3">
        <f>IF('ORDENES'!$AC84="","-",'ORDENES'!$AC84)</f>
        <v/>
      </c>
      <c r="D106" s="3">
        <f>IF('ORDENES'!$V84="","-",'ORDENES'!$V84)</f>
        <v/>
      </c>
      <c r="E106" s="3">
        <f>IF('ORDENES'!$U84="","-",'ORDENES'!$U84)</f>
        <v/>
      </c>
      <c r="F106" s="3">
        <f>IF('ORDENES'!$W84="","-",'ORDENES'!$W84)</f>
        <v/>
      </c>
      <c r="G106" s="3">
        <f>IF('ORDENES'!$AB84="","-",'ORDENES'!$AB84)</f>
        <v/>
      </c>
      <c r="H106" s="3">
        <f>IF('ORDENES'!$C84="","-",'ORDENES'!$C84)</f>
        <v/>
      </c>
      <c r="I106" s="3">
        <f>IF('ORDENES'!$E84="","-",'ORDENES'!$E84)</f>
        <v/>
      </c>
      <c r="J106" s="3">
        <f>IF('ORDENES'!$F84="","-",'ORDENES'!$F84)</f>
        <v/>
      </c>
      <c r="K106" s="12">
        <f>IF('ORDENES'!$L84="",0,'ORDENES'!$L84)</f>
        <v/>
      </c>
      <c r="L106" s="3">
        <f>IF('ORDENES'!$N84="","-",'ORDENES'!$N84)</f>
        <v/>
      </c>
      <c r="M106" s="3">
        <f>'ORDENES'!$AA84</f>
        <v/>
      </c>
    </row>
    <row r="107">
      <c r="A107" s="3">
        <f>IF('ORDENES'!$O85="","-",'ORDENES'!$O85)</f>
        <v/>
      </c>
      <c r="B107" s="3">
        <f>IF('ORDENES'!$R85="","-",'ORDENES'!$R85)</f>
        <v/>
      </c>
      <c r="C107" s="3">
        <f>IF('ORDENES'!$AC85="","-",'ORDENES'!$AC85)</f>
        <v/>
      </c>
      <c r="D107" s="3">
        <f>IF('ORDENES'!$V85="","-",'ORDENES'!$V85)</f>
        <v/>
      </c>
      <c r="E107" s="3">
        <f>IF('ORDENES'!$U85="","-",'ORDENES'!$U85)</f>
        <v/>
      </c>
      <c r="F107" s="3">
        <f>IF('ORDENES'!$W85="","-",'ORDENES'!$W85)</f>
        <v/>
      </c>
      <c r="G107" s="3">
        <f>IF('ORDENES'!$AB85="","-",'ORDENES'!$AB85)</f>
        <v/>
      </c>
      <c r="H107" s="3">
        <f>IF('ORDENES'!$C85="","-",'ORDENES'!$C85)</f>
        <v/>
      </c>
      <c r="I107" s="3">
        <f>IF('ORDENES'!$E85="","-",'ORDENES'!$E85)</f>
        <v/>
      </c>
      <c r="J107" s="3">
        <f>IF('ORDENES'!$F85="","-",'ORDENES'!$F85)</f>
        <v/>
      </c>
      <c r="K107" s="12">
        <f>IF('ORDENES'!$L85="",0,'ORDENES'!$L85)</f>
        <v/>
      </c>
      <c r="L107" s="3">
        <f>IF('ORDENES'!$N85="","-",'ORDENES'!$N85)</f>
        <v/>
      </c>
      <c r="M107" s="3">
        <f>'ORDENES'!$AA85</f>
        <v/>
      </c>
    </row>
    <row r="108">
      <c r="A108" s="3">
        <f>IF('ORDENES'!$O86="","-",'ORDENES'!$O86)</f>
        <v/>
      </c>
      <c r="B108" s="3">
        <f>IF('ORDENES'!$R86="","-",'ORDENES'!$R86)</f>
        <v/>
      </c>
      <c r="C108" s="3">
        <f>IF('ORDENES'!$AC86="","-",'ORDENES'!$AC86)</f>
        <v/>
      </c>
      <c r="D108" s="3">
        <f>IF('ORDENES'!$V86="","-",'ORDENES'!$V86)</f>
        <v/>
      </c>
      <c r="E108" s="3">
        <f>IF('ORDENES'!$U86="","-",'ORDENES'!$U86)</f>
        <v/>
      </c>
      <c r="F108" s="3">
        <f>IF('ORDENES'!$W86="","-",'ORDENES'!$W86)</f>
        <v/>
      </c>
      <c r="G108" s="3">
        <f>IF('ORDENES'!$AB86="","-",'ORDENES'!$AB86)</f>
        <v/>
      </c>
      <c r="H108" s="3">
        <f>IF('ORDENES'!$C86="","-",'ORDENES'!$C86)</f>
        <v/>
      </c>
      <c r="I108" s="3">
        <f>IF('ORDENES'!$E86="","-",'ORDENES'!$E86)</f>
        <v/>
      </c>
      <c r="J108" s="3">
        <f>IF('ORDENES'!$F86="","-",'ORDENES'!$F86)</f>
        <v/>
      </c>
      <c r="K108" s="12">
        <f>IF('ORDENES'!$L86="",0,'ORDENES'!$L86)</f>
        <v/>
      </c>
      <c r="L108" s="3">
        <f>IF('ORDENES'!$N86="","-",'ORDENES'!$N86)</f>
        <v/>
      </c>
      <c r="M108" s="3">
        <f>'ORDENES'!$AA86</f>
        <v/>
      </c>
    </row>
    <row r="109">
      <c r="A109" s="3">
        <f>IF('ORDENES'!$O87="","-",'ORDENES'!$O87)</f>
        <v/>
      </c>
      <c r="B109" s="3">
        <f>IF('ORDENES'!$R87="","-",'ORDENES'!$R87)</f>
        <v/>
      </c>
      <c r="C109" s="3">
        <f>IF('ORDENES'!$AC87="","-",'ORDENES'!$AC87)</f>
        <v/>
      </c>
      <c r="D109" s="3">
        <f>IF('ORDENES'!$V87="","-",'ORDENES'!$V87)</f>
        <v/>
      </c>
      <c r="E109" s="3">
        <f>IF('ORDENES'!$U87="","-",'ORDENES'!$U87)</f>
        <v/>
      </c>
      <c r="F109" s="3">
        <f>IF('ORDENES'!$W87="","-",'ORDENES'!$W87)</f>
        <v/>
      </c>
      <c r="G109" s="3">
        <f>IF('ORDENES'!$AB87="","-",'ORDENES'!$AB87)</f>
        <v/>
      </c>
      <c r="H109" s="3">
        <f>IF('ORDENES'!$C87="","-",'ORDENES'!$C87)</f>
        <v/>
      </c>
      <c r="I109" s="3">
        <f>IF('ORDENES'!$E87="","-",'ORDENES'!$E87)</f>
        <v/>
      </c>
      <c r="J109" s="3">
        <f>IF('ORDENES'!$F87="","-",'ORDENES'!$F87)</f>
        <v/>
      </c>
      <c r="K109" s="12">
        <f>IF('ORDENES'!$L87="",0,'ORDENES'!$L87)</f>
        <v/>
      </c>
      <c r="L109" s="3">
        <f>IF('ORDENES'!$N87="","-",'ORDENES'!$N87)</f>
        <v/>
      </c>
      <c r="M109" s="3">
        <f>'ORDENES'!$AA87</f>
        <v/>
      </c>
    </row>
    <row r="110">
      <c r="A110" s="3">
        <f>IF('ORDENES'!$O88="","-",'ORDENES'!$O88)</f>
        <v/>
      </c>
      <c r="B110" s="3">
        <f>IF('ORDENES'!$R88="","-",'ORDENES'!$R88)</f>
        <v/>
      </c>
      <c r="C110" s="3">
        <f>IF('ORDENES'!$AC88="","-",'ORDENES'!$AC88)</f>
        <v/>
      </c>
      <c r="D110" s="3">
        <f>IF('ORDENES'!$V88="","-",'ORDENES'!$V88)</f>
        <v/>
      </c>
      <c r="E110" s="3">
        <f>IF('ORDENES'!$U88="","-",'ORDENES'!$U88)</f>
        <v/>
      </c>
      <c r="F110" s="3">
        <f>IF('ORDENES'!$W88="","-",'ORDENES'!$W88)</f>
        <v/>
      </c>
      <c r="G110" s="3">
        <f>IF('ORDENES'!$AB88="","-",'ORDENES'!$AB88)</f>
        <v/>
      </c>
      <c r="H110" s="3">
        <f>IF('ORDENES'!$C88="","-",'ORDENES'!$C88)</f>
        <v/>
      </c>
      <c r="I110" s="3">
        <f>IF('ORDENES'!$E88="","-",'ORDENES'!$E88)</f>
        <v/>
      </c>
      <c r="J110" s="3">
        <f>IF('ORDENES'!$F88="","-",'ORDENES'!$F88)</f>
        <v/>
      </c>
      <c r="K110" s="12">
        <f>IF('ORDENES'!$L88="",0,'ORDENES'!$L88)</f>
        <v/>
      </c>
      <c r="L110" s="3">
        <f>IF('ORDENES'!$N88="","-",'ORDENES'!$N88)</f>
        <v/>
      </c>
      <c r="M110" s="3">
        <f>'ORDENES'!$AA88</f>
        <v/>
      </c>
    </row>
    <row r="111">
      <c r="A111" s="3">
        <f>IF('ORDENES'!$O89="","-",'ORDENES'!$O89)</f>
        <v/>
      </c>
      <c r="B111" s="3">
        <f>IF('ORDENES'!$R89="","-",'ORDENES'!$R89)</f>
        <v/>
      </c>
      <c r="C111" s="3">
        <f>IF('ORDENES'!$AC89="","-",'ORDENES'!$AC89)</f>
        <v/>
      </c>
      <c r="D111" s="3">
        <f>IF('ORDENES'!$V89="","-",'ORDENES'!$V89)</f>
        <v/>
      </c>
      <c r="E111" s="3">
        <f>IF('ORDENES'!$U89="","-",'ORDENES'!$U89)</f>
        <v/>
      </c>
      <c r="F111" s="3">
        <f>IF('ORDENES'!$W89="","-",'ORDENES'!$W89)</f>
        <v/>
      </c>
      <c r="G111" s="3">
        <f>IF('ORDENES'!$AB89="","-",'ORDENES'!$AB89)</f>
        <v/>
      </c>
      <c r="H111" s="3">
        <f>IF('ORDENES'!$C89="","-",'ORDENES'!$C89)</f>
        <v/>
      </c>
      <c r="I111" s="3">
        <f>IF('ORDENES'!$E89="","-",'ORDENES'!$E89)</f>
        <v/>
      </c>
      <c r="J111" s="3">
        <f>IF('ORDENES'!$F89="","-",'ORDENES'!$F89)</f>
        <v/>
      </c>
      <c r="K111" s="12">
        <f>IF('ORDENES'!$L89="",0,'ORDENES'!$L89)</f>
        <v/>
      </c>
      <c r="L111" s="3">
        <f>IF('ORDENES'!$N89="","-",'ORDENES'!$N89)</f>
        <v/>
      </c>
      <c r="M111" s="3">
        <f>'ORDENES'!$AA89</f>
        <v/>
      </c>
    </row>
    <row r="112">
      <c r="A112" s="3">
        <f>IF('ORDENES'!$O90="","-",'ORDENES'!$O90)</f>
        <v/>
      </c>
      <c r="B112" s="3">
        <f>IF('ORDENES'!$R90="","-",'ORDENES'!$R90)</f>
        <v/>
      </c>
      <c r="C112" s="3">
        <f>IF('ORDENES'!$AC90="","-",'ORDENES'!$AC90)</f>
        <v/>
      </c>
      <c r="D112" s="3">
        <f>IF('ORDENES'!$V90="","-",'ORDENES'!$V90)</f>
        <v/>
      </c>
      <c r="E112" s="3">
        <f>IF('ORDENES'!$U90="","-",'ORDENES'!$U90)</f>
        <v/>
      </c>
      <c r="F112" s="3">
        <f>IF('ORDENES'!$W90="","-",'ORDENES'!$W90)</f>
        <v/>
      </c>
      <c r="G112" s="3">
        <f>IF('ORDENES'!$AB90="","-",'ORDENES'!$AB90)</f>
        <v/>
      </c>
      <c r="H112" s="3">
        <f>IF('ORDENES'!$C90="","-",'ORDENES'!$C90)</f>
        <v/>
      </c>
      <c r="I112" s="3">
        <f>IF('ORDENES'!$E90="","-",'ORDENES'!$E90)</f>
        <v/>
      </c>
      <c r="J112" s="3">
        <f>IF('ORDENES'!$F90="","-",'ORDENES'!$F90)</f>
        <v/>
      </c>
      <c r="K112" s="12">
        <f>IF('ORDENES'!$L90="",0,'ORDENES'!$L90)</f>
        <v/>
      </c>
      <c r="L112" s="3">
        <f>IF('ORDENES'!$N90="","-",'ORDENES'!$N90)</f>
        <v/>
      </c>
      <c r="M112" s="3">
        <f>'ORDENES'!$AA90</f>
        <v/>
      </c>
    </row>
    <row r="113">
      <c r="A113" s="3">
        <f>IF('ORDENES'!$O91="","-",'ORDENES'!$O91)</f>
        <v/>
      </c>
      <c r="B113" s="3">
        <f>IF('ORDENES'!$R91="","-",'ORDENES'!$R91)</f>
        <v/>
      </c>
      <c r="C113" s="3">
        <f>IF('ORDENES'!$AC91="","-",'ORDENES'!$AC91)</f>
        <v/>
      </c>
      <c r="D113" s="3">
        <f>IF('ORDENES'!$V91="","-",'ORDENES'!$V91)</f>
        <v/>
      </c>
      <c r="E113" s="3">
        <f>IF('ORDENES'!$U91="","-",'ORDENES'!$U91)</f>
        <v/>
      </c>
      <c r="F113" s="3">
        <f>IF('ORDENES'!$W91="","-",'ORDENES'!$W91)</f>
        <v/>
      </c>
      <c r="G113" s="3">
        <f>IF('ORDENES'!$AB91="","-",'ORDENES'!$AB91)</f>
        <v/>
      </c>
      <c r="H113" s="3">
        <f>IF('ORDENES'!$C91="","-",'ORDENES'!$C91)</f>
        <v/>
      </c>
      <c r="I113" s="3">
        <f>IF('ORDENES'!$E91="","-",'ORDENES'!$E91)</f>
        <v/>
      </c>
      <c r="J113" s="3">
        <f>IF('ORDENES'!$F91="","-",'ORDENES'!$F91)</f>
        <v/>
      </c>
      <c r="K113" s="12">
        <f>IF('ORDENES'!$L91="",0,'ORDENES'!$L91)</f>
        <v/>
      </c>
      <c r="L113" s="3">
        <f>IF('ORDENES'!$N91="","-",'ORDENES'!$N91)</f>
        <v/>
      </c>
      <c r="M113" s="3">
        <f>'ORDENES'!$AA91</f>
        <v/>
      </c>
    </row>
    <row r="114">
      <c r="A114" s="3">
        <f>IF('ORDENES'!$O92="","-",'ORDENES'!$O92)</f>
        <v/>
      </c>
      <c r="B114" s="3">
        <f>IF('ORDENES'!$R92="","-",'ORDENES'!$R92)</f>
        <v/>
      </c>
      <c r="C114" s="3">
        <f>IF('ORDENES'!$AC92="","-",'ORDENES'!$AC92)</f>
        <v/>
      </c>
      <c r="D114" s="3">
        <f>IF('ORDENES'!$V92="","-",'ORDENES'!$V92)</f>
        <v/>
      </c>
      <c r="E114" s="3">
        <f>IF('ORDENES'!$U92="","-",'ORDENES'!$U92)</f>
        <v/>
      </c>
      <c r="F114" s="3">
        <f>IF('ORDENES'!$W92="","-",'ORDENES'!$W92)</f>
        <v/>
      </c>
      <c r="G114" s="3">
        <f>IF('ORDENES'!$AB92="","-",'ORDENES'!$AB92)</f>
        <v/>
      </c>
      <c r="H114" s="3">
        <f>IF('ORDENES'!$C92="","-",'ORDENES'!$C92)</f>
        <v/>
      </c>
      <c r="I114" s="3">
        <f>IF('ORDENES'!$E92="","-",'ORDENES'!$E92)</f>
        <v/>
      </c>
      <c r="J114" s="3">
        <f>IF('ORDENES'!$F92="","-",'ORDENES'!$F92)</f>
        <v/>
      </c>
      <c r="K114" s="12">
        <f>IF('ORDENES'!$L92="",0,'ORDENES'!$L92)</f>
        <v/>
      </c>
      <c r="L114" s="3">
        <f>IF('ORDENES'!$N92="","-",'ORDENES'!$N92)</f>
        <v/>
      </c>
      <c r="M114" s="3">
        <f>'ORDENES'!$AA92</f>
        <v/>
      </c>
    </row>
    <row r="115">
      <c r="A115" s="3">
        <f>IF('ORDENES'!$O93="","-",'ORDENES'!$O93)</f>
        <v/>
      </c>
      <c r="B115" s="3">
        <f>IF('ORDENES'!$R93="","-",'ORDENES'!$R93)</f>
        <v/>
      </c>
      <c r="C115" s="3">
        <f>IF('ORDENES'!$AC93="","-",'ORDENES'!$AC93)</f>
        <v/>
      </c>
      <c r="D115" s="3">
        <f>IF('ORDENES'!$V93="","-",'ORDENES'!$V93)</f>
        <v/>
      </c>
      <c r="E115" s="3">
        <f>IF('ORDENES'!$U93="","-",'ORDENES'!$U93)</f>
        <v/>
      </c>
      <c r="F115" s="3">
        <f>IF('ORDENES'!$W93="","-",'ORDENES'!$W93)</f>
        <v/>
      </c>
      <c r="G115" s="3">
        <f>IF('ORDENES'!$AB93="","-",'ORDENES'!$AB93)</f>
        <v/>
      </c>
      <c r="H115" s="3">
        <f>IF('ORDENES'!$C93="","-",'ORDENES'!$C93)</f>
        <v/>
      </c>
      <c r="I115" s="3">
        <f>IF('ORDENES'!$E93="","-",'ORDENES'!$E93)</f>
        <v/>
      </c>
      <c r="J115" s="3">
        <f>IF('ORDENES'!$F93="","-",'ORDENES'!$F93)</f>
        <v/>
      </c>
      <c r="K115" s="12">
        <f>IF('ORDENES'!$L93="",0,'ORDENES'!$L93)</f>
        <v/>
      </c>
      <c r="L115" s="3">
        <f>IF('ORDENES'!$N93="","-",'ORDENES'!$N93)</f>
        <v/>
      </c>
      <c r="M115" s="3">
        <f>'ORDENES'!$AA93</f>
        <v/>
      </c>
    </row>
    <row r="116">
      <c r="A116" s="3">
        <f>IF('ORDENES'!$O94="","-",'ORDENES'!$O94)</f>
        <v/>
      </c>
      <c r="B116" s="3">
        <f>IF('ORDENES'!$R94="","-",'ORDENES'!$R94)</f>
        <v/>
      </c>
      <c r="C116" s="3">
        <f>IF('ORDENES'!$AC94="","-",'ORDENES'!$AC94)</f>
        <v/>
      </c>
      <c r="D116" s="3">
        <f>IF('ORDENES'!$V94="","-",'ORDENES'!$V94)</f>
        <v/>
      </c>
      <c r="E116" s="3">
        <f>IF('ORDENES'!$U94="","-",'ORDENES'!$U94)</f>
        <v/>
      </c>
      <c r="F116" s="3">
        <f>IF('ORDENES'!$W94="","-",'ORDENES'!$W94)</f>
        <v/>
      </c>
      <c r="G116" s="3">
        <f>IF('ORDENES'!$AB94="","-",'ORDENES'!$AB94)</f>
        <v/>
      </c>
      <c r="H116" s="3">
        <f>IF('ORDENES'!$C94="","-",'ORDENES'!$C94)</f>
        <v/>
      </c>
      <c r="I116" s="3">
        <f>IF('ORDENES'!$E94="","-",'ORDENES'!$E94)</f>
        <v/>
      </c>
      <c r="J116" s="3">
        <f>IF('ORDENES'!$F94="","-",'ORDENES'!$F94)</f>
        <v/>
      </c>
      <c r="K116" s="12">
        <f>IF('ORDENES'!$L94="",0,'ORDENES'!$L94)</f>
        <v/>
      </c>
      <c r="L116" s="3">
        <f>IF('ORDENES'!$N94="","-",'ORDENES'!$N94)</f>
        <v/>
      </c>
      <c r="M116" s="3">
        <f>'ORDENES'!$AA94</f>
        <v/>
      </c>
    </row>
    <row r="117">
      <c r="A117" s="3">
        <f>IF('ORDENES'!$O95="","-",'ORDENES'!$O95)</f>
        <v/>
      </c>
      <c r="B117" s="3">
        <f>IF('ORDENES'!$R95="","-",'ORDENES'!$R95)</f>
        <v/>
      </c>
      <c r="C117" s="3">
        <f>IF('ORDENES'!$AC95="","-",'ORDENES'!$AC95)</f>
        <v/>
      </c>
      <c r="D117" s="3">
        <f>IF('ORDENES'!$V95="","-",'ORDENES'!$V95)</f>
        <v/>
      </c>
      <c r="E117" s="3">
        <f>IF('ORDENES'!$U95="","-",'ORDENES'!$U95)</f>
        <v/>
      </c>
      <c r="F117" s="3">
        <f>IF('ORDENES'!$W95="","-",'ORDENES'!$W95)</f>
        <v/>
      </c>
      <c r="G117" s="3">
        <f>IF('ORDENES'!$AB95="","-",'ORDENES'!$AB95)</f>
        <v/>
      </c>
      <c r="H117" s="3">
        <f>IF('ORDENES'!$C95="","-",'ORDENES'!$C95)</f>
        <v/>
      </c>
      <c r="I117" s="3">
        <f>IF('ORDENES'!$E95="","-",'ORDENES'!$E95)</f>
        <v/>
      </c>
      <c r="J117" s="3">
        <f>IF('ORDENES'!$F95="","-",'ORDENES'!$F95)</f>
        <v/>
      </c>
      <c r="K117" s="12">
        <f>IF('ORDENES'!$L95="",0,'ORDENES'!$L95)</f>
        <v/>
      </c>
      <c r="L117" s="3">
        <f>IF('ORDENES'!$N95="","-",'ORDENES'!$N95)</f>
        <v/>
      </c>
      <c r="M117" s="3">
        <f>'ORDENES'!$AA95</f>
        <v/>
      </c>
    </row>
    <row r="118">
      <c r="A118" s="3">
        <f>IF('ORDENES'!$O96="","-",'ORDENES'!$O96)</f>
        <v/>
      </c>
      <c r="B118" s="3">
        <f>IF('ORDENES'!$R96="","-",'ORDENES'!$R96)</f>
        <v/>
      </c>
      <c r="C118" s="3">
        <f>IF('ORDENES'!$AC96="","-",'ORDENES'!$AC96)</f>
        <v/>
      </c>
      <c r="D118" s="3">
        <f>IF('ORDENES'!$V96="","-",'ORDENES'!$V96)</f>
        <v/>
      </c>
      <c r="E118" s="3">
        <f>IF('ORDENES'!$U96="","-",'ORDENES'!$U96)</f>
        <v/>
      </c>
      <c r="F118" s="3">
        <f>IF('ORDENES'!$W96="","-",'ORDENES'!$W96)</f>
        <v/>
      </c>
      <c r="G118" s="3">
        <f>IF('ORDENES'!$AB96="","-",'ORDENES'!$AB96)</f>
        <v/>
      </c>
      <c r="H118" s="3">
        <f>IF('ORDENES'!$C96="","-",'ORDENES'!$C96)</f>
        <v/>
      </c>
      <c r="I118" s="3">
        <f>IF('ORDENES'!$E96="","-",'ORDENES'!$E96)</f>
        <v/>
      </c>
      <c r="J118" s="3">
        <f>IF('ORDENES'!$F96="","-",'ORDENES'!$F96)</f>
        <v/>
      </c>
      <c r="K118" s="12">
        <f>IF('ORDENES'!$L96="",0,'ORDENES'!$L96)</f>
        <v/>
      </c>
      <c r="L118" s="3">
        <f>IF('ORDENES'!$N96="","-",'ORDENES'!$N96)</f>
        <v/>
      </c>
      <c r="M118" s="3">
        <f>'ORDENES'!$AA96</f>
        <v/>
      </c>
    </row>
    <row r="119">
      <c r="A119" s="3">
        <f>IF('ORDENES'!$O97="","-",'ORDENES'!$O97)</f>
        <v/>
      </c>
      <c r="B119" s="3">
        <f>IF('ORDENES'!$R97="","-",'ORDENES'!$R97)</f>
        <v/>
      </c>
      <c r="C119" s="3">
        <f>IF('ORDENES'!$AC97="","-",'ORDENES'!$AC97)</f>
        <v/>
      </c>
      <c r="D119" s="3">
        <f>IF('ORDENES'!$V97="","-",'ORDENES'!$V97)</f>
        <v/>
      </c>
      <c r="E119" s="3">
        <f>IF('ORDENES'!$U97="","-",'ORDENES'!$U97)</f>
        <v/>
      </c>
      <c r="F119" s="3">
        <f>IF('ORDENES'!$W97="","-",'ORDENES'!$W97)</f>
        <v/>
      </c>
      <c r="G119" s="3">
        <f>IF('ORDENES'!$AB97="","-",'ORDENES'!$AB97)</f>
        <v/>
      </c>
      <c r="H119" s="3">
        <f>IF('ORDENES'!$C97="","-",'ORDENES'!$C97)</f>
        <v/>
      </c>
      <c r="I119" s="3">
        <f>IF('ORDENES'!$E97="","-",'ORDENES'!$E97)</f>
        <v/>
      </c>
      <c r="J119" s="3">
        <f>IF('ORDENES'!$F97="","-",'ORDENES'!$F97)</f>
        <v/>
      </c>
      <c r="K119" s="12">
        <f>IF('ORDENES'!$L97="",0,'ORDENES'!$L97)</f>
        <v/>
      </c>
      <c r="L119" s="3">
        <f>IF('ORDENES'!$N97="","-",'ORDENES'!$N97)</f>
        <v/>
      </c>
      <c r="M119" s="3">
        <f>'ORDENES'!$AA97</f>
        <v/>
      </c>
    </row>
    <row r="120">
      <c r="A120" s="3">
        <f>IF('ORDENES'!$O98="","-",'ORDENES'!$O98)</f>
        <v/>
      </c>
      <c r="B120" s="3">
        <f>IF('ORDENES'!$R98="","-",'ORDENES'!$R98)</f>
        <v/>
      </c>
      <c r="C120" s="3">
        <f>IF('ORDENES'!$AC98="","-",'ORDENES'!$AC98)</f>
        <v/>
      </c>
      <c r="D120" s="3">
        <f>IF('ORDENES'!$V98="","-",'ORDENES'!$V98)</f>
        <v/>
      </c>
      <c r="E120" s="3">
        <f>IF('ORDENES'!$U98="","-",'ORDENES'!$U98)</f>
        <v/>
      </c>
      <c r="F120" s="3">
        <f>IF('ORDENES'!$W98="","-",'ORDENES'!$W98)</f>
        <v/>
      </c>
      <c r="G120" s="3">
        <f>IF('ORDENES'!$AB98="","-",'ORDENES'!$AB98)</f>
        <v/>
      </c>
      <c r="H120" s="3">
        <f>IF('ORDENES'!$C98="","-",'ORDENES'!$C98)</f>
        <v/>
      </c>
      <c r="I120" s="3">
        <f>IF('ORDENES'!$E98="","-",'ORDENES'!$E98)</f>
        <v/>
      </c>
      <c r="J120" s="3">
        <f>IF('ORDENES'!$F98="","-",'ORDENES'!$F98)</f>
        <v/>
      </c>
      <c r="K120" s="12">
        <f>IF('ORDENES'!$L98="",0,'ORDENES'!$L98)</f>
        <v/>
      </c>
      <c r="L120" s="3">
        <f>IF('ORDENES'!$N98="","-",'ORDENES'!$N98)</f>
        <v/>
      </c>
      <c r="M120" s="3">
        <f>'ORDENES'!$AA98</f>
        <v/>
      </c>
    </row>
    <row r="121">
      <c r="A121" s="3">
        <f>IF('ORDENES'!$O99="","-",'ORDENES'!$O99)</f>
        <v/>
      </c>
      <c r="B121" s="3">
        <f>IF('ORDENES'!$R99="","-",'ORDENES'!$R99)</f>
        <v/>
      </c>
      <c r="C121" s="3">
        <f>IF('ORDENES'!$AC99="","-",'ORDENES'!$AC99)</f>
        <v/>
      </c>
      <c r="D121" s="3">
        <f>IF('ORDENES'!$V99="","-",'ORDENES'!$V99)</f>
        <v/>
      </c>
      <c r="E121" s="3">
        <f>IF('ORDENES'!$U99="","-",'ORDENES'!$U99)</f>
        <v/>
      </c>
      <c r="F121" s="3">
        <f>IF('ORDENES'!$W99="","-",'ORDENES'!$W99)</f>
        <v/>
      </c>
      <c r="G121" s="3">
        <f>IF('ORDENES'!$AB99="","-",'ORDENES'!$AB99)</f>
        <v/>
      </c>
      <c r="H121" s="3">
        <f>IF('ORDENES'!$C99="","-",'ORDENES'!$C99)</f>
        <v/>
      </c>
      <c r="I121" s="3">
        <f>IF('ORDENES'!$E99="","-",'ORDENES'!$E99)</f>
        <v/>
      </c>
      <c r="J121" s="3">
        <f>IF('ORDENES'!$F99="","-",'ORDENES'!$F99)</f>
        <v/>
      </c>
      <c r="K121" s="12">
        <f>IF('ORDENES'!$L99="",0,'ORDENES'!$L99)</f>
        <v/>
      </c>
      <c r="L121" s="3">
        <f>IF('ORDENES'!$N99="","-",'ORDENES'!$N99)</f>
        <v/>
      </c>
      <c r="M121" s="3">
        <f>'ORDENES'!$AA99</f>
        <v/>
      </c>
    </row>
    <row r="122">
      <c r="A122" s="3">
        <f>IF('ORDENES'!$O100="","-",'ORDENES'!$O100)</f>
        <v/>
      </c>
      <c r="B122" s="3">
        <f>IF('ORDENES'!$R100="","-",'ORDENES'!$R100)</f>
        <v/>
      </c>
      <c r="C122" s="3">
        <f>IF('ORDENES'!$AC100="","-",'ORDENES'!$AC100)</f>
        <v/>
      </c>
      <c r="D122" s="3">
        <f>IF('ORDENES'!$V100="","-",'ORDENES'!$V100)</f>
        <v/>
      </c>
      <c r="E122" s="3">
        <f>IF('ORDENES'!$U100="","-",'ORDENES'!$U100)</f>
        <v/>
      </c>
      <c r="F122" s="3">
        <f>IF('ORDENES'!$W100="","-",'ORDENES'!$W100)</f>
        <v/>
      </c>
      <c r="G122" s="3">
        <f>IF('ORDENES'!$AB100="","-",'ORDENES'!$AB100)</f>
        <v/>
      </c>
      <c r="H122" s="3">
        <f>IF('ORDENES'!$C100="","-",'ORDENES'!$C100)</f>
        <v/>
      </c>
      <c r="I122" s="3">
        <f>IF('ORDENES'!$E100="","-",'ORDENES'!$E100)</f>
        <v/>
      </c>
      <c r="J122" s="3">
        <f>IF('ORDENES'!$F100="","-",'ORDENES'!$F100)</f>
        <v/>
      </c>
      <c r="K122" s="12">
        <f>IF('ORDENES'!$L100="",0,'ORDENES'!$L100)</f>
        <v/>
      </c>
      <c r="L122" s="3">
        <f>IF('ORDENES'!$N100="","-",'ORDENES'!$N100)</f>
        <v/>
      </c>
      <c r="M122" s="3">
        <f>'ORDENES'!$AA100</f>
        <v/>
      </c>
    </row>
    <row r="123">
      <c r="A123" s="3">
        <f>IF('ORDENES'!$O101="","-",'ORDENES'!$O101)</f>
        <v/>
      </c>
      <c r="B123" s="3">
        <f>IF('ORDENES'!$R101="","-",'ORDENES'!$R101)</f>
        <v/>
      </c>
      <c r="C123" s="3">
        <f>IF('ORDENES'!$AC101="","-",'ORDENES'!$AC101)</f>
        <v/>
      </c>
      <c r="D123" s="3">
        <f>IF('ORDENES'!$V101="","-",'ORDENES'!$V101)</f>
        <v/>
      </c>
      <c r="E123" s="3">
        <f>IF('ORDENES'!$U101="","-",'ORDENES'!$U101)</f>
        <v/>
      </c>
      <c r="F123" s="3">
        <f>IF('ORDENES'!$W101="","-",'ORDENES'!$W101)</f>
        <v/>
      </c>
      <c r="G123" s="3">
        <f>IF('ORDENES'!$AB101="","-",'ORDENES'!$AB101)</f>
        <v/>
      </c>
      <c r="H123" s="3">
        <f>IF('ORDENES'!$C101="","-",'ORDENES'!$C101)</f>
        <v/>
      </c>
      <c r="I123" s="3">
        <f>IF('ORDENES'!$E101="","-",'ORDENES'!$E101)</f>
        <v/>
      </c>
      <c r="J123" s="3">
        <f>IF('ORDENES'!$F101="","-",'ORDENES'!$F101)</f>
        <v/>
      </c>
      <c r="K123" s="12">
        <f>IF('ORDENES'!$L101="",0,'ORDENES'!$L101)</f>
        <v/>
      </c>
      <c r="L123" s="3">
        <f>IF('ORDENES'!$N101="","-",'ORDENES'!$N101)</f>
        <v/>
      </c>
      <c r="M123" s="3">
        <f>'ORDENES'!$AA101</f>
        <v/>
      </c>
    </row>
    <row r="124">
      <c r="A124" s="3">
        <f>IF('ORDENES'!$O102="","-",'ORDENES'!$O102)</f>
        <v/>
      </c>
      <c r="B124" s="3">
        <f>IF('ORDENES'!$R102="","-",'ORDENES'!$R102)</f>
        <v/>
      </c>
      <c r="C124" s="3">
        <f>IF('ORDENES'!$AC102="","-",'ORDENES'!$AC102)</f>
        <v/>
      </c>
      <c r="D124" s="3">
        <f>IF('ORDENES'!$V102="","-",'ORDENES'!$V102)</f>
        <v/>
      </c>
      <c r="E124" s="3">
        <f>IF('ORDENES'!$U102="","-",'ORDENES'!$U102)</f>
        <v/>
      </c>
      <c r="F124" s="3">
        <f>IF('ORDENES'!$W102="","-",'ORDENES'!$W102)</f>
        <v/>
      </c>
      <c r="G124" s="3">
        <f>IF('ORDENES'!$AB102="","-",'ORDENES'!$AB102)</f>
        <v/>
      </c>
      <c r="H124" s="3">
        <f>IF('ORDENES'!$C102="","-",'ORDENES'!$C102)</f>
        <v/>
      </c>
      <c r="I124" s="3">
        <f>IF('ORDENES'!$E102="","-",'ORDENES'!$E102)</f>
        <v/>
      </c>
      <c r="J124" s="3">
        <f>IF('ORDENES'!$F102="","-",'ORDENES'!$F102)</f>
        <v/>
      </c>
      <c r="K124" s="12">
        <f>IF('ORDENES'!$L102="",0,'ORDENES'!$L102)</f>
        <v/>
      </c>
      <c r="L124" s="3">
        <f>IF('ORDENES'!$N102="","-",'ORDENES'!$N102)</f>
        <v/>
      </c>
      <c r="M124" s="3">
        <f>'ORDENES'!$AA102</f>
        <v/>
      </c>
    </row>
    <row r="125">
      <c r="A125" s="3">
        <f>IF('ORDENES'!$O103="","-",'ORDENES'!$O103)</f>
        <v/>
      </c>
      <c r="B125" s="3">
        <f>IF('ORDENES'!$R103="","-",'ORDENES'!$R103)</f>
        <v/>
      </c>
      <c r="C125" s="3">
        <f>IF('ORDENES'!$AC103="","-",'ORDENES'!$AC103)</f>
        <v/>
      </c>
      <c r="D125" s="3">
        <f>IF('ORDENES'!$V103="","-",'ORDENES'!$V103)</f>
        <v/>
      </c>
      <c r="E125" s="3">
        <f>IF('ORDENES'!$U103="","-",'ORDENES'!$U103)</f>
        <v/>
      </c>
      <c r="F125" s="3">
        <f>IF('ORDENES'!$W103="","-",'ORDENES'!$W103)</f>
        <v/>
      </c>
      <c r="G125" s="3">
        <f>IF('ORDENES'!$AB103="","-",'ORDENES'!$AB103)</f>
        <v/>
      </c>
      <c r="H125" s="3">
        <f>IF('ORDENES'!$C103="","-",'ORDENES'!$C103)</f>
        <v/>
      </c>
      <c r="I125" s="3">
        <f>IF('ORDENES'!$E103="","-",'ORDENES'!$E103)</f>
        <v/>
      </c>
      <c r="J125" s="3">
        <f>IF('ORDENES'!$F103="","-",'ORDENES'!$F103)</f>
        <v/>
      </c>
      <c r="K125" s="12">
        <f>IF('ORDENES'!$L103="",0,'ORDENES'!$L103)</f>
        <v/>
      </c>
      <c r="L125" s="3">
        <f>IF('ORDENES'!$N103="","-",'ORDENES'!$N103)</f>
        <v/>
      </c>
      <c r="M125" s="3">
        <f>'ORDENES'!$AA103</f>
        <v/>
      </c>
    </row>
    <row r="126">
      <c r="A126" s="3">
        <f>IF('ORDENES'!$O104="","-",'ORDENES'!$O104)</f>
        <v/>
      </c>
      <c r="B126" s="3">
        <f>IF('ORDENES'!$R104="","-",'ORDENES'!$R104)</f>
        <v/>
      </c>
      <c r="C126" s="3">
        <f>IF('ORDENES'!$AC104="","-",'ORDENES'!$AC104)</f>
        <v/>
      </c>
      <c r="D126" s="3">
        <f>IF('ORDENES'!$V104="","-",'ORDENES'!$V104)</f>
        <v/>
      </c>
      <c r="E126" s="3">
        <f>IF('ORDENES'!$U104="","-",'ORDENES'!$U104)</f>
        <v/>
      </c>
      <c r="F126" s="3">
        <f>IF('ORDENES'!$W104="","-",'ORDENES'!$W104)</f>
        <v/>
      </c>
      <c r="G126" s="3">
        <f>IF('ORDENES'!$AB104="","-",'ORDENES'!$AB104)</f>
        <v/>
      </c>
      <c r="H126" s="3">
        <f>IF('ORDENES'!$C104="","-",'ORDENES'!$C104)</f>
        <v/>
      </c>
      <c r="I126" s="3">
        <f>IF('ORDENES'!$E104="","-",'ORDENES'!$E104)</f>
        <v/>
      </c>
      <c r="J126" s="3">
        <f>IF('ORDENES'!$F104="","-",'ORDENES'!$F104)</f>
        <v/>
      </c>
      <c r="K126" s="12">
        <f>IF('ORDENES'!$L104="",0,'ORDENES'!$L104)</f>
        <v/>
      </c>
      <c r="L126" s="3">
        <f>IF('ORDENES'!$N104="","-",'ORDENES'!$N104)</f>
        <v/>
      </c>
      <c r="M126" s="3">
        <f>'ORDENES'!$AA104</f>
        <v/>
      </c>
    </row>
    <row r="127">
      <c r="A127" s="3">
        <f>IF('ORDENES'!$O105="","-",'ORDENES'!$O105)</f>
        <v/>
      </c>
      <c r="B127" s="3">
        <f>IF('ORDENES'!$R105="","-",'ORDENES'!$R105)</f>
        <v/>
      </c>
      <c r="C127" s="3">
        <f>IF('ORDENES'!$AC105="","-",'ORDENES'!$AC105)</f>
        <v/>
      </c>
      <c r="D127" s="3">
        <f>IF('ORDENES'!$V105="","-",'ORDENES'!$V105)</f>
        <v/>
      </c>
      <c r="E127" s="3">
        <f>IF('ORDENES'!$U105="","-",'ORDENES'!$U105)</f>
        <v/>
      </c>
      <c r="F127" s="3">
        <f>IF('ORDENES'!$W105="","-",'ORDENES'!$W105)</f>
        <v/>
      </c>
      <c r="G127" s="3">
        <f>IF('ORDENES'!$AB105="","-",'ORDENES'!$AB105)</f>
        <v/>
      </c>
      <c r="H127" s="3">
        <f>IF('ORDENES'!$C105="","-",'ORDENES'!$C105)</f>
        <v/>
      </c>
      <c r="I127" s="3">
        <f>IF('ORDENES'!$E105="","-",'ORDENES'!$E105)</f>
        <v/>
      </c>
      <c r="J127" s="3">
        <f>IF('ORDENES'!$F105="","-",'ORDENES'!$F105)</f>
        <v/>
      </c>
      <c r="K127" s="12">
        <f>IF('ORDENES'!$L105="",0,'ORDENES'!$L105)</f>
        <v/>
      </c>
      <c r="L127" s="3">
        <f>IF('ORDENES'!$N105="","-",'ORDENES'!$N105)</f>
        <v/>
      </c>
      <c r="M127" s="3">
        <f>'ORDENES'!$AA105</f>
        <v/>
      </c>
    </row>
    <row r="128">
      <c r="A128" s="3">
        <f>IF('ORDENES'!$O106="","-",'ORDENES'!$O106)</f>
        <v/>
      </c>
      <c r="B128" s="3">
        <f>IF('ORDENES'!$R106="","-",'ORDENES'!$R106)</f>
        <v/>
      </c>
      <c r="C128" s="3">
        <f>IF('ORDENES'!$AC106="","-",'ORDENES'!$AC106)</f>
        <v/>
      </c>
      <c r="D128" s="3">
        <f>IF('ORDENES'!$V106="","-",'ORDENES'!$V106)</f>
        <v/>
      </c>
      <c r="E128" s="3">
        <f>IF('ORDENES'!$U106="","-",'ORDENES'!$U106)</f>
        <v/>
      </c>
      <c r="F128" s="3">
        <f>IF('ORDENES'!$W106="","-",'ORDENES'!$W106)</f>
        <v/>
      </c>
      <c r="G128" s="3">
        <f>IF('ORDENES'!$AB106="","-",'ORDENES'!$AB106)</f>
        <v/>
      </c>
      <c r="H128" s="3">
        <f>IF('ORDENES'!$C106="","-",'ORDENES'!$C106)</f>
        <v/>
      </c>
      <c r="I128" s="3">
        <f>IF('ORDENES'!$E106="","-",'ORDENES'!$E106)</f>
        <v/>
      </c>
      <c r="J128" s="3">
        <f>IF('ORDENES'!$F106="","-",'ORDENES'!$F106)</f>
        <v/>
      </c>
      <c r="K128" s="12">
        <f>IF('ORDENES'!$L106="",0,'ORDENES'!$L106)</f>
        <v/>
      </c>
      <c r="L128" s="3">
        <f>IF('ORDENES'!$N106="","-",'ORDENES'!$N106)</f>
        <v/>
      </c>
      <c r="M128" s="3">
        <f>'ORDENES'!$AA106</f>
        <v/>
      </c>
    </row>
    <row r="129">
      <c r="A129" s="3">
        <f>IF('ORDENES'!$O107="","-",'ORDENES'!$O107)</f>
        <v/>
      </c>
      <c r="B129" s="3">
        <f>IF('ORDENES'!$R107="","-",'ORDENES'!$R107)</f>
        <v/>
      </c>
      <c r="C129" s="3">
        <f>IF('ORDENES'!$AC107="","-",'ORDENES'!$AC107)</f>
        <v/>
      </c>
      <c r="D129" s="3">
        <f>IF('ORDENES'!$V107="","-",'ORDENES'!$V107)</f>
        <v/>
      </c>
      <c r="E129" s="3">
        <f>IF('ORDENES'!$U107="","-",'ORDENES'!$U107)</f>
        <v/>
      </c>
      <c r="F129" s="3">
        <f>IF('ORDENES'!$W107="","-",'ORDENES'!$W107)</f>
        <v/>
      </c>
      <c r="G129" s="3">
        <f>IF('ORDENES'!$AB107="","-",'ORDENES'!$AB107)</f>
        <v/>
      </c>
      <c r="H129" s="3">
        <f>IF('ORDENES'!$C107="","-",'ORDENES'!$C107)</f>
        <v/>
      </c>
      <c r="I129" s="3">
        <f>IF('ORDENES'!$E107="","-",'ORDENES'!$E107)</f>
        <v/>
      </c>
      <c r="J129" s="3">
        <f>IF('ORDENES'!$F107="","-",'ORDENES'!$F107)</f>
        <v/>
      </c>
      <c r="K129" s="12">
        <f>IF('ORDENES'!$L107="",0,'ORDENES'!$L107)</f>
        <v/>
      </c>
      <c r="L129" s="3">
        <f>IF('ORDENES'!$N107="","-",'ORDENES'!$N107)</f>
        <v/>
      </c>
      <c r="M129" s="3">
        <f>'ORDENES'!$AA107</f>
        <v/>
      </c>
    </row>
    <row r="130">
      <c r="A130" s="3">
        <f>IF('ORDENES'!$O108="","-",'ORDENES'!$O108)</f>
        <v/>
      </c>
      <c r="B130" s="3">
        <f>IF('ORDENES'!$R108="","-",'ORDENES'!$R108)</f>
        <v/>
      </c>
      <c r="C130" s="3">
        <f>IF('ORDENES'!$AC108="","-",'ORDENES'!$AC108)</f>
        <v/>
      </c>
      <c r="D130" s="3">
        <f>IF('ORDENES'!$V108="","-",'ORDENES'!$V108)</f>
        <v/>
      </c>
      <c r="E130" s="3">
        <f>IF('ORDENES'!$U108="","-",'ORDENES'!$U108)</f>
        <v/>
      </c>
      <c r="F130" s="3">
        <f>IF('ORDENES'!$W108="","-",'ORDENES'!$W108)</f>
        <v/>
      </c>
      <c r="G130" s="3">
        <f>IF('ORDENES'!$AB108="","-",'ORDENES'!$AB108)</f>
        <v/>
      </c>
      <c r="H130" s="3">
        <f>IF('ORDENES'!$C108="","-",'ORDENES'!$C108)</f>
        <v/>
      </c>
      <c r="I130" s="3">
        <f>IF('ORDENES'!$E108="","-",'ORDENES'!$E108)</f>
        <v/>
      </c>
      <c r="J130" s="3">
        <f>IF('ORDENES'!$F108="","-",'ORDENES'!$F108)</f>
        <v/>
      </c>
      <c r="K130" s="12">
        <f>IF('ORDENES'!$L108="",0,'ORDENES'!$L108)</f>
        <v/>
      </c>
      <c r="L130" s="3">
        <f>IF('ORDENES'!$N108="","-",'ORDENES'!$N108)</f>
        <v/>
      </c>
      <c r="M130" s="3">
        <f>'ORDENES'!$AA108</f>
        <v/>
      </c>
    </row>
    <row r="131">
      <c r="A131" s="3">
        <f>IF('ORDENES'!$O109="","-",'ORDENES'!$O109)</f>
        <v/>
      </c>
      <c r="B131" s="3">
        <f>IF('ORDENES'!$R109="","-",'ORDENES'!$R109)</f>
        <v/>
      </c>
      <c r="C131" s="3">
        <f>IF('ORDENES'!$AC109="","-",'ORDENES'!$AC109)</f>
        <v/>
      </c>
      <c r="D131" s="3">
        <f>IF('ORDENES'!$V109="","-",'ORDENES'!$V109)</f>
        <v/>
      </c>
      <c r="E131" s="3">
        <f>IF('ORDENES'!$U109="","-",'ORDENES'!$U109)</f>
        <v/>
      </c>
      <c r="F131" s="3">
        <f>IF('ORDENES'!$W109="","-",'ORDENES'!$W109)</f>
        <v/>
      </c>
      <c r="G131" s="3">
        <f>IF('ORDENES'!$AB109="","-",'ORDENES'!$AB109)</f>
        <v/>
      </c>
      <c r="H131" s="3">
        <f>IF('ORDENES'!$C109="","-",'ORDENES'!$C109)</f>
        <v/>
      </c>
      <c r="I131" s="3">
        <f>IF('ORDENES'!$E109="","-",'ORDENES'!$E109)</f>
        <v/>
      </c>
      <c r="J131" s="3">
        <f>IF('ORDENES'!$F109="","-",'ORDENES'!$F109)</f>
        <v/>
      </c>
      <c r="K131" s="12">
        <f>IF('ORDENES'!$L109="",0,'ORDENES'!$L109)</f>
        <v/>
      </c>
      <c r="L131" s="3">
        <f>IF('ORDENES'!$N109="","-",'ORDENES'!$N109)</f>
        <v/>
      </c>
      <c r="M131" s="3">
        <f>'ORDENES'!$AA109</f>
        <v/>
      </c>
    </row>
    <row r="132">
      <c r="A132" s="3">
        <f>IF('ORDENES'!$O110="","-",'ORDENES'!$O110)</f>
        <v/>
      </c>
      <c r="B132" s="3">
        <f>IF('ORDENES'!$R110="","-",'ORDENES'!$R110)</f>
        <v/>
      </c>
      <c r="C132" s="3">
        <f>IF('ORDENES'!$AC110="","-",'ORDENES'!$AC110)</f>
        <v/>
      </c>
      <c r="D132" s="3">
        <f>IF('ORDENES'!$V110="","-",'ORDENES'!$V110)</f>
        <v/>
      </c>
      <c r="E132" s="3">
        <f>IF('ORDENES'!$U110="","-",'ORDENES'!$U110)</f>
        <v/>
      </c>
      <c r="F132" s="3">
        <f>IF('ORDENES'!$W110="","-",'ORDENES'!$W110)</f>
        <v/>
      </c>
      <c r="G132" s="3">
        <f>IF('ORDENES'!$AB110="","-",'ORDENES'!$AB110)</f>
        <v/>
      </c>
      <c r="H132" s="3">
        <f>IF('ORDENES'!$C110="","-",'ORDENES'!$C110)</f>
        <v/>
      </c>
      <c r="I132" s="3">
        <f>IF('ORDENES'!$E110="","-",'ORDENES'!$E110)</f>
        <v/>
      </c>
      <c r="J132" s="3">
        <f>IF('ORDENES'!$F110="","-",'ORDENES'!$F110)</f>
        <v/>
      </c>
      <c r="K132" s="12">
        <f>IF('ORDENES'!$L110="",0,'ORDENES'!$L110)</f>
        <v/>
      </c>
      <c r="L132" s="3">
        <f>IF('ORDENES'!$N110="","-",'ORDENES'!$N110)</f>
        <v/>
      </c>
      <c r="M132" s="3">
        <f>'ORDENES'!$AA110</f>
        <v/>
      </c>
    </row>
    <row r="133">
      <c r="A133" s="3">
        <f>IF('ORDENES'!$O111="","-",'ORDENES'!$O111)</f>
        <v/>
      </c>
      <c r="B133" s="3">
        <f>IF('ORDENES'!$R111="","-",'ORDENES'!$R111)</f>
        <v/>
      </c>
      <c r="C133" s="3">
        <f>IF('ORDENES'!$AC111="","-",'ORDENES'!$AC111)</f>
        <v/>
      </c>
      <c r="D133" s="3">
        <f>IF('ORDENES'!$V111="","-",'ORDENES'!$V111)</f>
        <v/>
      </c>
      <c r="E133" s="3">
        <f>IF('ORDENES'!$U111="","-",'ORDENES'!$U111)</f>
        <v/>
      </c>
      <c r="F133" s="3">
        <f>IF('ORDENES'!$W111="","-",'ORDENES'!$W111)</f>
        <v/>
      </c>
      <c r="G133" s="3">
        <f>IF('ORDENES'!$AB111="","-",'ORDENES'!$AB111)</f>
        <v/>
      </c>
      <c r="H133" s="3">
        <f>IF('ORDENES'!$C111="","-",'ORDENES'!$C111)</f>
        <v/>
      </c>
      <c r="I133" s="3">
        <f>IF('ORDENES'!$E111="","-",'ORDENES'!$E111)</f>
        <v/>
      </c>
      <c r="J133" s="3">
        <f>IF('ORDENES'!$F111="","-",'ORDENES'!$F111)</f>
        <v/>
      </c>
      <c r="K133" s="12">
        <f>IF('ORDENES'!$L111="",0,'ORDENES'!$L111)</f>
        <v/>
      </c>
      <c r="L133" s="3">
        <f>IF('ORDENES'!$N111="","-",'ORDENES'!$N111)</f>
        <v/>
      </c>
      <c r="M133" s="3">
        <f>'ORDENES'!$AA111</f>
        <v/>
      </c>
    </row>
    <row r="134">
      <c r="A134" s="3">
        <f>IF('ORDENES'!$O112="","-",'ORDENES'!$O112)</f>
        <v/>
      </c>
      <c r="B134" s="3">
        <f>IF('ORDENES'!$R112="","-",'ORDENES'!$R112)</f>
        <v/>
      </c>
      <c r="C134" s="3">
        <f>IF('ORDENES'!$AC112="","-",'ORDENES'!$AC112)</f>
        <v/>
      </c>
      <c r="D134" s="3">
        <f>IF('ORDENES'!$V112="","-",'ORDENES'!$V112)</f>
        <v/>
      </c>
      <c r="E134" s="3">
        <f>IF('ORDENES'!$U112="","-",'ORDENES'!$U112)</f>
        <v/>
      </c>
      <c r="F134" s="3">
        <f>IF('ORDENES'!$W112="","-",'ORDENES'!$W112)</f>
        <v/>
      </c>
      <c r="G134" s="3">
        <f>IF('ORDENES'!$AB112="","-",'ORDENES'!$AB112)</f>
        <v/>
      </c>
      <c r="H134" s="3">
        <f>IF('ORDENES'!$C112="","-",'ORDENES'!$C112)</f>
        <v/>
      </c>
      <c r="I134" s="3">
        <f>IF('ORDENES'!$E112="","-",'ORDENES'!$E112)</f>
        <v/>
      </c>
      <c r="J134" s="3">
        <f>IF('ORDENES'!$F112="","-",'ORDENES'!$F112)</f>
        <v/>
      </c>
      <c r="K134" s="12">
        <f>IF('ORDENES'!$L112="",0,'ORDENES'!$L112)</f>
        <v/>
      </c>
      <c r="L134" s="3">
        <f>IF('ORDENES'!$N112="","-",'ORDENES'!$N112)</f>
        <v/>
      </c>
      <c r="M134" s="3">
        <f>'ORDENES'!$AA112</f>
        <v/>
      </c>
    </row>
    <row r="135">
      <c r="A135" s="3">
        <f>IF('ORDENES'!$O113="","-",'ORDENES'!$O113)</f>
        <v/>
      </c>
      <c r="B135" s="3">
        <f>IF('ORDENES'!$R113="","-",'ORDENES'!$R113)</f>
        <v/>
      </c>
      <c r="C135" s="3">
        <f>IF('ORDENES'!$AC113="","-",'ORDENES'!$AC113)</f>
        <v/>
      </c>
      <c r="D135" s="3">
        <f>IF('ORDENES'!$V113="","-",'ORDENES'!$V113)</f>
        <v/>
      </c>
      <c r="E135" s="3">
        <f>IF('ORDENES'!$U113="","-",'ORDENES'!$U113)</f>
        <v/>
      </c>
      <c r="F135" s="3">
        <f>IF('ORDENES'!$W113="","-",'ORDENES'!$W113)</f>
        <v/>
      </c>
      <c r="G135" s="3">
        <f>IF('ORDENES'!$AB113="","-",'ORDENES'!$AB113)</f>
        <v/>
      </c>
      <c r="H135" s="3">
        <f>IF('ORDENES'!$C113="","-",'ORDENES'!$C113)</f>
        <v/>
      </c>
      <c r="I135" s="3">
        <f>IF('ORDENES'!$E113="","-",'ORDENES'!$E113)</f>
        <v/>
      </c>
      <c r="J135" s="3">
        <f>IF('ORDENES'!$F113="","-",'ORDENES'!$F113)</f>
        <v/>
      </c>
      <c r="K135" s="12">
        <f>IF('ORDENES'!$L113="",0,'ORDENES'!$L113)</f>
        <v/>
      </c>
      <c r="L135" s="3">
        <f>IF('ORDENES'!$N113="","-",'ORDENES'!$N113)</f>
        <v/>
      </c>
      <c r="M135" s="3">
        <f>'ORDENES'!$AA113</f>
        <v/>
      </c>
    </row>
    <row r="136">
      <c r="A136" s="3">
        <f>IF('ORDENES'!$O114="","-",'ORDENES'!$O114)</f>
        <v/>
      </c>
      <c r="B136" s="3">
        <f>IF('ORDENES'!$R114="","-",'ORDENES'!$R114)</f>
        <v/>
      </c>
      <c r="C136" s="3">
        <f>IF('ORDENES'!$AC114="","-",'ORDENES'!$AC114)</f>
        <v/>
      </c>
      <c r="D136" s="3">
        <f>IF('ORDENES'!$V114="","-",'ORDENES'!$V114)</f>
        <v/>
      </c>
      <c r="E136" s="3">
        <f>IF('ORDENES'!$U114="","-",'ORDENES'!$U114)</f>
        <v/>
      </c>
      <c r="F136" s="3">
        <f>IF('ORDENES'!$W114="","-",'ORDENES'!$W114)</f>
        <v/>
      </c>
      <c r="G136" s="3">
        <f>IF('ORDENES'!$AB114="","-",'ORDENES'!$AB114)</f>
        <v/>
      </c>
      <c r="H136" s="3">
        <f>IF('ORDENES'!$C114="","-",'ORDENES'!$C114)</f>
        <v/>
      </c>
      <c r="I136" s="3">
        <f>IF('ORDENES'!$E114="","-",'ORDENES'!$E114)</f>
        <v/>
      </c>
      <c r="J136" s="3">
        <f>IF('ORDENES'!$F114="","-",'ORDENES'!$F114)</f>
        <v/>
      </c>
      <c r="K136" s="12">
        <f>IF('ORDENES'!$L114="",0,'ORDENES'!$L114)</f>
        <v/>
      </c>
      <c r="L136" s="3">
        <f>IF('ORDENES'!$N114="","-",'ORDENES'!$N114)</f>
        <v/>
      </c>
      <c r="M136" s="3">
        <f>'ORDENES'!$AA114</f>
        <v/>
      </c>
    </row>
    <row r="137">
      <c r="A137" s="3">
        <f>IF('ORDENES'!$O115="","-",'ORDENES'!$O115)</f>
        <v/>
      </c>
      <c r="B137" s="3">
        <f>IF('ORDENES'!$R115="","-",'ORDENES'!$R115)</f>
        <v/>
      </c>
      <c r="C137" s="3">
        <f>IF('ORDENES'!$AC115="","-",'ORDENES'!$AC115)</f>
        <v/>
      </c>
      <c r="D137" s="3">
        <f>IF('ORDENES'!$V115="","-",'ORDENES'!$V115)</f>
        <v/>
      </c>
      <c r="E137" s="3">
        <f>IF('ORDENES'!$U115="","-",'ORDENES'!$U115)</f>
        <v/>
      </c>
      <c r="F137" s="3">
        <f>IF('ORDENES'!$W115="","-",'ORDENES'!$W115)</f>
        <v/>
      </c>
      <c r="G137" s="3">
        <f>IF('ORDENES'!$AB115="","-",'ORDENES'!$AB115)</f>
        <v/>
      </c>
      <c r="H137" s="3">
        <f>IF('ORDENES'!$C115="","-",'ORDENES'!$C115)</f>
        <v/>
      </c>
      <c r="I137" s="3">
        <f>IF('ORDENES'!$E115="","-",'ORDENES'!$E115)</f>
        <v/>
      </c>
      <c r="J137" s="3">
        <f>IF('ORDENES'!$F115="","-",'ORDENES'!$F115)</f>
        <v/>
      </c>
      <c r="K137" s="12">
        <f>IF('ORDENES'!$L115="",0,'ORDENES'!$L115)</f>
        <v/>
      </c>
      <c r="L137" s="3">
        <f>IF('ORDENES'!$N115="","-",'ORDENES'!$N115)</f>
        <v/>
      </c>
      <c r="M137" s="3">
        <f>'ORDENES'!$AA115</f>
        <v/>
      </c>
    </row>
    <row r="138">
      <c r="A138" s="3">
        <f>IF('ORDENES'!$O116="","-",'ORDENES'!$O116)</f>
        <v/>
      </c>
      <c r="B138" s="3">
        <f>IF('ORDENES'!$R116="","-",'ORDENES'!$R116)</f>
        <v/>
      </c>
      <c r="C138" s="3">
        <f>IF('ORDENES'!$AC116="","-",'ORDENES'!$AC116)</f>
        <v/>
      </c>
      <c r="D138" s="3">
        <f>IF('ORDENES'!$V116="","-",'ORDENES'!$V116)</f>
        <v/>
      </c>
      <c r="E138" s="3">
        <f>IF('ORDENES'!$U116="","-",'ORDENES'!$U116)</f>
        <v/>
      </c>
      <c r="F138" s="3">
        <f>IF('ORDENES'!$W116="","-",'ORDENES'!$W116)</f>
        <v/>
      </c>
      <c r="G138" s="3">
        <f>IF('ORDENES'!$AB116="","-",'ORDENES'!$AB116)</f>
        <v/>
      </c>
      <c r="H138" s="3">
        <f>IF('ORDENES'!$C116="","-",'ORDENES'!$C116)</f>
        <v/>
      </c>
      <c r="I138" s="3">
        <f>IF('ORDENES'!$E116="","-",'ORDENES'!$E116)</f>
        <v/>
      </c>
      <c r="J138" s="3">
        <f>IF('ORDENES'!$F116="","-",'ORDENES'!$F116)</f>
        <v/>
      </c>
      <c r="K138" s="12">
        <f>IF('ORDENES'!$L116="",0,'ORDENES'!$L116)</f>
        <v/>
      </c>
      <c r="L138" s="3">
        <f>IF('ORDENES'!$N116="","-",'ORDENES'!$N116)</f>
        <v/>
      </c>
      <c r="M138" s="3">
        <f>'ORDENES'!$AA116</f>
        <v/>
      </c>
    </row>
    <row r="139">
      <c r="A139" s="3">
        <f>IF('ORDENES'!$O117="","-",'ORDENES'!$O117)</f>
        <v/>
      </c>
      <c r="B139" s="3">
        <f>IF('ORDENES'!$R117="","-",'ORDENES'!$R117)</f>
        <v/>
      </c>
      <c r="C139" s="3">
        <f>IF('ORDENES'!$AC117="","-",'ORDENES'!$AC117)</f>
        <v/>
      </c>
      <c r="D139" s="3">
        <f>IF('ORDENES'!$V117="","-",'ORDENES'!$V117)</f>
        <v/>
      </c>
      <c r="E139" s="3">
        <f>IF('ORDENES'!$U117="","-",'ORDENES'!$U117)</f>
        <v/>
      </c>
      <c r="F139" s="3">
        <f>IF('ORDENES'!$W117="","-",'ORDENES'!$W117)</f>
        <v/>
      </c>
      <c r="G139" s="3">
        <f>IF('ORDENES'!$AB117="","-",'ORDENES'!$AB117)</f>
        <v/>
      </c>
      <c r="H139" s="3">
        <f>IF('ORDENES'!$C117="","-",'ORDENES'!$C117)</f>
        <v/>
      </c>
      <c r="I139" s="3">
        <f>IF('ORDENES'!$E117="","-",'ORDENES'!$E117)</f>
        <v/>
      </c>
      <c r="J139" s="3">
        <f>IF('ORDENES'!$F117="","-",'ORDENES'!$F117)</f>
        <v/>
      </c>
      <c r="K139" s="12">
        <f>IF('ORDENES'!$L117="",0,'ORDENES'!$L117)</f>
        <v/>
      </c>
      <c r="L139" s="3">
        <f>IF('ORDENES'!$N117="","-",'ORDENES'!$N117)</f>
        <v/>
      </c>
      <c r="M139" s="3">
        <f>'ORDENES'!$AA117</f>
        <v/>
      </c>
    </row>
    <row r="140">
      <c r="A140" s="3">
        <f>IF('ORDENES'!$O118="","-",'ORDENES'!$O118)</f>
        <v/>
      </c>
      <c r="B140" s="3">
        <f>IF('ORDENES'!$R118="","-",'ORDENES'!$R118)</f>
        <v/>
      </c>
      <c r="C140" s="3">
        <f>IF('ORDENES'!$AC118="","-",'ORDENES'!$AC118)</f>
        <v/>
      </c>
      <c r="D140" s="3">
        <f>IF('ORDENES'!$V118="","-",'ORDENES'!$V118)</f>
        <v/>
      </c>
      <c r="E140" s="3">
        <f>IF('ORDENES'!$U118="","-",'ORDENES'!$U118)</f>
        <v/>
      </c>
      <c r="F140" s="3">
        <f>IF('ORDENES'!$W118="","-",'ORDENES'!$W118)</f>
        <v/>
      </c>
      <c r="G140" s="3">
        <f>IF('ORDENES'!$AB118="","-",'ORDENES'!$AB118)</f>
        <v/>
      </c>
      <c r="H140" s="3">
        <f>IF('ORDENES'!$C118="","-",'ORDENES'!$C118)</f>
        <v/>
      </c>
      <c r="I140" s="3">
        <f>IF('ORDENES'!$E118="","-",'ORDENES'!$E118)</f>
        <v/>
      </c>
      <c r="J140" s="3">
        <f>IF('ORDENES'!$F118="","-",'ORDENES'!$F118)</f>
        <v/>
      </c>
      <c r="K140" s="12">
        <f>IF('ORDENES'!$L118="",0,'ORDENES'!$L118)</f>
        <v/>
      </c>
      <c r="L140" s="3">
        <f>IF('ORDENES'!$N118="","-",'ORDENES'!$N118)</f>
        <v/>
      </c>
      <c r="M140" s="3">
        <f>'ORDENES'!$AA118</f>
        <v/>
      </c>
    </row>
    <row r="141">
      <c r="A141" s="3">
        <f>IF('ORDENES'!$O119="","-",'ORDENES'!$O119)</f>
        <v/>
      </c>
      <c r="B141" s="3">
        <f>IF('ORDENES'!$R119="","-",'ORDENES'!$R119)</f>
        <v/>
      </c>
      <c r="C141" s="3">
        <f>IF('ORDENES'!$AC119="","-",'ORDENES'!$AC119)</f>
        <v/>
      </c>
      <c r="D141" s="3">
        <f>IF('ORDENES'!$V119="","-",'ORDENES'!$V119)</f>
        <v/>
      </c>
      <c r="E141" s="3">
        <f>IF('ORDENES'!$U119="","-",'ORDENES'!$U119)</f>
        <v/>
      </c>
      <c r="F141" s="3">
        <f>IF('ORDENES'!$W119="","-",'ORDENES'!$W119)</f>
        <v/>
      </c>
      <c r="G141" s="3">
        <f>IF('ORDENES'!$AB119="","-",'ORDENES'!$AB119)</f>
        <v/>
      </c>
      <c r="H141" s="3">
        <f>IF('ORDENES'!$C119="","-",'ORDENES'!$C119)</f>
        <v/>
      </c>
      <c r="I141" s="3">
        <f>IF('ORDENES'!$E119="","-",'ORDENES'!$E119)</f>
        <v/>
      </c>
      <c r="J141" s="3">
        <f>IF('ORDENES'!$F119="","-",'ORDENES'!$F119)</f>
        <v/>
      </c>
      <c r="K141" s="12">
        <f>IF('ORDENES'!$L119="",0,'ORDENES'!$L119)</f>
        <v/>
      </c>
      <c r="L141" s="3">
        <f>IF('ORDENES'!$N119="","-",'ORDENES'!$N119)</f>
        <v/>
      </c>
      <c r="M141" s="3">
        <f>'ORDENES'!$AA119</f>
        <v/>
      </c>
    </row>
    <row r="142">
      <c r="A142" s="3">
        <f>IF('ORDENES'!$O120="","-",'ORDENES'!$O120)</f>
        <v/>
      </c>
      <c r="B142" s="3">
        <f>IF('ORDENES'!$R120="","-",'ORDENES'!$R120)</f>
        <v/>
      </c>
      <c r="C142" s="3">
        <f>IF('ORDENES'!$AC120="","-",'ORDENES'!$AC120)</f>
        <v/>
      </c>
      <c r="D142" s="3">
        <f>IF('ORDENES'!$V120="","-",'ORDENES'!$V120)</f>
        <v/>
      </c>
      <c r="E142" s="3">
        <f>IF('ORDENES'!$U120="","-",'ORDENES'!$U120)</f>
        <v/>
      </c>
      <c r="F142" s="3">
        <f>IF('ORDENES'!$W120="","-",'ORDENES'!$W120)</f>
        <v/>
      </c>
      <c r="G142" s="3">
        <f>IF('ORDENES'!$AB120="","-",'ORDENES'!$AB120)</f>
        <v/>
      </c>
      <c r="H142" s="3">
        <f>IF('ORDENES'!$C120="","-",'ORDENES'!$C120)</f>
        <v/>
      </c>
      <c r="I142" s="3">
        <f>IF('ORDENES'!$E120="","-",'ORDENES'!$E120)</f>
        <v/>
      </c>
      <c r="J142" s="3">
        <f>IF('ORDENES'!$F120="","-",'ORDENES'!$F120)</f>
        <v/>
      </c>
      <c r="K142" s="12">
        <f>IF('ORDENES'!$L120="",0,'ORDENES'!$L120)</f>
        <v/>
      </c>
      <c r="L142" s="3">
        <f>IF('ORDENES'!$N120="","-",'ORDENES'!$N120)</f>
        <v/>
      </c>
      <c r="M142" s="3">
        <f>'ORDENES'!$AA120</f>
        <v/>
      </c>
    </row>
    <row r="143">
      <c r="A143" s="3">
        <f>IF('ORDENES'!$O121="","-",'ORDENES'!$O121)</f>
        <v/>
      </c>
      <c r="B143" s="3">
        <f>IF('ORDENES'!$R121="","-",'ORDENES'!$R121)</f>
        <v/>
      </c>
      <c r="C143" s="3">
        <f>IF('ORDENES'!$AC121="","-",'ORDENES'!$AC121)</f>
        <v/>
      </c>
      <c r="D143" s="3">
        <f>IF('ORDENES'!$V121="","-",'ORDENES'!$V121)</f>
        <v/>
      </c>
      <c r="E143" s="3">
        <f>IF('ORDENES'!$U121="","-",'ORDENES'!$U121)</f>
        <v/>
      </c>
      <c r="F143" s="3">
        <f>IF('ORDENES'!$W121="","-",'ORDENES'!$W121)</f>
        <v/>
      </c>
      <c r="G143" s="3">
        <f>IF('ORDENES'!$AB121="","-",'ORDENES'!$AB121)</f>
        <v/>
      </c>
      <c r="H143" s="3">
        <f>IF('ORDENES'!$C121="","-",'ORDENES'!$C121)</f>
        <v/>
      </c>
      <c r="I143" s="3">
        <f>IF('ORDENES'!$E121="","-",'ORDENES'!$E121)</f>
        <v/>
      </c>
      <c r="J143" s="3">
        <f>IF('ORDENES'!$F121="","-",'ORDENES'!$F121)</f>
        <v/>
      </c>
      <c r="K143" s="12">
        <f>IF('ORDENES'!$L121="",0,'ORDENES'!$L121)</f>
        <v/>
      </c>
      <c r="L143" s="3">
        <f>IF('ORDENES'!$N121="","-",'ORDENES'!$N121)</f>
        <v/>
      </c>
      <c r="M143" s="3">
        <f>'ORDENES'!$AA121</f>
        <v/>
      </c>
    </row>
    <row r="144">
      <c r="A144" s="3">
        <f>IF('ORDENES'!$O122="","-",'ORDENES'!$O122)</f>
        <v/>
      </c>
      <c r="B144" s="3">
        <f>IF('ORDENES'!$R122="","-",'ORDENES'!$R122)</f>
        <v/>
      </c>
      <c r="C144" s="3">
        <f>IF('ORDENES'!$AC122="","-",'ORDENES'!$AC122)</f>
        <v/>
      </c>
      <c r="D144" s="3">
        <f>IF('ORDENES'!$V122="","-",'ORDENES'!$V122)</f>
        <v/>
      </c>
      <c r="E144" s="3">
        <f>IF('ORDENES'!$U122="","-",'ORDENES'!$U122)</f>
        <v/>
      </c>
      <c r="F144" s="3">
        <f>IF('ORDENES'!$W122="","-",'ORDENES'!$W122)</f>
        <v/>
      </c>
      <c r="G144" s="3">
        <f>IF('ORDENES'!$AB122="","-",'ORDENES'!$AB122)</f>
        <v/>
      </c>
      <c r="H144" s="3">
        <f>IF('ORDENES'!$C122="","-",'ORDENES'!$C122)</f>
        <v/>
      </c>
      <c r="I144" s="3">
        <f>IF('ORDENES'!$E122="","-",'ORDENES'!$E122)</f>
        <v/>
      </c>
      <c r="J144" s="3">
        <f>IF('ORDENES'!$F122="","-",'ORDENES'!$F122)</f>
        <v/>
      </c>
      <c r="K144" s="12">
        <f>IF('ORDENES'!$L122="",0,'ORDENES'!$L122)</f>
        <v/>
      </c>
      <c r="L144" s="3">
        <f>IF('ORDENES'!$N122="","-",'ORDENES'!$N122)</f>
        <v/>
      </c>
      <c r="M144" s="3">
        <f>'ORDENES'!$AA122</f>
        <v/>
      </c>
    </row>
    <row r="145">
      <c r="A145" s="3">
        <f>IF('ORDENES'!$O123="","-",'ORDENES'!$O123)</f>
        <v/>
      </c>
      <c r="B145" s="3">
        <f>IF('ORDENES'!$R123="","-",'ORDENES'!$R123)</f>
        <v/>
      </c>
      <c r="C145" s="3">
        <f>IF('ORDENES'!$AC123="","-",'ORDENES'!$AC123)</f>
        <v/>
      </c>
      <c r="D145" s="3">
        <f>IF('ORDENES'!$V123="","-",'ORDENES'!$V123)</f>
        <v/>
      </c>
      <c r="E145" s="3">
        <f>IF('ORDENES'!$U123="","-",'ORDENES'!$U123)</f>
        <v/>
      </c>
      <c r="F145" s="3">
        <f>IF('ORDENES'!$W123="","-",'ORDENES'!$W123)</f>
        <v/>
      </c>
      <c r="G145" s="3">
        <f>IF('ORDENES'!$AB123="","-",'ORDENES'!$AB123)</f>
        <v/>
      </c>
      <c r="H145" s="3">
        <f>IF('ORDENES'!$C123="","-",'ORDENES'!$C123)</f>
        <v/>
      </c>
      <c r="I145" s="3">
        <f>IF('ORDENES'!$E123="","-",'ORDENES'!$E123)</f>
        <v/>
      </c>
      <c r="J145" s="3">
        <f>IF('ORDENES'!$F123="","-",'ORDENES'!$F123)</f>
        <v/>
      </c>
      <c r="K145" s="12">
        <f>IF('ORDENES'!$L123="",0,'ORDENES'!$L123)</f>
        <v/>
      </c>
      <c r="L145" s="3">
        <f>IF('ORDENES'!$N123="","-",'ORDENES'!$N123)</f>
        <v/>
      </c>
      <c r="M145" s="3">
        <f>'ORDENES'!$AA123</f>
        <v/>
      </c>
    </row>
    <row r="146">
      <c r="A146" s="3">
        <f>IF('ORDENES'!$O124="","-",'ORDENES'!$O124)</f>
        <v/>
      </c>
      <c r="B146" s="3">
        <f>IF('ORDENES'!$R124="","-",'ORDENES'!$R124)</f>
        <v/>
      </c>
      <c r="C146" s="3">
        <f>IF('ORDENES'!$AC124="","-",'ORDENES'!$AC124)</f>
        <v/>
      </c>
      <c r="D146" s="3">
        <f>IF('ORDENES'!$V124="","-",'ORDENES'!$V124)</f>
        <v/>
      </c>
      <c r="E146" s="3">
        <f>IF('ORDENES'!$U124="","-",'ORDENES'!$U124)</f>
        <v/>
      </c>
      <c r="F146" s="3">
        <f>IF('ORDENES'!$W124="","-",'ORDENES'!$W124)</f>
        <v/>
      </c>
      <c r="G146" s="3">
        <f>IF('ORDENES'!$AB124="","-",'ORDENES'!$AB124)</f>
        <v/>
      </c>
      <c r="H146" s="3">
        <f>IF('ORDENES'!$C124="","-",'ORDENES'!$C124)</f>
        <v/>
      </c>
      <c r="I146" s="3">
        <f>IF('ORDENES'!$E124="","-",'ORDENES'!$E124)</f>
        <v/>
      </c>
      <c r="J146" s="3">
        <f>IF('ORDENES'!$F124="","-",'ORDENES'!$F124)</f>
        <v/>
      </c>
      <c r="K146" s="12">
        <f>IF('ORDENES'!$L124="",0,'ORDENES'!$L124)</f>
        <v/>
      </c>
      <c r="L146" s="3">
        <f>IF('ORDENES'!$N124="","-",'ORDENES'!$N124)</f>
        <v/>
      </c>
      <c r="M146" s="3">
        <f>'ORDENES'!$AA124</f>
        <v/>
      </c>
    </row>
    <row r="147">
      <c r="A147" s="3">
        <f>IF('ORDENES'!$O125="","-",'ORDENES'!$O125)</f>
        <v/>
      </c>
      <c r="B147" s="3">
        <f>IF('ORDENES'!$R125="","-",'ORDENES'!$R125)</f>
        <v/>
      </c>
      <c r="C147" s="3">
        <f>IF('ORDENES'!$AC125="","-",'ORDENES'!$AC125)</f>
        <v/>
      </c>
      <c r="D147" s="3">
        <f>IF('ORDENES'!$V125="","-",'ORDENES'!$V125)</f>
        <v/>
      </c>
      <c r="E147" s="3">
        <f>IF('ORDENES'!$U125="","-",'ORDENES'!$U125)</f>
        <v/>
      </c>
      <c r="F147" s="3">
        <f>IF('ORDENES'!$W125="","-",'ORDENES'!$W125)</f>
        <v/>
      </c>
      <c r="G147" s="3">
        <f>IF('ORDENES'!$AB125="","-",'ORDENES'!$AB125)</f>
        <v/>
      </c>
      <c r="H147" s="3">
        <f>IF('ORDENES'!$C125="","-",'ORDENES'!$C125)</f>
        <v/>
      </c>
      <c r="I147" s="3">
        <f>IF('ORDENES'!$E125="","-",'ORDENES'!$E125)</f>
        <v/>
      </c>
      <c r="J147" s="3">
        <f>IF('ORDENES'!$F125="","-",'ORDENES'!$F125)</f>
        <v/>
      </c>
      <c r="K147" s="12">
        <f>IF('ORDENES'!$L125="",0,'ORDENES'!$L125)</f>
        <v/>
      </c>
      <c r="L147" s="3">
        <f>IF('ORDENES'!$N125="","-",'ORDENES'!$N125)</f>
        <v/>
      </c>
      <c r="M147" s="3">
        <f>'ORDENES'!$AA125</f>
        <v/>
      </c>
    </row>
    <row r="148">
      <c r="A148" s="3">
        <f>IF('ORDENES'!$O126="","-",'ORDENES'!$O126)</f>
        <v/>
      </c>
      <c r="B148" s="3">
        <f>IF('ORDENES'!$R126="","-",'ORDENES'!$R126)</f>
        <v/>
      </c>
      <c r="C148" s="3">
        <f>IF('ORDENES'!$AC126="","-",'ORDENES'!$AC126)</f>
        <v/>
      </c>
      <c r="D148" s="3">
        <f>IF('ORDENES'!$V126="","-",'ORDENES'!$V126)</f>
        <v/>
      </c>
      <c r="E148" s="3">
        <f>IF('ORDENES'!$U126="","-",'ORDENES'!$U126)</f>
        <v/>
      </c>
      <c r="F148" s="3">
        <f>IF('ORDENES'!$W126="","-",'ORDENES'!$W126)</f>
        <v/>
      </c>
      <c r="G148" s="3">
        <f>IF('ORDENES'!$AB126="","-",'ORDENES'!$AB126)</f>
        <v/>
      </c>
      <c r="H148" s="3">
        <f>IF('ORDENES'!$C126="","-",'ORDENES'!$C126)</f>
        <v/>
      </c>
      <c r="I148" s="3">
        <f>IF('ORDENES'!$E126="","-",'ORDENES'!$E126)</f>
        <v/>
      </c>
      <c r="J148" s="3">
        <f>IF('ORDENES'!$F126="","-",'ORDENES'!$F126)</f>
        <v/>
      </c>
      <c r="K148" s="12">
        <f>IF('ORDENES'!$L126="",0,'ORDENES'!$L126)</f>
        <v/>
      </c>
      <c r="L148" s="3">
        <f>IF('ORDENES'!$N126="","-",'ORDENES'!$N126)</f>
        <v/>
      </c>
      <c r="M148" s="3">
        <f>'ORDENES'!$AA126</f>
        <v/>
      </c>
    </row>
    <row r="149">
      <c r="A149" s="3">
        <f>IF('ORDENES'!$O127="","-",'ORDENES'!$O127)</f>
        <v/>
      </c>
      <c r="B149" s="3">
        <f>IF('ORDENES'!$R127="","-",'ORDENES'!$R127)</f>
        <v/>
      </c>
      <c r="C149" s="3">
        <f>IF('ORDENES'!$AC127="","-",'ORDENES'!$AC127)</f>
        <v/>
      </c>
      <c r="D149" s="3">
        <f>IF('ORDENES'!$V127="","-",'ORDENES'!$V127)</f>
        <v/>
      </c>
      <c r="E149" s="3">
        <f>IF('ORDENES'!$U127="","-",'ORDENES'!$U127)</f>
        <v/>
      </c>
      <c r="F149" s="3">
        <f>IF('ORDENES'!$W127="","-",'ORDENES'!$W127)</f>
        <v/>
      </c>
      <c r="G149" s="3">
        <f>IF('ORDENES'!$AB127="","-",'ORDENES'!$AB127)</f>
        <v/>
      </c>
      <c r="H149" s="3">
        <f>IF('ORDENES'!$C127="","-",'ORDENES'!$C127)</f>
        <v/>
      </c>
      <c r="I149" s="3">
        <f>IF('ORDENES'!$E127="","-",'ORDENES'!$E127)</f>
        <v/>
      </c>
      <c r="J149" s="3">
        <f>IF('ORDENES'!$F127="","-",'ORDENES'!$F127)</f>
        <v/>
      </c>
      <c r="K149" s="12">
        <f>IF('ORDENES'!$L127="",0,'ORDENES'!$L127)</f>
        <v/>
      </c>
      <c r="L149" s="3">
        <f>IF('ORDENES'!$N127="","-",'ORDENES'!$N127)</f>
        <v/>
      </c>
      <c r="M149" s="3">
        <f>'ORDENES'!$AA127</f>
        <v/>
      </c>
    </row>
    <row r="150">
      <c r="A150" s="3">
        <f>IF('ORDENES'!$O128="","-",'ORDENES'!$O128)</f>
        <v/>
      </c>
      <c r="B150" s="3">
        <f>IF('ORDENES'!$R128="","-",'ORDENES'!$R128)</f>
        <v/>
      </c>
      <c r="C150" s="3">
        <f>IF('ORDENES'!$AC128="","-",'ORDENES'!$AC128)</f>
        <v/>
      </c>
      <c r="D150" s="3">
        <f>IF('ORDENES'!$V128="","-",'ORDENES'!$V128)</f>
        <v/>
      </c>
      <c r="E150" s="3">
        <f>IF('ORDENES'!$U128="","-",'ORDENES'!$U128)</f>
        <v/>
      </c>
      <c r="F150" s="3">
        <f>IF('ORDENES'!$W128="","-",'ORDENES'!$W128)</f>
        <v/>
      </c>
      <c r="G150" s="3">
        <f>IF('ORDENES'!$AB128="","-",'ORDENES'!$AB128)</f>
        <v/>
      </c>
      <c r="H150" s="3">
        <f>IF('ORDENES'!$C128="","-",'ORDENES'!$C128)</f>
        <v/>
      </c>
      <c r="I150" s="3">
        <f>IF('ORDENES'!$E128="","-",'ORDENES'!$E128)</f>
        <v/>
      </c>
      <c r="J150" s="3">
        <f>IF('ORDENES'!$F128="","-",'ORDENES'!$F128)</f>
        <v/>
      </c>
      <c r="K150" s="12">
        <f>IF('ORDENES'!$L128="",0,'ORDENES'!$L128)</f>
        <v/>
      </c>
      <c r="L150" s="3">
        <f>IF('ORDENES'!$N128="","-",'ORDENES'!$N128)</f>
        <v/>
      </c>
      <c r="M150" s="3">
        <f>'ORDENES'!$AA128</f>
        <v/>
      </c>
    </row>
    <row r="151">
      <c r="A151" s="3">
        <f>IF('ORDENES'!$O129="","-",'ORDENES'!$O129)</f>
        <v/>
      </c>
      <c r="B151" s="3">
        <f>IF('ORDENES'!$R129="","-",'ORDENES'!$R129)</f>
        <v/>
      </c>
      <c r="C151" s="3">
        <f>IF('ORDENES'!$AC129="","-",'ORDENES'!$AC129)</f>
        <v/>
      </c>
      <c r="D151" s="3">
        <f>IF('ORDENES'!$V129="","-",'ORDENES'!$V129)</f>
        <v/>
      </c>
      <c r="E151" s="3">
        <f>IF('ORDENES'!$U129="","-",'ORDENES'!$U129)</f>
        <v/>
      </c>
      <c r="F151" s="3">
        <f>IF('ORDENES'!$W129="","-",'ORDENES'!$W129)</f>
        <v/>
      </c>
      <c r="G151" s="3">
        <f>IF('ORDENES'!$AB129="","-",'ORDENES'!$AB129)</f>
        <v/>
      </c>
      <c r="H151" s="3">
        <f>IF('ORDENES'!$C129="","-",'ORDENES'!$C129)</f>
        <v/>
      </c>
      <c r="I151" s="3">
        <f>IF('ORDENES'!$E129="","-",'ORDENES'!$E129)</f>
        <v/>
      </c>
      <c r="J151" s="3">
        <f>IF('ORDENES'!$F129="","-",'ORDENES'!$F129)</f>
        <v/>
      </c>
      <c r="K151" s="12">
        <f>IF('ORDENES'!$L129="",0,'ORDENES'!$L129)</f>
        <v/>
      </c>
      <c r="L151" s="3">
        <f>IF('ORDENES'!$N129="","-",'ORDENES'!$N129)</f>
        <v/>
      </c>
      <c r="M151" s="3">
        <f>'ORDENES'!$AA129</f>
        <v/>
      </c>
    </row>
    <row r="152">
      <c r="A152" s="3">
        <f>IF('ORDENES'!$O130="","-",'ORDENES'!$O130)</f>
        <v/>
      </c>
      <c r="B152" s="3">
        <f>IF('ORDENES'!$R130="","-",'ORDENES'!$R130)</f>
        <v/>
      </c>
      <c r="C152" s="3">
        <f>IF('ORDENES'!$AC130="","-",'ORDENES'!$AC130)</f>
        <v/>
      </c>
      <c r="D152" s="3">
        <f>IF('ORDENES'!$V130="","-",'ORDENES'!$V130)</f>
        <v/>
      </c>
      <c r="E152" s="3">
        <f>IF('ORDENES'!$U130="","-",'ORDENES'!$U130)</f>
        <v/>
      </c>
      <c r="F152" s="3">
        <f>IF('ORDENES'!$W130="","-",'ORDENES'!$W130)</f>
        <v/>
      </c>
      <c r="G152" s="3">
        <f>IF('ORDENES'!$AB130="","-",'ORDENES'!$AB130)</f>
        <v/>
      </c>
      <c r="H152" s="3">
        <f>IF('ORDENES'!$C130="","-",'ORDENES'!$C130)</f>
        <v/>
      </c>
      <c r="I152" s="3">
        <f>IF('ORDENES'!$E130="","-",'ORDENES'!$E130)</f>
        <v/>
      </c>
      <c r="J152" s="3">
        <f>IF('ORDENES'!$F130="","-",'ORDENES'!$F130)</f>
        <v/>
      </c>
      <c r="K152" s="12">
        <f>IF('ORDENES'!$L130="",0,'ORDENES'!$L130)</f>
        <v/>
      </c>
      <c r="L152" s="3">
        <f>IF('ORDENES'!$N130="","-",'ORDENES'!$N130)</f>
        <v/>
      </c>
      <c r="M152" s="3">
        <f>'ORDENES'!$AA130</f>
        <v/>
      </c>
    </row>
    <row r="153">
      <c r="A153" s="3">
        <f>IF('ORDENES'!$O131="","-",'ORDENES'!$O131)</f>
        <v/>
      </c>
      <c r="B153" s="3">
        <f>IF('ORDENES'!$R131="","-",'ORDENES'!$R131)</f>
        <v/>
      </c>
      <c r="C153" s="3">
        <f>IF('ORDENES'!$AC131="","-",'ORDENES'!$AC131)</f>
        <v/>
      </c>
      <c r="D153" s="3">
        <f>IF('ORDENES'!$V131="","-",'ORDENES'!$V131)</f>
        <v/>
      </c>
      <c r="E153" s="3">
        <f>IF('ORDENES'!$U131="","-",'ORDENES'!$U131)</f>
        <v/>
      </c>
      <c r="F153" s="3">
        <f>IF('ORDENES'!$W131="","-",'ORDENES'!$W131)</f>
        <v/>
      </c>
      <c r="G153" s="3">
        <f>IF('ORDENES'!$AB131="","-",'ORDENES'!$AB131)</f>
        <v/>
      </c>
      <c r="H153" s="3">
        <f>IF('ORDENES'!$C131="","-",'ORDENES'!$C131)</f>
        <v/>
      </c>
      <c r="I153" s="3">
        <f>IF('ORDENES'!$E131="","-",'ORDENES'!$E131)</f>
        <v/>
      </c>
      <c r="J153" s="3">
        <f>IF('ORDENES'!$F131="","-",'ORDENES'!$F131)</f>
        <v/>
      </c>
      <c r="K153" s="12">
        <f>IF('ORDENES'!$L131="",0,'ORDENES'!$L131)</f>
        <v/>
      </c>
      <c r="L153" s="3">
        <f>IF('ORDENES'!$N131="","-",'ORDENES'!$N131)</f>
        <v/>
      </c>
      <c r="M153" s="3">
        <f>'ORDENES'!$AA131</f>
        <v/>
      </c>
    </row>
    <row r="154">
      <c r="A154" s="3">
        <f>IF('ORDENES'!$O132="","-",'ORDENES'!$O132)</f>
        <v/>
      </c>
      <c r="B154" s="3">
        <f>IF('ORDENES'!$R132="","-",'ORDENES'!$R132)</f>
        <v/>
      </c>
      <c r="C154" s="3">
        <f>IF('ORDENES'!$AC132="","-",'ORDENES'!$AC132)</f>
        <v/>
      </c>
      <c r="D154" s="3">
        <f>IF('ORDENES'!$V132="","-",'ORDENES'!$V132)</f>
        <v/>
      </c>
      <c r="E154" s="3">
        <f>IF('ORDENES'!$U132="","-",'ORDENES'!$U132)</f>
        <v/>
      </c>
      <c r="F154" s="3">
        <f>IF('ORDENES'!$W132="","-",'ORDENES'!$W132)</f>
        <v/>
      </c>
      <c r="G154" s="3">
        <f>IF('ORDENES'!$AB132="","-",'ORDENES'!$AB132)</f>
        <v/>
      </c>
      <c r="H154" s="3">
        <f>IF('ORDENES'!$C132="","-",'ORDENES'!$C132)</f>
        <v/>
      </c>
      <c r="I154" s="3">
        <f>IF('ORDENES'!$E132="","-",'ORDENES'!$E132)</f>
        <v/>
      </c>
      <c r="J154" s="3">
        <f>IF('ORDENES'!$F132="","-",'ORDENES'!$F132)</f>
        <v/>
      </c>
      <c r="K154" s="12">
        <f>IF('ORDENES'!$L132="",0,'ORDENES'!$L132)</f>
        <v/>
      </c>
      <c r="L154" s="3">
        <f>IF('ORDENES'!$N132="","-",'ORDENES'!$N132)</f>
        <v/>
      </c>
      <c r="M154" s="3">
        <f>'ORDENES'!$AA132</f>
        <v/>
      </c>
    </row>
    <row r="155">
      <c r="A155" s="3">
        <f>IF('ORDENES'!$O133="","-",'ORDENES'!$O133)</f>
        <v/>
      </c>
      <c r="B155" s="3">
        <f>IF('ORDENES'!$R133="","-",'ORDENES'!$R133)</f>
        <v/>
      </c>
      <c r="C155" s="3">
        <f>IF('ORDENES'!$AC133="","-",'ORDENES'!$AC133)</f>
        <v/>
      </c>
      <c r="D155" s="3">
        <f>IF('ORDENES'!$V133="","-",'ORDENES'!$V133)</f>
        <v/>
      </c>
      <c r="E155" s="3">
        <f>IF('ORDENES'!$U133="","-",'ORDENES'!$U133)</f>
        <v/>
      </c>
      <c r="F155" s="3">
        <f>IF('ORDENES'!$W133="","-",'ORDENES'!$W133)</f>
        <v/>
      </c>
      <c r="G155" s="3">
        <f>IF('ORDENES'!$AB133="","-",'ORDENES'!$AB133)</f>
        <v/>
      </c>
      <c r="H155" s="3">
        <f>IF('ORDENES'!$C133="","-",'ORDENES'!$C133)</f>
        <v/>
      </c>
      <c r="I155" s="3">
        <f>IF('ORDENES'!$E133="","-",'ORDENES'!$E133)</f>
        <v/>
      </c>
      <c r="J155" s="3">
        <f>IF('ORDENES'!$F133="","-",'ORDENES'!$F133)</f>
        <v/>
      </c>
      <c r="K155" s="12">
        <f>IF('ORDENES'!$L133="",0,'ORDENES'!$L133)</f>
        <v/>
      </c>
      <c r="L155" s="3">
        <f>IF('ORDENES'!$N133="","-",'ORDENES'!$N133)</f>
        <v/>
      </c>
      <c r="M155" s="3">
        <f>'ORDENES'!$AA133</f>
        <v/>
      </c>
    </row>
    <row r="156">
      <c r="A156" s="3">
        <f>IF('ORDENES'!$O134="","-",'ORDENES'!$O134)</f>
        <v/>
      </c>
      <c r="B156" s="3">
        <f>IF('ORDENES'!$R134="","-",'ORDENES'!$R134)</f>
        <v/>
      </c>
      <c r="C156" s="3">
        <f>IF('ORDENES'!$AC134="","-",'ORDENES'!$AC134)</f>
        <v/>
      </c>
      <c r="D156" s="3">
        <f>IF('ORDENES'!$V134="","-",'ORDENES'!$V134)</f>
        <v/>
      </c>
      <c r="E156" s="3">
        <f>IF('ORDENES'!$U134="","-",'ORDENES'!$U134)</f>
        <v/>
      </c>
      <c r="F156" s="3">
        <f>IF('ORDENES'!$W134="","-",'ORDENES'!$W134)</f>
        <v/>
      </c>
      <c r="G156" s="3">
        <f>IF('ORDENES'!$AB134="","-",'ORDENES'!$AB134)</f>
        <v/>
      </c>
      <c r="H156" s="3">
        <f>IF('ORDENES'!$C134="","-",'ORDENES'!$C134)</f>
        <v/>
      </c>
      <c r="I156" s="3">
        <f>IF('ORDENES'!$E134="","-",'ORDENES'!$E134)</f>
        <v/>
      </c>
      <c r="J156" s="3">
        <f>IF('ORDENES'!$F134="","-",'ORDENES'!$F134)</f>
        <v/>
      </c>
      <c r="K156" s="12">
        <f>IF('ORDENES'!$L134="",0,'ORDENES'!$L134)</f>
        <v/>
      </c>
      <c r="L156" s="3">
        <f>IF('ORDENES'!$N134="","-",'ORDENES'!$N134)</f>
        <v/>
      </c>
      <c r="M156" s="3">
        <f>'ORDENES'!$AA134</f>
        <v/>
      </c>
    </row>
    <row r="157">
      <c r="A157" s="3">
        <f>IF('ORDENES'!$O135="","-",'ORDENES'!$O135)</f>
        <v/>
      </c>
      <c r="B157" s="3">
        <f>IF('ORDENES'!$R135="","-",'ORDENES'!$R135)</f>
        <v/>
      </c>
      <c r="C157" s="3">
        <f>IF('ORDENES'!$AC135="","-",'ORDENES'!$AC135)</f>
        <v/>
      </c>
      <c r="D157" s="3">
        <f>IF('ORDENES'!$V135="","-",'ORDENES'!$V135)</f>
        <v/>
      </c>
      <c r="E157" s="3">
        <f>IF('ORDENES'!$U135="","-",'ORDENES'!$U135)</f>
        <v/>
      </c>
      <c r="F157" s="3">
        <f>IF('ORDENES'!$W135="","-",'ORDENES'!$W135)</f>
        <v/>
      </c>
      <c r="G157" s="3">
        <f>IF('ORDENES'!$AB135="","-",'ORDENES'!$AB135)</f>
        <v/>
      </c>
      <c r="H157" s="3">
        <f>IF('ORDENES'!$C135="","-",'ORDENES'!$C135)</f>
        <v/>
      </c>
      <c r="I157" s="3">
        <f>IF('ORDENES'!$E135="","-",'ORDENES'!$E135)</f>
        <v/>
      </c>
      <c r="J157" s="3">
        <f>IF('ORDENES'!$F135="","-",'ORDENES'!$F135)</f>
        <v/>
      </c>
      <c r="K157" s="12">
        <f>IF('ORDENES'!$L135="",0,'ORDENES'!$L135)</f>
        <v/>
      </c>
      <c r="L157" s="3">
        <f>IF('ORDENES'!$N135="","-",'ORDENES'!$N135)</f>
        <v/>
      </c>
      <c r="M157" s="3">
        <f>'ORDENES'!$AA135</f>
        <v/>
      </c>
    </row>
    <row r="158">
      <c r="A158" s="3">
        <f>IF('ORDENES'!$O136="","-",'ORDENES'!$O136)</f>
        <v/>
      </c>
      <c r="B158" s="3">
        <f>IF('ORDENES'!$R136="","-",'ORDENES'!$R136)</f>
        <v/>
      </c>
      <c r="C158" s="3">
        <f>IF('ORDENES'!$AC136="","-",'ORDENES'!$AC136)</f>
        <v/>
      </c>
      <c r="D158" s="3">
        <f>IF('ORDENES'!$V136="","-",'ORDENES'!$V136)</f>
        <v/>
      </c>
      <c r="E158" s="3">
        <f>IF('ORDENES'!$U136="","-",'ORDENES'!$U136)</f>
        <v/>
      </c>
      <c r="F158" s="3">
        <f>IF('ORDENES'!$W136="","-",'ORDENES'!$W136)</f>
        <v/>
      </c>
      <c r="G158" s="3">
        <f>IF('ORDENES'!$AB136="","-",'ORDENES'!$AB136)</f>
        <v/>
      </c>
      <c r="H158" s="3">
        <f>IF('ORDENES'!$C136="","-",'ORDENES'!$C136)</f>
        <v/>
      </c>
      <c r="I158" s="3">
        <f>IF('ORDENES'!$E136="","-",'ORDENES'!$E136)</f>
        <v/>
      </c>
      <c r="J158" s="3">
        <f>IF('ORDENES'!$F136="","-",'ORDENES'!$F136)</f>
        <v/>
      </c>
      <c r="K158" s="12">
        <f>IF('ORDENES'!$L136="",0,'ORDENES'!$L136)</f>
        <v/>
      </c>
      <c r="L158" s="3">
        <f>IF('ORDENES'!$N136="","-",'ORDENES'!$N136)</f>
        <v/>
      </c>
      <c r="M158" s="3">
        <f>'ORDENES'!$AA136</f>
        <v/>
      </c>
    </row>
    <row r="159">
      <c r="A159" s="3">
        <f>IF('ORDENES'!$O137="","-",'ORDENES'!$O137)</f>
        <v/>
      </c>
      <c r="B159" s="3">
        <f>IF('ORDENES'!$R137="","-",'ORDENES'!$R137)</f>
        <v/>
      </c>
      <c r="C159" s="3">
        <f>IF('ORDENES'!$AC137="","-",'ORDENES'!$AC137)</f>
        <v/>
      </c>
      <c r="D159" s="3">
        <f>IF('ORDENES'!$V137="","-",'ORDENES'!$V137)</f>
        <v/>
      </c>
      <c r="E159" s="3">
        <f>IF('ORDENES'!$U137="","-",'ORDENES'!$U137)</f>
        <v/>
      </c>
      <c r="F159" s="3">
        <f>IF('ORDENES'!$W137="","-",'ORDENES'!$W137)</f>
        <v/>
      </c>
      <c r="G159" s="3">
        <f>IF('ORDENES'!$AB137="","-",'ORDENES'!$AB137)</f>
        <v/>
      </c>
      <c r="H159" s="3">
        <f>IF('ORDENES'!$C137="","-",'ORDENES'!$C137)</f>
        <v/>
      </c>
      <c r="I159" s="3">
        <f>IF('ORDENES'!$E137="","-",'ORDENES'!$E137)</f>
        <v/>
      </c>
      <c r="J159" s="3">
        <f>IF('ORDENES'!$F137="","-",'ORDENES'!$F137)</f>
        <v/>
      </c>
      <c r="K159" s="12">
        <f>IF('ORDENES'!$L137="",0,'ORDENES'!$L137)</f>
        <v/>
      </c>
      <c r="L159" s="3">
        <f>IF('ORDENES'!$N137="","-",'ORDENES'!$N137)</f>
        <v/>
      </c>
      <c r="M159" s="3">
        <f>'ORDENES'!$AA137</f>
        <v/>
      </c>
    </row>
    <row r="160">
      <c r="A160" s="3">
        <f>IF('ORDENES'!$O138="","-",'ORDENES'!$O138)</f>
        <v/>
      </c>
      <c r="B160" s="3">
        <f>IF('ORDENES'!$R138="","-",'ORDENES'!$R138)</f>
        <v/>
      </c>
      <c r="C160" s="3">
        <f>IF('ORDENES'!$AC138="","-",'ORDENES'!$AC138)</f>
        <v/>
      </c>
      <c r="D160" s="3">
        <f>IF('ORDENES'!$V138="","-",'ORDENES'!$V138)</f>
        <v/>
      </c>
      <c r="E160" s="3">
        <f>IF('ORDENES'!$U138="","-",'ORDENES'!$U138)</f>
        <v/>
      </c>
      <c r="F160" s="3">
        <f>IF('ORDENES'!$W138="","-",'ORDENES'!$W138)</f>
        <v/>
      </c>
      <c r="G160" s="3">
        <f>IF('ORDENES'!$AB138="","-",'ORDENES'!$AB138)</f>
        <v/>
      </c>
      <c r="H160" s="3">
        <f>IF('ORDENES'!$C138="","-",'ORDENES'!$C138)</f>
        <v/>
      </c>
      <c r="I160" s="3">
        <f>IF('ORDENES'!$E138="","-",'ORDENES'!$E138)</f>
        <v/>
      </c>
      <c r="J160" s="3">
        <f>IF('ORDENES'!$F138="","-",'ORDENES'!$F138)</f>
        <v/>
      </c>
      <c r="K160" s="12">
        <f>IF('ORDENES'!$L138="",0,'ORDENES'!$L138)</f>
        <v/>
      </c>
      <c r="L160" s="3">
        <f>IF('ORDENES'!$N138="","-",'ORDENES'!$N138)</f>
        <v/>
      </c>
      <c r="M160" s="3">
        <f>'ORDENES'!$AA138</f>
        <v/>
      </c>
    </row>
    <row r="161">
      <c r="A161" s="3">
        <f>IF('ORDENES'!$O139="","-",'ORDENES'!$O139)</f>
        <v/>
      </c>
      <c r="B161" s="3">
        <f>IF('ORDENES'!$R139="","-",'ORDENES'!$R139)</f>
        <v/>
      </c>
      <c r="C161" s="3">
        <f>IF('ORDENES'!$AC139="","-",'ORDENES'!$AC139)</f>
        <v/>
      </c>
      <c r="D161" s="3">
        <f>IF('ORDENES'!$V139="","-",'ORDENES'!$V139)</f>
        <v/>
      </c>
      <c r="E161" s="3">
        <f>IF('ORDENES'!$U139="","-",'ORDENES'!$U139)</f>
        <v/>
      </c>
      <c r="F161" s="3">
        <f>IF('ORDENES'!$W139="","-",'ORDENES'!$W139)</f>
        <v/>
      </c>
      <c r="G161" s="3">
        <f>IF('ORDENES'!$AB139="","-",'ORDENES'!$AB139)</f>
        <v/>
      </c>
      <c r="H161" s="3">
        <f>IF('ORDENES'!$C139="","-",'ORDENES'!$C139)</f>
        <v/>
      </c>
      <c r="I161" s="3">
        <f>IF('ORDENES'!$E139="","-",'ORDENES'!$E139)</f>
        <v/>
      </c>
      <c r="J161" s="3">
        <f>IF('ORDENES'!$F139="","-",'ORDENES'!$F139)</f>
        <v/>
      </c>
      <c r="K161" s="12">
        <f>IF('ORDENES'!$L139="",0,'ORDENES'!$L139)</f>
        <v/>
      </c>
      <c r="L161" s="3">
        <f>IF('ORDENES'!$N139="","-",'ORDENES'!$N139)</f>
        <v/>
      </c>
      <c r="M161" s="3">
        <f>'ORDENES'!$AA139</f>
        <v/>
      </c>
    </row>
    <row r="162">
      <c r="A162" s="3">
        <f>IF('ORDENES'!$O140="","-",'ORDENES'!$O140)</f>
        <v/>
      </c>
      <c r="B162" s="3">
        <f>IF('ORDENES'!$R140="","-",'ORDENES'!$R140)</f>
        <v/>
      </c>
      <c r="C162" s="3">
        <f>IF('ORDENES'!$AC140="","-",'ORDENES'!$AC140)</f>
        <v/>
      </c>
      <c r="D162" s="3">
        <f>IF('ORDENES'!$V140="","-",'ORDENES'!$V140)</f>
        <v/>
      </c>
      <c r="E162" s="3">
        <f>IF('ORDENES'!$U140="","-",'ORDENES'!$U140)</f>
        <v/>
      </c>
      <c r="F162" s="3">
        <f>IF('ORDENES'!$W140="","-",'ORDENES'!$W140)</f>
        <v/>
      </c>
      <c r="G162" s="3">
        <f>IF('ORDENES'!$AB140="","-",'ORDENES'!$AB140)</f>
        <v/>
      </c>
      <c r="H162" s="3">
        <f>IF('ORDENES'!$C140="","-",'ORDENES'!$C140)</f>
        <v/>
      </c>
      <c r="I162" s="3">
        <f>IF('ORDENES'!$E140="","-",'ORDENES'!$E140)</f>
        <v/>
      </c>
      <c r="J162" s="3">
        <f>IF('ORDENES'!$F140="","-",'ORDENES'!$F140)</f>
        <v/>
      </c>
      <c r="K162" s="12">
        <f>IF('ORDENES'!$L140="",0,'ORDENES'!$L140)</f>
        <v/>
      </c>
      <c r="L162" s="3">
        <f>IF('ORDENES'!$N140="","-",'ORDENES'!$N140)</f>
        <v/>
      </c>
      <c r="M162" s="3">
        <f>'ORDENES'!$AA140</f>
        <v/>
      </c>
    </row>
    <row r="163">
      <c r="A163" s="3">
        <f>IF('ORDENES'!$O141="","-",'ORDENES'!$O141)</f>
        <v/>
      </c>
      <c r="B163" s="3">
        <f>IF('ORDENES'!$R141="","-",'ORDENES'!$R141)</f>
        <v/>
      </c>
      <c r="C163" s="3">
        <f>IF('ORDENES'!$AC141="","-",'ORDENES'!$AC141)</f>
        <v/>
      </c>
      <c r="D163" s="3">
        <f>IF('ORDENES'!$V141="","-",'ORDENES'!$V141)</f>
        <v/>
      </c>
      <c r="E163" s="3">
        <f>IF('ORDENES'!$U141="","-",'ORDENES'!$U141)</f>
        <v/>
      </c>
      <c r="F163" s="3">
        <f>IF('ORDENES'!$W141="","-",'ORDENES'!$W141)</f>
        <v/>
      </c>
      <c r="G163" s="3">
        <f>IF('ORDENES'!$AB141="","-",'ORDENES'!$AB141)</f>
        <v/>
      </c>
      <c r="H163" s="3">
        <f>IF('ORDENES'!$C141="","-",'ORDENES'!$C141)</f>
        <v/>
      </c>
      <c r="I163" s="3">
        <f>IF('ORDENES'!$E141="","-",'ORDENES'!$E141)</f>
        <v/>
      </c>
      <c r="J163" s="3">
        <f>IF('ORDENES'!$F141="","-",'ORDENES'!$F141)</f>
        <v/>
      </c>
      <c r="K163" s="12">
        <f>IF('ORDENES'!$L141="",0,'ORDENES'!$L141)</f>
        <v/>
      </c>
      <c r="L163" s="3">
        <f>IF('ORDENES'!$N141="","-",'ORDENES'!$N141)</f>
        <v/>
      </c>
      <c r="M163" s="3">
        <f>'ORDENES'!$AA141</f>
        <v/>
      </c>
    </row>
    <row r="164">
      <c r="A164" s="3">
        <f>IF('ORDENES'!$O142="","-",'ORDENES'!$O142)</f>
        <v/>
      </c>
      <c r="B164" s="3">
        <f>IF('ORDENES'!$R142="","-",'ORDENES'!$R142)</f>
        <v/>
      </c>
      <c r="C164" s="3">
        <f>IF('ORDENES'!$AC142="","-",'ORDENES'!$AC142)</f>
        <v/>
      </c>
      <c r="D164" s="3">
        <f>IF('ORDENES'!$V142="","-",'ORDENES'!$V142)</f>
        <v/>
      </c>
      <c r="E164" s="3">
        <f>IF('ORDENES'!$U142="","-",'ORDENES'!$U142)</f>
        <v/>
      </c>
      <c r="F164" s="3">
        <f>IF('ORDENES'!$W142="","-",'ORDENES'!$W142)</f>
        <v/>
      </c>
      <c r="G164" s="3">
        <f>IF('ORDENES'!$AB142="","-",'ORDENES'!$AB142)</f>
        <v/>
      </c>
      <c r="H164" s="3">
        <f>IF('ORDENES'!$C142="","-",'ORDENES'!$C142)</f>
        <v/>
      </c>
      <c r="I164" s="3">
        <f>IF('ORDENES'!$E142="","-",'ORDENES'!$E142)</f>
        <v/>
      </c>
      <c r="J164" s="3">
        <f>IF('ORDENES'!$F142="","-",'ORDENES'!$F142)</f>
        <v/>
      </c>
      <c r="K164" s="12">
        <f>IF('ORDENES'!$L142="",0,'ORDENES'!$L142)</f>
        <v/>
      </c>
      <c r="L164" s="3">
        <f>IF('ORDENES'!$N142="","-",'ORDENES'!$N142)</f>
        <v/>
      </c>
      <c r="M164" s="3">
        <f>'ORDENES'!$AA142</f>
        <v/>
      </c>
    </row>
    <row r="165">
      <c r="A165" s="3">
        <f>IF('ORDENES'!$O143="","-",'ORDENES'!$O143)</f>
        <v/>
      </c>
      <c r="B165" s="3">
        <f>IF('ORDENES'!$R143="","-",'ORDENES'!$R143)</f>
        <v/>
      </c>
      <c r="C165" s="3">
        <f>IF('ORDENES'!$AC143="","-",'ORDENES'!$AC143)</f>
        <v/>
      </c>
      <c r="D165" s="3">
        <f>IF('ORDENES'!$V143="","-",'ORDENES'!$V143)</f>
        <v/>
      </c>
      <c r="E165" s="3">
        <f>IF('ORDENES'!$U143="","-",'ORDENES'!$U143)</f>
        <v/>
      </c>
      <c r="F165" s="3">
        <f>IF('ORDENES'!$W143="","-",'ORDENES'!$W143)</f>
        <v/>
      </c>
      <c r="G165" s="3">
        <f>IF('ORDENES'!$AB143="","-",'ORDENES'!$AB143)</f>
        <v/>
      </c>
      <c r="H165" s="3">
        <f>IF('ORDENES'!$C143="","-",'ORDENES'!$C143)</f>
        <v/>
      </c>
      <c r="I165" s="3">
        <f>IF('ORDENES'!$E143="","-",'ORDENES'!$E143)</f>
        <v/>
      </c>
      <c r="J165" s="3">
        <f>IF('ORDENES'!$F143="","-",'ORDENES'!$F143)</f>
        <v/>
      </c>
      <c r="K165" s="12">
        <f>IF('ORDENES'!$L143="",0,'ORDENES'!$L143)</f>
        <v/>
      </c>
      <c r="L165" s="3">
        <f>IF('ORDENES'!$N143="","-",'ORDENES'!$N143)</f>
        <v/>
      </c>
      <c r="M165" s="3">
        <f>'ORDENES'!$AA143</f>
        <v/>
      </c>
    </row>
    <row r="166">
      <c r="A166" s="3">
        <f>IF('ORDENES'!$O144="","-",'ORDENES'!$O144)</f>
        <v/>
      </c>
      <c r="B166" s="3">
        <f>IF('ORDENES'!$R144="","-",'ORDENES'!$R144)</f>
        <v/>
      </c>
      <c r="C166" s="3">
        <f>IF('ORDENES'!$AC144="","-",'ORDENES'!$AC144)</f>
        <v/>
      </c>
      <c r="D166" s="3">
        <f>IF('ORDENES'!$V144="","-",'ORDENES'!$V144)</f>
        <v/>
      </c>
      <c r="E166" s="3">
        <f>IF('ORDENES'!$U144="","-",'ORDENES'!$U144)</f>
        <v/>
      </c>
      <c r="F166" s="3">
        <f>IF('ORDENES'!$W144="","-",'ORDENES'!$W144)</f>
        <v/>
      </c>
      <c r="G166" s="3">
        <f>IF('ORDENES'!$AB144="","-",'ORDENES'!$AB144)</f>
        <v/>
      </c>
      <c r="H166" s="3">
        <f>IF('ORDENES'!$C144="","-",'ORDENES'!$C144)</f>
        <v/>
      </c>
      <c r="I166" s="3">
        <f>IF('ORDENES'!$E144="","-",'ORDENES'!$E144)</f>
        <v/>
      </c>
      <c r="J166" s="3">
        <f>IF('ORDENES'!$F144="","-",'ORDENES'!$F144)</f>
        <v/>
      </c>
      <c r="K166" s="12">
        <f>IF('ORDENES'!$L144="",0,'ORDENES'!$L144)</f>
        <v/>
      </c>
      <c r="L166" s="3">
        <f>IF('ORDENES'!$N144="","-",'ORDENES'!$N144)</f>
        <v/>
      </c>
      <c r="M166" s="3">
        <f>'ORDENES'!$AA144</f>
        <v/>
      </c>
    </row>
    <row r="167">
      <c r="A167" s="3">
        <f>IF('ORDENES'!$O145="","-",'ORDENES'!$O145)</f>
        <v/>
      </c>
      <c r="B167" s="3">
        <f>IF('ORDENES'!$R145="","-",'ORDENES'!$R145)</f>
        <v/>
      </c>
      <c r="C167" s="3">
        <f>IF('ORDENES'!$AC145="","-",'ORDENES'!$AC145)</f>
        <v/>
      </c>
      <c r="D167" s="3">
        <f>IF('ORDENES'!$V145="","-",'ORDENES'!$V145)</f>
        <v/>
      </c>
      <c r="E167" s="3">
        <f>IF('ORDENES'!$U145="","-",'ORDENES'!$U145)</f>
        <v/>
      </c>
      <c r="F167" s="3">
        <f>IF('ORDENES'!$W145="","-",'ORDENES'!$W145)</f>
        <v/>
      </c>
      <c r="G167" s="3">
        <f>IF('ORDENES'!$AB145="","-",'ORDENES'!$AB145)</f>
        <v/>
      </c>
      <c r="H167" s="3">
        <f>IF('ORDENES'!$C145="","-",'ORDENES'!$C145)</f>
        <v/>
      </c>
      <c r="I167" s="3">
        <f>IF('ORDENES'!$E145="","-",'ORDENES'!$E145)</f>
        <v/>
      </c>
      <c r="J167" s="3">
        <f>IF('ORDENES'!$F145="","-",'ORDENES'!$F145)</f>
        <v/>
      </c>
      <c r="K167" s="12">
        <f>IF('ORDENES'!$L145="",0,'ORDENES'!$L145)</f>
        <v/>
      </c>
      <c r="L167" s="3">
        <f>IF('ORDENES'!$N145="","-",'ORDENES'!$N145)</f>
        <v/>
      </c>
      <c r="M167" s="3">
        <f>'ORDENES'!$AA145</f>
        <v/>
      </c>
    </row>
    <row r="168">
      <c r="A168" s="3">
        <f>IF('ORDENES'!$O146="","-",'ORDENES'!$O146)</f>
        <v/>
      </c>
      <c r="B168" s="3">
        <f>IF('ORDENES'!$R146="","-",'ORDENES'!$R146)</f>
        <v/>
      </c>
      <c r="C168" s="3">
        <f>IF('ORDENES'!$AC146="","-",'ORDENES'!$AC146)</f>
        <v/>
      </c>
      <c r="D168" s="3">
        <f>IF('ORDENES'!$V146="","-",'ORDENES'!$V146)</f>
        <v/>
      </c>
      <c r="E168" s="3">
        <f>IF('ORDENES'!$U146="","-",'ORDENES'!$U146)</f>
        <v/>
      </c>
      <c r="F168" s="3">
        <f>IF('ORDENES'!$W146="","-",'ORDENES'!$W146)</f>
        <v/>
      </c>
      <c r="G168" s="3">
        <f>IF('ORDENES'!$AB146="","-",'ORDENES'!$AB146)</f>
        <v/>
      </c>
      <c r="H168" s="3">
        <f>IF('ORDENES'!$C146="","-",'ORDENES'!$C146)</f>
        <v/>
      </c>
      <c r="I168" s="3">
        <f>IF('ORDENES'!$E146="","-",'ORDENES'!$E146)</f>
        <v/>
      </c>
      <c r="J168" s="3">
        <f>IF('ORDENES'!$F146="","-",'ORDENES'!$F146)</f>
        <v/>
      </c>
      <c r="K168" s="12">
        <f>IF('ORDENES'!$L146="",0,'ORDENES'!$L146)</f>
        <v/>
      </c>
      <c r="L168" s="3">
        <f>IF('ORDENES'!$N146="","-",'ORDENES'!$N146)</f>
        <v/>
      </c>
      <c r="M168" s="3">
        <f>'ORDENES'!$AA146</f>
        <v/>
      </c>
    </row>
    <row r="169">
      <c r="A169" s="3">
        <f>IF('ORDENES'!$O147="","-",'ORDENES'!$O147)</f>
        <v/>
      </c>
      <c r="B169" s="3">
        <f>IF('ORDENES'!$R147="","-",'ORDENES'!$R147)</f>
        <v/>
      </c>
      <c r="C169" s="3">
        <f>IF('ORDENES'!$AC147="","-",'ORDENES'!$AC147)</f>
        <v/>
      </c>
      <c r="D169" s="3">
        <f>IF('ORDENES'!$V147="","-",'ORDENES'!$V147)</f>
        <v/>
      </c>
      <c r="E169" s="3">
        <f>IF('ORDENES'!$U147="","-",'ORDENES'!$U147)</f>
        <v/>
      </c>
      <c r="F169" s="3">
        <f>IF('ORDENES'!$W147="","-",'ORDENES'!$W147)</f>
        <v/>
      </c>
      <c r="G169" s="3">
        <f>IF('ORDENES'!$AB147="","-",'ORDENES'!$AB147)</f>
        <v/>
      </c>
      <c r="H169" s="3">
        <f>IF('ORDENES'!$C147="","-",'ORDENES'!$C147)</f>
        <v/>
      </c>
      <c r="I169" s="3">
        <f>IF('ORDENES'!$E147="","-",'ORDENES'!$E147)</f>
        <v/>
      </c>
      <c r="J169" s="3">
        <f>IF('ORDENES'!$F147="","-",'ORDENES'!$F147)</f>
        <v/>
      </c>
      <c r="K169" s="12">
        <f>IF('ORDENES'!$L147="",0,'ORDENES'!$L147)</f>
        <v/>
      </c>
      <c r="L169" s="3">
        <f>IF('ORDENES'!$N147="","-",'ORDENES'!$N147)</f>
        <v/>
      </c>
      <c r="M169" s="3">
        <f>'ORDENES'!$AA147</f>
        <v/>
      </c>
    </row>
    <row r="170">
      <c r="A170" s="3">
        <f>IF('ORDENES'!$O148="","-",'ORDENES'!$O148)</f>
        <v/>
      </c>
      <c r="B170" s="3">
        <f>IF('ORDENES'!$R148="","-",'ORDENES'!$R148)</f>
        <v/>
      </c>
      <c r="C170" s="3">
        <f>IF('ORDENES'!$AC148="","-",'ORDENES'!$AC148)</f>
        <v/>
      </c>
      <c r="D170" s="3">
        <f>IF('ORDENES'!$V148="","-",'ORDENES'!$V148)</f>
        <v/>
      </c>
      <c r="E170" s="3">
        <f>IF('ORDENES'!$U148="","-",'ORDENES'!$U148)</f>
        <v/>
      </c>
      <c r="F170" s="3">
        <f>IF('ORDENES'!$W148="","-",'ORDENES'!$W148)</f>
        <v/>
      </c>
      <c r="G170" s="3">
        <f>IF('ORDENES'!$AB148="","-",'ORDENES'!$AB148)</f>
        <v/>
      </c>
      <c r="H170" s="3">
        <f>IF('ORDENES'!$C148="","-",'ORDENES'!$C148)</f>
        <v/>
      </c>
      <c r="I170" s="3">
        <f>IF('ORDENES'!$E148="","-",'ORDENES'!$E148)</f>
        <v/>
      </c>
      <c r="J170" s="3">
        <f>IF('ORDENES'!$F148="","-",'ORDENES'!$F148)</f>
        <v/>
      </c>
      <c r="K170" s="12">
        <f>IF('ORDENES'!$L148="",0,'ORDENES'!$L148)</f>
        <v/>
      </c>
      <c r="L170" s="3">
        <f>IF('ORDENES'!$N148="","-",'ORDENES'!$N148)</f>
        <v/>
      </c>
      <c r="M170" s="3">
        <f>'ORDENES'!$AA148</f>
        <v/>
      </c>
    </row>
    <row r="171">
      <c r="A171" s="3">
        <f>IF('ORDENES'!$O149="","-",'ORDENES'!$O149)</f>
        <v/>
      </c>
      <c r="B171" s="3">
        <f>IF('ORDENES'!$R149="","-",'ORDENES'!$R149)</f>
        <v/>
      </c>
      <c r="C171" s="3">
        <f>IF('ORDENES'!$AC149="","-",'ORDENES'!$AC149)</f>
        <v/>
      </c>
      <c r="D171" s="3">
        <f>IF('ORDENES'!$V149="","-",'ORDENES'!$V149)</f>
        <v/>
      </c>
      <c r="E171" s="3">
        <f>IF('ORDENES'!$U149="","-",'ORDENES'!$U149)</f>
        <v/>
      </c>
      <c r="F171" s="3">
        <f>IF('ORDENES'!$W149="","-",'ORDENES'!$W149)</f>
        <v/>
      </c>
      <c r="G171" s="3">
        <f>IF('ORDENES'!$AB149="","-",'ORDENES'!$AB149)</f>
        <v/>
      </c>
      <c r="H171" s="3">
        <f>IF('ORDENES'!$C149="","-",'ORDENES'!$C149)</f>
        <v/>
      </c>
      <c r="I171" s="3">
        <f>IF('ORDENES'!$E149="","-",'ORDENES'!$E149)</f>
        <v/>
      </c>
      <c r="J171" s="3">
        <f>IF('ORDENES'!$F149="","-",'ORDENES'!$F149)</f>
        <v/>
      </c>
      <c r="K171" s="12">
        <f>IF('ORDENES'!$L149="",0,'ORDENES'!$L149)</f>
        <v/>
      </c>
      <c r="L171" s="3">
        <f>IF('ORDENES'!$N149="","-",'ORDENES'!$N149)</f>
        <v/>
      </c>
      <c r="M171" s="3">
        <f>'ORDENES'!$AA149</f>
        <v/>
      </c>
    </row>
    <row r="172">
      <c r="A172" s="3">
        <f>IF('ORDENES'!$O150="","-",'ORDENES'!$O150)</f>
        <v/>
      </c>
      <c r="B172" s="3">
        <f>IF('ORDENES'!$R150="","-",'ORDENES'!$R150)</f>
        <v/>
      </c>
      <c r="C172" s="3">
        <f>IF('ORDENES'!$AC150="","-",'ORDENES'!$AC150)</f>
        <v/>
      </c>
      <c r="D172" s="3">
        <f>IF('ORDENES'!$V150="","-",'ORDENES'!$V150)</f>
        <v/>
      </c>
      <c r="E172" s="3">
        <f>IF('ORDENES'!$U150="","-",'ORDENES'!$U150)</f>
        <v/>
      </c>
      <c r="F172" s="3">
        <f>IF('ORDENES'!$W150="","-",'ORDENES'!$W150)</f>
        <v/>
      </c>
      <c r="G172" s="3">
        <f>IF('ORDENES'!$AB150="","-",'ORDENES'!$AB150)</f>
        <v/>
      </c>
      <c r="H172" s="3">
        <f>IF('ORDENES'!$C150="","-",'ORDENES'!$C150)</f>
        <v/>
      </c>
      <c r="I172" s="3">
        <f>IF('ORDENES'!$E150="","-",'ORDENES'!$E150)</f>
        <v/>
      </c>
      <c r="J172" s="3">
        <f>IF('ORDENES'!$F150="","-",'ORDENES'!$F150)</f>
        <v/>
      </c>
      <c r="K172" s="12">
        <f>IF('ORDENES'!$L150="",0,'ORDENES'!$L150)</f>
        <v/>
      </c>
      <c r="L172" s="3">
        <f>IF('ORDENES'!$N150="","-",'ORDENES'!$N150)</f>
        <v/>
      </c>
      <c r="M172" s="3">
        <f>'ORDENES'!$AA150</f>
        <v/>
      </c>
    </row>
    <row r="173">
      <c r="A173" s="3">
        <f>IF('ORDENES'!$O151="","-",'ORDENES'!$O151)</f>
        <v/>
      </c>
      <c r="B173" s="3">
        <f>IF('ORDENES'!$R151="","-",'ORDENES'!$R151)</f>
        <v/>
      </c>
      <c r="C173" s="3">
        <f>IF('ORDENES'!$AC151="","-",'ORDENES'!$AC151)</f>
        <v/>
      </c>
      <c r="D173" s="3">
        <f>IF('ORDENES'!$V151="","-",'ORDENES'!$V151)</f>
        <v/>
      </c>
      <c r="E173" s="3">
        <f>IF('ORDENES'!$U151="","-",'ORDENES'!$U151)</f>
        <v/>
      </c>
      <c r="F173" s="3">
        <f>IF('ORDENES'!$W151="","-",'ORDENES'!$W151)</f>
        <v/>
      </c>
      <c r="G173" s="3">
        <f>IF('ORDENES'!$AB151="","-",'ORDENES'!$AB151)</f>
        <v/>
      </c>
      <c r="H173" s="3">
        <f>IF('ORDENES'!$C151="","-",'ORDENES'!$C151)</f>
        <v/>
      </c>
      <c r="I173" s="3">
        <f>IF('ORDENES'!$E151="","-",'ORDENES'!$E151)</f>
        <v/>
      </c>
      <c r="J173" s="3">
        <f>IF('ORDENES'!$F151="","-",'ORDENES'!$F151)</f>
        <v/>
      </c>
      <c r="K173" s="12">
        <f>IF('ORDENES'!$L151="",0,'ORDENES'!$L151)</f>
        <v/>
      </c>
      <c r="L173" s="3">
        <f>IF('ORDENES'!$N151="","-",'ORDENES'!$N151)</f>
        <v/>
      </c>
      <c r="M173" s="3">
        <f>'ORDENES'!$AA151</f>
        <v/>
      </c>
    </row>
    <row r="174">
      <c r="A174" s="3">
        <f>IF('ORDENES'!$O152="","-",'ORDENES'!$O152)</f>
        <v/>
      </c>
      <c r="B174" s="3">
        <f>IF('ORDENES'!$R152="","-",'ORDENES'!$R152)</f>
        <v/>
      </c>
      <c r="C174" s="3">
        <f>IF('ORDENES'!$AC152="","-",'ORDENES'!$AC152)</f>
        <v/>
      </c>
      <c r="D174" s="3">
        <f>IF('ORDENES'!$V152="","-",'ORDENES'!$V152)</f>
        <v/>
      </c>
      <c r="E174" s="3">
        <f>IF('ORDENES'!$U152="","-",'ORDENES'!$U152)</f>
        <v/>
      </c>
      <c r="F174" s="3">
        <f>IF('ORDENES'!$W152="","-",'ORDENES'!$W152)</f>
        <v/>
      </c>
      <c r="G174" s="3">
        <f>IF('ORDENES'!$AB152="","-",'ORDENES'!$AB152)</f>
        <v/>
      </c>
      <c r="H174" s="3">
        <f>IF('ORDENES'!$C152="","-",'ORDENES'!$C152)</f>
        <v/>
      </c>
      <c r="I174" s="3">
        <f>IF('ORDENES'!$E152="","-",'ORDENES'!$E152)</f>
        <v/>
      </c>
      <c r="J174" s="3">
        <f>IF('ORDENES'!$F152="","-",'ORDENES'!$F152)</f>
        <v/>
      </c>
      <c r="K174" s="12">
        <f>IF('ORDENES'!$L152="",0,'ORDENES'!$L152)</f>
        <v/>
      </c>
      <c r="L174" s="3">
        <f>IF('ORDENES'!$N152="","-",'ORDENES'!$N152)</f>
        <v/>
      </c>
      <c r="M174" s="3">
        <f>'ORDENES'!$AA152</f>
        <v/>
      </c>
    </row>
    <row r="175">
      <c r="A175" s="3">
        <f>IF('ORDENES'!$O153="","-",'ORDENES'!$O153)</f>
        <v/>
      </c>
      <c r="B175" s="3">
        <f>IF('ORDENES'!$R153="","-",'ORDENES'!$R153)</f>
        <v/>
      </c>
      <c r="C175" s="3">
        <f>IF('ORDENES'!$AC153="","-",'ORDENES'!$AC153)</f>
        <v/>
      </c>
      <c r="D175" s="3">
        <f>IF('ORDENES'!$V153="","-",'ORDENES'!$V153)</f>
        <v/>
      </c>
      <c r="E175" s="3">
        <f>IF('ORDENES'!$U153="","-",'ORDENES'!$U153)</f>
        <v/>
      </c>
      <c r="F175" s="3">
        <f>IF('ORDENES'!$W153="","-",'ORDENES'!$W153)</f>
        <v/>
      </c>
      <c r="G175" s="3">
        <f>IF('ORDENES'!$AB153="","-",'ORDENES'!$AB153)</f>
        <v/>
      </c>
      <c r="H175" s="3">
        <f>IF('ORDENES'!$C153="","-",'ORDENES'!$C153)</f>
        <v/>
      </c>
      <c r="I175" s="3">
        <f>IF('ORDENES'!$E153="","-",'ORDENES'!$E153)</f>
        <v/>
      </c>
      <c r="J175" s="3">
        <f>IF('ORDENES'!$F153="","-",'ORDENES'!$F153)</f>
        <v/>
      </c>
      <c r="K175" s="12">
        <f>IF('ORDENES'!$L153="",0,'ORDENES'!$L153)</f>
        <v/>
      </c>
      <c r="L175" s="3">
        <f>IF('ORDENES'!$N153="","-",'ORDENES'!$N153)</f>
        <v/>
      </c>
      <c r="M175" s="3">
        <f>'ORDENES'!$AA153</f>
        <v/>
      </c>
    </row>
    <row r="176">
      <c r="A176" s="3">
        <f>IF('ORDENES'!$O154="","-",'ORDENES'!$O154)</f>
        <v/>
      </c>
      <c r="B176" s="3">
        <f>IF('ORDENES'!$R154="","-",'ORDENES'!$R154)</f>
        <v/>
      </c>
      <c r="C176" s="3">
        <f>IF('ORDENES'!$AC154="","-",'ORDENES'!$AC154)</f>
        <v/>
      </c>
      <c r="D176" s="3">
        <f>IF('ORDENES'!$V154="","-",'ORDENES'!$V154)</f>
        <v/>
      </c>
      <c r="E176" s="3">
        <f>IF('ORDENES'!$U154="","-",'ORDENES'!$U154)</f>
        <v/>
      </c>
      <c r="F176" s="3">
        <f>IF('ORDENES'!$W154="","-",'ORDENES'!$W154)</f>
        <v/>
      </c>
      <c r="G176" s="3">
        <f>IF('ORDENES'!$AB154="","-",'ORDENES'!$AB154)</f>
        <v/>
      </c>
      <c r="H176" s="3">
        <f>IF('ORDENES'!$C154="","-",'ORDENES'!$C154)</f>
        <v/>
      </c>
      <c r="I176" s="3">
        <f>IF('ORDENES'!$E154="","-",'ORDENES'!$E154)</f>
        <v/>
      </c>
      <c r="J176" s="3">
        <f>IF('ORDENES'!$F154="","-",'ORDENES'!$F154)</f>
        <v/>
      </c>
      <c r="K176" s="12">
        <f>IF('ORDENES'!$L154="",0,'ORDENES'!$L154)</f>
        <v/>
      </c>
      <c r="L176" s="3">
        <f>IF('ORDENES'!$N154="","-",'ORDENES'!$N154)</f>
        <v/>
      </c>
      <c r="M176" s="3">
        <f>'ORDENES'!$AA154</f>
        <v/>
      </c>
    </row>
    <row r="177">
      <c r="A177" s="3">
        <f>IF('ORDENES'!$O155="","-",'ORDENES'!$O155)</f>
        <v/>
      </c>
      <c r="B177" s="3">
        <f>IF('ORDENES'!$R155="","-",'ORDENES'!$R155)</f>
        <v/>
      </c>
      <c r="C177" s="3">
        <f>IF('ORDENES'!$AC155="","-",'ORDENES'!$AC155)</f>
        <v/>
      </c>
      <c r="D177" s="3">
        <f>IF('ORDENES'!$V155="","-",'ORDENES'!$V155)</f>
        <v/>
      </c>
      <c r="E177" s="3">
        <f>IF('ORDENES'!$U155="","-",'ORDENES'!$U155)</f>
        <v/>
      </c>
      <c r="F177" s="3">
        <f>IF('ORDENES'!$W155="","-",'ORDENES'!$W155)</f>
        <v/>
      </c>
      <c r="G177" s="3">
        <f>IF('ORDENES'!$AB155="","-",'ORDENES'!$AB155)</f>
        <v/>
      </c>
      <c r="H177" s="3">
        <f>IF('ORDENES'!$C155="","-",'ORDENES'!$C155)</f>
        <v/>
      </c>
      <c r="I177" s="3">
        <f>IF('ORDENES'!$E155="","-",'ORDENES'!$E155)</f>
        <v/>
      </c>
      <c r="J177" s="3">
        <f>IF('ORDENES'!$F155="","-",'ORDENES'!$F155)</f>
        <v/>
      </c>
      <c r="K177" s="12">
        <f>IF('ORDENES'!$L155="",0,'ORDENES'!$L155)</f>
        <v/>
      </c>
      <c r="L177" s="3">
        <f>IF('ORDENES'!$N155="","-",'ORDENES'!$N155)</f>
        <v/>
      </c>
      <c r="M177" s="3">
        <f>'ORDENES'!$AA155</f>
        <v/>
      </c>
    </row>
    <row r="178">
      <c r="A178" s="3">
        <f>IF('ORDENES'!$O156="","-",'ORDENES'!$O156)</f>
        <v/>
      </c>
      <c r="B178" s="3">
        <f>IF('ORDENES'!$R156="","-",'ORDENES'!$R156)</f>
        <v/>
      </c>
      <c r="C178" s="3">
        <f>IF('ORDENES'!$AC156="","-",'ORDENES'!$AC156)</f>
        <v/>
      </c>
      <c r="D178" s="3">
        <f>IF('ORDENES'!$V156="","-",'ORDENES'!$V156)</f>
        <v/>
      </c>
      <c r="E178" s="3">
        <f>IF('ORDENES'!$U156="","-",'ORDENES'!$U156)</f>
        <v/>
      </c>
      <c r="F178" s="3">
        <f>IF('ORDENES'!$W156="","-",'ORDENES'!$W156)</f>
        <v/>
      </c>
      <c r="G178" s="3">
        <f>IF('ORDENES'!$AB156="","-",'ORDENES'!$AB156)</f>
        <v/>
      </c>
      <c r="H178" s="3">
        <f>IF('ORDENES'!$C156="","-",'ORDENES'!$C156)</f>
        <v/>
      </c>
      <c r="I178" s="3">
        <f>IF('ORDENES'!$E156="","-",'ORDENES'!$E156)</f>
        <v/>
      </c>
      <c r="J178" s="3">
        <f>IF('ORDENES'!$F156="","-",'ORDENES'!$F156)</f>
        <v/>
      </c>
      <c r="K178" s="12">
        <f>IF('ORDENES'!$L156="",0,'ORDENES'!$L156)</f>
        <v/>
      </c>
      <c r="L178" s="3">
        <f>IF('ORDENES'!$N156="","-",'ORDENES'!$N156)</f>
        <v/>
      </c>
      <c r="M178" s="3">
        <f>'ORDENES'!$AA156</f>
        <v/>
      </c>
    </row>
    <row r="179">
      <c r="A179" s="3">
        <f>IF('ORDENES'!$O157="","-",'ORDENES'!$O157)</f>
        <v/>
      </c>
      <c r="B179" s="3">
        <f>IF('ORDENES'!$R157="","-",'ORDENES'!$R157)</f>
        <v/>
      </c>
      <c r="C179" s="3">
        <f>IF('ORDENES'!$AC157="","-",'ORDENES'!$AC157)</f>
        <v/>
      </c>
      <c r="D179" s="3">
        <f>IF('ORDENES'!$V157="","-",'ORDENES'!$V157)</f>
        <v/>
      </c>
      <c r="E179" s="3">
        <f>IF('ORDENES'!$U157="","-",'ORDENES'!$U157)</f>
        <v/>
      </c>
      <c r="F179" s="3">
        <f>IF('ORDENES'!$W157="","-",'ORDENES'!$W157)</f>
        <v/>
      </c>
      <c r="G179" s="3">
        <f>IF('ORDENES'!$AB157="","-",'ORDENES'!$AB157)</f>
        <v/>
      </c>
      <c r="H179" s="3">
        <f>IF('ORDENES'!$C157="","-",'ORDENES'!$C157)</f>
        <v/>
      </c>
      <c r="I179" s="3">
        <f>IF('ORDENES'!$E157="","-",'ORDENES'!$E157)</f>
        <v/>
      </c>
      <c r="J179" s="3">
        <f>IF('ORDENES'!$F157="","-",'ORDENES'!$F157)</f>
        <v/>
      </c>
      <c r="K179" s="12">
        <f>IF('ORDENES'!$L157="",0,'ORDENES'!$L157)</f>
        <v/>
      </c>
      <c r="L179" s="3">
        <f>IF('ORDENES'!$N157="","-",'ORDENES'!$N157)</f>
        <v/>
      </c>
      <c r="M179" s="3">
        <f>'ORDENES'!$AA157</f>
        <v/>
      </c>
    </row>
    <row r="180">
      <c r="A180" s="3">
        <f>IF('ORDENES'!$O158="","-",'ORDENES'!$O158)</f>
        <v/>
      </c>
      <c r="B180" s="3">
        <f>IF('ORDENES'!$R158="","-",'ORDENES'!$R158)</f>
        <v/>
      </c>
      <c r="C180" s="3">
        <f>IF('ORDENES'!$AC158="","-",'ORDENES'!$AC158)</f>
        <v/>
      </c>
      <c r="D180" s="3">
        <f>IF('ORDENES'!$V158="","-",'ORDENES'!$V158)</f>
        <v/>
      </c>
      <c r="E180" s="3">
        <f>IF('ORDENES'!$U158="","-",'ORDENES'!$U158)</f>
        <v/>
      </c>
      <c r="F180" s="3">
        <f>IF('ORDENES'!$W158="","-",'ORDENES'!$W158)</f>
        <v/>
      </c>
      <c r="G180" s="3">
        <f>IF('ORDENES'!$AB158="","-",'ORDENES'!$AB158)</f>
        <v/>
      </c>
      <c r="H180" s="3">
        <f>IF('ORDENES'!$C158="","-",'ORDENES'!$C158)</f>
        <v/>
      </c>
      <c r="I180" s="3">
        <f>IF('ORDENES'!$E158="","-",'ORDENES'!$E158)</f>
        <v/>
      </c>
      <c r="J180" s="3">
        <f>IF('ORDENES'!$F158="","-",'ORDENES'!$F158)</f>
        <v/>
      </c>
      <c r="K180" s="12">
        <f>IF('ORDENES'!$L158="",0,'ORDENES'!$L158)</f>
        <v/>
      </c>
      <c r="L180" s="3">
        <f>IF('ORDENES'!$N158="","-",'ORDENES'!$N158)</f>
        <v/>
      </c>
      <c r="M180" s="3">
        <f>'ORDENES'!$AA158</f>
        <v/>
      </c>
    </row>
    <row r="181">
      <c r="A181" s="3">
        <f>IF('ORDENES'!$O159="","-",'ORDENES'!$O159)</f>
        <v/>
      </c>
      <c r="B181" s="3">
        <f>IF('ORDENES'!$R159="","-",'ORDENES'!$R159)</f>
        <v/>
      </c>
      <c r="C181" s="3">
        <f>IF('ORDENES'!$AC159="","-",'ORDENES'!$AC159)</f>
        <v/>
      </c>
      <c r="D181" s="3">
        <f>IF('ORDENES'!$V159="","-",'ORDENES'!$V159)</f>
        <v/>
      </c>
      <c r="E181" s="3">
        <f>IF('ORDENES'!$U159="","-",'ORDENES'!$U159)</f>
        <v/>
      </c>
      <c r="F181" s="3">
        <f>IF('ORDENES'!$W159="","-",'ORDENES'!$W159)</f>
        <v/>
      </c>
      <c r="G181" s="3">
        <f>IF('ORDENES'!$AB159="","-",'ORDENES'!$AB159)</f>
        <v/>
      </c>
      <c r="H181" s="3">
        <f>IF('ORDENES'!$C159="","-",'ORDENES'!$C159)</f>
        <v/>
      </c>
      <c r="I181" s="3">
        <f>IF('ORDENES'!$E159="","-",'ORDENES'!$E159)</f>
        <v/>
      </c>
      <c r="J181" s="3">
        <f>IF('ORDENES'!$F159="","-",'ORDENES'!$F159)</f>
        <v/>
      </c>
      <c r="K181" s="12">
        <f>IF('ORDENES'!$L159="",0,'ORDENES'!$L159)</f>
        <v/>
      </c>
      <c r="L181" s="3">
        <f>IF('ORDENES'!$N159="","-",'ORDENES'!$N159)</f>
        <v/>
      </c>
      <c r="M181" s="3">
        <f>'ORDENES'!$AA159</f>
        <v/>
      </c>
    </row>
    <row r="182">
      <c r="A182" s="3">
        <f>IF('ORDENES'!$O160="","-",'ORDENES'!$O160)</f>
        <v/>
      </c>
      <c r="B182" s="3">
        <f>IF('ORDENES'!$R160="","-",'ORDENES'!$R160)</f>
        <v/>
      </c>
      <c r="C182" s="3">
        <f>IF('ORDENES'!$AC160="","-",'ORDENES'!$AC160)</f>
        <v/>
      </c>
      <c r="D182" s="3">
        <f>IF('ORDENES'!$V160="","-",'ORDENES'!$V160)</f>
        <v/>
      </c>
      <c r="E182" s="3">
        <f>IF('ORDENES'!$U160="","-",'ORDENES'!$U160)</f>
        <v/>
      </c>
      <c r="F182" s="3">
        <f>IF('ORDENES'!$W160="","-",'ORDENES'!$W160)</f>
        <v/>
      </c>
      <c r="G182" s="3">
        <f>IF('ORDENES'!$AB160="","-",'ORDENES'!$AB160)</f>
        <v/>
      </c>
      <c r="H182" s="3">
        <f>IF('ORDENES'!$C160="","-",'ORDENES'!$C160)</f>
        <v/>
      </c>
      <c r="I182" s="3">
        <f>IF('ORDENES'!$E160="","-",'ORDENES'!$E160)</f>
        <v/>
      </c>
      <c r="J182" s="3">
        <f>IF('ORDENES'!$F160="","-",'ORDENES'!$F160)</f>
        <v/>
      </c>
      <c r="K182" s="12">
        <f>IF('ORDENES'!$L160="",0,'ORDENES'!$L160)</f>
        <v/>
      </c>
      <c r="L182" s="3">
        <f>IF('ORDENES'!$N160="","-",'ORDENES'!$N160)</f>
        <v/>
      </c>
      <c r="M182" s="3">
        <f>'ORDENES'!$AA160</f>
        <v/>
      </c>
    </row>
    <row r="183">
      <c r="A183" s="3">
        <f>IF('ORDENES'!$O161="","-",'ORDENES'!$O161)</f>
        <v/>
      </c>
      <c r="B183" s="3">
        <f>IF('ORDENES'!$R161="","-",'ORDENES'!$R161)</f>
        <v/>
      </c>
      <c r="C183" s="3">
        <f>IF('ORDENES'!$AC161="","-",'ORDENES'!$AC161)</f>
        <v/>
      </c>
      <c r="D183" s="3">
        <f>IF('ORDENES'!$V161="","-",'ORDENES'!$V161)</f>
        <v/>
      </c>
      <c r="E183" s="3">
        <f>IF('ORDENES'!$U161="","-",'ORDENES'!$U161)</f>
        <v/>
      </c>
      <c r="F183" s="3">
        <f>IF('ORDENES'!$W161="","-",'ORDENES'!$W161)</f>
        <v/>
      </c>
      <c r="G183" s="3">
        <f>IF('ORDENES'!$AB161="","-",'ORDENES'!$AB161)</f>
        <v/>
      </c>
      <c r="H183" s="3">
        <f>IF('ORDENES'!$C161="","-",'ORDENES'!$C161)</f>
        <v/>
      </c>
      <c r="I183" s="3">
        <f>IF('ORDENES'!$E161="","-",'ORDENES'!$E161)</f>
        <v/>
      </c>
      <c r="J183" s="3">
        <f>IF('ORDENES'!$F161="","-",'ORDENES'!$F161)</f>
        <v/>
      </c>
      <c r="K183" s="12">
        <f>IF('ORDENES'!$L161="",0,'ORDENES'!$L161)</f>
        <v/>
      </c>
      <c r="L183" s="3">
        <f>IF('ORDENES'!$N161="","-",'ORDENES'!$N161)</f>
        <v/>
      </c>
      <c r="M183" s="3">
        <f>'ORDENES'!$AA161</f>
        <v/>
      </c>
    </row>
    <row r="184">
      <c r="A184" s="3">
        <f>IF('ORDENES'!$O162="","-",'ORDENES'!$O162)</f>
        <v/>
      </c>
      <c r="B184" s="3">
        <f>IF('ORDENES'!$R162="","-",'ORDENES'!$R162)</f>
        <v/>
      </c>
      <c r="C184" s="3">
        <f>IF('ORDENES'!$AC162="","-",'ORDENES'!$AC162)</f>
        <v/>
      </c>
      <c r="D184" s="3">
        <f>IF('ORDENES'!$V162="","-",'ORDENES'!$V162)</f>
        <v/>
      </c>
      <c r="E184" s="3">
        <f>IF('ORDENES'!$U162="","-",'ORDENES'!$U162)</f>
        <v/>
      </c>
      <c r="F184" s="3">
        <f>IF('ORDENES'!$W162="","-",'ORDENES'!$W162)</f>
        <v/>
      </c>
      <c r="G184" s="3">
        <f>IF('ORDENES'!$AB162="","-",'ORDENES'!$AB162)</f>
        <v/>
      </c>
      <c r="H184" s="3">
        <f>IF('ORDENES'!$C162="","-",'ORDENES'!$C162)</f>
        <v/>
      </c>
      <c r="I184" s="3">
        <f>IF('ORDENES'!$E162="","-",'ORDENES'!$E162)</f>
        <v/>
      </c>
      <c r="J184" s="3">
        <f>IF('ORDENES'!$F162="","-",'ORDENES'!$F162)</f>
        <v/>
      </c>
      <c r="K184" s="12">
        <f>IF('ORDENES'!$L162="",0,'ORDENES'!$L162)</f>
        <v/>
      </c>
      <c r="L184" s="3">
        <f>IF('ORDENES'!$N162="","-",'ORDENES'!$N162)</f>
        <v/>
      </c>
      <c r="M184" s="3">
        <f>'ORDENES'!$AA162</f>
        <v/>
      </c>
    </row>
    <row r="185">
      <c r="A185" s="3">
        <f>IF('ORDENES'!$O163="","-",'ORDENES'!$O163)</f>
        <v/>
      </c>
      <c r="B185" s="3">
        <f>IF('ORDENES'!$R163="","-",'ORDENES'!$R163)</f>
        <v/>
      </c>
      <c r="C185" s="3">
        <f>IF('ORDENES'!$AC163="","-",'ORDENES'!$AC163)</f>
        <v/>
      </c>
      <c r="D185" s="3">
        <f>IF('ORDENES'!$V163="","-",'ORDENES'!$V163)</f>
        <v/>
      </c>
      <c r="E185" s="3">
        <f>IF('ORDENES'!$U163="","-",'ORDENES'!$U163)</f>
        <v/>
      </c>
      <c r="F185" s="3">
        <f>IF('ORDENES'!$W163="","-",'ORDENES'!$W163)</f>
        <v/>
      </c>
      <c r="G185" s="3">
        <f>IF('ORDENES'!$AB163="","-",'ORDENES'!$AB163)</f>
        <v/>
      </c>
      <c r="H185" s="3">
        <f>IF('ORDENES'!$C163="","-",'ORDENES'!$C163)</f>
        <v/>
      </c>
      <c r="I185" s="3">
        <f>IF('ORDENES'!$E163="","-",'ORDENES'!$E163)</f>
        <v/>
      </c>
      <c r="J185" s="3">
        <f>IF('ORDENES'!$F163="","-",'ORDENES'!$F163)</f>
        <v/>
      </c>
      <c r="K185" s="12">
        <f>IF('ORDENES'!$L163="",0,'ORDENES'!$L163)</f>
        <v/>
      </c>
      <c r="L185" s="3">
        <f>IF('ORDENES'!$N163="","-",'ORDENES'!$N163)</f>
        <v/>
      </c>
      <c r="M185" s="3">
        <f>'ORDENES'!$AA163</f>
        <v/>
      </c>
    </row>
    <row r="186">
      <c r="A186" s="3">
        <f>IF('ORDENES'!$O164="","-",'ORDENES'!$O164)</f>
        <v/>
      </c>
      <c r="B186" s="3">
        <f>IF('ORDENES'!$R164="","-",'ORDENES'!$R164)</f>
        <v/>
      </c>
      <c r="C186" s="3">
        <f>IF('ORDENES'!$AC164="","-",'ORDENES'!$AC164)</f>
        <v/>
      </c>
      <c r="D186" s="3">
        <f>IF('ORDENES'!$V164="","-",'ORDENES'!$V164)</f>
        <v/>
      </c>
      <c r="E186" s="3">
        <f>IF('ORDENES'!$U164="","-",'ORDENES'!$U164)</f>
        <v/>
      </c>
      <c r="F186" s="3">
        <f>IF('ORDENES'!$W164="","-",'ORDENES'!$W164)</f>
        <v/>
      </c>
      <c r="G186" s="3">
        <f>IF('ORDENES'!$AB164="","-",'ORDENES'!$AB164)</f>
        <v/>
      </c>
      <c r="H186" s="3">
        <f>IF('ORDENES'!$C164="","-",'ORDENES'!$C164)</f>
        <v/>
      </c>
      <c r="I186" s="3">
        <f>IF('ORDENES'!$E164="","-",'ORDENES'!$E164)</f>
        <v/>
      </c>
      <c r="J186" s="3">
        <f>IF('ORDENES'!$F164="","-",'ORDENES'!$F164)</f>
        <v/>
      </c>
      <c r="K186" s="12">
        <f>IF('ORDENES'!$L164="",0,'ORDENES'!$L164)</f>
        <v/>
      </c>
      <c r="L186" s="3">
        <f>IF('ORDENES'!$N164="","-",'ORDENES'!$N164)</f>
        <v/>
      </c>
      <c r="M186" s="3">
        <f>'ORDENES'!$AA164</f>
        <v/>
      </c>
    </row>
    <row r="187">
      <c r="A187" s="3">
        <f>IF('ORDENES'!$O165="","-",'ORDENES'!$O165)</f>
        <v/>
      </c>
      <c r="B187" s="3">
        <f>IF('ORDENES'!$R165="","-",'ORDENES'!$R165)</f>
        <v/>
      </c>
      <c r="C187" s="3">
        <f>IF('ORDENES'!$AC165="","-",'ORDENES'!$AC165)</f>
        <v/>
      </c>
      <c r="D187" s="3">
        <f>IF('ORDENES'!$V165="","-",'ORDENES'!$V165)</f>
        <v/>
      </c>
      <c r="E187" s="3">
        <f>IF('ORDENES'!$U165="","-",'ORDENES'!$U165)</f>
        <v/>
      </c>
      <c r="F187" s="3">
        <f>IF('ORDENES'!$W165="","-",'ORDENES'!$W165)</f>
        <v/>
      </c>
      <c r="G187" s="3">
        <f>IF('ORDENES'!$AB165="","-",'ORDENES'!$AB165)</f>
        <v/>
      </c>
      <c r="H187" s="3">
        <f>IF('ORDENES'!$C165="","-",'ORDENES'!$C165)</f>
        <v/>
      </c>
      <c r="I187" s="3">
        <f>IF('ORDENES'!$E165="","-",'ORDENES'!$E165)</f>
        <v/>
      </c>
      <c r="J187" s="3">
        <f>IF('ORDENES'!$F165="","-",'ORDENES'!$F165)</f>
        <v/>
      </c>
      <c r="K187" s="12">
        <f>IF('ORDENES'!$L165="",0,'ORDENES'!$L165)</f>
        <v/>
      </c>
      <c r="L187" s="3">
        <f>IF('ORDENES'!$N165="","-",'ORDENES'!$N165)</f>
        <v/>
      </c>
      <c r="M187" s="3">
        <f>'ORDENES'!$AA165</f>
        <v/>
      </c>
    </row>
    <row r="188">
      <c r="A188" s="3">
        <f>IF('ORDENES'!$O166="","-",'ORDENES'!$O166)</f>
        <v/>
      </c>
      <c r="B188" s="3">
        <f>IF('ORDENES'!$R166="","-",'ORDENES'!$R166)</f>
        <v/>
      </c>
      <c r="C188" s="3">
        <f>IF('ORDENES'!$AC166="","-",'ORDENES'!$AC166)</f>
        <v/>
      </c>
      <c r="D188" s="3">
        <f>IF('ORDENES'!$V166="","-",'ORDENES'!$V166)</f>
        <v/>
      </c>
      <c r="E188" s="3">
        <f>IF('ORDENES'!$U166="","-",'ORDENES'!$U166)</f>
        <v/>
      </c>
      <c r="F188" s="3">
        <f>IF('ORDENES'!$W166="","-",'ORDENES'!$W166)</f>
        <v/>
      </c>
      <c r="G188" s="3">
        <f>IF('ORDENES'!$AB166="","-",'ORDENES'!$AB166)</f>
        <v/>
      </c>
      <c r="H188" s="3">
        <f>IF('ORDENES'!$C166="","-",'ORDENES'!$C166)</f>
        <v/>
      </c>
      <c r="I188" s="3">
        <f>IF('ORDENES'!$E166="","-",'ORDENES'!$E166)</f>
        <v/>
      </c>
      <c r="J188" s="3">
        <f>IF('ORDENES'!$F166="","-",'ORDENES'!$F166)</f>
        <v/>
      </c>
      <c r="K188" s="12">
        <f>IF('ORDENES'!$L166="",0,'ORDENES'!$L166)</f>
        <v/>
      </c>
      <c r="L188" s="3">
        <f>IF('ORDENES'!$N166="","-",'ORDENES'!$N166)</f>
        <v/>
      </c>
      <c r="M188" s="3">
        <f>'ORDENES'!$AA166</f>
        <v/>
      </c>
    </row>
    <row r="189">
      <c r="A189" s="3">
        <f>IF('ORDENES'!$O167="","-",'ORDENES'!$O167)</f>
        <v/>
      </c>
      <c r="B189" s="3">
        <f>IF('ORDENES'!$R167="","-",'ORDENES'!$R167)</f>
        <v/>
      </c>
      <c r="C189" s="3">
        <f>IF('ORDENES'!$AC167="","-",'ORDENES'!$AC167)</f>
        <v/>
      </c>
      <c r="D189" s="3">
        <f>IF('ORDENES'!$V167="","-",'ORDENES'!$V167)</f>
        <v/>
      </c>
      <c r="E189" s="3">
        <f>IF('ORDENES'!$U167="","-",'ORDENES'!$U167)</f>
        <v/>
      </c>
      <c r="F189" s="3">
        <f>IF('ORDENES'!$W167="","-",'ORDENES'!$W167)</f>
        <v/>
      </c>
      <c r="G189" s="3">
        <f>IF('ORDENES'!$AB167="","-",'ORDENES'!$AB167)</f>
        <v/>
      </c>
      <c r="H189" s="3">
        <f>IF('ORDENES'!$C167="","-",'ORDENES'!$C167)</f>
        <v/>
      </c>
      <c r="I189" s="3">
        <f>IF('ORDENES'!$E167="","-",'ORDENES'!$E167)</f>
        <v/>
      </c>
      <c r="J189" s="3">
        <f>IF('ORDENES'!$F167="","-",'ORDENES'!$F167)</f>
        <v/>
      </c>
      <c r="K189" s="12">
        <f>IF('ORDENES'!$L167="",0,'ORDENES'!$L167)</f>
        <v/>
      </c>
      <c r="L189" s="3">
        <f>IF('ORDENES'!$N167="","-",'ORDENES'!$N167)</f>
        <v/>
      </c>
      <c r="M189" s="3">
        <f>'ORDENES'!$AA167</f>
        <v/>
      </c>
    </row>
    <row r="190">
      <c r="A190" s="3">
        <f>IF('ORDENES'!$O168="","-",'ORDENES'!$O168)</f>
        <v/>
      </c>
      <c r="B190" s="3">
        <f>IF('ORDENES'!$R168="","-",'ORDENES'!$R168)</f>
        <v/>
      </c>
      <c r="C190" s="3">
        <f>IF('ORDENES'!$AC168="","-",'ORDENES'!$AC168)</f>
        <v/>
      </c>
      <c r="D190" s="3">
        <f>IF('ORDENES'!$V168="","-",'ORDENES'!$V168)</f>
        <v/>
      </c>
      <c r="E190" s="3">
        <f>IF('ORDENES'!$U168="","-",'ORDENES'!$U168)</f>
        <v/>
      </c>
      <c r="F190" s="3">
        <f>IF('ORDENES'!$W168="","-",'ORDENES'!$W168)</f>
        <v/>
      </c>
      <c r="G190" s="3">
        <f>IF('ORDENES'!$AB168="","-",'ORDENES'!$AB168)</f>
        <v/>
      </c>
      <c r="H190" s="3">
        <f>IF('ORDENES'!$C168="","-",'ORDENES'!$C168)</f>
        <v/>
      </c>
      <c r="I190" s="3">
        <f>IF('ORDENES'!$E168="","-",'ORDENES'!$E168)</f>
        <v/>
      </c>
      <c r="J190" s="3">
        <f>IF('ORDENES'!$F168="","-",'ORDENES'!$F168)</f>
        <v/>
      </c>
      <c r="K190" s="12">
        <f>IF('ORDENES'!$L168="",0,'ORDENES'!$L168)</f>
        <v/>
      </c>
      <c r="L190" s="3">
        <f>IF('ORDENES'!$N168="","-",'ORDENES'!$N168)</f>
        <v/>
      </c>
      <c r="M190" s="3">
        <f>'ORDENES'!$AA168</f>
        <v/>
      </c>
    </row>
    <row r="191">
      <c r="A191" s="3">
        <f>IF('ORDENES'!$O169="","-",'ORDENES'!$O169)</f>
        <v/>
      </c>
      <c r="B191" s="3">
        <f>IF('ORDENES'!$R169="","-",'ORDENES'!$R169)</f>
        <v/>
      </c>
      <c r="C191" s="3">
        <f>IF('ORDENES'!$AC169="","-",'ORDENES'!$AC169)</f>
        <v/>
      </c>
      <c r="D191" s="3">
        <f>IF('ORDENES'!$V169="","-",'ORDENES'!$V169)</f>
        <v/>
      </c>
      <c r="E191" s="3">
        <f>IF('ORDENES'!$U169="","-",'ORDENES'!$U169)</f>
        <v/>
      </c>
      <c r="F191" s="3">
        <f>IF('ORDENES'!$W169="","-",'ORDENES'!$W169)</f>
        <v/>
      </c>
      <c r="G191" s="3">
        <f>IF('ORDENES'!$AB169="","-",'ORDENES'!$AB169)</f>
        <v/>
      </c>
      <c r="H191" s="3">
        <f>IF('ORDENES'!$C169="","-",'ORDENES'!$C169)</f>
        <v/>
      </c>
      <c r="I191" s="3">
        <f>IF('ORDENES'!$E169="","-",'ORDENES'!$E169)</f>
        <v/>
      </c>
      <c r="J191" s="3">
        <f>IF('ORDENES'!$F169="","-",'ORDENES'!$F169)</f>
        <v/>
      </c>
      <c r="K191" s="12">
        <f>IF('ORDENES'!$L169="",0,'ORDENES'!$L169)</f>
        <v/>
      </c>
      <c r="L191" s="3">
        <f>IF('ORDENES'!$N169="","-",'ORDENES'!$N169)</f>
        <v/>
      </c>
      <c r="M191" s="3">
        <f>'ORDENES'!$AA169</f>
        <v/>
      </c>
    </row>
    <row r="192">
      <c r="A192" s="3">
        <f>IF('ORDENES'!$O170="","-",'ORDENES'!$O170)</f>
        <v/>
      </c>
      <c r="B192" s="3">
        <f>IF('ORDENES'!$R170="","-",'ORDENES'!$R170)</f>
        <v/>
      </c>
      <c r="C192" s="3">
        <f>IF('ORDENES'!$AC170="","-",'ORDENES'!$AC170)</f>
        <v/>
      </c>
      <c r="D192" s="3">
        <f>IF('ORDENES'!$V170="","-",'ORDENES'!$V170)</f>
        <v/>
      </c>
      <c r="E192" s="3">
        <f>IF('ORDENES'!$U170="","-",'ORDENES'!$U170)</f>
        <v/>
      </c>
      <c r="F192" s="3">
        <f>IF('ORDENES'!$W170="","-",'ORDENES'!$W170)</f>
        <v/>
      </c>
      <c r="G192" s="3">
        <f>IF('ORDENES'!$AB170="","-",'ORDENES'!$AB170)</f>
        <v/>
      </c>
      <c r="H192" s="3">
        <f>IF('ORDENES'!$C170="","-",'ORDENES'!$C170)</f>
        <v/>
      </c>
      <c r="I192" s="3">
        <f>IF('ORDENES'!$E170="","-",'ORDENES'!$E170)</f>
        <v/>
      </c>
      <c r="J192" s="3">
        <f>IF('ORDENES'!$F170="","-",'ORDENES'!$F170)</f>
        <v/>
      </c>
      <c r="K192" s="12">
        <f>IF('ORDENES'!$L170="",0,'ORDENES'!$L170)</f>
        <v/>
      </c>
      <c r="L192" s="3">
        <f>IF('ORDENES'!$N170="","-",'ORDENES'!$N170)</f>
        <v/>
      </c>
      <c r="M192" s="3">
        <f>'ORDENES'!$AA170</f>
        <v/>
      </c>
    </row>
    <row r="193">
      <c r="A193" s="3">
        <f>IF('ORDENES'!$O171="","-",'ORDENES'!$O171)</f>
        <v/>
      </c>
      <c r="B193" s="3">
        <f>IF('ORDENES'!$R171="","-",'ORDENES'!$R171)</f>
        <v/>
      </c>
      <c r="C193" s="3">
        <f>IF('ORDENES'!$AC171="","-",'ORDENES'!$AC171)</f>
        <v/>
      </c>
      <c r="D193" s="3">
        <f>IF('ORDENES'!$V171="","-",'ORDENES'!$V171)</f>
        <v/>
      </c>
      <c r="E193" s="3">
        <f>IF('ORDENES'!$U171="","-",'ORDENES'!$U171)</f>
        <v/>
      </c>
      <c r="F193" s="3">
        <f>IF('ORDENES'!$W171="","-",'ORDENES'!$W171)</f>
        <v/>
      </c>
      <c r="G193" s="3">
        <f>IF('ORDENES'!$AB171="","-",'ORDENES'!$AB171)</f>
        <v/>
      </c>
      <c r="H193" s="3">
        <f>IF('ORDENES'!$C171="","-",'ORDENES'!$C171)</f>
        <v/>
      </c>
      <c r="I193" s="3">
        <f>IF('ORDENES'!$E171="","-",'ORDENES'!$E171)</f>
        <v/>
      </c>
      <c r="J193" s="3">
        <f>IF('ORDENES'!$F171="","-",'ORDENES'!$F171)</f>
        <v/>
      </c>
      <c r="K193" s="12">
        <f>IF('ORDENES'!$L171="",0,'ORDENES'!$L171)</f>
        <v/>
      </c>
      <c r="L193" s="3">
        <f>IF('ORDENES'!$N171="","-",'ORDENES'!$N171)</f>
        <v/>
      </c>
      <c r="M193" s="3">
        <f>'ORDENES'!$AA171</f>
        <v/>
      </c>
    </row>
    <row r="194">
      <c r="A194" s="3">
        <f>IF('ORDENES'!$O172="","-",'ORDENES'!$O172)</f>
        <v/>
      </c>
      <c r="B194" s="3">
        <f>IF('ORDENES'!$R172="","-",'ORDENES'!$R172)</f>
        <v/>
      </c>
      <c r="C194" s="3">
        <f>IF('ORDENES'!$AC172="","-",'ORDENES'!$AC172)</f>
        <v/>
      </c>
      <c r="D194" s="3">
        <f>IF('ORDENES'!$V172="","-",'ORDENES'!$V172)</f>
        <v/>
      </c>
      <c r="E194" s="3">
        <f>IF('ORDENES'!$U172="","-",'ORDENES'!$U172)</f>
        <v/>
      </c>
      <c r="F194" s="3">
        <f>IF('ORDENES'!$W172="","-",'ORDENES'!$W172)</f>
        <v/>
      </c>
      <c r="G194" s="3">
        <f>IF('ORDENES'!$AB172="","-",'ORDENES'!$AB172)</f>
        <v/>
      </c>
      <c r="H194" s="3">
        <f>IF('ORDENES'!$C172="","-",'ORDENES'!$C172)</f>
        <v/>
      </c>
      <c r="I194" s="3">
        <f>IF('ORDENES'!$E172="","-",'ORDENES'!$E172)</f>
        <v/>
      </c>
      <c r="J194" s="3">
        <f>IF('ORDENES'!$F172="","-",'ORDENES'!$F172)</f>
        <v/>
      </c>
      <c r="K194" s="12">
        <f>IF('ORDENES'!$L172="",0,'ORDENES'!$L172)</f>
        <v/>
      </c>
      <c r="L194" s="3">
        <f>IF('ORDENES'!$N172="","-",'ORDENES'!$N172)</f>
        <v/>
      </c>
      <c r="M194" s="3">
        <f>'ORDENES'!$AA172</f>
        <v/>
      </c>
    </row>
    <row r="195">
      <c r="A195" s="3">
        <f>IF('ORDENES'!$O173="","-",'ORDENES'!$O173)</f>
        <v/>
      </c>
      <c r="B195" s="3">
        <f>IF('ORDENES'!$R173="","-",'ORDENES'!$R173)</f>
        <v/>
      </c>
      <c r="C195" s="3">
        <f>IF('ORDENES'!$AC173="","-",'ORDENES'!$AC173)</f>
        <v/>
      </c>
      <c r="D195" s="3">
        <f>IF('ORDENES'!$V173="","-",'ORDENES'!$V173)</f>
        <v/>
      </c>
      <c r="E195" s="3">
        <f>IF('ORDENES'!$U173="","-",'ORDENES'!$U173)</f>
        <v/>
      </c>
      <c r="F195" s="3">
        <f>IF('ORDENES'!$W173="","-",'ORDENES'!$W173)</f>
        <v/>
      </c>
      <c r="G195" s="3">
        <f>IF('ORDENES'!$AB173="","-",'ORDENES'!$AB173)</f>
        <v/>
      </c>
      <c r="H195" s="3">
        <f>IF('ORDENES'!$C173="","-",'ORDENES'!$C173)</f>
        <v/>
      </c>
      <c r="I195" s="3">
        <f>IF('ORDENES'!$E173="","-",'ORDENES'!$E173)</f>
        <v/>
      </c>
      <c r="J195" s="3">
        <f>IF('ORDENES'!$F173="","-",'ORDENES'!$F173)</f>
        <v/>
      </c>
      <c r="K195" s="12">
        <f>IF('ORDENES'!$L173="",0,'ORDENES'!$L173)</f>
        <v/>
      </c>
      <c r="L195" s="3">
        <f>IF('ORDENES'!$N173="","-",'ORDENES'!$N173)</f>
        <v/>
      </c>
      <c r="M195" s="3">
        <f>'ORDENES'!$AA173</f>
        <v/>
      </c>
    </row>
    <row r="196">
      <c r="A196" s="3">
        <f>IF('ORDENES'!$O174="","-",'ORDENES'!$O174)</f>
        <v/>
      </c>
      <c r="B196" s="3">
        <f>IF('ORDENES'!$R174="","-",'ORDENES'!$R174)</f>
        <v/>
      </c>
      <c r="C196" s="3">
        <f>IF('ORDENES'!$AC174="","-",'ORDENES'!$AC174)</f>
        <v/>
      </c>
      <c r="D196" s="3">
        <f>IF('ORDENES'!$V174="","-",'ORDENES'!$V174)</f>
        <v/>
      </c>
      <c r="E196" s="3">
        <f>IF('ORDENES'!$U174="","-",'ORDENES'!$U174)</f>
        <v/>
      </c>
      <c r="F196" s="3">
        <f>IF('ORDENES'!$W174="","-",'ORDENES'!$W174)</f>
        <v/>
      </c>
      <c r="G196" s="3">
        <f>IF('ORDENES'!$AB174="","-",'ORDENES'!$AB174)</f>
        <v/>
      </c>
      <c r="H196" s="3">
        <f>IF('ORDENES'!$C174="","-",'ORDENES'!$C174)</f>
        <v/>
      </c>
      <c r="I196" s="3">
        <f>IF('ORDENES'!$E174="","-",'ORDENES'!$E174)</f>
        <v/>
      </c>
      <c r="J196" s="3">
        <f>IF('ORDENES'!$F174="","-",'ORDENES'!$F174)</f>
        <v/>
      </c>
      <c r="K196" s="12">
        <f>IF('ORDENES'!$L174="",0,'ORDENES'!$L174)</f>
        <v/>
      </c>
      <c r="L196" s="3">
        <f>IF('ORDENES'!$N174="","-",'ORDENES'!$N174)</f>
        <v/>
      </c>
      <c r="M196" s="3">
        <f>'ORDENES'!$AA174</f>
        <v/>
      </c>
    </row>
    <row r="197">
      <c r="A197" s="3">
        <f>IF('ORDENES'!$O175="","-",'ORDENES'!$O175)</f>
        <v/>
      </c>
      <c r="B197" s="3">
        <f>IF('ORDENES'!$R175="","-",'ORDENES'!$R175)</f>
        <v/>
      </c>
      <c r="C197" s="3">
        <f>IF('ORDENES'!$AC175="","-",'ORDENES'!$AC175)</f>
        <v/>
      </c>
      <c r="D197" s="3">
        <f>IF('ORDENES'!$V175="","-",'ORDENES'!$V175)</f>
        <v/>
      </c>
      <c r="E197" s="3">
        <f>IF('ORDENES'!$U175="","-",'ORDENES'!$U175)</f>
        <v/>
      </c>
      <c r="F197" s="3">
        <f>IF('ORDENES'!$W175="","-",'ORDENES'!$W175)</f>
        <v/>
      </c>
      <c r="G197" s="3">
        <f>IF('ORDENES'!$AB175="","-",'ORDENES'!$AB175)</f>
        <v/>
      </c>
      <c r="H197" s="3">
        <f>IF('ORDENES'!$C175="","-",'ORDENES'!$C175)</f>
        <v/>
      </c>
      <c r="I197" s="3">
        <f>IF('ORDENES'!$E175="","-",'ORDENES'!$E175)</f>
        <v/>
      </c>
      <c r="J197" s="3">
        <f>IF('ORDENES'!$F175="","-",'ORDENES'!$F175)</f>
        <v/>
      </c>
      <c r="K197" s="12">
        <f>IF('ORDENES'!$L175="",0,'ORDENES'!$L175)</f>
        <v/>
      </c>
      <c r="L197" s="3">
        <f>IF('ORDENES'!$N175="","-",'ORDENES'!$N175)</f>
        <v/>
      </c>
      <c r="M197" s="3">
        <f>'ORDENES'!$AA175</f>
        <v/>
      </c>
    </row>
    <row r="198">
      <c r="A198" s="3">
        <f>IF('ORDENES'!$O176="","-",'ORDENES'!$O176)</f>
        <v/>
      </c>
      <c r="B198" s="3">
        <f>IF('ORDENES'!$R176="","-",'ORDENES'!$R176)</f>
        <v/>
      </c>
      <c r="C198" s="3">
        <f>IF('ORDENES'!$AC176="","-",'ORDENES'!$AC176)</f>
        <v/>
      </c>
      <c r="D198" s="3">
        <f>IF('ORDENES'!$V176="","-",'ORDENES'!$V176)</f>
        <v/>
      </c>
      <c r="E198" s="3">
        <f>IF('ORDENES'!$U176="","-",'ORDENES'!$U176)</f>
        <v/>
      </c>
      <c r="F198" s="3">
        <f>IF('ORDENES'!$W176="","-",'ORDENES'!$W176)</f>
        <v/>
      </c>
      <c r="G198" s="3">
        <f>IF('ORDENES'!$AB176="","-",'ORDENES'!$AB176)</f>
        <v/>
      </c>
      <c r="H198" s="3">
        <f>IF('ORDENES'!$C176="","-",'ORDENES'!$C176)</f>
        <v/>
      </c>
      <c r="I198" s="3">
        <f>IF('ORDENES'!$E176="","-",'ORDENES'!$E176)</f>
        <v/>
      </c>
      <c r="J198" s="3">
        <f>IF('ORDENES'!$F176="","-",'ORDENES'!$F176)</f>
        <v/>
      </c>
      <c r="K198" s="12">
        <f>IF('ORDENES'!$L176="",0,'ORDENES'!$L176)</f>
        <v/>
      </c>
      <c r="L198" s="3">
        <f>IF('ORDENES'!$N176="","-",'ORDENES'!$N176)</f>
        <v/>
      </c>
      <c r="M198" s="3">
        <f>'ORDENES'!$AA176</f>
        <v/>
      </c>
    </row>
    <row r="199">
      <c r="A199" s="3">
        <f>IF('ORDENES'!$O177="","-",'ORDENES'!$O177)</f>
        <v/>
      </c>
      <c r="B199" s="3">
        <f>IF('ORDENES'!$R177="","-",'ORDENES'!$R177)</f>
        <v/>
      </c>
      <c r="C199" s="3">
        <f>IF('ORDENES'!$AC177="","-",'ORDENES'!$AC177)</f>
        <v/>
      </c>
      <c r="D199" s="3">
        <f>IF('ORDENES'!$V177="","-",'ORDENES'!$V177)</f>
        <v/>
      </c>
      <c r="E199" s="3">
        <f>IF('ORDENES'!$U177="","-",'ORDENES'!$U177)</f>
        <v/>
      </c>
      <c r="F199" s="3">
        <f>IF('ORDENES'!$W177="","-",'ORDENES'!$W177)</f>
        <v/>
      </c>
      <c r="G199" s="3">
        <f>IF('ORDENES'!$AB177="","-",'ORDENES'!$AB177)</f>
        <v/>
      </c>
      <c r="H199" s="3">
        <f>IF('ORDENES'!$C177="","-",'ORDENES'!$C177)</f>
        <v/>
      </c>
      <c r="I199" s="3">
        <f>IF('ORDENES'!$E177="","-",'ORDENES'!$E177)</f>
        <v/>
      </c>
      <c r="J199" s="3">
        <f>IF('ORDENES'!$F177="","-",'ORDENES'!$F177)</f>
        <v/>
      </c>
      <c r="K199" s="12">
        <f>IF('ORDENES'!$L177="",0,'ORDENES'!$L177)</f>
        <v/>
      </c>
      <c r="L199" s="3">
        <f>IF('ORDENES'!$N177="","-",'ORDENES'!$N177)</f>
        <v/>
      </c>
      <c r="M199" s="3">
        <f>'ORDENES'!$AA177</f>
        <v/>
      </c>
    </row>
    <row r="200">
      <c r="A200" s="3">
        <f>IF('ORDENES'!$O178="","-",'ORDENES'!$O178)</f>
        <v/>
      </c>
      <c r="B200" s="3">
        <f>IF('ORDENES'!$R178="","-",'ORDENES'!$R178)</f>
        <v/>
      </c>
      <c r="C200" s="3">
        <f>IF('ORDENES'!$AC178="","-",'ORDENES'!$AC178)</f>
        <v/>
      </c>
      <c r="D200" s="3">
        <f>IF('ORDENES'!$V178="","-",'ORDENES'!$V178)</f>
        <v/>
      </c>
      <c r="E200" s="3">
        <f>IF('ORDENES'!$U178="","-",'ORDENES'!$U178)</f>
        <v/>
      </c>
      <c r="F200" s="3">
        <f>IF('ORDENES'!$W178="","-",'ORDENES'!$W178)</f>
        <v/>
      </c>
      <c r="G200" s="3">
        <f>IF('ORDENES'!$AB178="","-",'ORDENES'!$AB178)</f>
        <v/>
      </c>
      <c r="H200" s="3">
        <f>IF('ORDENES'!$C178="","-",'ORDENES'!$C178)</f>
        <v/>
      </c>
      <c r="I200" s="3">
        <f>IF('ORDENES'!$E178="","-",'ORDENES'!$E178)</f>
        <v/>
      </c>
      <c r="J200" s="3">
        <f>IF('ORDENES'!$F178="","-",'ORDENES'!$F178)</f>
        <v/>
      </c>
      <c r="K200" s="12">
        <f>IF('ORDENES'!$L178="",0,'ORDENES'!$L178)</f>
        <v/>
      </c>
      <c r="L200" s="3">
        <f>IF('ORDENES'!$N178="","-",'ORDENES'!$N178)</f>
        <v/>
      </c>
      <c r="M200" s="3">
        <f>'ORDENES'!$AA178</f>
        <v/>
      </c>
    </row>
    <row r="201">
      <c r="A201" s="3">
        <f>IF('ORDENES'!$O179="","-",'ORDENES'!$O179)</f>
        <v/>
      </c>
      <c r="B201" s="3">
        <f>IF('ORDENES'!$R179="","-",'ORDENES'!$R179)</f>
        <v/>
      </c>
      <c r="C201" s="3">
        <f>IF('ORDENES'!$AC179="","-",'ORDENES'!$AC179)</f>
        <v/>
      </c>
      <c r="D201" s="3">
        <f>IF('ORDENES'!$V179="","-",'ORDENES'!$V179)</f>
        <v/>
      </c>
      <c r="E201" s="3">
        <f>IF('ORDENES'!$U179="","-",'ORDENES'!$U179)</f>
        <v/>
      </c>
      <c r="F201" s="3">
        <f>IF('ORDENES'!$W179="","-",'ORDENES'!$W179)</f>
        <v/>
      </c>
      <c r="G201" s="3">
        <f>IF('ORDENES'!$AB179="","-",'ORDENES'!$AB179)</f>
        <v/>
      </c>
      <c r="H201" s="3">
        <f>IF('ORDENES'!$C179="","-",'ORDENES'!$C179)</f>
        <v/>
      </c>
      <c r="I201" s="3">
        <f>IF('ORDENES'!$E179="","-",'ORDENES'!$E179)</f>
        <v/>
      </c>
      <c r="J201" s="3">
        <f>IF('ORDENES'!$F179="","-",'ORDENES'!$F179)</f>
        <v/>
      </c>
      <c r="K201" s="12">
        <f>IF('ORDENES'!$L179="",0,'ORDENES'!$L179)</f>
        <v/>
      </c>
      <c r="L201" s="3">
        <f>IF('ORDENES'!$N179="","-",'ORDENES'!$N179)</f>
        <v/>
      </c>
      <c r="M201" s="3">
        <f>'ORDENES'!$AA179</f>
        <v/>
      </c>
    </row>
    <row r="202">
      <c r="A202" s="3">
        <f>IF('ORDENES'!$O180="","-",'ORDENES'!$O180)</f>
        <v/>
      </c>
      <c r="B202" s="3">
        <f>IF('ORDENES'!$R180="","-",'ORDENES'!$R180)</f>
        <v/>
      </c>
      <c r="C202" s="3">
        <f>IF('ORDENES'!$AC180="","-",'ORDENES'!$AC180)</f>
        <v/>
      </c>
      <c r="D202" s="3">
        <f>IF('ORDENES'!$V180="","-",'ORDENES'!$V180)</f>
        <v/>
      </c>
      <c r="E202" s="3">
        <f>IF('ORDENES'!$U180="","-",'ORDENES'!$U180)</f>
        <v/>
      </c>
      <c r="F202" s="3">
        <f>IF('ORDENES'!$W180="","-",'ORDENES'!$W180)</f>
        <v/>
      </c>
      <c r="G202" s="3">
        <f>IF('ORDENES'!$AB180="","-",'ORDENES'!$AB180)</f>
        <v/>
      </c>
      <c r="H202" s="3">
        <f>IF('ORDENES'!$C180="","-",'ORDENES'!$C180)</f>
        <v/>
      </c>
      <c r="I202" s="3">
        <f>IF('ORDENES'!$E180="","-",'ORDENES'!$E180)</f>
        <v/>
      </c>
      <c r="J202" s="3">
        <f>IF('ORDENES'!$F180="","-",'ORDENES'!$F180)</f>
        <v/>
      </c>
      <c r="K202" s="12">
        <f>IF('ORDENES'!$L180="",0,'ORDENES'!$L180)</f>
        <v/>
      </c>
      <c r="L202" s="3">
        <f>IF('ORDENES'!$N180="","-",'ORDENES'!$N180)</f>
        <v/>
      </c>
      <c r="M202" s="3">
        <f>'ORDENES'!$AA180</f>
        <v/>
      </c>
    </row>
    <row r="203">
      <c r="A203" s="3">
        <f>IF('ORDENES'!$O181="","-",'ORDENES'!$O181)</f>
        <v/>
      </c>
      <c r="B203" s="3">
        <f>IF('ORDENES'!$R181="","-",'ORDENES'!$R181)</f>
        <v/>
      </c>
      <c r="C203" s="3">
        <f>IF('ORDENES'!$AC181="","-",'ORDENES'!$AC181)</f>
        <v/>
      </c>
      <c r="D203" s="3">
        <f>IF('ORDENES'!$V181="","-",'ORDENES'!$V181)</f>
        <v/>
      </c>
      <c r="E203" s="3">
        <f>IF('ORDENES'!$U181="","-",'ORDENES'!$U181)</f>
        <v/>
      </c>
      <c r="F203" s="3">
        <f>IF('ORDENES'!$W181="","-",'ORDENES'!$W181)</f>
        <v/>
      </c>
      <c r="G203" s="3">
        <f>IF('ORDENES'!$AB181="","-",'ORDENES'!$AB181)</f>
        <v/>
      </c>
      <c r="H203" s="3">
        <f>IF('ORDENES'!$C181="","-",'ORDENES'!$C181)</f>
        <v/>
      </c>
      <c r="I203" s="3">
        <f>IF('ORDENES'!$E181="","-",'ORDENES'!$E181)</f>
        <v/>
      </c>
      <c r="J203" s="3">
        <f>IF('ORDENES'!$F181="","-",'ORDENES'!$F181)</f>
        <v/>
      </c>
      <c r="K203" s="12">
        <f>IF('ORDENES'!$L181="",0,'ORDENES'!$L181)</f>
        <v/>
      </c>
      <c r="L203" s="3">
        <f>IF('ORDENES'!$N181="","-",'ORDENES'!$N181)</f>
        <v/>
      </c>
      <c r="M203" s="3">
        <f>'ORDENES'!$AA181</f>
        <v/>
      </c>
    </row>
    <row r="204">
      <c r="A204" s="3">
        <f>IF('ORDENES'!$O182="","-",'ORDENES'!$O182)</f>
        <v/>
      </c>
      <c r="B204" s="3">
        <f>IF('ORDENES'!$R182="","-",'ORDENES'!$R182)</f>
        <v/>
      </c>
      <c r="C204" s="3">
        <f>IF('ORDENES'!$AC182="","-",'ORDENES'!$AC182)</f>
        <v/>
      </c>
      <c r="D204" s="3">
        <f>IF('ORDENES'!$V182="","-",'ORDENES'!$V182)</f>
        <v/>
      </c>
      <c r="E204" s="3">
        <f>IF('ORDENES'!$U182="","-",'ORDENES'!$U182)</f>
        <v/>
      </c>
      <c r="F204" s="3">
        <f>IF('ORDENES'!$W182="","-",'ORDENES'!$W182)</f>
        <v/>
      </c>
      <c r="G204" s="3">
        <f>IF('ORDENES'!$AB182="","-",'ORDENES'!$AB182)</f>
        <v/>
      </c>
      <c r="H204" s="3">
        <f>IF('ORDENES'!$C182="","-",'ORDENES'!$C182)</f>
        <v/>
      </c>
      <c r="I204" s="3">
        <f>IF('ORDENES'!$E182="","-",'ORDENES'!$E182)</f>
        <v/>
      </c>
      <c r="J204" s="3">
        <f>IF('ORDENES'!$F182="","-",'ORDENES'!$F182)</f>
        <v/>
      </c>
      <c r="K204" s="12">
        <f>IF('ORDENES'!$L182="",0,'ORDENES'!$L182)</f>
        <v/>
      </c>
      <c r="L204" s="3">
        <f>IF('ORDENES'!$N182="","-",'ORDENES'!$N182)</f>
        <v/>
      </c>
      <c r="M204" s="3">
        <f>'ORDENES'!$AA182</f>
        <v/>
      </c>
    </row>
    <row r="205">
      <c r="A205" s="3">
        <f>IF('ORDENES'!$O183="","-",'ORDENES'!$O183)</f>
        <v/>
      </c>
      <c r="B205" s="3">
        <f>IF('ORDENES'!$R183="","-",'ORDENES'!$R183)</f>
        <v/>
      </c>
      <c r="C205" s="3">
        <f>IF('ORDENES'!$AC183="","-",'ORDENES'!$AC183)</f>
        <v/>
      </c>
      <c r="D205" s="3">
        <f>IF('ORDENES'!$V183="","-",'ORDENES'!$V183)</f>
        <v/>
      </c>
      <c r="E205" s="3">
        <f>IF('ORDENES'!$U183="","-",'ORDENES'!$U183)</f>
        <v/>
      </c>
      <c r="F205" s="3">
        <f>IF('ORDENES'!$W183="","-",'ORDENES'!$W183)</f>
        <v/>
      </c>
      <c r="G205" s="3">
        <f>IF('ORDENES'!$AB183="","-",'ORDENES'!$AB183)</f>
        <v/>
      </c>
      <c r="H205" s="3">
        <f>IF('ORDENES'!$C183="","-",'ORDENES'!$C183)</f>
        <v/>
      </c>
      <c r="I205" s="3">
        <f>IF('ORDENES'!$E183="","-",'ORDENES'!$E183)</f>
        <v/>
      </c>
      <c r="J205" s="3">
        <f>IF('ORDENES'!$F183="","-",'ORDENES'!$F183)</f>
        <v/>
      </c>
      <c r="K205" s="12">
        <f>IF('ORDENES'!$L183="",0,'ORDENES'!$L183)</f>
        <v/>
      </c>
      <c r="L205" s="3">
        <f>IF('ORDENES'!$N183="","-",'ORDENES'!$N183)</f>
        <v/>
      </c>
      <c r="M205" s="3">
        <f>'ORDENES'!$AA183</f>
        <v/>
      </c>
    </row>
    <row r="206">
      <c r="A206" s="3">
        <f>IF('ORDENES'!$O184="","-",'ORDENES'!$O184)</f>
        <v/>
      </c>
      <c r="B206" s="3">
        <f>IF('ORDENES'!$R184="","-",'ORDENES'!$R184)</f>
        <v/>
      </c>
      <c r="C206" s="3">
        <f>IF('ORDENES'!$AC184="","-",'ORDENES'!$AC184)</f>
        <v/>
      </c>
      <c r="D206" s="3">
        <f>IF('ORDENES'!$V184="","-",'ORDENES'!$V184)</f>
        <v/>
      </c>
      <c r="E206" s="3">
        <f>IF('ORDENES'!$U184="","-",'ORDENES'!$U184)</f>
        <v/>
      </c>
      <c r="F206" s="3">
        <f>IF('ORDENES'!$W184="","-",'ORDENES'!$W184)</f>
        <v/>
      </c>
      <c r="G206" s="3">
        <f>IF('ORDENES'!$AB184="","-",'ORDENES'!$AB184)</f>
        <v/>
      </c>
      <c r="H206" s="3">
        <f>IF('ORDENES'!$C184="","-",'ORDENES'!$C184)</f>
        <v/>
      </c>
      <c r="I206" s="3">
        <f>IF('ORDENES'!$E184="","-",'ORDENES'!$E184)</f>
        <v/>
      </c>
      <c r="J206" s="3">
        <f>IF('ORDENES'!$F184="","-",'ORDENES'!$F184)</f>
        <v/>
      </c>
      <c r="K206" s="12">
        <f>IF('ORDENES'!$L184="",0,'ORDENES'!$L184)</f>
        <v/>
      </c>
      <c r="L206" s="3">
        <f>IF('ORDENES'!$N184="","-",'ORDENES'!$N184)</f>
        <v/>
      </c>
      <c r="M206" s="3">
        <f>'ORDENES'!$AA184</f>
        <v/>
      </c>
    </row>
    <row r="207">
      <c r="A207" s="3">
        <f>IF('ORDENES'!$O185="","-",'ORDENES'!$O185)</f>
        <v/>
      </c>
      <c r="B207" s="3">
        <f>IF('ORDENES'!$R185="","-",'ORDENES'!$R185)</f>
        <v/>
      </c>
      <c r="C207" s="3">
        <f>IF('ORDENES'!$AC185="","-",'ORDENES'!$AC185)</f>
        <v/>
      </c>
      <c r="D207" s="3">
        <f>IF('ORDENES'!$V185="","-",'ORDENES'!$V185)</f>
        <v/>
      </c>
      <c r="E207" s="3">
        <f>IF('ORDENES'!$U185="","-",'ORDENES'!$U185)</f>
        <v/>
      </c>
      <c r="F207" s="3">
        <f>IF('ORDENES'!$W185="","-",'ORDENES'!$W185)</f>
        <v/>
      </c>
      <c r="G207" s="3">
        <f>IF('ORDENES'!$AB185="","-",'ORDENES'!$AB185)</f>
        <v/>
      </c>
      <c r="H207" s="3">
        <f>IF('ORDENES'!$C185="","-",'ORDENES'!$C185)</f>
        <v/>
      </c>
      <c r="I207" s="3">
        <f>IF('ORDENES'!$E185="","-",'ORDENES'!$E185)</f>
        <v/>
      </c>
      <c r="J207" s="3">
        <f>IF('ORDENES'!$F185="","-",'ORDENES'!$F185)</f>
        <v/>
      </c>
      <c r="K207" s="12">
        <f>IF('ORDENES'!$L185="",0,'ORDENES'!$L185)</f>
        <v/>
      </c>
      <c r="L207" s="3">
        <f>IF('ORDENES'!$N185="","-",'ORDENES'!$N185)</f>
        <v/>
      </c>
      <c r="M207" s="3">
        <f>'ORDENES'!$AA185</f>
        <v/>
      </c>
    </row>
    <row r="208">
      <c r="A208" s="3">
        <f>IF('ORDENES'!$O186="","-",'ORDENES'!$O186)</f>
        <v/>
      </c>
      <c r="B208" s="3">
        <f>IF('ORDENES'!$R186="","-",'ORDENES'!$R186)</f>
        <v/>
      </c>
      <c r="C208" s="3">
        <f>IF('ORDENES'!$AC186="","-",'ORDENES'!$AC186)</f>
        <v/>
      </c>
      <c r="D208" s="3">
        <f>IF('ORDENES'!$V186="","-",'ORDENES'!$V186)</f>
        <v/>
      </c>
      <c r="E208" s="3">
        <f>IF('ORDENES'!$U186="","-",'ORDENES'!$U186)</f>
        <v/>
      </c>
      <c r="F208" s="3">
        <f>IF('ORDENES'!$W186="","-",'ORDENES'!$W186)</f>
        <v/>
      </c>
      <c r="G208" s="3">
        <f>IF('ORDENES'!$AB186="","-",'ORDENES'!$AB186)</f>
        <v/>
      </c>
      <c r="H208" s="3">
        <f>IF('ORDENES'!$C186="","-",'ORDENES'!$C186)</f>
        <v/>
      </c>
      <c r="I208" s="3">
        <f>IF('ORDENES'!$E186="","-",'ORDENES'!$E186)</f>
        <v/>
      </c>
      <c r="J208" s="3">
        <f>IF('ORDENES'!$F186="","-",'ORDENES'!$F186)</f>
        <v/>
      </c>
      <c r="K208" s="12">
        <f>IF('ORDENES'!$L186="",0,'ORDENES'!$L186)</f>
        <v/>
      </c>
      <c r="L208" s="3">
        <f>IF('ORDENES'!$N186="","-",'ORDENES'!$N186)</f>
        <v/>
      </c>
      <c r="M208" s="3">
        <f>'ORDENES'!$AA186</f>
        <v/>
      </c>
    </row>
    <row r="209">
      <c r="A209" s="3">
        <f>IF('ORDENES'!$O187="","-",'ORDENES'!$O187)</f>
        <v/>
      </c>
      <c r="B209" s="3">
        <f>IF('ORDENES'!$R187="","-",'ORDENES'!$R187)</f>
        <v/>
      </c>
      <c r="C209" s="3">
        <f>IF('ORDENES'!$AC187="","-",'ORDENES'!$AC187)</f>
        <v/>
      </c>
      <c r="D209" s="3">
        <f>IF('ORDENES'!$V187="","-",'ORDENES'!$V187)</f>
        <v/>
      </c>
      <c r="E209" s="3">
        <f>IF('ORDENES'!$U187="","-",'ORDENES'!$U187)</f>
        <v/>
      </c>
      <c r="F209" s="3">
        <f>IF('ORDENES'!$W187="","-",'ORDENES'!$W187)</f>
        <v/>
      </c>
      <c r="G209" s="3">
        <f>IF('ORDENES'!$AB187="","-",'ORDENES'!$AB187)</f>
        <v/>
      </c>
      <c r="H209" s="3">
        <f>IF('ORDENES'!$C187="","-",'ORDENES'!$C187)</f>
        <v/>
      </c>
      <c r="I209" s="3">
        <f>IF('ORDENES'!$E187="","-",'ORDENES'!$E187)</f>
        <v/>
      </c>
      <c r="J209" s="3">
        <f>IF('ORDENES'!$F187="","-",'ORDENES'!$F187)</f>
        <v/>
      </c>
      <c r="K209" s="12">
        <f>IF('ORDENES'!$L187="",0,'ORDENES'!$L187)</f>
        <v/>
      </c>
      <c r="L209" s="3">
        <f>IF('ORDENES'!$N187="","-",'ORDENES'!$N187)</f>
        <v/>
      </c>
      <c r="M209" s="3">
        <f>'ORDENES'!$AA187</f>
        <v/>
      </c>
    </row>
    <row r="210">
      <c r="A210" s="3">
        <f>IF('ORDENES'!$O188="","-",'ORDENES'!$O188)</f>
        <v/>
      </c>
      <c r="B210" s="3">
        <f>IF('ORDENES'!$R188="","-",'ORDENES'!$R188)</f>
        <v/>
      </c>
      <c r="C210" s="3">
        <f>IF('ORDENES'!$AC188="","-",'ORDENES'!$AC188)</f>
        <v/>
      </c>
      <c r="D210" s="3">
        <f>IF('ORDENES'!$V188="","-",'ORDENES'!$V188)</f>
        <v/>
      </c>
      <c r="E210" s="3">
        <f>IF('ORDENES'!$U188="","-",'ORDENES'!$U188)</f>
        <v/>
      </c>
      <c r="F210" s="3">
        <f>IF('ORDENES'!$W188="","-",'ORDENES'!$W188)</f>
        <v/>
      </c>
      <c r="G210" s="3">
        <f>IF('ORDENES'!$AB188="","-",'ORDENES'!$AB188)</f>
        <v/>
      </c>
      <c r="H210" s="3">
        <f>IF('ORDENES'!$C188="","-",'ORDENES'!$C188)</f>
        <v/>
      </c>
      <c r="I210" s="3">
        <f>IF('ORDENES'!$E188="","-",'ORDENES'!$E188)</f>
        <v/>
      </c>
      <c r="J210" s="3">
        <f>IF('ORDENES'!$F188="","-",'ORDENES'!$F188)</f>
        <v/>
      </c>
      <c r="K210" s="12">
        <f>IF('ORDENES'!$L188="",0,'ORDENES'!$L188)</f>
        <v/>
      </c>
      <c r="L210" s="3">
        <f>IF('ORDENES'!$N188="","-",'ORDENES'!$N188)</f>
        <v/>
      </c>
      <c r="M210" s="3">
        <f>'ORDENES'!$AA188</f>
        <v/>
      </c>
    </row>
    <row r="211">
      <c r="A211" s="3">
        <f>IF('ORDENES'!$O189="","-",'ORDENES'!$O189)</f>
        <v/>
      </c>
      <c r="B211" s="3">
        <f>IF('ORDENES'!$R189="","-",'ORDENES'!$R189)</f>
        <v/>
      </c>
      <c r="C211" s="3">
        <f>IF('ORDENES'!$AC189="","-",'ORDENES'!$AC189)</f>
        <v/>
      </c>
      <c r="D211" s="3">
        <f>IF('ORDENES'!$V189="","-",'ORDENES'!$V189)</f>
        <v/>
      </c>
      <c r="E211" s="3">
        <f>IF('ORDENES'!$U189="","-",'ORDENES'!$U189)</f>
        <v/>
      </c>
      <c r="F211" s="3">
        <f>IF('ORDENES'!$W189="","-",'ORDENES'!$W189)</f>
        <v/>
      </c>
      <c r="G211" s="3">
        <f>IF('ORDENES'!$AB189="","-",'ORDENES'!$AB189)</f>
        <v/>
      </c>
      <c r="H211" s="3">
        <f>IF('ORDENES'!$C189="","-",'ORDENES'!$C189)</f>
        <v/>
      </c>
      <c r="I211" s="3">
        <f>IF('ORDENES'!$E189="","-",'ORDENES'!$E189)</f>
        <v/>
      </c>
      <c r="J211" s="3">
        <f>IF('ORDENES'!$F189="","-",'ORDENES'!$F189)</f>
        <v/>
      </c>
      <c r="K211" s="12">
        <f>IF('ORDENES'!$L189="",0,'ORDENES'!$L189)</f>
        <v/>
      </c>
      <c r="L211" s="3">
        <f>IF('ORDENES'!$N189="","-",'ORDENES'!$N189)</f>
        <v/>
      </c>
      <c r="M211" s="3">
        <f>'ORDENES'!$AA189</f>
        <v/>
      </c>
    </row>
    <row r="212">
      <c r="A212" s="3">
        <f>IF('ORDENES'!$O190="","-",'ORDENES'!$O190)</f>
        <v/>
      </c>
      <c r="B212" s="3">
        <f>IF('ORDENES'!$R190="","-",'ORDENES'!$R190)</f>
        <v/>
      </c>
      <c r="C212" s="3">
        <f>IF('ORDENES'!$AC190="","-",'ORDENES'!$AC190)</f>
        <v/>
      </c>
      <c r="D212" s="3">
        <f>IF('ORDENES'!$V190="","-",'ORDENES'!$V190)</f>
        <v/>
      </c>
      <c r="E212" s="3">
        <f>IF('ORDENES'!$U190="","-",'ORDENES'!$U190)</f>
        <v/>
      </c>
      <c r="F212" s="3">
        <f>IF('ORDENES'!$W190="","-",'ORDENES'!$W190)</f>
        <v/>
      </c>
      <c r="G212" s="3">
        <f>IF('ORDENES'!$AB190="","-",'ORDENES'!$AB190)</f>
        <v/>
      </c>
      <c r="H212" s="3">
        <f>IF('ORDENES'!$C190="","-",'ORDENES'!$C190)</f>
        <v/>
      </c>
      <c r="I212" s="3">
        <f>IF('ORDENES'!$E190="","-",'ORDENES'!$E190)</f>
        <v/>
      </c>
      <c r="J212" s="3">
        <f>IF('ORDENES'!$F190="","-",'ORDENES'!$F190)</f>
        <v/>
      </c>
      <c r="K212" s="12">
        <f>IF('ORDENES'!$L190="",0,'ORDENES'!$L190)</f>
        <v/>
      </c>
      <c r="L212" s="3">
        <f>IF('ORDENES'!$N190="","-",'ORDENES'!$N190)</f>
        <v/>
      </c>
      <c r="M212" s="3">
        <f>'ORDENES'!$AA190</f>
        <v/>
      </c>
    </row>
    <row r="213">
      <c r="A213" s="3">
        <f>IF('ORDENES'!$O191="","-",'ORDENES'!$O191)</f>
        <v/>
      </c>
      <c r="B213" s="3">
        <f>IF('ORDENES'!$R191="","-",'ORDENES'!$R191)</f>
        <v/>
      </c>
      <c r="C213" s="3">
        <f>IF('ORDENES'!$AC191="","-",'ORDENES'!$AC191)</f>
        <v/>
      </c>
      <c r="D213" s="3">
        <f>IF('ORDENES'!$V191="","-",'ORDENES'!$V191)</f>
        <v/>
      </c>
      <c r="E213" s="3">
        <f>IF('ORDENES'!$U191="","-",'ORDENES'!$U191)</f>
        <v/>
      </c>
      <c r="F213" s="3">
        <f>IF('ORDENES'!$W191="","-",'ORDENES'!$W191)</f>
        <v/>
      </c>
      <c r="G213" s="3">
        <f>IF('ORDENES'!$AB191="","-",'ORDENES'!$AB191)</f>
        <v/>
      </c>
      <c r="H213" s="3">
        <f>IF('ORDENES'!$C191="","-",'ORDENES'!$C191)</f>
        <v/>
      </c>
      <c r="I213" s="3">
        <f>IF('ORDENES'!$E191="","-",'ORDENES'!$E191)</f>
        <v/>
      </c>
      <c r="J213" s="3">
        <f>IF('ORDENES'!$F191="","-",'ORDENES'!$F191)</f>
        <v/>
      </c>
      <c r="K213" s="12">
        <f>IF('ORDENES'!$L191="",0,'ORDENES'!$L191)</f>
        <v/>
      </c>
      <c r="L213" s="3">
        <f>IF('ORDENES'!$N191="","-",'ORDENES'!$N191)</f>
        <v/>
      </c>
      <c r="M213" s="3">
        <f>'ORDENES'!$AA191</f>
        <v/>
      </c>
    </row>
    <row r="214">
      <c r="A214" s="3">
        <f>IF('ORDENES'!$O192="","-",'ORDENES'!$O192)</f>
        <v/>
      </c>
      <c r="B214" s="3">
        <f>IF('ORDENES'!$R192="","-",'ORDENES'!$R192)</f>
        <v/>
      </c>
      <c r="C214" s="3">
        <f>IF('ORDENES'!$AC192="","-",'ORDENES'!$AC192)</f>
        <v/>
      </c>
      <c r="D214" s="3">
        <f>IF('ORDENES'!$V192="","-",'ORDENES'!$V192)</f>
        <v/>
      </c>
      <c r="E214" s="3">
        <f>IF('ORDENES'!$U192="","-",'ORDENES'!$U192)</f>
        <v/>
      </c>
      <c r="F214" s="3">
        <f>IF('ORDENES'!$W192="","-",'ORDENES'!$W192)</f>
        <v/>
      </c>
      <c r="G214" s="3">
        <f>IF('ORDENES'!$AB192="","-",'ORDENES'!$AB192)</f>
        <v/>
      </c>
      <c r="H214" s="3">
        <f>IF('ORDENES'!$C192="","-",'ORDENES'!$C192)</f>
        <v/>
      </c>
      <c r="I214" s="3">
        <f>IF('ORDENES'!$E192="","-",'ORDENES'!$E192)</f>
        <v/>
      </c>
      <c r="J214" s="3">
        <f>IF('ORDENES'!$F192="","-",'ORDENES'!$F192)</f>
        <v/>
      </c>
      <c r="K214" s="12">
        <f>IF('ORDENES'!$L192="",0,'ORDENES'!$L192)</f>
        <v/>
      </c>
      <c r="L214" s="3">
        <f>IF('ORDENES'!$N192="","-",'ORDENES'!$N192)</f>
        <v/>
      </c>
      <c r="M214" s="3">
        <f>'ORDENES'!$AA192</f>
        <v/>
      </c>
    </row>
    <row r="215">
      <c r="A215" s="3">
        <f>IF('ORDENES'!$O193="","-",'ORDENES'!$O193)</f>
        <v/>
      </c>
      <c r="B215" s="3">
        <f>IF('ORDENES'!$R193="","-",'ORDENES'!$R193)</f>
        <v/>
      </c>
      <c r="C215" s="3">
        <f>IF('ORDENES'!$AC193="","-",'ORDENES'!$AC193)</f>
        <v/>
      </c>
      <c r="D215" s="3">
        <f>IF('ORDENES'!$V193="","-",'ORDENES'!$V193)</f>
        <v/>
      </c>
      <c r="E215" s="3">
        <f>IF('ORDENES'!$U193="","-",'ORDENES'!$U193)</f>
        <v/>
      </c>
      <c r="F215" s="3">
        <f>IF('ORDENES'!$W193="","-",'ORDENES'!$W193)</f>
        <v/>
      </c>
      <c r="G215" s="3">
        <f>IF('ORDENES'!$AB193="","-",'ORDENES'!$AB193)</f>
        <v/>
      </c>
      <c r="H215" s="3">
        <f>IF('ORDENES'!$C193="","-",'ORDENES'!$C193)</f>
        <v/>
      </c>
      <c r="I215" s="3">
        <f>IF('ORDENES'!$E193="","-",'ORDENES'!$E193)</f>
        <v/>
      </c>
      <c r="J215" s="3">
        <f>IF('ORDENES'!$F193="","-",'ORDENES'!$F193)</f>
        <v/>
      </c>
      <c r="K215" s="12">
        <f>IF('ORDENES'!$L193="",0,'ORDENES'!$L193)</f>
        <v/>
      </c>
      <c r="L215" s="3">
        <f>IF('ORDENES'!$N193="","-",'ORDENES'!$N193)</f>
        <v/>
      </c>
      <c r="M215" s="3">
        <f>'ORDENES'!$AA193</f>
        <v/>
      </c>
    </row>
    <row r="216">
      <c r="A216" s="3">
        <f>IF('ORDENES'!$O194="","-",'ORDENES'!$O194)</f>
        <v/>
      </c>
      <c r="B216" s="3">
        <f>IF('ORDENES'!$R194="","-",'ORDENES'!$R194)</f>
        <v/>
      </c>
      <c r="C216" s="3">
        <f>IF('ORDENES'!$AC194="","-",'ORDENES'!$AC194)</f>
        <v/>
      </c>
      <c r="D216" s="3">
        <f>IF('ORDENES'!$V194="","-",'ORDENES'!$V194)</f>
        <v/>
      </c>
      <c r="E216" s="3">
        <f>IF('ORDENES'!$U194="","-",'ORDENES'!$U194)</f>
        <v/>
      </c>
      <c r="F216" s="3">
        <f>IF('ORDENES'!$W194="","-",'ORDENES'!$W194)</f>
        <v/>
      </c>
      <c r="G216" s="3">
        <f>IF('ORDENES'!$AB194="","-",'ORDENES'!$AB194)</f>
        <v/>
      </c>
      <c r="H216" s="3">
        <f>IF('ORDENES'!$C194="","-",'ORDENES'!$C194)</f>
        <v/>
      </c>
      <c r="I216" s="3">
        <f>IF('ORDENES'!$E194="","-",'ORDENES'!$E194)</f>
        <v/>
      </c>
      <c r="J216" s="3">
        <f>IF('ORDENES'!$F194="","-",'ORDENES'!$F194)</f>
        <v/>
      </c>
      <c r="K216" s="12">
        <f>IF('ORDENES'!$L194="",0,'ORDENES'!$L194)</f>
        <v/>
      </c>
      <c r="L216" s="3">
        <f>IF('ORDENES'!$N194="","-",'ORDENES'!$N194)</f>
        <v/>
      </c>
      <c r="M216" s="3">
        <f>'ORDENES'!$AA194</f>
        <v/>
      </c>
    </row>
    <row r="217">
      <c r="A217" s="3">
        <f>IF('ORDENES'!$O195="","-",'ORDENES'!$O195)</f>
        <v/>
      </c>
      <c r="B217" s="3">
        <f>IF('ORDENES'!$R195="","-",'ORDENES'!$R195)</f>
        <v/>
      </c>
      <c r="C217" s="3">
        <f>IF('ORDENES'!$AC195="","-",'ORDENES'!$AC195)</f>
        <v/>
      </c>
      <c r="D217" s="3">
        <f>IF('ORDENES'!$V195="","-",'ORDENES'!$V195)</f>
        <v/>
      </c>
      <c r="E217" s="3">
        <f>IF('ORDENES'!$U195="","-",'ORDENES'!$U195)</f>
        <v/>
      </c>
      <c r="F217" s="3">
        <f>IF('ORDENES'!$W195="","-",'ORDENES'!$W195)</f>
        <v/>
      </c>
      <c r="G217" s="3">
        <f>IF('ORDENES'!$AB195="","-",'ORDENES'!$AB195)</f>
        <v/>
      </c>
      <c r="H217" s="3">
        <f>IF('ORDENES'!$C195="","-",'ORDENES'!$C195)</f>
        <v/>
      </c>
      <c r="I217" s="3">
        <f>IF('ORDENES'!$E195="","-",'ORDENES'!$E195)</f>
        <v/>
      </c>
      <c r="J217" s="3">
        <f>IF('ORDENES'!$F195="","-",'ORDENES'!$F195)</f>
        <v/>
      </c>
      <c r="K217" s="12">
        <f>IF('ORDENES'!$L195="",0,'ORDENES'!$L195)</f>
        <v/>
      </c>
      <c r="L217" s="3">
        <f>IF('ORDENES'!$N195="","-",'ORDENES'!$N195)</f>
        <v/>
      </c>
      <c r="M217" s="3">
        <f>'ORDENES'!$AA195</f>
        <v/>
      </c>
    </row>
    <row r="218">
      <c r="A218" s="3">
        <f>IF('ORDENES'!$O196="","-",'ORDENES'!$O196)</f>
        <v/>
      </c>
      <c r="B218" s="3">
        <f>IF('ORDENES'!$R196="","-",'ORDENES'!$R196)</f>
        <v/>
      </c>
      <c r="C218" s="3">
        <f>IF('ORDENES'!$AC196="","-",'ORDENES'!$AC196)</f>
        <v/>
      </c>
      <c r="D218" s="3">
        <f>IF('ORDENES'!$V196="","-",'ORDENES'!$V196)</f>
        <v/>
      </c>
      <c r="E218" s="3">
        <f>IF('ORDENES'!$U196="","-",'ORDENES'!$U196)</f>
        <v/>
      </c>
      <c r="F218" s="3">
        <f>IF('ORDENES'!$W196="","-",'ORDENES'!$W196)</f>
        <v/>
      </c>
      <c r="G218" s="3">
        <f>IF('ORDENES'!$AB196="","-",'ORDENES'!$AB196)</f>
        <v/>
      </c>
      <c r="H218" s="3">
        <f>IF('ORDENES'!$C196="","-",'ORDENES'!$C196)</f>
        <v/>
      </c>
      <c r="I218" s="3">
        <f>IF('ORDENES'!$E196="","-",'ORDENES'!$E196)</f>
        <v/>
      </c>
      <c r="J218" s="3">
        <f>IF('ORDENES'!$F196="","-",'ORDENES'!$F196)</f>
        <v/>
      </c>
      <c r="K218" s="12">
        <f>IF('ORDENES'!$L196="",0,'ORDENES'!$L196)</f>
        <v/>
      </c>
      <c r="L218" s="3">
        <f>IF('ORDENES'!$N196="","-",'ORDENES'!$N196)</f>
        <v/>
      </c>
      <c r="M218" s="3">
        <f>'ORDENES'!$AA196</f>
        <v/>
      </c>
    </row>
    <row r="219">
      <c r="A219" s="3">
        <f>IF('ORDENES'!$O197="","-",'ORDENES'!$O197)</f>
        <v/>
      </c>
      <c r="B219" s="3">
        <f>IF('ORDENES'!$R197="","-",'ORDENES'!$R197)</f>
        <v/>
      </c>
      <c r="C219" s="3">
        <f>IF('ORDENES'!$AC197="","-",'ORDENES'!$AC197)</f>
        <v/>
      </c>
      <c r="D219" s="3">
        <f>IF('ORDENES'!$V197="","-",'ORDENES'!$V197)</f>
        <v/>
      </c>
      <c r="E219" s="3">
        <f>IF('ORDENES'!$U197="","-",'ORDENES'!$U197)</f>
        <v/>
      </c>
      <c r="F219" s="3">
        <f>IF('ORDENES'!$W197="","-",'ORDENES'!$W197)</f>
        <v/>
      </c>
      <c r="G219" s="3">
        <f>IF('ORDENES'!$AB197="","-",'ORDENES'!$AB197)</f>
        <v/>
      </c>
      <c r="H219" s="3">
        <f>IF('ORDENES'!$C197="","-",'ORDENES'!$C197)</f>
        <v/>
      </c>
      <c r="I219" s="3">
        <f>IF('ORDENES'!$E197="","-",'ORDENES'!$E197)</f>
        <v/>
      </c>
      <c r="J219" s="3">
        <f>IF('ORDENES'!$F197="","-",'ORDENES'!$F197)</f>
        <v/>
      </c>
      <c r="K219" s="12">
        <f>IF('ORDENES'!$L197="",0,'ORDENES'!$L197)</f>
        <v/>
      </c>
      <c r="L219" s="3">
        <f>IF('ORDENES'!$N197="","-",'ORDENES'!$N197)</f>
        <v/>
      </c>
      <c r="M219" s="3">
        <f>'ORDENES'!$AA197</f>
        <v/>
      </c>
    </row>
    <row r="220">
      <c r="A220" s="3">
        <f>IF('ORDENES'!$O198="","-",'ORDENES'!$O198)</f>
        <v/>
      </c>
      <c r="B220" s="3">
        <f>IF('ORDENES'!$R198="","-",'ORDENES'!$R198)</f>
        <v/>
      </c>
      <c r="C220" s="3">
        <f>IF('ORDENES'!$AC198="","-",'ORDENES'!$AC198)</f>
        <v/>
      </c>
      <c r="D220" s="3">
        <f>IF('ORDENES'!$V198="","-",'ORDENES'!$V198)</f>
        <v/>
      </c>
      <c r="E220" s="3">
        <f>IF('ORDENES'!$U198="","-",'ORDENES'!$U198)</f>
        <v/>
      </c>
      <c r="F220" s="3">
        <f>IF('ORDENES'!$W198="","-",'ORDENES'!$W198)</f>
        <v/>
      </c>
      <c r="G220" s="3">
        <f>IF('ORDENES'!$AB198="","-",'ORDENES'!$AB198)</f>
        <v/>
      </c>
      <c r="H220" s="3">
        <f>IF('ORDENES'!$C198="","-",'ORDENES'!$C198)</f>
        <v/>
      </c>
      <c r="I220" s="3">
        <f>IF('ORDENES'!$E198="","-",'ORDENES'!$E198)</f>
        <v/>
      </c>
      <c r="J220" s="3">
        <f>IF('ORDENES'!$F198="","-",'ORDENES'!$F198)</f>
        <v/>
      </c>
      <c r="K220" s="12">
        <f>IF('ORDENES'!$L198="",0,'ORDENES'!$L198)</f>
        <v/>
      </c>
      <c r="L220" s="3">
        <f>IF('ORDENES'!$N198="","-",'ORDENES'!$N198)</f>
        <v/>
      </c>
      <c r="M220" s="3">
        <f>'ORDENES'!$AA198</f>
        <v/>
      </c>
    </row>
    <row r="221">
      <c r="A221" s="3">
        <f>IF('ORDENES'!$O199="","-",'ORDENES'!$O199)</f>
        <v/>
      </c>
      <c r="B221" s="3">
        <f>IF('ORDENES'!$R199="","-",'ORDENES'!$R199)</f>
        <v/>
      </c>
      <c r="C221" s="3">
        <f>IF('ORDENES'!$AC199="","-",'ORDENES'!$AC199)</f>
        <v/>
      </c>
      <c r="D221" s="3">
        <f>IF('ORDENES'!$V199="","-",'ORDENES'!$V199)</f>
        <v/>
      </c>
      <c r="E221" s="3">
        <f>IF('ORDENES'!$U199="","-",'ORDENES'!$U199)</f>
        <v/>
      </c>
      <c r="F221" s="3">
        <f>IF('ORDENES'!$W199="","-",'ORDENES'!$W199)</f>
        <v/>
      </c>
      <c r="G221" s="3">
        <f>IF('ORDENES'!$AB199="","-",'ORDENES'!$AB199)</f>
        <v/>
      </c>
      <c r="H221" s="3">
        <f>IF('ORDENES'!$C199="","-",'ORDENES'!$C199)</f>
        <v/>
      </c>
      <c r="I221" s="3">
        <f>IF('ORDENES'!$E199="","-",'ORDENES'!$E199)</f>
        <v/>
      </c>
      <c r="J221" s="3">
        <f>IF('ORDENES'!$F199="","-",'ORDENES'!$F199)</f>
        <v/>
      </c>
      <c r="K221" s="12">
        <f>IF('ORDENES'!$L199="",0,'ORDENES'!$L199)</f>
        <v/>
      </c>
      <c r="L221" s="3">
        <f>IF('ORDENES'!$N199="","-",'ORDENES'!$N199)</f>
        <v/>
      </c>
      <c r="M221" s="3">
        <f>'ORDENES'!$AA199</f>
        <v/>
      </c>
    </row>
    <row r="222">
      <c r="A222" s="3">
        <f>IF('ORDENES'!$O200="","-",'ORDENES'!$O200)</f>
        <v/>
      </c>
      <c r="B222" s="3">
        <f>IF('ORDENES'!$R200="","-",'ORDENES'!$R200)</f>
        <v/>
      </c>
      <c r="C222" s="3">
        <f>IF('ORDENES'!$AC200="","-",'ORDENES'!$AC200)</f>
        <v/>
      </c>
      <c r="D222" s="3">
        <f>IF('ORDENES'!$V200="","-",'ORDENES'!$V200)</f>
        <v/>
      </c>
      <c r="E222" s="3">
        <f>IF('ORDENES'!$U200="","-",'ORDENES'!$U200)</f>
        <v/>
      </c>
      <c r="F222" s="3">
        <f>IF('ORDENES'!$W200="","-",'ORDENES'!$W200)</f>
        <v/>
      </c>
      <c r="G222" s="3">
        <f>IF('ORDENES'!$AB200="","-",'ORDENES'!$AB200)</f>
        <v/>
      </c>
      <c r="H222" s="3">
        <f>IF('ORDENES'!$C200="","-",'ORDENES'!$C200)</f>
        <v/>
      </c>
      <c r="I222" s="3">
        <f>IF('ORDENES'!$E200="","-",'ORDENES'!$E200)</f>
        <v/>
      </c>
      <c r="J222" s="3">
        <f>IF('ORDENES'!$F200="","-",'ORDENES'!$F200)</f>
        <v/>
      </c>
      <c r="K222" s="12">
        <f>IF('ORDENES'!$L200="",0,'ORDENES'!$L200)</f>
        <v/>
      </c>
      <c r="L222" s="3">
        <f>IF('ORDENES'!$N200="","-",'ORDENES'!$N200)</f>
        <v/>
      </c>
      <c r="M222" s="3">
        <f>'ORDENES'!$AA200</f>
        <v/>
      </c>
    </row>
    <row r="223">
      <c r="A223" s="3">
        <f>IF('ORDENES'!$O201="","-",'ORDENES'!$O201)</f>
        <v/>
      </c>
      <c r="B223" s="3">
        <f>IF('ORDENES'!$R201="","-",'ORDENES'!$R201)</f>
        <v/>
      </c>
      <c r="C223" s="3">
        <f>IF('ORDENES'!$AC201="","-",'ORDENES'!$AC201)</f>
        <v/>
      </c>
      <c r="D223" s="3">
        <f>IF('ORDENES'!$V201="","-",'ORDENES'!$V201)</f>
        <v/>
      </c>
      <c r="E223" s="3">
        <f>IF('ORDENES'!$U201="","-",'ORDENES'!$U201)</f>
        <v/>
      </c>
      <c r="F223" s="3">
        <f>IF('ORDENES'!$W201="","-",'ORDENES'!$W201)</f>
        <v/>
      </c>
      <c r="G223" s="3">
        <f>IF('ORDENES'!$AB201="","-",'ORDENES'!$AB201)</f>
        <v/>
      </c>
      <c r="H223" s="3">
        <f>IF('ORDENES'!$C201="","-",'ORDENES'!$C201)</f>
        <v/>
      </c>
      <c r="I223" s="3">
        <f>IF('ORDENES'!$E201="","-",'ORDENES'!$E201)</f>
        <v/>
      </c>
      <c r="J223" s="3">
        <f>IF('ORDENES'!$F201="","-",'ORDENES'!$F201)</f>
        <v/>
      </c>
      <c r="K223" s="12">
        <f>IF('ORDENES'!$L201="",0,'ORDENES'!$L201)</f>
        <v/>
      </c>
      <c r="L223" s="3">
        <f>IF('ORDENES'!$N201="","-",'ORDENES'!$N201)</f>
        <v/>
      </c>
      <c r="M223" s="3">
        <f>'ORDENES'!$AA201</f>
        <v/>
      </c>
    </row>
    <row r="224">
      <c r="A224" s="3">
        <f>IF('ORDENES'!$O202="","-",'ORDENES'!$O202)</f>
        <v/>
      </c>
      <c r="B224" s="3">
        <f>IF('ORDENES'!$R202="","-",'ORDENES'!$R202)</f>
        <v/>
      </c>
      <c r="C224" s="3">
        <f>IF('ORDENES'!$AC202="","-",'ORDENES'!$AC202)</f>
        <v/>
      </c>
      <c r="D224" s="3">
        <f>IF('ORDENES'!$V202="","-",'ORDENES'!$V202)</f>
        <v/>
      </c>
      <c r="E224" s="3">
        <f>IF('ORDENES'!$U202="","-",'ORDENES'!$U202)</f>
        <v/>
      </c>
      <c r="F224" s="3">
        <f>IF('ORDENES'!$W202="","-",'ORDENES'!$W202)</f>
        <v/>
      </c>
      <c r="G224" s="3">
        <f>IF('ORDENES'!$AB202="","-",'ORDENES'!$AB202)</f>
        <v/>
      </c>
      <c r="H224" s="3">
        <f>IF('ORDENES'!$C202="","-",'ORDENES'!$C202)</f>
        <v/>
      </c>
      <c r="I224" s="3">
        <f>IF('ORDENES'!$E202="","-",'ORDENES'!$E202)</f>
        <v/>
      </c>
      <c r="J224" s="3">
        <f>IF('ORDENES'!$F202="","-",'ORDENES'!$F202)</f>
        <v/>
      </c>
      <c r="K224" s="12">
        <f>IF('ORDENES'!$L202="",0,'ORDENES'!$L202)</f>
        <v/>
      </c>
      <c r="L224" s="3">
        <f>IF('ORDENES'!$N202="","-",'ORDENES'!$N202)</f>
        <v/>
      </c>
      <c r="M224" s="3">
        <f>'ORDENES'!$AA202</f>
        <v/>
      </c>
    </row>
    <row r="225">
      <c r="A225" s="3">
        <f>IF('ORDENES'!$O203="","-",'ORDENES'!$O203)</f>
        <v/>
      </c>
      <c r="B225" s="3">
        <f>IF('ORDENES'!$R203="","-",'ORDENES'!$R203)</f>
        <v/>
      </c>
      <c r="C225" s="3">
        <f>IF('ORDENES'!$AC203="","-",'ORDENES'!$AC203)</f>
        <v/>
      </c>
      <c r="D225" s="3">
        <f>IF('ORDENES'!$V203="","-",'ORDENES'!$V203)</f>
        <v/>
      </c>
      <c r="E225" s="3">
        <f>IF('ORDENES'!$U203="","-",'ORDENES'!$U203)</f>
        <v/>
      </c>
      <c r="F225" s="3">
        <f>IF('ORDENES'!$W203="","-",'ORDENES'!$W203)</f>
        <v/>
      </c>
      <c r="G225" s="3">
        <f>IF('ORDENES'!$AB203="","-",'ORDENES'!$AB203)</f>
        <v/>
      </c>
      <c r="H225" s="3">
        <f>IF('ORDENES'!$C203="","-",'ORDENES'!$C203)</f>
        <v/>
      </c>
      <c r="I225" s="3">
        <f>IF('ORDENES'!$E203="","-",'ORDENES'!$E203)</f>
        <v/>
      </c>
      <c r="J225" s="3">
        <f>IF('ORDENES'!$F203="","-",'ORDENES'!$F203)</f>
        <v/>
      </c>
      <c r="K225" s="12">
        <f>IF('ORDENES'!$L203="",0,'ORDENES'!$L203)</f>
        <v/>
      </c>
      <c r="L225" s="3">
        <f>IF('ORDENES'!$N203="","-",'ORDENES'!$N203)</f>
        <v/>
      </c>
      <c r="M225" s="3">
        <f>'ORDENES'!$AA203</f>
        <v/>
      </c>
    </row>
  </sheetData>
  <autoFilter ref="A25:M225"/>
  <dataValidations count="6">
    <dataValidation sqref="B3" showDropDown="0" showInputMessage="0" showErrorMessage="0" allowBlank="0" type="list">
      <formula1>"(todos),S29,S30,S31,S32"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(semanas del plan)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 t="inlineStr">
        <is>
          <t>S29</t>
        </is>
      </c>
      <c r="B5" s="3">
        <f>COUNTIFS('ORDENES'!$O$4:$O$203,$A5)</f>
        <v/>
      </c>
      <c r="C5" s="3">
        <f>COUNTIFS('ORDENES'!$O$4:$O$203,$A5,'ORDENES'!$N$4:$N$203,"Cerrada")</f>
        <v/>
      </c>
      <c r="D5" s="15">
        <f>IF(B5=0,"",C5/B5)</f>
        <v/>
      </c>
      <c r="E5" s="14">
        <f>SUMIFS('ORDENES'!$L$4:$L$203,'ORDENES'!$O$4:$O$203,$A5)</f>
        <v/>
      </c>
      <c r="F5" s="14">
        <f>SUMIFS('ORDENES'!$L$4:$L$203,'ORDENES'!$O$4:$O$203,$A5,'ORDENES'!$N$4:$N$203,"Cerrada")</f>
        <v/>
      </c>
      <c r="G5" s="15">
        <f>IF(E5=0,"",F5/E5)</f>
        <v/>
      </c>
      <c r="H5" s="17">
        <f>p_meta_adherencia</f>
        <v/>
      </c>
    </row>
    <row r="6">
      <c r="A6" s="3" t="inlineStr">
        <is>
          <t>S30</t>
        </is>
      </c>
      <c r="B6" s="3">
        <f>COUNTIFS('ORDENES'!$O$4:$O$203,$A6)</f>
        <v/>
      </c>
      <c r="C6" s="3">
        <f>COUNTIFS('ORDENES'!$O$4:$O$203,$A6,'ORDENES'!$N$4:$N$203,"Cerrada")</f>
        <v/>
      </c>
      <c r="D6" s="15">
        <f>IF(B6=0,"",C6/B6)</f>
        <v/>
      </c>
      <c r="E6" s="14">
        <f>SUMIFS('ORDENES'!$L$4:$L$203,'ORDENES'!$O$4:$O$203,$A6)</f>
        <v/>
      </c>
      <c r="F6" s="14">
        <f>SUMIFS('ORDENES'!$L$4:$L$203,'ORDENES'!$O$4:$O$203,$A6,'ORDENES'!$N$4:$N$203,"Cerrada")</f>
        <v/>
      </c>
      <c r="G6" s="15">
        <f>IF(E6=0,"",F6/E6)</f>
        <v/>
      </c>
      <c r="H6" s="17">
        <f>p_meta_adherencia</f>
        <v/>
      </c>
    </row>
    <row r="7">
      <c r="A7" s="3" t="inlineStr">
        <is>
          <t>S31</t>
        </is>
      </c>
      <c r="B7" s="3">
        <f>COUNTIFS('ORDENES'!$O$4:$O$203,$A7)</f>
        <v/>
      </c>
      <c r="C7" s="3">
        <f>COUNTIFS('ORDENES'!$O$4:$O$203,$A7,'ORDENES'!$N$4:$N$203,"Cerrada")</f>
        <v/>
      </c>
      <c r="D7" s="15">
        <f>IF(B7=0,"",C7/B7)</f>
        <v/>
      </c>
      <c r="E7" s="14">
        <f>SUMIFS('ORDENES'!$L$4:$L$203,'ORDENES'!$O$4:$O$203,$A7)</f>
        <v/>
      </c>
      <c r="F7" s="14">
        <f>SUMIFS('ORDENES'!$L$4:$L$203,'ORDENES'!$O$4:$O$203,$A7,'ORDENES'!$N$4:$N$203,"Cerrada")</f>
        <v/>
      </c>
      <c r="G7" s="15">
        <f>IF(E7=0,"",F7/E7)</f>
        <v/>
      </c>
      <c r="H7" s="17">
        <f>p_meta_adherencia</f>
        <v/>
      </c>
    </row>
    <row r="8">
      <c r="A8" s="3" t="inlineStr">
        <is>
          <t>S32</t>
        </is>
      </c>
      <c r="B8" s="3">
        <f>COUNTIFS('ORDENES'!$O$4:$O$203,$A8)</f>
        <v/>
      </c>
      <c r="C8" s="3">
        <f>COUNTIFS('ORDENES'!$O$4:$O$203,$A8,'ORDENES'!$N$4:$N$203,"Cerrada")</f>
        <v/>
      </c>
      <c r="D8" s="15">
        <f>IF(B8=0,"",C8/B8)</f>
        <v/>
      </c>
      <c r="E8" s="14">
        <f>SUMIFS('ORDENES'!$L$4:$L$203,'ORDENES'!$O$4:$O$203,$A8)</f>
        <v/>
      </c>
      <c r="F8" s="14">
        <f>SUMIFS('ORDENES'!$L$4:$L$203,'ORDENES'!$O$4:$O$203,$A8,'ORDENES'!$N$4:$N$203,"Cerrada")</f>
        <v/>
      </c>
      <c r="G8" s="15">
        <f>IF(E8=0,"",F8/E8)</f>
        <v/>
      </c>
      <c r="H8" s="17">
        <f>p_meta_adherencia</f>
        <v/>
      </c>
    </row>
    <row r="10">
      <c r="A10" s="4" t="inlineStr">
        <is>
          <t>POR ÁREA</t>
        </is>
      </c>
    </row>
    <row r="11">
      <c r="A11" s="5" t="inlineStr">
        <is>
          <t>valor</t>
        </is>
      </c>
      <c r="B11" s="5" t="inlineStr">
        <is>
          <t>total_ot</t>
        </is>
      </c>
      <c r="C11" s="5" t="inlineStr">
        <is>
          <t>cerradas</t>
        </is>
      </c>
      <c r="D11" s="5" t="inlineStr">
        <is>
          <t>adherencia_conteo</t>
        </is>
      </c>
      <c r="E11" s="5" t="inlineStr">
        <is>
          <t>hh_total</t>
        </is>
      </c>
      <c r="F11" s="5" t="inlineStr">
        <is>
          <t>hh_cerradas</t>
        </is>
      </c>
      <c r="G11" s="5" t="inlineStr">
        <is>
          <t>adherencia_horas</t>
        </is>
      </c>
    </row>
    <row r="12">
      <c r="A12" s="3" t="inlineStr">
        <is>
          <t>PRODUCCION</t>
        </is>
      </c>
      <c r="B12" s="3">
        <f>COUNTIFS('ORDENES'!$U$4:$U$203,$A12)</f>
        <v/>
      </c>
      <c r="C12" s="3">
        <f>COUNTIFS('ORDENES'!$U$4:$U$203,$A12,'ORDENES'!$N$4:$N$203,"Cerrada")</f>
        <v/>
      </c>
      <c r="D12" s="15">
        <f>IF(B12=0,"",C12/B12)</f>
        <v/>
      </c>
      <c r="E12" s="14">
        <f>SUMIFS('ORDENES'!$L$4:$L$203,'ORDENES'!$U$4:$U$203,$A12)</f>
        <v/>
      </c>
      <c r="F12" s="14">
        <f>SUMIFS('ORDENES'!$L$4:$L$203,'ORDENES'!$U$4:$U$203,$A12,'ORDENES'!$N$4:$N$203,"Cerrada")</f>
        <v/>
      </c>
      <c r="G12" s="15">
        <f>IF(E12=0,"",F12/E12)</f>
        <v/>
      </c>
    </row>
    <row r="13">
      <c r="A13" s="3" t="inlineStr">
        <is>
          <t>EMPAQUE</t>
        </is>
      </c>
      <c r="B13" s="3">
        <f>COUNTIFS('ORDENES'!$U$4:$U$203,$A13)</f>
        <v/>
      </c>
      <c r="C13" s="3">
        <f>COUNTIFS('ORDENES'!$U$4:$U$203,$A13,'ORDENES'!$N$4:$N$203,"Cerrada")</f>
        <v/>
      </c>
      <c r="D13" s="15">
        <f>IF(B13=0,"",C13/B13)</f>
        <v/>
      </c>
      <c r="E13" s="14">
        <f>SUMIFS('ORDENES'!$L$4:$L$203,'ORDENES'!$U$4:$U$203,$A13)</f>
        <v/>
      </c>
      <c r="F13" s="14">
        <f>SUMIFS('ORDENES'!$L$4:$L$203,'ORDENES'!$U$4:$U$203,$A13,'ORDENES'!$N$4:$N$203,"Cerrada")</f>
        <v/>
      </c>
      <c r="G13" s="15">
        <f>IF(E13=0,"",F13/E13)</f>
        <v/>
      </c>
    </row>
    <row r="14">
      <c r="A14" s="3" t="inlineStr">
        <is>
          <t>SERVICIOS</t>
        </is>
      </c>
      <c r="B14" s="3">
        <f>COUNTIFS('ORDENES'!$U$4:$U$203,$A14)</f>
        <v/>
      </c>
      <c r="C14" s="3">
        <f>COUNTIFS('ORDENES'!$U$4:$U$203,$A14,'ORDENES'!$N$4:$N$203,"Cerrada")</f>
        <v/>
      </c>
      <c r="D14" s="15">
        <f>IF(B14=0,"",C14/B14)</f>
        <v/>
      </c>
      <c r="E14" s="14">
        <f>SUMIFS('ORDENES'!$L$4:$L$203,'ORDENES'!$U$4:$U$203,$A14)</f>
        <v/>
      </c>
      <c r="F14" s="14">
        <f>SUMIFS('ORDENES'!$L$4:$L$203,'ORDENES'!$U$4:$U$203,$A14,'ORDENES'!$N$4:$N$203,"Cerrada")</f>
        <v/>
      </c>
      <c r="G14" s="15">
        <f>IF(E14=0,"",F14/E14)</f>
        <v/>
      </c>
    </row>
    <row r="16">
      <c r="A16" s="4" t="inlineStr">
        <is>
          <t>POR ESPECIALIDAD</t>
        </is>
      </c>
    </row>
    <row r="17">
      <c r="A17" s="5" t="inlineStr">
        <is>
          <t>valor</t>
        </is>
      </c>
      <c r="B17" s="5" t="inlineStr">
        <is>
          <t>total_ot</t>
        </is>
      </c>
      <c r="C17" s="5" t="inlineStr">
        <is>
          <t>cerradas</t>
        </is>
      </c>
      <c r="D17" s="5" t="inlineStr">
        <is>
          <t>adherencia_conteo</t>
        </is>
      </c>
      <c r="E17" s="5" t="inlineStr">
        <is>
          <t>hh_total</t>
        </is>
      </c>
      <c r="F17" s="5" t="inlineStr">
        <is>
          <t>hh_cerradas</t>
        </is>
      </c>
      <c r="G17" s="5" t="inlineStr">
        <is>
          <t>adherencia_horas</t>
        </is>
      </c>
    </row>
    <row r="18">
      <c r="A18" s="3" t="inlineStr">
        <is>
          <t>MEC</t>
        </is>
      </c>
      <c r="B18" s="3">
        <f>COUNTIFS('ORDENES'!$W$4:$W$203,$A18)</f>
        <v/>
      </c>
      <c r="C18" s="3">
        <f>COUNTIFS('ORDENES'!$W$4:$W$203,$A18,'ORDENES'!$N$4:$N$203,"Cerrada")</f>
        <v/>
      </c>
      <c r="D18" s="15">
        <f>IF(B18=0,"",C18/B18)</f>
        <v/>
      </c>
      <c r="E18" s="14">
        <f>SUMIFS('ORDENES'!$L$4:$L$203,'ORDENES'!$W$4:$W$203,$A18)</f>
        <v/>
      </c>
      <c r="F18" s="14">
        <f>SUMIFS('ORDENES'!$L$4:$L$203,'ORDENES'!$W$4:$W$203,$A18,'ORDENES'!$N$4:$N$203,"Cerrada")</f>
        <v/>
      </c>
      <c r="G18" s="15">
        <f>IF(E18=0,"",F18/E18)</f>
        <v/>
      </c>
    </row>
    <row r="19">
      <c r="A19" s="3" t="inlineStr">
        <is>
          <t>ELE</t>
        </is>
      </c>
      <c r="B19" s="3">
        <f>COUNTIFS('ORDENES'!$W$4:$W$203,$A19)</f>
        <v/>
      </c>
      <c r="C19" s="3">
        <f>COUNTIFS('ORDENES'!$W$4:$W$203,$A19,'ORDENES'!$N$4:$N$203,"Cerrada")</f>
        <v/>
      </c>
      <c r="D19" s="15">
        <f>IF(B19=0,"",C19/B19)</f>
        <v/>
      </c>
      <c r="E19" s="14">
        <f>SUMIFS('ORDENES'!$L$4:$L$203,'ORDENES'!$W$4:$W$203,$A19)</f>
        <v/>
      </c>
      <c r="F19" s="14">
        <f>SUMIFS('ORDENES'!$L$4:$L$203,'ORDENES'!$W$4:$W$203,$A19,'ORDENES'!$N$4:$N$203,"Cerrada")</f>
        <v/>
      </c>
      <c r="G19" s="15">
        <f>IF(E19=0,"",F19/E19)</f>
        <v/>
      </c>
    </row>
    <row r="20">
      <c r="A20" s="3" t="inlineStr">
        <is>
          <t>AUT</t>
        </is>
      </c>
      <c r="B20" s="3">
        <f>COUNTIFS('ORDENES'!$W$4:$W$203,$A20)</f>
        <v/>
      </c>
      <c r="C20" s="3">
        <f>COUNTIFS('ORDENES'!$W$4:$W$203,$A20,'ORDENES'!$N$4:$N$203,"Cerrada")</f>
        <v/>
      </c>
      <c r="D20" s="15">
        <f>IF(B20=0,"",C20/B20)</f>
        <v/>
      </c>
      <c r="E20" s="14">
        <f>SUMIFS('ORDENES'!$L$4:$L$203,'ORDENES'!$W$4:$W$203,$A20)</f>
        <v/>
      </c>
      <c r="F20" s="14">
        <f>SUMIFS('ORDENES'!$L$4:$L$203,'ORDENES'!$W$4:$W$203,$A20,'ORDENES'!$N$4:$N$203,"Cerrada")</f>
        <v/>
      </c>
      <c r="G20" s="15">
        <f>IF(E20=0,"",F20/E20)</f>
        <v/>
      </c>
    </row>
    <row r="21">
      <c r="A21" s="3" t="inlineStr">
        <is>
          <t>OP</t>
        </is>
      </c>
      <c r="B21" s="3">
        <f>COUNTIFS('ORDENES'!$W$4:$W$203,$A21)</f>
        <v/>
      </c>
      <c r="C21" s="3">
        <f>COUNTIFS('ORDENES'!$W$4:$W$203,$A21,'ORDENES'!$N$4:$N$203,"Cerrada")</f>
        <v/>
      </c>
      <c r="D21" s="15">
        <f>IF(B21=0,"",C21/B21)</f>
        <v/>
      </c>
      <c r="E21" s="14">
        <f>SUMIFS('ORDENES'!$L$4:$L$203,'ORDENES'!$W$4:$W$203,$A21)</f>
        <v/>
      </c>
      <c r="F21" s="14">
        <f>SUMIFS('ORDENES'!$L$4:$L$203,'ORDENES'!$W$4:$W$203,$A21,'ORDENES'!$N$4:$N$203,"Cerrada")</f>
        <v/>
      </c>
      <c r="G21" s="15">
        <f>IF(E21=0,"",F21/E21)</f>
        <v/>
      </c>
    </row>
    <row r="22">
      <c r="A22" s="3" t="inlineStr">
        <is>
          <t>TERCERO</t>
        </is>
      </c>
      <c r="B22" s="3">
        <f>COUNTIFS('ORDENES'!$W$4:$W$203,$A22)</f>
        <v/>
      </c>
      <c r="C22" s="3">
        <f>COUNTIFS('ORDENES'!$W$4:$W$203,$A22,'ORDENES'!$N$4:$N$203,"Cerrada")</f>
        <v/>
      </c>
      <c r="D22" s="15">
        <f>IF(B22=0,"",C22/B22)</f>
        <v/>
      </c>
      <c r="E22" s="14">
        <f>SUMIFS('ORDENES'!$L$4:$L$203,'ORDENES'!$W$4:$W$203,$A22)</f>
        <v/>
      </c>
      <c r="F22" s="14">
        <f>SUMIFS('ORDENES'!$L$4:$L$203,'ORDENES'!$W$4:$W$203,$A22,'ORDENES'!$N$4:$N$203,"Cerrada")</f>
        <v/>
      </c>
      <c r="G22" s="15">
        <f>IF(E22=0,"",F22/E22)</f>
        <v/>
      </c>
    </row>
    <row r="24">
      <c r="A24" s="4" t="inlineStr">
        <is>
          <t>POR COORDINADOR</t>
        </is>
      </c>
    </row>
    <row r="25">
      <c r="A25" s="5" t="inlineStr">
        <is>
          <t>valor</t>
        </is>
      </c>
      <c r="B25" s="5" t="inlineStr">
        <is>
          <t>total_ot</t>
        </is>
      </c>
      <c r="C25" s="5" t="inlineStr">
        <is>
          <t>cerradas</t>
        </is>
      </c>
      <c r="D25" s="5" t="inlineStr">
        <is>
          <t>adherencia_conteo</t>
        </is>
      </c>
      <c r="E25" s="5" t="inlineStr">
        <is>
          <t>hh_total</t>
        </is>
      </c>
      <c r="F25" s="5" t="inlineStr">
        <is>
          <t>hh_cerradas</t>
        </is>
      </c>
      <c r="G25" s="5" t="inlineStr">
        <is>
          <t>adherencia_horas</t>
        </is>
      </c>
    </row>
    <row r="26">
      <c r="A26" s="3" t="inlineStr">
        <is>
          <t>Coordinador A</t>
        </is>
      </c>
      <c r="B26" s="3">
        <f>COUNTIFS('ORDENES'!$V$4:$V$203,$A26)</f>
        <v/>
      </c>
      <c r="C26" s="3">
        <f>COUNTIFS('ORDENES'!$V$4:$V$203,$A26,'ORDENES'!$N$4:$N$203,"Cerrada")</f>
        <v/>
      </c>
      <c r="D26" s="15">
        <f>IF(B26=0,"",C26/B26)</f>
        <v/>
      </c>
      <c r="E26" s="14">
        <f>SUMIFS('ORDENES'!$L$4:$L$203,'ORDENES'!$V$4:$V$203,$A26)</f>
        <v/>
      </c>
      <c r="F26" s="14">
        <f>SUMIFS('ORDENES'!$L$4:$L$203,'ORDENES'!$V$4:$V$203,$A26,'ORDENES'!$N$4:$N$203,"Cerrada")</f>
        <v/>
      </c>
      <c r="G26" s="15">
        <f>IF(E26=0,"",F26/E26)</f>
        <v/>
      </c>
    </row>
    <row r="27">
      <c r="A27" s="3" t="inlineStr">
        <is>
          <t>Coordinador B</t>
        </is>
      </c>
      <c r="B27" s="3">
        <f>COUNTIFS('ORDENES'!$V$4:$V$203,$A27)</f>
        <v/>
      </c>
      <c r="C27" s="3">
        <f>COUNTIFS('ORDENES'!$V$4:$V$203,$A27,'ORDENES'!$N$4:$N$203,"Cerrada")</f>
        <v/>
      </c>
      <c r="D27" s="15">
        <f>IF(B27=0,"",C27/B27)</f>
        <v/>
      </c>
      <c r="E27" s="14">
        <f>SUMIFS('ORDENES'!$L$4:$L$203,'ORDENES'!$V$4:$V$203,$A27)</f>
        <v/>
      </c>
      <c r="F27" s="14">
        <f>SUMIFS('ORDENES'!$L$4:$L$203,'ORDENES'!$V$4:$V$203,$A27,'ORDENES'!$N$4:$N$203,"Cerrada")</f>
        <v/>
      </c>
      <c r="G27" s="15">
        <f>IF(E27=0,"",F27/E27)</f>
        <v/>
      </c>
    </row>
    <row r="28">
      <c r="A28" s="3" t="inlineStr">
        <is>
          <t>Coordinador C</t>
        </is>
      </c>
      <c r="B28" s="3">
        <f>COUNTIFS('ORDENES'!$V$4:$V$203,$A28)</f>
        <v/>
      </c>
      <c r="C28" s="3">
        <f>COUNTIFS('ORDENES'!$V$4:$V$203,$A28,'ORDENES'!$N$4:$N$203,"Cerrada")</f>
        <v/>
      </c>
      <c r="D28" s="15">
        <f>IF(B28=0,"",C28/B28)</f>
        <v/>
      </c>
      <c r="E28" s="14">
        <f>SUMIFS('ORDENES'!$L$4:$L$203,'ORDENES'!$V$4:$V$203,$A28)</f>
        <v/>
      </c>
      <c r="F28" s="14">
        <f>SUMIFS('ORDENES'!$L$4:$L$203,'ORDENES'!$V$4:$V$203,$A28,'ORDENES'!$N$4:$N$203,"Cerrada")</f>
        <v/>
      </c>
      <c r="G28" s="15">
        <f>IF(E28=0,"",F28/E28)</f>
        <v/>
      </c>
    </row>
    <row r="30">
      <c r="A30" s="4" t="inlineStr">
        <is>
          <t>POR CLASIFICACIÓN</t>
        </is>
      </c>
    </row>
    <row r="31">
      <c r="A31" s="5" t="inlineStr">
        <is>
          <t>valor</t>
        </is>
      </c>
      <c r="B31" s="5" t="inlineStr">
        <is>
          <t>total_ot</t>
        </is>
      </c>
      <c r="C31" s="5" t="inlineStr">
        <is>
          <t>cerradas</t>
        </is>
      </c>
      <c r="D31" s="5" t="inlineStr">
        <is>
          <t>adherencia_conteo</t>
        </is>
      </c>
      <c r="E31" s="5" t="inlineStr">
        <is>
          <t>hh_total</t>
        </is>
      </c>
      <c r="F31" s="5" t="inlineStr">
        <is>
          <t>hh_cerradas</t>
        </is>
      </c>
      <c r="G31" s="5" t="inlineStr">
        <is>
          <t>adherencia_horas</t>
        </is>
      </c>
    </row>
    <row r="32">
      <c r="A32" s="3" t="inlineStr">
        <is>
          <t>preventiva</t>
        </is>
      </c>
      <c r="B32" s="3">
        <f>COUNTIFS('ORDENES'!$S$4:$S$203,$A32)</f>
        <v/>
      </c>
      <c r="C32" s="3">
        <f>COUNTIFS('ORDENES'!$S$4:$S$203,$A32,'ORDENES'!$N$4:$N$203,"Cerrada")</f>
        <v/>
      </c>
      <c r="D32" s="15">
        <f>IF(B32=0,"",C32/B32)</f>
        <v/>
      </c>
      <c r="E32" s="14">
        <f>SUMIFS('ORDENES'!$L$4:$L$203,'ORDENES'!$S$4:$S$203,$A32)</f>
        <v/>
      </c>
      <c r="F32" s="14">
        <f>SUMIFS('ORDENES'!$L$4:$L$203,'ORDENES'!$S$4:$S$203,$A32,'ORDENES'!$N$4:$N$203,"Cerrada")</f>
        <v/>
      </c>
      <c r="G32" s="15">
        <f>IF(E32=0,"",F32/E32)</f>
        <v/>
      </c>
    </row>
    <row r="33">
      <c r="A33" s="3" t="inlineStr">
        <is>
          <t>correctiva</t>
        </is>
      </c>
      <c r="B33" s="3">
        <f>COUNTIFS('ORDENES'!$S$4:$S$203,$A33)</f>
        <v/>
      </c>
      <c r="C33" s="3">
        <f>COUNTIFS('ORDENES'!$S$4:$S$203,$A33,'ORDENES'!$N$4:$N$203,"Cerrada")</f>
        <v/>
      </c>
      <c r="D33" s="15">
        <f>IF(B33=0,"",C33/B33)</f>
        <v/>
      </c>
      <c r="E33" s="14">
        <f>SUMIFS('ORDENES'!$L$4:$L$203,'ORDENES'!$S$4:$S$203,$A33)</f>
        <v/>
      </c>
      <c r="F33" s="14">
        <f>SUMIFS('ORDENES'!$L$4:$L$203,'ORDENES'!$S$4:$S$203,$A33,'ORDENES'!$N$4:$N$203,"Cerrada")</f>
        <v/>
      </c>
      <c r="G33" s="15">
        <f>IF(E33=0,"",F33/E33)</f>
        <v/>
      </c>
    </row>
    <row r="34">
      <c r="A34" s="3" t="inlineStr">
        <is>
          <t>sin_clasificar</t>
        </is>
      </c>
      <c r="B34" s="3">
        <f>COUNTIFS('ORDENES'!$S$4:$S$203,$A34)</f>
        <v/>
      </c>
      <c r="C34" s="3">
        <f>COUNTIFS('ORDENES'!$S$4:$S$203,$A34,'ORDENES'!$N$4:$N$203,"Cerrada")</f>
        <v/>
      </c>
      <c r="D34" s="15">
        <f>IF(B34=0,"",C34/B34)</f>
        <v/>
      </c>
      <c r="E34" s="14">
        <f>SUMIFS('ORDENES'!$L$4:$L$203,'ORDENES'!$S$4:$S$203,$A34)</f>
        <v/>
      </c>
      <c r="F34" s="14">
        <f>SUMIFS('ORDENES'!$L$4:$L$203,'ORDENES'!$S$4:$S$203,$A34,'ORDENES'!$N$4:$N$203,"Cerrada")</f>
        <v/>
      </c>
      <c r="G34" s="15">
        <f>IF(E34=0,"",F34/E34)</f>
        <v/>
      </c>
    </row>
    <row r="36">
      <c r="A36" s="4" t="inlineStr">
        <is>
          <t>POR TÉCNICO</t>
        </is>
      </c>
    </row>
    <row r="37">
      <c r="A37" s="5" t="inlineStr">
        <is>
          <t>valor</t>
        </is>
      </c>
      <c r="B37" s="5" t="inlineStr">
        <is>
          <t>total_ot</t>
        </is>
      </c>
      <c r="C37" s="5" t="inlineStr">
        <is>
          <t>cerradas</t>
        </is>
      </c>
      <c r="D37" s="5" t="inlineStr">
        <is>
          <t>adherencia_conteo</t>
        </is>
      </c>
      <c r="E37" s="5" t="inlineStr">
        <is>
          <t>hh_total</t>
        </is>
      </c>
      <c r="F37" s="5" t="inlineStr">
        <is>
          <t>hh_cerradas</t>
        </is>
      </c>
      <c r="G37" s="5" t="inlineStr">
        <is>
          <t>adherencia_horas</t>
        </is>
      </c>
    </row>
    <row r="38">
      <c r="A38" s="3" t="inlineStr">
        <is>
          <t>Técnico 01</t>
        </is>
      </c>
      <c r="B38" s="3">
        <f>COUNTIFS('ORDENES'!$AB$4:$AB$203,$A38)</f>
        <v/>
      </c>
      <c r="C38" s="3">
        <f>COUNTIFS('ORDENES'!$AB$4:$AB$203,$A38,'ORDENES'!$N$4:$N$203,"Cerrada")</f>
        <v/>
      </c>
      <c r="D38" s="15">
        <f>IF(B38=0,"",C38/B38)</f>
        <v/>
      </c>
      <c r="E38" s="14">
        <f>SUMIFS('ORDENES'!$L$4:$L$203,'ORDENES'!$AB$4:$AB$203,$A38)</f>
        <v/>
      </c>
      <c r="F38" s="14">
        <f>SUMIFS('ORDENES'!$L$4:$L$203,'ORDENES'!$AB$4:$AB$203,$A38,'ORDENES'!$N$4:$N$203,"Cerrada")</f>
        <v/>
      </c>
      <c r="G38" s="15">
        <f>IF(E38=0,"",F38/E38)</f>
        <v/>
      </c>
    </row>
    <row r="39">
      <c r="A39" s="3" t="inlineStr">
        <is>
          <t>Técnico 02</t>
        </is>
      </c>
      <c r="B39" s="3">
        <f>COUNTIFS('ORDENES'!$AB$4:$AB$203,$A39)</f>
        <v/>
      </c>
      <c r="C39" s="3">
        <f>COUNTIFS('ORDENES'!$AB$4:$AB$203,$A39,'ORDENES'!$N$4:$N$203,"Cerrada")</f>
        <v/>
      </c>
      <c r="D39" s="15">
        <f>IF(B39=0,"",C39/B39)</f>
        <v/>
      </c>
      <c r="E39" s="14">
        <f>SUMIFS('ORDENES'!$L$4:$L$203,'ORDENES'!$AB$4:$AB$203,$A39)</f>
        <v/>
      </c>
      <c r="F39" s="14">
        <f>SUMIFS('ORDENES'!$L$4:$L$203,'ORDENES'!$AB$4:$AB$203,$A39,'ORDENES'!$N$4:$N$203,"Cerrada")</f>
        <v/>
      </c>
      <c r="G39" s="15">
        <f>IF(E39=0,"",F39/E39)</f>
        <v/>
      </c>
    </row>
    <row r="40">
      <c r="A40" s="3" t="inlineStr">
        <is>
          <t>Técnico 03</t>
        </is>
      </c>
      <c r="B40" s="3">
        <f>COUNTIFS('ORDENES'!$AB$4:$AB$203,$A40)</f>
        <v/>
      </c>
      <c r="C40" s="3">
        <f>COUNTIFS('ORDENES'!$AB$4:$AB$203,$A40,'ORDENES'!$N$4:$N$203,"Cerrada")</f>
        <v/>
      </c>
      <c r="D40" s="15">
        <f>IF(B40=0,"",C40/B40)</f>
        <v/>
      </c>
      <c r="E40" s="14">
        <f>SUMIFS('ORDENES'!$L$4:$L$203,'ORDENES'!$AB$4:$AB$203,$A40)</f>
        <v/>
      </c>
      <c r="F40" s="14">
        <f>SUMIFS('ORDENES'!$L$4:$L$203,'ORDENES'!$AB$4:$AB$203,$A40,'ORDENES'!$N$4:$N$203,"Cerrada")</f>
        <v/>
      </c>
      <c r="G40" s="15">
        <f>IF(E40=0,"",F40/E40)</f>
        <v/>
      </c>
    </row>
    <row r="41">
      <c r="A41" s="3" t="inlineStr">
        <is>
          <t>Técnico 04</t>
        </is>
      </c>
      <c r="B41" s="3">
        <f>COUNTIFS('ORDENES'!$AB$4:$AB$203,$A41)</f>
        <v/>
      </c>
      <c r="C41" s="3">
        <f>COUNTIFS('ORDENES'!$AB$4:$AB$203,$A41,'ORDENES'!$N$4:$N$203,"Cerrada")</f>
        <v/>
      </c>
      <c r="D41" s="15">
        <f>IF(B41=0,"",C41/B41)</f>
        <v/>
      </c>
      <c r="E41" s="14">
        <f>SUMIFS('ORDENES'!$L$4:$L$203,'ORDENES'!$AB$4:$AB$203,$A41)</f>
        <v/>
      </c>
      <c r="F41" s="14">
        <f>SUMIFS('ORDENES'!$L$4:$L$203,'ORDENES'!$AB$4:$AB$203,$A41,'ORDENES'!$N$4:$N$203,"Cerrada")</f>
        <v/>
      </c>
      <c r="G41" s="15">
        <f>IF(E41=0,"",F41/E41)</f>
        <v/>
      </c>
    </row>
    <row r="42">
      <c r="A42" s="3" t="inlineStr">
        <is>
          <t>Técnico 05</t>
        </is>
      </c>
      <c r="B42" s="3">
        <f>COUNTIFS('ORDENES'!$AB$4:$AB$203,$A42)</f>
        <v/>
      </c>
      <c r="C42" s="3">
        <f>COUNTIFS('ORDENES'!$AB$4:$AB$203,$A42,'ORDENES'!$N$4:$N$203,"Cerrada")</f>
        <v/>
      </c>
      <c r="D42" s="15">
        <f>IF(B42=0,"",C42/B42)</f>
        <v/>
      </c>
      <c r="E42" s="14">
        <f>SUMIFS('ORDENES'!$L$4:$L$203,'ORDENES'!$AB$4:$AB$203,$A42)</f>
        <v/>
      </c>
      <c r="F42" s="14">
        <f>SUMIFS('ORDENES'!$L$4:$L$203,'ORDENES'!$AB$4:$AB$203,$A42,'ORDENES'!$N$4:$N$203,"Cerrada")</f>
        <v/>
      </c>
      <c r="G42" s="15">
        <f>IF(E42=0,"",F42/E42)</f>
        <v/>
      </c>
    </row>
    <row r="43">
      <c r="A43" s="3" t="inlineStr">
        <is>
          <t>Técnico 06</t>
        </is>
      </c>
      <c r="B43" s="3">
        <f>COUNTIFS('ORDENES'!$AB$4:$AB$203,$A43)</f>
        <v/>
      </c>
      <c r="C43" s="3">
        <f>COUNTIFS('ORDENES'!$AB$4:$AB$203,$A43,'ORDENES'!$N$4:$N$203,"Cerrada")</f>
        <v/>
      </c>
      <c r="D43" s="15">
        <f>IF(B43=0,"",C43/B43)</f>
        <v/>
      </c>
      <c r="E43" s="14">
        <f>SUMIFS('ORDENES'!$L$4:$L$203,'ORDENES'!$AB$4:$AB$203,$A43)</f>
        <v/>
      </c>
      <c r="F43" s="14">
        <f>SUMIFS('ORDENES'!$L$4:$L$203,'ORDENES'!$AB$4:$AB$203,$A43,'ORDENES'!$N$4:$N$203,"Cerrada")</f>
        <v/>
      </c>
      <c r="G43" s="15">
        <f>IF(E43=0,"",F43/E43)</f>
        <v/>
      </c>
    </row>
    <row r="44">
      <c r="A44" s="3" t="inlineStr">
        <is>
          <t>Técnico 07</t>
        </is>
      </c>
      <c r="B44" s="3">
        <f>COUNTIFS('ORDENES'!$AB$4:$AB$203,$A44)</f>
        <v/>
      </c>
      <c r="C44" s="3">
        <f>COUNTIFS('ORDENES'!$AB$4:$AB$203,$A44,'ORDENES'!$N$4:$N$203,"Cerrada")</f>
        <v/>
      </c>
      <c r="D44" s="15">
        <f>IF(B44=0,"",C44/B44)</f>
        <v/>
      </c>
      <c r="E44" s="14">
        <f>SUMIFS('ORDENES'!$L$4:$L$203,'ORDENES'!$AB$4:$AB$203,$A44)</f>
        <v/>
      </c>
      <c r="F44" s="14">
        <f>SUMIFS('ORDENES'!$L$4:$L$203,'ORDENES'!$AB$4:$AB$203,$A44,'ORDENES'!$N$4:$N$203,"Cerrada")</f>
        <v/>
      </c>
      <c r="G44" s="15">
        <f>IF(E44=0,"",F44/E44)</f>
        <v/>
      </c>
    </row>
    <row r="45">
      <c r="A45" s="3" t="inlineStr">
        <is>
          <t>Técnico 08</t>
        </is>
      </c>
      <c r="B45" s="3">
        <f>COUNTIFS('ORDENES'!$AB$4:$AB$203,$A45)</f>
        <v/>
      </c>
      <c r="C45" s="3">
        <f>COUNTIFS('ORDENES'!$AB$4:$AB$203,$A45,'ORDENES'!$N$4:$N$203,"Cerrada")</f>
        <v/>
      </c>
      <c r="D45" s="15">
        <f>IF(B45=0,"",C45/B45)</f>
        <v/>
      </c>
      <c r="E45" s="14">
        <f>SUMIFS('ORDENES'!$L$4:$L$203,'ORDENES'!$AB$4:$AB$203,$A45)</f>
        <v/>
      </c>
      <c r="F45" s="14">
        <f>SUMIFS('ORDENES'!$L$4:$L$203,'ORDENES'!$AB$4:$AB$203,$A45,'ORDENES'!$N$4:$N$203,"Cerrada")</f>
        <v/>
      </c>
      <c r="G45" s="15">
        <f>IF(E45=0,"",F45/E45)</f>
        <v/>
      </c>
    </row>
    <row r="46">
      <c r="A46" s="3" t="inlineStr">
        <is>
          <t>Técnico 09</t>
        </is>
      </c>
      <c r="B46" s="3">
        <f>COUNTIFS('ORDENES'!$AB$4:$AB$203,$A46)</f>
        <v/>
      </c>
      <c r="C46" s="3">
        <f>COUNTIFS('ORDENES'!$AB$4:$AB$203,$A46,'ORDENES'!$N$4:$N$203,"Cerrada")</f>
        <v/>
      </c>
      <c r="D46" s="15">
        <f>IF(B46=0,"",C46/B46)</f>
        <v/>
      </c>
      <c r="E46" s="14">
        <f>SUMIFS('ORDENES'!$L$4:$L$203,'ORDENES'!$AB$4:$AB$203,$A46)</f>
        <v/>
      </c>
      <c r="F46" s="14">
        <f>SUMIFS('ORDENES'!$L$4:$L$203,'ORDENES'!$AB$4:$AB$203,$A46,'ORDENES'!$N$4:$N$203,"Cerrada")</f>
        <v/>
      </c>
      <c r="G46" s="15">
        <f>IF(E46=0,"",F46/E46)</f>
        <v/>
      </c>
    </row>
    <row r="47">
      <c r="A47" s="3" t="inlineStr">
        <is>
          <t>Técnico 10</t>
        </is>
      </c>
      <c r="B47" s="3">
        <f>COUNTIFS('ORDENES'!$AB$4:$AB$203,$A47)</f>
        <v/>
      </c>
      <c r="C47" s="3">
        <f>COUNTIFS('ORDENES'!$AB$4:$AB$203,$A47,'ORDENES'!$N$4:$N$203,"Cerrada")</f>
        <v/>
      </c>
      <c r="D47" s="15">
        <f>IF(B47=0,"",C47/B47)</f>
        <v/>
      </c>
      <c r="E47" s="14">
        <f>SUMIFS('ORDENES'!$L$4:$L$203,'ORDENES'!$AB$4:$AB$203,$A47)</f>
        <v/>
      </c>
      <c r="F47" s="14">
        <f>SUMIFS('ORDENES'!$L$4:$L$203,'ORDENES'!$AB$4:$AB$203,$A47,'ORDENES'!$N$4:$N$203,"Cerrada")</f>
        <v/>
      </c>
      <c r="G47" s="15">
        <f>IF(E47=0,"",F47/E47)</f>
        <v/>
      </c>
    </row>
    <row r="48">
      <c r="A48" s="3" t="inlineStr">
        <is>
          <t>Técnico 11</t>
        </is>
      </c>
      <c r="B48" s="3">
        <f>COUNTIFS('ORDENES'!$AB$4:$AB$203,$A48)</f>
        <v/>
      </c>
      <c r="C48" s="3">
        <f>COUNTIFS('ORDENES'!$AB$4:$AB$203,$A48,'ORDENES'!$N$4:$N$203,"Cerrada")</f>
        <v/>
      </c>
      <c r="D48" s="15">
        <f>IF(B48=0,"",C48/B48)</f>
        <v/>
      </c>
      <c r="E48" s="14">
        <f>SUMIFS('ORDENES'!$L$4:$L$203,'ORDENES'!$AB$4:$AB$203,$A48)</f>
        <v/>
      </c>
      <c r="F48" s="14">
        <f>SUMIFS('ORDENES'!$L$4:$L$203,'ORDENES'!$AB$4:$AB$203,$A48,'ORDENES'!$N$4:$N$203,"Cerrada")</f>
        <v/>
      </c>
      <c r="G48" s="15">
        <f>IF(E48=0,"",F48/E48)</f>
        <v/>
      </c>
    </row>
    <row r="49">
      <c r="A49" s="3" t="inlineStr">
        <is>
          <t>Técnico 12</t>
        </is>
      </c>
      <c r="B49" s="3">
        <f>COUNTIFS('ORDENES'!$AB$4:$AB$203,$A49)</f>
        <v/>
      </c>
      <c r="C49" s="3">
        <f>COUNTIFS('ORDENES'!$AB$4:$AB$203,$A49,'ORDENES'!$N$4:$N$203,"Cerrada")</f>
        <v/>
      </c>
      <c r="D49" s="15">
        <f>IF(B49=0,"",C49/B49)</f>
        <v/>
      </c>
      <c r="E49" s="14">
        <f>SUMIFS('ORDENES'!$L$4:$L$203,'ORDENES'!$AB$4:$AB$203,$A49)</f>
        <v/>
      </c>
      <c r="F49" s="14">
        <f>SUMIFS('ORDENES'!$L$4:$L$203,'ORDENES'!$AB$4:$AB$203,$A49,'ORDENES'!$N$4:$N$203,"Cerrada")</f>
        <v/>
      </c>
      <c r="G49" s="15">
        <f>IF(E49=0,"",F49/E49)</f>
        <v/>
      </c>
    </row>
  </sheetData>
  <conditionalFormatting sqref="D5:D8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8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12:D14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12:G14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18:D22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18:G22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26:D28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26:G28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32:D34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32:G34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38:D4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38:G4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inlineStr">
        <is>
          <t>TOTAL</t>
        </is>
      </c>
    </row>
    <row r="6">
      <c r="A6" s="3" t="inlineStr">
        <is>
          <t>PRODUCCION</t>
        </is>
      </c>
      <c r="B6" s="10">
        <f>SUMIFS('ORDENES'!$M$4:$M$203,'ORDENES'!$U$4:$U$203,$A6,'ORDENES'!$P$4:$P$203,B$4,'ORDENES'!$Q$4:$Q$203,B$5)</f>
        <v/>
      </c>
      <c r="C6" s="10">
        <f>SUMIFS('ORDENES'!$M$4:$M$203,'ORDENES'!$U$4:$U$203,$A6,'ORDENES'!$P$4:$P$203,C$4,'ORDENES'!$Q$4:$Q$203,C$5)</f>
        <v/>
      </c>
      <c r="D6" s="10">
        <f>SUMIFS('ORDENES'!$M$4:$M$203,'ORDENES'!$U$4:$U$203,$A6,'ORDENES'!$P$4:$P$203,D$4,'ORDENES'!$Q$4:$Q$203,D$5)</f>
        <v/>
      </c>
      <c r="E6" s="10">
        <f>SUMIFS('ORDENES'!$M$4:$M$203,'ORDENES'!$U$4:$U$203,$A6,'ORDENES'!$P$4:$P$203,E$4,'ORDENES'!$Q$4:$Q$203,E$5)</f>
        <v/>
      </c>
      <c r="F6" s="10">
        <f>SUMIFS('ORDENES'!$M$4:$M$203,'ORDENES'!$U$4:$U$203,$A6,'ORDENES'!$P$4:$P$203,F$4,'ORDENES'!$Q$4:$Q$203,F$5)</f>
        <v/>
      </c>
      <c r="G6" s="10">
        <f>SUMIFS('ORDENES'!$M$4:$M$203,'ORDENES'!$U$4:$U$203,$A6,'ORDENES'!$P$4:$P$203,G$4,'ORDENES'!$Q$4:$Q$203,G$5)</f>
        <v/>
      </c>
      <c r="H6" s="10">
        <f>SUMIFS('ORDENES'!$M$4:$M$203,'ORDENES'!$U$4:$U$203,$A6,'ORDENES'!$P$4:$P$203,H$4,'ORDENES'!$Q$4:$Q$203,H$5)</f>
        <v/>
      </c>
      <c r="I6" s="10">
        <f>SUMIFS('ORDENES'!$M$4:$M$203,'ORDENES'!$U$4:$U$203,$A6,'ORDENES'!$P$4:$P$203,I$4,'ORDENES'!$Q$4:$Q$203,I$5)</f>
        <v/>
      </c>
      <c r="J6" s="10">
        <f>SUMIFS('ORDENES'!$M$4:$M$203,'ORDENES'!$U$4:$U$203,$A6,'ORDENES'!$P$4:$P$203,J$4,'ORDENES'!$Q$4:$Q$203,J$5)</f>
        <v/>
      </c>
      <c r="K6" s="10">
        <f>SUM(B6:J6)</f>
        <v/>
      </c>
    </row>
    <row r="7">
      <c r="A7" s="3" t="inlineStr">
        <is>
          <t>EMPAQUE</t>
        </is>
      </c>
      <c r="B7" s="10">
        <f>SUMIFS('ORDENES'!$M$4:$M$203,'ORDENES'!$U$4:$U$203,$A7,'ORDENES'!$P$4:$P$203,B$4,'ORDENES'!$Q$4:$Q$203,B$5)</f>
        <v/>
      </c>
      <c r="C7" s="10">
        <f>SUMIFS('ORDENES'!$M$4:$M$203,'ORDENES'!$U$4:$U$203,$A7,'ORDENES'!$P$4:$P$203,C$4,'ORDENES'!$Q$4:$Q$203,C$5)</f>
        <v/>
      </c>
      <c r="D7" s="10">
        <f>SUMIFS('ORDENES'!$M$4:$M$203,'ORDENES'!$U$4:$U$203,$A7,'ORDENES'!$P$4:$P$203,D$4,'ORDENES'!$Q$4:$Q$203,D$5)</f>
        <v/>
      </c>
      <c r="E7" s="10">
        <f>SUMIFS('ORDENES'!$M$4:$M$203,'ORDENES'!$U$4:$U$203,$A7,'ORDENES'!$P$4:$P$203,E$4,'ORDENES'!$Q$4:$Q$203,E$5)</f>
        <v/>
      </c>
      <c r="F7" s="10">
        <f>SUMIFS('ORDENES'!$M$4:$M$203,'ORDENES'!$U$4:$U$203,$A7,'ORDENES'!$P$4:$P$203,F$4,'ORDENES'!$Q$4:$Q$203,F$5)</f>
        <v/>
      </c>
      <c r="G7" s="10">
        <f>SUMIFS('ORDENES'!$M$4:$M$203,'ORDENES'!$U$4:$U$203,$A7,'ORDENES'!$P$4:$P$203,G$4,'ORDENES'!$Q$4:$Q$203,G$5)</f>
        <v/>
      </c>
      <c r="H7" s="10">
        <f>SUMIFS('ORDENES'!$M$4:$M$203,'ORDENES'!$U$4:$U$203,$A7,'ORDENES'!$P$4:$P$203,H$4,'ORDENES'!$Q$4:$Q$203,H$5)</f>
        <v/>
      </c>
      <c r="I7" s="10">
        <f>SUMIFS('ORDENES'!$M$4:$M$203,'ORDENES'!$U$4:$U$203,$A7,'ORDENES'!$P$4:$P$203,I$4,'ORDENES'!$Q$4:$Q$203,I$5)</f>
        <v/>
      </c>
      <c r="J7" s="10">
        <f>SUMIFS('ORDENES'!$M$4:$M$203,'ORDENES'!$U$4:$U$203,$A7,'ORDENES'!$P$4:$P$203,J$4,'ORDENES'!$Q$4:$Q$203,J$5)</f>
        <v/>
      </c>
      <c r="K7" s="10">
        <f>SUM(B7:J7)</f>
        <v/>
      </c>
    </row>
    <row r="8">
      <c r="A8" s="3" t="inlineStr">
        <is>
          <t>SERVICIOS</t>
        </is>
      </c>
      <c r="B8" s="10">
        <f>SUMIFS('ORDENES'!$M$4:$M$203,'ORDENES'!$U$4:$U$203,$A8,'ORDENES'!$P$4:$P$203,B$4,'ORDENES'!$Q$4:$Q$203,B$5)</f>
        <v/>
      </c>
      <c r="C8" s="10">
        <f>SUMIFS('ORDENES'!$M$4:$M$203,'ORDENES'!$U$4:$U$203,$A8,'ORDENES'!$P$4:$P$203,C$4,'ORDENES'!$Q$4:$Q$203,C$5)</f>
        <v/>
      </c>
      <c r="D8" s="10">
        <f>SUMIFS('ORDENES'!$M$4:$M$203,'ORDENES'!$U$4:$U$203,$A8,'ORDENES'!$P$4:$P$203,D$4,'ORDENES'!$Q$4:$Q$203,D$5)</f>
        <v/>
      </c>
      <c r="E8" s="10">
        <f>SUMIFS('ORDENES'!$M$4:$M$203,'ORDENES'!$U$4:$U$203,$A8,'ORDENES'!$P$4:$P$203,E$4,'ORDENES'!$Q$4:$Q$203,E$5)</f>
        <v/>
      </c>
      <c r="F8" s="10">
        <f>SUMIFS('ORDENES'!$M$4:$M$203,'ORDENES'!$U$4:$U$203,$A8,'ORDENES'!$P$4:$P$203,F$4,'ORDENES'!$Q$4:$Q$203,F$5)</f>
        <v/>
      </c>
      <c r="G8" s="10">
        <f>SUMIFS('ORDENES'!$M$4:$M$203,'ORDENES'!$U$4:$U$203,$A8,'ORDENES'!$P$4:$P$203,G$4,'ORDENES'!$Q$4:$Q$203,G$5)</f>
        <v/>
      </c>
      <c r="H8" s="10">
        <f>SUMIFS('ORDENES'!$M$4:$M$203,'ORDENES'!$U$4:$U$203,$A8,'ORDENES'!$P$4:$P$203,H$4,'ORDENES'!$Q$4:$Q$203,H$5)</f>
        <v/>
      </c>
      <c r="I8" s="10">
        <f>SUMIFS('ORDENES'!$M$4:$M$203,'ORDENES'!$U$4:$U$203,$A8,'ORDENES'!$P$4:$P$203,I$4,'ORDENES'!$Q$4:$Q$203,I$5)</f>
        <v/>
      </c>
      <c r="J8" s="10">
        <f>SUMIFS('ORDENES'!$M$4:$M$203,'ORDENES'!$U$4:$U$203,$A8,'ORDENES'!$P$4:$P$203,J$4,'ORDENES'!$Q$4:$Q$203,J$5)</f>
        <v/>
      </c>
      <c r="K8" s="10">
        <f>SUM(B8:J8)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inlineStr">
        <is>
          <t>TOTAL</t>
        </is>
      </c>
    </row>
    <row r="14">
      <c r="A14" s="3" t="inlineStr">
        <is>
          <t>PRODUCCION</t>
        </is>
      </c>
      <c r="B14" s="10">
        <f>SUMIFS('ORDENES'!$AH$4:$AH$203,'ORDENES'!$U$4:$U$203,$A14,'ORDENES'!$P$4:$P$203,B$12,'ORDENES'!$Q$4:$Q$203,B$13)</f>
        <v/>
      </c>
      <c r="C14" s="10">
        <f>SUMIFS('ORDENES'!$AH$4:$AH$203,'ORDENES'!$U$4:$U$203,$A14,'ORDENES'!$P$4:$P$203,C$12,'ORDENES'!$Q$4:$Q$203,C$13)</f>
        <v/>
      </c>
      <c r="D14" s="10">
        <f>SUMIFS('ORDENES'!$AH$4:$AH$203,'ORDENES'!$U$4:$U$203,$A14,'ORDENES'!$P$4:$P$203,D$12,'ORDENES'!$Q$4:$Q$203,D$13)</f>
        <v/>
      </c>
      <c r="E14" s="10">
        <f>SUMIFS('ORDENES'!$AH$4:$AH$203,'ORDENES'!$U$4:$U$203,$A14,'ORDENES'!$P$4:$P$203,E$12,'ORDENES'!$Q$4:$Q$203,E$13)</f>
        <v/>
      </c>
      <c r="F14" s="10">
        <f>SUMIFS('ORDENES'!$AH$4:$AH$203,'ORDENES'!$U$4:$U$203,$A14,'ORDENES'!$P$4:$P$203,F$12,'ORDENES'!$Q$4:$Q$203,F$13)</f>
        <v/>
      </c>
      <c r="G14" s="10">
        <f>SUMIFS('ORDENES'!$AH$4:$AH$203,'ORDENES'!$U$4:$U$203,$A14,'ORDENES'!$P$4:$P$203,G$12,'ORDENES'!$Q$4:$Q$203,G$13)</f>
        <v/>
      </c>
      <c r="H14" s="10">
        <f>SUMIFS('ORDENES'!$AH$4:$AH$203,'ORDENES'!$U$4:$U$203,$A14,'ORDENES'!$P$4:$P$203,H$12,'ORDENES'!$Q$4:$Q$203,H$13)</f>
        <v/>
      </c>
      <c r="I14" s="10">
        <f>SUMIFS('ORDENES'!$AH$4:$AH$203,'ORDENES'!$U$4:$U$203,$A14,'ORDENES'!$P$4:$P$203,I$12,'ORDENES'!$Q$4:$Q$203,I$13)</f>
        <v/>
      </c>
      <c r="J14" s="10">
        <f>SUMIFS('ORDENES'!$AH$4:$AH$203,'ORDENES'!$U$4:$U$203,$A14,'ORDENES'!$P$4:$P$203,J$12,'ORDENES'!$Q$4:$Q$203,J$13)</f>
        <v/>
      </c>
      <c r="K14" s="10">
        <f>SUM(B14:J14)</f>
        <v/>
      </c>
    </row>
    <row r="15">
      <c r="A15" s="3" t="inlineStr">
        <is>
          <t>EMPAQUE</t>
        </is>
      </c>
      <c r="B15" s="10">
        <f>SUMIFS('ORDENES'!$AH$4:$AH$203,'ORDENES'!$U$4:$U$203,$A15,'ORDENES'!$P$4:$P$203,B$12,'ORDENES'!$Q$4:$Q$203,B$13)</f>
        <v/>
      </c>
      <c r="C15" s="10">
        <f>SUMIFS('ORDENES'!$AH$4:$AH$203,'ORDENES'!$U$4:$U$203,$A15,'ORDENES'!$P$4:$P$203,C$12,'ORDENES'!$Q$4:$Q$203,C$13)</f>
        <v/>
      </c>
      <c r="D15" s="10">
        <f>SUMIFS('ORDENES'!$AH$4:$AH$203,'ORDENES'!$U$4:$U$203,$A15,'ORDENES'!$P$4:$P$203,D$12,'ORDENES'!$Q$4:$Q$203,D$13)</f>
        <v/>
      </c>
      <c r="E15" s="10">
        <f>SUMIFS('ORDENES'!$AH$4:$AH$203,'ORDENES'!$U$4:$U$203,$A15,'ORDENES'!$P$4:$P$203,E$12,'ORDENES'!$Q$4:$Q$203,E$13)</f>
        <v/>
      </c>
      <c r="F15" s="10">
        <f>SUMIFS('ORDENES'!$AH$4:$AH$203,'ORDENES'!$U$4:$U$203,$A15,'ORDENES'!$P$4:$P$203,F$12,'ORDENES'!$Q$4:$Q$203,F$13)</f>
        <v/>
      </c>
      <c r="G15" s="10">
        <f>SUMIFS('ORDENES'!$AH$4:$AH$203,'ORDENES'!$U$4:$U$203,$A15,'ORDENES'!$P$4:$P$203,G$12,'ORDENES'!$Q$4:$Q$203,G$13)</f>
        <v/>
      </c>
      <c r="H15" s="10">
        <f>SUMIFS('ORDENES'!$AH$4:$AH$203,'ORDENES'!$U$4:$U$203,$A15,'ORDENES'!$P$4:$P$203,H$12,'ORDENES'!$Q$4:$Q$203,H$13)</f>
        <v/>
      </c>
      <c r="I15" s="10">
        <f>SUMIFS('ORDENES'!$AH$4:$AH$203,'ORDENES'!$U$4:$U$203,$A15,'ORDENES'!$P$4:$P$203,I$12,'ORDENES'!$Q$4:$Q$203,I$13)</f>
        <v/>
      </c>
      <c r="J15" s="10">
        <f>SUMIFS('ORDENES'!$AH$4:$AH$203,'ORDENES'!$U$4:$U$203,$A15,'ORDENES'!$P$4:$P$203,J$12,'ORDENES'!$Q$4:$Q$203,J$13)</f>
        <v/>
      </c>
      <c r="K15" s="10">
        <f>SUM(B15:J15)</f>
        <v/>
      </c>
    </row>
    <row r="16">
      <c r="A16" s="3" t="inlineStr">
        <is>
          <t>SERVICIOS</t>
        </is>
      </c>
      <c r="B16" s="10">
        <f>SUMIFS('ORDENES'!$AH$4:$AH$203,'ORDENES'!$U$4:$U$203,$A16,'ORDENES'!$P$4:$P$203,B$12,'ORDENES'!$Q$4:$Q$203,B$13)</f>
        <v/>
      </c>
      <c r="C16" s="10">
        <f>SUMIFS('ORDENES'!$AH$4:$AH$203,'ORDENES'!$U$4:$U$203,$A16,'ORDENES'!$P$4:$P$203,C$12,'ORDENES'!$Q$4:$Q$203,C$13)</f>
        <v/>
      </c>
      <c r="D16" s="10">
        <f>SUMIFS('ORDENES'!$AH$4:$AH$203,'ORDENES'!$U$4:$U$203,$A16,'ORDENES'!$P$4:$P$203,D$12,'ORDENES'!$Q$4:$Q$203,D$13)</f>
        <v/>
      </c>
      <c r="E16" s="10">
        <f>SUMIFS('ORDENES'!$AH$4:$AH$203,'ORDENES'!$U$4:$U$203,$A16,'ORDENES'!$P$4:$P$203,E$12,'ORDENES'!$Q$4:$Q$203,E$13)</f>
        <v/>
      </c>
      <c r="F16" s="10">
        <f>SUMIFS('ORDENES'!$AH$4:$AH$203,'ORDENES'!$U$4:$U$203,$A16,'ORDENES'!$P$4:$P$203,F$12,'ORDENES'!$Q$4:$Q$203,F$13)</f>
        <v/>
      </c>
      <c r="G16" s="10">
        <f>SUMIFS('ORDENES'!$AH$4:$AH$203,'ORDENES'!$U$4:$U$203,$A16,'ORDENES'!$P$4:$P$203,G$12,'ORDENES'!$Q$4:$Q$203,G$13)</f>
        <v/>
      </c>
      <c r="H16" s="10">
        <f>SUMIFS('ORDENES'!$AH$4:$AH$203,'ORDENES'!$U$4:$U$203,$A16,'ORDENES'!$P$4:$P$203,H$12,'ORDENES'!$Q$4:$Q$203,H$13)</f>
        <v/>
      </c>
      <c r="I16" s="10">
        <f>SUMIFS('ORDENES'!$AH$4:$AH$203,'ORDENES'!$U$4:$U$203,$A16,'ORDENES'!$P$4:$P$203,I$12,'ORDENES'!$Q$4:$Q$203,I$13)</f>
        <v/>
      </c>
      <c r="J16" s="10">
        <f>SUMIFS('ORDENES'!$AH$4:$AH$203,'ORDENES'!$U$4:$U$203,$A16,'ORDENES'!$P$4:$P$203,J$12,'ORDENES'!$Q$4:$Q$203,J$13)</f>
        <v/>
      </c>
      <c r="K16" s="10">
        <f>SUM(B16:J16)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inlineStr">
        <is>
          <t>TOTAL</t>
        </is>
      </c>
    </row>
    <row r="28">
      <c r="A28" s="3" t="inlineStr">
        <is>
          <t>L1</t>
        </is>
      </c>
      <c r="B28" s="10">
        <f>SUMIFS('ORDENES'!$AH$4:$AH$203,'ORDENES'!$T$4:$T$203,$A28,'ORDENES'!$P$4:$P$203,B$26,'ORDENES'!$Q$4:$Q$203,B$27)</f>
        <v/>
      </c>
      <c r="C28" s="10">
        <f>SUMIFS('ORDENES'!$AH$4:$AH$203,'ORDENES'!$T$4:$T$203,$A28,'ORDENES'!$P$4:$P$203,C$26,'ORDENES'!$Q$4:$Q$203,C$27)</f>
        <v/>
      </c>
      <c r="D28" s="10">
        <f>SUMIFS('ORDENES'!$AH$4:$AH$203,'ORDENES'!$T$4:$T$203,$A28,'ORDENES'!$P$4:$P$203,D$26,'ORDENES'!$Q$4:$Q$203,D$27)</f>
        <v/>
      </c>
      <c r="E28" s="10">
        <f>SUMIFS('ORDENES'!$AH$4:$AH$203,'ORDENES'!$T$4:$T$203,$A28,'ORDENES'!$P$4:$P$203,E$26,'ORDENES'!$Q$4:$Q$203,E$27)</f>
        <v/>
      </c>
      <c r="F28" s="10">
        <f>SUMIFS('ORDENES'!$AH$4:$AH$203,'ORDENES'!$T$4:$T$203,$A28,'ORDENES'!$P$4:$P$203,F$26,'ORDENES'!$Q$4:$Q$203,F$27)</f>
        <v/>
      </c>
      <c r="G28" s="10">
        <f>SUMIFS('ORDENES'!$AH$4:$AH$203,'ORDENES'!$T$4:$T$203,$A28,'ORDENES'!$P$4:$P$203,G$26,'ORDENES'!$Q$4:$Q$203,G$27)</f>
        <v/>
      </c>
      <c r="H28" s="10">
        <f>SUMIFS('ORDENES'!$AH$4:$AH$203,'ORDENES'!$T$4:$T$203,$A28,'ORDENES'!$P$4:$P$203,H$26,'ORDENES'!$Q$4:$Q$203,H$27)</f>
        <v/>
      </c>
      <c r="I28" s="10">
        <f>SUMIFS('ORDENES'!$AH$4:$AH$203,'ORDENES'!$T$4:$T$203,$A28,'ORDENES'!$P$4:$P$203,I$26,'ORDENES'!$Q$4:$Q$203,I$27)</f>
        <v/>
      </c>
      <c r="J28" s="10">
        <f>SUMIFS('ORDENES'!$AH$4:$AH$203,'ORDENES'!$T$4:$T$203,$A28,'ORDENES'!$P$4:$P$203,J$26,'ORDENES'!$Q$4:$Q$203,J$27)</f>
        <v/>
      </c>
      <c r="K28" s="10">
        <f>SUM(B28:J28)</f>
        <v/>
      </c>
    </row>
    <row r="29">
      <c r="A29" s="3" t="inlineStr">
        <is>
          <t>L2</t>
        </is>
      </c>
      <c r="B29" s="10">
        <f>SUMIFS('ORDENES'!$AH$4:$AH$203,'ORDENES'!$T$4:$T$203,$A29,'ORDENES'!$P$4:$P$203,B$26,'ORDENES'!$Q$4:$Q$203,B$27)</f>
        <v/>
      </c>
      <c r="C29" s="10">
        <f>SUMIFS('ORDENES'!$AH$4:$AH$203,'ORDENES'!$T$4:$T$203,$A29,'ORDENES'!$P$4:$P$203,C$26,'ORDENES'!$Q$4:$Q$203,C$27)</f>
        <v/>
      </c>
      <c r="D29" s="10">
        <f>SUMIFS('ORDENES'!$AH$4:$AH$203,'ORDENES'!$T$4:$T$203,$A29,'ORDENES'!$P$4:$P$203,D$26,'ORDENES'!$Q$4:$Q$203,D$27)</f>
        <v/>
      </c>
      <c r="E29" s="10">
        <f>SUMIFS('ORDENES'!$AH$4:$AH$203,'ORDENES'!$T$4:$T$203,$A29,'ORDENES'!$P$4:$P$203,E$26,'ORDENES'!$Q$4:$Q$203,E$27)</f>
        <v/>
      </c>
      <c r="F29" s="10">
        <f>SUMIFS('ORDENES'!$AH$4:$AH$203,'ORDENES'!$T$4:$T$203,$A29,'ORDENES'!$P$4:$P$203,F$26,'ORDENES'!$Q$4:$Q$203,F$27)</f>
        <v/>
      </c>
      <c r="G29" s="10">
        <f>SUMIFS('ORDENES'!$AH$4:$AH$203,'ORDENES'!$T$4:$T$203,$A29,'ORDENES'!$P$4:$P$203,G$26,'ORDENES'!$Q$4:$Q$203,G$27)</f>
        <v/>
      </c>
      <c r="H29" s="10">
        <f>SUMIFS('ORDENES'!$AH$4:$AH$203,'ORDENES'!$T$4:$T$203,$A29,'ORDENES'!$P$4:$P$203,H$26,'ORDENES'!$Q$4:$Q$203,H$27)</f>
        <v/>
      </c>
      <c r="I29" s="10">
        <f>SUMIFS('ORDENES'!$AH$4:$AH$203,'ORDENES'!$T$4:$T$203,$A29,'ORDENES'!$P$4:$P$203,I$26,'ORDENES'!$Q$4:$Q$203,I$27)</f>
        <v/>
      </c>
      <c r="J29" s="10">
        <f>SUMIFS('ORDENES'!$AH$4:$AH$203,'ORDENES'!$T$4:$T$203,$A29,'ORDENES'!$P$4:$P$203,J$26,'ORDENES'!$Q$4:$Q$203,J$27)</f>
        <v/>
      </c>
      <c r="K29" s="10">
        <f>SUM(B29:J29)</f>
        <v/>
      </c>
    </row>
    <row r="30">
      <c r="A30" s="3" t="inlineStr">
        <is>
          <t>L3</t>
        </is>
      </c>
      <c r="B30" s="10">
        <f>SUMIFS('ORDENES'!$AH$4:$AH$203,'ORDENES'!$T$4:$T$203,$A30,'ORDENES'!$P$4:$P$203,B$26,'ORDENES'!$Q$4:$Q$203,B$27)</f>
        <v/>
      </c>
      <c r="C30" s="10">
        <f>SUMIFS('ORDENES'!$AH$4:$AH$203,'ORDENES'!$T$4:$T$203,$A30,'ORDENES'!$P$4:$P$203,C$26,'ORDENES'!$Q$4:$Q$203,C$27)</f>
        <v/>
      </c>
      <c r="D30" s="10">
        <f>SUMIFS('ORDENES'!$AH$4:$AH$203,'ORDENES'!$T$4:$T$203,$A30,'ORDENES'!$P$4:$P$203,D$26,'ORDENES'!$Q$4:$Q$203,D$27)</f>
        <v/>
      </c>
      <c r="E30" s="10">
        <f>SUMIFS('ORDENES'!$AH$4:$AH$203,'ORDENES'!$T$4:$T$203,$A30,'ORDENES'!$P$4:$P$203,E$26,'ORDENES'!$Q$4:$Q$203,E$27)</f>
        <v/>
      </c>
      <c r="F30" s="10">
        <f>SUMIFS('ORDENES'!$AH$4:$AH$203,'ORDENES'!$T$4:$T$203,$A30,'ORDENES'!$P$4:$P$203,F$26,'ORDENES'!$Q$4:$Q$203,F$27)</f>
        <v/>
      </c>
      <c r="G30" s="10">
        <f>SUMIFS('ORDENES'!$AH$4:$AH$203,'ORDENES'!$T$4:$T$203,$A30,'ORDENES'!$P$4:$P$203,G$26,'ORDENES'!$Q$4:$Q$203,G$27)</f>
        <v/>
      </c>
      <c r="H30" s="10">
        <f>SUMIFS('ORDENES'!$AH$4:$AH$203,'ORDENES'!$T$4:$T$203,$A30,'ORDENES'!$P$4:$P$203,H$26,'ORDENES'!$Q$4:$Q$203,H$27)</f>
        <v/>
      </c>
      <c r="I30" s="10">
        <f>SUMIFS('ORDENES'!$AH$4:$AH$203,'ORDENES'!$T$4:$T$203,$A30,'ORDENES'!$P$4:$P$203,I$26,'ORDENES'!$Q$4:$Q$203,I$27)</f>
        <v/>
      </c>
      <c r="J30" s="10">
        <f>SUMIFS('ORDENES'!$AH$4:$AH$203,'ORDENES'!$T$4:$T$203,$A30,'ORDENES'!$P$4:$P$203,J$26,'ORDENES'!$Q$4:$Q$203,J$27)</f>
        <v/>
      </c>
      <c r="K30" s="10">
        <f>SUM(B30:J30)</f>
        <v/>
      </c>
    </row>
    <row r="31">
      <c r="A31" s="3" t="inlineStr">
        <is>
          <t>L4</t>
        </is>
      </c>
      <c r="B31" s="10">
        <f>SUMIFS('ORDENES'!$AH$4:$AH$203,'ORDENES'!$T$4:$T$203,$A31,'ORDENES'!$P$4:$P$203,B$26,'ORDENES'!$Q$4:$Q$203,B$27)</f>
        <v/>
      </c>
      <c r="C31" s="10">
        <f>SUMIFS('ORDENES'!$AH$4:$AH$203,'ORDENES'!$T$4:$T$203,$A31,'ORDENES'!$P$4:$P$203,C$26,'ORDENES'!$Q$4:$Q$203,C$27)</f>
        <v/>
      </c>
      <c r="D31" s="10">
        <f>SUMIFS('ORDENES'!$AH$4:$AH$203,'ORDENES'!$T$4:$T$203,$A31,'ORDENES'!$P$4:$P$203,D$26,'ORDENES'!$Q$4:$Q$203,D$27)</f>
        <v/>
      </c>
      <c r="E31" s="10">
        <f>SUMIFS('ORDENES'!$AH$4:$AH$203,'ORDENES'!$T$4:$T$203,$A31,'ORDENES'!$P$4:$P$203,E$26,'ORDENES'!$Q$4:$Q$203,E$27)</f>
        <v/>
      </c>
      <c r="F31" s="10">
        <f>SUMIFS('ORDENES'!$AH$4:$AH$203,'ORDENES'!$T$4:$T$203,$A31,'ORDENES'!$P$4:$P$203,F$26,'ORDENES'!$Q$4:$Q$203,F$27)</f>
        <v/>
      </c>
      <c r="G31" s="10">
        <f>SUMIFS('ORDENES'!$AH$4:$AH$203,'ORDENES'!$T$4:$T$203,$A31,'ORDENES'!$P$4:$P$203,G$26,'ORDENES'!$Q$4:$Q$203,G$27)</f>
        <v/>
      </c>
      <c r="H31" s="10">
        <f>SUMIFS('ORDENES'!$AH$4:$AH$203,'ORDENES'!$T$4:$T$203,$A31,'ORDENES'!$P$4:$P$203,H$26,'ORDENES'!$Q$4:$Q$203,H$27)</f>
        <v/>
      </c>
      <c r="I31" s="10">
        <f>SUMIFS('ORDENES'!$AH$4:$AH$203,'ORDENES'!$T$4:$T$203,$A31,'ORDENES'!$P$4:$P$203,I$26,'ORDENES'!$Q$4:$Q$203,I$27)</f>
        <v/>
      </c>
      <c r="J31" s="10">
        <f>SUMIFS('ORDENES'!$AH$4:$AH$203,'ORDENES'!$T$4:$T$203,$A31,'ORDENES'!$P$4:$P$203,J$26,'ORDENES'!$Q$4:$Q$203,J$27)</f>
        <v/>
      </c>
      <c r="K31" s="10">
        <f>SUM(B31:J31)</f>
        <v/>
      </c>
    </row>
    <row r="32">
      <c r="A32" s="3" t="inlineStr">
        <is>
          <t>SG</t>
        </is>
      </c>
      <c r="B32" s="10">
        <f>SUMIFS('ORDENES'!$AH$4:$AH$203,'ORDENES'!$T$4:$T$203,$A32,'ORDENES'!$P$4:$P$203,B$26,'ORDENES'!$Q$4:$Q$203,B$27)</f>
        <v/>
      </c>
      <c r="C32" s="10">
        <f>SUMIFS('ORDENES'!$AH$4:$AH$203,'ORDENES'!$T$4:$T$203,$A32,'ORDENES'!$P$4:$P$203,C$26,'ORDENES'!$Q$4:$Q$203,C$27)</f>
        <v/>
      </c>
      <c r="D32" s="10">
        <f>SUMIFS('ORDENES'!$AH$4:$AH$203,'ORDENES'!$T$4:$T$203,$A32,'ORDENES'!$P$4:$P$203,D$26,'ORDENES'!$Q$4:$Q$203,D$27)</f>
        <v/>
      </c>
      <c r="E32" s="10">
        <f>SUMIFS('ORDENES'!$AH$4:$AH$203,'ORDENES'!$T$4:$T$203,$A32,'ORDENES'!$P$4:$P$203,E$26,'ORDENES'!$Q$4:$Q$203,E$27)</f>
        <v/>
      </c>
      <c r="F32" s="10">
        <f>SUMIFS('ORDENES'!$AH$4:$AH$203,'ORDENES'!$T$4:$T$203,$A32,'ORDENES'!$P$4:$P$203,F$26,'ORDENES'!$Q$4:$Q$203,F$27)</f>
        <v/>
      </c>
      <c r="G32" s="10">
        <f>SUMIFS('ORDENES'!$AH$4:$AH$203,'ORDENES'!$T$4:$T$203,$A32,'ORDENES'!$P$4:$P$203,G$26,'ORDENES'!$Q$4:$Q$203,G$27)</f>
        <v/>
      </c>
      <c r="H32" s="10">
        <f>SUMIFS('ORDENES'!$AH$4:$AH$203,'ORDENES'!$T$4:$T$203,$A32,'ORDENES'!$P$4:$P$203,H$26,'ORDENES'!$Q$4:$Q$203,H$27)</f>
        <v/>
      </c>
      <c r="I32" s="10">
        <f>SUMIFS('ORDENES'!$AH$4:$AH$203,'ORDENES'!$T$4:$T$203,$A32,'ORDENES'!$P$4:$P$203,I$26,'ORDENES'!$Q$4:$Q$203,I$27)</f>
        <v/>
      </c>
      <c r="J32" s="10">
        <f>SUMIFS('ORDENES'!$AH$4:$AH$203,'ORDENES'!$T$4:$T$203,$A32,'ORDENES'!$P$4:$P$203,J$26,'ORDENES'!$Q$4:$Q$203,J$27)</f>
        <v/>
      </c>
      <c r="K32" s="10">
        <f>SUM(B32:J32)</f>
        <v/>
      </c>
    </row>
    <row r="33">
      <c r="A33" s="3" t="inlineStr">
        <is>
          <t>TC</t>
        </is>
      </c>
      <c r="B33" s="10">
        <f>SUMIFS('ORDENES'!$AH$4:$AH$203,'ORDENES'!$T$4:$T$203,$A33,'ORDENES'!$P$4:$P$203,B$26,'ORDENES'!$Q$4:$Q$203,B$27)</f>
        <v/>
      </c>
      <c r="C33" s="10">
        <f>SUMIFS('ORDENES'!$AH$4:$AH$203,'ORDENES'!$T$4:$T$203,$A33,'ORDENES'!$P$4:$P$203,C$26,'ORDENES'!$Q$4:$Q$203,C$27)</f>
        <v/>
      </c>
      <c r="D33" s="10">
        <f>SUMIFS('ORDENES'!$AH$4:$AH$203,'ORDENES'!$T$4:$T$203,$A33,'ORDENES'!$P$4:$P$203,D$26,'ORDENES'!$Q$4:$Q$203,D$27)</f>
        <v/>
      </c>
      <c r="E33" s="10">
        <f>SUMIFS('ORDENES'!$AH$4:$AH$203,'ORDENES'!$T$4:$T$203,$A33,'ORDENES'!$P$4:$P$203,E$26,'ORDENES'!$Q$4:$Q$203,E$27)</f>
        <v/>
      </c>
      <c r="F33" s="10">
        <f>SUMIFS('ORDENES'!$AH$4:$AH$203,'ORDENES'!$T$4:$T$203,$A33,'ORDENES'!$P$4:$P$203,F$26,'ORDENES'!$Q$4:$Q$203,F$27)</f>
        <v/>
      </c>
      <c r="G33" s="10">
        <f>SUMIFS('ORDENES'!$AH$4:$AH$203,'ORDENES'!$T$4:$T$203,$A33,'ORDENES'!$P$4:$P$203,G$26,'ORDENES'!$Q$4:$Q$203,G$27)</f>
        <v/>
      </c>
      <c r="H33" s="10">
        <f>SUMIFS('ORDENES'!$AH$4:$AH$203,'ORDENES'!$T$4:$T$203,$A33,'ORDENES'!$P$4:$P$203,H$26,'ORDENES'!$Q$4:$Q$203,H$27)</f>
        <v/>
      </c>
      <c r="I33" s="10">
        <f>SUMIFS('ORDENES'!$AH$4:$AH$203,'ORDENES'!$T$4:$T$203,$A33,'ORDENES'!$P$4:$P$203,I$26,'ORDENES'!$Q$4:$Q$203,I$27)</f>
        <v/>
      </c>
      <c r="J33" s="10">
        <f>SUMIFS('ORDENES'!$AH$4:$AH$203,'ORDENES'!$T$4:$T$203,$A33,'ORDENES'!$P$4:$P$203,J$26,'ORDENES'!$Q$4:$Q$203,J$27)</f>
        <v/>
      </c>
      <c r="K33" s="10">
        <f>SUM(B33:J33)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COUNTIFS('ORDENES'!$N$4:$N$203,"Pendiente",'ORDENES'!$Y$4:$Y$203,"&gt;=0",'ORDENES'!$Y$4:$Y$203,"&lt;=30")</f>
        <v/>
      </c>
      <c r="C4" s="14">
        <f>SUMIFS('ORDENES'!$L$4:$L$203,'ORDENES'!$N$4:$N$203,"Pendiente",'ORDENES'!$Y$4:$Y$203,"&gt;=0",'ORDENES'!$Y$4:$Y$203,"&lt;=30")</f>
        <v/>
      </c>
    </row>
    <row r="5">
      <c r="A5" s="3" t="inlineStr">
        <is>
          <t>31-60</t>
        </is>
      </c>
      <c r="B5" s="3">
        <f>COUNTIFS('ORDENES'!$N$4:$N$203,"Pendiente",'ORDENES'!$Y$4:$Y$203,"&gt;=31",'ORDENES'!$Y$4:$Y$203,"&lt;=60")</f>
        <v/>
      </c>
      <c r="C5" s="14">
        <f>SUMIFS('ORDENES'!$L$4:$L$203,'ORDENES'!$N$4:$N$203,"Pendiente",'ORDENES'!$Y$4:$Y$203,"&gt;=31",'ORDENES'!$Y$4:$Y$203,"&lt;=60")</f>
        <v/>
      </c>
    </row>
    <row r="6">
      <c r="A6" s="3" t="inlineStr">
        <is>
          <t>61-90</t>
        </is>
      </c>
      <c r="B6" s="3">
        <f>COUNTIFS('ORDENES'!$N$4:$N$203,"Pendiente",'ORDENES'!$Y$4:$Y$203,"&gt;=61",'ORDENES'!$Y$4:$Y$203,"&lt;=90")</f>
        <v/>
      </c>
      <c r="C6" s="14">
        <f>SUMIFS('ORDENES'!$L$4:$L$203,'ORDENES'!$N$4:$N$203,"Pendiente",'ORDENES'!$Y$4:$Y$203,"&gt;=61",'ORDENES'!$Y$4:$Y$203,"&lt;=90")</f>
        <v/>
      </c>
    </row>
    <row r="7">
      <c r="A7" s="3" t="inlineStr">
        <is>
          <t>&gt;90</t>
        </is>
      </c>
      <c r="B7" s="3">
        <f>COUNTIFS('ORDENES'!$N$4:$N$203,"Pendiente",'ORDENES'!$Y$4:$Y$203,"&gt;90")</f>
        <v/>
      </c>
      <c r="C7" s="14">
        <f>SUMIFS('ORDENES'!$L$4:$L$203,'ORDENES'!$N$4:$N$203,"Pendiente",'ORDENES'!$Y$4:$Y$203,"&gt;90")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COUNTIFS('ORDENES'!$N$4:$N$203,"Pendiente",'ORDENES'!$Y$4:$Y$203,"&gt;=0",'ORDENES'!$Y$4:$Y$203,"&lt;=30",'ORDENES'!$W$4:$W$203,$A12)</f>
        <v/>
      </c>
      <c r="C12" s="3">
        <f>COUNTIFS('ORDENES'!$N$4:$N$203,"Pendiente",'ORDENES'!$Y$4:$Y$203,"&gt;=31",'ORDENES'!$Y$4:$Y$203,"&lt;=60",'ORDENES'!$W$4:$W$203,$A12)</f>
        <v/>
      </c>
      <c r="D12" s="3">
        <f>COUNTIFS('ORDENES'!$N$4:$N$203,"Pendiente",'ORDENES'!$Y$4:$Y$203,"&gt;=61",'ORDENES'!$Y$4:$Y$203,"&lt;=90",'ORDENES'!$W$4:$W$203,$A12)</f>
        <v/>
      </c>
      <c r="E12" s="3">
        <f>COUNTIFS('ORDENES'!$N$4:$N$203,"Pendiente",'ORDENES'!$Y$4:$Y$203,"&gt;90",'ORDENES'!$W$4:$W$203,$A12)</f>
        <v/>
      </c>
    </row>
    <row r="13">
      <c r="A13" s="3" t="inlineStr">
        <is>
          <t>ELE</t>
        </is>
      </c>
      <c r="B13" s="3">
        <f>COUNTIFS('ORDENES'!$N$4:$N$203,"Pendiente",'ORDENES'!$Y$4:$Y$203,"&gt;=0",'ORDENES'!$Y$4:$Y$203,"&lt;=30",'ORDENES'!$W$4:$W$203,$A13)</f>
        <v/>
      </c>
      <c r="C13" s="3">
        <f>COUNTIFS('ORDENES'!$N$4:$N$203,"Pendiente",'ORDENES'!$Y$4:$Y$203,"&gt;=31",'ORDENES'!$Y$4:$Y$203,"&lt;=60",'ORDENES'!$W$4:$W$203,$A13)</f>
        <v/>
      </c>
      <c r="D13" s="3">
        <f>COUNTIFS('ORDENES'!$N$4:$N$203,"Pendiente",'ORDENES'!$Y$4:$Y$203,"&gt;=61",'ORDENES'!$Y$4:$Y$203,"&lt;=90",'ORDENES'!$W$4:$W$203,$A13)</f>
        <v/>
      </c>
      <c r="E13" s="3">
        <f>COUNTIFS('ORDENES'!$N$4:$N$203,"Pendiente",'ORDENES'!$Y$4:$Y$203,"&gt;90",'ORDENES'!$W$4:$W$203,$A13)</f>
        <v/>
      </c>
    </row>
    <row r="14">
      <c r="A14" s="3" t="inlineStr">
        <is>
          <t>AUT</t>
        </is>
      </c>
      <c r="B14" s="3">
        <f>COUNTIFS('ORDENES'!$N$4:$N$203,"Pendiente",'ORDENES'!$Y$4:$Y$203,"&gt;=0",'ORDENES'!$Y$4:$Y$203,"&lt;=30",'ORDENES'!$W$4:$W$203,$A14)</f>
        <v/>
      </c>
      <c r="C14" s="3">
        <f>COUNTIFS('ORDENES'!$N$4:$N$203,"Pendiente",'ORDENES'!$Y$4:$Y$203,"&gt;=31",'ORDENES'!$Y$4:$Y$203,"&lt;=60",'ORDENES'!$W$4:$W$203,$A14)</f>
        <v/>
      </c>
      <c r="D14" s="3">
        <f>COUNTIFS('ORDENES'!$N$4:$N$203,"Pendiente",'ORDENES'!$Y$4:$Y$203,"&gt;=61",'ORDENES'!$Y$4:$Y$203,"&lt;=90",'ORDENES'!$W$4:$W$203,$A14)</f>
        <v/>
      </c>
      <c r="E14" s="3">
        <f>COUNTIFS('ORDENES'!$N$4:$N$203,"Pendiente",'ORDENES'!$Y$4:$Y$203,"&gt;90",'ORDENES'!$W$4:$W$203,$A14)</f>
        <v/>
      </c>
    </row>
    <row r="15">
      <c r="A15" s="3" t="inlineStr">
        <is>
          <t>OP</t>
        </is>
      </c>
      <c r="B15" s="3">
        <f>COUNTIFS('ORDENES'!$N$4:$N$203,"Pendiente",'ORDENES'!$Y$4:$Y$203,"&gt;=0",'ORDENES'!$Y$4:$Y$203,"&lt;=30",'ORDENES'!$W$4:$W$203,$A15)</f>
        <v/>
      </c>
      <c r="C15" s="3">
        <f>COUNTIFS('ORDENES'!$N$4:$N$203,"Pendiente",'ORDENES'!$Y$4:$Y$203,"&gt;=31",'ORDENES'!$Y$4:$Y$203,"&lt;=60",'ORDENES'!$W$4:$W$203,$A15)</f>
        <v/>
      </c>
      <c r="D15" s="3">
        <f>COUNTIFS('ORDENES'!$N$4:$N$203,"Pendiente",'ORDENES'!$Y$4:$Y$203,"&gt;=61",'ORDENES'!$Y$4:$Y$203,"&lt;=90",'ORDENES'!$W$4:$W$203,$A15)</f>
        <v/>
      </c>
      <c r="E15" s="3">
        <f>COUNTIFS('ORDENES'!$N$4:$N$203,"Pendiente",'ORDENES'!$Y$4:$Y$203,"&gt;90",'ORDENES'!$W$4:$W$203,$A15)</f>
        <v/>
      </c>
    </row>
    <row r="16">
      <c r="A16" s="3" t="inlineStr">
        <is>
          <t>TERCERO</t>
        </is>
      </c>
      <c r="B16" s="3">
        <f>COUNTIFS('ORDENES'!$N$4:$N$203,"Pendiente",'ORDENES'!$Y$4:$Y$203,"&gt;=0",'ORDENES'!$Y$4:$Y$203,"&lt;=30",'ORDENES'!$W$4:$W$203,$A16)</f>
        <v/>
      </c>
      <c r="C16" s="3">
        <f>COUNTIFS('ORDENES'!$N$4:$N$203,"Pendiente",'ORDENES'!$Y$4:$Y$203,"&gt;=31",'ORDENES'!$Y$4:$Y$203,"&lt;=60",'ORDENES'!$W$4:$W$203,$A16)</f>
        <v/>
      </c>
      <c r="D16" s="3">
        <f>COUNTIFS('ORDENES'!$N$4:$N$203,"Pendiente",'ORDENES'!$Y$4:$Y$203,"&gt;=61",'ORDENES'!$Y$4:$Y$203,"&lt;=90",'ORDENES'!$W$4:$W$203,$A16)</f>
        <v/>
      </c>
      <c r="E16" s="3">
        <f>COUNTIFS('ORDENES'!$N$4:$N$203,"Pendiente",'ORDENES'!$Y$4:$Y$203,"&gt;90",'ORDENES'!$W$4:$W$203,$A16)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COUNTIFS('ORDENES'!$N$4:$N$203,"Pendiente",'ORDENES'!$Y$4:$Y$203,"&gt;=0",'ORDENES'!$Y$4:$Y$203,"&lt;=30",'ORDENES'!$U$4:$U$203,$A20)</f>
        <v/>
      </c>
      <c r="C20" s="3">
        <f>COUNTIFS('ORDENES'!$N$4:$N$203,"Pendiente",'ORDENES'!$Y$4:$Y$203,"&gt;=31",'ORDENES'!$Y$4:$Y$203,"&lt;=60",'ORDENES'!$U$4:$U$203,$A20)</f>
        <v/>
      </c>
      <c r="D20" s="3">
        <f>COUNTIFS('ORDENES'!$N$4:$N$203,"Pendiente",'ORDENES'!$Y$4:$Y$203,"&gt;=61",'ORDENES'!$Y$4:$Y$203,"&lt;=90",'ORDENES'!$U$4:$U$203,$A20)</f>
        <v/>
      </c>
      <c r="E20" s="3">
        <f>COUNTIFS('ORDENES'!$N$4:$N$203,"Pendiente",'ORDENES'!$Y$4:$Y$203,"&gt;90",'ORDENES'!$U$4:$U$203,$A20)</f>
        <v/>
      </c>
    </row>
    <row r="21">
      <c r="A21" s="3" t="inlineStr">
        <is>
          <t>EMPAQUE</t>
        </is>
      </c>
      <c r="B21" s="3">
        <f>COUNTIFS('ORDENES'!$N$4:$N$203,"Pendiente",'ORDENES'!$Y$4:$Y$203,"&gt;=0",'ORDENES'!$Y$4:$Y$203,"&lt;=30",'ORDENES'!$U$4:$U$203,$A21)</f>
        <v/>
      </c>
      <c r="C21" s="3">
        <f>COUNTIFS('ORDENES'!$N$4:$N$203,"Pendiente",'ORDENES'!$Y$4:$Y$203,"&gt;=31",'ORDENES'!$Y$4:$Y$203,"&lt;=60",'ORDENES'!$U$4:$U$203,$A21)</f>
        <v/>
      </c>
      <c r="D21" s="3">
        <f>COUNTIFS('ORDENES'!$N$4:$N$203,"Pendiente",'ORDENES'!$Y$4:$Y$203,"&gt;=61",'ORDENES'!$Y$4:$Y$203,"&lt;=90",'ORDENES'!$U$4:$U$203,$A21)</f>
        <v/>
      </c>
      <c r="E21" s="3">
        <f>COUNTIFS('ORDENES'!$N$4:$N$203,"Pendiente",'ORDENES'!$Y$4:$Y$203,"&gt;90",'ORDENES'!$U$4:$U$203,$A21)</f>
        <v/>
      </c>
    </row>
    <row r="22">
      <c r="A22" s="3" t="inlineStr">
        <is>
          <t>SERVICIOS</t>
        </is>
      </c>
      <c r="B22" s="3">
        <f>COUNTIFS('ORDENES'!$N$4:$N$203,"Pendiente",'ORDENES'!$Y$4:$Y$203,"&gt;=0",'ORDENES'!$Y$4:$Y$203,"&lt;=30",'ORDENES'!$U$4:$U$203,$A22)</f>
        <v/>
      </c>
      <c r="C22" s="3">
        <f>COUNTIFS('ORDENES'!$N$4:$N$203,"Pendiente",'ORDENES'!$Y$4:$Y$203,"&gt;=31",'ORDENES'!$Y$4:$Y$203,"&lt;=60",'ORDENES'!$U$4:$U$203,$A22)</f>
        <v/>
      </c>
      <c r="D22" s="3">
        <f>COUNTIFS('ORDENES'!$N$4:$N$203,"Pendiente",'ORDENES'!$Y$4:$Y$203,"&gt;=61",'ORDENES'!$Y$4:$Y$203,"&lt;=90",'ORDENES'!$U$4:$U$203,$A22)</f>
        <v/>
      </c>
      <c r="E22" s="3">
        <f>COUNTIFS('ORDENES'!$N$4:$N$203,"Pendiente",'ORDENES'!$Y$4:$Y$203,"&gt;90",'ORDENES'!$U$4:$U$203,$A22)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inlineStr">
        <is>
          <t>TOTAL</t>
        </is>
      </c>
    </row>
    <row r="5">
      <c r="A5" s="3" t="inlineStr">
        <is>
          <t>EQ-110</t>
        </is>
      </c>
      <c r="B5" s="10">
        <f>SUMIFS('ORDENES'!$AH$4:$AH$203,'ORDENES'!$F$4:$F$203,$A5,'ORDENES'!$P$4:$P$203,B$3,'ORDENES'!$Q$4:$Q$203,B$4)</f>
        <v/>
      </c>
      <c r="C5" s="10">
        <f>SUMIFS('ORDENES'!$AH$4:$AH$203,'ORDENES'!$F$4:$F$203,$A5,'ORDENES'!$P$4:$P$203,C$3,'ORDENES'!$Q$4:$Q$203,C$4)</f>
        <v/>
      </c>
      <c r="D5" s="10">
        <f>SUMIFS('ORDENES'!$AH$4:$AH$203,'ORDENES'!$F$4:$F$203,$A5,'ORDENES'!$P$4:$P$203,D$3,'ORDENES'!$Q$4:$Q$203,D$4)</f>
        <v/>
      </c>
      <c r="E5" s="10">
        <f>SUMIFS('ORDENES'!$AH$4:$AH$203,'ORDENES'!$F$4:$F$203,$A5,'ORDENES'!$P$4:$P$203,E$3,'ORDENES'!$Q$4:$Q$203,E$4)</f>
        <v/>
      </c>
      <c r="F5" s="10">
        <f>SUMIFS('ORDENES'!$AH$4:$AH$203,'ORDENES'!$F$4:$F$203,$A5,'ORDENES'!$P$4:$P$203,F$3,'ORDENES'!$Q$4:$Q$203,F$4)</f>
        <v/>
      </c>
      <c r="G5" s="10">
        <f>SUMIFS('ORDENES'!$AH$4:$AH$203,'ORDENES'!$F$4:$F$203,$A5,'ORDENES'!$P$4:$P$203,G$3,'ORDENES'!$Q$4:$Q$203,G$4)</f>
        <v/>
      </c>
      <c r="H5" s="10">
        <f>SUMIFS('ORDENES'!$AH$4:$AH$203,'ORDENES'!$F$4:$F$203,$A5,'ORDENES'!$P$4:$P$203,H$3,'ORDENES'!$Q$4:$Q$203,H$4)</f>
        <v/>
      </c>
      <c r="I5" s="10">
        <f>SUMIFS('ORDENES'!$AH$4:$AH$203,'ORDENES'!$F$4:$F$203,$A5,'ORDENES'!$P$4:$P$203,I$3,'ORDENES'!$Q$4:$Q$203,I$4)</f>
        <v/>
      </c>
      <c r="J5" s="10">
        <f>SUMIFS('ORDENES'!$AH$4:$AH$203,'ORDENES'!$F$4:$F$203,$A5,'ORDENES'!$P$4:$P$203,J$3,'ORDENES'!$Q$4:$Q$203,J$4)</f>
        <v/>
      </c>
      <c r="K5" s="10">
        <f>SUM(B5:J5)</f>
        <v/>
      </c>
    </row>
    <row r="6">
      <c r="A6" s="3" t="inlineStr">
        <is>
          <t>EQ-103</t>
        </is>
      </c>
      <c r="B6" s="10">
        <f>SUMIFS('ORDENES'!$AH$4:$AH$203,'ORDENES'!$F$4:$F$203,$A6,'ORDENES'!$P$4:$P$203,B$3,'ORDENES'!$Q$4:$Q$203,B$4)</f>
        <v/>
      </c>
      <c r="C6" s="10">
        <f>SUMIFS('ORDENES'!$AH$4:$AH$203,'ORDENES'!$F$4:$F$203,$A6,'ORDENES'!$P$4:$P$203,C$3,'ORDENES'!$Q$4:$Q$203,C$4)</f>
        <v/>
      </c>
      <c r="D6" s="10">
        <f>SUMIFS('ORDENES'!$AH$4:$AH$203,'ORDENES'!$F$4:$F$203,$A6,'ORDENES'!$P$4:$P$203,D$3,'ORDENES'!$Q$4:$Q$203,D$4)</f>
        <v/>
      </c>
      <c r="E6" s="10">
        <f>SUMIFS('ORDENES'!$AH$4:$AH$203,'ORDENES'!$F$4:$F$203,$A6,'ORDENES'!$P$4:$P$203,E$3,'ORDENES'!$Q$4:$Q$203,E$4)</f>
        <v/>
      </c>
      <c r="F6" s="10">
        <f>SUMIFS('ORDENES'!$AH$4:$AH$203,'ORDENES'!$F$4:$F$203,$A6,'ORDENES'!$P$4:$P$203,F$3,'ORDENES'!$Q$4:$Q$203,F$4)</f>
        <v/>
      </c>
      <c r="G6" s="10">
        <f>SUMIFS('ORDENES'!$AH$4:$AH$203,'ORDENES'!$F$4:$F$203,$A6,'ORDENES'!$P$4:$P$203,G$3,'ORDENES'!$Q$4:$Q$203,G$4)</f>
        <v/>
      </c>
      <c r="H6" s="10">
        <f>SUMIFS('ORDENES'!$AH$4:$AH$203,'ORDENES'!$F$4:$F$203,$A6,'ORDENES'!$P$4:$P$203,H$3,'ORDENES'!$Q$4:$Q$203,H$4)</f>
        <v/>
      </c>
      <c r="I6" s="10">
        <f>SUMIFS('ORDENES'!$AH$4:$AH$203,'ORDENES'!$F$4:$F$203,$A6,'ORDENES'!$P$4:$P$203,I$3,'ORDENES'!$Q$4:$Q$203,I$4)</f>
        <v/>
      </c>
      <c r="J6" s="10">
        <f>SUMIFS('ORDENES'!$AH$4:$AH$203,'ORDENES'!$F$4:$F$203,$A6,'ORDENES'!$P$4:$P$203,J$3,'ORDENES'!$Q$4:$Q$203,J$4)</f>
        <v/>
      </c>
      <c r="K6" s="10">
        <f>SUM(B6:J6)</f>
        <v/>
      </c>
    </row>
    <row r="7">
      <c r="A7" s="3" t="inlineStr">
        <is>
          <t>EQ-106</t>
        </is>
      </c>
      <c r="B7" s="10">
        <f>SUMIFS('ORDENES'!$AH$4:$AH$203,'ORDENES'!$F$4:$F$203,$A7,'ORDENES'!$P$4:$P$203,B$3,'ORDENES'!$Q$4:$Q$203,B$4)</f>
        <v/>
      </c>
      <c r="C7" s="10">
        <f>SUMIFS('ORDENES'!$AH$4:$AH$203,'ORDENES'!$F$4:$F$203,$A7,'ORDENES'!$P$4:$P$203,C$3,'ORDENES'!$Q$4:$Q$203,C$4)</f>
        <v/>
      </c>
      <c r="D7" s="10">
        <f>SUMIFS('ORDENES'!$AH$4:$AH$203,'ORDENES'!$F$4:$F$203,$A7,'ORDENES'!$P$4:$P$203,D$3,'ORDENES'!$Q$4:$Q$203,D$4)</f>
        <v/>
      </c>
      <c r="E7" s="10">
        <f>SUMIFS('ORDENES'!$AH$4:$AH$203,'ORDENES'!$F$4:$F$203,$A7,'ORDENES'!$P$4:$P$203,E$3,'ORDENES'!$Q$4:$Q$203,E$4)</f>
        <v/>
      </c>
      <c r="F7" s="10">
        <f>SUMIFS('ORDENES'!$AH$4:$AH$203,'ORDENES'!$F$4:$F$203,$A7,'ORDENES'!$P$4:$P$203,F$3,'ORDENES'!$Q$4:$Q$203,F$4)</f>
        <v/>
      </c>
      <c r="G7" s="10">
        <f>SUMIFS('ORDENES'!$AH$4:$AH$203,'ORDENES'!$F$4:$F$203,$A7,'ORDENES'!$P$4:$P$203,G$3,'ORDENES'!$Q$4:$Q$203,G$4)</f>
        <v/>
      </c>
      <c r="H7" s="10">
        <f>SUMIFS('ORDENES'!$AH$4:$AH$203,'ORDENES'!$F$4:$F$203,$A7,'ORDENES'!$P$4:$P$203,H$3,'ORDENES'!$Q$4:$Q$203,H$4)</f>
        <v/>
      </c>
      <c r="I7" s="10">
        <f>SUMIFS('ORDENES'!$AH$4:$AH$203,'ORDENES'!$F$4:$F$203,$A7,'ORDENES'!$P$4:$P$203,I$3,'ORDENES'!$Q$4:$Q$203,I$4)</f>
        <v/>
      </c>
      <c r="J7" s="10">
        <f>SUMIFS('ORDENES'!$AH$4:$AH$203,'ORDENES'!$F$4:$F$203,$A7,'ORDENES'!$P$4:$P$203,J$3,'ORDENES'!$Q$4:$Q$203,J$4)</f>
        <v/>
      </c>
      <c r="K7" s="10">
        <f>SUM(B7:J7)</f>
        <v/>
      </c>
    </row>
    <row r="8">
      <c r="A8" s="3" t="inlineStr">
        <is>
          <t>EQ-101</t>
        </is>
      </c>
      <c r="B8" s="10">
        <f>SUMIFS('ORDENES'!$AH$4:$AH$203,'ORDENES'!$F$4:$F$203,$A8,'ORDENES'!$P$4:$P$203,B$3,'ORDENES'!$Q$4:$Q$203,B$4)</f>
        <v/>
      </c>
      <c r="C8" s="10">
        <f>SUMIFS('ORDENES'!$AH$4:$AH$203,'ORDENES'!$F$4:$F$203,$A8,'ORDENES'!$P$4:$P$203,C$3,'ORDENES'!$Q$4:$Q$203,C$4)</f>
        <v/>
      </c>
      <c r="D8" s="10">
        <f>SUMIFS('ORDENES'!$AH$4:$AH$203,'ORDENES'!$F$4:$F$203,$A8,'ORDENES'!$P$4:$P$203,D$3,'ORDENES'!$Q$4:$Q$203,D$4)</f>
        <v/>
      </c>
      <c r="E8" s="10">
        <f>SUMIFS('ORDENES'!$AH$4:$AH$203,'ORDENES'!$F$4:$F$203,$A8,'ORDENES'!$P$4:$P$203,E$3,'ORDENES'!$Q$4:$Q$203,E$4)</f>
        <v/>
      </c>
      <c r="F8" s="10">
        <f>SUMIFS('ORDENES'!$AH$4:$AH$203,'ORDENES'!$F$4:$F$203,$A8,'ORDENES'!$P$4:$P$203,F$3,'ORDENES'!$Q$4:$Q$203,F$4)</f>
        <v/>
      </c>
      <c r="G8" s="10">
        <f>SUMIFS('ORDENES'!$AH$4:$AH$203,'ORDENES'!$F$4:$F$203,$A8,'ORDENES'!$P$4:$P$203,G$3,'ORDENES'!$Q$4:$Q$203,G$4)</f>
        <v/>
      </c>
      <c r="H8" s="10">
        <f>SUMIFS('ORDENES'!$AH$4:$AH$203,'ORDENES'!$F$4:$F$203,$A8,'ORDENES'!$P$4:$P$203,H$3,'ORDENES'!$Q$4:$Q$203,H$4)</f>
        <v/>
      </c>
      <c r="I8" s="10">
        <f>SUMIFS('ORDENES'!$AH$4:$AH$203,'ORDENES'!$F$4:$F$203,$A8,'ORDENES'!$P$4:$P$203,I$3,'ORDENES'!$Q$4:$Q$203,I$4)</f>
        <v/>
      </c>
      <c r="J8" s="10">
        <f>SUMIFS('ORDENES'!$AH$4:$AH$203,'ORDENES'!$F$4:$F$203,$A8,'ORDENES'!$P$4:$P$203,J$3,'ORDENES'!$Q$4:$Q$203,J$4)</f>
        <v/>
      </c>
      <c r="K8" s="10">
        <f>SUM(B8:J8)</f>
        <v/>
      </c>
    </row>
    <row r="9">
      <c r="A9" s="3" t="inlineStr">
        <is>
          <t>EQ-108</t>
        </is>
      </c>
      <c r="B9" s="10">
        <f>SUMIFS('ORDENES'!$AH$4:$AH$203,'ORDENES'!$F$4:$F$203,$A9,'ORDENES'!$P$4:$P$203,B$3,'ORDENES'!$Q$4:$Q$203,B$4)</f>
        <v/>
      </c>
      <c r="C9" s="10">
        <f>SUMIFS('ORDENES'!$AH$4:$AH$203,'ORDENES'!$F$4:$F$203,$A9,'ORDENES'!$P$4:$P$203,C$3,'ORDENES'!$Q$4:$Q$203,C$4)</f>
        <v/>
      </c>
      <c r="D9" s="10">
        <f>SUMIFS('ORDENES'!$AH$4:$AH$203,'ORDENES'!$F$4:$F$203,$A9,'ORDENES'!$P$4:$P$203,D$3,'ORDENES'!$Q$4:$Q$203,D$4)</f>
        <v/>
      </c>
      <c r="E9" s="10">
        <f>SUMIFS('ORDENES'!$AH$4:$AH$203,'ORDENES'!$F$4:$F$203,$A9,'ORDENES'!$P$4:$P$203,E$3,'ORDENES'!$Q$4:$Q$203,E$4)</f>
        <v/>
      </c>
      <c r="F9" s="10">
        <f>SUMIFS('ORDENES'!$AH$4:$AH$203,'ORDENES'!$F$4:$F$203,$A9,'ORDENES'!$P$4:$P$203,F$3,'ORDENES'!$Q$4:$Q$203,F$4)</f>
        <v/>
      </c>
      <c r="G9" s="10">
        <f>SUMIFS('ORDENES'!$AH$4:$AH$203,'ORDENES'!$F$4:$F$203,$A9,'ORDENES'!$P$4:$P$203,G$3,'ORDENES'!$Q$4:$Q$203,G$4)</f>
        <v/>
      </c>
      <c r="H9" s="10">
        <f>SUMIFS('ORDENES'!$AH$4:$AH$203,'ORDENES'!$F$4:$F$203,$A9,'ORDENES'!$P$4:$P$203,H$3,'ORDENES'!$Q$4:$Q$203,H$4)</f>
        <v/>
      </c>
      <c r="I9" s="10">
        <f>SUMIFS('ORDENES'!$AH$4:$AH$203,'ORDENES'!$F$4:$F$203,$A9,'ORDENES'!$P$4:$P$203,I$3,'ORDENES'!$Q$4:$Q$203,I$4)</f>
        <v/>
      </c>
      <c r="J9" s="10">
        <f>SUMIFS('ORDENES'!$AH$4:$AH$203,'ORDENES'!$F$4:$F$203,$A9,'ORDENES'!$P$4:$P$203,J$3,'ORDENES'!$Q$4:$Q$203,J$4)</f>
        <v/>
      </c>
      <c r="K9" s="10">
        <f>SUM(B9:J9)</f>
        <v/>
      </c>
    </row>
    <row r="10">
      <c r="A10" s="3" t="inlineStr">
        <is>
          <t>EQ-104</t>
        </is>
      </c>
      <c r="B10" s="10">
        <f>SUMIFS('ORDENES'!$AH$4:$AH$203,'ORDENES'!$F$4:$F$203,$A10,'ORDENES'!$P$4:$P$203,B$3,'ORDENES'!$Q$4:$Q$203,B$4)</f>
        <v/>
      </c>
      <c r="C10" s="10">
        <f>SUMIFS('ORDENES'!$AH$4:$AH$203,'ORDENES'!$F$4:$F$203,$A10,'ORDENES'!$P$4:$P$203,C$3,'ORDENES'!$Q$4:$Q$203,C$4)</f>
        <v/>
      </c>
      <c r="D10" s="10">
        <f>SUMIFS('ORDENES'!$AH$4:$AH$203,'ORDENES'!$F$4:$F$203,$A10,'ORDENES'!$P$4:$P$203,D$3,'ORDENES'!$Q$4:$Q$203,D$4)</f>
        <v/>
      </c>
      <c r="E10" s="10">
        <f>SUMIFS('ORDENES'!$AH$4:$AH$203,'ORDENES'!$F$4:$F$203,$A10,'ORDENES'!$P$4:$P$203,E$3,'ORDENES'!$Q$4:$Q$203,E$4)</f>
        <v/>
      </c>
      <c r="F10" s="10">
        <f>SUMIFS('ORDENES'!$AH$4:$AH$203,'ORDENES'!$F$4:$F$203,$A10,'ORDENES'!$P$4:$P$203,F$3,'ORDENES'!$Q$4:$Q$203,F$4)</f>
        <v/>
      </c>
      <c r="G10" s="10">
        <f>SUMIFS('ORDENES'!$AH$4:$AH$203,'ORDENES'!$F$4:$F$203,$A10,'ORDENES'!$P$4:$P$203,G$3,'ORDENES'!$Q$4:$Q$203,G$4)</f>
        <v/>
      </c>
      <c r="H10" s="10">
        <f>SUMIFS('ORDENES'!$AH$4:$AH$203,'ORDENES'!$F$4:$F$203,$A10,'ORDENES'!$P$4:$P$203,H$3,'ORDENES'!$Q$4:$Q$203,H$4)</f>
        <v/>
      </c>
      <c r="I10" s="10">
        <f>SUMIFS('ORDENES'!$AH$4:$AH$203,'ORDENES'!$F$4:$F$203,$A10,'ORDENES'!$P$4:$P$203,I$3,'ORDENES'!$Q$4:$Q$203,I$4)</f>
        <v/>
      </c>
      <c r="J10" s="10">
        <f>SUMIFS('ORDENES'!$AH$4:$AH$203,'ORDENES'!$F$4:$F$203,$A10,'ORDENES'!$P$4:$P$203,J$3,'ORDENES'!$Q$4:$Q$203,J$4)</f>
        <v/>
      </c>
      <c r="K10" s="10">
        <f>SUM(B10:J10)</f>
        <v/>
      </c>
    </row>
    <row r="11">
      <c r="A11" s="3" t="inlineStr">
        <is>
          <t>EQ-102</t>
        </is>
      </c>
      <c r="B11" s="10">
        <f>SUMIFS('ORDENES'!$AH$4:$AH$203,'ORDENES'!$F$4:$F$203,$A11,'ORDENES'!$P$4:$P$203,B$3,'ORDENES'!$Q$4:$Q$203,B$4)</f>
        <v/>
      </c>
      <c r="C11" s="10">
        <f>SUMIFS('ORDENES'!$AH$4:$AH$203,'ORDENES'!$F$4:$F$203,$A11,'ORDENES'!$P$4:$P$203,C$3,'ORDENES'!$Q$4:$Q$203,C$4)</f>
        <v/>
      </c>
      <c r="D11" s="10">
        <f>SUMIFS('ORDENES'!$AH$4:$AH$203,'ORDENES'!$F$4:$F$203,$A11,'ORDENES'!$P$4:$P$203,D$3,'ORDENES'!$Q$4:$Q$203,D$4)</f>
        <v/>
      </c>
      <c r="E11" s="10">
        <f>SUMIFS('ORDENES'!$AH$4:$AH$203,'ORDENES'!$F$4:$F$203,$A11,'ORDENES'!$P$4:$P$203,E$3,'ORDENES'!$Q$4:$Q$203,E$4)</f>
        <v/>
      </c>
      <c r="F11" s="10">
        <f>SUMIFS('ORDENES'!$AH$4:$AH$203,'ORDENES'!$F$4:$F$203,$A11,'ORDENES'!$P$4:$P$203,F$3,'ORDENES'!$Q$4:$Q$203,F$4)</f>
        <v/>
      </c>
      <c r="G11" s="10">
        <f>SUMIFS('ORDENES'!$AH$4:$AH$203,'ORDENES'!$F$4:$F$203,$A11,'ORDENES'!$P$4:$P$203,G$3,'ORDENES'!$Q$4:$Q$203,G$4)</f>
        <v/>
      </c>
      <c r="H11" s="10">
        <f>SUMIFS('ORDENES'!$AH$4:$AH$203,'ORDENES'!$F$4:$F$203,$A11,'ORDENES'!$P$4:$P$203,H$3,'ORDENES'!$Q$4:$Q$203,H$4)</f>
        <v/>
      </c>
      <c r="I11" s="10">
        <f>SUMIFS('ORDENES'!$AH$4:$AH$203,'ORDENES'!$F$4:$F$203,$A11,'ORDENES'!$P$4:$P$203,I$3,'ORDENES'!$Q$4:$Q$203,I$4)</f>
        <v/>
      </c>
      <c r="J11" s="10">
        <f>SUMIFS('ORDENES'!$AH$4:$AH$203,'ORDENES'!$F$4:$F$203,$A11,'ORDENES'!$P$4:$P$203,J$3,'ORDENES'!$Q$4:$Q$203,J$4)</f>
        <v/>
      </c>
      <c r="K11" s="10">
        <f>SUM(B11:J11)</f>
        <v/>
      </c>
    </row>
    <row r="12">
      <c r="A12" s="3" t="inlineStr">
        <is>
          <t>EQ-105</t>
        </is>
      </c>
      <c r="B12" s="10">
        <f>SUMIFS('ORDENES'!$AH$4:$AH$203,'ORDENES'!$F$4:$F$203,$A12,'ORDENES'!$P$4:$P$203,B$3,'ORDENES'!$Q$4:$Q$203,B$4)</f>
        <v/>
      </c>
      <c r="C12" s="10">
        <f>SUMIFS('ORDENES'!$AH$4:$AH$203,'ORDENES'!$F$4:$F$203,$A12,'ORDENES'!$P$4:$P$203,C$3,'ORDENES'!$Q$4:$Q$203,C$4)</f>
        <v/>
      </c>
      <c r="D12" s="10">
        <f>SUMIFS('ORDENES'!$AH$4:$AH$203,'ORDENES'!$F$4:$F$203,$A12,'ORDENES'!$P$4:$P$203,D$3,'ORDENES'!$Q$4:$Q$203,D$4)</f>
        <v/>
      </c>
      <c r="E12" s="10">
        <f>SUMIFS('ORDENES'!$AH$4:$AH$203,'ORDENES'!$F$4:$F$203,$A12,'ORDENES'!$P$4:$P$203,E$3,'ORDENES'!$Q$4:$Q$203,E$4)</f>
        <v/>
      </c>
      <c r="F12" s="10">
        <f>SUMIFS('ORDENES'!$AH$4:$AH$203,'ORDENES'!$F$4:$F$203,$A12,'ORDENES'!$P$4:$P$203,F$3,'ORDENES'!$Q$4:$Q$203,F$4)</f>
        <v/>
      </c>
      <c r="G12" s="10">
        <f>SUMIFS('ORDENES'!$AH$4:$AH$203,'ORDENES'!$F$4:$F$203,$A12,'ORDENES'!$P$4:$P$203,G$3,'ORDENES'!$Q$4:$Q$203,G$4)</f>
        <v/>
      </c>
      <c r="H12" s="10">
        <f>SUMIFS('ORDENES'!$AH$4:$AH$203,'ORDENES'!$F$4:$F$203,$A12,'ORDENES'!$P$4:$P$203,H$3,'ORDENES'!$Q$4:$Q$203,H$4)</f>
        <v/>
      </c>
      <c r="I12" s="10">
        <f>SUMIFS('ORDENES'!$AH$4:$AH$203,'ORDENES'!$F$4:$F$203,$A12,'ORDENES'!$P$4:$P$203,I$3,'ORDENES'!$Q$4:$Q$203,I$4)</f>
        <v/>
      </c>
      <c r="J12" s="10">
        <f>SUMIFS('ORDENES'!$AH$4:$AH$203,'ORDENES'!$F$4:$F$203,$A12,'ORDENES'!$P$4:$P$203,J$3,'ORDENES'!$Q$4:$Q$203,J$4)</f>
        <v/>
      </c>
      <c r="K12" s="10">
        <f>SUM(B12:J12)</f>
        <v/>
      </c>
    </row>
    <row r="13">
      <c r="A13" s="3" t="inlineStr">
        <is>
          <t>EQ-109</t>
        </is>
      </c>
      <c r="B13" s="10">
        <f>SUMIFS('ORDENES'!$AH$4:$AH$203,'ORDENES'!$F$4:$F$203,$A13,'ORDENES'!$P$4:$P$203,B$3,'ORDENES'!$Q$4:$Q$203,B$4)</f>
        <v/>
      </c>
      <c r="C13" s="10">
        <f>SUMIFS('ORDENES'!$AH$4:$AH$203,'ORDENES'!$F$4:$F$203,$A13,'ORDENES'!$P$4:$P$203,C$3,'ORDENES'!$Q$4:$Q$203,C$4)</f>
        <v/>
      </c>
      <c r="D13" s="10">
        <f>SUMIFS('ORDENES'!$AH$4:$AH$203,'ORDENES'!$F$4:$F$203,$A13,'ORDENES'!$P$4:$P$203,D$3,'ORDENES'!$Q$4:$Q$203,D$4)</f>
        <v/>
      </c>
      <c r="E13" s="10">
        <f>SUMIFS('ORDENES'!$AH$4:$AH$203,'ORDENES'!$F$4:$F$203,$A13,'ORDENES'!$P$4:$P$203,E$3,'ORDENES'!$Q$4:$Q$203,E$4)</f>
        <v/>
      </c>
      <c r="F13" s="10">
        <f>SUMIFS('ORDENES'!$AH$4:$AH$203,'ORDENES'!$F$4:$F$203,$A13,'ORDENES'!$P$4:$P$203,F$3,'ORDENES'!$Q$4:$Q$203,F$4)</f>
        <v/>
      </c>
      <c r="G13" s="10">
        <f>SUMIFS('ORDENES'!$AH$4:$AH$203,'ORDENES'!$F$4:$F$203,$A13,'ORDENES'!$P$4:$P$203,G$3,'ORDENES'!$Q$4:$Q$203,G$4)</f>
        <v/>
      </c>
      <c r="H13" s="10">
        <f>SUMIFS('ORDENES'!$AH$4:$AH$203,'ORDENES'!$F$4:$F$203,$A13,'ORDENES'!$P$4:$P$203,H$3,'ORDENES'!$Q$4:$Q$203,H$4)</f>
        <v/>
      </c>
      <c r="I13" s="10">
        <f>SUMIFS('ORDENES'!$AH$4:$AH$203,'ORDENES'!$F$4:$F$203,$A13,'ORDENES'!$P$4:$P$203,I$3,'ORDENES'!$Q$4:$Q$203,I$4)</f>
        <v/>
      </c>
      <c r="J13" s="10">
        <f>SUMIFS('ORDENES'!$AH$4:$AH$203,'ORDENES'!$F$4:$F$203,$A13,'ORDENES'!$P$4:$P$203,J$3,'ORDENES'!$Q$4:$Q$203,J$4)</f>
        <v/>
      </c>
      <c r="K13" s="10">
        <f>SUM(B13:J13)</f>
        <v/>
      </c>
    </row>
    <row r="14">
      <c r="A14" s="3" t="inlineStr">
        <is>
          <t>EQ-107</t>
        </is>
      </c>
      <c r="B14" s="10">
        <f>SUMIFS('ORDENES'!$AH$4:$AH$203,'ORDENES'!$F$4:$F$203,$A14,'ORDENES'!$P$4:$P$203,B$3,'ORDENES'!$Q$4:$Q$203,B$4)</f>
        <v/>
      </c>
      <c r="C14" s="10">
        <f>SUMIFS('ORDENES'!$AH$4:$AH$203,'ORDENES'!$F$4:$F$203,$A14,'ORDENES'!$P$4:$P$203,C$3,'ORDENES'!$Q$4:$Q$203,C$4)</f>
        <v/>
      </c>
      <c r="D14" s="10">
        <f>SUMIFS('ORDENES'!$AH$4:$AH$203,'ORDENES'!$F$4:$F$203,$A14,'ORDENES'!$P$4:$P$203,D$3,'ORDENES'!$Q$4:$Q$203,D$4)</f>
        <v/>
      </c>
      <c r="E14" s="10">
        <f>SUMIFS('ORDENES'!$AH$4:$AH$203,'ORDENES'!$F$4:$F$203,$A14,'ORDENES'!$P$4:$P$203,E$3,'ORDENES'!$Q$4:$Q$203,E$4)</f>
        <v/>
      </c>
      <c r="F14" s="10">
        <f>SUMIFS('ORDENES'!$AH$4:$AH$203,'ORDENES'!$F$4:$F$203,$A14,'ORDENES'!$P$4:$P$203,F$3,'ORDENES'!$Q$4:$Q$203,F$4)</f>
        <v/>
      </c>
      <c r="G14" s="10">
        <f>SUMIFS('ORDENES'!$AH$4:$AH$203,'ORDENES'!$F$4:$F$203,$A14,'ORDENES'!$P$4:$P$203,G$3,'ORDENES'!$Q$4:$Q$203,G$4)</f>
        <v/>
      </c>
      <c r="H14" s="10">
        <f>SUMIFS('ORDENES'!$AH$4:$AH$203,'ORDENES'!$F$4:$F$203,$A14,'ORDENES'!$P$4:$P$203,H$3,'ORDENES'!$Q$4:$Q$203,H$4)</f>
        <v/>
      </c>
      <c r="I14" s="10">
        <f>SUMIFS('ORDENES'!$AH$4:$AH$203,'ORDENES'!$F$4:$F$203,$A14,'ORDENES'!$P$4:$P$203,I$3,'ORDENES'!$Q$4:$Q$203,I$4)</f>
        <v/>
      </c>
      <c r="J14" s="10">
        <f>SUMIFS('ORDENES'!$AH$4:$AH$203,'ORDENES'!$F$4:$F$203,$A14,'ORDENES'!$P$4:$P$203,J$3,'ORDENES'!$Q$4:$Q$203,J$4)</f>
        <v/>
      </c>
      <c r="K14" s="10">
        <f>SUM(B14:J14)</f>
        <v/>
      </c>
    </row>
    <row r="15">
      <c r="A15" s="3" t="inlineStr">
        <is>
          <t>EQ-112</t>
        </is>
      </c>
      <c r="B15" s="10">
        <f>SUMIFS('ORDENES'!$AH$4:$AH$203,'ORDENES'!$F$4:$F$203,$A15,'ORDENES'!$P$4:$P$203,B$3,'ORDENES'!$Q$4:$Q$203,B$4)</f>
        <v/>
      </c>
      <c r="C15" s="10">
        <f>SUMIFS('ORDENES'!$AH$4:$AH$203,'ORDENES'!$F$4:$F$203,$A15,'ORDENES'!$P$4:$P$203,C$3,'ORDENES'!$Q$4:$Q$203,C$4)</f>
        <v/>
      </c>
      <c r="D15" s="10">
        <f>SUMIFS('ORDENES'!$AH$4:$AH$203,'ORDENES'!$F$4:$F$203,$A15,'ORDENES'!$P$4:$P$203,D$3,'ORDENES'!$Q$4:$Q$203,D$4)</f>
        <v/>
      </c>
      <c r="E15" s="10">
        <f>SUMIFS('ORDENES'!$AH$4:$AH$203,'ORDENES'!$F$4:$F$203,$A15,'ORDENES'!$P$4:$P$203,E$3,'ORDENES'!$Q$4:$Q$203,E$4)</f>
        <v/>
      </c>
      <c r="F15" s="10">
        <f>SUMIFS('ORDENES'!$AH$4:$AH$203,'ORDENES'!$F$4:$F$203,$A15,'ORDENES'!$P$4:$P$203,F$3,'ORDENES'!$Q$4:$Q$203,F$4)</f>
        <v/>
      </c>
      <c r="G15" s="10">
        <f>SUMIFS('ORDENES'!$AH$4:$AH$203,'ORDENES'!$F$4:$F$203,$A15,'ORDENES'!$P$4:$P$203,G$3,'ORDENES'!$Q$4:$Q$203,G$4)</f>
        <v/>
      </c>
      <c r="H15" s="10">
        <f>SUMIFS('ORDENES'!$AH$4:$AH$203,'ORDENES'!$F$4:$F$203,$A15,'ORDENES'!$P$4:$P$203,H$3,'ORDENES'!$Q$4:$Q$203,H$4)</f>
        <v/>
      </c>
      <c r="I15" s="10">
        <f>SUMIFS('ORDENES'!$AH$4:$AH$203,'ORDENES'!$F$4:$F$203,$A15,'ORDENES'!$P$4:$P$203,I$3,'ORDENES'!$Q$4:$Q$203,I$4)</f>
        <v/>
      </c>
      <c r="J15" s="10">
        <f>SUMIFS('ORDENES'!$AH$4:$AH$203,'ORDENES'!$F$4:$F$203,$A15,'ORDENES'!$P$4:$P$203,J$3,'ORDENES'!$Q$4:$Q$203,J$4)</f>
        <v/>
      </c>
      <c r="K15" s="10">
        <f>SUM(B15:J15)</f>
        <v/>
      </c>
    </row>
    <row r="16">
      <c r="A16" s="3" t="inlineStr">
        <is>
          <t>EQ-111</t>
        </is>
      </c>
      <c r="B16" s="10">
        <f>SUMIFS('ORDENES'!$AH$4:$AH$203,'ORDENES'!$F$4:$F$203,$A16,'ORDENES'!$P$4:$P$203,B$3,'ORDENES'!$Q$4:$Q$203,B$4)</f>
        <v/>
      </c>
      <c r="C16" s="10">
        <f>SUMIFS('ORDENES'!$AH$4:$AH$203,'ORDENES'!$F$4:$F$203,$A16,'ORDENES'!$P$4:$P$203,C$3,'ORDENES'!$Q$4:$Q$203,C$4)</f>
        <v/>
      </c>
      <c r="D16" s="10">
        <f>SUMIFS('ORDENES'!$AH$4:$AH$203,'ORDENES'!$F$4:$F$203,$A16,'ORDENES'!$P$4:$P$203,D$3,'ORDENES'!$Q$4:$Q$203,D$4)</f>
        <v/>
      </c>
      <c r="E16" s="10">
        <f>SUMIFS('ORDENES'!$AH$4:$AH$203,'ORDENES'!$F$4:$F$203,$A16,'ORDENES'!$P$4:$P$203,E$3,'ORDENES'!$Q$4:$Q$203,E$4)</f>
        <v/>
      </c>
      <c r="F16" s="10">
        <f>SUMIFS('ORDENES'!$AH$4:$AH$203,'ORDENES'!$F$4:$F$203,$A16,'ORDENES'!$P$4:$P$203,F$3,'ORDENES'!$Q$4:$Q$203,F$4)</f>
        <v/>
      </c>
      <c r="G16" s="10">
        <f>SUMIFS('ORDENES'!$AH$4:$AH$203,'ORDENES'!$F$4:$F$203,$A16,'ORDENES'!$P$4:$P$203,G$3,'ORDENES'!$Q$4:$Q$203,G$4)</f>
        <v/>
      </c>
      <c r="H16" s="10">
        <f>SUMIFS('ORDENES'!$AH$4:$AH$203,'ORDENES'!$F$4:$F$203,$A16,'ORDENES'!$P$4:$P$203,H$3,'ORDENES'!$Q$4:$Q$203,H$4)</f>
        <v/>
      </c>
      <c r="I16" s="10">
        <f>SUMIFS('ORDENES'!$AH$4:$AH$203,'ORDENES'!$F$4:$F$203,$A16,'ORDENES'!$P$4:$P$203,I$3,'ORDENES'!$Q$4:$Q$203,I$4)</f>
        <v/>
      </c>
      <c r="J16" s="10">
        <f>SUMIFS('ORDENES'!$AH$4:$AH$203,'ORDENES'!$F$4:$F$203,$A16,'ORDENES'!$P$4:$P$203,J$3,'ORDENES'!$Q$4:$Q$203,J$4)</f>
        <v/>
      </c>
      <c r="K16" s="10">
        <f>SUM(B16:J16)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J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SUMPRODUCT(--(COUNTIF('ORDENES'!$C$4:$C$203,'ORDENES'!$C$4:$C$203)&gt;1))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SUMPRODUCT(--('ORDENES'!$K$4:$K$203=""))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SUMPRODUCT(--('ORDENES'!$L$4:$L$203=""))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SUMPRODUCT(--ISNA(MATCH('ORDENES'!$G$4:$G$203,'CAT_CENTROS_COSTO'!$A$4:$A$9,0)))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SUMPRODUCT(--ISNA(MATCH('ORDENES'!$H$4:$H$203,'CAT_PUESTOS'!$A$4:$A$8,0)))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SUMPRODUCT(--ISNA(MATCH('ORDENES'!$I$4:$I$203,'CAT_ACTIVIDADES'!$A$4:$A$8,0)))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SUMPRODUCT(--ISNA(MATCH('ORDENES'!$J$4:$J$203,'CAT_TIPOS_OT'!$A$4:$A$7,0)))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SUMPRODUCT(--ISNA(MATCH('2_IMPORTAR_EJECUCION'!$A$9:$A$171,'ORDENES'!$C$4:$C$203,0)))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SUMPRODUCT(--ISNA(MATCH('ORDENES'!$C$4:$C$203,'2_IMPORTAR_EJECUCION'!$A$9:$A$171,0)))</f>
        <v/>
      </c>
      <c r="C12" s="2" t="inlineStr">
        <is>
          <t>Quedan como "Pendiente" (comportamiento esperado).</t>
        </is>
      </c>
    </row>
    <row r="14">
      <c r="A14" s="2" t="inlineStr">
        <is>
          <t>La validación no bloquea: todo se importa y aquí se reporta (REGLA-10).</t>
        </is>
      </c>
    </row>
  </sheetData>
  <conditionalFormatting sqref="B4:B12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cols>
    <col width="60" customWidth="1" min="11" max="11"/>
  </cols>
  <sheetData>
    <row r="1">
      <c r="A1" s="1" t="inlineStr">
        <is>
          <t>EXPORTAR — texto del plan listo para copiar en un correo (sin macros)</t>
        </is>
      </c>
    </row>
    <row r="3">
      <c r="A3" s="4" t="inlineStr">
        <is>
          <t>semana:</t>
        </is>
      </c>
      <c r="B3" s="16" t="inlineStr">
        <is>
          <t>S30</t>
        </is>
      </c>
      <c r="C3" s="4" t="inlineStr">
        <is>
          <t>turno:</t>
        </is>
      </c>
      <c r="D3" s="16" t="inlineStr">
        <is>
          <t>(todos)</t>
        </is>
      </c>
      <c r="E3" s="4" t="inlineStr">
        <is>
          <t>coordinador:</t>
        </is>
      </c>
      <c r="F3" s="16" t="inlineStr">
        <is>
          <t>(todos)</t>
        </is>
      </c>
    </row>
    <row r="5">
      <c r="A5" s="4" t="inlineStr">
        <is>
          <t>texto (seleccione la celda A6, copie y pegue):</t>
        </is>
      </c>
    </row>
    <row r="6">
      <c r="A6" s="18">
        <f>"PLAN "&amp;$B$3&amp;" | turno: "&amp;$D$3&amp;" | coordinador: "&amp;$F$3&amp;CHAR(10)&amp;_xlfn.TEXTJOIN(CHAR(10),TRUE,$K$8:$K$207)</f>
        <v/>
      </c>
    </row>
    <row r="7">
      <c r="K7" s="2" t="inlineStr">
        <is>
          <t>columna auxiliar del armado del texto — no editar</t>
        </is>
      </c>
    </row>
    <row r="8">
      <c r="K8" s="3">
        <f>IF(AND(IF($B$3="(todos)",TRUE,'ORDENES'!$O4=$B$3),IF($D$3="(todos)",TRUE,'ORDENES'!$AC4=$D$3),IF($F$3="(todos)",TRUE,'ORDENES'!$V4=$F$3),'ORDENES'!$AA4=TRUE),'ORDENES'!$C4&amp;" | "&amp;'ORDENES'!$R4&amp;" | "&amp;IF('ORDENES'!$AB4="","(sin técnico)",'ORDENES'!$AB4)&amp;" | "&amp;'ORDENES'!$E4&amp;" ("&amp;'ORDENES'!$L4&amp;" h)","")</f>
        <v/>
      </c>
    </row>
    <row r="9">
      <c r="K9" s="3">
        <f>IF(AND(IF($B$3="(todos)",TRUE,'ORDENES'!$O5=$B$3),IF($D$3="(todos)",TRUE,'ORDENES'!$AC5=$D$3),IF($F$3="(todos)",TRUE,'ORDENES'!$V5=$F$3),'ORDENES'!$AA5=TRUE),'ORDENES'!$C5&amp;" | "&amp;'ORDENES'!$R5&amp;" | "&amp;IF('ORDENES'!$AB5="","(sin técnico)",'ORDENES'!$AB5)&amp;" | "&amp;'ORDENES'!$E5&amp;" ("&amp;'ORDENES'!$L5&amp;" h)","")</f>
        <v/>
      </c>
    </row>
    <row r="10">
      <c r="K10" s="3">
        <f>IF(AND(IF($B$3="(todos)",TRUE,'ORDENES'!$O6=$B$3),IF($D$3="(todos)",TRUE,'ORDENES'!$AC6=$D$3),IF($F$3="(todos)",TRUE,'ORDENES'!$V6=$F$3),'ORDENES'!$AA6=TRUE),'ORDENES'!$C6&amp;" | "&amp;'ORDENES'!$R6&amp;" | "&amp;IF('ORDENES'!$AB6="","(sin técnico)",'ORDENES'!$AB6)&amp;" | "&amp;'ORDENES'!$E6&amp;" ("&amp;'ORDENES'!$L6&amp;" h)","")</f>
        <v/>
      </c>
    </row>
    <row r="11">
      <c r="K11" s="3">
        <f>IF(AND(IF($B$3="(todos)",TRUE,'ORDENES'!$O7=$B$3),IF($D$3="(todos)",TRUE,'ORDENES'!$AC7=$D$3),IF($F$3="(todos)",TRUE,'ORDENES'!$V7=$F$3),'ORDENES'!$AA7=TRUE),'ORDENES'!$C7&amp;" | "&amp;'ORDENES'!$R7&amp;" | "&amp;IF('ORDENES'!$AB7="","(sin técnico)",'ORDENES'!$AB7)&amp;" | "&amp;'ORDENES'!$E7&amp;" ("&amp;'ORDENES'!$L7&amp;" h)","")</f>
        <v/>
      </c>
    </row>
    <row r="12">
      <c r="K12" s="3">
        <f>IF(AND(IF($B$3="(todos)",TRUE,'ORDENES'!$O8=$B$3),IF($D$3="(todos)",TRUE,'ORDENES'!$AC8=$D$3),IF($F$3="(todos)",TRUE,'ORDENES'!$V8=$F$3),'ORDENES'!$AA8=TRUE),'ORDENES'!$C8&amp;" | "&amp;'ORDENES'!$R8&amp;" | "&amp;IF('ORDENES'!$AB8="","(sin técnico)",'ORDENES'!$AB8)&amp;" | "&amp;'ORDENES'!$E8&amp;" ("&amp;'ORDENES'!$L8&amp;" h)","")</f>
        <v/>
      </c>
    </row>
    <row r="13">
      <c r="K13" s="3">
        <f>IF(AND(IF($B$3="(todos)",TRUE,'ORDENES'!$O9=$B$3),IF($D$3="(todos)",TRUE,'ORDENES'!$AC9=$D$3),IF($F$3="(todos)",TRUE,'ORDENES'!$V9=$F$3),'ORDENES'!$AA9=TRUE),'ORDENES'!$C9&amp;" | "&amp;'ORDENES'!$R9&amp;" | "&amp;IF('ORDENES'!$AB9="","(sin técnico)",'ORDENES'!$AB9)&amp;" | "&amp;'ORDENES'!$E9&amp;" ("&amp;'ORDENES'!$L9&amp;" h)","")</f>
        <v/>
      </c>
    </row>
    <row r="14">
      <c r="K14" s="3">
        <f>IF(AND(IF($B$3="(todos)",TRUE,'ORDENES'!$O10=$B$3),IF($D$3="(todos)",TRUE,'ORDENES'!$AC10=$D$3),IF($F$3="(todos)",TRUE,'ORDENES'!$V10=$F$3),'ORDENES'!$AA10=TRUE),'ORDENES'!$C10&amp;" | "&amp;'ORDENES'!$R10&amp;" | "&amp;IF('ORDENES'!$AB10="","(sin técnico)",'ORDENES'!$AB10)&amp;" | "&amp;'ORDENES'!$E10&amp;" ("&amp;'ORDENES'!$L10&amp;" h)","")</f>
        <v/>
      </c>
    </row>
    <row r="15">
      <c r="K15" s="3">
        <f>IF(AND(IF($B$3="(todos)",TRUE,'ORDENES'!$O11=$B$3),IF($D$3="(todos)",TRUE,'ORDENES'!$AC11=$D$3),IF($F$3="(todos)",TRUE,'ORDENES'!$V11=$F$3),'ORDENES'!$AA11=TRUE),'ORDENES'!$C11&amp;" | "&amp;'ORDENES'!$R11&amp;" | "&amp;IF('ORDENES'!$AB11="","(sin técnico)",'ORDENES'!$AB11)&amp;" | "&amp;'ORDENES'!$E11&amp;" ("&amp;'ORDENES'!$L11&amp;" h)","")</f>
        <v/>
      </c>
    </row>
    <row r="16">
      <c r="K16" s="3">
        <f>IF(AND(IF($B$3="(todos)",TRUE,'ORDENES'!$O12=$B$3),IF($D$3="(todos)",TRUE,'ORDENES'!$AC12=$D$3),IF($F$3="(todos)",TRUE,'ORDENES'!$V12=$F$3),'ORDENES'!$AA12=TRUE),'ORDENES'!$C12&amp;" | "&amp;'ORDENES'!$R12&amp;" | "&amp;IF('ORDENES'!$AB12="","(sin técnico)",'ORDENES'!$AB12)&amp;" | "&amp;'ORDENES'!$E12&amp;" ("&amp;'ORDENES'!$L12&amp;" h)","")</f>
        <v/>
      </c>
    </row>
    <row r="17">
      <c r="K17" s="3">
        <f>IF(AND(IF($B$3="(todos)",TRUE,'ORDENES'!$O13=$B$3),IF($D$3="(todos)",TRUE,'ORDENES'!$AC13=$D$3),IF($F$3="(todos)",TRUE,'ORDENES'!$V13=$F$3),'ORDENES'!$AA13=TRUE),'ORDENES'!$C13&amp;" | "&amp;'ORDENES'!$R13&amp;" | "&amp;IF('ORDENES'!$AB13="","(sin técnico)",'ORDENES'!$AB13)&amp;" | "&amp;'ORDENES'!$E13&amp;" ("&amp;'ORDENES'!$L13&amp;" h)","")</f>
        <v/>
      </c>
    </row>
    <row r="18">
      <c r="K18" s="3">
        <f>IF(AND(IF($B$3="(todos)",TRUE,'ORDENES'!$O14=$B$3),IF($D$3="(todos)",TRUE,'ORDENES'!$AC14=$D$3),IF($F$3="(todos)",TRUE,'ORDENES'!$V14=$F$3),'ORDENES'!$AA14=TRUE),'ORDENES'!$C14&amp;" | "&amp;'ORDENES'!$R14&amp;" | "&amp;IF('ORDENES'!$AB14="","(sin técnico)",'ORDENES'!$AB14)&amp;" | "&amp;'ORDENES'!$E14&amp;" ("&amp;'ORDENES'!$L14&amp;" h)","")</f>
        <v/>
      </c>
    </row>
    <row r="19">
      <c r="K19" s="3">
        <f>IF(AND(IF($B$3="(todos)",TRUE,'ORDENES'!$O15=$B$3),IF($D$3="(todos)",TRUE,'ORDENES'!$AC15=$D$3),IF($F$3="(todos)",TRUE,'ORDENES'!$V15=$F$3),'ORDENES'!$AA15=TRUE),'ORDENES'!$C15&amp;" | "&amp;'ORDENES'!$R15&amp;" | "&amp;IF('ORDENES'!$AB15="","(sin técnico)",'ORDENES'!$AB15)&amp;" | "&amp;'ORDENES'!$E15&amp;" ("&amp;'ORDENES'!$L15&amp;" h)","")</f>
        <v/>
      </c>
    </row>
    <row r="20">
      <c r="K20" s="3">
        <f>IF(AND(IF($B$3="(todos)",TRUE,'ORDENES'!$O16=$B$3),IF($D$3="(todos)",TRUE,'ORDENES'!$AC16=$D$3),IF($F$3="(todos)",TRUE,'ORDENES'!$V16=$F$3),'ORDENES'!$AA16=TRUE),'ORDENES'!$C16&amp;" | "&amp;'ORDENES'!$R16&amp;" | "&amp;IF('ORDENES'!$AB16="","(sin técnico)",'ORDENES'!$AB16)&amp;" | "&amp;'ORDENES'!$E16&amp;" ("&amp;'ORDENES'!$L16&amp;" h)","")</f>
        <v/>
      </c>
    </row>
    <row r="21">
      <c r="K21" s="3">
        <f>IF(AND(IF($B$3="(todos)",TRUE,'ORDENES'!$O17=$B$3),IF($D$3="(todos)",TRUE,'ORDENES'!$AC17=$D$3),IF($F$3="(todos)",TRUE,'ORDENES'!$V17=$F$3),'ORDENES'!$AA17=TRUE),'ORDENES'!$C17&amp;" | "&amp;'ORDENES'!$R17&amp;" | "&amp;IF('ORDENES'!$AB17="","(sin técnico)",'ORDENES'!$AB17)&amp;" | "&amp;'ORDENES'!$E17&amp;" ("&amp;'ORDENES'!$L17&amp;" h)","")</f>
        <v/>
      </c>
    </row>
    <row r="22">
      <c r="K22" s="3">
        <f>IF(AND(IF($B$3="(todos)",TRUE,'ORDENES'!$O18=$B$3),IF($D$3="(todos)",TRUE,'ORDENES'!$AC18=$D$3),IF($F$3="(todos)",TRUE,'ORDENES'!$V18=$F$3),'ORDENES'!$AA18=TRUE),'ORDENES'!$C18&amp;" | "&amp;'ORDENES'!$R18&amp;" | "&amp;IF('ORDENES'!$AB18="","(sin técnico)",'ORDENES'!$AB18)&amp;" | "&amp;'ORDENES'!$E18&amp;" ("&amp;'ORDENES'!$L18&amp;" h)","")</f>
        <v/>
      </c>
    </row>
    <row r="23">
      <c r="K23" s="3">
        <f>IF(AND(IF($B$3="(todos)",TRUE,'ORDENES'!$O19=$B$3),IF($D$3="(todos)",TRUE,'ORDENES'!$AC19=$D$3),IF($F$3="(todos)",TRUE,'ORDENES'!$V19=$F$3),'ORDENES'!$AA19=TRUE),'ORDENES'!$C19&amp;" | "&amp;'ORDENES'!$R19&amp;" | "&amp;IF('ORDENES'!$AB19="","(sin técnico)",'ORDENES'!$AB19)&amp;" | "&amp;'ORDENES'!$E19&amp;" ("&amp;'ORDENES'!$L19&amp;" h)","")</f>
        <v/>
      </c>
    </row>
    <row r="24">
      <c r="K24" s="3">
        <f>IF(AND(IF($B$3="(todos)",TRUE,'ORDENES'!$O20=$B$3),IF($D$3="(todos)",TRUE,'ORDENES'!$AC20=$D$3),IF($F$3="(todos)",TRUE,'ORDENES'!$V20=$F$3),'ORDENES'!$AA20=TRUE),'ORDENES'!$C20&amp;" | "&amp;'ORDENES'!$R20&amp;" | "&amp;IF('ORDENES'!$AB20="","(sin técnico)",'ORDENES'!$AB20)&amp;" | "&amp;'ORDENES'!$E20&amp;" ("&amp;'ORDENES'!$L20&amp;" h)","")</f>
        <v/>
      </c>
    </row>
    <row r="25">
      <c r="K25" s="3">
        <f>IF(AND(IF($B$3="(todos)",TRUE,'ORDENES'!$O21=$B$3),IF($D$3="(todos)",TRUE,'ORDENES'!$AC21=$D$3),IF($F$3="(todos)",TRUE,'ORDENES'!$V21=$F$3),'ORDENES'!$AA21=TRUE),'ORDENES'!$C21&amp;" | "&amp;'ORDENES'!$R21&amp;" | "&amp;IF('ORDENES'!$AB21="","(sin técnico)",'ORDENES'!$AB21)&amp;" | "&amp;'ORDENES'!$E21&amp;" ("&amp;'ORDENES'!$L21&amp;" h)","")</f>
        <v/>
      </c>
    </row>
    <row r="26">
      <c r="K26" s="3">
        <f>IF(AND(IF($B$3="(todos)",TRUE,'ORDENES'!$O22=$B$3),IF($D$3="(todos)",TRUE,'ORDENES'!$AC22=$D$3),IF($F$3="(todos)",TRUE,'ORDENES'!$V22=$F$3),'ORDENES'!$AA22=TRUE),'ORDENES'!$C22&amp;" | "&amp;'ORDENES'!$R22&amp;" | "&amp;IF('ORDENES'!$AB22="","(sin técnico)",'ORDENES'!$AB22)&amp;" | "&amp;'ORDENES'!$E22&amp;" ("&amp;'ORDENES'!$L22&amp;" h)","")</f>
        <v/>
      </c>
    </row>
    <row r="27">
      <c r="K27" s="3">
        <f>IF(AND(IF($B$3="(todos)",TRUE,'ORDENES'!$O23=$B$3),IF($D$3="(todos)",TRUE,'ORDENES'!$AC23=$D$3),IF($F$3="(todos)",TRUE,'ORDENES'!$V23=$F$3),'ORDENES'!$AA23=TRUE),'ORDENES'!$C23&amp;" | "&amp;'ORDENES'!$R23&amp;" | "&amp;IF('ORDENES'!$AB23="","(sin técnico)",'ORDENES'!$AB23)&amp;" | "&amp;'ORDENES'!$E23&amp;" ("&amp;'ORDENES'!$L23&amp;" h)","")</f>
        <v/>
      </c>
    </row>
    <row r="28">
      <c r="K28" s="3">
        <f>IF(AND(IF($B$3="(todos)",TRUE,'ORDENES'!$O24=$B$3),IF($D$3="(todos)",TRUE,'ORDENES'!$AC24=$D$3),IF($F$3="(todos)",TRUE,'ORDENES'!$V24=$F$3),'ORDENES'!$AA24=TRUE),'ORDENES'!$C24&amp;" | "&amp;'ORDENES'!$R24&amp;" | "&amp;IF('ORDENES'!$AB24="","(sin técnico)",'ORDENES'!$AB24)&amp;" | "&amp;'ORDENES'!$E24&amp;" ("&amp;'ORDENES'!$L24&amp;" h)","")</f>
        <v/>
      </c>
    </row>
    <row r="29">
      <c r="K29" s="3">
        <f>IF(AND(IF($B$3="(todos)",TRUE,'ORDENES'!$O25=$B$3),IF($D$3="(todos)",TRUE,'ORDENES'!$AC25=$D$3),IF($F$3="(todos)",TRUE,'ORDENES'!$V25=$F$3),'ORDENES'!$AA25=TRUE),'ORDENES'!$C25&amp;" | "&amp;'ORDENES'!$R25&amp;" | "&amp;IF('ORDENES'!$AB25="","(sin técnico)",'ORDENES'!$AB25)&amp;" | "&amp;'ORDENES'!$E25&amp;" ("&amp;'ORDENES'!$L25&amp;" h)","")</f>
        <v/>
      </c>
    </row>
    <row r="30">
      <c r="K30" s="3">
        <f>IF(AND(IF($B$3="(todos)",TRUE,'ORDENES'!$O26=$B$3),IF($D$3="(todos)",TRUE,'ORDENES'!$AC26=$D$3),IF($F$3="(todos)",TRUE,'ORDENES'!$V26=$F$3),'ORDENES'!$AA26=TRUE),'ORDENES'!$C26&amp;" | "&amp;'ORDENES'!$R26&amp;" | "&amp;IF('ORDENES'!$AB26="","(sin técnico)",'ORDENES'!$AB26)&amp;" | "&amp;'ORDENES'!$E26&amp;" ("&amp;'ORDENES'!$L26&amp;" h)","")</f>
        <v/>
      </c>
    </row>
    <row r="31">
      <c r="K31" s="3">
        <f>IF(AND(IF($B$3="(todos)",TRUE,'ORDENES'!$O27=$B$3),IF($D$3="(todos)",TRUE,'ORDENES'!$AC27=$D$3),IF($F$3="(todos)",TRUE,'ORDENES'!$V27=$F$3),'ORDENES'!$AA27=TRUE),'ORDENES'!$C27&amp;" | "&amp;'ORDENES'!$R27&amp;" | "&amp;IF('ORDENES'!$AB27="","(sin técnico)",'ORDENES'!$AB27)&amp;" | "&amp;'ORDENES'!$E27&amp;" ("&amp;'ORDENES'!$L27&amp;" h)","")</f>
        <v/>
      </c>
    </row>
    <row r="32">
      <c r="K32" s="3">
        <f>IF(AND(IF($B$3="(todos)",TRUE,'ORDENES'!$O28=$B$3),IF($D$3="(todos)",TRUE,'ORDENES'!$AC28=$D$3),IF($F$3="(todos)",TRUE,'ORDENES'!$V28=$F$3),'ORDENES'!$AA28=TRUE),'ORDENES'!$C28&amp;" | "&amp;'ORDENES'!$R28&amp;" | "&amp;IF('ORDENES'!$AB28="","(sin técnico)",'ORDENES'!$AB28)&amp;" | "&amp;'ORDENES'!$E28&amp;" ("&amp;'ORDENES'!$L28&amp;" h)","")</f>
        <v/>
      </c>
    </row>
    <row r="33">
      <c r="K33" s="3">
        <f>IF(AND(IF($B$3="(todos)",TRUE,'ORDENES'!$O29=$B$3),IF($D$3="(todos)",TRUE,'ORDENES'!$AC29=$D$3),IF($F$3="(todos)",TRUE,'ORDENES'!$V29=$F$3),'ORDENES'!$AA29=TRUE),'ORDENES'!$C29&amp;" | "&amp;'ORDENES'!$R29&amp;" | "&amp;IF('ORDENES'!$AB29="","(sin técnico)",'ORDENES'!$AB29)&amp;" | "&amp;'ORDENES'!$E29&amp;" ("&amp;'ORDENES'!$L29&amp;" h)","")</f>
        <v/>
      </c>
    </row>
    <row r="34">
      <c r="K34" s="3">
        <f>IF(AND(IF($B$3="(todos)",TRUE,'ORDENES'!$O30=$B$3),IF($D$3="(todos)",TRUE,'ORDENES'!$AC30=$D$3),IF($F$3="(todos)",TRUE,'ORDENES'!$V30=$F$3),'ORDENES'!$AA30=TRUE),'ORDENES'!$C30&amp;" | "&amp;'ORDENES'!$R30&amp;" | "&amp;IF('ORDENES'!$AB30="","(sin técnico)",'ORDENES'!$AB30)&amp;" | "&amp;'ORDENES'!$E30&amp;" ("&amp;'ORDENES'!$L30&amp;" h)","")</f>
        <v/>
      </c>
    </row>
    <row r="35">
      <c r="K35" s="3">
        <f>IF(AND(IF($B$3="(todos)",TRUE,'ORDENES'!$O31=$B$3),IF($D$3="(todos)",TRUE,'ORDENES'!$AC31=$D$3),IF($F$3="(todos)",TRUE,'ORDENES'!$V31=$F$3),'ORDENES'!$AA31=TRUE),'ORDENES'!$C31&amp;" | "&amp;'ORDENES'!$R31&amp;" | "&amp;IF('ORDENES'!$AB31="","(sin técnico)",'ORDENES'!$AB31)&amp;" | "&amp;'ORDENES'!$E31&amp;" ("&amp;'ORDENES'!$L31&amp;" h)","")</f>
        <v/>
      </c>
    </row>
    <row r="36">
      <c r="K36" s="3">
        <f>IF(AND(IF($B$3="(todos)",TRUE,'ORDENES'!$O32=$B$3),IF($D$3="(todos)",TRUE,'ORDENES'!$AC32=$D$3),IF($F$3="(todos)",TRUE,'ORDENES'!$V32=$F$3),'ORDENES'!$AA32=TRUE),'ORDENES'!$C32&amp;" | "&amp;'ORDENES'!$R32&amp;" | "&amp;IF('ORDENES'!$AB32="","(sin técnico)",'ORDENES'!$AB32)&amp;" | "&amp;'ORDENES'!$E32&amp;" ("&amp;'ORDENES'!$L32&amp;" h)","")</f>
        <v/>
      </c>
    </row>
    <row r="37">
      <c r="K37" s="3">
        <f>IF(AND(IF($B$3="(todos)",TRUE,'ORDENES'!$O33=$B$3),IF($D$3="(todos)",TRUE,'ORDENES'!$AC33=$D$3),IF($F$3="(todos)",TRUE,'ORDENES'!$V33=$F$3),'ORDENES'!$AA33=TRUE),'ORDENES'!$C33&amp;" | "&amp;'ORDENES'!$R33&amp;" | "&amp;IF('ORDENES'!$AB33="","(sin técnico)",'ORDENES'!$AB33)&amp;" | "&amp;'ORDENES'!$E33&amp;" ("&amp;'ORDENES'!$L33&amp;" h)","")</f>
        <v/>
      </c>
    </row>
    <row r="38">
      <c r="K38" s="3">
        <f>IF(AND(IF($B$3="(todos)",TRUE,'ORDENES'!$O34=$B$3),IF($D$3="(todos)",TRUE,'ORDENES'!$AC34=$D$3),IF($F$3="(todos)",TRUE,'ORDENES'!$V34=$F$3),'ORDENES'!$AA34=TRUE),'ORDENES'!$C34&amp;" | "&amp;'ORDENES'!$R34&amp;" | "&amp;IF('ORDENES'!$AB34="","(sin técnico)",'ORDENES'!$AB34)&amp;" | "&amp;'ORDENES'!$E34&amp;" ("&amp;'ORDENES'!$L34&amp;" h)","")</f>
        <v/>
      </c>
    </row>
    <row r="39">
      <c r="K39" s="3">
        <f>IF(AND(IF($B$3="(todos)",TRUE,'ORDENES'!$O35=$B$3),IF($D$3="(todos)",TRUE,'ORDENES'!$AC35=$D$3),IF($F$3="(todos)",TRUE,'ORDENES'!$V35=$F$3),'ORDENES'!$AA35=TRUE),'ORDENES'!$C35&amp;" | "&amp;'ORDENES'!$R35&amp;" | "&amp;IF('ORDENES'!$AB35="","(sin técnico)",'ORDENES'!$AB35)&amp;" | "&amp;'ORDENES'!$E35&amp;" ("&amp;'ORDENES'!$L35&amp;" h)","")</f>
        <v/>
      </c>
    </row>
    <row r="40">
      <c r="K40" s="3">
        <f>IF(AND(IF($B$3="(todos)",TRUE,'ORDENES'!$O36=$B$3),IF($D$3="(todos)",TRUE,'ORDENES'!$AC36=$D$3),IF($F$3="(todos)",TRUE,'ORDENES'!$V36=$F$3),'ORDENES'!$AA36=TRUE),'ORDENES'!$C36&amp;" | "&amp;'ORDENES'!$R36&amp;" | "&amp;IF('ORDENES'!$AB36="","(sin técnico)",'ORDENES'!$AB36)&amp;" | "&amp;'ORDENES'!$E36&amp;" ("&amp;'ORDENES'!$L36&amp;" h)","")</f>
        <v/>
      </c>
    </row>
    <row r="41">
      <c r="K41" s="3">
        <f>IF(AND(IF($B$3="(todos)",TRUE,'ORDENES'!$O37=$B$3),IF($D$3="(todos)",TRUE,'ORDENES'!$AC37=$D$3),IF($F$3="(todos)",TRUE,'ORDENES'!$V37=$F$3),'ORDENES'!$AA37=TRUE),'ORDENES'!$C37&amp;" | "&amp;'ORDENES'!$R37&amp;" | "&amp;IF('ORDENES'!$AB37="","(sin técnico)",'ORDENES'!$AB37)&amp;" | "&amp;'ORDENES'!$E37&amp;" ("&amp;'ORDENES'!$L37&amp;" h)","")</f>
        <v/>
      </c>
    </row>
    <row r="42">
      <c r="K42" s="3">
        <f>IF(AND(IF($B$3="(todos)",TRUE,'ORDENES'!$O38=$B$3),IF($D$3="(todos)",TRUE,'ORDENES'!$AC38=$D$3),IF($F$3="(todos)",TRUE,'ORDENES'!$V38=$F$3),'ORDENES'!$AA38=TRUE),'ORDENES'!$C38&amp;" | "&amp;'ORDENES'!$R38&amp;" | "&amp;IF('ORDENES'!$AB38="","(sin técnico)",'ORDENES'!$AB38)&amp;" | "&amp;'ORDENES'!$E38&amp;" ("&amp;'ORDENES'!$L38&amp;" h)","")</f>
        <v/>
      </c>
    </row>
    <row r="43">
      <c r="K43" s="3">
        <f>IF(AND(IF($B$3="(todos)",TRUE,'ORDENES'!$O39=$B$3),IF($D$3="(todos)",TRUE,'ORDENES'!$AC39=$D$3),IF($F$3="(todos)",TRUE,'ORDENES'!$V39=$F$3),'ORDENES'!$AA39=TRUE),'ORDENES'!$C39&amp;" | "&amp;'ORDENES'!$R39&amp;" | "&amp;IF('ORDENES'!$AB39="","(sin técnico)",'ORDENES'!$AB39)&amp;" | "&amp;'ORDENES'!$E39&amp;" ("&amp;'ORDENES'!$L39&amp;" h)","")</f>
        <v/>
      </c>
    </row>
    <row r="44">
      <c r="K44" s="3">
        <f>IF(AND(IF($B$3="(todos)",TRUE,'ORDENES'!$O40=$B$3),IF($D$3="(todos)",TRUE,'ORDENES'!$AC40=$D$3),IF($F$3="(todos)",TRUE,'ORDENES'!$V40=$F$3),'ORDENES'!$AA40=TRUE),'ORDENES'!$C40&amp;" | "&amp;'ORDENES'!$R40&amp;" | "&amp;IF('ORDENES'!$AB40="","(sin técnico)",'ORDENES'!$AB40)&amp;" | "&amp;'ORDENES'!$E40&amp;" ("&amp;'ORDENES'!$L40&amp;" h)","")</f>
        <v/>
      </c>
    </row>
    <row r="45">
      <c r="K45" s="3">
        <f>IF(AND(IF($B$3="(todos)",TRUE,'ORDENES'!$O41=$B$3),IF($D$3="(todos)",TRUE,'ORDENES'!$AC41=$D$3),IF($F$3="(todos)",TRUE,'ORDENES'!$V41=$F$3),'ORDENES'!$AA41=TRUE),'ORDENES'!$C41&amp;" | "&amp;'ORDENES'!$R41&amp;" | "&amp;IF('ORDENES'!$AB41="","(sin técnico)",'ORDENES'!$AB41)&amp;" | "&amp;'ORDENES'!$E41&amp;" ("&amp;'ORDENES'!$L41&amp;" h)","")</f>
        <v/>
      </c>
    </row>
    <row r="46">
      <c r="K46" s="3">
        <f>IF(AND(IF($B$3="(todos)",TRUE,'ORDENES'!$O42=$B$3),IF($D$3="(todos)",TRUE,'ORDENES'!$AC42=$D$3),IF($F$3="(todos)",TRUE,'ORDENES'!$V42=$F$3),'ORDENES'!$AA42=TRUE),'ORDENES'!$C42&amp;" | "&amp;'ORDENES'!$R42&amp;" | "&amp;IF('ORDENES'!$AB42="","(sin técnico)",'ORDENES'!$AB42)&amp;" | "&amp;'ORDENES'!$E42&amp;" ("&amp;'ORDENES'!$L42&amp;" h)","")</f>
        <v/>
      </c>
    </row>
    <row r="47">
      <c r="K47" s="3">
        <f>IF(AND(IF($B$3="(todos)",TRUE,'ORDENES'!$O43=$B$3),IF($D$3="(todos)",TRUE,'ORDENES'!$AC43=$D$3),IF($F$3="(todos)",TRUE,'ORDENES'!$V43=$F$3),'ORDENES'!$AA43=TRUE),'ORDENES'!$C43&amp;" | "&amp;'ORDENES'!$R43&amp;" | "&amp;IF('ORDENES'!$AB43="","(sin técnico)",'ORDENES'!$AB43)&amp;" | "&amp;'ORDENES'!$E43&amp;" ("&amp;'ORDENES'!$L43&amp;" h)","")</f>
        <v/>
      </c>
    </row>
    <row r="48">
      <c r="K48" s="3">
        <f>IF(AND(IF($B$3="(todos)",TRUE,'ORDENES'!$O44=$B$3),IF($D$3="(todos)",TRUE,'ORDENES'!$AC44=$D$3),IF($F$3="(todos)",TRUE,'ORDENES'!$V44=$F$3),'ORDENES'!$AA44=TRUE),'ORDENES'!$C44&amp;" | "&amp;'ORDENES'!$R44&amp;" | "&amp;IF('ORDENES'!$AB44="","(sin técnico)",'ORDENES'!$AB44)&amp;" | "&amp;'ORDENES'!$E44&amp;" ("&amp;'ORDENES'!$L44&amp;" h)","")</f>
        <v/>
      </c>
    </row>
    <row r="49">
      <c r="K49" s="3">
        <f>IF(AND(IF($B$3="(todos)",TRUE,'ORDENES'!$O45=$B$3),IF($D$3="(todos)",TRUE,'ORDENES'!$AC45=$D$3),IF($F$3="(todos)",TRUE,'ORDENES'!$V45=$F$3),'ORDENES'!$AA45=TRUE),'ORDENES'!$C45&amp;" | "&amp;'ORDENES'!$R45&amp;" | "&amp;IF('ORDENES'!$AB45="","(sin técnico)",'ORDENES'!$AB45)&amp;" | "&amp;'ORDENES'!$E45&amp;" ("&amp;'ORDENES'!$L45&amp;" h)","")</f>
        <v/>
      </c>
    </row>
    <row r="50">
      <c r="K50" s="3">
        <f>IF(AND(IF($B$3="(todos)",TRUE,'ORDENES'!$O46=$B$3),IF($D$3="(todos)",TRUE,'ORDENES'!$AC46=$D$3),IF($F$3="(todos)",TRUE,'ORDENES'!$V46=$F$3),'ORDENES'!$AA46=TRUE),'ORDENES'!$C46&amp;" | "&amp;'ORDENES'!$R46&amp;" | "&amp;IF('ORDENES'!$AB46="","(sin técnico)",'ORDENES'!$AB46)&amp;" | "&amp;'ORDENES'!$E46&amp;" ("&amp;'ORDENES'!$L46&amp;" h)","")</f>
        <v/>
      </c>
    </row>
    <row r="51">
      <c r="K51" s="3">
        <f>IF(AND(IF($B$3="(todos)",TRUE,'ORDENES'!$O47=$B$3),IF($D$3="(todos)",TRUE,'ORDENES'!$AC47=$D$3),IF($F$3="(todos)",TRUE,'ORDENES'!$V47=$F$3),'ORDENES'!$AA47=TRUE),'ORDENES'!$C47&amp;" | "&amp;'ORDENES'!$R47&amp;" | "&amp;IF('ORDENES'!$AB47="","(sin técnico)",'ORDENES'!$AB47)&amp;" | "&amp;'ORDENES'!$E47&amp;" ("&amp;'ORDENES'!$L47&amp;" h)","")</f>
        <v/>
      </c>
    </row>
    <row r="52">
      <c r="K52" s="3">
        <f>IF(AND(IF($B$3="(todos)",TRUE,'ORDENES'!$O48=$B$3),IF($D$3="(todos)",TRUE,'ORDENES'!$AC48=$D$3),IF($F$3="(todos)",TRUE,'ORDENES'!$V48=$F$3),'ORDENES'!$AA48=TRUE),'ORDENES'!$C48&amp;" | "&amp;'ORDENES'!$R48&amp;" | "&amp;IF('ORDENES'!$AB48="","(sin técnico)",'ORDENES'!$AB48)&amp;" | "&amp;'ORDENES'!$E48&amp;" ("&amp;'ORDENES'!$L48&amp;" h)","")</f>
        <v/>
      </c>
    </row>
    <row r="53">
      <c r="K53" s="3">
        <f>IF(AND(IF($B$3="(todos)",TRUE,'ORDENES'!$O49=$B$3),IF($D$3="(todos)",TRUE,'ORDENES'!$AC49=$D$3),IF($F$3="(todos)",TRUE,'ORDENES'!$V49=$F$3),'ORDENES'!$AA49=TRUE),'ORDENES'!$C49&amp;" | "&amp;'ORDENES'!$R49&amp;" | "&amp;IF('ORDENES'!$AB49="","(sin técnico)",'ORDENES'!$AB49)&amp;" | "&amp;'ORDENES'!$E49&amp;" ("&amp;'ORDENES'!$L49&amp;" h)","")</f>
        <v/>
      </c>
    </row>
    <row r="54">
      <c r="K54" s="3">
        <f>IF(AND(IF($B$3="(todos)",TRUE,'ORDENES'!$O50=$B$3),IF($D$3="(todos)",TRUE,'ORDENES'!$AC50=$D$3),IF($F$3="(todos)",TRUE,'ORDENES'!$V50=$F$3),'ORDENES'!$AA50=TRUE),'ORDENES'!$C50&amp;" | "&amp;'ORDENES'!$R50&amp;" | "&amp;IF('ORDENES'!$AB50="","(sin técnico)",'ORDENES'!$AB50)&amp;" | "&amp;'ORDENES'!$E50&amp;" ("&amp;'ORDENES'!$L50&amp;" h)","")</f>
        <v/>
      </c>
    </row>
    <row r="55">
      <c r="K55" s="3">
        <f>IF(AND(IF($B$3="(todos)",TRUE,'ORDENES'!$O51=$B$3),IF($D$3="(todos)",TRUE,'ORDENES'!$AC51=$D$3),IF($F$3="(todos)",TRUE,'ORDENES'!$V51=$F$3),'ORDENES'!$AA51=TRUE),'ORDENES'!$C51&amp;" | "&amp;'ORDENES'!$R51&amp;" | "&amp;IF('ORDENES'!$AB51="","(sin técnico)",'ORDENES'!$AB51)&amp;" | "&amp;'ORDENES'!$E51&amp;" ("&amp;'ORDENES'!$L51&amp;" h)","")</f>
        <v/>
      </c>
    </row>
    <row r="56">
      <c r="K56" s="3">
        <f>IF(AND(IF($B$3="(todos)",TRUE,'ORDENES'!$O52=$B$3),IF($D$3="(todos)",TRUE,'ORDENES'!$AC52=$D$3),IF($F$3="(todos)",TRUE,'ORDENES'!$V52=$F$3),'ORDENES'!$AA52=TRUE),'ORDENES'!$C52&amp;" | "&amp;'ORDENES'!$R52&amp;" | "&amp;IF('ORDENES'!$AB52="","(sin técnico)",'ORDENES'!$AB52)&amp;" | "&amp;'ORDENES'!$E52&amp;" ("&amp;'ORDENES'!$L52&amp;" h)","")</f>
        <v/>
      </c>
    </row>
    <row r="57">
      <c r="K57" s="3">
        <f>IF(AND(IF($B$3="(todos)",TRUE,'ORDENES'!$O53=$B$3),IF($D$3="(todos)",TRUE,'ORDENES'!$AC53=$D$3),IF($F$3="(todos)",TRUE,'ORDENES'!$V53=$F$3),'ORDENES'!$AA53=TRUE),'ORDENES'!$C53&amp;" | "&amp;'ORDENES'!$R53&amp;" | "&amp;IF('ORDENES'!$AB53="","(sin técnico)",'ORDENES'!$AB53)&amp;" | "&amp;'ORDENES'!$E53&amp;" ("&amp;'ORDENES'!$L53&amp;" h)","")</f>
        <v/>
      </c>
    </row>
    <row r="58">
      <c r="K58" s="3">
        <f>IF(AND(IF($B$3="(todos)",TRUE,'ORDENES'!$O54=$B$3),IF($D$3="(todos)",TRUE,'ORDENES'!$AC54=$D$3),IF($F$3="(todos)",TRUE,'ORDENES'!$V54=$F$3),'ORDENES'!$AA54=TRUE),'ORDENES'!$C54&amp;" | "&amp;'ORDENES'!$R54&amp;" | "&amp;IF('ORDENES'!$AB54="","(sin técnico)",'ORDENES'!$AB54)&amp;" | "&amp;'ORDENES'!$E54&amp;" ("&amp;'ORDENES'!$L54&amp;" h)","")</f>
        <v/>
      </c>
    </row>
    <row r="59">
      <c r="K59" s="3">
        <f>IF(AND(IF($B$3="(todos)",TRUE,'ORDENES'!$O55=$B$3),IF($D$3="(todos)",TRUE,'ORDENES'!$AC55=$D$3),IF($F$3="(todos)",TRUE,'ORDENES'!$V55=$F$3),'ORDENES'!$AA55=TRUE),'ORDENES'!$C55&amp;" | "&amp;'ORDENES'!$R55&amp;" | "&amp;IF('ORDENES'!$AB55="","(sin técnico)",'ORDENES'!$AB55)&amp;" | "&amp;'ORDENES'!$E55&amp;" ("&amp;'ORDENES'!$L55&amp;" h)","")</f>
        <v/>
      </c>
    </row>
    <row r="60">
      <c r="K60" s="3">
        <f>IF(AND(IF($B$3="(todos)",TRUE,'ORDENES'!$O56=$B$3),IF($D$3="(todos)",TRUE,'ORDENES'!$AC56=$D$3),IF($F$3="(todos)",TRUE,'ORDENES'!$V56=$F$3),'ORDENES'!$AA56=TRUE),'ORDENES'!$C56&amp;" | "&amp;'ORDENES'!$R56&amp;" | "&amp;IF('ORDENES'!$AB56="","(sin técnico)",'ORDENES'!$AB56)&amp;" | "&amp;'ORDENES'!$E56&amp;" ("&amp;'ORDENES'!$L56&amp;" h)","")</f>
        <v/>
      </c>
    </row>
    <row r="61">
      <c r="K61" s="3">
        <f>IF(AND(IF($B$3="(todos)",TRUE,'ORDENES'!$O57=$B$3),IF($D$3="(todos)",TRUE,'ORDENES'!$AC57=$D$3),IF($F$3="(todos)",TRUE,'ORDENES'!$V57=$F$3),'ORDENES'!$AA57=TRUE),'ORDENES'!$C57&amp;" | "&amp;'ORDENES'!$R57&amp;" | "&amp;IF('ORDENES'!$AB57="","(sin técnico)",'ORDENES'!$AB57)&amp;" | "&amp;'ORDENES'!$E57&amp;" ("&amp;'ORDENES'!$L57&amp;" h)","")</f>
        <v/>
      </c>
    </row>
    <row r="62">
      <c r="K62" s="3">
        <f>IF(AND(IF($B$3="(todos)",TRUE,'ORDENES'!$O58=$B$3),IF($D$3="(todos)",TRUE,'ORDENES'!$AC58=$D$3),IF($F$3="(todos)",TRUE,'ORDENES'!$V58=$F$3),'ORDENES'!$AA58=TRUE),'ORDENES'!$C58&amp;" | "&amp;'ORDENES'!$R58&amp;" | "&amp;IF('ORDENES'!$AB58="","(sin técnico)",'ORDENES'!$AB58)&amp;" | "&amp;'ORDENES'!$E58&amp;" ("&amp;'ORDENES'!$L58&amp;" h)","")</f>
        <v/>
      </c>
    </row>
    <row r="63">
      <c r="K63" s="3">
        <f>IF(AND(IF($B$3="(todos)",TRUE,'ORDENES'!$O59=$B$3),IF($D$3="(todos)",TRUE,'ORDENES'!$AC59=$D$3),IF($F$3="(todos)",TRUE,'ORDENES'!$V59=$F$3),'ORDENES'!$AA59=TRUE),'ORDENES'!$C59&amp;" | "&amp;'ORDENES'!$R59&amp;" | "&amp;IF('ORDENES'!$AB59="","(sin técnico)",'ORDENES'!$AB59)&amp;" | "&amp;'ORDENES'!$E59&amp;" ("&amp;'ORDENES'!$L59&amp;" h)","")</f>
        <v/>
      </c>
    </row>
    <row r="64">
      <c r="K64" s="3">
        <f>IF(AND(IF($B$3="(todos)",TRUE,'ORDENES'!$O60=$B$3),IF($D$3="(todos)",TRUE,'ORDENES'!$AC60=$D$3),IF($F$3="(todos)",TRUE,'ORDENES'!$V60=$F$3),'ORDENES'!$AA60=TRUE),'ORDENES'!$C60&amp;" | "&amp;'ORDENES'!$R60&amp;" | "&amp;IF('ORDENES'!$AB60="","(sin técnico)",'ORDENES'!$AB60)&amp;" | "&amp;'ORDENES'!$E60&amp;" ("&amp;'ORDENES'!$L60&amp;" h)","")</f>
        <v/>
      </c>
    </row>
    <row r="65">
      <c r="K65" s="3">
        <f>IF(AND(IF($B$3="(todos)",TRUE,'ORDENES'!$O61=$B$3),IF($D$3="(todos)",TRUE,'ORDENES'!$AC61=$D$3),IF($F$3="(todos)",TRUE,'ORDENES'!$V61=$F$3),'ORDENES'!$AA61=TRUE),'ORDENES'!$C61&amp;" | "&amp;'ORDENES'!$R61&amp;" | "&amp;IF('ORDENES'!$AB61="","(sin técnico)",'ORDENES'!$AB61)&amp;" | "&amp;'ORDENES'!$E61&amp;" ("&amp;'ORDENES'!$L61&amp;" h)","")</f>
        <v/>
      </c>
    </row>
    <row r="66">
      <c r="K66" s="3">
        <f>IF(AND(IF($B$3="(todos)",TRUE,'ORDENES'!$O62=$B$3),IF($D$3="(todos)",TRUE,'ORDENES'!$AC62=$D$3),IF($F$3="(todos)",TRUE,'ORDENES'!$V62=$F$3),'ORDENES'!$AA62=TRUE),'ORDENES'!$C62&amp;" | "&amp;'ORDENES'!$R62&amp;" | "&amp;IF('ORDENES'!$AB62="","(sin técnico)",'ORDENES'!$AB62)&amp;" | "&amp;'ORDENES'!$E62&amp;" ("&amp;'ORDENES'!$L62&amp;" h)","")</f>
        <v/>
      </c>
    </row>
    <row r="67">
      <c r="K67" s="3">
        <f>IF(AND(IF($B$3="(todos)",TRUE,'ORDENES'!$O63=$B$3),IF($D$3="(todos)",TRUE,'ORDENES'!$AC63=$D$3),IF($F$3="(todos)",TRUE,'ORDENES'!$V63=$F$3),'ORDENES'!$AA63=TRUE),'ORDENES'!$C63&amp;" | "&amp;'ORDENES'!$R63&amp;" | "&amp;IF('ORDENES'!$AB63="","(sin técnico)",'ORDENES'!$AB63)&amp;" | "&amp;'ORDENES'!$E63&amp;" ("&amp;'ORDENES'!$L63&amp;" h)","")</f>
        <v/>
      </c>
    </row>
    <row r="68">
      <c r="K68" s="3">
        <f>IF(AND(IF($B$3="(todos)",TRUE,'ORDENES'!$O64=$B$3),IF($D$3="(todos)",TRUE,'ORDENES'!$AC64=$D$3),IF($F$3="(todos)",TRUE,'ORDENES'!$V64=$F$3),'ORDENES'!$AA64=TRUE),'ORDENES'!$C64&amp;" | "&amp;'ORDENES'!$R64&amp;" | "&amp;IF('ORDENES'!$AB64="","(sin técnico)",'ORDENES'!$AB64)&amp;" | "&amp;'ORDENES'!$E64&amp;" ("&amp;'ORDENES'!$L64&amp;" h)","")</f>
        <v/>
      </c>
    </row>
    <row r="69">
      <c r="K69" s="3">
        <f>IF(AND(IF($B$3="(todos)",TRUE,'ORDENES'!$O65=$B$3),IF($D$3="(todos)",TRUE,'ORDENES'!$AC65=$D$3),IF($F$3="(todos)",TRUE,'ORDENES'!$V65=$F$3),'ORDENES'!$AA65=TRUE),'ORDENES'!$C65&amp;" | "&amp;'ORDENES'!$R65&amp;" | "&amp;IF('ORDENES'!$AB65="","(sin técnico)",'ORDENES'!$AB65)&amp;" | "&amp;'ORDENES'!$E65&amp;" ("&amp;'ORDENES'!$L65&amp;" h)","")</f>
        <v/>
      </c>
    </row>
    <row r="70">
      <c r="K70" s="3">
        <f>IF(AND(IF($B$3="(todos)",TRUE,'ORDENES'!$O66=$B$3),IF($D$3="(todos)",TRUE,'ORDENES'!$AC66=$D$3),IF($F$3="(todos)",TRUE,'ORDENES'!$V66=$F$3),'ORDENES'!$AA66=TRUE),'ORDENES'!$C66&amp;" | "&amp;'ORDENES'!$R66&amp;" | "&amp;IF('ORDENES'!$AB66="","(sin técnico)",'ORDENES'!$AB66)&amp;" | "&amp;'ORDENES'!$E66&amp;" ("&amp;'ORDENES'!$L66&amp;" h)","")</f>
        <v/>
      </c>
    </row>
    <row r="71">
      <c r="K71" s="3">
        <f>IF(AND(IF($B$3="(todos)",TRUE,'ORDENES'!$O67=$B$3),IF($D$3="(todos)",TRUE,'ORDENES'!$AC67=$D$3),IF($F$3="(todos)",TRUE,'ORDENES'!$V67=$F$3),'ORDENES'!$AA67=TRUE),'ORDENES'!$C67&amp;" | "&amp;'ORDENES'!$R67&amp;" | "&amp;IF('ORDENES'!$AB67="","(sin técnico)",'ORDENES'!$AB67)&amp;" | "&amp;'ORDENES'!$E67&amp;" ("&amp;'ORDENES'!$L67&amp;" h)","")</f>
        <v/>
      </c>
    </row>
    <row r="72">
      <c r="K72" s="3">
        <f>IF(AND(IF($B$3="(todos)",TRUE,'ORDENES'!$O68=$B$3),IF($D$3="(todos)",TRUE,'ORDENES'!$AC68=$D$3),IF($F$3="(todos)",TRUE,'ORDENES'!$V68=$F$3),'ORDENES'!$AA68=TRUE),'ORDENES'!$C68&amp;" | "&amp;'ORDENES'!$R68&amp;" | "&amp;IF('ORDENES'!$AB68="","(sin técnico)",'ORDENES'!$AB68)&amp;" | "&amp;'ORDENES'!$E68&amp;" ("&amp;'ORDENES'!$L68&amp;" h)","")</f>
        <v/>
      </c>
    </row>
    <row r="73">
      <c r="K73" s="3">
        <f>IF(AND(IF($B$3="(todos)",TRUE,'ORDENES'!$O69=$B$3),IF($D$3="(todos)",TRUE,'ORDENES'!$AC69=$D$3),IF($F$3="(todos)",TRUE,'ORDENES'!$V69=$F$3),'ORDENES'!$AA69=TRUE),'ORDENES'!$C69&amp;" | "&amp;'ORDENES'!$R69&amp;" | "&amp;IF('ORDENES'!$AB69="","(sin técnico)",'ORDENES'!$AB69)&amp;" | "&amp;'ORDENES'!$E69&amp;" ("&amp;'ORDENES'!$L69&amp;" h)","")</f>
        <v/>
      </c>
    </row>
    <row r="74">
      <c r="K74" s="3">
        <f>IF(AND(IF($B$3="(todos)",TRUE,'ORDENES'!$O70=$B$3),IF($D$3="(todos)",TRUE,'ORDENES'!$AC70=$D$3),IF($F$3="(todos)",TRUE,'ORDENES'!$V70=$F$3),'ORDENES'!$AA70=TRUE),'ORDENES'!$C70&amp;" | "&amp;'ORDENES'!$R70&amp;" | "&amp;IF('ORDENES'!$AB70="","(sin técnico)",'ORDENES'!$AB70)&amp;" | "&amp;'ORDENES'!$E70&amp;" ("&amp;'ORDENES'!$L70&amp;" h)","")</f>
        <v/>
      </c>
    </row>
    <row r="75">
      <c r="K75" s="3">
        <f>IF(AND(IF($B$3="(todos)",TRUE,'ORDENES'!$O71=$B$3),IF($D$3="(todos)",TRUE,'ORDENES'!$AC71=$D$3),IF($F$3="(todos)",TRUE,'ORDENES'!$V71=$F$3),'ORDENES'!$AA71=TRUE),'ORDENES'!$C71&amp;" | "&amp;'ORDENES'!$R71&amp;" | "&amp;IF('ORDENES'!$AB71="","(sin técnico)",'ORDENES'!$AB71)&amp;" | "&amp;'ORDENES'!$E71&amp;" ("&amp;'ORDENES'!$L71&amp;" h)","")</f>
        <v/>
      </c>
    </row>
    <row r="76">
      <c r="K76" s="3">
        <f>IF(AND(IF($B$3="(todos)",TRUE,'ORDENES'!$O72=$B$3),IF($D$3="(todos)",TRUE,'ORDENES'!$AC72=$D$3),IF($F$3="(todos)",TRUE,'ORDENES'!$V72=$F$3),'ORDENES'!$AA72=TRUE),'ORDENES'!$C72&amp;" | "&amp;'ORDENES'!$R72&amp;" | "&amp;IF('ORDENES'!$AB72="","(sin técnico)",'ORDENES'!$AB72)&amp;" | "&amp;'ORDENES'!$E72&amp;" ("&amp;'ORDENES'!$L72&amp;" h)","")</f>
        <v/>
      </c>
    </row>
    <row r="77">
      <c r="K77" s="3">
        <f>IF(AND(IF($B$3="(todos)",TRUE,'ORDENES'!$O73=$B$3),IF($D$3="(todos)",TRUE,'ORDENES'!$AC73=$D$3),IF($F$3="(todos)",TRUE,'ORDENES'!$V73=$F$3),'ORDENES'!$AA73=TRUE),'ORDENES'!$C73&amp;" | "&amp;'ORDENES'!$R73&amp;" | "&amp;IF('ORDENES'!$AB73="","(sin técnico)",'ORDENES'!$AB73)&amp;" | "&amp;'ORDENES'!$E73&amp;" ("&amp;'ORDENES'!$L73&amp;" h)","")</f>
        <v/>
      </c>
    </row>
    <row r="78">
      <c r="K78" s="3">
        <f>IF(AND(IF($B$3="(todos)",TRUE,'ORDENES'!$O74=$B$3),IF($D$3="(todos)",TRUE,'ORDENES'!$AC74=$D$3),IF($F$3="(todos)",TRUE,'ORDENES'!$V74=$F$3),'ORDENES'!$AA74=TRUE),'ORDENES'!$C74&amp;" | "&amp;'ORDENES'!$R74&amp;" | "&amp;IF('ORDENES'!$AB74="","(sin técnico)",'ORDENES'!$AB74)&amp;" | "&amp;'ORDENES'!$E74&amp;" ("&amp;'ORDENES'!$L74&amp;" h)","")</f>
        <v/>
      </c>
    </row>
    <row r="79">
      <c r="K79" s="3">
        <f>IF(AND(IF($B$3="(todos)",TRUE,'ORDENES'!$O75=$B$3),IF($D$3="(todos)",TRUE,'ORDENES'!$AC75=$D$3),IF($F$3="(todos)",TRUE,'ORDENES'!$V75=$F$3),'ORDENES'!$AA75=TRUE),'ORDENES'!$C75&amp;" | "&amp;'ORDENES'!$R75&amp;" | "&amp;IF('ORDENES'!$AB75="","(sin técnico)",'ORDENES'!$AB75)&amp;" | "&amp;'ORDENES'!$E75&amp;" ("&amp;'ORDENES'!$L75&amp;" h)","")</f>
        <v/>
      </c>
    </row>
    <row r="80">
      <c r="K80" s="3">
        <f>IF(AND(IF($B$3="(todos)",TRUE,'ORDENES'!$O76=$B$3),IF($D$3="(todos)",TRUE,'ORDENES'!$AC76=$D$3),IF($F$3="(todos)",TRUE,'ORDENES'!$V76=$F$3),'ORDENES'!$AA76=TRUE),'ORDENES'!$C76&amp;" | "&amp;'ORDENES'!$R76&amp;" | "&amp;IF('ORDENES'!$AB76="","(sin técnico)",'ORDENES'!$AB76)&amp;" | "&amp;'ORDENES'!$E76&amp;" ("&amp;'ORDENES'!$L76&amp;" h)","")</f>
        <v/>
      </c>
    </row>
    <row r="81">
      <c r="K81" s="3">
        <f>IF(AND(IF($B$3="(todos)",TRUE,'ORDENES'!$O77=$B$3),IF($D$3="(todos)",TRUE,'ORDENES'!$AC77=$D$3),IF($F$3="(todos)",TRUE,'ORDENES'!$V77=$F$3),'ORDENES'!$AA77=TRUE),'ORDENES'!$C77&amp;" | "&amp;'ORDENES'!$R77&amp;" | "&amp;IF('ORDENES'!$AB77="","(sin técnico)",'ORDENES'!$AB77)&amp;" | "&amp;'ORDENES'!$E77&amp;" ("&amp;'ORDENES'!$L77&amp;" h)","")</f>
        <v/>
      </c>
    </row>
    <row r="82">
      <c r="K82" s="3">
        <f>IF(AND(IF($B$3="(todos)",TRUE,'ORDENES'!$O78=$B$3),IF($D$3="(todos)",TRUE,'ORDENES'!$AC78=$D$3),IF($F$3="(todos)",TRUE,'ORDENES'!$V78=$F$3),'ORDENES'!$AA78=TRUE),'ORDENES'!$C78&amp;" | "&amp;'ORDENES'!$R78&amp;" | "&amp;IF('ORDENES'!$AB78="","(sin técnico)",'ORDENES'!$AB78)&amp;" | "&amp;'ORDENES'!$E78&amp;" ("&amp;'ORDENES'!$L78&amp;" h)","")</f>
        <v/>
      </c>
    </row>
    <row r="83">
      <c r="K83" s="3">
        <f>IF(AND(IF($B$3="(todos)",TRUE,'ORDENES'!$O79=$B$3),IF($D$3="(todos)",TRUE,'ORDENES'!$AC79=$D$3),IF($F$3="(todos)",TRUE,'ORDENES'!$V79=$F$3),'ORDENES'!$AA79=TRUE),'ORDENES'!$C79&amp;" | "&amp;'ORDENES'!$R79&amp;" | "&amp;IF('ORDENES'!$AB79="","(sin técnico)",'ORDENES'!$AB79)&amp;" | "&amp;'ORDENES'!$E79&amp;" ("&amp;'ORDENES'!$L79&amp;" h)","")</f>
        <v/>
      </c>
    </row>
    <row r="84">
      <c r="K84" s="3">
        <f>IF(AND(IF($B$3="(todos)",TRUE,'ORDENES'!$O80=$B$3),IF($D$3="(todos)",TRUE,'ORDENES'!$AC80=$D$3),IF($F$3="(todos)",TRUE,'ORDENES'!$V80=$F$3),'ORDENES'!$AA80=TRUE),'ORDENES'!$C80&amp;" | "&amp;'ORDENES'!$R80&amp;" | "&amp;IF('ORDENES'!$AB80="","(sin técnico)",'ORDENES'!$AB80)&amp;" | "&amp;'ORDENES'!$E80&amp;" ("&amp;'ORDENES'!$L80&amp;" h)","")</f>
        <v/>
      </c>
    </row>
    <row r="85">
      <c r="K85" s="3">
        <f>IF(AND(IF($B$3="(todos)",TRUE,'ORDENES'!$O81=$B$3),IF($D$3="(todos)",TRUE,'ORDENES'!$AC81=$D$3),IF($F$3="(todos)",TRUE,'ORDENES'!$V81=$F$3),'ORDENES'!$AA81=TRUE),'ORDENES'!$C81&amp;" | "&amp;'ORDENES'!$R81&amp;" | "&amp;IF('ORDENES'!$AB81="","(sin técnico)",'ORDENES'!$AB81)&amp;" | "&amp;'ORDENES'!$E81&amp;" ("&amp;'ORDENES'!$L81&amp;" h)","")</f>
        <v/>
      </c>
    </row>
    <row r="86">
      <c r="K86" s="3">
        <f>IF(AND(IF($B$3="(todos)",TRUE,'ORDENES'!$O82=$B$3),IF($D$3="(todos)",TRUE,'ORDENES'!$AC82=$D$3),IF($F$3="(todos)",TRUE,'ORDENES'!$V82=$F$3),'ORDENES'!$AA82=TRUE),'ORDENES'!$C82&amp;" | "&amp;'ORDENES'!$R82&amp;" | "&amp;IF('ORDENES'!$AB82="","(sin técnico)",'ORDENES'!$AB82)&amp;" | "&amp;'ORDENES'!$E82&amp;" ("&amp;'ORDENES'!$L82&amp;" h)","")</f>
        <v/>
      </c>
    </row>
    <row r="87">
      <c r="K87" s="3">
        <f>IF(AND(IF($B$3="(todos)",TRUE,'ORDENES'!$O83=$B$3),IF($D$3="(todos)",TRUE,'ORDENES'!$AC83=$D$3),IF($F$3="(todos)",TRUE,'ORDENES'!$V83=$F$3),'ORDENES'!$AA83=TRUE),'ORDENES'!$C83&amp;" | "&amp;'ORDENES'!$R83&amp;" | "&amp;IF('ORDENES'!$AB83="","(sin técnico)",'ORDENES'!$AB83)&amp;" | "&amp;'ORDENES'!$E83&amp;" ("&amp;'ORDENES'!$L83&amp;" h)","")</f>
        <v/>
      </c>
    </row>
    <row r="88">
      <c r="K88" s="3">
        <f>IF(AND(IF($B$3="(todos)",TRUE,'ORDENES'!$O84=$B$3),IF($D$3="(todos)",TRUE,'ORDENES'!$AC84=$D$3),IF($F$3="(todos)",TRUE,'ORDENES'!$V84=$F$3),'ORDENES'!$AA84=TRUE),'ORDENES'!$C84&amp;" | "&amp;'ORDENES'!$R84&amp;" | "&amp;IF('ORDENES'!$AB84="","(sin técnico)",'ORDENES'!$AB84)&amp;" | "&amp;'ORDENES'!$E84&amp;" ("&amp;'ORDENES'!$L84&amp;" h)","")</f>
        <v/>
      </c>
    </row>
    <row r="89">
      <c r="K89" s="3">
        <f>IF(AND(IF($B$3="(todos)",TRUE,'ORDENES'!$O85=$B$3),IF($D$3="(todos)",TRUE,'ORDENES'!$AC85=$D$3),IF($F$3="(todos)",TRUE,'ORDENES'!$V85=$F$3),'ORDENES'!$AA85=TRUE),'ORDENES'!$C85&amp;" | "&amp;'ORDENES'!$R85&amp;" | "&amp;IF('ORDENES'!$AB85="","(sin técnico)",'ORDENES'!$AB85)&amp;" | "&amp;'ORDENES'!$E85&amp;" ("&amp;'ORDENES'!$L85&amp;" h)","")</f>
        <v/>
      </c>
    </row>
    <row r="90">
      <c r="K90" s="3">
        <f>IF(AND(IF($B$3="(todos)",TRUE,'ORDENES'!$O86=$B$3),IF($D$3="(todos)",TRUE,'ORDENES'!$AC86=$D$3),IF($F$3="(todos)",TRUE,'ORDENES'!$V86=$F$3),'ORDENES'!$AA86=TRUE),'ORDENES'!$C86&amp;" | "&amp;'ORDENES'!$R86&amp;" | "&amp;IF('ORDENES'!$AB86="","(sin técnico)",'ORDENES'!$AB86)&amp;" | "&amp;'ORDENES'!$E86&amp;" ("&amp;'ORDENES'!$L86&amp;" h)","")</f>
        <v/>
      </c>
    </row>
    <row r="91">
      <c r="K91" s="3">
        <f>IF(AND(IF($B$3="(todos)",TRUE,'ORDENES'!$O87=$B$3),IF($D$3="(todos)",TRUE,'ORDENES'!$AC87=$D$3),IF($F$3="(todos)",TRUE,'ORDENES'!$V87=$F$3),'ORDENES'!$AA87=TRUE),'ORDENES'!$C87&amp;" | "&amp;'ORDENES'!$R87&amp;" | "&amp;IF('ORDENES'!$AB87="","(sin técnico)",'ORDENES'!$AB87)&amp;" | "&amp;'ORDENES'!$E87&amp;" ("&amp;'ORDENES'!$L87&amp;" h)","")</f>
        <v/>
      </c>
    </row>
    <row r="92">
      <c r="K92" s="3">
        <f>IF(AND(IF($B$3="(todos)",TRUE,'ORDENES'!$O88=$B$3),IF($D$3="(todos)",TRUE,'ORDENES'!$AC88=$D$3),IF($F$3="(todos)",TRUE,'ORDENES'!$V88=$F$3),'ORDENES'!$AA88=TRUE),'ORDENES'!$C88&amp;" | "&amp;'ORDENES'!$R88&amp;" | "&amp;IF('ORDENES'!$AB88="","(sin técnico)",'ORDENES'!$AB88)&amp;" | "&amp;'ORDENES'!$E88&amp;" ("&amp;'ORDENES'!$L88&amp;" h)","")</f>
        <v/>
      </c>
    </row>
    <row r="93">
      <c r="K93" s="3">
        <f>IF(AND(IF($B$3="(todos)",TRUE,'ORDENES'!$O89=$B$3),IF($D$3="(todos)",TRUE,'ORDENES'!$AC89=$D$3),IF($F$3="(todos)",TRUE,'ORDENES'!$V89=$F$3),'ORDENES'!$AA89=TRUE),'ORDENES'!$C89&amp;" | "&amp;'ORDENES'!$R89&amp;" | "&amp;IF('ORDENES'!$AB89="","(sin técnico)",'ORDENES'!$AB89)&amp;" | "&amp;'ORDENES'!$E89&amp;" ("&amp;'ORDENES'!$L89&amp;" h)","")</f>
        <v/>
      </c>
    </row>
    <row r="94">
      <c r="K94" s="3">
        <f>IF(AND(IF($B$3="(todos)",TRUE,'ORDENES'!$O90=$B$3),IF($D$3="(todos)",TRUE,'ORDENES'!$AC90=$D$3),IF($F$3="(todos)",TRUE,'ORDENES'!$V90=$F$3),'ORDENES'!$AA90=TRUE),'ORDENES'!$C90&amp;" | "&amp;'ORDENES'!$R90&amp;" | "&amp;IF('ORDENES'!$AB90="","(sin técnico)",'ORDENES'!$AB90)&amp;" | "&amp;'ORDENES'!$E90&amp;" ("&amp;'ORDENES'!$L90&amp;" h)","")</f>
        <v/>
      </c>
    </row>
    <row r="95">
      <c r="K95" s="3">
        <f>IF(AND(IF($B$3="(todos)",TRUE,'ORDENES'!$O91=$B$3),IF($D$3="(todos)",TRUE,'ORDENES'!$AC91=$D$3),IF($F$3="(todos)",TRUE,'ORDENES'!$V91=$F$3),'ORDENES'!$AA91=TRUE),'ORDENES'!$C91&amp;" | "&amp;'ORDENES'!$R91&amp;" | "&amp;IF('ORDENES'!$AB91="","(sin técnico)",'ORDENES'!$AB91)&amp;" | "&amp;'ORDENES'!$E91&amp;" ("&amp;'ORDENES'!$L91&amp;" h)","")</f>
        <v/>
      </c>
    </row>
    <row r="96">
      <c r="K96" s="3">
        <f>IF(AND(IF($B$3="(todos)",TRUE,'ORDENES'!$O92=$B$3),IF($D$3="(todos)",TRUE,'ORDENES'!$AC92=$D$3),IF($F$3="(todos)",TRUE,'ORDENES'!$V92=$F$3),'ORDENES'!$AA92=TRUE),'ORDENES'!$C92&amp;" | "&amp;'ORDENES'!$R92&amp;" | "&amp;IF('ORDENES'!$AB92="","(sin técnico)",'ORDENES'!$AB92)&amp;" | "&amp;'ORDENES'!$E92&amp;" ("&amp;'ORDENES'!$L92&amp;" h)","")</f>
        <v/>
      </c>
    </row>
    <row r="97">
      <c r="K97" s="3">
        <f>IF(AND(IF($B$3="(todos)",TRUE,'ORDENES'!$O93=$B$3),IF($D$3="(todos)",TRUE,'ORDENES'!$AC93=$D$3),IF($F$3="(todos)",TRUE,'ORDENES'!$V93=$F$3),'ORDENES'!$AA93=TRUE),'ORDENES'!$C93&amp;" | "&amp;'ORDENES'!$R93&amp;" | "&amp;IF('ORDENES'!$AB93="","(sin técnico)",'ORDENES'!$AB93)&amp;" | "&amp;'ORDENES'!$E93&amp;" ("&amp;'ORDENES'!$L93&amp;" h)","")</f>
        <v/>
      </c>
    </row>
    <row r="98">
      <c r="K98" s="3">
        <f>IF(AND(IF($B$3="(todos)",TRUE,'ORDENES'!$O94=$B$3),IF($D$3="(todos)",TRUE,'ORDENES'!$AC94=$D$3),IF($F$3="(todos)",TRUE,'ORDENES'!$V94=$F$3),'ORDENES'!$AA94=TRUE),'ORDENES'!$C94&amp;" | "&amp;'ORDENES'!$R94&amp;" | "&amp;IF('ORDENES'!$AB94="","(sin técnico)",'ORDENES'!$AB94)&amp;" | "&amp;'ORDENES'!$E94&amp;" ("&amp;'ORDENES'!$L94&amp;" h)","")</f>
        <v/>
      </c>
    </row>
    <row r="99">
      <c r="K99" s="3">
        <f>IF(AND(IF($B$3="(todos)",TRUE,'ORDENES'!$O95=$B$3),IF($D$3="(todos)",TRUE,'ORDENES'!$AC95=$D$3),IF($F$3="(todos)",TRUE,'ORDENES'!$V95=$F$3),'ORDENES'!$AA95=TRUE),'ORDENES'!$C95&amp;" | "&amp;'ORDENES'!$R95&amp;" | "&amp;IF('ORDENES'!$AB95="","(sin técnico)",'ORDENES'!$AB95)&amp;" | "&amp;'ORDENES'!$E95&amp;" ("&amp;'ORDENES'!$L95&amp;" h)","")</f>
        <v/>
      </c>
    </row>
    <row r="100">
      <c r="K100" s="3">
        <f>IF(AND(IF($B$3="(todos)",TRUE,'ORDENES'!$O96=$B$3),IF($D$3="(todos)",TRUE,'ORDENES'!$AC96=$D$3),IF($F$3="(todos)",TRUE,'ORDENES'!$V96=$F$3),'ORDENES'!$AA96=TRUE),'ORDENES'!$C96&amp;" | "&amp;'ORDENES'!$R96&amp;" | "&amp;IF('ORDENES'!$AB96="","(sin técnico)",'ORDENES'!$AB96)&amp;" | "&amp;'ORDENES'!$E96&amp;" ("&amp;'ORDENES'!$L96&amp;" h)","")</f>
        <v/>
      </c>
    </row>
    <row r="101">
      <c r="K101" s="3">
        <f>IF(AND(IF($B$3="(todos)",TRUE,'ORDENES'!$O97=$B$3),IF($D$3="(todos)",TRUE,'ORDENES'!$AC97=$D$3),IF($F$3="(todos)",TRUE,'ORDENES'!$V97=$F$3),'ORDENES'!$AA97=TRUE),'ORDENES'!$C97&amp;" | "&amp;'ORDENES'!$R97&amp;" | "&amp;IF('ORDENES'!$AB97="","(sin técnico)",'ORDENES'!$AB97)&amp;" | "&amp;'ORDENES'!$E97&amp;" ("&amp;'ORDENES'!$L97&amp;" h)","")</f>
        <v/>
      </c>
    </row>
    <row r="102">
      <c r="K102" s="3">
        <f>IF(AND(IF($B$3="(todos)",TRUE,'ORDENES'!$O98=$B$3),IF($D$3="(todos)",TRUE,'ORDENES'!$AC98=$D$3),IF($F$3="(todos)",TRUE,'ORDENES'!$V98=$F$3),'ORDENES'!$AA98=TRUE),'ORDENES'!$C98&amp;" | "&amp;'ORDENES'!$R98&amp;" | "&amp;IF('ORDENES'!$AB98="","(sin técnico)",'ORDENES'!$AB98)&amp;" | "&amp;'ORDENES'!$E98&amp;" ("&amp;'ORDENES'!$L98&amp;" h)","")</f>
        <v/>
      </c>
    </row>
    <row r="103">
      <c r="K103" s="3">
        <f>IF(AND(IF($B$3="(todos)",TRUE,'ORDENES'!$O99=$B$3),IF($D$3="(todos)",TRUE,'ORDENES'!$AC99=$D$3),IF($F$3="(todos)",TRUE,'ORDENES'!$V99=$F$3),'ORDENES'!$AA99=TRUE),'ORDENES'!$C99&amp;" | "&amp;'ORDENES'!$R99&amp;" | "&amp;IF('ORDENES'!$AB99="","(sin técnico)",'ORDENES'!$AB99)&amp;" | "&amp;'ORDENES'!$E99&amp;" ("&amp;'ORDENES'!$L99&amp;" h)","")</f>
        <v/>
      </c>
    </row>
    <row r="104">
      <c r="K104" s="3">
        <f>IF(AND(IF($B$3="(todos)",TRUE,'ORDENES'!$O100=$B$3),IF($D$3="(todos)",TRUE,'ORDENES'!$AC100=$D$3),IF($F$3="(todos)",TRUE,'ORDENES'!$V100=$F$3),'ORDENES'!$AA100=TRUE),'ORDENES'!$C100&amp;" | "&amp;'ORDENES'!$R100&amp;" | "&amp;IF('ORDENES'!$AB100="","(sin técnico)",'ORDENES'!$AB100)&amp;" | "&amp;'ORDENES'!$E100&amp;" ("&amp;'ORDENES'!$L100&amp;" h)","")</f>
        <v/>
      </c>
    </row>
    <row r="105">
      <c r="K105" s="3">
        <f>IF(AND(IF($B$3="(todos)",TRUE,'ORDENES'!$O101=$B$3),IF($D$3="(todos)",TRUE,'ORDENES'!$AC101=$D$3),IF($F$3="(todos)",TRUE,'ORDENES'!$V101=$F$3),'ORDENES'!$AA101=TRUE),'ORDENES'!$C101&amp;" | "&amp;'ORDENES'!$R101&amp;" | "&amp;IF('ORDENES'!$AB101="","(sin técnico)",'ORDENES'!$AB101)&amp;" | "&amp;'ORDENES'!$E101&amp;" ("&amp;'ORDENES'!$L101&amp;" h)","")</f>
        <v/>
      </c>
    </row>
    <row r="106">
      <c r="K106" s="3">
        <f>IF(AND(IF($B$3="(todos)",TRUE,'ORDENES'!$O102=$B$3),IF($D$3="(todos)",TRUE,'ORDENES'!$AC102=$D$3),IF($F$3="(todos)",TRUE,'ORDENES'!$V102=$F$3),'ORDENES'!$AA102=TRUE),'ORDENES'!$C102&amp;" | "&amp;'ORDENES'!$R102&amp;" | "&amp;IF('ORDENES'!$AB102="","(sin técnico)",'ORDENES'!$AB102)&amp;" | "&amp;'ORDENES'!$E102&amp;" ("&amp;'ORDENES'!$L102&amp;" h)","")</f>
        <v/>
      </c>
    </row>
    <row r="107">
      <c r="K107" s="3">
        <f>IF(AND(IF($B$3="(todos)",TRUE,'ORDENES'!$O103=$B$3),IF($D$3="(todos)",TRUE,'ORDENES'!$AC103=$D$3),IF($F$3="(todos)",TRUE,'ORDENES'!$V103=$F$3),'ORDENES'!$AA103=TRUE),'ORDENES'!$C103&amp;" | "&amp;'ORDENES'!$R103&amp;" | "&amp;IF('ORDENES'!$AB103="","(sin técnico)",'ORDENES'!$AB103)&amp;" | "&amp;'ORDENES'!$E103&amp;" ("&amp;'ORDENES'!$L103&amp;" h)","")</f>
        <v/>
      </c>
    </row>
    <row r="108">
      <c r="K108" s="3">
        <f>IF(AND(IF($B$3="(todos)",TRUE,'ORDENES'!$O104=$B$3),IF($D$3="(todos)",TRUE,'ORDENES'!$AC104=$D$3),IF($F$3="(todos)",TRUE,'ORDENES'!$V104=$F$3),'ORDENES'!$AA104=TRUE),'ORDENES'!$C104&amp;" | "&amp;'ORDENES'!$R104&amp;" | "&amp;IF('ORDENES'!$AB104="","(sin técnico)",'ORDENES'!$AB104)&amp;" | "&amp;'ORDENES'!$E104&amp;" ("&amp;'ORDENES'!$L104&amp;" h)","")</f>
        <v/>
      </c>
    </row>
    <row r="109">
      <c r="K109" s="3">
        <f>IF(AND(IF($B$3="(todos)",TRUE,'ORDENES'!$O105=$B$3),IF($D$3="(todos)",TRUE,'ORDENES'!$AC105=$D$3),IF($F$3="(todos)",TRUE,'ORDENES'!$V105=$F$3),'ORDENES'!$AA105=TRUE),'ORDENES'!$C105&amp;" | "&amp;'ORDENES'!$R105&amp;" | "&amp;IF('ORDENES'!$AB105="","(sin técnico)",'ORDENES'!$AB105)&amp;" | "&amp;'ORDENES'!$E105&amp;" ("&amp;'ORDENES'!$L105&amp;" h)","")</f>
        <v/>
      </c>
    </row>
    <row r="110">
      <c r="K110" s="3">
        <f>IF(AND(IF($B$3="(todos)",TRUE,'ORDENES'!$O106=$B$3),IF($D$3="(todos)",TRUE,'ORDENES'!$AC106=$D$3),IF($F$3="(todos)",TRUE,'ORDENES'!$V106=$F$3),'ORDENES'!$AA106=TRUE),'ORDENES'!$C106&amp;" | "&amp;'ORDENES'!$R106&amp;" | "&amp;IF('ORDENES'!$AB106="","(sin técnico)",'ORDENES'!$AB106)&amp;" | "&amp;'ORDENES'!$E106&amp;" ("&amp;'ORDENES'!$L106&amp;" h)","")</f>
        <v/>
      </c>
    </row>
    <row r="111">
      <c r="K111" s="3">
        <f>IF(AND(IF($B$3="(todos)",TRUE,'ORDENES'!$O107=$B$3),IF($D$3="(todos)",TRUE,'ORDENES'!$AC107=$D$3),IF($F$3="(todos)",TRUE,'ORDENES'!$V107=$F$3),'ORDENES'!$AA107=TRUE),'ORDENES'!$C107&amp;" | "&amp;'ORDENES'!$R107&amp;" | "&amp;IF('ORDENES'!$AB107="","(sin técnico)",'ORDENES'!$AB107)&amp;" | "&amp;'ORDENES'!$E107&amp;" ("&amp;'ORDENES'!$L107&amp;" h)","")</f>
        <v/>
      </c>
    </row>
    <row r="112">
      <c r="K112" s="3">
        <f>IF(AND(IF($B$3="(todos)",TRUE,'ORDENES'!$O108=$B$3),IF($D$3="(todos)",TRUE,'ORDENES'!$AC108=$D$3),IF($F$3="(todos)",TRUE,'ORDENES'!$V108=$F$3),'ORDENES'!$AA108=TRUE),'ORDENES'!$C108&amp;" | "&amp;'ORDENES'!$R108&amp;" | "&amp;IF('ORDENES'!$AB108="","(sin técnico)",'ORDENES'!$AB108)&amp;" | "&amp;'ORDENES'!$E108&amp;" ("&amp;'ORDENES'!$L108&amp;" h)","")</f>
        <v/>
      </c>
    </row>
    <row r="113">
      <c r="K113" s="3">
        <f>IF(AND(IF($B$3="(todos)",TRUE,'ORDENES'!$O109=$B$3),IF($D$3="(todos)",TRUE,'ORDENES'!$AC109=$D$3),IF($F$3="(todos)",TRUE,'ORDENES'!$V109=$F$3),'ORDENES'!$AA109=TRUE),'ORDENES'!$C109&amp;" | "&amp;'ORDENES'!$R109&amp;" | "&amp;IF('ORDENES'!$AB109="","(sin técnico)",'ORDENES'!$AB109)&amp;" | "&amp;'ORDENES'!$E109&amp;" ("&amp;'ORDENES'!$L109&amp;" h)","")</f>
        <v/>
      </c>
    </row>
    <row r="114">
      <c r="K114" s="3">
        <f>IF(AND(IF($B$3="(todos)",TRUE,'ORDENES'!$O110=$B$3),IF($D$3="(todos)",TRUE,'ORDENES'!$AC110=$D$3),IF($F$3="(todos)",TRUE,'ORDENES'!$V110=$F$3),'ORDENES'!$AA110=TRUE),'ORDENES'!$C110&amp;" | "&amp;'ORDENES'!$R110&amp;" | "&amp;IF('ORDENES'!$AB110="","(sin técnico)",'ORDENES'!$AB110)&amp;" | "&amp;'ORDENES'!$E110&amp;" ("&amp;'ORDENES'!$L110&amp;" h)","")</f>
        <v/>
      </c>
    </row>
    <row r="115">
      <c r="K115" s="3">
        <f>IF(AND(IF($B$3="(todos)",TRUE,'ORDENES'!$O111=$B$3),IF($D$3="(todos)",TRUE,'ORDENES'!$AC111=$D$3),IF($F$3="(todos)",TRUE,'ORDENES'!$V111=$F$3),'ORDENES'!$AA111=TRUE),'ORDENES'!$C111&amp;" | "&amp;'ORDENES'!$R111&amp;" | "&amp;IF('ORDENES'!$AB111="","(sin técnico)",'ORDENES'!$AB111)&amp;" | "&amp;'ORDENES'!$E111&amp;" ("&amp;'ORDENES'!$L111&amp;" h)","")</f>
        <v/>
      </c>
    </row>
    <row r="116">
      <c r="K116" s="3">
        <f>IF(AND(IF($B$3="(todos)",TRUE,'ORDENES'!$O112=$B$3),IF($D$3="(todos)",TRUE,'ORDENES'!$AC112=$D$3),IF($F$3="(todos)",TRUE,'ORDENES'!$V112=$F$3),'ORDENES'!$AA112=TRUE),'ORDENES'!$C112&amp;" | "&amp;'ORDENES'!$R112&amp;" | "&amp;IF('ORDENES'!$AB112="","(sin técnico)",'ORDENES'!$AB112)&amp;" | "&amp;'ORDENES'!$E112&amp;" ("&amp;'ORDENES'!$L112&amp;" h)","")</f>
        <v/>
      </c>
    </row>
    <row r="117">
      <c r="K117" s="3">
        <f>IF(AND(IF($B$3="(todos)",TRUE,'ORDENES'!$O113=$B$3),IF($D$3="(todos)",TRUE,'ORDENES'!$AC113=$D$3),IF($F$3="(todos)",TRUE,'ORDENES'!$V113=$F$3),'ORDENES'!$AA113=TRUE),'ORDENES'!$C113&amp;" | "&amp;'ORDENES'!$R113&amp;" | "&amp;IF('ORDENES'!$AB113="","(sin técnico)",'ORDENES'!$AB113)&amp;" | "&amp;'ORDENES'!$E113&amp;" ("&amp;'ORDENES'!$L113&amp;" h)","")</f>
        <v/>
      </c>
    </row>
    <row r="118">
      <c r="K118" s="3">
        <f>IF(AND(IF($B$3="(todos)",TRUE,'ORDENES'!$O114=$B$3),IF($D$3="(todos)",TRUE,'ORDENES'!$AC114=$D$3),IF($F$3="(todos)",TRUE,'ORDENES'!$V114=$F$3),'ORDENES'!$AA114=TRUE),'ORDENES'!$C114&amp;" | "&amp;'ORDENES'!$R114&amp;" | "&amp;IF('ORDENES'!$AB114="","(sin técnico)",'ORDENES'!$AB114)&amp;" | "&amp;'ORDENES'!$E114&amp;" ("&amp;'ORDENES'!$L114&amp;" h)","")</f>
        <v/>
      </c>
    </row>
    <row r="119">
      <c r="K119" s="3">
        <f>IF(AND(IF($B$3="(todos)",TRUE,'ORDENES'!$O115=$B$3),IF($D$3="(todos)",TRUE,'ORDENES'!$AC115=$D$3),IF($F$3="(todos)",TRUE,'ORDENES'!$V115=$F$3),'ORDENES'!$AA115=TRUE),'ORDENES'!$C115&amp;" | "&amp;'ORDENES'!$R115&amp;" | "&amp;IF('ORDENES'!$AB115="","(sin técnico)",'ORDENES'!$AB115)&amp;" | "&amp;'ORDENES'!$E115&amp;" ("&amp;'ORDENES'!$L115&amp;" h)","")</f>
        <v/>
      </c>
    </row>
    <row r="120">
      <c r="K120" s="3">
        <f>IF(AND(IF($B$3="(todos)",TRUE,'ORDENES'!$O116=$B$3),IF($D$3="(todos)",TRUE,'ORDENES'!$AC116=$D$3),IF($F$3="(todos)",TRUE,'ORDENES'!$V116=$F$3),'ORDENES'!$AA116=TRUE),'ORDENES'!$C116&amp;" | "&amp;'ORDENES'!$R116&amp;" | "&amp;IF('ORDENES'!$AB116="","(sin técnico)",'ORDENES'!$AB116)&amp;" | "&amp;'ORDENES'!$E116&amp;" ("&amp;'ORDENES'!$L116&amp;" h)","")</f>
        <v/>
      </c>
    </row>
    <row r="121">
      <c r="K121" s="3">
        <f>IF(AND(IF($B$3="(todos)",TRUE,'ORDENES'!$O117=$B$3),IF($D$3="(todos)",TRUE,'ORDENES'!$AC117=$D$3),IF($F$3="(todos)",TRUE,'ORDENES'!$V117=$F$3),'ORDENES'!$AA117=TRUE),'ORDENES'!$C117&amp;" | "&amp;'ORDENES'!$R117&amp;" | "&amp;IF('ORDENES'!$AB117="","(sin técnico)",'ORDENES'!$AB117)&amp;" | "&amp;'ORDENES'!$E117&amp;" ("&amp;'ORDENES'!$L117&amp;" h)","")</f>
        <v/>
      </c>
    </row>
    <row r="122">
      <c r="K122" s="3">
        <f>IF(AND(IF($B$3="(todos)",TRUE,'ORDENES'!$O118=$B$3),IF($D$3="(todos)",TRUE,'ORDENES'!$AC118=$D$3),IF($F$3="(todos)",TRUE,'ORDENES'!$V118=$F$3),'ORDENES'!$AA118=TRUE),'ORDENES'!$C118&amp;" | "&amp;'ORDENES'!$R118&amp;" | "&amp;IF('ORDENES'!$AB118="","(sin técnico)",'ORDENES'!$AB118)&amp;" | "&amp;'ORDENES'!$E118&amp;" ("&amp;'ORDENES'!$L118&amp;" h)","")</f>
        <v/>
      </c>
    </row>
    <row r="123">
      <c r="K123" s="3">
        <f>IF(AND(IF($B$3="(todos)",TRUE,'ORDENES'!$O119=$B$3),IF($D$3="(todos)",TRUE,'ORDENES'!$AC119=$D$3),IF($F$3="(todos)",TRUE,'ORDENES'!$V119=$F$3),'ORDENES'!$AA119=TRUE),'ORDENES'!$C119&amp;" | "&amp;'ORDENES'!$R119&amp;" | "&amp;IF('ORDENES'!$AB119="","(sin técnico)",'ORDENES'!$AB119)&amp;" | "&amp;'ORDENES'!$E119&amp;" ("&amp;'ORDENES'!$L119&amp;" h)","")</f>
        <v/>
      </c>
    </row>
    <row r="124">
      <c r="K124" s="3">
        <f>IF(AND(IF($B$3="(todos)",TRUE,'ORDENES'!$O120=$B$3),IF($D$3="(todos)",TRUE,'ORDENES'!$AC120=$D$3),IF($F$3="(todos)",TRUE,'ORDENES'!$V120=$F$3),'ORDENES'!$AA120=TRUE),'ORDENES'!$C120&amp;" | "&amp;'ORDENES'!$R120&amp;" | "&amp;IF('ORDENES'!$AB120="","(sin técnico)",'ORDENES'!$AB120)&amp;" | "&amp;'ORDENES'!$E120&amp;" ("&amp;'ORDENES'!$L120&amp;" h)","")</f>
        <v/>
      </c>
    </row>
    <row r="125">
      <c r="K125" s="3">
        <f>IF(AND(IF($B$3="(todos)",TRUE,'ORDENES'!$O121=$B$3),IF($D$3="(todos)",TRUE,'ORDENES'!$AC121=$D$3),IF($F$3="(todos)",TRUE,'ORDENES'!$V121=$F$3),'ORDENES'!$AA121=TRUE),'ORDENES'!$C121&amp;" | "&amp;'ORDENES'!$R121&amp;" | "&amp;IF('ORDENES'!$AB121="","(sin técnico)",'ORDENES'!$AB121)&amp;" | "&amp;'ORDENES'!$E121&amp;" ("&amp;'ORDENES'!$L121&amp;" h)","")</f>
        <v/>
      </c>
    </row>
    <row r="126">
      <c r="K126" s="3">
        <f>IF(AND(IF($B$3="(todos)",TRUE,'ORDENES'!$O122=$B$3),IF($D$3="(todos)",TRUE,'ORDENES'!$AC122=$D$3),IF($F$3="(todos)",TRUE,'ORDENES'!$V122=$F$3),'ORDENES'!$AA122=TRUE),'ORDENES'!$C122&amp;" | "&amp;'ORDENES'!$R122&amp;" | "&amp;IF('ORDENES'!$AB122="","(sin técnico)",'ORDENES'!$AB122)&amp;" | "&amp;'ORDENES'!$E122&amp;" ("&amp;'ORDENES'!$L122&amp;" h)","")</f>
        <v/>
      </c>
    </row>
    <row r="127">
      <c r="K127" s="3">
        <f>IF(AND(IF($B$3="(todos)",TRUE,'ORDENES'!$O123=$B$3),IF($D$3="(todos)",TRUE,'ORDENES'!$AC123=$D$3),IF($F$3="(todos)",TRUE,'ORDENES'!$V123=$F$3),'ORDENES'!$AA123=TRUE),'ORDENES'!$C123&amp;" | "&amp;'ORDENES'!$R123&amp;" | "&amp;IF('ORDENES'!$AB123="","(sin técnico)",'ORDENES'!$AB123)&amp;" | "&amp;'ORDENES'!$E123&amp;" ("&amp;'ORDENES'!$L123&amp;" h)","")</f>
        <v/>
      </c>
    </row>
    <row r="128">
      <c r="K128" s="3">
        <f>IF(AND(IF($B$3="(todos)",TRUE,'ORDENES'!$O124=$B$3),IF($D$3="(todos)",TRUE,'ORDENES'!$AC124=$D$3),IF($F$3="(todos)",TRUE,'ORDENES'!$V124=$F$3),'ORDENES'!$AA124=TRUE),'ORDENES'!$C124&amp;" | "&amp;'ORDENES'!$R124&amp;" | "&amp;IF('ORDENES'!$AB124="","(sin técnico)",'ORDENES'!$AB124)&amp;" | "&amp;'ORDENES'!$E124&amp;" ("&amp;'ORDENES'!$L124&amp;" h)","")</f>
        <v/>
      </c>
    </row>
    <row r="129">
      <c r="K129" s="3">
        <f>IF(AND(IF($B$3="(todos)",TRUE,'ORDENES'!$O125=$B$3),IF($D$3="(todos)",TRUE,'ORDENES'!$AC125=$D$3),IF($F$3="(todos)",TRUE,'ORDENES'!$V125=$F$3),'ORDENES'!$AA125=TRUE),'ORDENES'!$C125&amp;" | "&amp;'ORDENES'!$R125&amp;" | "&amp;IF('ORDENES'!$AB125="","(sin técnico)",'ORDENES'!$AB125)&amp;" | "&amp;'ORDENES'!$E125&amp;" ("&amp;'ORDENES'!$L125&amp;" h)","")</f>
        <v/>
      </c>
    </row>
    <row r="130">
      <c r="K130" s="3">
        <f>IF(AND(IF($B$3="(todos)",TRUE,'ORDENES'!$O126=$B$3),IF($D$3="(todos)",TRUE,'ORDENES'!$AC126=$D$3),IF($F$3="(todos)",TRUE,'ORDENES'!$V126=$F$3),'ORDENES'!$AA126=TRUE),'ORDENES'!$C126&amp;" | "&amp;'ORDENES'!$R126&amp;" | "&amp;IF('ORDENES'!$AB126="","(sin técnico)",'ORDENES'!$AB126)&amp;" | "&amp;'ORDENES'!$E126&amp;" ("&amp;'ORDENES'!$L126&amp;" h)","")</f>
        <v/>
      </c>
    </row>
    <row r="131">
      <c r="K131" s="3">
        <f>IF(AND(IF($B$3="(todos)",TRUE,'ORDENES'!$O127=$B$3),IF($D$3="(todos)",TRUE,'ORDENES'!$AC127=$D$3),IF($F$3="(todos)",TRUE,'ORDENES'!$V127=$F$3),'ORDENES'!$AA127=TRUE),'ORDENES'!$C127&amp;" | "&amp;'ORDENES'!$R127&amp;" | "&amp;IF('ORDENES'!$AB127="","(sin técnico)",'ORDENES'!$AB127)&amp;" | "&amp;'ORDENES'!$E127&amp;" ("&amp;'ORDENES'!$L127&amp;" h)","")</f>
        <v/>
      </c>
    </row>
    <row r="132">
      <c r="K132" s="3">
        <f>IF(AND(IF($B$3="(todos)",TRUE,'ORDENES'!$O128=$B$3),IF($D$3="(todos)",TRUE,'ORDENES'!$AC128=$D$3),IF($F$3="(todos)",TRUE,'ORDENES'!$V128=$F$3),'ORDENES'!$AA128=TRUE),'ORDENES'!$C128&amp;" | "&amp;'ORDENES'!$R128&amp;" | "&amp;IF('ORDENES'!$AB128="","(sin técnico)",'ORDENES'!$AB128)&amp;" | "&amp;'ORDENES'!$E128&amp;" ("&amp;'ORDENES'!$L128&amp;" h)","")</f>
        <v/>
      </c>
    </row>
    <row r="133">
      <c r="K133" s="3">
        <f>IF(AND(IF($B$3="(todos)",TRUE,'ORDENES'!$O129=$B$3),IF($D$3="(todos)",TRUE,'ORDENES'!$AC129=$D$3),IF($F$3="(todos)",TRUE,'ORDENES'!$V129=$F$3),'ORDENES'!$AA129=TRUE),'ORDENES'!$C129&amp;" | "&amp;'ORDENES'!$R129&amp;" | "&amp;IF('ORDENES'!$AB129="","(sin técnico)",'ORDENES'!$AB129)&amp;" | "&amp;'ORDENES'!$E129&amp;" ("&amp;'ORDENES'!$L129&amp;" h)","")</f>
        <v/>
      </c>
    </row>
    <row r="134">
      <c r="K134" s="3">
        <f>IF(AND(IF($B$3="(todos)",TRUE,'ORDENES'!$O130=$B$3),IF($D$3="(todos)",TRUE,'ORDENES'!$AC130=$D$3),IF($F$3="(todos)",TRUE,'ORDENES'!$V130=$F$3),'ORDENES'!$AA130=TRUE),'ORDENES'!$C130&amp;" | "&amp;'ORDENES'!$R130&amp;" | "&amp;IF('ORDENES'!$AB130="","(sin técnico)",'ORDENES'!$AB130)&amp;" | "&amp;'ORDENES'!$E130&amp;" ("&amp;'ORDENES'!$L130&amp;" h)","")</f>
        <v/>
      </c>
    </row>
    <row r="135">
      <c r="K135" s="3">
        <f>IF(AND(IF($B$3="(todos)",TRUE,'ORDENES'!$O131=$B$3),IF($D$3="(todos)",TRUE,'ORDENES'!$AC131=$D$3),IF($F$3="(todos)",TRUE,'ORDENES'!$V131=$F$3),'ORDENES'!$AA131=TRUE),'ORDENES'!$C131&amp;" | "&amp;'ORDENES'!$R131&amp;" | "&amp;IF('ORDENES'!$AB131="","(sin técnico)",'ORDENES'!$AB131)&amp;" | "&amp;'ORDENES'!$E131&amp;" ("&amp;'ORDENES'!$L131&amp;" h)","")</f>
        <v/>
      </c>
    </row>
    <row r="136">
      <c r="K136" s="3">
        <f>IF(AND(IF($B$3="(todos)",TRUE,'ORDENES'!$O132=$B$3),IF($D$3="(todos)",TRUE,'ORDENES'!$AC132=$D$3),IF($F$3="(todos)",TRUE,'ORDENES'!$V132=$F$3),'ORDENES'!$AA132=TRUE),'ORDENES'!$C132&amp;" | "&amp;'ORDENES'!$R132&amp;" | "&amp;IF('ORDENES'!$AB132="","(sin técnico)",'ORDENES'!$AB132)&amp;" | "&amp;'ORDENES'!$E132&amp;" ("&amp;'ORDENES'!$L132&amp;" h)","")</f>
        <v/>
      </c>
    </row>
    <row r="137">
      <c r="K137" s="3">
        <f>IF(AND(IF($B$3="(todos)",TRUE,'ORDENES'!$O133=$B$3),IF($D$3="(todos)",TRUE,'ORDENES'!$AC133=$D$3),IF($F$3="(todos)",TRUE,'ORDENES'!$V133=$F$3),'ORDENES'!$AA133=TRUE),'ORDENES'!$C133&amp;" | "&amp;'ORDENES'!$R133&amp;" | "&amp;IF('ORDENES'!$AB133="","(sin técnico)",'ORDENES'!$AB133)&amp;" | "&amp;'ORDENES'!$E133&amp;" ("&amp;'ORDENES'!$L133&amp;" h)","")</f>
        <v/>
      </c>
    </row>
    <row r="138">
      <c r="K138" s="3">
        <f>IF(AND(IF($B$3="(todos)",TRUE,'ORDENES'!$O134=$B$3),IF($D$3="(todos)",TRUE,'ORDENES'!$AC134=$D$3),IF($F$3="(todos)",TRUE,'ORDENES'!$V134=$F$3),'ORDENES'!$AA134=TRUE),'ORDENES'!$C134&amp;" | "&amp;'ORDENES'!$R134&amp;" | "&amp;IF('ORDENES'!$AB134="","(sin técnico)",'ORDENES'!$AB134)&amp;" | "&amp;'ORDENES'!$E134&amp;" ("&amp;'ORDENES'!$L134&amp;" h)","")</f>
        <v/>
      </c>
    </row>
    <row r="139">
      <c r="K139" s="3">
        <f>IF(AND(IF($B$3="(todos)",TRUE,'ORDENES'!$O135=$B$3),IF($D$3="(todos)",TRUE,'ORDENES'!$AC135=$D$3),IF($F$3="(todos)",TRUE,'ORDENES'!$V135=$F$3),'ORDENES'!$AA135=TRUE),'ORDENES'!$C135&amp;" | "&amp;'ORDENES'!$R135&amp;" | "&amp;IF('ORDENES'!$AB135="","(sin técnico)",'ORDENES'!$AB135)&amp;" | "&amp;'ORDENES'!$E135&amp;" ("&amp;'ORDENES'!$L135&amp;" h)","")</f>
        <v/>
      </c>
    </row>
    <row r="140">
      <c r="K140" s="3">
        <f>IF(AND(IF($B$3="(todos)",TRUE,'ORDENES'!$O136=$B$3),IF($D$3="(todos)",TRUE,'ORDENES'!$AC136=$D$3),IF($F$3="(todos)",TRUE,'ORDENES'!$V136=$F$3),'ORDENES'!$AA136=TRUE),'ORDENES'!$C136&amp;" | "&amp;'ORDENES'!$R136&amp;" | "&amp;IF('ORDENES'!$AB136="","(sin técnico)",'ORDENES'!$AB136)&amp;" | "&amp;'ORDENES'!$E136&amp;" ("&amp;'ORDENES'!$L136&amp;" h)","")</f>
        <v/>
      </c>
    </row>
    <row r="141">
      <c r="K141" s="3">
        <f>IF(AND(IF($B$3="(todos)",TRUE,'ORDENES'!$O137=$B$3),IF($D$3="(todos)",TRUE,'ORDENES'!$AC137=$D$3),IF($F$3="(todos)",TRUE,'ORDENES'!$V137=$F$3),'ORDENES'!$AA137=TRUE),'ORDENES'!$C137&amp;" | "&amp;'ORDENES'!$R137&amp;" | "&amp;IF('ORDENES'!$AB137="","(sin técnico)",'ORDENES'!$AB137)&amp;" | "&amp;'ORDENES'!$E137&amp;" ("&amp;'ORDENES'!$L137&amp;" h)","")</f>
        <v/>
      </c>
    </row>
    <row r="142">
      <c r="K142" s="3">
        <f>IF(AND(IF($B$3="(todos)",TRUE,'ORDENES'!$O138=$B$3),IF($D$3="(todos)",TRUE,'ORDENES'!$AC138=$D$3),IF($F$3="(todos)",TRUE,'ORDENES'!$V138=$F$3),'ORDENES'!$AA138=TRUE),'ORDENES'!$C138&amp;" | "&amp;'ORDENES'!$R138&amp;" | "&amp;IF('ORDENES'!$AB138="","(sin técnico)",'ORDENES'!$AB138)&amp;" | "&amp;'ORDENES'!$E138&amp;" ("&amp;'ORDENES'!$L138&amp;" h)","")</f>
        <v/>
      </c>
    </row>
    <row r="143">
      <c r="K143" s="3">
        <f>IF(AND(IF($B$3="(todos)",TRUE,'ORDENES'!$O139=$B$3),IF($D$3="(todos)",TRUE,'ORDENES'!$AC139=$D$3),IF($F$3="(todos)",TRUE,'ORDENES'!$V139=$F$3),'ORDENES'!$AA139=TRUE),'ORDENES'!$C139&amp;" | "&amp;'ORDENES'!$R139&amp;" | "&amp;IF('ORDENES'!$AB139="","(sin técnico)",'ORDENES'!$AB139)&amp;" | "&amp;'ORDENES'!$E139&amp;" ("&amp;'ORDENES'!$L139&amp;" h)","")</f>
        <v/>
      </c>
    </row>
    <row r="144">
      <c r="K144" s="3">
        <f>IF(AND(IF($B$3="(todos)",TRUE,'ORDENES'!$O140=$B$3),IF($D$3="(todos)",TRUE,'ORDENES'!$AC140=$D$3),IF($F$3="(todos)",TRUE,'ORDENES'!$V140=$F$3),'ORDENES'!$AA140=TRUE),'ORDENES'!$C140&amp;" | "&amp;'ORDENES'!$R140&amp;" | "&amp;IF('ORDENES'!$AB140="","(sin técnico)",'ORDENES'!$AB140)&amp;" | "&amp;'ORDENES'!$E140&amp;" ("&amp;'ORDENES'!$L140&amp;" h)","")</f>
        <v/>
      </c>
    </row>
    <row r="145">
      <c r="K145" s="3">
        <f>IF(AND(IF($B$3="(todos)",TRUE,'ORDENES'!$O141=$B$3),IF($D$3="(todos)",TRUE,'ORDENES'!$AC141=$D$3),IF($F$3="(todos)",TRUE,'ORDENES'!$V141=$F$3),'ORDENES'!$AA141=TRUE),'ORDENES'!$C141&amp;" | "&amp;'ORDENES'!$R141&amp;" | "&amp;IF('ORDENES'!$AB141="","(sin técnico)",'ORDENES'!$AB141)&amp;" | "&amp;'ORDENES'!$E141&amp;" ("&amp;'ORDENES'!$L141&amp;" h)","")</f>
        <v/>
      </c>
    </row>
    <row r="146">
      <c r="K146" s="3">
        <f>IF(AND(IF($B$3="(todos)",TRUE,'ORDENES'!$O142=$B$3),IF($D$3="(todos)",TRUE,'ORDENES'!$AC142=$D$3),IF($F$3="(todos)",TRUE,'ORDENES'!$V142=$F$3),'ORDENES'!$AA142=TRUE),'ORDENES'!$C142&amp;" | "&amp;'ORDENES'!$R142&amp;" | "&amp;IF('ORDENES'!$AB142="","(sin técnico)",'ORDENES'!$AB142)&amp;" | "&amp;'ORDENES'!$E142&amp;" ("&amp;'ORDENES'!$L142&amp;" h)","")</f>
        <v/>
      </c>
    </row>
    <row r="147">
      <c r="K147" s="3">
        <f>IF(AND(IF($B$3="(todos)",TRUE,'ORDENES'!$O143=$B$3),IF($D$3="(todos)",TRUE,'ORDENES'!$AC143=$D$3),IF($F$3="(todos)",TRUE,'ORDENES'!$V143=$F$3),'ORDENES'!$AA143=TRUE),'ORDENES'!$C143&amp;" | "&amp;'ORDENES'!$R143&amp;" | "&amp;IF('ORDENES'!$AB143="","(sin técnico)",'ORDENES'!$AB143)&amp;" | "&amp;'ORDENES'!$E143&amp;" ("&amp;'ORDENES'!$L143&amp;" h)","")</f>
        <v/>
      </c>
    </row>
    <row r="148">
      <c r="K148" s="3">
        <f>IF(AND(IF($B$3="(todos)",TRUE,'ORDENES'!$O144=$B$3),IF($D$3="(todos)",TRUE,'ORDENES'!$AC144=$D$3),IF($F$3="(todos)",TRUE,'ORDENES'!$V144=$F$3),'ORDENES'!$AA144=TRUE),'ORDENES'!$C144&amp;" | "&amp;'ORDENES'!$R144&amp;" | "&amp;IF('ORDENES'!$AB144="","(sin técnico)",'ORDENES'!$AB144)&amp;" | "&amp;'ORDENES'!$E144&amp;" ("&amp;'ORDENES'!$L144&amp;" h)","")</f>
        <v/>
      </c>
    </row>
    <row r="149">
      <c r="K149" s="3">
        <f>IF(AND(IF($B$3="(todos)",TRUE,'ORDENES'!$O145=$B$3),IF($D$3="(todos)",TRUE,'ORDENES'!$AC145=$D$3),IF($F$3="(todos)",TRUE,'ORDENES'!$V145=$F$3),'ORDENES'!$AA145=TRUE),'ORDENES'!$C145&amp;" | "&amp;'ORDENES'!$R145&amp;" | "&amp;IF('ORDENES'!$AB145="","(sin técnico)",'ORDENES'!$AB145)&amp;" | "&amp;'ORDENES'!$E145&amp;" ("&amp;'ORDENES'!$L145&amp;" h)","")</f>
        <v/>
      </c>
    </row>
    <row r="150">
      <c r="K150" s="3">
        <f>IF(AND(IF($B$3="(todos)",TRUE,'ORDENES'!$O146=$B$3),IF($D$3="(todos)",TRUE,'ORDENES'!$AC146=$D$3),IF($F$3="(todos)",TRUE,'ORDENES'!$V146=$F$3),'ORDENES'!$AA146=TRUE),'ORDENES'!$C146&amp;" | "&amp;'ORDENES'!$R146&amp;" | "&amp;IF('ORDENES'!$AB146="","(sin técnico)",'ORDENES'!$AB146)&amp;" | "&amp;'ORDENES'!$E146&amp;" ("&amp;'ORDENES'!$L146&amp;" h)","")</f>
        <v/>
      </c>
    </row>
    <row r="151">
      <c r="K151" s="3">
        <f>IF(AND(IF($B$3="(todos)",TRUE,'ORDENES'!$O147=$B$3),IF($D$3="(todos)",TRUE,'ORDENES'!$AC147=$D$3),IF($F$3="(todos)",TRUE,'ORDENES'!$V147=$F$3),'ORDENES'!$AA147=TRUE),'ORDENES'!$C147&amp;" | "&amp;'ORDENES'!$R147&amp;" | "&amp;IF('ORDENES'!$AB147="","(sin técnico)",'ORDENES'!$AB147)&amp;" | "&amp;'ORDENES'!$E147&amp;" ("&amp;'ORDENES'!$L147&amp;" h)","")</f>
        <v/>
      </c>
    </row>
    <row r="152">
      <c r="K152" s="3">
        <f>IF(AND(IF($B$3="(todos)",TRUE,'ORDENES'!$O148=$B$3),IF($D$3="(todos)",TRUE,'ORDENES'!$AC148=$D$3),IF($F$3="(todos)",TRUE,'ORDENES'!$V148=$F$3),'ORDENES'!$AA148=TRUE),'ORDENES'!$C148&amp;" | "&amp;'ORDENES'!$R148&amp;" | "&amp;IF('ORDENES'!$AB148="","(sin técnico)",'ORDENES'!$AB148)&amp;" | "&amp;'ORDENES'!$E148&amp;" ("&amp;'ORDENES'!$L148&amp;" h)","")</f>
        <v/>
      </c>
    </row>
    <row r="153">
      <c r="K153" s="3">
        <f>IF(AND(IF($B$3="(todos)",TRUE,'ORDENES'!$O149=$B$3),IF($D$3="(todos)",TRUE,'ORDENES'!$AC149=$D$3),IF($F$3="(todos)",TRUE,'ORDENES'!$V149=$F$3),'ORDENES'!$AA149=TRUE),'ORDENES'!$C149&amp;" | "&amp;'ORDENES'!$R149&amp;" | "&amp;IF('ORDENES'!$AB149="","(sin técnico)",'ORDENES'!$AB149)&amp;" | "&amp;'ORDENES'!$E149&amp;" ("&amp;'ORDENES'!$L149&amp;" h)","")</f>
        <v/>
      </c>
    </row>
    <row r="154">
      <c r="K154" s="3">
        <f>IF(AND(IF($B$3="(todos)",TRUE,'ORDENES'!$O150=$B$3),IF($D$3="(todos)",TRUE,'ORDENES'!$AC150=$D$3),IF($F$3="(todos)",TRUE,'ORDENES'!$V150=$F$3),'ORDENES'!$AA150=TRUE),'ORDENES'!$C150&amp;" | "&amp;'ORDENES'!$R150&amp;" | "&amp;IF('ORDENES'!$AB150="","(sin técnico)",'ORDENES'!$AB150)&amp;" | "&amp;'ORDENES'!$E150&amp;" ("&amp;'ORDENES'!$L150&amp;" h)","")</f>
        <v/>
      </c>
    </row>
    <row r="155">
      <c r="K155" s="3">
        <f>IF(AND(IF($B$3="(todos)",TRUE,'ORDENES'!$O151=$B$3),IF($D$3="(todos)",TRUE,'ORDENES'!$AC151=$D$3),IF($F$3="(todos)",TRUE,'ORDENES'!$V151=$F$3),'ORDENES'!$AA151=TRUE),'ORDENES'!$C151&amp;" | "&amp;'ORDENES'!$R151&amp;" | "&amp;IF('ORDENES'!$AB151="","(sin técnico)",'ORDENES'!$AB151)&amp;" | "&amp;'ORDENES'!$E151&amp;" ("&amp;'ORDENES'!$L151&amp;" h)","")</f>
        <v/>
      </c>
    </row>
    <row r="156">
      <c r="K156" s="3">
        <f>IF(AND(IF($B$3="(todos)",TRUE,'ORDENES'!$O152=$B$3),IF($D$3="(todos)",TRUE,'ORDENES'!$AC152=$D$3),IF($F$3="(todos)",TRUE,'ORDENES'!$V152=$F$3),'ORDENES'!$AA152=TRUE),'ORDENES'!$C152&amp;" | "&amp;'ORDENES'!$R152&amp;" | "&amp;IF('ORDENES'!$AB152="","(sin técnico)",'ORDENES'!$AB152)&amp;" | "&amp;'ORDENES'!$E152&amp;" ("&amp;'ORDENES'!$L152&amp;" h)","")</f>
        <v/>
      </c>
    </row>
    <row r="157">
      <c r="K157" s="3">
        <f>IF(AND(IF($B$3="(todos)",TRUE,'ORDENES'!$O153=$B$3),IF($D$3="(todos)",TRUE,'ORDENES'!$AC153=$D$3),IF($F$3="(todos)",TRUE,'ORDENES'!$V153=$F$3),'ORDENES'!$AA153=TRUE),'ORDENES'!$C153&amp;" | "&amp;'ORDENES'!$R153&amp;" | "&amp;IF('ORDENES'!$AB153="","(sin técnico)",'ORDENES'!$AB153)&amp;" | "&amp;'ORDENES'!$E153&amp;" ("&amp;'ORDENES'!$L153&amp;" h)","")</f>
        <v/>
      </c>
    </row>
    <row r="158">
      <c r="K158" s="3">
        <f>IF(AND(IF($B$3="(todos)",TRUE,'ORDENES'!$O154=$B$3),IF($D$3="(todos)",TRUE,'ORDENES'!$AC154=$D$3),IF($F$3="(todos)",TRUE,'ORDENES'!$V154=$F$3),'ORDENES'!$AA154=TRUE),'ORDENES'!$C154&amp;" | "&amp;'ORDENES'!$R154&amp;" | "&amp;IF('ORDENES'!$AB154="","(sin técnico)",'ORDENES'!$AB154)&amp;" | "&amp;'ORDENES'!$E154&amp;" ("&amp;'ORDENES'!$L154&amp;" h)","")</f>
        <v/>
      </c>
    </row>
    <row r="159">
      <c r="K159" s="3">
        <f>IF(AND(IF($B$3="(todos)",TRUE,'ORDENES'!$O155=$B$3),IF($D$3="(todos)",TRUE,'ORDENES'!$AC155=$D$3),IF($F$3="(todos)",TRUE,'ORDENES'!$V155=$F$3),'ORDENES'!$AA155=TRUE),'ORDENES'!$C155&amp;" | "&amp;'ORDENES'!$R155&amp;" | "&amp;IF('ORDENES'!$AB155="","(sin técnico)",'ORDENES'!$AB155)&amp;" | "&amp;'ORDENES'!$E155&amp;" ("&amp;'ORDENES'!$L155&amp;" h)","")</f>
        <v/>
      </c>
    </row>
    <row r="160">
      <c r="K160" s="3">
        <f>IF(AND(IF($B$3="(todos)",TRUE,'ORDENES'!$O156=$B$3),IF($D$3="(todos)",TRUE,'ORDENES'!$AC156=$D$3),IF($F$3="(todos)",TRUE,'ORDENES'!$V156=$F$3),'ORDENES'!$AA156=TRUE),'ORDENES'!$C156&amp;" | "&amp;'ORDENES'!$R156&amp;" | "&amp;IF('ORDENES'!$AB156="","(sin técnico)",'ORDENES'!$AB156)&amp;" | "&amp;'ORDENES'!$E156&amp;" ("&amp;'ORDENES'!$L156&amp;" h)","")</f>
        <v/>
      </c>
    </row>
    <row r="161">
      <c r="K161" s="3">
        <f>IF(AND(IF($B$3="(todos)",TRUE,'ORDENES'!$O157=$B$3),IF($D$3="(todos)",TRUE,'ORDENES'!$AC157=$D$3),IF($F$3="(todos)",TRUE,'ORDENES'!$V157=$F$3),'ORDENES'!$AA157=TRUE),'ORDENES'!$C157&amp;" | "&amp;'ORDENES'!$R157&amp;" | "&amp;IF('ORDENES'!$AB157="","(sin técnico)",'ORDENES'!$AB157)&amp;" | "&amp;'ORDENES'!$E157&amp;" ("&amp;'ORDENES'!$L157&amp;" h)","")</f>
        <v/>
      </c>
    </row>
    <row r="162">
      <c r="K162" s="3">
        <f>IF(AND(IF($B$3="(todos)",TRUE,'ORDENES'!$O158=$B$3),IF($D$3="(todos)",TRUE,'ORDENES'!$AC158=$D$3),IF($F$3="(todos)",TRUE,'ORDENES'!$V158=$F$3),'ORDENES'!$AA158=TRUE),'ORDENES'!$C158&amp;" | "&amp;'ORDENES'!$R158&amp;" | "&amp;IF('ORDENES'!$AB158="","(sin técnico)",'ORDENES'!$AB158)&amp;" | "&amp;'ORDENES'!$E158&amp;" ("&amp;'ORDENES'!$L158&amp;" h)","")</f>
        <v/>
      </c>
    </row>
    <row r="163">
      <c r="K163" s="3">
        <f>IF(AND(IF($B$3="(todos)",TRUE,'ORDENES'!$O159=$B$3),IF($D$3="(todos)",TRUE,'ORDENES'!$AC159=$D$3),IF($F$3="(todos)",TRUE,'ORDENES'!$V159=$F$3),'ORDENES'!$AA159=TRUE),'ORDENES'!$C159&amp;" | "&amp;'ORDENES'!$R159&amp;" | "&amp;IF('ORDENES'!$AB159="","(sin técnico)",'ORDENES'!$AB159)&amp;" | "&amp;'ORDENES'!$E159&amp;" ("&amp;'ORDENES'!$L159&amp;" h)","")</f>
        <v/>
      </c>
    </row>
    <row r="164">
      <c r="K164" s="3">
        <f>IF(AND(IF($B$3="(todos)",TRUE,'ORDENES'!$O160=$B$3),IF($D$3="(todos)",TRUE,'ORDENES'!$AC160=$D$3),IF($F$3="(todos)",TRUE,'ORDENES'!$V160=$F$3),'ORDENES'!$AA160=TRUE),'ORDENES'!$C160&amp;" | "&amp;'ORDENES'!$R160&amp;" | "&amp;IF('ORDENES'!$AB160="","(sin técnico)",'ORDENES'!$AB160)&amp;" | "&amp;'ORDENES'!$E160&amp;" ("&amp;'ORDENES'!$L160&amp;" h)","")</f>
        <v/>
      </c>
    </row>
    <row r="165">
      <c r="K165" s="3">
        <f>IF(AND(IF($B$3="(todos)",TRUE,'ORDENES'!$O161=$B$3),IF($D$3="(todos)",TRUE,'ORDENES'!$AC161=$D$3),IF($F$3="(todos)",TRUE,'ORDENES'!$V161=$F$3),'ORDENES'!$AA161=TRUE),'ORDENES'!$C161&amp;" | "&amp;'ORDENES'!$R161&amp;" | "&amp;IF('ORDENES'!$AB161="","(sin técnico)",'ORDENES'!$AB161)&amp;" | "&amp;'ORDENES'!$E161&amp;" ("&amp;'ORDENES'!$L161&amp;" h)","")</f>
        <v/>
      </c>
    </row>
    <row r="166">
      <c r="K166" s="3">
        <f>IF(AND(IF($B$3="(todos)",TRUE,'ORDENES'!$O162=$B$3),IF($D$3="(todos)",TRUE,'ORDENES'!$AC162=$D$3),IF($F$3="(todos)",TRUE,'ORDENES'!$V162=$F$3),'ORDENES'!$AA162=TRUE),'ORDENES'!$C162&amp;" | "&amp;'ORDENES'!$R162&amp;" | "&amp;IF('ORDENES'!$AB162="","(sin técnico)",'ORDENES'!$AB162)&amp;" | "&amp;'ORDENES'!$E162&amp;" ("&amp;'ORDENES'!$L162&amp;" h)","")</f>
        <v/>
      </c>
    </row>
    <row r="167">
      <c r="K167" s="3">
        <f>IF(AND(IF($B$3="(todos)",TRUE,'ORDENES'!$O163=$B$3),IF($D$3="(todos)",TRUE,'ORDENES'!$AC163=$D$3),IF($F$3="(todos)",TRUE,'ORDENES'!$V163=$F$3),'ORDENES'!$AA163=TRUE),'ORDENES'!$C163&amp;" | "&amp;'ORDENES'!$R163&amp;" | "&amp;IF('ORDENES'!$AB163="","(sin técnico)",'ORDENES'!$AB163)&amp;" | "&amp;'ORDENES'!$E163&amp;" ("&amp;'ORDENES'!$L163&amp;" h)","")</f>
        <v/>
      </c>
    </row>
    <row r="168">
      <c r="K168" s="3">
        <f>IF(AND(IF($B$3="(todos)",TRUE,'ORDENES'!$O164=$B$3),IF($D$3="(todos)",TRUE,'ORDENES'!$AC164=$D$3),IF($F$3="(todos)",TRUE,'ORDENES'!$V164=$F$3),'ORDENES'!$AA164=TRUE),'ORDENES'!$C164&amp;" | "&amp;'ORDENES'!$R164&amp;" | "&amp;IF('ORDENES'!$AB164="","(sin técnico)",'ORDENES'!$AB164)&amp;" | "&amp;'ORDENES'!$E164&amp;" ("&amp;'ORDENES'!$L164&amp;" h)","")</f>
        <v/>
      </c>
    </row>
    <row r="169">
      <c r="K169" s="3">
        <f>IF(AND(IF($B$3="(todos)",TRUE,'ORDENES'!$O165=$B$3),IF($D$3="(todos)",TRUE,'ORDENES'!$AC165=$D$3),IF($F$3="(todos)",TRUE,'ORDENES'!$V165=$F$3),'ORDENES'!$AA165=TRUE),'ORDENES'!$C165&amp;" | "&amp;'ORDENES'!$R165&amp;" | "&amp;IF('ORDENES'!$AB165="","(sin técnico)",'ORDENES'!$AB165)&amp;" | "&amp;'ORDENES'!$E165&amp;" ("&amp;'ORDENES'!$L165&amp;" h)","")</f>
        <v/>
      </c>
    </row>
    <row r="170">
      <c r="K170" s="3">
        <f>IF(AND(IF($B$3="(todos)",TRUE,'ORDENES'!$O166=$B$3),IF($D$3="(todos)",TRUE,'ORDENES'!$AC166=$D$3),IF($F$3="(todos)",TRUE,'ORDENES'!$V166=$F$3),'ORDENES'!$AA166=TRUE),'ORDENES'!$C166&amp;" | "&amp;'ORDENES'!$R166&amp;" | "&amp;IF('ORDENES'!$AB166="","(sin técnico)",'ORDENES'!$AB166)&amp;" | "&amp;'ORDENES'!$E166&amp;" ("&amp;'ORDENES'!$L166&amp;" h)","")</f>
        <v/>
      </c>
    </row>
    <row r="171">
      <c r="K171" s="3">
        <f>IF(AND(IF($B$3="(todos)",TRUE,'ORDENES'!$O167=$B$3),IF($D$3="(todos)",TRUE,'ORDENES'!$AC167=$D$3),IF($F$3="(todos)",TRUE,'ORDENES'!$V167=$F$3),'ORDENES'!$AA167=TRUE),'ORDENES'!$C167&amp;" | "&amp;'ORDENES'!$R167&amp;" | "&amp;IF('ORDENES'!$AB167="","(sin técnico)",'ORDENES'!$AB167)&amp;" | "&amp;'ORDENES'!$E167&amp;" ("&amp;'ORDENES'!$L167&amp;" h)","")</f>
        <v/>
      </c>
    </row>
    <row r="172">
      <c r="K172" s="3">
        <f>IF(AND(IF($B$3="(todos)",TRUE,'ORDENES'!$O168=$B$3),IF($D$3="(todos)",TRUE,'ORDENES'!$AC168=$D$3),IF($F$3="(todos)",TRUE,'ORDENES'!$V168=$F$3),'ORDENES'!$AA168=TRUE),'ORDENES'!$C168&amp;" | "&amp;'ORDENES'!$R168&amp;" | "&amp;IF('ORDENES'!$AB168="","(sin técnico)",'ORDENES'!$AB168)&amp;" | "&amp;'ORDENES'!$E168&amp;" ("&amp;'ORDENES'!$L168&amp;" h)","")</f>
        <v/>
      </c>
    </row>
    <row r="173">
      <c r="K173" s="3">
        <f>IF(AND(IF($B$3="(todos)",TRUE,'ORDENES'!$O169=$B$3),IF($D$3="(todos)",TRUE,'ORDENES'!$AC169=$D$3),IF($F$3="(todos)",TRUE,'ORDENES'!$V169=$F$3),'ORDENES'!$AA169=TRUE),'ORDENES'!$C169&amp;" | "&amp;'ORDENES'!$R169&amp;" | "&amp;IF('ORDENES'!$AB169="","(sin técnico)",'ORDENES'!$AB169)&amp;" | "&amp;'ORDENES'!$E169&amp;" ("&amp;'ORDENES'!$L169&amp;" h)","")</f>
        <v/>
      </c>
    </row>
    <row r="174">
      <c r="K174" s="3">
        <f>IF(AND(IF($B$3="(todos)",TRUE,'ORDENES'!$O170=$B$3),IF($D$3="(todos)",TRUE,'ORDENES'!$AC170=$D$3),IF($F$3="(todos)",TRUE,'ORDENES'!$V170=$F$3),'ORDENES'!$AA170=TRUE),'ORDENES'!$C170&amp;" | "&amp;'ORDENES'!$R170&amp;" | "&amp;IF('ORDENES'!$AB170="","(sin técnico)",'ORDENES'!$AB170)&amp;" | "&amp;'ORDENES'!$E170&amp;" ("&amp;'ORDENES'!$L170&amp;" h)","")</f>
        <v/>
      </c>
    </row>
    <row r="175">
      <c r="K175" s="3">
        <f>IF(AND(IF($B$3="(todos)",TRUE,'ORDENES'!$O171=$B$3),IF($D$3="(todos)",TRUE,'ORDENES'!$AC171=$D$3),IF($F$3="(todos)",TRUE,'ORDENES'!$V171=$F$3),'ORDENES'!$AA171=TRUE),'ORDENES'!$C171&amp;" | "&amp;'ORDENES'!$R171&amp;" | "&amp;IF('ORDENES'!$AB171="","(sin técnico)",'ORDENES'!$AB171)&amp;" | "&amp;'ORDENES'!$E171&amp;" ("&amp;'ORDENES'!$L171&amp;" h)","")</f>
        <v/>
      </c>
    </row>
    <row r="176">
      <c r="K176" s="3">
        <f>IF(AND(IF($B$3="(todos)",TRUE,'ORDENES'!$O172=$B$3),IF($D$3="(todos)",TRUE,'ORDENES'!$AC172=$D$3),IF($F$3="(todos)",TRUE,'ORDENES'!$V172=$F$3),'ORDENES'!$AA172=TRUE),'ORDENES'!$C172&amp;" | "&amp;'ORDENES'!$R172&amp;" | "&amp;IF('ORDENES'!$AB172="","(sin técnico)",'ORDENES'!$AB172)&amp;" | "&amp;'ORDENES'!$E172&amp;" ("&amp;'ORDENES'!$L172&amp;" h)","")</f>
        <v/>
      </c>
    </row>
    <row r="177">
      <c r="K177" s="3">
        <f>IF(AND(IF($B$3="(todos)",TRUE,'ORDENES'!$O173=$B$3),IF($D$3="(todos)",TRUE,'ORDENES'!$AC173=$D$3),IF($F$3="(todos)",TRUE,'ORDENES'!$V173=$F$3),'ORDENES'!$AA173=TRUE),'ORDENES'!$C173&amp;" | "&amp;'ORDENES'!$R173&amp;" | "&amp;IF('ORDENES'!$AB173="","(sin técnico)",'ORDENES'!$AB173)&amp;" | "&amp;'ORDENES'!$E173&amp;" ("&amp;'ORDENES'!$L173&amp;" h)","")</f>
        <v/>
      </c>
    </row>
    <row r="178">
      <c r="K178" s="3">
        <f>IF(AND(IF($B$3="(todos)",TRUE,'ORDENES'!$O174=$B$3),IF($D$3="(todos)",TRUE,'ORDENES'!$AC174=$D$3),IF($F$3="(todos)",TRUE,'ORDENES'!$V174=$F$3),'ORDENES'!$AA174=TRUE),'ORDENES'!$C174&amp;" | "&amp;'ORDENES'!$R174&amp;" | "&amp;IF('ORDENES'!$AB174="","(sin técnico)",'ORDENES'!$AB174)&amp;" | "&amp;'ORDENES'!$E174&amp;" ("&amp;'ORDENES'!$L174&amp;" h)","")</f>
        <v/>
      </c>
    </row>
    <row r="179">
      <c r="K179" s="3">
        <f>IF(AND(IF($B$3="(todos)",TRUE,'ORDENES'!$O175=$B$3),IF($D$3="(todos)",TRUE,'ORDENES'!$AC175=$D$3),IF($F$3="(todos)",TRUE,'ORDENES'!$V175=$F$3),'ORDENES'!$AA175=TRUE),'ORDENES'!$C175&amp;" | "&amp;'ORDENES'!$R175&amp;" | "&amp;IF('ORDENES'!$AB175="","(sin técnico)",'ORDENES'!$AB175)&amp;" | "&amp;'ORDENES'!$E175&amp;" ("&amp;'ORDENES'!$L175&amp;" h)","")</f>
        <v/>
      </c>
    </row>
    <row r="180">
      <c r="K180" s="3">
        <f>IF(AND(IF($B$3="(todos)",TRUE,'ORDENES'!$O176=$B$3),IF($D$3="(todos)",TRUE,'ORDENES'!$AC176=$D$3),IF($F$3="(todos)",TRUE,'ORDENES'!$V176=$F$3),'ORDENES'!$AA176=TRUE),'ORDENES'!$C176&amp;" | "&amp;'ORDENES'!$R176&amp;" | "&amp;IF('ORDENES'!$AB176="","(sin técnico)",'ORDENES'!$AB176)&amp;" | "&amp;'ORDENES'!$E176&amp;" ("&amp;'ORDENES'!$L176&amp;" h)","")</f>
        <v/>
      </c>
    </row>
    <row r="181">
      <c r="K181" s="3">
        <f>IF(AND(IF($B$3="(todos)",TRUE,'ORDENES'!$O177=$B$3),IF($D$3="(todos)",TRUE,'ORDENES'!$AC177=$D$3),IF($F$3="(todos)",TRUE,'ORDENES'!$V177=$F$3),'ORDENES'!$AA177=TRUE),'ORDENES'!$C177&amp;" | "&amp;'ORDENES'!$R177&amp;" | "&amp;IF('ORDENES'!$AB177="","(sin técnico)",'ORDENES'!$AB177)&amp;" | "&amp;'ORDENES'!$E177&amp;" ("&amp;'ORDENES'!$L177&amp;" h)","")</f>
        <v/>
      </c>
    </row>
    <row r="182">
      <c r="K182" s="3">
        <f>IF(AND(IF($B$3="(todos)",TRUE,'ORDENES'!$O178=$B$3),IF($D$3="(todos)",TRUE,'ORDENES'!$AC178=$D$3),IF($F$3="(todos)",TRUE,'ORDENES'!$V178=$F$3),'ORDENES'!$AA178=TRUE),'ORDENES'!$C178&amp;" | "&amp;'ORDENES'!$R178&amp;" | "&amp;IF('ORDENES'!$AB178="","(sin técnico)",'ORDENES'!$AB178)&amp;" | "&amp;'ORDENES'!$E178&amp;" ("&amp;'ORDENES'!$L178&amp;" h)","")</f>
        <v/>
      </c>
    </row>
    <row r="183">
      <c r="K183" s="3">
        <f>IF(AND(IF($B$3="(todos)",TRUE,'ORDENES'!$O179=$B$3),IF($D$3="(todos)",TRUE,'ORDENES'!$AC179=$D$3),IF($F$3="(todos)",TRUE,'ORDENES'!$V179=$F$3),'ORDENES'!$AA179=TRUE),'ORDENES'!$C179&amp;" | "&amp;'ORDENES'!$R179&amp;" | "&amp;IF('ORDENES'!$AB179="","(sin técnico)",'ORDENES'!$AB179)&amp;" | "&amp;'ORDENES'!$E179&amp;" ("&amp;'ORDENES'!$L179&amp;" h)","")</f>
        <v/>
      </c>
    </row>
    <row r="184">
      <c r="K184" s="3">
        <f>IF(AND(IF($B$3="(todos)",TRUE,'ORDENES'!$O180=$B$3),IF($D$3="(todos)",TRUE,'ORDENES'!$AC180=$D$3),IF($F$3="(todos)",TRUE,'ORDENES'!$V180=$F$3),'ORDENES'!$AA180=TRUE),'ORDENES'!$C180&amp;" | "&amp;'ORDENES'!$R180&amp;" | "&amp;IF('ORDENES'!$AB180="","(sin técnico)",'ORDENES'!$AB180)&amp;" | "&amp;'ORDENES'!$E180&amp;" ("&amp;'ORDENES'!$L180&amp;" h)","")</f>
        <v/>
      </c>
    </row>
    <row r="185">
      <c r="K185" s="3">
        <f>IF(AND(IF($B$3="(todos)",TRUE,'ORDENES'!$O181=$B$3),IF($D$3="(todos)",TRUE,'ORDENES'!$AC181=$D$3),IF($F$3="(todos)",TRUE,'ORDENES'!$V181=$F$3),'ORDENES'!$AA181=TRUE),'ORDENES'!$C181&amp;" | "&amp;'ORDENES'!$R181&amp;" | "&amp;IF('ORDENES'!$AB181="","(sin técnico)",'ORDENES'!$AB181)&amp;" | "&amp;'ORDENES'!$E181&amp;" ("&amp;'ORDENES'!$L181&amp;" h)","")</f>
        <v/>
      </c>
    </row>
    <row r="186">
      <c r="K186" s="3">
        <f>IF(AND(IF($B$3="(todos)",TRUE,'ORDENES'!$O182=$B$3),IF($D$3="(todos)",TRUE,'ORDENES'!$AC182=$D$3),IF($F$3="(todos)",TRUE,'ORDENES'!$V182=$F$3),'ORDENES'!$AA182=TRUE),'ORDENES'!$C182&amp;" | "&amp;'ORDENES'!$R182&amp;" | "&amp;IF('ORDENES'!$AB182="","(sin técnico)",'ORDENES'!$AB182)&amp;" | "&amp;'ORDENES'!$E182&amp;" ("&amp;'ORDENES'!$L182&amp;" h)","")</f>
        <v/>
      </c>
    </row>
    <row r="187">
      <c r="K187" s="3">
        <f>IF(AND(IF($B$3="(todos)",TRUE,'ORDENES'!$O183=$B$3),IF($D$3="(todos)",TRUE,'ORDENES'!$AC183=$D$3),IF($F$3="(todos)",TRUE,'ORDENES'!$V183=$F$3),'ORDENES'!$AA183=TRUE),'ORDENES'!$C183&amp;" | "&amp;'ORDENES'!$R183&amp;" | "&amp;IF('ORDENES'!$AB183="","(sin técnico)",'ORDENES'!$AB183)&amp;" | "&amp;'ORDENES'!$E183&amp;" ("&amp;'ORDENES'!$L183&amp;" h)","")</f>
        <v/>
      </c>
    </row>
    <row r="188">
      <c r="K188" s="3">
        <f>IF(AND(IF($B$3="(todos)",TRUE,'ORDENES'!$O184=$B$3),IF($D$3="(todos)",TRUE,'ORDENES'!$AC184=$D$3),IF($F$3="(todos)",TRUE,'ORDENES'!$V184=$F$3),'ORDENES'!$AA184=TRUE),'ORDENES'!$C184&amp;" | "&amp;'ORDENES'!$R184&amp;" | "&amp;IF('ORDENES'!$AB184="","(sin técnico)",'ORDENES'!$AB184)&amp;" | "&amp;'ORDENES'!$E184&amp;" ("&amp;'ORDENES'!$L184&amp;" h)","")</f>
        <v/>
      </c>
    </row>
    <row r="189">
      <c r="K189" s="3">
        <f>IF(AND(IF($B$3="(todos)",TRUE,'ORDENES'!$O185=$B$3),IF($D$3="(todos)",TRUE,'ORDENES'!$AC185=$D$3),IF($F$3="(todos)",TRUE,'ORDENES'!$V185=$F$3),'ORDENES'!$AA185=TRUE),'ORDENES'!$C185&amp;" | "&amp;'ORDENES'!$R185&amp;" | "&amp;IF('ORDENES'!$AB185="","(sin técnico)",'ORDENES'!$AB185)&amp;" | "&amp;'ORDENES'!$E185&amp;" ("&amp;'ORDENES'!$L185&amp;" h)","")</f>
        <v/>
      </c>
    </row>
    <row r="190">
      <c r="K190" s="3">
        <f>IF(AND(IF($B$3="(todos)",TRUE,'ORDENES'!$O186=$B$3),IF($D$3="(todos)",TRUE,'ORDENES'!$AC186=$D$3),IF($F$3="(todos)",TRUE,'ORDENES'!$V186=$F$3),'ORDENES'!$AA186=TRUE),'ORDENES'!$C186&amp;" | "&amp;'ORDENES'!$R186&amp;" | "&amp;IF('ORDENES'!$AB186="","(sin técnico)",'ORDENES'!$AB186)&amp;" | "&amp;'ORDENES'!$E186&amp;" ("&amp;'ORDENES'!$L186&amp;" h)","")</f>
        <v/>
      </c>
    </row>
    <row r="191">
      <c r="K191" s="3">
        <f>IF(AND(IF($B$3="(todos)",TRUE,'ORDENES'!$O187=$B$3),IF($D$3="(todos)",TRUE,'ORDENES'!$AC187=$D$3),IF($F$3="(todos)",TRUE,'ORDENES'!$V187=$F$3),'ORDENES'!$AA187=TRUE),'ORDENES'!$C187&amp;" | "&amp;'ORDENES'!$R187&amp;" | "&amp;IF('ORDENES'!$AB187="","(sin técnico)",'ORDENES'!$AB187)&amp;" | "&amp;'ORDENES'!$E187&amp;" ("&amp;'ORDENES'!$L187&amp;" h)","")</f>
        <v/>
      </c>
    </row>
    <row r="192">
      <c r="K192" s="3">
        <f>IF(AND(IF($B$3="(todos)",TRUE,'ORDENES'!$O188=$B$3),IF($D$3="(todos)",TRUE,'ORDENES'!$AC188=$D$3),IF($F$3="(todos)",TRUE,'ORDENES'!$V188=$F$3),'ORDENES'!$AA188=TRUE),'ORDENES'!$C188&amp;" | "&amp;'ORDENES'!$R188&amp;" | "&amp;IF('ORDENES'!$AB188="","(sin técnico)",'ORDENES'!$AB188)&amp;" | "&amp;'ORDENES'!$E188&amp;" ("&amp;'ORDENES'!$L188&amp;" h)","")</f>
        <v/>
      </c>
    </row>
    <row r="193">
      <c r="K193" s="3">
        <f>IF(AND(IF($B$3="(todos)",TRUE,'ORDENES'!$O189=$B$3),IF($D$3="(todos)",TRUE,'ORDENES'!$AC189=$D$3),IF($F$3="(todos)",TRUE,'ORDENES'!$V189=$F$3),'ORDENES'!$AA189=TRUE),'ORDENES'!$C189&amp;" | "&amp;'ORDENES'!$R189&amp;" | "&amp;IF('ORDENES'!$AB189="","(sin técnico)",'ORDENES'!$AB189)&amp;" | "&amp;'ORDENES'!$E189&amp;" ("&amp;'ORDENES'!$L189&amp;" h)","")</f>
        <v/>
      </c>
    </row>
    <row r="194">
      <c r="K194" s="3">
        <f>IF(AND(IF($B$3="(todos)",TRUE,'ORDENES'!$O190=$B$3),IF($D$3="(todos)",TRUE,'ORDENES'!$AC190=$D$3),IF($F$3="(todos)",TRUE,'ORDENES'!$V190=$F$3),'ORDENES'!$AA190=TRUE),'ORDENES'!$C190&amp;" | "&amp;'ORDENES'!$R190&amp;" | "&amp;IF('ORDENES'!$AB190="","(sin técnico)",'ORDENES'!$AB190)&amp;" | "&amp;'ORDENES'!$E190&amp;" ("&amp;'ORDENES'!$L190&amp;" h)","")</f>
        <v/>
      </c>
    </row>
    <row r="195">
      <c r="K195" s="3">
        <f>IF(AND(IF($B$3="(todos)",TRUE,'ORDENES'!$O191=$B$3),IF($D$3="(todos)",TRUE,'ORDENES'!$AC191=$D$3),IF($F$3="(todos)",TRUE,'ORDENES'!$V191=$F$3),'ORDENES'!$AA191=TRUE),'ORDENES'!$C191&amp;" | "&amp;'ORDENES'!$R191&amp;" | "&amp;IF('ORDENES'!$AB191="","(sin técnico)",'ORDENES'!$AB191)&amp;" | "&amp;'ORDENES'!$E191&amp;" ("&amp;'ORDENES'!$L191&amp;" h)","")</f>
        <v/>
      </c>
    </row>
    <row r="196">
      <c r="K196" s="3">
        <f>IF(AND(IF($B$3="(todos)",TRUE,'ORDENES'!$O192=$B$3),IF($D$3="(todos)",TRUE,'ORDENES'!$AC192=$D$3),IF($F$3="(todos)",TRUE,'ORDENES'!$V192=$F$3),'ORDENES'!$AA192=TRUE),'ORDENES'!$C192&amp;" | "&amp;'ORDENES'!$R192&amp;" | "&amp;IF('ORDENES'!$AB192="","(sin técnico)",'ORDENES'!$AB192)&amp;" | "&amp;'ORDENES'!$E192&amp;" ("&amp;'ORDENES'!$L192&amp;" h)","")</f>
        <v/>
      </c>
    </row>
    <row r="197">
      <c r="K197" s="3">
        <f>IF(AND(IF($B$3="(todos)",TRUE,'ORDENES'!$O193=$B$3),IF($D$3="(todos)",TRUE,'ORDENES'!$AC193=$D$3),IF($F$3="(todos)",TRUE,'ORDENES'!$V193=$F$3),'ORDENES'!$AA193=TRUE),'ORDENES'!$C193&amp;" | "&amp;'ORDENES'!$R193&amp;" | "&amp;IF('ORDENES'!$AB193="","(sin técnico)",'ORDENES'!$AB193)&amp;" | "&amp;'ORDENES'!$E193&amp;" ("&amp;'ORDENES'!$L193&amp;" h)","")</f>
        <v/>
      </c>
    </row>
    <row r="198">
      <c r="K198" s="3">
        <f>IF(AND(IF($B$3="(todos)",TRUE,'ORDENES'!$O194=$B$3),IF($D$3="(todos)",TRUE,'ORDENES'!$AC194=$D$3),IF($F$3="(todos)",TRUE,'ORDENES'!$V194=$F$3),'ORDENES'!$AA194=TRUE),'ORDENES'!$C194&amp;" | "&amp;'ORDENES'!$R194&amp;" | "&amp;IF('ORDENES'!$AB194="","(sin técnico)",'ORDENES'!$AB194)&amp;" | "&amp;'ORDENES'!$E194&amp;" ("&amp;'ORDENES'!$L194&amp;" h)","")</f>
        <v/>
      </c>
    </row>
    <row r="199">
      <c r="K199" s="3">
        <f>IF(AND(IF($B$3="(todos)",TRUE,'ORDENES'!$O195=$B$3),IF($D$3="(todos)",TRUE,'ORDENES'!$AC195=$D$3),IF($F$3="(todos)",TRUE,'ORDENES'!$V195=$F$3),'ORDENES'!$AA195=TRUE),'ORDENES'!$C195&amp;" | "&amp;'ORDENES'!$R195&amp;" | "&amp;IF('ORDENES'!$AB195="","(sin técnico)",'ORDENES'!$AB195)&amp;" | "&amp;'ORDENES'!$E195&amp;" ("&amp;'ORDENES'!$L195&amp;" h)","")</f>
        <v/>
      </c>
    </row>
    <row r="200">
      <c r="K200" s="3">
        <f>IF(AND(IF($B$3="(todos)",TRUE,'ORDENES'!$O196=$B$3),IF($D$3="(todos)",TRUE,'ORDENES'!$AC196=$D$3),IF($F$3="(todos)",TRUE,'ORDENES'!$V196=$F$3),'ORDENES'!$AA196=TRUE),'ORDENES'!$C196&amp;" | "&amp;'ORDENES'!$R196&amp;" | "&amp;IF('ORDENES'!$AB196="","(sin técnico)",'ORDENES'!$AB196)&amp;" | "&amp;'ORDENES'!$E196&amp;" ("&amp;'ORDENES'!$L196&amp;" h)","")</f>
        <v/>
      </c>
    </row>
    <row r="201">
      <c r="K201" s="3">
        <f>IF(AND(IF($B$3="(todos)",TRUE,'ORDENES'!$O197=$B$3),IF($D$3="(todos)",TRUE,'ORDENES'!$AC197=$D$3),IF($F$3="(todos)",TRUE,'ORDENES'!$V197=$F$3),'ORDENES'!$AA197=TRUE),'ORDENES'!$C197&amp;" | "&amp;'ORDENES'!$R197&amp;" | "&amp;IF('ORDENES'!$AB197="","(sin técnico)",'ORDENES'!$AB197)&amp;" | "&amp;'ORDENES'!$E197&amp;" ("&amp;'ORDENES'!$L197&amp;" h)","")</f>
        <v/>
      </c>
    </row>
    <row r="202">
      <c r="K202" s="3">
        <f>IF(AND(IF($B$3="(todos)",TRUE,'ORDENES'!$O198=$B$3),IF($D$3="(todos)",TRUE,'ORDENES'!$AC198=$D$3),IF($F$3="(todos)",TRUE,'ORDENES'!$V198=$F$3),'ORDENES'!$AA198=TRUE),'ORDENES'!$C198&amp;" | "&amp;'ORDENES'!$R198&amp;" | "&amp;IF('ORDENES'!$AB198="","(sin técnico)",'ORDENES'!$AB198)&amp;" | "&amp;'ORDENES'!$E198&amp;" ("&amp;'ORDENES'!$L198&amp;" h)","")</f>
        <v/>
      </c>
    </row>
    <row r="203">
      <c r="K203" s="3">
        <f>IF(AND(IF($B$3="(todos)",TRUE,'ORDENES'!$O199=$B$3),IF($D$3="(todos)",TRUE,'ORDENES'!$AC199=$D$3),IF($F$3="(todos)",TRUE,'ORDENES'!$V199=$F$3),'ORDENES'!$AA199=TRUE),'ORDENES'!$C199&amp;" | "&amp;'ORDENES'!$R199&amp;" | "&amp;IF('ORDENES'!$AB199="","(sin técnico)",'ORDENES'!$AB199)&amp;" | "&amp;'ORDENES'!$E199&amp;" ("&amp;'ORDENES'!$L199&amp;" h)","")</f>
        <v/>
      </c>
    </row>
    <row r="204">
      <c r="K204" s="3">
        <f>IF(AND(IF($B$3="(todos)",TRUE,'ORDENES'!$O200=$B$3),IF($D$3="(todos)",TRUE,'ORDENES'!$AC200=$D$3),IF($F$3="(todos)",TRUE,'ORDENES'!$V200=$F$3),'ORDENES'!$AA200=TRUE),'ORDENES'!$C200&amp;" | "&amp;'ORDENES'!$R200&amp;" | "&amp;IF('ORDENES'!$AB200="","(sin técnico)",'ORDENES'!$AB200)&amp;" | "&amp;'ORDENES'!$E200&amp;" ("&amp;'ORDENES'!$L200&amp;" h)","")</f>
        <v/>
      </c>
    </row>
    <row r="205">
      <c r="K205" s="3">
        <f>IF(AND(IF($B$3="(todos)",TRUE,'ORDENES'!$O201=$B$3),IF($D$3="(todos)",TRUE,'ORDENES'!$AC201=$D$3),IF($F$3="(todos)",TRUE,'ORDENES'!$V201=$F$3),'ORDENES'!$AA201=TRUE),'ORDENES'!$C201&amp;" | "&amp;'ORDENES'!$R201&amp;" | "&amp;IF('ORDENES'!$AB201="","(sin técnico)",'ORDENES'!$AB201)&amp;" | "&amp;'ORDENES'!$E201&amp;" ("&amp;'ORDENES'!$L201&amp;" h)","")</f>
        <v/>
      </c>
    </row>
    <row r="206">
      <c r="K206" s="3">
        <f>IF(AND(IF($B$3="(todos)",TRUE,'ORDENES'!$O202=$B$3),IF($D$3="(todos)",TRUE,'ORDENES'!$AC202=$D$3),IF($F$3="(todos)",TRUE,'ORDENES'!$V202=$F$3),'ORDENES'!$AA202=TRUE),'ORDENES'!$C202&amp;" | "&amp;'ORDENES'!$R202&amp;" | "&amp;IF('ORDENES'!$AB202="","(sin técnico)",'ORDENES'!$AB202)&amp;" | "&amp;'ORDENES'!$E202&amp;" ("&amp;'ORDENES'!$L202&amp;" h)","")</f>
        <v/>
      </c>
    </row>
    <row r="207">
      <c r="K207" s="3">
        <f>IF(AND(IF($B$3="(todos)",TRUE,'ORDENES'!$O203=$B$3),IF($D$3="(todos)",TRUE,'ORDENES'!$AC203=$D$3),IF($F$3="(todos)",TRUE,'ORDENES'!$V203=$F$3),'ORDENES'!$AA203=TRUE),'ORDENES'!$C203&amp;" | "&amp;'ORDENES'!$R203&amp;" | "&amp;IF('ORDENES'!$AB203="","(sin técnico)",'ORDENES'!$AB203)&amp;" | "&amp;'ORDENES'!$E203&amp;" ("&amp;'ORDENES'!$L203&amp;" h)","")</f>
        <v/>
      </c>
    </row>
  </sheetData>
  <mergeCells count="1">
    <mergeCell ref="A6:H40"/>
  </mergeCells>
  <dataValidations count="3">
    <dataValidation sqref="B3" showDropDown="0" showInputMessage="0" showErrorMessage="0" allowBlank="0" type="list">
      <formula1>"(todos),S29,S30,S31,S32"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19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19" t="inlineStr">
        <is>
          <t>XLOOKUP(XLOOKUP(tblOrdenes[[#This Row],[id_operacion]],tblEjecucion[id_operacion],tblEjecucion[estado_sistema],""),tblEstados[estado_sistema],tblEstados[estado_normalizado],"Pendiente")</t>
        </is>
      </c>
      <c r="C5" s="19" t="inlineStr">
        <is>
          <t>IFERROR(INDEX('CAT_ESTADOS_ERP'!$B$4:$B$7,MATCH(IFERROR(INDEX('2_IMPORTAR_EJECUCION'!$D$9:$D$171,MATCH('ORDENES'!$C$4,'2_IMPORTAR_EJECUCION'!$A$9:$A$171,0)),""),'CAT_ESTADOS_ERP'!$A$4:$A$7,0)),"Pendiente")</t>
        </is>
      </c>
      <c r="D5" s="3">
        <f>IFERROR(INDEX('CAT_ESTADOS_ERP'!$B$4:$B$7,MATCH(IFERROR(INDEX('2_IMPORTAR_EJECUCION'!$D$9:$D$171,MATCH('ORDENES'!$C$4,'2_IMPORTAR_EJECUCION'!$A$9:$A$171,0)),""),'CAT_ESTADOS_ERP'!$A$4:$A$7,0)),"Pendiente")</f>
        <v/>
      </c>
    </row>
    <row r="6">
      <c r="A6" s="3" t="inlineStr">
        <is>
          <t>clasificacion</t>
        </is>
      </c>
      <c r="B6" s="19" t="inlineStr">
        <is>
          <t>XLOOKUP(tblOrdenes[[#This Row],[tipo_ot]],tblTiposOT[codigo],tblTiposOT[clasificacion],"sin_clasificar")</t>
        </is>
      </c>
      <c r="C6" s="19" t="inlineStr">
        <is>
          <t>IFERROR(INDEX('CAT_TIPOS_OT'!$C$4:$C$7,MATCH('ORDENES'!$J$4,'CAT_TIPOS_OT'!$A$4:$A$7,0)),"sin_clasificar")</t>
        </is>
      </c>
      <c r="D6" s="3">
        <f>IFERROR(INDEX('CAT_TIPOS_OT'!$C$4:$C$7,MATCH('ORDENES'!$J$4,'CAT_TIPOS_OT'!$A$4:$A$7,0)),"sin_clasificar")</f>
        <v/>
      </c>
    </row>
    <row r="7">
      <c r="A7" s="3" t="inlineStr">
        <is>
          <t>linea</t>
        </is>
      </c>
      <c r="B7" s="19" t="inlineStr">
        <is>
          <t>XLOOKUP(tblOrdenes[[#This Row],[centro_costo]],tblCECO[codigo],tblCECO[linea],"(sin catálogo)")</t>
        </is>
      </c>
      <c r="C7" s="19" t="inlineStr">
        <is>
          <t>IFERROR(INDEX('CAT_CENTROS_COSTO'!$E$4:$E$9,MATCH('ORDENES'!$G$4,'CAT_CENTROS_COSTO'!$A$4:$A$9,0)),"(sin catálogo)")</t>
        </is>
      </c>
      <c r="D7" s="3">
        <f>IFERROR(INDEX('CAT_CENTROS_COSTO'!$E$4:$E$9,MATCH('ORDENES'!$G$4,'CAT_CENTROS_COSTO'!$A$4:$A$9,0)),"(sin catálogo)")</f>
        <v/>
      </c>
    </row>
    <row r="8">
      <c r="A8" s="3" t="inlineStr">
        <is>
          <t>area</t>
        </is>
      </c>
      <c r="B8" s="19" t="inlineStr">
        <is>
          <t>XLOOKUP(tblOrdenes[[#This Row],[centro_costo]],tblCECO[codigo],tblCECO[area],"(sin catálogo)")</t>
        </is>
      </c>
      <c r="C8" s="19" t="inlineStr">
        <is>
          <t>IFERROR(INDEX('CAT_CENTROS_COSTO'!$D$4:$D$9,MATCH('ORDENES'!$G$4,'CAT_CENTROS_COSTO'!$A$4:$A$9,0)),"(sin catálogo)")</t>
        </is>
      </c>
      <c r="D8" s="3">
        <f>IFERROR(INDEX('CAT_CENTROS_COSTO'!$D$4:$D$9,MATCH('ORDENES'!$G$4,'CAT_CENTROS_COSTO'!$A$4:$A$9,0)),"(sin catálogo)")</f>
        <v/>
      </c>
    </row>
    <row r="9">
      <c r="A9" s="3" t="inlineStr">
        <is>
          <t>coordinador</t>
        </is>
      </c>
      <c r="B9" s="19" t="inlineStr">
        <is>
          <t>XLOOKUP(tblOrdenes[[#This Row],[centro_costo]],tblCECO[codigo],tblCECO[coordinador],"(sin catálogo)")</t>
        </is>
      </c>
      <c r="C9" s="19" t="inlineStr">
        <is>
          <t>IFERROR(INDEX('CAT_CENTROS_COSTO'!$F$4:$F$9,MATCH('ORDENES'!$G$4,'CAT_CENTROS_COSTO'!$A$4:$A$9,0)),"(sin catálogo)")</t>
        </is>
      </c>
      <c r="D9" s="3">
        <f>IFERROR(INDEX('CAT_CENTROS_COSTO'!$F$4:$F$9,MATCH('ORDENES'!$G$4,'CAT_CENTROS_COSTO'!$A$4:$A$9,0)),"(sin catálogo)")</f>
        <v/>
      </c>
    </row>
    <row r="10">
      <c r="A10" s="3" t="inlineStr">
        <is>
          <t>especialidad</t>
        </is>
      </c>
      <c r="B10" s="19" t="inlineStr">
        <is>
          <t>XLOOKUP(tblOrdenes[[#This Row],[puesto_trabajo]],tblPuestos[codigo],tblPuestos[especialidad],"(sin catálogo)")</t>
        </is>
      </c>
      <c r="C10" s="19" t="inlineStr">
        <is>
          <t>IFERROR(INDEX('CAT_PUESTOS'!$B$4:$B$8,MATCH('ORDENES'!$H$4,'CAT_PUESTOS'!$A$4:$A$8,0)),"(sin catálogo)")</t>
        </is>
      </c>
      <c r="D10" s="3">
        <f>IFERROR(INDEX('CAT_PUESTOS'!$B$4:$B$8,MATCH('ORDENES'!$H$4,'CAT_PUESTOS'!$A$4:$A$8,0)),"(sin catálogo)")</f>
        <v/>
      </c>
    </row>
    <row r="11">
      <c r="A11" s="3" t="inlineStr">
        <is>
          <t>actividad</t>
        </is>
      </c>
      <c r="B11" s="19" t="inlineStr">
        <is>
          <t>XLOOKUP(tblOrdenes[[#This Row],[cod_actividad]],tblActividades[codigo],tblActividades[descripcion],"(sin catálogo)")</t>
        </is>
      </c>
      <c r="C11" s="19" t="inlineStr">
        <is>
          <t>IFERROR(INDEX('CAT_ACTIVIDADES'!$B$4:$B$8,MATCH('ORDENES'!$I$4,'CAT_ACTIVIDADES'!$A$4:$A$8,0)),"(sin catálogo)")</t>
        </is>
      </c>
      <c r="D11" s="3">
        <f>IFERROR(INDEX('CAT_ACTIVIDADES'!$B$4:$B$8,MATCH('ORDENES'!$I$4,'CAT_ACTIVIDADES'!$A$4:$A$8,0)),"(sin catálogo)")</f>
        <v/>
      </c>
    </row>
    <row r="12">
      <c r="A12" s="3" t="inlineStr">
        <is>
          <t>turno_asignado</t>
        </is>
      </c>
      <c r="B12" s="19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2" s="19" t="inlineStr">
        <is>
          <t>IF('ORDENES'!$AB$4="","",IFERROR(INDEX('ASIGNACIONES'!$F$4:$F$339,MATCH('ORDENES'!$O$4&amp;"|"&amp;'ORDENES'!$R$4&amp;"|"&amp;'ORDENES'!$AB$4,'ASIGNACIONES'!$I$4:$I$339,0)),""))</t>
        </is>
      </c>
      <c r="D12" s="3">
        <f>IF('ORDENES'!$AB$4="","",IFERROR(INDEX('ASIGNACIONES'!$F$4:$F$339,MATCH('ORDENES'!$O$4&amp;"|"&amp;'ORDENES'!$R$4&amp;"|"&amp;'ORDENES'!$AB$4,'ASIGNACIONES'!$I$4:$I$339,0)),""))</f>
        <v/>
      </c>
    </row>
    <row r="13">
      <c r="A13" s="3" t="inlineStr">
        <is>
          <t>costo_servicio</t>
        </is>
      </c>
      <c r="B13" s="19" t="inlineStr">
        <is>
          <t>XLOOKUP(tblOrdenes[[#This Row],[id_operacion]],tblEjecucion[id_operacion],tblEjecucion[precio],0)</t>
        </is>
      </c>
      <c r="C13" s="19" t="inlineStr">
        <is>
          <t>IFERROR(INDEX('2_IMPORTAR_EJECUCION'!$G$9:$G$171,MATCH('ORDENES'!$C$4,'2_IMPORTAR_EJECUCION'!$A$9:$A$171,0)),0)</t>
        </is>
      </c>
      <c r="D13" s="3">
        <f>IFERROR(INDEX('2_IMPORTAR_EJECUCION'!$G$9:$G$171,MATCH('ORDENES'!$C$4,'2_IMPORTAR_EJECUCION'!$A$9:$A$171,0)),0)</f>
        <v/>
      </c>
    </row>
    <row r="14">
      <c r="A14" s="3" t="inlineStr">
        <is>
          <t>costo_materiales</t>
        </is>
      </c>
      <c r="B14" s="19" t="inlineStr">
        <is>
          <t>MAX(0,XLOOKUP(tblOrdenes[[#This Row],[id_operacion]],tblEjecucion[id_operacion],tblEjecucion[costo_plan_total],0)-tblOrdenes[[#This Row],[costo_servicio]])</t>
        </is>
      </c>
      <c r="C14" s="19" t="inlineStr">
        <is>
          <t>MAX(0,IFERROR(INDEX('2_IMPORTAR_EJECUCION'!$I$9:$I$171,MATCH('ORDENES'!$C$4,'2_IMPORTAR_EJECUCION'!$A$9:$A$171,0)),0)-'ORDENES'!$AF$4)</t>
        </is>
      </c>
      <c r="D14" s="3">
        <f>MAX(0,IFERROR(INDEX('2_IMPORTAR_EJECUCION'!$I$9:$I$171,MATCH('ORDENES'!$C$4,'2_IMPORTAR_EJECUCION'!$A$9:$A$171,0)),0)-'ORDENES'!$AF$4)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2026-07-20T01:23:26Z</dcterms:created>
  <dcterms:modified xsi:type="dcterms:W3CDTF">2026-07-20T01:23:27Z</dcterms:modified>
</cp:coreProperties>
</file>