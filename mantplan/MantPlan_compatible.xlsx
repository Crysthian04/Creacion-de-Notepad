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EXPORTAR" sheetId="22" state="visible" r:id="rId22"/>
    <sheet name="_COMPATIBILIDAD" sheetId="23" state="visible" r:id="rId23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J339" headerRowCount="1">
  <autoFilter ref="A3:J339"/>
  <tableColumns count="10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2.5.0 · generado 2026-07-22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IF($A163="","",$A163&amp;IF($B163="","0010",$B163))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IF($A164="","",$A164&amp;IF($B164="","0010",$B164))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IF($A165="","",$A165&amp;IF($B165="","0010",$B165))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IF($A166="","",$A166&amp;IF($B166="","0010",$B166))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IF($A167="","",$A167&amp;IF($B167="","0010",$B167))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IF($A168="","",$A168&amp;IF($B168="","0010",$B168))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2">
        <f>IF($J4="","",TODAY()-$J4)</f>
        <v/>
      </c>
      <c r="AB4" s="12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IF($AE4="","",IF((IFERROR(INDEX('ASIGNACIONES'!$F$4:$F$339,MATCH($O4&amp;"|"&amp;$R4&amp;"|"&amp;$AE4,'ASIGNACIONES'!$J$4:$J$339,0)),""))=0,"",IFERROR(INDEX('ASIGNACIONES'!$F$4:$F$339,MATCH($O4&amp;"|"&amp;$R4&amp;"|"&amp;$AE4,'ASIGNACIONES'!$J$4:$J$339,0)),"")))</f>
        <v/>
      </c>
      <c r="AG4" s="13">
        <f>IF($AE4="","",SUMIFS('ORDENES'!$M$4:$M$1203,'ORDENES'!$AE$4:$AE$1203,$AE4,'ORDENES'!$O$4:$O$1203,$O4,'ORDENES'!$R$4:$R$1203,$R4))</f>
        <v/>
      </c>
      <c r="AH4" s="13">
        <f>IF($AG4="","",p_factor_productividad*IFERROR(INDEX('ASIGNACIONES'!$I$4:$I$339,MATCH($O4&amp;"|"&amp;$R4&amp;"|"&amp;$AE4,'ASIGNACIONES'!$J$4:$J$339,0)),0)-$AG4)</f>
        <v/>
      </c>
      <c r="AI4" s="10">
        <f>IF($A4="","",IFERROR(INDEX('2_IMPORTAR_EJECUCION'!$F$9:$F$1208,MATCH($AQ4,'2_IMPORTAR_EJECUCION'!$J$9:$J$1208,0)),0))</f>
        <v/>
      </c>
      <c r="AJ4" s="10">
        <f>IF($A4="","",MAX(0,IFERROR(INDEX('2_IMPORTAR_EJECUCION'!$H$9:$H$1208,MATCH($AQ4,'2_IMPORTAR_EJECUCION'!$J$9:$J$1208,0)),0)-$AI4))</f>
        <v/>
      </c>
      <c r="AK4" s="10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2">
        <f>IF($J5="","",TODAY()-$J5)</f>
        <v/>
      </c>
      <c r="AB5" s="12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IF($AE5="","",IF((IFERROR(INDEX('ASIGNACIONES'!$F$4:$F$339,MATCH($O5&amp;"|"&amp;$R5&amp;"|"&amp;$AE5,'ASIGNACIONES'!$J$4:$J$339,0)),""))=0,"",IFERROR(INDEX('ASIGNACIONES'!$F$4:$F$339,MATCH($O5&amp;"|"&amp;$R5&amp;"|"&amp;$AE5,'ASIGNACIONES'!$J$4:$J$339,0)),"")))</f>
        <v/>
      </c>
      <c r="AG5" s="13">
        <f>IF($AE5="","",SUMIFS('ORDENES'!$M$4:$M$1203,'ORDENES'!$AE$4:$AE$1203,$AE5,'ORDENES'!$O$4:$O$1203,$O5,'ORDENES'!$R$4:$R$1203,$R5))</f>
        <v/>
      </c>
      <c r="AH5" s="13">
        <f>IF($AG5="","",p_factor_productividad*IFERROR(INDEX('ASIGNACIONES'!$I$4:$I$339,MATCH($O5&amp;"|"&amp;$R5&amp;"|"&amp;$AE5,'ASIGNACIONES'!$J$4:$J$339,0)),0)-$AG5)</f>
        <v/>
      </c>
      <c r="AI5" s="10">
        <f>IF($A5="","",IFERROR(INDEX('2_IMPORTAR_EJECUCION'!$F$9:$F$1208,MATCH($AQ5,'2_IMPORTAR_EJECUCION'!$J$9:$J$1208,0)),0))</f>
        <v/>
      </c>
      <c r="AJ5" s="10">
        <f>IF($A5="","",MAX(0,IFERROR(INDEX('2_IMPORTAR_EJECUCION'!$H$9:$H$1208,MATCH($AQ5,'2_IMPORTAR_EJECUCION'!$J$9:$J$1208,0)),0)-$AI5))</f>
        <v/>
      </c>
      <c r="AK5" s="10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2">
        <f>IF($J6="","",TODAY()-$J6)</f>
        <v/>
      </c>
      <c r="AB6" s="12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IF($AE6="","",IF((IFERROR(INDEX('ASIGNACIONES'!$F$4:$F$339,MATCH($O6&amp;"|"&amp;$R6&amp;"|"&amp;$AE6,'ASIGNACIONES'!$J$4:$J$339,0)),""))=0,"",IFERROR(INDEX('ASIGNACIONES'!$F$4:$F$339,MATCH($O6&amp;"|"&amp;$R6&amp;"|"&amp;$AE6,'ASIGNACIONES'!$J$4:$J$339,0)),"")))</f>
        <v/>
      </c>
      <c r="AG6" s="13">
        <f>IF($AE6="","",SUMIFS('ORDENES'!$M$4:$M$1203,'ORDENES'!$AE$4:$AE$1203,$AE6,'ORDENES'!$O$4:$O$1203,$O6,'ORDENES'!$R$4:$R$1203,$R6))</f>
        <v/>
      </c>
      <c r="AH6" s="13">
        <f>IF($AG6="","",p_factor_productividad*IFERROR(INDEX('ASIGNACIONES'!$I$4:$I$339,MATCH($O6&amp;"|"&amp;$R6&amp;"|"&amp;$AE6,'ASIGNACIONES'!$J$4:$J$339,0)),0)-$AG6)</f>
        <v/>
      </c>
      <c r="AI6" s="10">
        <f>IF($A6="","",IFERROR(INDEX('2_IMPORTAR_EJECUCION'!$F$9:$F$1208,MATCH($AQ6,'2_IMPORTAR_EJECUCION'!$J$9:$J$1208,0)),0))</f>
        <v/>
      </c>
      <c r="AJ6" s="10">
        <f>IF($A6="","",MAX(0,IFERROR(INDEX('2_IMPORTAR_EJECUCION'!$H$9:$H$1208,MATCH($AQ6,'2_IMPORTAR_EJECUCION'!$J$9:$J$1208,0)),0)-$AI6))</f>
        <v/>
      </c>
      <c r="AK6" s="10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2">
        <f>IF($J7="","",TODAY()-$J7)</f>
        <v/>
      </c>
      <c r="AB7" s="12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IF($AE7="","",IF((IFERROR(INDEX('ASIGNACIONES'!$F$4:$F$339,MATCH($O7&amp;"|"&amp;$R7&amp;"|"&amp;$AE7,'ASIGNACIONES'!$J$4:$J$339,0)),""))=0,"",IFERROR(INDEX('ASIGNACIONES'!$F$4:$F$339,MATCH($O7&amp;"|"&amp;$R7&amp;"|"&amp;$AE7,'ASIGNACIONES'!$J$4:$J$339,0)),"")))</f>
        <v/>
      </c>
      <c r="AG7" s="13">
        <f>IF($AE7="","",SUMIFS('ORDENES'!$M$4:$M$1203,'ORDENES'!$AE$4:$AE$1203,$AE7,'ORDENES'!$O$4:$O$1203,$O7,'ORDENES'!$R$4:$R$1203,$R7))</f>
        <v/>
      </c>
      <c r="AH7" s="13">
        <f>IF($AG7="","",p_factor_productividad*IFERROR(INDEX('ASIGNACIONES'!$I$4:$I$339,MATCH($O7&amp;"|"&amp;$R7&amp;"|"&amp;$AE7,'ASIGNACIONES'!$J$4:$J$339,0)),0)-$AG7)</f>
        <v/>
      </c>
      <c r="AI7" s="10">
        <f>IF($A7="","",IFERROR(INDEX('2_IMPORTAR_EJECUCION'!$F$9:$F$1208,MATCH($AQ7,'2_IMPORTAR_EJECUCION'!$J$9:$J$1208,0)),0))</f>
        <v/>
      </c>
      <c r="AJ7" s="10">
        <f>IF($A7="","",MAX(0,IFERROR(INDEX('2_IMPORTAR_EJECUCION'!$H$9:$H$1208,MATCH($AQ7,'2_IMPORTAR_EJECUCION'!$J$9:$J$1208,0)),0)-$AI7))</f>
        <v/>
      </c>
      <c r="AK7" s="10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2">
        <f>IF($J8="","",TODAY()-$J8)</f>
        <v/>
      </c>
      <c r="AB8" s="12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01</t>
        </is>
      </c>
      <c r="AF8" s="3">
        <f>IF($AE8="","",IF((IFERROR(INDEX('ASIGNACIONES'!$F$4:$F$339,MATCH($O8&amp;"|"&amp;$R8&amp;"|"&amp;$AE8,'ASIGNACIONES'!$J$4:$J$339,0)),""))=0,"",IFERROR(INDEX('ASIGNACIONES'!$F$4:$F$339,MATCH($O8&amp;"|"&amp;$R8&amp;"|"&amp;$AE8,'ASIGNACIONES'!$J$4:$J$339,0)),"")))</f>
        <v/>
      </c>
      <c r="AG8" s="13">
        <f>IF($AE8="","",SUMIFS('ORDENES'!$M$4:$M$1203,'ORDENES'!$AE$4:$AE$1203,$AE8,'ORDENES'!$O$4:$O$1203,$O8,'ORDENES'!$R$4:$R$1203,$R8))</f>
        <v/>
      </c>
      <c r="AH8" s="13">
        <f>IF($AG8="","",p_factor_productividad*IFERROR(INDEX('ASIGNACIONES'!$I$4:$I$339,MATCH($O8&amp;"|"&amp;$R8&amp;"|"&amp;$AE8,'ASIGNACIONES'!$J$4:$J$339,0)),0)-$AG8)</f>
        <v/>
      </c>
      <c r="AI8" s="10">
        <f>IF($A8="","",IFERROR(INDEX('2_IMPORTAR_EJECUCION'!$F$9:$F$1208,MATCH($AQ8,'2_IMPORTAR_EJECUCION'!$J$9:$J$1208,0)),0))</f>
        <v/>
      </c>
      <c r="AJ8" s="10">
        <f>IF($A8="","",MAX(0,IFERROR(INDEX('2_IMPORTAR_EJECUCION'!$H$9:$H$1208,MATCH($AQ8,'2_IMPORTAR_EJECUCION'!$J$9:$J$1208,0)),0)-$AI8))</f>
        <v/>
      </c>
      <c r="AK8" s="10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2">
        <f>IF($J9="","",TODAY()-$J9)</f>
        <v/>
      </c>
      <c r="AB9" s="12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02</t>
        </is>
      </c>
      <c r="AF9" s="3">
        <f>IF($AE9="","",IF((IFERROR(INDEX('ASIGNACIONES'!$F$4:$F$339,MATCH($O9&amp;"|"&amp;$R9&amp;"|"&amp;$AE9,'ASIGNACIONES'!$J$4:$J$339,0)),""))=0,"",IFERROR(INDEX('ASIGNACIONES'!$F$4:$F$339,MATCH($O9&amp;"|"&amp;$R9&amp;"|"&amp;$AE9,'ASIGNACIONES'!$J$4:$J$339,0)),"")))</f>
        <v/>
      </c>
      <c r="AG9" s="13">
        <f>IF($AE9="","",SUMIFS('ORDENES'!$M$4:$M$1203,'ORDENES'!$AE$4:$AE$1203,$AE9,'ORDENES'!$O$4:$O$1203,$O9,'ORDENES'!$R$4:$R$1203,$R9))</f>
        <v/>
      </c>
      <c r="AH9" s="13">
        <f>IF($AG9="","",p_factor_productividad*IFERROR(INDEX('ASIGNACIONES'!$I$4:$I$339,MATCH($O9&amp;"|"&amp;$R9&amp;"|"&amp;$AE9,'ASIGNACIONES'!$J$4:$J$339,0)),0)-$AG9)</f>
        <v/>
      </c>
      <c r="AI9" s="10">
        <f>IF($A9="","",IFERROR(INDEX('2_IMPORTAR_EJECUCION'!$F$9:$F$1208,MATCH($AQ9,'2_IMPORTAR_EJECUCION'!$J$9:$J$1208,0)),0))</f>
        <v/>
      </c>
      <c r="AJ9" s="10">
        <f>IF($A9="","",MAX(0,IFERROR(INDEX('2_IMPORTAR_EJECUCION'!$H$9:$H$1208,MATCH($AQ9,'2_IMPORTAR_EJECUCION'!$J$9:$J$1208,0)),0)-$AI9))</f>
        <v/>
      </c>
      <c r="AK9" s="10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2">
        <f>IF($J10="","",TODAY()-$J10)</f>
        <v/>
      </c>
      <c r="AB10" s="12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03</t>
        </is>
      </c>
      <c r="AF10" s="3">
        <f>IF($AE10="","",IF((IFERROR(INDEX('ASIGNACIONES'!$F$4:$F$339,MATCH($O10&amp;"|"&amp;$R10&amp;"|"&amp;$AE10,'ASIGNACIONES'!$J$4:$J$339,0)),""))=0,"",IFERROR(INDEX('ASIGNACIONES'!$F$4:$F$339,MATCH($O10&amp;"|"&amp;$R10&amp;"|"&amp;$AE10,'ASIGNACIONES'!$J$4:$J$339,0)),"")))</f>
        <v/>
      </c>
      <c r="AG10" s="13">
        <f>IF($AE10="","",SUMIFS('ORDENES'!$M$4:$M$1203,'ORDENES'!$AE$4:$AE$1203,$AE10,'ORDENES'!$O$4:$O$1203,$O10,'ORDENES'!$R$4:$R$1203,$R10))</f>
        <v/>
      </c>
      <c r="AH10" s="13">
        <f>IF($AG10="","",p_factor_productividad*IFERROR(INDEX('ASIGNACIONES'!$I$4:$I$339,MATCH($O10&amp;"|"&amp;$R10&amp;"|"&amp;$AE10,'ASIGNACIONES'!$J$4:$J$339,0)),0)-$AG10)</f>
        <v/>
      </c>
      <c r="AI10" s="10">
        <f>IF($A10="","",IFERROR(INDEX('2_IMPORTAR_EJECUCION'!$F$9:$F$1208,MATCH($AQ10,'2_IMPORTAR_EJECUCION'!$J$9:$J$1208,0)),0))</f>
        <v/>
      </c>
      <c r="AJ10" s="10">
        <f>IF($A10="","",MAX(0,IFERROR(INDEX('2_IMPORTAR_EJECUCION'!$H$9:$H$1208,MATCH($AQ10,'2_IMPORTAR_EJECUCION'!$J$9:$J$1208,0)),0)-$AI10))</f>
        <v/>
      </c>
      <c r="AK10" s="10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2">
        <f>IF($J11="","",TODAY()-$J11)</f>
        <v/>
      </c>
      <c r="AB11" s="12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04</t>
        </is>
      </c>
      <c r="AF11" s="3">
        <f>IF($AE11="","",IF((IFERROR(INDEX('ASIGNACIONES'!$F$4:$F$339,MATCH($O11&amp;"|"&amp;$R11&amp;"|"&amp;$AE11,'ASIGNACIONES'!$J$4:$J$339,0)),""))=0,"",IFERROR(INDEX('ASIGNACIONES'!$F$4:$F$339,MATCH($O11&amp;"|"&amp;$R11&amp;"|"&amp;$AE11,'ASIGNACIONES'!$J$4:$J$339,0)),"")))</f>
        <v/>
      </c>
      <c r="AG11" s="13">
        <f>IF($AE11="","",SUMIFS('ORDENES'!$M$4:$M$1203,'ORDENES'!$AE$4:$AE$1203,$AE11,'ORDENES'!$O$4:$O$1203,$O11,'ORDENES'!$R$4:$R$1203,$R11))</f>
        <v/>
      </c>
      <c r="AH11" s="13">
        <f>IF($AG11="","",p_factor_productividad*IFERROR(INDEX('ASIGNACIONES'!$I$4:$I$339,MATCH($O11&amp;"|"&amp;$R11&amp;"|"&amp;$AE11,'ASIGNACIONES'!$J$4:$J$339,0)),0)-$AG11)</f>
        <v/>
      </c>
      <c r="AI11" s="10">
        <f>IF($A11="","",IFERROR(INDEX('2_IMPORTAR_EJECUCION'!$F$9:$F$1208,MATCH($AQ11,'2_IMPORTAR_EJECUCION'!$J$9:$J$1208,0)),0))</f>
        <v/>
      </c>
      <c r="AJ11" s="10">
        <f>IF($A11="","",MAX(0,IFERROR(INDEX('2_IMPORTAR_EJECUCION'!$H$9:$H$1208,MATCH($AQ11,'2_IMPORTAR_EJECUCION'!$J$9:$J$1208,0)),0)-$AI11))</f>
        <v/>
      </c>
      <c r="AK11" s="10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2">
        <f>IF($J12="","",TODAY()-$J12)</f>
        <v/>
      </c>
      <c r="AB12" s="12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01</t>
        </is>
      </c>
      <c r="AF12" s="3">
        <f>IF($AE12="","",IF((IFERROR(INDEX('ASIGNACIONES'!$F$4:$F$339,MATCH($O12&amp;"|"&amp;$R12&amp;"|"&amp;$AE12,'ASIGNACIONES'!$J$4:$J$339,0)),""))=0,"",IFERROR(INDEX('ASIGNACIONES'!$F$4:$F$339,MATCH($O12&amp;"|"&amp;$R12&amp;"|"&amp;$AE12,'ASIGNACIONES'!$J$4:$J$339,0)),"")))</f>
        <v/>
      </c>
      <c r="AG12" s="13">
        <f>IF($AE12="","",SUMIFS('ORDENES'!$M$4:$M$1203,'ORDENES'!$AE$4:$AE$1203,$AE12,'ORDENES'!$O$4:$O$1203,$O12,'ORDENES'!$R$4:$R$1203,$R12))</f>
        <v/>
      </c>
      <c r="AH12" s="13">
        <f>IF($AG12="","",p_factor_productividad*IFERROR(INDEX('ASIGNACIONES'!$I$4:$I$339,MATCH($O12&amp;"|"&amp;$R12&amp;"|"&amp;$AE12,'ASIGNACIONES'!$J$4:$J$339,0)),0)-$AG12)</f>
        <v/>
      </c>
      <c r="AI12" s="10">
        <f>IF($A12="","",IFERROR(INDEX('2_IMPORTAR_EJECUCION'!$F$9:$F$1208,MATCH($AQ12,'2_IMPORTAR_EJECUCION'!$J$9:$J$1208,0)),0))</f>
        <v/>
      </c>
      <c r="AJ12" s="10">
        <f>IF($A12="","",MAX(0,IFERROR(INDEX('2_IMPORTAR_EJECUCION'!$H$9:$H$1208,MATCH($AQ12,'2_IMPORTAR_EJECUCION'!$J$9:$J$1208,0)),0)-$AI12))</f>
        <v/>
      </c>
      <c r="AK12" s="10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2">
        <f>IF($J13="","",TODAY()-$J13)</f>
        <v/>
      </c>
      <c r="AB13" s="12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02</t>
        </is>
      </c>
      <c r="AF13" s="3">
        <f>IF($AE13="","",IF((IFERROR(INDEX('ASIGNACIONES'!$F$4:$F$339,MATCH($O13&amp;"|"&amp;$R13&amp;"|"&amp;$AE13,'ASIGNACIONES'!$J$4:$J$339,0)),""))=0,"",IFERROR(INDEX('ASIGNACIONES'!$F$4:$F$339,MATCH($O13&amp;"|"&amp;$R13&amp;"|"&amp;$AE13,'ASIGNACIONES'!$J$4:$J$339,0)),"")))</f>
        <v/>
      </c>
      <c r="AG13" s="13">
        <f>IF($AE13="","",SUMIFS('ORDENES'!$M$4:$M$1203,'ORDENES'!$AE$4:$AE$1203,$AE13,'ORDENES'!$O$4:$O$1203,$O13,'ORDENES'!$R$4:$R$1203,$R13))</f>
        <v/>
      </c>
      <c r="AH13" s="13">
        <f>IF($AG13="","",p_factor_productividad*IFERROR(INDEX('ASIGNACIONES'!$I$4:$I$339,MATCH($O13&amp;"|"&amp;$R13&amp;"|"&amp;$AE13,'ASIGNACIONES'!$J$4:$J$339,0)),0)-$AG13)</f>
        <v/>
      </c>
      <c r="AI13" s="10">
        <f>IF($A13="","",IFERROR(INDEX('2_IMPORTAR_EJECUCION'!$F$9:$F$1208,MATCH($AQ13,'2_IMPORTAR_EJECUCION'!$J$9:$J$1208,0)),0))</f>
        <v/>
      </c>
      <c r="AJ13" s="10">
        <f>IF($A13="","",MAX(0,IFERROR(INDEX('2_IMPORTAR_EJECUCION'!$H$9:$H$1208,MATCH($AQ13,'2_IMPORTAR_EJECUCION'!$J$9:$J$1208,0)),0)-$AI13))</f>
        <v/>
      </c>
      <c r="AK13" s="10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2">
        <f>IF($J14="","",TODAY()-$J14)</f>
        <v/>
      </c>
      <c r="AB14" s="12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03</t>
        </is>
      </c>
      <c r="AF14" s="3">
        <f>IF($AE14="","",IF((IFERROR(INDEX('ASIGNACIONES'!$F$4:$F$339,MATCH($O14&amp;"|"&amp;$R14&amp;"|"&amp;$AE14,'ASIGNACIONES'!$J$4:$J$339,0)),""))=0,"",IFERROR(INDEX('ASIGNACIONES'!$F$4:$F$339,MATCH($O14&amp;"|"&amp;$R14&amp;"|"&amp;$AE14,'ASIGNACIONES'!$J$4:$J$339,0)),"")))</f>
        <v/>
      </c>
      <c r="AG14" s="13">
        <f>IF($AE14="","",SUMIFS('ORDENES'!$M$4:$M$1203,'ORDENES'!$AE$4:$AE$1203,$AE14,'ORDENES'!$O$4:$O$1203,$O14,'ORDENES'!$R$4:$R$1203,$R14))</f>
        <v/>
      </c>
      <c r="AH14" s="13">
        <f>IF($AG14="","",p_factor_productividad*IFERROR(INDEX('ASIGNACIONES'!$I$4:$I$339,MATCH($O14&amp;"|"&amp;$R14&amp;"|"&amp;$AE14,'ASIGNACIONES'!$J$4:$J$339,0)),0)-$AG14)</f>
        <v/>
      </c>
      <c r="AI14" s="10">
        <f>IF($A14="","",IFERROR(INDEX('2_IMPORTAR_EJECUCION'!$F$9:$F$1208,MATCH($AQ14,'2_IMPORTAR_EJECUCION'!$J$9:$J$1208,0)),0))</f>
        <v/>
      </c>
      <c r="AJ14" s="10">
        <f>IF($A14="","",MAX(0,IFERROR(INDEX('2_IMPORTAR_EJECUCION'!$H$9:$H$1208,MATCH($AQ14,'2_IMPORTAR_EJECUCION'!$J$9:$J$1208,0)),0)-$AI14))</f>
        <v/>
      </c>
      <c r="AK14" s="10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2">
        <f>IF($J15="","",TODAY()-$J15)</f>
        <v/>
      </c>
      <c r="AB15" s="12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IF($AE15="","",IF((IFERROR(INDEX('ASIGNACIONES'!$F$4:$F$339,MATCH($O15&amp;"|"&amp;$R15&amp;"|"&amp;$AE15,'ASIGNACIONES'!$J$4:$J$339,0)),""))=0,"",IFERROR(INDEX('ASIGNACIONES'!$F$4:$F$339,MATCH($O15&amp;"|"&amp;$R15&amp;"|"&amp;$AE15,'ASIGNACIONES'!$J$4:$J$339,0)),"")))</f>
        <v/>
      </c>
      <c r="AG15" s="13">
        <f>IF($AE15="","",SUMIFS('ORDENES'!$M$4:$M$1203,'ORDENES'!$AE$4:$AE$1203,$AE15,'ORDENES'!$O$4:$O$1203,$O15,'ORDENES'!$R$4:$R$1203,$R15))</f>
        <v/>
      </c>
      <c r="AH15" s="13">
        <f>IF($AG15="","",p_factor_productividad*IFERROR(INDEX('ASIGNACIONES'!$I$4:$I$339,MATCH($O15&amp;"|"&amp;$R15&amp;"|"&amp;$AE15,'ASIGNACIONES'!$J$4:$J$339,0)),0)-$AG15)</f>
        <v/>
      </c>
      <c r="AI15" s="10">
        <f>IF($A15="","",IFERROR(INDEX('2_IMPORTAR_EJECUCION'!$F$9:$F$1208,MATCH($AQ15,'2_IMPORTAR_EJECUCION'!$J$9:$J$1208,0)),0))</f>
        <v/>
      </c>
      <c r="AJ15" s="10">
        <f>IF($A15="","",MAX(0,IFERROR(INDEX('2_IMPORTAR_EJECUCION'!$H$9:$H$1208,MATCH($AQ15,'2_IMPORTAR_EJECUCION'!$J$9:$J$1208,0)),0)-$AI15))</f>
        <v/>
      </c>
      <c r="AK15" s="10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2">
        <f>IF($J16="","",TODAY()-$J16)</f>
        <v/>
      </c>
      <c r="AB16" s="12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IF($AE16="","",IF((IFERROR(INDEX('ASIGNACIONES'!$F$4:$F$339,MATCH($O16&amp;"|"&amp;$R16&amp;"|"&amp;$AE16,'ASIGNACIONES'!$J$4:$J$339,0)),""))=0,"",IFERROR(INDEX('ASIGNACIONES'!$F$4:$F$339,MATCH($O16&amp;"|"&amp;$R16&amp;"|"&amp;$AE16,'ASIGNACIONES'!$J$4:$J$339,0)),"")))</f>
        <v/>
      </c>
      <c r="AG16" s="13">
        <f>IF($AE16="","",SUMIFS('ORDENES'!$M$4:$M$1203,'ORDENES'!$AE$4:$AE$1203,$AE16,'ORDENES'!$O$4:$O$1203,$O16,'ORDENES'!$R$4:$R$1203,$R16))</f>
        <v/>
      </c>
      <c r="AH16" s="13">
        <f>IF($AG16="","",p_factor_productividad*IFERROR(INDEX('ASIGNACIONES'!$I$4:$I$339,MATCH($O16&amp;"|"&amp;$R16&amp;"|"&amp;$AE16,'ASIGNACIONES'!$J$4:$J$339,0)),0)-$AG16)</f>
        <v/>
      </c>
      <c r="AI16" s="10">
        <f>IF($A16="","",IFERROR(INDEX('2_IMPORTAR_EJECUCION'!$F$9:$F$1208,MATCH($AQ16,'2_IMPORTAR_EJECUCION'!$J$9:$J$1208,0)),0))</f>
        <v/>
      </c>
      <c r="AJ16" s="10">
        <f>IF($A16="","",MAX(0,IFERROR(INDEX('2_IMPORTAR_EJECUCION'!$H$9:$H$1208,MATCH($AQ16,'2_IMPORTAR_EJECUCION'!$J$9:$J$1208,0)),0)-$AI16))</f>
        <v/>
      </c>
      <c r="AK16" s="10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/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2">
        <f>IF($J17="","",TODAY()-$J17)</f>
        <v/>
      </c>
      <c r="AB17" s="12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02</t>
        </is>
      </c>
      <c r="AF17" s="3">
        <f>IF($AE17="","",IF((IFERROR(INDEX('ASIGNACIONES'!$F$4:$F$339,MATCH($O17&amp;"|"&amp;$R17&amp;"|"&amp;$AE17,'ASIGNACIONES'!$J$4:$J$339,0)),""))=0,"",IFERROR(INDEX('ASIGNACIONES'!$F$4:$F$339,MATCH($O17&amp;"|"&amp;$R17&amp;"|"&amp;$AE17,'ASIGNACIONES'!$J$4:$J$339,0)),"")))</f>
        <v/>
      </c>
      <c r="AG17" s="13">
        <f>IF($AE17="","",SUMIFS('ORDENES'!$M$4:$M$1203,'ORDENES'!$AE$4:$AE$1203,$AE17,'ORDENES'!$O$4:$O$1203,$O17,'ORDENES'!$R$4:$R$1203,$R17))</f>
        <v/>
      </c>
      <c r="AH17" s="13">
        <f>IF($AG17="","",p_factor_productividad*IFERROR(INDEX('ASIGNACIONES'!$I$4:$I$339,MATCH($O17&amp;"|"&amp;$R17&amp;"|"&amp;$AE17,'ASIGNACIONES'!$J$4:$J$339,0)),0)-$AG17)</f>
        <v/>
      </c>
      <c r="AI17" s="10">
        <f>IF($A17="","",IFERROR(INDEX('2_IMPORTAR_EJECUCION'!$F$9:$F$1208,MATCH($AQ17,'2_IMPORTAR_EJECUCION'!$J$9:$J$1208,0)),0))</f>
        <v/>
      </c>
      <c r="AJ17" s="10">
        <f>IF($A17="","",MAX(0,IFERROR(INDEX('2_IMPORTAR_EJECUCION'!$H$9:$H$1208,MATCH($AQ17,'2_IMPORTAR_EJECUCION'!$J$9:$J$1208,0)),0)-$AI17))</f>
        <v/>
      </c>
      <c r="AK17" s="10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2">
        <f>IF($J18="","",TODAY()-$J18)</f>
        <v/>
      </c>
      <c r="AB18" s="12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03</t>
        </is>
      </c>
      <c r="AF18" s="3">
        <f>IF($AE18="","",IF((IFERROR(INDEX('ASIGNACIONES'!$F$4:$F$339,MATCH($O18&amp;"|"&amp;$R18&amp;"|"&amp;$AE18,'ASIGNACIONES'!$J$4:$J$339,0)),""))=0,"",IFERROR(INDEX('ASIGNACIONES'!$F$4:$F$339,MATCH($O18&amp;"|"&amp;$R18&amp;"|"&amp;$AE18,'ASIGNACIONES'!$J$4:$J$339,0)),"")))</f>
        <v/>
      </c>
      <c r="AG18" s="13">
        <f>IF($AE18="","",SUMIFS('ORDENES'!$M$4:$M$1203,'ORDENES'!$AE$4:$AE$1203,$AE18,'ORDENES'!$O$4:$O$1203,$O18,'ORDENES'!$R$4:$R$1203,$R18))</f>
        <v/>
      </c>
      <c r="AH18" s="13">
        <f>IF($AG18="","",p_factor_productividad*IFERROR(INDEX('ASIGNACIONES'!$I$4:$I$339,MATCH($O18&amp;"|"&amp;$R18&amp;"|"&amp;$AE18,'ASIGNACIONES'!$J$4:$J$339,0)),0)-$AG18)</f>
        <v/>
      </c>
      <c r="AI18" s="10">
        <f>IF($A18="","",IFERROR(INDEX('2_IMPORTAR_EJECUCION'!$F$9:$F$1208,MATCH($AQ18,'2_IMPORTAR_EJECUCION'!$J$9:$J$1208,0)),0))</f>
        <v/>
      </c>
      <c r="AJ18" s="10">
        <f>IF($A18="","",MAX(0,IFERROR(INDEX('2_IMPORTAR_EJECUCION'!$H$9:$H$1208,MATCH($AQ18,'2_IMPORTAR_EJECUCION'!$J$9:$J$1208,0)),0)-$AI18))</f>
        <v/>
      </c>
      <c r="AK18" s="10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2">
        <f>IF($J19="","",TODAY()-$J19)</f>
        <v/>
      </c>
      <c r="AB19" s="12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04</t>
        </is>
      </c>
      <c r="AF19" s="3">
        <f>IF($AE19="","",IF((IFERROR(INDEX('ASIGNACIONES'!$F$4:$F$339,MATCH($O19&amp;"|"&amp;$R19&amp;"|"&amp;$AE19,'ASIGNACIONES'!$J$4:$J$339,0)),""))=0,"",IFERROR(INDEX('ASIGNACIONES'!$F$4:$F$339,MATCH($O19&amp;"|"&amp;$R19&amp;"|"&amp;$AE19,'ASIGNACIONES'!$J$4:$J$339,0)),"")))</f>
        <v/>
      </c>
      <c r="AG19" s="13">
        <f>IF($AE19="","",SUMIFS('ORDENES'!$M$4:$M$1203,'ORDENES'!$AE$4:$AE$1203,$AE19,'ORDENES'!$O$4:$O$1203,$O19,'ORDENES'!$R$4:$R$1203,$R19))</f>
        <v/>
      </c>
      <c r="AH19" s="13">
        <f>IF($AG19="","",p_factor_productividad*IFERROR(INDEX('ASIGNACIONES'!$I$4:$I$339,MATCH($O19&amp;"|"&amp;$R19&amp;"|"&amp;$AE19,'ASIGNACIONES'!$J$4:$J$339,0)),0)-$AG19)</f>
        <v/>
      </c>
      <c r="AI19" s="10">
        <f>IF($A19="","",IFERROR(INDEX('2_IMPORTAR_EJECUCION'!$F$9:$F$1208,MATCH($AQ19,'2_IMPORTAR_EJECUCION'!$J$9:$J$1208,0)),0))</f>
        <v/>
      </c>
      <c r="AJ19" s="10">
        <f>IF($A19="","",MAX(0,IFERROR(INDEX('2_IMPORTAR_EJECUCION'!$H$9:$H$1208,MATCH($AQ19,'2_IMPORTAR_EJECUCION'!$J$9:$J$1208,0)),0)-$AI19))</f>
        <v/>
      </c>
      <c r="AK19" s="10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2">
        <f>IF($J20="","",TODAY()-$J20)</f>
        <v/>
      </c>
      <c r="AB20" s="12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01</t>
        </is>
      </c>
      <c r="AF20" s="3">
        <f>IF($AE20="","",IF((IFERROR(INDEX('ASIGNACIONES'!$F$4:$F$339,MATCH($O20&amp;"|"&amp;$R20&amp;"|"&amp;$AE20,'ASIGNACIONES'!$J$4:$J$339,0)),""))=0,"",IFERROR(INDEX('ASIGNACIONES'!$F$4:$F$339,MATCH($O20&amp;"|"&amp;$R20&amp;"|"&amp;$AE20,'ASIGNACIONES'!$J$4:$J$339,0)),"")))</f>
        <v/>
      </c>
      <c r="AG20" s="13">
        <f>IF($AE20="","",SUMIFS('ORDENES'!$M$4:$M$1203,'ORDENES'!$AE$4:$AE$1203,$AE20,'ORDENES'!$O$4:$O$1203,$O20,'ORDENES'!$R$4:$R$1203,$R20))</f>
        <v/>
      </c>
      <c r="AH20" s="13">
        <f>IF($AG20="","",p_factor_productividad*IFERROR(INDEX('ASIGNACIONES'!$I$4:$I$339,MATCH($O20&amp;"|"&amp;$R20&amp;"|"&amp;$AE20,'ASIGNACIONES'!$J$4:$J$339,0)),0)-$AG20)</f>
        <v/>
      </c>
      <c r="AI20" s="10">
        <f>IF($A20="","",IFERROR(INDEX('2_IMPORTAR_EJECUCION'!$F$9:$F$1208,MATCH($AQ20,'2_IMPORTAR_EJECUCION'!$J$9:$J$1208,0)),0))</f>
        <v/>
      </c>
      <c r="AJ20" s="10">
        <f>IF($A20="","",MAX(0,IFERROR(INDEX('2_IMPORTAR_EJECUCION'!$H$9:$H$1208,MATCH($AQ20,'2_IMPORTAR_EJECUCION'!$J$9:$J$1208,0)),0)-$AI20))</f>
        <v/>
      </c>
      <c r="AK20" s="10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>
        <is>
          <t>Ajuste 8 → 12 h en hoja AJUSTES</t>
        </is>
      </c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2">
        <f>IF($J21="","",TODAY()-$J21)</f>
        <v/>
      </c>
      <c r="AB21" s="12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02</t>
        </is>
      </c>
      <c r="AF21" s="3">
        <f>IF($AE21="","",IF((IFERROR(INDEX('ASIGNACIONES'!$F$4:$F$339,MATCH($O21&amp;"|"&amp;$R21&amp;"|"&amp;$AE21,'ASIGNACIONES'!$J$4:$J$339,0)),""))=0,"",IFERROR(INDEX('ASIGNACIONES'!$F$4:$F$339,MATCH($O21&amp;"|"&amp;$R21&amp;"|"&amp;$AE21,'ASIGNACIONES'!$J$4:$J$339,0)),"")))</f>
        <v/>
      </c>
      <c r="AG21" s="13">
        <f>IF($AE21="","",SUMIFS('ORDENES'!$M$4:$M$1203,'ORDENES'!$AE$4:$AE$1203,$AE21,'ORDENES'!$O$4:$O$1203,$O21,'ORDENES'!$R$4:$R$1203,$R21))</f>
        <v/>
      </c>
      <c r="AH21" s="13">
        <f>IF($AG21="","",p_factor_productividad*IFERROR(INDEX('ASIGNACIONES'!$I$4:$I$339,MATCH($O21&amp;"|"&amp;$R21&amp;"|"&amp;$AE21,'ASIGNACIONES'!$J$4:$J$339,0)),0)-$AG21)</f>
        <v/>
      </c>
      <c r="AI21" s="10">
        <f>IF($A21="","",IFERROR(INDEX('2_IMPORTAR_EJECUCION'!$F$9:$F$1208,MATCH($AQ21,'2_IMPORTAR_EJECUCION'!$J$9:$J$1208,0)),0))</f>
        <v/>
      </c>
      <c r="AJ21" s="10">
        <f>IF($A21="","",MAX(0,IFERROR(INDEX('2_IMPORTAR_EJECUCION'!$H$9:$H$1208,MATCH($AQ21,'2_IMPORTAR_EJECUCION'!$J$9:$J$1208,0)),0)-$AI21))</f>
        <v/>
      </c>
      <c r="AK21" s="10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2">
        <f>IF($J22="","",TODAY()-$J22)</f>
        <v/>
      </c>
      <c r="AB22" s="12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>
        <is>
          <t>Técnico 03</t>
        </is>
      </c>
      <c r="AF22" s="3">
        <f>IF($AE22="","",IF((IFERROR(INDEX('ASIGNACIONES'!$F$4:$F$339,MATCH($O22&amp;"|"&amp;$R22&amp;"|"&amp;$AE22,'ASIGNACIONES'!$J$4:$J$339,0)),""))=0,"",IFERROR(INDEX('ASIGNACIONES'!$F$4:$F$339,MATCH($O22&amp;"|"&amp;$R22&amp;"|"&amp;$AE22,'ASIGNACIONES'!$J$4:$J$339,0)),"")))</f>
        <v/>
      </c>
      <c r="AG22" s="13">
        <f>IF($AE22="","",SUMIFS('ORDENES'!$M$4:$M$1203,'ORDENES'!$AE$4:$AE$1203,$AE22,'ORDENES'!$O$4:$O$1203,$O22,'ORDENES'!$R$4:$R$1203,$R22))</f>
        <v/>
      </c>
      <c r="AH22" s="13">
        <f>IF($AG22="","",p_factor_productividad*IFERROR(INDEX('ASIGNACIONES'!$I$4:$I$339,MATCH($O22&amp;"|"&amp;$R22&amp;"|"&amp;$AE22,'ASIGNACIONES'!$J$4:$J$339,0)),0)-$AG22)</f>
        <v/>
      </c>
      <c r="AI22" s="10">
        <f>IF($A22="","",IFERROR(INDEX('2_IMPORTAR_EJECUCION'!$F$9:$F$1208,MATCH($AQ22,'2_IMPORTAR_EJECUCION'!$J$9:$J$1208,0)),0))</f>
        <v/>
      </c>
      <c r="AJ22" s="10">
        <f>IF($A22="","",MAX(0,IFERROR(INDEX('2_IMPORTAR_EJECUCION'!$H$9:$H$1208,MATCH($AQ22,'2_IMPORTAR_EJECUCION'!$J$9:$J$1208,0)),0)-$AI22))</f>
        <v/>
      </c>
      <c r="AK22" s="10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2">
        <f>IF($J23="","",TODAY()-$J23)</f>
        <v/>
      </c>
      <c r="AB23" s="12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04</t>
        </is>
      </c>
      <c r="AF23" s="3">
        <f>IF($AE23="","",IF((IFERROR(INDEX('ASIGNACIONES'!$F$4:$F$339,MATCH($O23&amp;"|"&amp;$R23&amp;"|"&amp;$AE23,'ASIGNACIONES'!$J$4:$J$339,0)),""))=0,"",IFERROR(INDEX('ASIGNACIONES'!$F$4:$F$339,MATCH($O23&amp;"|"&amp;$R23&amp;"|"&amp;$AE23,'ASIGNACIONES'!$J$4:$J$339,0)),"")))</f>
        <v/>
      </c>
      <c r="AG23" s="13">
        <f>IF($AE23="","",SUMIFS('ORDENES'!$M$4:$M$1203,'ORDENES'!$AE$4:$AE$1203,$AE23,'ORDENES'!$O$4:$O$1203,$O23,'ORDENES'!$R$4:$R$1203,$R23))</f>
        <v/>
      </c>
      <c r="AH23" s="13">
        <f>IF($AG23="","",p_factor_productividad*IFERROR(INDEX('ASIGNACIONES'!$I$4:$I$339,MATCH($O23&amp;"|"&amp;$R23&amp;"|"&amp;$AE23,'ASIGNACIONES'!$J$4:$J$339,0)),0)-$AG23)</f>
        <v/>
      </c>
      <c r="AI23" s="10">
        <f>IF($A23="","",IFERROR(INDEX('2_IMPORTAR_EJECUCION'!$F$9:$F$1208,MATCH($AQ23,'2_IMPORTAR_EJECUCION'!$J$9:$J$1208,0)),0))</f>
        <v/>
      </c>
      <c r="AJ23" s="10">
        <f>IF($A23="","",MAX(0,IFERROR(INDEX('2_IMPORTAR_EJECUCION'!$H$9:$H$1208,MATCH($AQ23,'2_IMPORTAR_EJECUCION'!$J$9:$J$1208,0)),0)-$AI23))</f>
        <v/>
      </c>
      <c r="AK23" s="10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2">
        <f>IF($J24="","",TODAY()-$J24)</f>
        <v/>
      </c>
      <c r="AB24" s="12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01</t>
        </is>
      </c>
      <c r="AF24" s="3">
        <f>IF($AE24="","",IF((IFERROR(INDEX('ASIGNACIONES'!$F$4:$F$339,MATCH($O24&amp;"|"&amp;$R24&amp;"|"&amp;$AE24,'ASIGNACIONES'!$J$4:$J$339,0)),""))=0,"",IFERROR(INDEX('ASIGNACIONES'!$F$4:$F$339,MATCH($O24&amp;"|"&amp;$R24&amp;"|"&amp;$AE24,'ASIGNACIONES'!$J$4:$J$339,0)),"")))</f>
        <v/>
      </c>
      <c r="AG24" s="13">
        <f>IF($AE24="","",SUMIFS('ORDENES'!$M$4:$M$1203,'ORDENES'!$AE$4:$AE$1203,$AE24,'ORDENES'!$O$4:$O$1203,$O24,'ORDENES'!$R$4:$R$1203,$R24))</f>
        <v/>
      </c>
      <c r="AH24" s="13">
        <f>IF($AG24="","",p_factor_productividad*IFERROR(INDEX('ASIGNACIONES'!$I$4:$I$339,MATCH($O24&amp;"|"&amp;$R24&amp;"|"&amp;$AE24,'ASIGNACIONES'!$J$4:$J$339,0)),0)-$AG24)</f>
        <v/>
      </c>
      <c r="AI24" s="10">
        <f>IF($A24="","",IFERROR(INDEX('2_IMPORTAR_EJECUCION'!$F$9:$F$1208,MATCH($AQ24,'2_IMPORTAR_EJECUCION'!$J$9:$J$1208,0)),0))</f>
        <v/>
      </c>
      <c r="AJ24" s="10">
        <f>IF($A24="","",MAX(0,IFERROR(INDEX('2_IMPORTAR_EJECUCION'!$H$9:$H$1208,MATCH($AQ24,'2_IMPORTAR_EJECUCION'!$J$9:$J$1208,0)),0)-$AI24))</f>
        <v/>
      </c>
      <c r="AK24" s="10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2">
        <f>IF($J25="","",TODAY()-$J25)</f>
        <v/>
      </c>
      <c r="AB25" s="12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02</t>
        </is>
      </c>
      <c r="AF25" s="3">
        <f>IF($AE25="","",IF((IFERROR(INDEX('ASIGNACIONES'!$F$4:$F$339,MATCH($O25&amp;"|"&amp;$R25&amp;"|"&amp;$AE25,'ASIGNACIONES'!$J$4:$J$339,0)),""))=0,"",IFERROR(INDEX('ASIGNACIONES'!$F$4:$F$339,MATCH($O25&amp;"|"&amp;$R25&amp;"|"&amp;$AE25,'ASIGNACIONES'!$J$4:$J$339,0)),"")))</f>
        <v/>
      </c>
      <c r="AG25" s="13">
        <f>IF($AE25="","",SUMIFS('ORDENES'!$M$4:$M$1203,'ORDENES'!$AE$4:$AE$1203,$AE25,'ORDENES'!$O$4:$O$1203,$O25,'ORDENES'!$R$4:$R$1203,$R25))</f>
        <v/>
      </c>
      <c r="AH25" s="13">
        <f>IF($AG25="","",p_factor_productividad*IFERROR(INDEX('ASIGNACIONES'!$I$4:$I$339,MATCH($O25&amp;"|"&amp;$R25&amp;"|"&amp;$AE25,'ASIGNACIONES'!$J$4:$J$339,0)),0)-$AG25)</f>
        <v/>
      </c>
      <c r="AI25" s="10">
        <f>IF($A25="","",IFERROR(INDEX('2_IMPORTAR_EJECUCION'!$F$9:$F$1208,MATCH($AQ25,'2_IMPORTAR_EJECUCION'!$J$9:$J$1208,0)),0))</f>
        <v/>
      </c>
      <c r="AJ25" s="10">
        <f>IF($A25="","",MAX(0,IFERROR(INDEX('2_IMPORTAR_EJECUCION'!$H$9:$H$1208,MATCH($AQ25,'2_IMPORTAR_EJECUCION'!$J$9:$J$1208,0)),0)-$AI25))</f>
        <v/>
      </c>
      <c r="AK25" s="10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2">
        <f>IF($J26="","",TODAY()-$J26)</f>
        <v/>
      </c>
      <c r="AB26" s="12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03</t>
        </is>
      </c>
      <c r="AF26" s="3">
        <f>IF($AE26="","",IF((IFERROR(INDEX('ASIGNACIONES'!$F$4:$F$339,MATCH($O26&amp;"|"&amp;$R26&amp;"|"&amp;$AE26,'ASIGNACIONES'!$J$4:$J$339,0)),""))=0,"",IFERROR(INDEX('ASIGNACIONES'!$F$4:$F$339,MATCH($O26&amp;"|"&amp;$R26&amp;"|"&amp;$AE26,'ASIGNACIONES'!$J$4:$J$339,0)),"")))</f>
        <v/>
      </c>
      <c r="AG26" s="13">
        <f>IF($AE26="","",SUMIFS('ORDENES'!$M$4:$M$1203,'ORDENES'!$AE$4:$AE$1203,$AE26,'ORDENES'!$O$4:$O$1203,$O26,'ORDENES'!$R$4:$R$1203,$R26))</f>
        <v/>
      </c>
      <c r="AH26" s="13">
        <f>IF($AG26="","",p_factor_productividad*IFERROR(INDEX('ASIGNACIONES'!$I$4:$I$339,MATCH($O26&amp;"|"&amp;$R26&amp;"|"&amp;$AE26,'ASIGNACIONES'!$J$4:$J$339,0)),0)-$AG26)</f>
        <v/>
      </c>
      <c r="AI26" s="10">
        <f>IF($A26="","",IFERROR(INDEX('2_IMPORTAR_EJECUCION'!$F$9:$F$1208,MATCH($AQ26,'2_IMPORTAR_EJECUCION'!$J$9:$J$1208,0)),0))</f>
        <v/>
      </c>
      <c r="AJ26" s="10">
        <f>IF($A26="","",MAX(0,IFERROR(INDEX('2_IMPORTAR_EJECUCION'!$H$9:$H$1208,MATCH($AQ26,'2_IMPORTAR_EJECUCION'!$J$9:$J$1208,0)),0)-$AI26))</f>
        <v/>
      </c>
      <c r="AK26" s="10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2">
        <f>IF($J27="","",TODAY()-$J27)</f>
        <v/>
      </c>
      <c r="AB27" s="12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IF($AE27="","",IF((IFERROR(INDEX('ASIGNACIONES'!$F$4:$F$339,MATCH($O27&amp;"|"&amp;$R27&amp;"|"&amp;$AE27,'ASIGNACIONES'!$J$4:$J$339,0)),""))=0,"",IFERROR(INDEX('ASIGNACIONES'!$F$4:$F$339,MATCH($O27&amp;"|"&amp;$R27&amp;"|"&amp;$AE27,'ASIGNACIONES'!$J$4:$J$339,0)),"")))</f>
        <v/>
      </c>
      <c r="AG27" s="13">
        <f>IF($AE27="","",SUMIFS('ORDENES'!$M$4:$M$1203,'ORDENES'!$AE$4:$AE$1203,$AE27,'ORDENES'!$O$4:$O$1203,$O27,'ORDENES'!$R$4:$R$1203,$R27))</f>
        <v/>
      </c>
      <c r="AH27" s="13">
        <f>IF($AG27="","",p_factor_productividad*IFERROR(INDEX('ASIGNACIONES'!$I$4:$I$339,MATCH($O27&amp;"|"&amp;$R27&amp;"|"&amp;$AE27,'ASIGNACIONES'!$J$4:$J$339,0)),0)-$AG27)</f>
        <v/>
      </c>
      <c r="AI27" s="10">
        <f>IF($A27="","",IFERROR(INDEX('2_IMPORTAR_EJECUCION'!$F$9:$F$1208,MATCH($AQ27,'2_IMPORTAR_EJECUCION'!$J$9:$J$1208,0)),0))</f>
        <v/>
      </c>
      <c r="AJ27" s="10">
        <f>IF($A27="","",MAX(0,IFERROR(INDEX('2_IMPORTAR_EJECUCION'!$H$9:$H$1208,MATCH($AQ27,'2_IMPORTAR_EJECUCION'!$J$9:$J$1208,0)),0)-$AI27))</f>
        <v/>
      </c>
      <c r="AK27" s="10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2">
        <f>IF($J28="","",TODAY()-$J28)</f>
        <v/>
      </c>
      <c r="AB28" s="12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01</t>
        </is>
      </c>
      <c r="AF28" s="3">
        <f>IF($AE28="","",IF((IFERROR(INDEX('ASIGNACIONES'!$F$4:$F$339,MATCH($O28&amp;"|"&amp;$R28&amp;"|"&amp;$AE28,'ASIGNACIONES'!$J$4:$J$339,0)),""))=0,"",IFERROR(INDEX('ASIGNACIONES'!$F$4:$F$339,MATCH($O28&amp;"|"&amp;$R28&amp;"|"&amp;$AE28,'ASIGNACIONES'!$J$4:$J$339,0)),"")))</f>
        <v/>
      </c>
      <c r="AG28" s="13">
        <f>IF($AE28="","",SUMIFS('ORDENES'!$M$4:$M$1203,'ORDENES'!$AE$4:$AE$1203,$AE28,'ORDENES'!$O$4:$O$1203,$O28,'ORDENES'!$R$4:$R$1203,$R28))</f>
        <v/>
      </c>
      <c r="AH28" s="13">
        <f>IF($AG28="","",p_factor_productividad*IFERROR(INDEX('ASIGNACIONES'!$I$4:$I$339,MATCH($O28&amp;"|"&amp;$R28&amp;"|"&amp;$AE28,'ASIGNACIONES'!$J$4:$J$339,0)),0)-$AG28)</f>
        <v/>
      </c>
      <c r="AI28" s="10">
        <f>IF($A28="","",IFERROR(INDEX('2_IMPORTAR_EJECUCION'!$F$9:$F$1208,MATCH($AQ28,'2_IMPORTAR_EJECUCION'!$J$9:$J$1208,0)),0))</f>
        <v/>
      </c>
      <c r="AJ28" s="10">
        <f>IF($A28="","",MAX(0,IFERROR(INDEX('2_IMPORTAR_EJECUCION'!$H$9:$H$1208,MATCH($AQ28,'2_IMPORTAR_EJECUCION'!$J$9:$J$1208,0)),0)-$AI28))</f>
        <v/>
      </c>
      <c r="AK28" s="10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2">
        <f>IF($J29="","",TODAY()-$J29)</f>
        <v/>
      </c>
      <c r="AB29" s="12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04</t>
        </is>
      </c>
      <c r="AF29" s="3">
        <f>IF($AE29="","",IF((IFERROR(INDEX('ASIGNACIONES'!$F$4:$F$339,MATCH($O29&amp;"|"&amp;$R29&amp;"|"&amp;$AE29,'ASIGNACIONES'!$J$4:$J$339,0)),""))=0,"",IFERROR(INDEX('ASIGNACIONES'!$F$4:$F$339,MATCH($O29&amp;"|"&amp;$R29&amp;"|"&amp;$AE29,'ASIGNACIONES'!$J$4:$J$339,0)),"")))</f>
        <v/>
      </c>
      <c r="AG29" s="13">
        <f>IF($AE29="","",SUMIFS('ORDENES'!$M$4:$M$1203,'ORDENES'!$AE$4:$AE$1203,$AE29,'ORDENES'!$O$4:$O$1203,$O29,'ORDENES'!$R$4:$R$1203,$R29))</f>
        <v/>
      </c>
      <c r="AH29" s="13">
        <f>IF($AG29="","",p_factor_productividad*IFERROR(INDEX('ASIGNACIONES'!$I$4:$I$339,MATCH($O29&amp;"|"&amp;$R29&amp;"|"&amp;$AE29,'ASIGNACIONES'!$J$4:$J$339,0)),0)-$AG29)</f>
        <v/>
      </c>
      <c r="AI29" s="10">
        <f>IF($A29="","",IFERROR(INDEX('2_IMPORTAR_EJECUCION'!$F$9:$F$1208,MATCH($AQ29,'2_IMPORTAR_EJECUCION'!$J$9:$J$1208,0)),0))</f>
        <v/>
      </c>
      <c r="AJ29" s="10">
        <f>IF($A29="","",MAX(0,IFERROR(INDEX('2_IMPORTAR_EJECUCION'!$H$9:$H$1208,MATCH($AQ29,'2_IMPORTAR_EJECUCION'!$J$9:$J$1208,0)),0)-$AI29))</f>
        <v/>
      </c>
      <c r="AK29" s="10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>
        <is>
          <t>Demo: asignada a técnico de vacaciones (HHD = −HHA)</t>
        </is>
      </c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2">
        <f>IF($J30="","",TODAY()-$J30)</f>
        <v/>
      </c>
      <c r="AB30" s="12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IF($AE30="","",IF((IFERROR(INDEX('ASIGNACIONES'!$F$4:$F$339,MATCH($O30&amp;"|"&amp;$R30&amp;"|"&amp;$AE30,'ASIGNACIONES'!$J$4:$J$339,0)),""))=0,"",IFERROR(INDEX('ASIGNACIONES'!$F$4:$F$339,MATCH($O30&amp;"|"&amp;$R30&amp;"|"&amp;$AE30,'ASIGNACIONES'!$J$4:$J$339,0)),"")))</f>
        <v/>
      </c>
      <c r="AG30" s="13">
        <f>IF($AE30="","",SUMIFS('ORDENES'!$M$4:$M$1203,'ORDENES'!$AE$4:$AE$1203,$AE30,'ORDENES'!$O$4:$O$1203,$O30,'ORDENES'!$R$4:$R$1203,$R30))</f>
        <v/>
      </c>
      <c r="AH30" s="13">
        <f>IF($AG30="","",p_factor_productividad*IFERROR(INDEX('ASIGNACIONES'!$I$4:$I$339,MATCH($O30&amp;"|"&amp;$R30&amp;"|"&amp;$AE30,'ASIGNACIONES'!$J$4:$J$339,0)),0)-$AG30)</f>
        <v/>
      </c>
      <c r="AI30" s="10">
        <f>IF($A30="","",IFERROR(INDEX('2_IMPORTAR_EJECUCION'!$F$9:$F$1208,MATCH($AQ30,'2_IMPORTAR_EJECUCION'!$J$9:$J$1208,0)),0))</f>
        <v/>
      </c>
      <c r="AJ30" s="10">
        <f>IF($A30="","",MAX(0,IFERROR(INDEX('2_IMPORTAR_EJECUCION'!$H$9:$H$1208,MATCH($AQ30,'2_IMPORTAR_EJECUCION'!$J$9:$J$1208,0)),0)-$AI30))</f>
        <v/>
      </c>
      <c r="AK30" s="10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2">
        <f>IF($J31="","",TODAY()-$J31)</f>
        <v/>
      </c>
      <c r="AB31" s="12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>
        <is>
          <t>Técnico 01</t>
        </is>
      </c>
      <c r="AF31" s="3">
        <f>IF($AE31="","",IF((IFERROR(INDEX('ASIGNACIONES'!$F$4:$F$339,MATCH($O31&amp;"|"&amp;$R31&amp;"|"&amp;$AE31,'ASIGNACIONES'!$J$4:$J$339,0)),""))=0,"",IFERROR(INDEX('ASIGNACIONES'!$F$4:$F$339,MATCH($O31&amp;"|"&amp;$R31&amp;"|"&amp;$AE31,'ASIGNACIONES'!$J$4:$J$339,0)),"")))</f>
        <v/>
      </c>
      <c r="AG31" s="13">
        <f>IF($AE31="","",SUMIFS('ORDENES'!$M$4:$M$1203,'ORDENES'!$AE$4:$AE$1203,$AE31,'ORDENES'!$O$4:$O$1203,$O31,'ORDENES'!$R$4:$R$1203,$R31))</f>
        <v/>
      </c>
      <c r="AH31" s="13">
        <f>IF($AG31="","",p_factor_productividad*IFERROR(INDEX('ASIGNACIONES'!$I$4:$I$339,MATCH($O31&amp;"|"&amp;$R31&amp;"|"&amp;$AE31,'ASIGNACIONES'!$J$4:$J$339,0)),0)-$AG31)</f>
        <v/>
      </c>
      <c r="AI31" s="10">
        <f>IF($A31="","",IFERROR(INDEX('2_IMPORTAR_EJECUCION'!$F$9:$F$1208,MATCH($AQ31,'2_IMPORTAR_EJECUCION'!$J$9:$J$1208,0)),0))</f>
        <v/>
      </c>
      <c r="AJ31" s="10">
        <f>IF($A31="","",MAX(0,IFERROR(INDEX('2_IMPORTAR_EJECUCION'!$H$9:$H$1208,MATCH($AQ31,'2_IMPORTAR_EJECUCION'!$J$9:$J$1208,0)),0)-$AI31))</f>
        <v/>
      </c>
      <c r="AK31" s="10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2">
        <f>IF($J32="","",TODAY()-$J32)</f>
        <v/>
      </c>
      <c r="AB32" s="12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02</t>
        </is>
      </c>
      <c r="AF32" s="3">
        <f>IF($AE32="","",IF((IFERROR(INDEX('ASIGNACIONES'!$F$4:$F$339,MATCH($O32&amp;"|"&amp;$R32&amp;"|"&amp;$AE32,'ASIGNACIONES'!$J$4:$J$339,0)),""))=0,"",IFERROR(INDEX('ASIGNACIONES'!$F$4:$F$339,MATCH($O32&amp;"|"&amp;$R32&amp;"|"&amp;$AE32,'ASIGNACIONES'!$J$4:$J$339,0)),"")))</f>
        <v/>
      </c>
      <c r="AG32" s="13">
        <f>IF($AE32="","",SUMIFS('ORDENES'!$M$4:$M$1203,'ORDENES'!$AE$4:$AE$1203,$AE32,'ORDENES'!$O$4:$O$1203,$O32,'ORDENES'!$R$4:$R$1203,$R32))</f>
        <v/>
      </c>
      <c r="AH32" s="13">
        <f>IF($AG32="","",p_factor_productividad*IFERROR(INDEX('ASIGNACIONES'!$I$4:$I$339,MATCH($O32&amp;"|"&amp;$R32&amp;"|"&amp;$AE32,'ASIGNACIONES'!$J$4:$J$339,0)),0)-$AG32)</f>
        <v/>
      </c>
      <c r="AI32" s="10">
        <f>IF($A32="","",IFERROR(INDEX('2_IMPORTAR_EJECUCION'!$F$9:$F$1208,MATCH($AQ32,'2_IMPORTAR_EJECUCION'!$J$9:$J$1208,0)),0))</f>
        <v/>
      </c>
      <c r="AJ32" s="10">
        <f>IF($A32="","",MAX(0,IFERROR(INDEX('2_IMPORTAR_EJECUCION'!$H$9:$H$1208,MATCH($AQ32,'2_IMPORTAR_EJECUCION'!$J$9:$J$1208,0)),0)-$AI32))</f>
        <v/>
      </c>
      <c r="AK32" s="10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2">
        <f>IF($J33="","",TODAY()-$J33)</f>
        <v/>
      </c>
      <c r="AB33" s="12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03</t>
        </is>
      </c>
      <c r="AF33" s="3">
        <f>IF($AE33="","",IF((IFERROR(INDEX('ASIGNACIONES'!$F$4:$F$339,MATCH($O33&amp;"|"&amp;$R33&amp;"|"&amp;$AE33,'ASIGNACIONES'!$J$4:$J$339,0)),""))=0,"",IFERROR(INDEX('ASIGNACIONES'!$F$4:$F$339,MATCH($O33&amp;"|"&amp;$R33&amp;"|"&amp;$AE33,'ASIGNACIONES'!$J$4:$J$339,0)),"")))</f>
        <v/>
      </c>
      <c r="AG33" s="13">
        <f>IF($AE33="","",SUMIFS('ORDENES'!$M$4:$M$1203,'ORDENES'!$AE$4:$AE$1203,$AE33,'ORDENES'!$O$4:$O$1203,$O33,'ORDENES'!$R$4:$R$1203,$R33))</f>
        <v/>
      </c>
      <c r="AH33" s="13">
        <f>IF($AG33="","",p_factor_productividad*IFERROR(INDEX('ASIGNACIONES'!$I$4:$I$339,MATCH($O33&amp;"|"&amp;$R33&amp;"|"&amp;$AE33,'ASIGNACIONES'!$J$4:$J$339,0)),0)-$AG33)</f>
        <v/>
      </c>
      <c r="AI33" s="10">
        <f>IF($A33="","",IFERROR(INDEX('2_IMPORTAR_EJECUCION'!$F$9:$F$1208,MATCH($AQ33,'2_IMPORTAR_EJECUCION'!$J$9:$J$1208,0)),0))</f>
        <v/>
      </c>
      <c r="AJ33" s="10">
        <f>IF($A33="","",MAX(0,IFERROR(INDEX('2_IMPORTAR_EJECUCION'!$H$9:$H$1208,MATCH($AQ33,'2_IMPORTAR_EJECUCION'!$J$9:$J$1208,0)),0)-$AI33))</f>
        <v/>
      </c>
      <c r="AK33" s="10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2">
        <f>IF($J34="","",TODAY()-$J34)</f>
        <v/>
      </c>
      <c r="AB34" s="12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IF($AE34="","",IF((IFERROR(INDEX('ASIGNACIONES'!$F$4:$F$339,MATCH($O34&amp;"|"&amp;$R34&amp;"|"&amp;$AE34,'ASIGNACIONES'!$J$4:$J$339,0)),""))=0,"",IFERROR(INDEX('ASIGNACIONES'!$F$4:$F$339,MATCH($O34&amp;"|"&amp;$R34&amp;"|"&amp;$AE34,'ASIGNACIONES'!$J$4:$J$339,0)),"")))</f>
        <v/>
      </c>
      <c r="AG34" s="13">
        <f>IF($AE34="","",SUMIFS('ORDENES'!$M$4:$M$1203,'ORDENES'!$AE$4:$AE$1203,$AE34,'ORDENES'!$O$4:$O$1203,$O34,'ORDENES'!$R$4:$R$1203,$R34))</f>
        <v/>
      </c>
      <c r="AH34" s="13">
        <f>IF($AG34="","",p_factor_productividad*IFERROR(INDEX('ASIGNACIONES'!$I$4:$I$339,MATCH($O34&amp;"|"&amp;$R34&amp;"|"&amp;$AE34,'ASIGNACIONES'!$J$4:$J$339,0)),0)-$AG34)</f>
        <v/>
      </c>
      <c r="AI34" s="10">
        <f>IF($A34="","",IFERROR(INDEX('2_IMPORTAR_EJECUCION'!$F$9:$F$1208,MATCH($AQ34,'2_IMPORTAR_EJECUCION'!$J$9:$J$1208,0)),0))</f>
        <v/>
      </c>
      <c r="AJ34" s="10">
        <f>IF($A34="","",MAX(0,IFERROR(INDEX('2_IMPORTAR_EJECUCION'!$H$9:$H$1208,MATCH($AQ34,'2_IMPORTAR_EJECUCION'!$J$9:$J$1208,0)),0)-$AI34))</f>
        <v/>
      </c>
      <c r="AK34" s="10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2">
        <f>IF($J35="","",TODAY()-$J35)</f>
        <v/>
      </c>
      <c r="AB35" s="12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IF($AE35="","",IF((IFERROR(INDEX('ASIGNACIONES'!$F$4:$F$339,MATCH($O35&amp;"|"&amp;$R35&amp;"|"&amp;$AE35,'ASIGNACIONES'!$J$4:$J$339,0)),""))=0,"",IFERROR(INDEX('ASIGNACIONES'!$F$4:$F$339,MATCH($O35&amp;"|"&amp;$R35&amp;"|"&amp;$AE35,'ASIGNACIONES'!$J$4:$J$339,0)),"")))</f>
        <v/>
      </c>
      <c r="AG35" s="13">
        <f>IF($AE35="","",SUMIFS('ORDENES'!$M$4:$M$1203,'ORDENES'!$AE$4:$AE$1203,$AE35,'ORDENES'!$O$4:$O$1203,$O35,'ORDENES'!$R$4:$R$1203,$R35))</f>
        <v/>
      </c>
      <c r="AH35" s="13">
        <f>IF($AG35="","",p_factor_productividad*IFERROR(INDEX('ASIGNACIONES'!$I$4:$I$339,MATCH($O35&amp;"|"&amp;$R35&amp;"|"&amp;$AE35,'ASIGNACIONES'!$J$4:$J$339,0)),0)-$AG35)</f>
        <v/>
      </c>
      <c r="AI35" s="10">
        <f>IF($A35="","",IFERROR(INDEX('2_IMPORTAR_EJECUCION'!$F$9:$F$1208,MATCH($AQ35,'2_IMPORTAR_EJECUCION'!$J$9:$J$1208,0)),0))</f>
        <v/>
      </c>
      <c r="AJ35" s="10">
        <f>IF($A35="","",MAX(0,IFERROR(INDEX('2_IMPORTAR_EJECUCION'!$H$9:$H$1208,MATCH($AQ35,'2_IMPORTAR_EJECUCION'!$J$9:$J$1208,0)),0)-$AI35))</f>
        <v/>
      </c>
      <c r="AK35" s="10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2">
        <f>IF($J36="","",TODAY()-$J36)</f>
        <v/>
      </c>
      <c r="AB36" s="12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IF($AE36="","",IF((IFERROR(INDEX('ASIGNACIONES'!$F$4:$F$339,MATCH($O36&amp;"|"&amp;$R36&amp;"|"&amp;$AE36,'ASIGNACIONES'!$J$4:$J$339,0)),""))=0,"",IFERROR(INDEX('ASIGNACIONES'!$F$4:$F$339,MATCH($O36&amp;"|"&amp;$R36&amp;"|"&amp;$AE36,'ASIGNACIONES'!$J$4:$J$339,0)),"")))</f>
        <v/>
      </c>
      <c r="AG36" s="13">
        <f>IF($AE36="","",SUMIFS('ORDENES'!$M$4:$M$1203,'ORDENES'!$AE$4:$AE$1203,$AE36,'ORDENES'!$O$4:$O$1203,$O36,'ORDENES'!$R$4:$R$1203,$R36))</f>
        <v/>
      </c>
      <c r="AH36" s="13">
        <f>IF($AG36="","",p_factor_productividad*IFERROR(INDEX('ASIGNACIONES'!$I$4:$I$339,MATCH($O36&amp;"|"&amp;$R36&amp;"|"&amp;$AE36,'ASIGNACIONES'!$J$4:$J$339,0)),0)-$AG36)</f>
        <v/>
      </c>
      <c r="AI36" s="10">
        <f>IF($A36="","",IFERROR(INDEX('2_IMPORTAR_EJECUCION'!$F$9:$F$1208,MATCH($AQ36,'2_IMPORTAR_EJECUCION'!$J$9:$J$1208,0)),0))</f>
        <v/>
      </c>
      <c r="AJ36" s="10">
        <f>IF($A36="","",MAX(0,IFERROR(INDEX('2_IMPORTAR_EJECUCION'!$H$9:$H$1208,MATCH($AQ36,'2_IMPORTAR_EJECUCION'!$J$9:$J$1208,0)),0)-$AI36))</f>
        <v/>
      </c>
      <c r="AK36" s="10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2">
        <f>IF($J37="","",TODAY()-$J37)</f>
        <v/>
      </c>
      <c r="AB37" s="12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>
        <is>
          <t>Técnico 01</t>
        </is>
      </c>
      <c r="AF37" s="3">
        <f>IF($AE37="","",IF((IFERROR(INDEX('ASIGNACIONES'!$F$4:$F$339,MATCH($O37&amp;"|"&amp;$R37&amp;"|"&amp;$AE37,'ASIGNACIONES'!$J$4:$J$339,0)),""))=0,"",IFERROR(INDEX('ASIGNACIONES'!$F$4:$F$339,MATCH($O37&amp;"|"&amp;$R37&amp;"|"&amp;$AE37,'ASIGNACIONES'!$J$4:$J$339,0)),"")))</f>
        <v/>
      </c>
      <c r="AG37" s="13">
        <f>IF($AE37="","",SUMIFS('ORDENES'!$M$4:$M$1203,'ORDENES'!$AE$4:$AE$1203,$AE37,'ORDENES'!$O$4:$O$1203,$O37,'ORDENES'!$R$4:$R$1203,$R37))</f>
        <v/>
      </c>
      <c r="AH37" s="13">
        <f>IF($AG37="","",p_factor_productividad*IFERROR(INDEX('ASIGNACIONES'!$I$4:$I$339,MATCH($O37&amp;"|"&amp;$R37&amp;"|"&amp;$AE37,'ASIGNACIONES'!$J$4:$J$339,0)),0)-$AG37)</f>
        <v/>
      </c>
      <c r="AI37" s="10">
        <f>IF($A37="","",IFERROR(INDEX('2_IMPORTAR_EJECUCION'!$F$9:$F$1208,MATCH($AQ37,'2_IMPORTAR_EJECUCION'!$J$9:$J$1208,0)),0))</f>
        <v/>
      </c>
      <c r="AJ37" s="10">
        <f>IF($A37="","",MAX(0,IFERROR(INDEX('2_IMPORTAR_EJECUCION'!$H$9:$H$1208,MATCH($AQ37,'2_IMPORTAR_EJECUCION'!$J$9:$J$1208,0)),0)-$AI37))</f>
        <v/>
      </c>
      <c r="AK37" s="10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2">
        <f>IF($J38="","",TODAY()-$J38)</f>
        <v/>
      </c>
      <c r="AB38" s="12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02</t>
        </is>
      </c>
      <c r="AF38" s="3">
        <f>IF($AE38="","",IF((IFERROR(INDEX('ASIGNACIONES'!$F$4:$F$339,MATCH($O38&amp;"|"&amp;$R38&amp;"|"&amp;$AE38,'ASIGNACIONES'!$J$4:$J$339,0)),""))=0,"",IFERROR(INDEX('ASIGNACIONES'!$F$4:$F$339,MATCH($O38&amp;"|"&amp;$R38&amp;"|"&amp;$AE38,'ASIGNACIONES'!$J$4:$J$339,0)),"")))</f>
        <v/>
      </c>
      <c r="AG38" s="13">
        <f>IF($AE38="","",SUMIFS('ORDENES'!$M$4:$M$1203,'ORDENES'!$AE$4:$AE$1203,$AE38,'ORDENES'!$O$4:$O$1203,$O38,'ORDENES'!$R$4:$R$1203,$R38))</f>
        <v/>
      </c>
      <c r="AH38" s="13">
        <f>IF($AG38="","",p_factor_productividad*IFERROR(INDEX('ASIGNACIONES'!$I$4:$I$339,MATCH($O38&amp;"|"&amp;$R38&amp;"|"&amp;$AE38,'ASIGNACIONES'!$J$4:$J$339,0)),0)-$AG38)</f>
        <v/>
      </c>
      <c r="AI38" s="10">
        <f>IF($A38="","",IFERROR(INDEX('2_IMPORTAR_EJECUCION'!$F$9:$F$1208,MATCH($AQ38,'2_IMPORTAR_EJECUCION'!$J$9:$J$1208,0)),0))</f>
        <v/>
      </c>
      <c r="AJ38" s="10">
        <f>IF($A38="","",MAX(0,IFERROR(INDEX('2_IMPORTAR_EJECUCION'!$H$9:$H$1208,MATCH($AQ38,'2_IMPORTAR_EJECUCION'!$J$9:$J$1208,0)),0)-$AI38))</f>
        <v/>
      </c>
      <c r="AK38" s="10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2">
        <f>IF($J39="","",TODAY()-$J39)</f>
        <v/>
      </c>
      <c r="AB39" s="12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IF($AE39="","",IF((IFERROR(INDEX('ASIGNACIONES'!$F$4:$F$339,MATCH($O39&amp;"|"&amp;$R39&amp;"|"&amp;$AE39,'ASIGNACIONES'!$J$4:$J$339,0)),""))=0,"",IFERROR(INDEX('ASIGNACIONES'!$F$4:$F$339,MATCH($O39&amp;"|"&amp;$R39&amp;"|"&amp;$AE39,'ASIGNACIONES'!$J$4:$J$339,0)),"")))</f>
        <v/>
      </c>
      <c r="AG39" s="13">
        <f>IF($AE39="","",SUMIFS('ORDENES'!$M$4:$M$1203,'ORDENES'!$AE$4:$AE$1203,$AE39,'ORDENES'!$O$4:$O$1203,$O39,'ORDENES'!$R$4:$R$1203,$R39))</f>
        <v/>
      </c>
      <c r="AH39" s="13">
        <f>IF($AG39="","",p_factor_productividad*IFERROR(INDEX('ASIGNACIONES'!$I$4:$I$339,MATCH($O39&amp;"|"&amp;$R39&amp;"|"&amp;$AE39,'ASIGNACIONES'!$J$4:$J$339,0)),0)-$AG39)</f>
        <v/>
      </c>
      <c r="AI39" s="10">
        <f>IF($A39="","",IFERROR(INDEX('2_IMPORTAR_EJECUCION'!$F$9:$F$1208,MATCH($AQ39,'2_IMPORTAR_EJECUCION'!$J$9:$J$1208,0)),0))</f>
        <v/>
      </c>
      <c r="AJ39" s="10">
        <f>IF($A39="","",MAX(0,IFERROR(INDEX('2_IMPORTAR_EJECUCION'!$H$9:$H$1208,MATCH($AQ39,'2_IMPORTAR_EJECUCION'!$J$9:$J$1208,0)),0)-$AI39))</f>
        <v/>
      </c>
      <c r="AK39" s="10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2">
        <f>IF($J40="","",TODAY()-$J40)</f>
        <v/>
      </c>
      <c r="AB40" s="12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IF($AE40="","",IF((IFERROR(INDEX('ASIGNACIONES'!$F$4:$F$339,MATCH($O40&amp;"|"&amp;$R40&amp;"|"&amp;$AE40,'ASIGNACIONES'!$J$4:$J$339,0)),""))=0,"",IFERROR(INDEX('ASIGNACIONES'!$F$4:$F$339,MATCH($O40&amp;"|"&amp;$R40&amp;"|"&amp;$AE40,'ASIGNACIONES'!$J$4:$J$339,0)),"")))</f>
        <v/>
      </c>
      <c r="AG40" s="13">
        <f>IF($AE40="","",SUMIFS('ORDENES'!$M$4:$M$1203,'ORDENES'!$AE$4:$AE$1203,$AE40,'ORDENES'!$O$4:$O$1203,$O40,'ORDENES'!$R$4:$R$1203,$R40))</f>
        <v/>
      </c>
      <c r="AH40" s="13">
        <f>IF($AG40="","",p_factor_productividad*IFERROR(INDEX('ASIGNACIONES'!$I$4:$I$339,MATCH($O40&amp;"|"&amp;$R40&amp;"|"&amp;$AE40,'ASIGNACIONES'!$J$4:$J$339,0)),0)-$AG40)</f>
        <v/>
      </c>
      <c r="AI40" s="10">
        <f>IF($A40="","",IFERROR(INDEX('2_IMPORTAR_EJECUCION'!$F$9:$F$1208,MATCH($AQ40,'2_IMPORTAR_EJECUCION'!$J$9:$J$1208,0)),0))</f>
        <v/>
      </c>
      <c r="AJ40" s="10">
        <f>IF($A40="","",MAX(0,IFERROR(INDEX('2_IMPORTAR_EJECUCION'!$H$9:$H$1208,MATCH($AQ40,'2_IMPORTAR_EJECUCION'!$J$9:$J$1208,0)),0)-$AI40))</f>
        <v/>
      </c>
      <c r="AK40" s="10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2">
        <f>IF($J41="","",TODAY()-$J41)</f>
        <v/>
      </c>
      <c r="AB41" s="12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02</t>
        </is>
      </c>
      <c r="AF41" s="3">
        <f>IF($AE41="","",IF((IFERROR(INDEX('ASIGNACIONES'!$F$4:$F$339,MATCH($O41&amp;"|"&amp;$R41&amp;"|"&amp;$AE41,'ASIGNACIONES'!$J$4:$J$339,0)),""))=0,"",IFERROR(INDEX('ASIGNACIONES'!$F$4:$F$339,MATCH($O41&amp;"|"&amp;$R41&amp;"|"&amp;$AE41,'ASIGNACIONES'!$J$4:$J$339,0)),"")))</f>
        <v/>
      </c>
      <c r="AG41" s="13">
        <f>IF($AE41="","",SUMIFS('ORDENES'!$M$4:$M$1203,'ORDENES'!$AE$4:$AE$1203,$AE41,'ORDENES'!$O$4:$O$1203,$O41,'ORDENES'!$R$4:$R$1203,$R41))</f>
        <v/>
      </c>
      <c r="AH41" s="13">
        <f>IF($AG41="","",p_factor_productividad*IFERROR(INDEX('ASIGNACIONES'!$I$4:$I$339,MATCH($O41&amp;"|"&amp;$R41&amp;"|"&amp;$AE41,'ASIGNACIONES'!$J$4:$J$339,0)),0)-$AG41)</f>
        <v/>
      </c>
      <c r="AI41" s="10">
        <f>IF($A41="","",IFERROR(INDEX('2_IMPORTAR_EJECUCION'!$F$9:$F$1208,MATCH($AQ41,'2_IMPORTAR_EJECUCION'!$J$9:$J$1208,0)),0))</f>
        <v/>
      </c>
      <c r="AJ41" s="10">
        <f>IF($A41="","",MAX(0,IFERROR(INDEX('2_IMPORTAR_EJECUCION'!$H$9:$H$1208,MATCH($AQ41,'2_IMPORTAR_EJECUCION'!$J$9:$J$1208,0)),0)-$AI41))</f>
        <v/>
      </c>
      <c r="AK41" s="10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2">
        <f>IF($J42="","",TODAY()-$J42)</f>
        <v/>
      </c>
      <c r="AB42" s="12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03</t>
        </is>
      </c>
      <c r="AF42" s="3">
        <f>IF($AE42="","",IF((IFERROR(INDEX('ASIGNACIONES'!$F$4:$F$339,MATCH($O42&amp;"|"&amp;$R42&amp;"|"&amp;$AE42,'ASIGNACIONES'!$J$4:$J$339,0)),""))=0,"",IFERROR(INDEX('ASIGNACIONES'!$F$4:$F$339,MATCH($O42&amp;"|"&amp;$R42&amp;"|"&amp;$AE42,'ASIGNACIONES'!$J$4:$J$339,0)),"")))</f>
        <v/>
      </c>
      <c r="AG42" s="13">
        <f>IF($AE42="","",SUMIFS('ORDENES'!$M$4:$M$1203,'ORDENES'!$AE$4:$AE$1203,$AE42,'ORDENES'!$O$4:$O$1203,$O42,'ORDENES'!$R$4:$R$1203,$R42))</f>
        <v/>
      </c>
      <c r="AH42" s="13">
        <f>IF($AG42="","",p_factor_productividad*IFERROR(INDEX('ASIGNACIONES'!$I$4:$I$339,MATCH($O42&amp;"|"&amp;$R42&amp;"|"&amp;$AE42,'ASIGNACIONES'!$J$4:$J$339,0)),0)-$AG42)</f>
        <v/>
      </c>
      <c r="AI42" s="10">
        <f>IF($A42="","",IFERROR(INDEX('2_IMPORTAR_EJECUCION'!$F$9:$F$1208,MATCH($AQ42,'2_IMPORTAR_EJECUCION'!$J$9:$J$1208,0)),0))</f>
        <v/>
      </c>
      <c r="AJ42" s="10">
        <f>IF($A42="","",MAX(0,IFERROR(INDEX('2_IMPORTAR_EJECUCION'!$H$9:$H$1208,MATCH($AQ42,'2_IMPORTAR_EJECUCION'!$J$9:$J$1208,0)),0)-$AI42))</f>
        <v/>
      </c>
      <c r="AK42" s="10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2">
        <f>IF($J43="","",TODAY()-$J43)</f>
        <v/>
      </c>
      <c r="AB43" s="12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>
        <is>
          <t>Técnico 04</t>
        </is>
      </c>
      <c r="AF43" s="3">
        <f>IF($AE43="","",IF((IFERROR(INDEX('ASIGNACIONES'!$F$4:$F$339,MATCH($O43&amp;"|"&amp;$R43&amp;"|"&amp;$AE43,'ASIGNACIONES'!$J$4:$J$339,0)),""))=0,"",IFERROR(INDEX('ASIGNACIONES'!$F$4:$F$339,MATCH($O43&amp;"|"&amp;$R43&amp;"|"&amp;$AE43,'ASIGNACIONES'!$J$4:$J$339,0)),"")))</f>
        <v/>
      </c>
      <c r="AG43" s="13">
        <f>IF($AE43="","",SUMIFS('ORDENES'!$M$4:$M$1203,'ORDENES'!$AE$4:$AE$1203,$AE43,'ORDENES'!$O$4:$O$1203,$O43,'ORDENES'!$R$4:$R$1203,$R43))</f>
        <v/>
      </c>
      <c r="AH43" s="13">
        <f>IF($AG43="","",p_factor_productividad*IFERROR(INDEX('ASIGNACIONES'!$I$4:$I$339,MATCH($O43&amp;"|"&amp;$R43&amp;"|"&amp;$AE43,'ASIGNACIONES'!$J$4:$J$339,0)),0)-$AG43)</f>
        <v/>
      </c>
      <c r="AI43" s="10">
        <f>IF($A43="","",IFERROR(INDEX('2_IMPORTAR_EJECUCION'!$F$9:$F$1208,MATCH($AQ43,'2_IMPORTAR_EJECUCION'!$J$9:$J$1208,0)),0))</f>
        <v/>
      </c>
      <c r="AJ43" s="10">
        <f>IF($A43="","",MAX(0,IFERROR(INDEX('2_IMPORTAR_EJECUCION'!$H$9:$H$1208,MATCH($AQ43,'2_IMPORTAR_EJECUCION'!$J$9:$J$1208,0)),0)-$AI43))</f>
        <v/>
      </c>
      <c r="AK43" s="10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2">
        <f>IF($J44="","",TODAY()-$J44)</f>
        <v/>
      </c>
      <c r="AB44" s="12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01</t>
        </is>
      </c>
      <c r="AF44" s="3">
        <f>IF($AE44="","",IF((IFERROR(INDEX('ASIGNACIONES'!$F$4:$F$339,MATCH($O44&amp;"|"&amp;$R44&amp;"|"&amp;$AE44,'ASIGNACIONES'!$J$4:$J$339,0)),""))=0,"",IFERROR(INDEX('ASIGNACIONES'!$F$4:$F$339,MATCH($O44&amp;"|"&amp;$R44&amp;"|"&amp;$AE44,'ASIGNACIONES'!$J$4:$J$339,0)),"")))</f>
        <v/>
      </c>
      <c r="AG44" s="13">
        <f>IF($AE44="","",SUMIFS('ORDENES'!$M$4:$M$1203,'ORDENES'!$AE$4:$AE$1203,$AE44,'ORDENES'!$O$4:$O$1203,$O44,'ORDENES'!$R$4:$R$1203,$R44))</f>
        <v/>
      </c>
      <c r="AH44" s="13">
        <f>IF($AG44="","",p_factor_productividad*IFERROR(INDEX('ASIGNACIONES'!$I$4:$I$339,MATCH($O44&amp;"|"&amp;$R44&amp;"|"&amp;$AE44,'ASIGNACIONES'!$J$4:$J$339,0)),0)-$AG44)</f>
        <v/>
      </c>
      <c r="AI44" s="10">
        <f>IF($A44="","",IFERROR(INDEX('2_IMPORTAR_EJECUCION'!$F$9:$F$1208,MATCH($AQ44,'2_IMPORTAR_EJECUCION'!$J$9:$J$1208,0)),0))</f>
        <v/>
      </c>
      <c r="AJ44" s="10">
        <f>IF($A44="","",MAX(0,IFERROR(INDEX('2_IMPORTAR_EJECUCION'!$H$9:$H$1208,MATCH($AQ44,'2_IMPORTAR_EJECUCION'!$J$9:$J$1208,0)),0)-$AI44))</f>
        <v/>
      </c>
      <c r="AK44" s="10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2">
        <f>IF($J45="","",TODAY()-$J45)</f>
        <v/>
      </c>
      <c r="AB45" s="12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02</t>
        </is>
      </c>
      <c r="AF45" s="3">
        <f>IF($AE45="","",IF((IFERROR(INDEX('ASIGNACIONES'!$F$4:$F$339,MATCH($O45&amp;"|"&amp;$R45&amp;"|"&amp;$AE45,'ASIGNACIONES'!$J$4:$J$339,0)),""))=0,"",IFERROR(INDEX('ASIGNACIONES'!$F$4:$F$339,MATCH($O45&amp;"|"&amp;$R45&amp;"|"&amp;$AE45,'ASIGNACIONES'!$J$4:$J$339,0)),"")))</f>
        <v/>
      </c>
      <c r="AG45" s="13">
        <f>IF($AE45="","",SUMIFS('ORDENES'!$M$4:$M$1203,'ORDENES'!$AE$4:$AE$1203,$AE45,'ORDENES'!$O$4:$O$1203,$O45,'ORDENES'!$R$4:$R$1203,$R45))</f>
        <v/>
      </c>
      <c r="AH45" s="13">
        <f>IF($AG45="","",p_factor_productividad*IFERROR(INDEX('ASIGNACIONES'!$I$4:$I$339,MATCH($O45&amp;"|"&amp;$R45&amp;"|"&amp;$AE45,'ASIGNACIONES'!$J$4:$J$339,0)),0)-$AG45)</f>
        <v/>
      </c>
      <c r="AI45" s="10">
        <f>IF($A45="","",IFERROR(INDEX('2_IMPORTAR_EJECUCION'!$F$9:$F$1208,MATCH($AQ45,'2_IMPORTAR_EJECUCION'!$J$9:$J$1208,0)),0))</f>
        <v/>
      </c>
      <c r="AJ45" s="10">
        <f>IF($A45="","",MAX(0,IFERROR(INDEX('2_IMPORTAR_EJECUCION'!$H$9:$H$1208,MATCH($AQ45,'2_IMPORTAR_EJECUCION'!$J$9:$J$1208,0)),0)-$AI45))</f>
        <v/>
      </c>
      <c r="AK45" s="10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2">
        <f>IF($J46="","",TODAY()-$J46)</f>
        <v/>
      </c>
      <c r="AB46" s="12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03</t>
        </is>
      </c>
      <c r="AF46" s="3">
        <f>IF($AE46="","",IF((IFERROR(INDEX('ASIGNACIONES'!$F$4:$F$339,MATCH($O46&amp;"|"&amp;$R46&amp;"|"&amp;$AE46,'ASIGNACIONES'!$J$4:$J$339,0)),""))=0,"",IFERROR(INDEX('ASIGNACIONES'!$F$4:$F$339,MATCH($O46&amp;"|"&amp;$R46&amp;"|"&amp;$AE46,'ASIGNACIONES'!$J$4:$J$339,0)),"")))</f>
        <v/>
      </c>
      <c r="AG46" s="13">
        <f>IF($AE46="","",SUMIFS('ORDENES'!$M$4:$M$1203,'ORDENES'!$AE$4:$AE$1203,$AE46,'ORDENES'!$O$4:$O$1203,$O46,'ORDENES'!$R$4:$R$1203,$R46))</f>
        <v/>
      </c>
      <c r="AH46" s="13">
        <f>IF($AG46="","",p_factor_productividad*IFERROR(INDEX('ASIGNACIONES'!$I$4:$I$339,MATCH($O46&amp;"|"&amp;$R46&amp;"|"&amp;$AE46,'ASIGNACIONES'!$J$4:$J$339,0)),0)-$AG46)</f>
        <v/>
      </c>
      <c r="AI46" s="10">
        <f>IF($A46="","",IFERROR(INDEX('2_IMPORTAR_EJECUCION'!$F$9:$F$1208,MATCH($AQ46,'2_IMPORTAR_EJECUCION'!$J$9:$J$1208,0)),0))</f>
        <v/>
      </c>
      <c r="AJ46" s="10">
        <f>IF($A46="","",MAX(0,IFERROR(INDEX('2_IMPORTAR_EJECUCION'!$H$9:$H$1208,MATCH($AQ46,'2_IMPORTAR_EJECUCION'!$J$9:$J$1208,0)),0)-$AI46))</f>
        <v/>
      </c>
      <c r="AK46" s="10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2">
        <f>IF($J47="","",TODAY()-$J47)</f>
        <v/>
      </c>
      <c r="AB47" s="12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04</t>
        </is>
      </c>
      <c r="AF47" s="3">
        <f>IF($AE47="","",IF((IFERROR(INDEX('ASIGNACIONES'!$F$4:$F$339,MATCH($O47&amp;"|"&amp;$R47&amp;"|"&amp;$AE47,'ASIGNACIONES'!$J$4:$J$339,0)),""))=0,"",IFERROR(INDEX('ASIGNACIONES'!$F$4:$F$339,MATCH($O47&amp;"|"&amp;$R47&amp;"|"&amp;$AE47,'ASIGNACIONES'!$J$4:$J$339,0)),"")))</f>
        <v/>
      </c>
      <c r="AG47" s="13">
        <f>IF($AE47="","",SUMIFS('ORDENES'!$M$4:$M$1203,'ORDENES'!$AE$4:$AE$1203,$AE47,'ORDENES'!$O$4:$O$1203,$O47,'ORDENES'!$R$4:$R$1203,$R47))</f>
        <v/>
      </c>
      <c r="AH47" s="13">
        <f>IF($AG47="","",p_factor_productividad*IFERROR(INDEX('ASIGNACIONES'!$I$4:$I$339,MATCH($O47&amp;"|"&amp;$R47&amp;"|"&amp;$AE47,'ASIGNACIONES'!$J$4:$J$339,0)),0)-$AG47)</f>
        <v/>
      </c>
      <c r="AI47" s="10">
        <f>IF($A47="","",IFERROR(INDEX('2_IMPORTAR_EJECUCION'!$F$9:$F$1208,MATCH($AQ47,'2_IMPORTAR_EJECUCION'!$J$9:$J$1208,0)),0))</f>
        <v/>
      </c>
      <c r="AJ47" s="10">
        <f>IF($A47="","",MAX(0,IFERROR(INDEX('2_IMPORTAR_EJECUCION'!$H$9:$H$1208,MATCH($AQ47,'2_IMPORTAR_EJECUCION'!$J$9:$J$1208,0)),0)-$AI47))</f>
        <v/>
      </c>
      <c r="AK47" s="10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2">
        <f>IF($J48="","",TODAY()-$J48)</f>
        <v/>
      </c>
      <c r="AB48" s="12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01</t>
        </is>
      </c>
      <c r="AF48" s="3">
        <f>IF($AE48="","",IF((IFERROR(INDEX('ASIGNACIONES'!$F$4:$F$339,MATCH($O48&amp;"|"&amp;$R48&amp;"|"&amp;$AE48,'ASIGNACIONES'!$J$4:$J$339,0)),""))=0,"",IFERROR(INDEX('ASIGNACIONES'!$F$4:$F$339,MATCH($O48&amp;"|"&amp;$R48&amp;"|"&amp;$AE48,'ASIGNACIONES'!$J$4:$J$339,0)),"")))</f>
        <v/>
      </c>
      <c r="AG48" s="13">
        <f>IF($AE48="","",SUMIFS('ORDENES'!$M$4:$M$1203,'ORDENES'!$AE$4:$AE$1203,$AE48,'ORDENES'!$O$4:$O$1203,$O48,'ORDENES'!$R$4:$R$1203,$R48))</f>
        <v/>
      </c>
      <c r="AH48" s="13">
        <f>IF($AG48="","",p_factor_productividad*IFERROR(INDEX('ASIGNACIONES'!$I$4:$I$339,MATCH($O48&amp;"|"&amp;$R48&amp;"|"&amp;$AE48,'ASIGNACIONES'!$J$4:$J$339,0)),0)-$AG48)</f>
        <v/>
      </c>
      <c r="AI48" s="10">
        <f>IF($A48="","",IFERROR(INDEX('2_IMPORTAR_EJECUCION'!$F$9:$F$1208,MATCH($AQ48,'2_IMPORTAR_EJECUCION'!$J$9:$J$1208,0)),0))</f>
        <v/>
      </c>
      <c r="AJ48" s="10">
        <f>IF($A48="","",MAX(0,IFERROR(INDEX('2_IMPORTAR_EJECUCION'!$H$9:$H$1208,MATCH($AQ48,'2_IMPORTAR_EJECUCION'!$J$9:$J$1208,0)),0)-$AI48))</f>
        <v/>
      </c>
      <c r="AK48" s="10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2">
        <f>IF($J49="","",TODAY()-$J49)</f>
        <v/>
      </c>
      <c r="AB49" s="12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02</t>
        </is>
      </c>
      <c r="AF49" s="3">
        <f>IF($AE49="","",IF((IFERROR(INDEX('ASIGNACIONES'!$F$4:$F$339,MATCH($O49&amp;"|"&amp;$R49&amp;"|"&amp;$AE49,'ASIGNACIONES'!$J$4:$J$339,0)),""))=0,"",IFERROR(INDEX('ASIGNACIONES'!$F$4:$F$339,MATCH($O49&amp;"|"&amp;$R49&amp;"|"&amp;$AE49,'ASIGNACIONES'!$J$4:$J$339,0)),"")))</f>
        <v/>
      </c>
      <c r="AG49" s="13">
        <f>IF($AE49="","",SUMIFS('ORDENES'!$M$4:$M$1203,'ORDENES'!$AE$4:$AE$1203,$AE49,'ORDENES'!$O$4:$O$1203,$O49,'ORDENES'!$R$4:$R$1203,$R49))</f>
        <v/>
      </c>
      <c r="AH49" s="13">
        <f>IF($AG49="","",p_factor_productividad*IFERROR(INDEX('ASIGNACIONES'!$I$4:$I$339,MATCH($O49&amp;"|"&amp;$R49&amp;"|"&amp;$AE49,'ASIGNACIONES'!$J$4:$J$339,0)),0)-$AG49)</f>
        <v/>
      </c>
      <c r="AI49" s="10">
        <f>IF($A49="","",IFERROR(INDEX('2_IMPORTAR_EJECUCION'!$F$9:$F$1208,MATCH($AQ49,'2_IMPORTAR_EJECUCION'!$J$9:$J$1208,0)),0))</f>
        <v/>
      </c>
      <c r="AJ49" s="10">
        <f>IF($A49="","",MAX(0,IFERROR(INDEX('2_IMPORTAR_EJECUCION'!$H$9:$H$1208,MATCH($AQ49,'2_IMPORTAR_EJECUCION'!$J$9:$J$1208,0)),0)-$AI49))</f>
        <v/>
      </c>
      <c r="AK49" s="10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2">
        <f>IF($J50="","",TODAY()-$J50)</f>
        <v/>
      </c>
      <c r="AB50" s="12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>
        <is>
          <t>Técnico 03</t>
        </is>
      </c>
      <c r="AF50" s="3">
        <f>IF($AE50="","",IF((IFERROR(INDEX('ASIGNACIONES'!$F$4:$F$339,MATCH($O50&amp;"|"&amp;$R50&amp;"|"&amp;$AE50,'ASIGNACIONES'!$J$4:$J$339,0)),""))=0,"",IFERROR(INDEX('ASIGNACIONES'!$F$4:$F$339,MATCH($O50&amp;"|"&amp;$R50&amp;"|"&amp;$AE50,'ASIGNACIONES'!$J$4:$J$339,0)),"")))</f>
        <v/>
      </c>
      <c r="AG50" s="13">
        <f>IF($AE50="","",SUMIFS('ORDENES'!$M$4:$M$1203,'ORDENES'!$AE$4:$AE$1203,$AE50,'ORDENES'!$O$4:$O$1203,$O50,'ORDENES'!$R$4:$R$1203,$R50))</f>
        <v/>
      </c>
      <c r="AH50" s="13">
        <f>IF($AG50="","",p_factor_productividad*IFERROR(INDEX('ASIGNACIONES'!$I$4:$I$339,MATCH($O50&amp;"|"&amp;$R50&amp;"|"&amp;$AE50,'ASIGNACIONES'!$J$4:$J$339,0)),0)-$AG50)</f>
        <v/>
      </c>
      <c r="AI50" s="10">
        <f>IF($A50="","",IFERROR(INDEX('2_IMPORTAR_EJECUCION'!$F$9:$F$1208,MATCH($AQ50,'2_IMPORTAR_EJECUCION'!$J$9:$J$1208,0)),0))</f>
        <v/>
      </c>
      <c r="AJ50" s="10">
        <f>IF($A50="","",MAX(0,IFERROR(INDEX('2_IMPORTAR_EJECUCION'!$H$9:$H$1208,MATCH($AQ50,'2_IMPORTAR_EJECUCION'!$J$9:$J$1208,0)),0)-$AI50))</f>
        <v/>
      </c>
      <c r="AK50" s="10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2">
        <f>IF($J51="","",TODAY()-$J51)</f>
        <v/>
      </c>
      <c r="AB51" s="12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IF($AE51="","",IF((IFERROR(INDEX('ASIGNACIONES'!$F$4:$F$339,MATCH($O51&amp;"|"&amp;$R51&amp;"|"&amp;$AE51,'ASIGNACIONES'!$J$4:$J$339,0)),""))=0,"",IFERROR(INDEX('ASIGNACIONES'!$F$4:$F$339,MATCH($O51&amp;"|"&amp;$R51&amp;"|"&amp;$AE51,'ASIGNACIONES'!$J$4:$J$339,0)),"")))</f>
        <v/>
      </c>
      <c r="AG51" s="13">
        <f>IF($AE51="","",SUMIFS('ORDENES'!$M$4:$M$1203,'ORDENES'!$AE$4:$AE$1203,$AE51,'ORDENES'!$O$4:$O$1203,$O51,'ORDENES'!$R$4:$R$1203,$R51))</f>
        <v/>
      </c>
      <c r="AH51" s="13">
        <f>IF($AG51="","",p_factor_productividad*IFERROR(INDEX('ASIGNACIONES'!$I$4:$I$339,MATCH($O51&amp;"|"&amp;$R51&amp;"|"&amp;$AE51,'ASIGNACIONES'!$J$4:$J$339,0)),0)-$AG51)</f>
        <v/>
      </c>
      <c r="AI51" s="10">
        <f>IF($A51="","",IFERROR(INDEX('2_IMPORTAR_EJECUCION'!$F$9:$F$1208,MATCH($AQ51,'2_IMPORTAR_EJECUCION'!$J$9:$J$1208,0)),0))</f>
        <v/>
      </c>
      <c r="AJ51" s="10">
        <f>IF($A51="","",MAX(0,IFERROR(INDEX('2_IMPORTAR_EJECUCION'!$H$9:$H$1208,MATCH($AQ51,'2_IMPORTAR_EJECUCION'!$J$9:$J$1208,0)),0)-$AI51))</f>
        <v/>
      </c>
      <c r="AK51" s="10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2">
        <f>IF($J52="","",TODAY()-$J52)</f>
        <v/>
      </c>
      <c r="AB52" s="12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05</t>
        </is>
      </c>
      <c r="AF52" s="3">
        <f>IF($AE52="","",IF((IFERROR(INDEX('ASIGNACIONES'!$F$4:$F$339,MATCH($O52&amp;"|"&amp;$R52&amp;"|"&amp;$AE52,'ASIGNACIONES'!$J$4:$J$339,0)),""))=0,"",IFERROR(INDEX('ASIGNACIONES'!$F$4:$F$339,MATCH($O52&amp;"|"&amp;$R52&amp;"|"&amp;$AE52,'ASIGNACIONES'!$J$4:$J$339,0)),"")))</f>
        <v/>
      </c>
      <c r="AG52" s="13">
        <f>IF($AE52="","",SUMIFS('ORDENES'!$M$4:$M$1203,'ORDENES'!$AE$4:$AE$1203,$AE52,'ORDENES'!$O$4:$O$1203,$O52,'ORDENES'!$R$4:$R$1203,$R52))</f>
        <v/>
      </c>
      <c r="AH52" s="13">
        <f>IF($AG52="","",p_factor_productividad*IFERROR(INDEX('ASIGNACIONES'!$I$4:$I$339,MATCH($O52&amp;"|"&amp;$R52&amp;"|"&amp;$AE52,'ASIGNACIONES'!$J$4:$J$339,0)),0)-$AG52)</f>
        <v/>
      </c>
      <c r="AI52" s="10">
        <f>IF($A52="","",IFERROR(INDEX('2_IMPORTAR_EJECUCION'!$F$9:$F$1208,MATCH($AQ52,'2_IMPORTAR_EJECUCION'!$J$9:$J$1208,0)),0))</f>
        <v/>
      </c>
      <c r="AJ52" s="10">
        <f>IF($A52="","",MAX(0,IFERROR(INDEX('2_IMPORTAR_EJECUCION'!$H$9:$H$1208,MATCH($AQ52,'2_IMPORTAR_EJECUCION'!$J$9:$J$1208,0)),0)-$AI52))</f>
        <v/>
      </c>
      <c r="AK52" s="10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2">
        <f>IF($J53="","",TODAY()-$J53)</f>
        <v/>
      </c>
      <c r="AB53" s="12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06</t>
        </is>
      </c>
      <c r="AF53" s="3">
        <f>IF($AE53="","",IF((IFERROR(INDEX('ASIGNACIONES'!$F$4:$F$339,MATCH($O53&amp;"|"&amp;$R53&amp;"|"&amp;$AE53,'ASIGNACIONES'!$J$4:$J$339,0)),""))=0,"",IFERROR(INDEX('ASIGNACIONES'!$F$4:$F$339,MATCH($O53&amp;"|"&amp;$R53&amp;"|"&amp;$AE53,'ASIGNACIONES'!$J$4:$J$339,0)),"")))</f>
        <v/>
      </c>
      <c r="AG53" s="13">
        <f>IF($AE53="","",SUMIFS('ORDENES'!$M$4:$M$1203,'ORDENES'!$AE$4:$AE$1203,$AE53,'ORDENES'!$O$4:$O$1203,$O53,'ORDENES'!$R$4:$R$1203,$R53))</f>
        <v/>
      </c>
      <c r="AH53" s="13">
        <f>IF($AG53="","",p_factor_productividad*IFERROR(INDEX('ASIGNACIONES'!$I$4:$I$339,MATCH($O53&amp;"|"&amp;$R53&amp;"|"&amp;$AE53,'ASIGNACIONES'!$J$4:$J$339,0)),0)-$AG53)</f>
        <v/>
      </c>
      <c r="AI53" s="10">
        <f>IF($A53="","",IFERROR(INDEX('2_IMPORTAR_EJECUCION'!$F$9:$F$1208,MATCH($AQ53,'2_IMPORTAR_EJECUCION'!$J$9:$J$1208,0)),0))</f>
        <v/>
      </c>
      <c r="AJ53" s="10">
        <f>IF($A53="","",MAX(0,IFERROR(INDEX('2_IMPORTAR_EJECUCION'!$H$9:$H$1208,MATCH($AQ53,'2_IMPORTAR_EJECUCION'!$J$9:$J$1208,0)),0)-$AI53))</f>
        <v/>
      </c>
      <c r="AK53" s="10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2">
        <f>IF($J54="","",TODAY()-$J54)</f>
        <v/>
      </c>
      <c r="AB54" s="12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07</t>
        </is>
      </c>
      <c r="AF54" s="3">
        <f>IF($AE54="","",IF((IFERROR(INDEX('ASIGNACIONES'!$F$4:$F$339,MATCH($O54&amp;"|"&amp;$R54&amp;"|"&amp;$AE54,'ASIGNACIONES'!$J$4:$J$339,0)),""))=0,"",IFERROR(INDEX('ASIGNACIONES'!$F$4:$F$339,MATCH($O54&amp;"|"&amp;$R54&amp;"|"&amp;$AE54,'ASIGNACIONES'!$J$4:$J$339,0)),"")))</f>
        <v/>
      </c>
      <c r="AG54" s="13">
        <f>IF($AE54="","",SUMIFS('ORDENES'!$M$4:$M$1203,'ORDENES'!$AE$4:$AE$1203,$AE54,'ORDENES'!$O$4:$O$1203,$O54,'ORDENES'!$R$4:$R$1203,$R54))</f>
        <v/>
      </c>
      <c r="AH54" s="13">
        <f>IF($AG54="","",p_factor_productividad*IFERROR(INDEX('ASIGNACIONES'!$I$4:$I$339,MATCH($O54&amp;"|"&amp;$R54&amp;"|"&amp;$AE54,'ASIGNACIONES'!$J$4:$J$339,0)),0)-$AG54)</f>
        <v/>
      </c>
      <c r="AI54" s="10">
        <f>IF($A54="","",IFERROR(INDEX('2_IMPORTAR_EJECUCION'!$F$9:$F$1208,MATCH($AQ54,'2_IMPORTAR_EJECUCION'!$J$9:$J$1208,0)),0))</f>
        <v/>
      </c>
      <c r="AJ54" s="10">
        <f>IF($A54="","",MAX(0,IFERROR(INDEX('2_IMPORTAR_EJECUCION'!$H$9:$H$1208,MATCH($AQ54,'2_IMPORTAR_EJECUCION'!$J$9:$J$1208,0)),0)-$AI54))</f>
        <v/>
      </c>
      <c r="AK54" s="10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2">
        <f>IF($J55="","",TODAY()-$J55)</f>
        <v/>
      </c>
      <c r="AB55" s="12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05</t>
        </is>
      </c>
      <c r="AF55" s="3">
        <f>IF($AE55="","",IF((IFERROR(INDEX('ASIGNACIONES'!$F$4:$F$339,MATCH($O55&amp;"|"&amp;$R55&amp;"|"&amp;$AE55,'ASIGNACIONES'!$J$4:$J$339,0)),""))=0,"",IFERROR(INDEX('ASIGNACIONES'!$F$4:$F$339,MATCH($O55&amp;"|"&amp;$R55&amp;"|"&amp;$AE55,'ASIGNACIONES'!$J$4:$J$339,0)),"")))</f>
        <v/>
      </c>
      <c r="AG55" s="13">
        <f>IF($AE55="","",SUMIFS('ORDENES'!$M$4:$M$1203,'ORDENES'!$AE$4:$AE$1203,$AE55,'ORDENES'!$O$4:$O$1203,$O55,'ORDENES'!$R$4:$R$1203,$R55))</f>
        <v/>
      </c>
      <c r="AH55" s="13">
        <f>IF($AG55="","",p_factor_productividad*IFERROR(INDEX('ASIGNACIONES'!$I$4:$I$339,MATCH($O55&amp;"|"&amp;$R55&amp;"|"&amp;$AE55,'ASIGNACIONES'!$J$4:$J$339,0)),0)-$AG55)</f>
        <v/>
      </c>
      <c r="AI55" s="10">
        <f>IF($A55="","",IFERROR(INDEX('2_IMPORTAR_EJECUCION'!$F$9:$F$1208,MATCH($AQ55,'2_IMPORTAR_EJECUCION'!$J$9:$J$1208,0)),0))</f>
        <v/>
      </c>
      <c r="AJ55" s="10">
        <f>IF($A55="","",MAX(0,IFERROR(INDEX('2_IMPORTAR_EJECUCION'!$H$9:$H$1208,MATCH($AQ55,'2_IMPORTAR_EJECUCION'!$J$9:$J$1208,0)),0)-$AI55))</f>
        <v/>
      </c>
      <c r="AK55" s="10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2">
        <f>IF($J56="","",TODAY()-$J56)</f>
        <v/>
      </c>
      <c r="AB56" s="12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06</t>
        </is>
      </c>
      <c r="AF56" s="3">
        <f>IF($AE56="","",IF((IFERROR(INDEX('ASIGNACIONES'!$F$4:$F$339,MATCH($O56&amp;"|"&amp;$R56&amp;"|"&amp;$AE56,'ASIGNACIONES'!$J$4:$J$339,0)),""))=0,"",IFERROR(INDEX('ASIGNACIONES'!$F$4:$F$339,MATCH($O56&amp;"|"&amp;$R56&amp;"|"&amp;$AE56,'ASIGNACIONES'!$J$4:$J$339,0)),"")))</f>
        <v/>
      </c>
      <c r="AG56" s="13">
        <f>IF($AE56="","",SUMIFS('ORDENES'!$M$4:$M$1203,'ORDENES'!$AE$4:$AE$1203,$AE56,'ORDENES'!$O$4:$O$1203,$O56,'ORDENES'!$R$4:$R$1203,$R56))</f>
        <v/>
      </c>
      <c r="AH56" s="13">
        <f>IF($AG56="","",p_factor_productividad*IFERROR(INDEX('ASIGNACIONES'!$I$4:$I$339,MATCH($O56&amp;"|"&amp;$R56&amp;"|"&amp;$AE56,'ASIGNACIONES'!$J$4:$J$339,0)),0)-$AG56)</f>
        <v/>
      </c>
      <c r="AI56" s="10">
        <f>IF($A56="","",IFERROR(INDEX('2_IMPORTAR_EJECUCION'!$F$9:$F$1208,MATCH($AQ56,'2_IMPORTAR_EJECUCION'!$J$9:$J$1208,0)),0))</f>
        <v/>
      </c>
      <c r="AJ56" s="10">
        <f>IF($A56="","",MAX(0,IFERROR(INDEX('2_IMPORTAR_EJECUCION'!$H$9:$H$1208,MATCH($AQ56,'2_IMPORTAR_EJECUCION'!$J$9:$J$1208,0)),0)-$AI56))</f>
        <v/>
      </c>
      <c r="AK56" s="10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2">
        <f>IF($J57="","",TODAY()-$J57)</f>
        <v/>
      </c>
      <c r="AB57" s="12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07</t>
        </is>
      </c>
      <c r="AF57" s="3">
        <f>IF($AE57="","",IF((IFERROR(INDEX('ASIGNACIONES'!$F$4:$F$339,MATCH($O57&amp;"|"&amp;$R57&amp;"|"&amp;$AE57,'ASIGNACIONES'!$J$4:$J$339,0)),""))=0,"",IFERROR(INDEX('ASIGNACIONES'!$F$4:$F$339,MATCH($O57&amp;"|"&amp;$R57&amp;"|"&amp;$AE57,'ASIGNACIONES'!$J$4:$J$339,0)),"")))</f>
        <v/>
      </c>
      <c r="AG57" s="13">
        <f>IF($AE57="","",SUMIFS('ORDENES'!$M$4:$M$1203,'ORDENES'!$AE$4:$AE$1203,$AE57,'ORDENES'!$O$4:$O$1203,$O57,'ORDENES'!$R$4:$R$1203,$R57))</f>
        <v/>
      </c>
      <c r="AH57" s="13">
        <f>IF($AG57="","",p_factor_productividad*IFERROR(INDEX('ASIGNACIONES'!$I$4:$I$339,MATCH($O57&amp;"|"&amp;$R57&amp;"|"&amp;$AE57,'ASIGNACIONES'!$J$4:$J$339,0)),0)-$AG57)</f>
        <v/>
      </c>
      <c r="AI57" s="10">
        <f>IF($A57="","",IFERROR(INDEX('2_IMPORTAR_EJECUCION'!$F$9:$F$1208,MATCH($AQ57,'2_IMPORTAR_EJECUCION'!$J$9:$J$1208,0)),0))</f>
        <v/>
      </c>
      <c r="AJ57" s="10">
        <f>IF($A57="","",MAX(0,IFERROR(INDEX('2_IMPORTAR_EJECUCION'!$H$9:$H$1208,MATCH($AQ57,'2_IMPORTAR_EJECUCION'!$J$9:$J$1208,0)),0)-$AI57))</f>
        <v/>
      </c>
      <c r="AK57" s="10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2">
        <f>IF($J58="","",TODAY()-$J58)</f>
        <v/>
      </c>
      <c r="AB58" s="12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05</t>
        </is>
      </c>
      <c r="AF58" s="3">
        <f>IF($AE58="","",IF((IFERROR(INDEX('ASIGNACIONES'!$F$4:$F$339,MATCH($O58&amp;"|"&amp;$R58&amp;"|"&amp;$AE58,'ASIGNACIONES'!$J$4:$J$339,0)),""))=0,"",IFERROR(INDEX('ASIGNACIONES'!$F$4:$F$339,MATCH($O58&amp;"|"&amp;$R58&amp;"|"&amp;$AE58,'ASIGNACIONES'!$J$4:$J$339,0)),"")))</f>
        <v/>
      </c>
      <c r="AG58" s="13">
        <f>IF($AE58="","",SUMIFS('ORDENES'!$M$4:$M$1203,'ORDENES'!$AE$4:$AE$1203,$AE58,'ORDENES'!$O$4:$O$1203,$O58,'ORDENES'!$R$4:$R$1203,$R58))</f>
        <v/>
      </c>
      <c r="AH58" s="13">
        <f>IF($AG58="","",p_factor_productividad*IFERROR(INDEX('ASIGNACIONES'!$I$4:$I$339,MATCH($O58&amp;"|"&amp;$R58&amp;"|"&amp;$AE58,'ASIGNACIONES'!$J$4:$J$339,0)),0)-$AG58)</f>
        <v/>
      </c>
      <c r="AI58" s="10">
        <f>IF($A58="","",IFERROR(INDEX('2_IMPORTAR_EJECUCION'!$F$9:$F$1208,MATCH($AQ58,'2_IMPORTAR_EJECUCION'!$J$9:$J$1208,0)),0))</f>
        <v/>
      </c>
      <c r="AJ58" s="10">
        <f>IF($A58="","",MAX(0,IFERROR(INDEX('2_IMPORTAR_EJECUCION'!$H$9:$H$1208,MATCH($AQ58,'2_IMPORTAR_EJECUCION'!$J$9:$J$1208,0)),0)-$AI58))</f>
        <v/>
      </c>
      <c r="AK58" s="10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2">
        <f>IF($J59="","",TODAY()-$J59)</f>
        <v/>
      </c>
      <c r="AB59" s="12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06</t>
        </is>
      </c>
      <c r="AF59" s="3">
        <f>IF($AE59="","",IF((IFERROR(INDEX('ASIGNACIONES'!$F$4:$F$339,MATCH($O59&amp;"|"&amp;$R59&amp;"|"&amp;$AE59,'ASIGNACIONES'!$J$4:$J$339,0)),""))=0,"",IFERROR(INDEX('ASIGNACIONES'!$F$4:$F$339,MATCH($O59&amp;"|"&amp;$R59&amp;"|"&amp;$AE59,'ASIGNACIONES'!$J$4:$J$339,0)),"")))</f>
        <v/>
      </c>
      <c r="AG59" s="13">
        <f>IF($AE59="","",SUMIFS('ORDENES'!$M$4:$M$1203,'ORDENES'!$AE$4:$AE$1203,$AE59,'ORDENES'!$O$4:$O$1203,$O59,'ORDENES'!$R$4:$R$1203,$R59))</f>
        <v/>
      </c>
      <c r="AH59" s="13">
        <f>IF($AG59="","",p_factor_productividad*IFERROR(INDEX('ASIGNACIONES'!$I$4:$I$339,MATCH($O59&amp;"|"&amp;$R59&amp;"|"&amp;$AE59,'ASIGNACIONES'!$J$4:$J$339,0)),0)-$AG59)</f>
        <v/>
      </c>
      <c r="AI59" s="10">
        <f>IF($A59="","",IFERROR(INDEX('2_IMPORTAR_EJECUCION'!$F$9:$F$1208,MATCH($AQ59,'2_IMPORTAR_EJECUCION'!$J$9:$J$1208,0)),0))</f>
        <v/>
      </c>
      <c r="AJ59" s="10">
        <f>IF($A59="","",MAX(0,IFERROR(INDEX('2_IMPORTAR_EJECUCION'!$H$9:$H$1208,MATCH($AQ59,'2_IMPORTAR_EJECUCION'!$J$9:$J$1208,0)),0)-$AI59))</f>
        <v/>
      </c>
      <c r="AK59" s="10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2">
        <f>IF($J60="","",TODAY()-$J60)</f>
        <v/>
      </c>
      <c r="AB60" s="12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07</t>
        </is>
      </c>
      <c r="AF60" s="3">
        <f>IF($AE60="","",IF((IFERROR(INDEX('ASIGNACIONES'!$F$4:$F$339,MATCH($O60&amp;"|"&amp;$R60&amp;"|"&amp;$AE60,'ASIGNACIONES'!$J$4:$J$339,0)),""))=0,"",IFERROR(INDEX('ASIGNACIONES'!$F$4:$F$339,MATCH($O60&amp;"|"&amp;$R60&amp;"|"&amp;$AE60,'ASIGNACIONES'!$J$4:$J$339,0)),"")))</f>
        <v/>
      </c>
      <c r="AG60" s="13">
        <f>IF($AE60="","",SUMIFS('ORDENES'!$M$4:$M$1203,'ORDENES'!$AE$4:$AE$1203,$AE60,'ORDENES'!$O$4:$O$1203,$O60,'ORDENES'!$R$4:$R$1203,$R60))</f>
        <v/>
      </c>
      <c r="AH60" s="13">
        <f>IF($AG60="","",p_factor_productividad*IFERROR(INDEX('ASIGNACIONES'!$I$4:$I$339,MATCH($O60&amp;"|"&amp;$R60&amp;"|"&amp;$AE60,'ASIGNACIONES'!$J$4:$J$339,0)),0)-$AG60)</f>
        <v/>
      </c>
      <c r="AI60" s="10">
        <f>IF($A60="","",IFERROR(INDEX('2_IMPORTAR_EJECUCION'!$F$9:$F$1208,MATCH($AQ60,'2_IMPORTAR_EJECUCION'!$J$9:$J$1208,0)),0))</f>
        <v/>
      </c>
      <c r="AJ60" s="10">
        <f>IF($A60="","",MAX(0,IFERROR(INDEX('2_IMPORTAR_EJECUCION'!$H$9:$H$1208,MATCH($AQ60,'2_IMPORTAR_EJECUCION'!$J$9:$J$1208,0)),0)-$AI60))</f>
        <v/>
      </c>
      <c r="AK60" s="10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2">
        <f>IF($J61="","",TODAY()-$J61)</f>
        <v/>
      </c>
      <c r="AB61" s="12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05</t>
        </is>
      </c>
      <c r="AF61" s="3">
        <f>IF($AE61="","",IF((IFERROR(INDEX('ASIGNACIONES'!$F$4:$F$339,MATCH($O61&amp;"|"&amp;$R61&amp;"|"&amp;$AE61,'ASIGNACIONES'!$J$4:$J$339,0)),""))=0,"",IFERROR(INDEX('ASIGNACIONES'!$F$4:$F$339,MATCH($O61&amp;"|"&amp;$R61&amp;"|"&amp;$AE61,'ASIGNACIONES'!$J$4:$J$339,0)),"")))</f>
        <v/>
      </c>
      <c r="AG61" s="13">
        <f>IF($AE61="","",SUMIFS('ORDENES'!$M$4:$M$1203,'ORDENES'!$AE$4:$AE$1203,$AE61,'ORDENES'!$O$4:$O$1203,$O61,'ORDENES'!$R$4:$R$1203,$R61))</f>
        <v/>
      </c>
      <c r="AH61" s="13">
        <f>IF($AG61="","",p_factor_productividad*IFERROR(INDEX('ASIGNACIONES'!$I$4:$I$339,MATCH($O61&amp;"|"&amp;$R61&amp;"|"&amp;$AE61,'ASIGNACIONES'!$J$4:$J$339,0)),0)-$AG61)</f>
        <v/>
      </c>
      <c r="AI61" s="10">
        <f>IF($A61="","",IFERROR(INDEX('2_IMPORTAR_EJECUCION'!$F$9:$F$1208,MATCH($AQ61,'2_IMPORTAR_EJECUCION'!$J$9:$J$1208,0)),0))</f>
        <v/>
      </c>
      <c r="AJ61" s="10">
        <f>IF($A61="","",MAX(0,IFERROR(INDEX('2_IMPORTAR_EJECUCION'!$H$9:$H$1208,MATCH($AQ61,'2_IMPORTAR_EJECUCION'!$J$9:$J$1208,0)),0)-$AI61))</f>
        <v/>
      </c>
      <c r="AK61" s="10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2">
        <f>IF($J62="","",TODAY()-$J62)</f>
        <v/>
      </c>
      <c r="AB62" s="12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06</t>
        </is>
      </c>
      <c r="AF62" s="3">
        <f>IF($AE62="","",IF((IFERROR(INDEX('ASIGNACIONES'!$F$4:$F$339,MATCH($O62&amp;"|"&amp;$R62&amp;"|"&amp;$AE62,'ASIGNACIONES'!$J$4:$J$339,0)),""))=0,"",IFERROR(INDEX('ASIGNACIONES'!$F$4:$F$339,MATCH($O62&amp;"|"&amp;$R62&amp;"|"&amp;$AE62,'ASIGNACIONES'!$J$4:$J$339,0)),"")))</f>
        <v/>
      </c>
      <c r="AG62" s="13">
        <f>IF($AE62="","",SUMIFS('ORDENES'!$M$4:$M$1203,'ORDENES'!$AE$4:$AE$1203,$AE62,'ORDENES'!$O$4:$O$1203,$O62,'ORDENES'!$R$4:$R$1203,$R62))</f>
        <v/>
      </c>
      <c r="AH62" s="13">
        <f>IF($AG62="","",p_factor_productividad*IFERROR(INDEX('ASIGNACIONES'!$I$4:$I$339,MATCH($O62&amp;"|"&amp;$R62&amp;"|"&amp;$AE62,'ASIGNACIONES'!$J$4:$J$339,0)),0)-$AG62)</f>
        <v/>
      </c>
      <c r="AI62" s="10">
        <f>IF($A62="","",IFERROR(INDEX('2_IMPORTAR_EJECUCION'!$F$9:$F$1208,MATCH($AQ62,'2_IMPORTAR_EJECUCION'!$J$9:$J$1208,0)),0))</f>
        <v/>
      </c>
      <c r="AJ62" s="10">
        <f>IF($A62="","",MAX(0,IFERROR(INDEX('2_IMPORTAR_EJECUCION'!$H$9:$H$1208,MATCH($AQ62,'2_IMPORTAR_EJECUCION'!$J$9:$J$1208,0)),0)-$AI62))</f>
        <v/>
      </c>
      <c r="AK62" s="10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/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2">
        <f>IF($J63="","",TODAY()-$J63)</f>
        <v/>
      </c>
      <c r="AB63" s="12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IF($AE63="","",IF((IFERROR(INDEX('ASIGNACIONES'!$F$4:$F$339,MATCH($O63&amp;"|"&amp;$R63&amp;"|"&amp;$AE63,'ASIGNACIONES'!$J$4:$J$339,0)),""))=0,"",IFERROR(INDEX('ASIGNACIONES'!$F$4:$F$339,MATCH($O63&amp;"|"&amp;$R63&amp;"|"&amp;$AE63,'ASIGNACIONES'!$J$4:$J$339,0)),"")))</f>
        <v/>
      </c>
      <c r="AG63" s="13">
        <f>IF($AE63="","",SUMIFS('ORDENES'!$M$4:$M$1203,'ORDENES'!$AE$4:$AE$1203,$AE63,'ORDENES'!$O$4:$O$1203,$O63,'ORDENES'!$R$4:$R$1203,$R63))</f>
        <v/>
      </c>
      <c r="AH63" s="13">
        <f>IF($AG63="","",p_factor_productividad*IFERROR(INDEX('ASIGNACIONES'!$I$4:$I$339,MATCH($O63&amp;"|"&amp;$R63&amp;"|"&amp;$AE63,'ASIGNACIONES'!$J$4:$J$339,0)),0)-$AG63)</f>
        <v/>
      </c>
      <c r="AI63" s="10">
        <f>IF($A63="","",IFERROR(INDEX('2_IMPORTAR_EJECUCION'!$F$9:$F$1208,MATCH($AQ63,'2_IMPORTAR_EJECUCION'!$J$9:$J$1208,0)),0))</f>
        <v/>
      </c>
      <c r="AJ63" s="10">
        <f>IF($A63="","",MAX(0,IFERROR(INDEX('2_IMPORTAR_EJECUCION'!$H$9:$H$1208,MATCH($AQ63,'2_IMPORTAR_EJECUCION'!$J$9:$J$1208,0)),0)-$AI63))</f>
        <v/>
      </c>
      <c r="AK63" s="10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2">
        <f>IF($J64="","",TODAY()-$J64)</f>
        <v/>
      </c>
      <c r="AB64" s="12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05</t>
        </is>
      </c>
      <c r="AF64" s="3">
        <f>IF($AE64="","",IF((IFERROR(INDEX('ASIGNACIONES'!$F$4:$F$339,MATCH($O64&amp;"|"&amp;$R64&amp;"|"&amp;$AE64,'ASIGNACIONES'!$J$4:$J$339,0)),""))=0,"",IFERROR(INDEX('ASIGNACIONES'!$F$4:$F$339,MATCH($O64&amp;"|"&amp;$R64&amp;"|"&amp;$AE64,'ASIGNACIONES'!$J$4:$J$339,0)),"")))</f>
        <v/>
      </c>
      <c r="AG64" s="13">
        <f>IF($AE64="","",SUMIFS('ORDENES'!$M$4:$M$1203,'ORDENES'!$AE$4:$AE$1203,$AE64,'ORDENES'!$O$4:$O$1203,$O64,'ORDENES'!$R$4:$R$1203,$R64))</f>
        <v/>
      </c>
      <c r="AH64" s="13">
        <f>IF($AG64="","",p_factor_productividad*IFERROR(INDEX('ASIGNACIONES'!$I$4:$I$339,MATCH($O64&amp;"|"&amp;$R64&amp;"|"&amp;$AE64,'ASIGNACIONES'!$J$4:$J$339,0)),0)-$AG64)</f>
        <v/>
      </c>
      <c r="AI64" s="10">
        <f>IF($A64="","",IFERROR(INDEX('2_IMPORTAR_EJECUCION'!$F$9:$F$1208,MATCH($AQ64,'2_IMPORTAR_EJECUCION'!$J$9:$J$1208,0)),0))</f>
        <v/>
      </c>
      <c r="AJ64" s="10">
        <f>IF($A64="","",MAX(0,IFERROR(INDEX('2_IMPORTAR_EJECUCION'!$H$9:$H$1208,MATCH($AQ64,'2_IMPORTAR_EJECUCION'!$J$9:$J$1208,0)),0)-$AI64))</f>
        <v/>
      </c>
      <c r="AK64" s="10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>
        <is>
          <t>Ajuste 6 → 4 h en hoja AJUSTES</t>
        </is>
      </c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2">
        <f>IF($J65="","",TODAY()-$J65)</f>
        <v/>
      </c>
      <c r="AB65" s="12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06</t>
        </is>
      </c>
      <c r="AF65" s="3">
        <f>IF($AE65="","",IF((IFERROR(INDEX('ASIGNACIONES'!$F$4:$F$339,MATCH($O65&amp;"|"&amp;$R65&amp;"|"&amp;$AE65,'ASIGNACIONES'!$J$4:$J$339,0)),""))=0,"",IFERROR(INDEX('ASIGNACIONES'!$F$4:$F$339,MATCH($O65&amp;"|"&amp;$R65&amp;"|"&amp;$AE65,'ASIGNACIONES'!$J$4:$J$339,0)),"")))</f>
        <v/>
      </c>
      <c r="AG65" s="13">
        <f>IF($AE65="","",SUMIFS('ORDENES'!$M$4:$M$1203,'ORDENES'!$AE$4:$AE$1203,$AE65,'ORDENES'!$O$4:$O$1203,$O65,'ORDENES'!$R$4:$R$1203,$R65))</f>
        <v/>
      </c>
      <c r="AH65" s="13">
        <f>IF($AG65="","",p_factor_productividad*IFERROR(INDEX('ASIGNACIONES'!$I$4:$I$339,MATCH($O65&amp;"|"&amp;$R65&amp;"|"&amp;$AE65,'ASIGNACIONES'!$J$4:$J$339,0)),0)-$AG65)</f>
        <v/>
      </c>
      <c r="AI65" s="10">
        <f>IF($A65="","",IFERROR(INDEX('2_IMPORTAR_EJECUCION'!$F$9:$F$1208,MATCH($AQ65,'2_IMPORTAR_EJECUCION'!$J$9:$J$1208,0)),0))</f>
        <v/>
      </c>
      <c r="AJ65" s="10">
        <f>IF($A65="","",MAX(0,IFERROR(INDEX('2_IMPORTAR_EJECUCION'!$H$9:$H$1208,MATCH($AQ65,'2_IMPORTAR_EJECUCION'!$J$9:$J$1208,0)),0)-$AI65))</f>
        <v/>
      </c>
      <c r="AK65" s="10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2">
        <f>IF($J66="","",TODAY()-$J66)</f>
        <v/>
      </c>
      <c r="AB66" s="12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07</t>
        </is>
      </c>
      <c r="AF66" s="3">
        <f>IF($AE66="","",IF((IFERROR(INDEX('ASIGNACIONES'!$F$4:$F$339,MATCH($O66&amp;"|"&amp;$R66&amp;"|"&amp;$AE66,'ASIGNACIONES'!$J$4:$J$339,0)),""))=0,"",IFERROR(INDEX('ASIGNACIONES'!$F$4:$F$339,MATCH($O66&amp;"|"&amp;$R66&amp;"|"&amp;$AE66,'ASIGNACIONES'!$J$4:$J$339,0)),"")))</f>
        <v/>
      </c>
      <c r="AG66" s="13">
        <f>IF($AE66="","",SUMIFS('ORDENES'!$M$4:$M$1203,'ORDENES'!$AE$4:$AE$1203,$AE66,'ORDENES'!$O$4:$O$1203,$O66,'ORDENES'!$R$4:$R$1203,$R66))</f>
        <v/>
      </c>
      <c r="AH66" s="13">
        <f>IF($AG66="","",p_factor_productividad*IFERROR(INDEX('ASIGNACIONES'!$I$4:$I$339,MATCH($O66&amp;"|"&amp;$R66&amp;"|"&amp;$AE66,'ASIGNACIONES'!$J$4:$J$339,0)),0)-$AG66)</f>
        <v/>
      </c>
      <c r="AI66" s="10">
        <f>IF($A66="","",IFERROR(INDEX('2_IMPORTAR_EJECUCION'!$F$9:$F$1208,MATCH($AQ66,'2_IMPORTAR_EJECUCION'!$J$9:$J$1208,0)),0))</f>
        <v/>
      </c>
      <c r="AJ66" s="10">
        <f>IF($A66="","",MAX(0,IFERROR(INDEX('2_IMPORTAR_EJECUCION'!$H$9:$H$1208,MATCH($AQ66,'2_IMPORTAR_EJECUCION'!$J$9:$J$1208,0)),0)-$AI66))</f>
        <v/>
      </c>
      <c r="AK66" s="10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2">
        <f>IF($J67="","",TODAY()-$J67)</f>
        <v/>
      </c>
      <c r="AB67" s="12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05</t>
        </is>
      </c>
      <c r="AF67" s="3">
        <f>IF($AE67="","",IF((IFERROR(INDEX('ASIGNACIONES'!$F$4:$F$339,MATCH($O67&amp;"|"&amp;$R67&amp;"|"&amp;$AE67,'ASIGNACIONES'!$J$4:$J$339,0)),""))=0,"",IFERROR(INDEX('ASIGNACIONES'!$F$4:$F$339,MATCH($O67&amp;"|"&amp;$R67&amp;"|"&amp;$AE67,'ASIGNACIONES'!$J$4:$J$339,0)),"")))</f>
        <v/>
      </c>
      <c r="AG67" s="13">
        <f>IF($AE67="","",SUMIFS('ORDENES'!$M$4:$M$1203,'ORDENES'!$AE$4:$AE$1203,$AE67,'ORDENES'!$O$4:$O$1203,$O67,'ORDENES'!$R$4:$R$1203,$R67))</f>
        <v/>
      </c>
      <c r="AH67" s="13">
        <f>IF($AG67="","",p_factor_productividad*IFERROR(INDEX('ASIGNACIONES'!$I$4:$I$339,MATCH($O67&amp;"|"&amp;$R67&amp;"|"&amp;$AE67,'ASIGNACIONES'!$J$4:$J$339,0)),0)-$AG67)</f>
        <v/>
      </c>
      <c r="AI67" s="10">
        <f>IF($A67="","",IFERROR(INDEX('2_IMPORTAR_EJECUCION'!$F$9:$F$1208,MATCH($AQ67,'2_IMPORTAR_EJECUCION'!$J$9:$J$1208,0)),0))</f>
        <v/>
      </c>
      <c r="AJ67" s="10">
        <f>IF($A67="","",MAX(0,IFERROR(INDEX('2_IMPORTAR_EJECUCION'!$H$9:$H$1208,MATCH($AQ67,'2_IMPORTAR_EJECUCION'!$J$9:$J$1208,0)),0)-$AI67))</f>
        <v/>
      </c>
      <c r="AK67" s="10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2">
        <f>IF($J68="","",TODAY()-$J68)</f>
        <v/>
      </c>
      <c r="AB68" s="12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06</t>
        </is>
      </c>
      <c r="AF68" s="3">
        <f>IF($AE68="","",IF((IFERROR(INDEX('ASIGNACIONES'!$F$4:$F$339,MATCH($O68&amp;"|"&amp;$R68&amp;"|"&amp;$AE68,'ASIGNACIONES'!$J$4:$J$339,0)),""))=0,"",IFERROR(INDEX('ASIGNACIONES'!$F$4:$F$339,MATCH($O68&amp;"|"&amp;$R68&amp;"|"&amp;$AE68,'ASIGNACIONES'!$J$4:$J$339,0)),"")))</f>
        <v/>
      </c>
      <c r="AG68" s="13">
        <f>IF($AE68="","",SUMIFS('ORDENES'!$M$4:$M$1203,'ORDENES'!$AE$4:$AE$1203,$AE68,'ORDENES'!$O$4:$O$1203,$O68,'ORDENES'!$R$4:$R$1203,$R68))</f>
        <v/>
      </c>
      <c r="AH68" s="13">
        <f>IF($AG68="","",p_factor_productividad*IFERROR(INDEX('ASIGNACIONES'!$I$4:$I$339,MATCH($O68&amp;"|"&amp;$R68&amp;"|"&amp;$AE68,'ASIGNACIONES'!$J$4:$J$339,0)),0)-$AG68)</f>
        <v/>
      </c>
      <c r="AI68" s="10">
        <f>IF($A68="","",IFERROR(INDEX('2_IMPORTAR_EJECUCION'!$F$9:$F$1208,MATCH($AQ68,'2_IMPORTAR_EJECUCION'!$J$9:$J$1208,0)),0))</f>
        <v/>
      </c>
      <c r="AJ68" s="10">
        <f>IF($A68="","",MAX(0,IFERROR(INDEX('2_IMPORTAR_EJECUCION'!$H$9:$H$1208,MATCH($AQ68,'2_IMPORTAR_EJECUCION'!$J$9:$J$1208,0)),0)-$AI68))</f>
        <v/>
      </c>
      <c r="AK68" s="10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2">
        <f>IF($J69="","",TODAY()-$J69)</f>
        <v/>
      </c>
      <c r="AB69" s="12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07</t>
        </is>
      </c>
      <c r="AF69" s="3">
        <f>IF($AE69="","",IF((IFERROR(INDEX('ASIGNACIONES'!$F$4:$F$339,MATCH($O69&amp;"|"&amp;$R69&amp;"|"&amp;$AE69,'ASIGNACIONES'!$J$4:$J$339,0)),""))=0,"",IFERROR(INDEX('ASIGNACIONES'!$F$4:$F$339,MATCH($O69&amp;"|"&amp;$R69&amp;"|"&amp;$AE69,'ASIGNACIONES'!$J$4:$J$339,0)),"")))</f>
        <v/>
      </c>
      <c r="AG69" s="13">
        <f>IF($AE69="","",SUMIFS('ORDENES'!$M$4:$M$1203,'ORDENES'!$AE$4:$AE$1203,$AE69,'ORDENES'!$O$4:$O$1203,$O69,'ORDENES'!$R$4:$R$1203,$R69))</f>
        <v/>
      </c>
      <c r="AH69" s="13">
        <f>IF($AG69="","",p_factor_productividad*IFERROR(INDEX('ASIGNACIONES'!$I$4:$I$339,MATCH($O69&amp;"|"&amp;$R69&amp;"|"&amp;$AE69,'ASIGNACIONES'!$J$4:$J$339,0)),0)-$AG69)</f>
        <v/>
      </c>
      <c r="AI69" s="10">
        <f>IF($A69="","",IFERROR(INDEX('2_IMPORTAR_EJECUCION'!$F$9:$F$1208,MATCH($AQ69,'2_IMPORTAR_EJECUCION'!$J$9:$J$1208,0)),0))</f>
        <v/>
      </c>
      <c r="AJ69" s="10">
        <f>IF($A69="","",MAX(0,IFERROR(INDEX('2_IMPORTAR_EJECUCION'!$H$9:$H$1208,MATCH($AQ69,'2_IMPORTAR_EJECUCION'!$J$9:$J$1208,0)),0)-$AI69))</f>
        <v/>
      </c>
      <c r="AK69" s="10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2">
        <f>IF($J70="","",TODAY()-$J70)</f>
        <v/>
      </c>
      <c r="AB70" s="12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05</t>
        </is>
      </c>
      <c r="AF70" s="3">
        <f>IF($AE70="","",IF((IFERROR(INDEX('ASIGNACIONES'!$F$4:$F$339,MATCH($O70&amp;"|"&amp;$R70&amp;"|"&amp;$AE70,'ASIGNACIONES'!$J$4:$J$339,0)),""))=0,"",IFERROR(INDEX('ASIGNACIONES'!$F$4:$F$339,MATCH($O70&amp;"|"&amp;$R70&amp;"|"&amp;$AE70,'ASIGNACIONES'!$J$4:$J$339,0)),"")))</f>
        <v/>
      </c>
      <c r="AG70" s="13">
        <f>IF($AE70="","",SUMIFS('ORDENES'!$M$4:$M$1203,'ORDENES'!$AE$4:$AE$1203,$AE70,'ORDENES'!$O$4:$O$1203,$O70,'ORDENES'!$R$4:$R$1203,$R70))</f>
        <v/>
      </c>
      <c r="AH70" s="13">
        <f>IF($AG70="","",p_factor_productividad*IFERROR(INDEX('ASIGNACIONES'!$I$4:$I$339,MATCH($O70&amp;"|"&amp;$R70&amp;"|"&amp;$AE70,'ASIGNACIONES'!$J$4:$J$339,0)),0)-$AG70)</f>
        <v/>
      </c>
      <c r="AI70" s="10">
        <f>IF($A70="","",IFERROR(INDEX('2_IMPORTAR_EJECUCION'!$F$9:$F$1208,MATCH($AQ70,'2_IMPORTAR_EJECUCION'!$J$9:$J$1208,0)),0))</f>
        <v/>
      </c>
      <c r="AJ70" s="10">
        <f>IF($A70="","",MAX(0,IFERROR(INDEX('2_IMPORTAR_EJECUCION'!$H$9:$H$1208,MATCH($AQ70,'2_IMPORTAR_EJECUCION'!$J$9:$J$1208,0)),0)-$AI70))</f>
        <v/>
      </c>
      <c r="AK70" s="10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2">
        <f>IF($J71="","",TODAY()-$J71)</f>
        <v/>
      </c>
      <c r="AB71" s="12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06</t>
        </is>
      </c>
      <c r="AF71" s="3">
        <f>IF($AE71="","",IF((IFERROR(INDEX('ASIGNACIONES'!$F$4:$F$339,MATCH($O71&amp;"|"&amp;$R71&amp;"|"&amp;$AE71,'ASIGNACIONES'!$J$4:$J$339,0)),""))=0,"",IFERROR(INDEX('ASIGNACIONES'!$F$4:$F$339,MATCH($O71&amp;"|"&amp;$R71&amp;"|"&amp;$AE71,'ASIGNACIONES'!$J$4:$J$339,0)),"")))</f>
        <v/>
      </c>
      <c r="AG71" s="13">
        <f>IF($AE71="","",SUMIFS('ORDENES'!$M$4:$M$1203,'ORDENES'!$AE$4:$AE$1203,$AE71,'ORDENES'!$O$4:$O$1203,$O71,'ORDENES'!$R$4:$R$1203,$R71))</f>
        <v/>
      </c>
      <c r="AH71" s="13">
        <f>IF($AG71="","",p_factor_productividad*IFERROR(INDEX('ASIGNACIONES'!$I$4:$I$339,MATCH($O71&amp;"|"&amp;$R71&amp;"|"&amp;$AE71,'ASIGNACIONES'!$J$4:$J$339,0)),0)-$AG71)</f>
        <v/>
      </c>
      <c r="AI71" s="10">
        <f>IF($A71="","",IFERROR(INDEX('2_IMPORTAR_EJECUCION'!$F$9:$F$1208,MATCH($AQ71,'2_IMPORTAR_EJECUCION'!$J$9:$J$1208,0)),0))</f>
        <v/>
      </c>
      <c r="AJ71" s="10">
        <f>IF($A71="","",MAX(0,IFERROR(INDEX('2_IMPORTAR_EJECUCION'!$H$9:$H$1208,MATCH($AQ71,'2_IMPORTAR_EJECUCION'!$J$9:$J$1208,0)),0)-$AI71))</f>
        <v/>
      </c>
      <c r="AK71" s="10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2">
        <f>IF($J72="","",TODAY()-$J72)</f>
        <v/>
      </c>
      <c r="AB72" s="12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07</t>
        </is>
      </c>
      <c r="AF72" s="3">
        <f>IF($AE72="","",IF((IFERROR(INDEX('ASIGNACIONES'!$F$4:$F$339,MATCH($O72&amp;"|"&amp;$R72&amp;"|"&amp;$AE72,'ASIGNACIONES'!$J$4:$J$339,0)),""))=0,"",IFERROR(INDEX('ASIGNACIONES'!$F$4:$F$339,MATCH($O72&amp;"|"&amp;$R72&amp;"|"&amp;$AE72,'ASIGNACIONES'!$J$4:$J$339,0)),"")))</f>
        <v/>
      </c>
      <c r="AG72" s="13">
        <f>IF($AE72="","",SUMIFS('ORDENES'!$M$4:$M$1203,'ORDENES'!$AE$4:$AE$1203,$AE72,'ORDENES'!$O$4:$O$1203,$O72,'ORDENES'!$R$4:$R$1203,$R72))</f>
        <v/>
      </c>
      <c r="AH72" s="13">
        <f>IF($AG72="","",p_factor_productividad*IFERROR(INDEX('ASIGNACIONES'!$I$4:$I$339,MATCH($O72&amp;"|"&amp;$R72&amp;"|"&amp;$AE72,'ASIGNACIONES'!$J$4:$J$339,0)),0)-$AG72)</f>
        <v/>
      </c>
      <c r="AI72" s="10">
        <f>IF($A72="","",IFERROR(INDEX('2_IMPORTAR_EJECUCION'!$F$9:$F$1208,MATCH($AQ72,'2_IMPORTAR_EJECUCION'!$J$9:$J$1208,0)),0))</f>
        <v/>
      </c>
      <c r="AJ72" s="10">
        <f>IF($A72="","",MAX(0,IFERROR(INDEX('2_IMPORTAR_EJECUCION'!$H$9:$H$1208,MATCH($AQ72,'2_IMPORTAR_EJECUCION'!$J$9:$J$1208,0)),0)-$AI72))</f>
        <v/>
      </c>
      <c r="AK72" s="10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2">
        <f>IF($J73="","",TODAY()-$J73)</f>
        <v/>
      </c>
      <c r="AB73" s="12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05</t>
        </is>
      </c>
      <c r="AF73" s="3">
        <f>IF($AE73="","",IF((IFERROR(INDEX('ASIGNACIONES'!$F$4:$F$339,MATCH($O73&amp;"|"&amp;$R73&amp;"|"&amp;$AE73,'ASIGNACIONES'!$J$4:$J$339,0)),""))=0,"",IFERROR(INDEX('ASIGNACIONES'!$F$4:$F$339,MATCH($O73&amp;"|"&amp;$R73&amp;"|"&amp;$AE73,'ASIGNACIONES'!$J$4:$J$339,0)),"")))</f>
        <v/>
      </c>
      <c r="AG73" s="13">
        <f>IF($AE73="","",SUMIFS('ORDENES'!$M$4:$M$1203,'ORDENES'!$AE$4:$AE$1203,$AE73,'ORDENES'!$O$4:$O$1203,$O73,'ORDENES'!$R$4:$R$1203,$R73))</f>
        <v/>
      </c>
      <c r="AH73" s="13">
        <f>IF($AG73="","",p_factor_productividad*IFERROR(INDEX('ASIGNACIONES'!$I$4:$I$339,MATCH($O73&amp;"|"&amp;$R73&amp;"|"&amp;$AE73,'ASIGNACIONES'!$J$4:$J$339,0)),0)-$AG73)</f>
        <v/>
      </c>
      <c r="AI73" s="10">
        <f>IF($A73="","",IFERROR(INDEX('2_IMPORTAR_EJECUCION'!$F$9:$F$1208,MATCH($AQ73,'2_IMPORTAR_EJECUCION'!$J$9:$J$1208,0)),0))</f>
        <v/>
      </c>
      <c r="AJ73" s="10">
        <f>IF($A73="","",MAX(0,IFERROR(INDEX('2_IMPORTAR_EJECUCION'!$H$9:$H$1208,MATCH($AQ73,'2_IMPORTAR_EJECUCION'!$J$9:$J$1208,0)),0)-$AI73))</f>
        <v/>
      </c>
      <c r="AK73" s="10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2">
        <f>IF($J74="","",TODAY()-$J74)</f>
        <v/>
      </c>
      <c r="AB74" s="12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06</t>
        </is>
      </c>
      <c r="AF74" s="3">
        <f>IF($AE74="","",IF((IFERROR(INDEX('ASIGNACIONES'!$F$4:$F$339,MATCH($O74&amp;"|"&amp;$R74&amp;"|"&amp;$AE74,'ASIGNACIONES'!$J$4:$J$339,0)),""))=0,"",IFERROR(INDEX('ASIGNACIONES'!$F$4:$F$339,MATCH($O74&amp;"|"&amp;$R74&amp;"|"&amp;$AE74,'ASIGNACIONES'!$J$4:$J$339,0)),"")))</f>
        <v/>
      </c>
      <c r="AG74" s="13">
        <f>IF($AE74="","",SUMIFS('ORDENES'!$M$4:$M$1203,'ORDENES'!$AE$4:$AE$1203,$AE74,'ORDENES'!$O$4:$O$1203,$O74,'ORDENES'!$R$4:$R$1203,$R74))</f>
        <v/>
      </c>
      <c r="AH74" s="13">
        <f>IF($AG74="","",p_factor_productividad*IFERROR(INDEX('ASIGNACIONES'!$I$4:$I$339,MATCH($O74&amp;"|"&amp;$R74&amp;"|"&amp;$AE74,'ASIGNACIONES'!$J$4:$J$339,0)),0)-$AG74)</f>
        <v/>
      </c>
      <c r="AI74" s="10">
        <f>IF($A74="","",IFERROR(INDEX('2_IMPORTAR_EJECUCION'!$F$9:$F$1208,MATCH($AQ74,'2_IMPORTAR_EJECUCION'!$J$9:$J$1208,0)),0))</f>
        <v/>
      </c>
      <c r="AJ74" s="10">
        <f>IF($A74="","",MAX(0,IFERROR(INDEX('2_IMPORTAR_EJECUCION'!$H$9:$H$1208,MATCH($AQ74,'2_IMPORTAR_EJECUCION'!$J$9:$J$1208,0)),0)-$AI74))</f>
        <v/>
      </c>
      <c r="AK74" s="10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2">
        <f>IF($J75="","",TODAY()-$J75)</f>
        <v/>
      </c>
      <c r="AB75" s="12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IF($AE75="","",IF((IFERROR(INDEX('ASIGNACIONES'!$F$4:$F$339,MATCH($O75&amp;"|"&amp;$R75&amp;"|"&amp;$AE75,'ASIGNACIONES'!$J$4:$J$339,0)),""))=0,"",IFERROR(INDEX('ASIGNACIONES'!$F$4:$F$339,MATCH($O75&amp;"|"&amp;$R75&amp;"|"&amp;$AE75,'ASIGNACIONES'!$J$4:$J$339,0)),"")))</f>
        <v/>
      </c>
      <c r="AG75" s="13">
        <f>IF($AE75="","",SUMIFS('ORDENES'!$M$4:$M$1203,'ORDENES'!$AE$4:$AE$1203,$AE75,'ORDENES'!$O$4:$O$1203,$O75,'ORDENES'!$R$4:$R$1203,$R75))</f>
        <v/>
      </c>
      <c r="AH75" s="13">
        <f>IF($AG75="","",p_factor_productividad*IFERROR(INDEX('ASIGNACIONES'!$I$4:$I$339,MATCH($O75&amp;"|"&amp;$R75&amp;"|"&amp;$AE75,'ASIGNACIONES'!$J$4:$J$339,0)),0)-$AG75)</f>
        <v/>
      </c>
      <c r="AI75" s="10">
        <f>IF($A75="","",IFERROR(INDEX('2_IMPORTAR_EJECUCION'!$F$9:$F$1208,MATCH($AQ75,'2_IMPORTAR_EJECUCION'!$J$9:$J$1208,0)),0))</f>
        <v/>
      </c>
      <c r="AJ75" s="10">
        <f>IF($A75="","",MAX(0,IFERROR(INDEX('2_IMPORTAR_EJECUCION'!$H$9:$H$1208,MATCH($AQ75,'2_IMPORTAR_EJECUCION'!$J$9:$J$1208,0)),0)-$AI75))</f>
        <v/>
      </c>
      <c r="AK75" s="10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2">
        <f>IF($J76="","",TODAY()-$J76)</f>
        <v/>
      </c>
      <c r="AB76" s="12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05</t>
        </is>
      </c>
      <c r="AF76" s="3">
        <f>IF($AE76="","",IF((IFERROR(INDEX('ASIGNACIONES'!$F$4:$F$339,MATCH($O76&amp;"|"&amp;$R76&amp;"|"&amp;$AE76,'ASIGNACIONES'!$J$4:$J$339,0)),""))=0,"",IFERROR(INDEX('ASIGNACIONES'!$F$4:$F$339,MATCH($O76&amp;"|"&amp;$R76&amp;"|"&amp;$AE76,'ASIGNACIONES'!$J$4:$J$339,0)),"")))</f>
        <v/>
      </c>
      <c r="AG76" s="13">
        <f>IF($AE76="","",SUMIFS('ORDENES'!$M$4:$M$1203,'ORDENES'!$AE$4:$AE$1203,$AE76,'ORDENES'!$O$4:$O$1203,$O76,'ORDENES'!$R$4:$R$1203,$R76))</f>
        <v/>
      </c>
      <c r="AH76" s="13">
        <f>IF($AG76="","",p_factor_productividad*IFERROR(INDEX('ASIGNACIONES'!$I$4:$I$339,MATCH($O76&amp;"|"&amp;$R76&amp;"|"&amp;$AE76,'ASIGNACIONES'!$J$4:$J$339,0)),0)-$AG76)</f>
        <v/>
      </c>
      <c r="AI76" s="10">
        <f>IF($A76="","",IFERROR(INDEX('2_IMPORTAR_EJECUCION'!$F$9:$F$1208,MATCH($AQ76,'2_IMPORTAR_EJECUCION'!$J$9:$J$1208,0)),0))</f>
        <v/>
      </c>
      <c r="AJ76" s="10">
        <f>IF($A76="","",MAX(0,IFERROR(INDEX('2_IMPORTAR_EJECUCION'!$H$9:$H$1208,MATCH($AQ76,'2_IMPORTAR_EJECUCION'!$J$9:$J$1208,0)),0)-$AI76))</f>
        <v/>
      </c>
      <c r="AK76" s="10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2">
        <f>IF($J77="","",TODAY()-$J77)</f>
        <v/>
      </c>
      <c r="AB77" s="12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06</t>
        </is>
      </c>
      <c r="AF77" s="3">
        <f>IF($AE77="","",IF((IFERROR(INDEX('ASIGNACIONES'!$F$4:$F$339,MATCH($O77&amp;"|"&amp;$R77&amp;"|"&amp;$AE77,'ASIGNACIONES'!$J$4:$J$339,0)),""))=0,"",IFERROR(INDEX('ASIGNACIONES'!$F$4:$F$339,MATCH($O77&amp;"|"&amp;$R77&amp;"|"&amp;$AE77,'ASIGNACIONES'!$J$4:$J$339,0)),"")))</f>
        <v/>
      </c>
      <c r="AG77" s="13">
        <f>IF($AE77="","",SUMIFS('ORDENES'!$M$4:$M$1203,'ORDENES'!$AE$4:$AE$1203,$AE77,'ORDENES'!$O$4:$O$1203,$O77,'ORDENES'!$R$4:$R$1203,$R77))</f>
        <v/>
      </c>
      <c r="AH77" s="13">
        <f>IF($AG77="","",p_factor_productividad*IFERROR(INDEX('ASIGNACIONES'!$I$4:$I$339,MATCH($O77&amp;"|"&amp;$R77&amp;"|"&amp;$AE77,'ASIGNACIONES'!$J$4:$J$339,0)),0)-$AG77)</f>
        <v/>
      </c>
      <c r="AI77" s="10">
        <f>IF($A77="","",IFERROR(INDEX('2_IMPORTAR_EJECUCION'!$F$9:$F$1208,MATCH($AQ77,'2_IMPORTAR_EJECUCION'!$J$9:$J$1208,0)),0))</f>
        <v/>
      </c>
      <c r="AJ77" s="10">
        <f>IF($A77="","",MAX(0,IFERROR(INDEX('2_IMPORTAR_EJECUCION'!$H$9:$H$1208,MATCH($AQ77,'2_IMPORTAR_EJECUCION'!$J$9:$J$1208,0)),0)-$AI77))</f>
        <v/>
      </c>
      <c r="AK77" s="10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2">
        <f>IF($J78="","",TODAY()-$J78)</f>
        <v/>
      </c>
      <c r="AB78" s="12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07</t>
        </is>
      </c>
      <c r="AF78" s="3">
        <f>IF($AE78="","",IF((IFERROR(INDEX('ASIGNACIONES'!$F$4:$F$339,MATCH($O78&amp;"|"&amp;$R78&amp;"|"&amp;$AE78,'ASIGNACIONES'!$J$4:$J$339,0)),""))=0,"",IFERROR(INDEX('ASIGNACIONES'!$F$4:$F$339,MATCH($O78&amp;"|"&amp;$R78&amp;"|"&amp;$AE78,'ASIGNACIONES'!$J$4:$J$339,0)),"")))</f>
        <v/>
      </c>
      <c r="AG78" s="13">
        <f>IF($AE78="","",SUMIFS('ORDENES'!$M$4:$M$1203,'ORDENES'!$AE$4:$AE$1203,$AE78,'ORDENES'!$O$4:$O$1203,$O78,'ORDENES'!$R$4:$R$1203,$R78))</f>
        <v/>
      </c>
      <c r="AH78" s="13">
        <f>IF($AG78="","",p_factor_productividad*IFERROR(INDEX('ASIGNACIONES'!$I$4:$I$339,MATCH($O78&amp;"|"&amp;$R78&amp;"|"&amp;$AE78,'ASIGNACIONES'!$J$4:$J$339,0)),0)-$AG78)</f>
        <v/>
      </c>
      <c r="AI78" s="10">
        <f>IF($A78="","",IFERROR(INDEX('2_IMPORTAR_EJECUCION'!$F$9:$F$1208,MATCH($AQ78,'2_IMPORTAR_EJECUCION'!$J$9:$J$1208,0)),0))</f>
        <v/>
      </c>
      <c r="AJ78" s="10">
        <f>IF($A78="","",MAX(0,IFERROR(INDEX('2_IMPORTAR_EJECUCION'!$H$9:$H$1208,MATCH($AQ78,'2_IMPORTAR_EJECUCION'!$J$9:$J$1208,0)),0)-$AI78))</f>
        <v/>
      </c>
      <c r="AK78" s="10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2">
        <f>IF($J79="","",TODAY()-$J79)</f>
        <v/>
      </c>
      <c r="AB79" s="12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05</t>
        </is>
      </c>
      <c r="AF79" s="3">
        <f>IF($AE79="","",IF((IFERROR(INDEX('ASIGNACIONES'!$F$4:$F$339,MATCH($O79&amp;"|"&amp;$R79&amp;"|"&amp;$AE79,'ASIGNACIONES'!$J$4:$J$339,0)),""))=0,"",IFERROR(INDEX('ASIGNACIONES'!$F$4:$F$339,MATCH($O79&amp;"|"&amp;$R79&amp;"|"&amp;$AE79,'ASIGNACIONES'!$J$4:$J$339,0)),"")))</f>
        <v/>
      </c>
      <c r="AG79" s="13">
        <f>IF($AE79="","",SUMIFS('ORDENES'!$M$4:$M$1203,'ORDENES'!$AE$4:$AE$1203,$AE79,'ORDENES'!$O$4:$O$1203,$O79,'ORDENES'!$R$4:$R$1203,$R79))</f>
        <v/>
      </c>
      <c r="AH79" s="13">
        <f>IF($AG79="","",p_factor_productividad*IFERROR(INDEX('ASIGNACIONES'!$I$4:$I$339,MATCH($O79&amp;"|"&amp;$R79&amp;"|"&amp;$AE79,'ASIGNACIONES'!$J$4:$J$339,0)),0)-$AG79)</f>
        <v/>
      </c>
      <c r="AI79" s="10">
        <f>IF($A79="","",IFERROR(INDEX('2_IMPORTAR_EJECUCION'!$F$9:$F$1208,MATCH($AQ79,'2_IMPORTAR_EJECUCION'!$J$9:$J$1208,0)),0))</f>
        <v/>
      </c>
      <c r="AJ79" s="10">
        <f>IF($A79="","",MAX(0,IFERROR(INDEX('2_IMPORTAR_EJECUCION'!$H$9:$H$1208,MATCH($AQ79,'2_IMPORTAR_EJECUCION'!$J$9:$J$1208,0)),0)-$AI79))</f>
        <v/>
      </c>
      <c r="AK79" s="10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2">
        <f>IF($J80="","",TODAY()-$J80)</f>
        <v/>
      </c>
      <c r="AB80" s="12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06</t>
        </is>
      </c>
      <c r="AF80" s="3">
        <f>IF($AE80="","",IF((IFERROR(INDEX('ASIGNACIONES'!$F$4:$F$339,MATCH($O80&amp;"|"&amp;$R80&amp;"|"&amp;$AE80,'ASIGNACIONES'!$J$4:$J$339,0)),""))=0,"",IFERROR(INDEX('ASIGNACIONES'!$F$4:$F$339,MATCH($O80&amp;"|"&amp;$R80&amp;"|"&amp;$AE80,'ASIGNACIONES'!$J$4:$J$339,0)),"")))</f>
        <v/>
      </c>
      <c r="AG80" s="13">
        <f>IF($AE80="","",SUMIFS('ORDENES'!$M$4:$M$1203,'ORDENES'!$AE$4:$AE$1203,$AE80,'ORDENES'!$O$4:$O$1203,$O80,'ORDENES'!$R$4:$R$1203,$R80))</f>
        <v/>
      </c>
      <c r="AH80" s="13">
        <f>IF($AG80="","",p_factor_productividad*IFERROR(INDEX('ASIGNACIONES'!$I$4:$I$339,MATCH($O80&amp;"|"&amp;$R80&amp;"|"&amp;$AE80,'ASIGNACIONES'!$J$4:$J$339,0)),0)-$AG80)</f>
        <v/>
      </c>
      <c r="AI80" s="10">
        <f>IF($A80="","",IFERROR(INDEX('2_IMPORTAR_EJECUCION'!$F$9:$F$1208,MATCH($AQ80,'2_IMPORTAR_EJECUCION'!$J$9:$J$1208,0)),0))</f>
        <v/>
      </c>
      <c r="AJ80" s="10">
        <f>IF($A80="","",MAX(0,IFERROR(INDEX('2_IMPORTAR_EJECUCION'!$H$9:$H$1208,MATCH($AQ80,'2_IMPORTAR_EJECUCION'!$J$9:$J$1208,0)),0)-$AI80))</f>
        <v/>
      </c>
      <c r="AK80" s="10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2">
        <f>IF($J81="","",TODAY()-$J81)</f>
        <v/>
      </c>
      <c r="AB81" s="12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07</t>
        </is>
      </c>
      <c r="AF81" s="3">
        <f>IF($AE81="","",IF((IFERROR(INDEX('ASIGNACIONES'!$F$4:$F$339,MATCH($O81&amp;"|"&amp;$R81&amp;"|"&amp;$AE81,'ASIGNACIONES'!$J$4:$J$339,0)),""))=0,"",IFERROR(INDEX('ASIGNACIONES'!$F$4:$F$339,MATCH($O81&amp;"|"&amp;$R81&amp;"|"&amp;$AE81,'ASIGNACIONES'!$J$4:$J$339,0)),"")))</f>
        <v/>
      </c>
      <c r="AG81" s="13">
        <f>IF($AE81="","",SUMIFS('ORDENES'!$M$4:$M$1203,'ORDENES'!$AE$4:$AE$1203,$AE81,'ORDENES'!$O$4:$O$1203,$O81,'ORDENES'!$R$4:$R$1203,$R81))</f>
        <v/>
      </c>
      <c r="AH81" s="13">
        <f>IF($AG81="","",p_factor_productividad*IFERROR(INDEX('ASIGNACIONES'!$I$4:$I$339,MATCH($O81&amp;"|"&amp;$R81&amp;"|"&amp;$AE81,'ASIGNACIONES'!$J$4:$J$339,0)),0)-$AG81)</f>
        <v/>
      </c>
      <c r="AI81" s="10">
        <f>IF($A81="","",IFERROR(INDEX('2_IMPORTAR_EJECUCION'!$F$9:$F$1208,MATCH($AQ81,'2_IMPORTAR_EJECUCION'!$J$9:$J$1208,0)),0))</f>
        <v/>
      </c>
      <c r="AJ81" s="10">
        <f>IF($A81="","",MAX(0,IFERROR(INDEX('2_IMPORTAR_EJECUCION'!$H$9:$H$1208,MATCH($AQ81,'2_IMPORTAR_EJECUCION'!$J$9:$J$1208,0)),0)-$AI81))</f>
        <v/>
      </c>
      <c r="AK81" s="10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2">
        <f>IF($J82="","",TODAY()-$J82)</f>
        <v/>
      </c>
      <c r="AB82" s="12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05</t>
        </is>
      </c>
      <c r="AF82" s="3">
        <f>IF($AE82="","",IF((IFERROR(INDEX('ASIGNACIONES'!$F$4:$F$339,MATCH($O82&amp;"|"&amp;$R82&amp;"|"&amp;$AE82,'ASIGNACIONES'!$J$4:$J$339,0)),""))=0,"",IFERROR(INDEX('ASIGNACIONES'!$F$4:$F$339,MATCH($O82&amp;"|"&amp;$R82&amp;"|"&amp;$AE82,'ASIGNACIONES'!$J$4:$J$339,0)),"")))</f>
        <v/>
      </c>
      <c r="AG82" s="13">
        <f>IF($AE82="","",SUMIFS('ORDENES'!$M$4:$M$1203,'ORDENES'!$AE$4:$AE$1203,$AE82,'ORDENES'!$O$4:$O$1203,$O82,'ORDENES'!$R$4:$R$1203,$R82))</f>
        <v/>
      </c>
      <c r="AH82" s="13">
        <f>IF($AG82="","",p_factor_productividad*IFERROR(INDEX('ASIGNACIONES'!$I$4:$I$339,MATCH($O82&amp;"|"&amp;$R82&amp;"|"&amp;$AE82,'ASIGNACIONES'!$J$4:$J$339,0)),0)-$AG82)</f>
        <v/>
      </c>
      <c r="AI82" s="10">
        <f>IF($A82="","",IFERROR(INDEX('2_IMPORTAR_EJECUCION'!$F$9:$F$1208,MATCH($AQ82,'2_IMPORTAR_EJECUCION'!$J$9:$J$1208,0)),0))</f>
        <v/>
      </c>
      <c r="AJ82" s="10">
        <f>IF($A82="","",MAX(0,IFERROR(INDEX('2_IMPORTAR_EJECUCION'!$H$9:$H$1208,MATCH($AQ82,'2_IMPORTAR_EJECUCION'!$J$9:$J$1208,0)),0)-$AI82))</f>
        <v/>
      </c>
      <c r="AK82" s="10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2">
        <f>IF($J83="","",TODAY()-$J83)</f>
        <v/>
      </c>
      <c r="AB83" s="12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06</t>
        </is>
      </c>
      <c r="AF83" s="3">
        <f>IF($AE83="","",IF((IFERROR(INDEX('ASIGNACIONES'!$F$4:$F$339,MATCH($O83&amp;"|"&amp;$R83&amp;"|"&amp;$AE83,'ASIGNACIONES'!$J$4:$J$339,0)),""))=0,"",IFERROR(INDEX('ASIGNACIONES'!$F$4:$F$339,MATCH($O83&amp;"|"&amp;$R83&amp;"|"&amp;$AE83,'ASIGNACIONES'!$J$4:$J$339,0)),"")))</f>
        <v/>
      </c>
      <c r="AG83" s="13">
        <f>IF($AE83="","",SUMIFS('ORDENES'!$M$4:$M$1203,'ORDENES'!$AE$4:$AE$1203,$AE83,'ORDENES'!$O$4:$O$1203,$O83,'ORDENES'!$R$4:$R$1203,$R83))</f>
        <v/>
      </c>
      <c r="AH83" s="13">
        <f>IF($AG83="","",p_factor_productividad*IFERROR(INDEX('ASIGNACIONES'!$I$4:$I$339,MATCH($O83&amp;"|"&amp;$R83&amp;"|"&amp;$AE83,'ASIGNACIONES'!$J$4:$J$339,0)),0)-$AG83)</f>
        <v/>
      </c>
      <c r="AI83" s="10">
        <f>IF($A83="","",IFERROR(INDEX('2_IMPORTAR_EJECUCION'!$F$9:$F$1208,MATCH($AQ83,'2_IMPORTAR_EJECUCION'!$J$9:$J$1208,0)),0))</f>
        <v/>
      </c>
      <c r="AJ83" s="10">
        <f>IF($A83="","",MAX(0,IFERROR(INDEX('2_IMPORTAR_EJECUCION'!$H$9:$H$1208,MATCH($AQ83,'2_IMPORTAR_EJECUCION'!$J$9:$J$1208,0)),0)-$AI83))</f>
        <v/>
      </c>
      <c r="AK83" s="10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2">
        <f>IF($J84="","",TODAY()-$J84)</f>
        <v/>
      </c>
      <c r="AB84" s="12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07</t>
        </is>
      </c>
      <c r="AF84" s="3">
        <f>IF($AE84="","",IF((IFERROR(INDEX('ASIGNACIONES'!$F$4:$F$339,MATCH($O84&amp;"|"&amp;$R84&amp;"|"&amp;$AE84,'ASIGNACIONES'!$J$4:$J$339,0)),""))=0,"",IFERROR(INDEX('ASIGNACIONES'!$F$4:$F$339,MATCH($O84&amp;"|"&amp;$R84&amp;"|"&amp;$AE84,'ASIGNACIONES'!$J$4:$J$339,0)),"")))</f>
        <v/>
      </c>
      <c r="AG84" s="13">
        <f>IF($AE84="","",SUMIFS('ORDENES'!$M$4:$M$1203,'ORDENES'!$AE$4:$AE$1203,$AE84,'ORDENES'!$O$4:$O$1203,$O84,'ORDENES'!$R$4:$R$1203,$R84))</f>
        <v/>
      </c>
      <c r="AH84" s="13">
        <f>IF($AG84="","",p_factor_productividad*IFERROR(INDEX('ASIGNACIONES'!$I$4:$I$339,MATCH($O84&amp;"|"&amp;$R84&amp;"|"&amp;$AE84,'ASIGNACIONES'!$J$4:$J$339,0)),0)-$AG84)</f>
        <v/>
      </c>
      <c r="AI84" s="10">
        <f>IF($A84="","",IFERROR(INDEX('2_IMPORTAR_EJECUCION'!$F$9:$F$1208,MATCH($AQ84,'2_IMPORTAR_EJECUCION'!$J$9:$J$1208,0)),0))</f>
        <v/>
      </c>
      <c r="AJ84" s="10">
        <f>IF($A84="","",MAX(0,IFERROR(INDEX('2_IMPORTAR_EJECUCION'!$H$9:$H$1208,MATCH($AQ84,'2_IMPORTAR_EJECUCION'!$J$9:$J$1208,0)),0)-$AI84))</f>
        <v/>
      </c>
      <c r="AK84" s="10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2">
        <f>IF($J85="","",TODAY()-$J85)</f>
        <v/>
      </c>
      <c r="AB85" s="12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05</t>
        </is>
      </c>
      <c r="AF85" s="3">
        <f>IF($AE85="","",IF((IFERROR(INDEX('ASIGNACIONES'!$F$4:$F$339,MATCH($O85&amp;"|"&amp;$R85&amp;"|"&amp;$AE85,'ASIGNACIONES'!$J$4:$J$339,0)),""))=0,"",IFERROR(INDEX('ASIGNACIONES'!$F$4:$F$339,MATCH($O85&amp;"|"&amp;$R85&amp;"|"&amp;$AE85,'ASIGNACIONES'!$J$4:$J$339,0)),"")))</f>
        <v/>
      </c>
      <c r="AG85" s="13">
        <f>IF($AE85="","",SUMIFS('ORDENES'!$M$4:$M$1203,'ORDENES'!$AE$4:$AE$1203,$AE85,'ORDENES'!$O$4:$O$1203,$O85,'ORDENES'!$R$4:$R$1203,$R85))</f>
        <v/>
      </c>
      <c r="AH85" s="13">
        <f>IF($AG85="","",p_factor_productividad*IFERROR(INDEX('ASIGNACIONES'!$I$4:$I$339,MATCH($O85&amp;"|"&amp;$R85&amp;"|"&amp;$AE85,'ASIGNACIONES'!$J$4:$J$339,0)),0)-$AG85)</f>
        <v/>
      </c>
      <c r="AI85" s="10">
        <f>IF($A85="","",IFERROR(INDEX('2_IMPORTAR_EJECUCION'!$F$9:$F$1208,MATCH($AQ85,'2_IMPORTAR_EJECUCION'!$J$9:$J$1208,0)),0))</f>
        <v/>
      </c>
      <c r="AJ85" s="10">
        <f>IF($A85="","",MAX(0,IFERROR(INDEX('2_IMPORTAR_EJECUCION'!$H$9:$H$1208,MATCH($AQ85,'2_IMPORTAR_EJECUCION'!$J$9:$J$1208,0)),0)-$AI85))</f>
        <v/>
      </c>
      <c r="AK85" s="10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2">
        <f>IF($J86="","",TODAY()-$J86)</f>
        <v/>
      </c>
      <c r="AB86" s="12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06</t>
        </is>
      </c>
      <c r="AF86" s="3">
        <f>IF($AE86="","",IF((IFERROR(INDEX('ASIGNACIONES'!$F$4:$F$339,MATCH($O86&amp;"|"&amp;$R86&amp;"|"&amp;$AE86,'ASIGNACIONES'!$J$4:$J$339,0)),""))=0,"",IFERROR(INDEX('ASIGNACIONES'!$F$4:$F$339,MATCH($O86&amp;"|"&amp;$R86&amp;"|"&amp;$AE86,'ASIGNACIONES'!$J$4:$J$339,0)),"")))</f>
        <v/>
      </c>
      <c r="AG86" s="13">
        <f>IF($AE86="","",SUMIFS('ORDENES'!$M$4:$M$1203,'ORDENES'!$AE$4:$AE$1203,$AE86,'ORDENES'!$O$4:$O$1203,$O86,'ORDENES'!$R$4:$R$1203,$R86))</f>
        <v/>
      </c>
      <c r="AH86" s="13">
        <f>IF($AG86="","",p_factor_productividad*IFERROR(INDEX('ASIGNACIONES'!$I$4:$I$339,MATCH($O86&amp;"|"&amp;$R86&amp;"|"&amp;$AE86,'ASIGNACIONES'!$J$4:$J$339,0)),0)-$AG86)</f>
        <v/>
      </c>
      <c r="AI86" s="10">
        <f>IF($A86="","",IFERROR(INDEX('2_IMPORTAR_EJECUCION'!$F$9:$F$1208,MATCH($AQ86,'2_IMPORTAR_EJECUCION'!$J$9:$J$1208,0)),0))</f>
        <v/>
      </c>
      <c r="AJ86" s="10">
        <f>IF($A86="","",MAX(0,IFERROR(INDEX('2_IMPORTAR_EJECUCION'!$H$9:$H$1208,MATCH($AQ86,'2_IMPORTAR_EJECUCION'!$J$9:$J$1208,0)),0)-$AI86))</f>
        <v/>
      </c>
      <c r="AK86" s="10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2">
        <f>IF($J87="","",TODAY()-$J87)</f>
        <v/>
      </c>
      <c r="AB87" s="12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IF($AE87="","",IF((IFERROR(INDEX('ASIGNACIONES'!$F$4:$F$339,MATCH($O87&amp;"|"&amp;$R87&amp;"|"&amp;$AE87,'ASIGNACIONES'!$J$4:$J$339,0)),""))=0,"",IFERROR(INDEX('ASIGNACIONES'!$F$4:$F$339,MATCH($O87&amp;"|"&amp;$R87&amp;"|"&amp;$AE87,'ASIGNACIONES'!$J$4:$J$339,0)),"")))</f>
        <v/>
      </c>
      <c r="AG87" s="13">
        <f>IF($AE87="","",SUMIFS('ORDENES'!$M$4:$M$1203,'ORDENES'!$AE$4:$AE$1203,$AE87,'ORDENES'!$O$4:$O$1203,$O87,'ORDENES'!$R$4:$R$1203,$R87))</f>
        <v/>
      </c>
      <c r="AH87" s="13">
        <f>IF($AG87="","",p_factor_productividad*IFERROR(INDEX('ASIGNACIONES'!$I$4:$I$339,MATCH($O87&amp;"|"&amp;$R87&amp;"|"&amp;$AE87,'ASIGNACIONES'!$J$4:$J$339,0)),0)-$AG87)</f>
        <v/>
      </c>
      <c r="AI87" s="10">
        <f>IF($A87="","",IFERROR(INDEX('2_IMPORTAR_EJECUCION'!$F$9:$F$1208,MATCH($AQ87,'2_IMPORTAR_EJECUCION'!$J$9:$J$1208,0)),0))</f>
        <v/>
      </c>
      <c r="AJ87" s="10">
        <f>IF($A87="","",MAX(0,IFERROR(INDEX('2_IMPORTAR_EJECUCION'!$H$9:$H$1208,MATCH($AQ87,'2_IMPORTAR_EJECUCION'!$J$9:$J$1208,0)),0)-$AI87))</f>
        <v/>
      </c>
      <c r="AK87" s="10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2">
        <f>IF($J88="","",TODAY()-$J88)</f>
        <v/>
      </c>
      <c r="AB88" s="12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08</t>
        </is>
      </c>
      <c r="AF88" s="3">
        <f>IF($AE88="","",IF((IFERROR(INDEX('ASIGNACIONES'!$F$4:$F$339,MATCH($O88&amp;"|"&amp;$R88&amp;"|"&amp;$AE88,'ASIGNACIONES'!$J$4:$J$339,0)),""))=0,"",IFERROR(INDEX('ASIGNACIONES'!$F$4:$F$339,MATCH($O88&amp;"|"&amp;$R88&amp;"|"&amp;$AE88,'ASIGNACIONES'!$J$4:$J$339,0)),"")))</f>
        <v/>
      </c>
      <c r="AG88" s="13">
        <f>IF($AE88="","",SUMIFS('ORDENES'!$M$4:$M$1203,'ORDENES'!$AE$4:$AE$1203,$AE88,'ORDENES'!$O$4:$O$1203,$O88,'ORDENES'!$R$4:$R$1203,$R88))</f>
        <v/>
      </c>
      <c r="AH88" s="13">
        <f>IF($AG88="","",p_factor_productividad*IFERROR(INDEX('ASIGNACIONES'!$I$4:$I$339,MATCH($O88&amp;"|"&amp;$R88&amp;"|"&amp;$AE88,'ASIGNACIONES'!$J$4:$J$339,0)),0)-$AG88)</f>
        <v/>
      </c>
      <c r="AI88" s="10">
        <f>IF($A88="","",IFERROR(INDEX('2_IMPORTAR_EJECUCION'!$F$9:$F$1208,MATCH($AQ88,'2_IMPORTAR_EJECUCION'!$J$9:$J$1208,0)),0))</f>
        <v/>
      </c>
      <c r="AJ88" s="10">
        <f>IF($A88="","",MAX(0,IFERROR(INDEX('2_IMPORTAR_EJECUCION'!$H$9:$H$1208,MATCH($AQ88,'2_IMPORTAR_EJECUCION'!$J$9:$J$1208,0)),0)-$AI88))</f>
        <v/>
      </c>
      <c r="AK88" s="10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2">
        <f>IF($J89="","",TODAY()-$J89)</f>
        <v/>
      </c>
      <c r="AB89" s="12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09</t>
        </is>
      </c>
      <c r="AF89" s="3">
        <f>IF($AE89="","",IF((IFERROR(INDEX('ASIGNACIONES'!$F$4:$F$339,MATCH($O89&amp;"|"&amp;$R89&amp;"|"&amp;$AE89,'ASIGNACIONES'!$J$4:$J$339,0)),""))=0,"",IFERROR(INDEX('ASIGNACIONES'!$F$4:$F$339,MATCH($O89&amp;"|"&amp;$R89&amp;"|"&amp;$AE89,'ASIGNACIONES'!$J$4:$J$339,0)),"")))</f>
        <v/>
      </c>
      <c r="AG89" s="13">
        <f>IF($AE89="","",SUMIFS('ORDENES'!$M$4:$M$1203,'ORDENES'!$AE$4:$AE$1203,$AE89,'ORDENES'!$O$4:$O$1203,$O89,'ORDENES'!$R$4:$R$1203,$R89))</f>
        <v/>
      </c>
      <c r="AH89" s="13">
        <f>IF($AG89="","",p_factor_productividad*IFERROR(INDEX('ASIGNACIONES'!$I$4:$I$339,MATCH($O89&amp;"|"&amp;$R89&amp;"|"&amp;$AE89,'ASIGNACIONES'!$J$4:$J$339,0)),0)-$AG89)</f>
        <v/>
      </c>
      <c r="AI89" s="10">
        <f>IF($A89="","",IFERROR(INDEX('2_IMPORTAR_EJECUCION'!$F$9:$F$1208,MATCH($AQ89,'2_IMPORTAR_EJECUCION'!$J$9:$J$1208,0)),0))</f>
        <v/>
      </c>
      <c r="AJ89" s="10">
        <f>IF($A89="","",MAX(0,IFERROR(INDEX('2_IMPORTAR_EJECUCION'!$H$9:$H$1208,MATCH($AQ89,'2_IMPORTAR_EJECUCION'!$J$9:$J$1208,0)),0)-$AI89))</f>
        <v/>
      </c>
      <c r="AK89" s="10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2">
        <f>IF($J90="","",TODAY()-$J90)</f>
        <v/>
      </c>
      <c r="AB90" s="12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08</t>
        </is>
      </c>
      <c r="AF90" s="3">
        <f>IF($AE90="","",IF((IFERROR(INDEX('ASIGNACIONES'!$F$4:$F$339,MATCH($O90&amp;"|"&amp;$R90&amp;"|"&amp;$AE90,'ASIGNACIONES'!$J$4:$J$339,0)),""))=0,"",IFERROR(INDEX('ASIGNACIONES'!$F$4:$F$339,MATCH($O90&amp;"|"&amp;$R90&amp;"|"&amp;$AE90,'ASIGNACIONES'!$J$4:$J$339,0)),"")))</f>
        <v/>
      </c>
      <c r="AG90" s="13">
        <f>IF($AE90="","",SUMIFS('ORDENES'!$M$4:$M$1203,'ORDENES'!$AE$4:$AE$1203,$AE90,'ORDENES'!$O$4:$O$1203,$O90,'ORDENES'!$R$4:$R$1203,$R90))</f>
        <v/>
      </c>
      <c r="AH90" s="13">
        <f>IF($AG90="","",p_factor_productividad*IFERROR(INDEX('ASIGNACIONES'!$I$4:$I$339,MATCH($O90&amp;"|"&amp;$R90&amp;"|"&amp;$AE90,'ASIGNACIONES'!$J$4:$J$339,0)),0)-$AG90)</f>
        <v/>
      </c>
      <c r="AI90" s="10">
        <f>IF($A90="","",IFERROR(INDEX('2_IMPORTAR_EJECUCION'!$F$9:$F$1208,MATCH($AQ90,'2_IMPORTAR_EJECUCION'!$J$9:$J$1208,0)),0))</f>
        <v/>
      </c>
      <c r="AJ90" s="10">
        <f>IF($A90="","",MAX(0,IFERROR(INDEX('2_IMPORTAR_EJECUCION'!$H$9:$H$1208,MATCH($AQ90,'2_IMPORTAR_EJECUCION'!$J$9:$J$1208,0)),0)-$AI90))</f>
        <v/>
      </c>
      <c r="AK90" s="10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2">
        <f>IF($J91="","",TODAY()-$J91)</f>
        <v/>
      </c>
      <c r="AB91" s="12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09</t>
        </is>
      </c>
      <c r="AF91" s="3">
        <f>IF($AE91="","",IF((IFERROR(INDEX('ASIGNACIONES'!$F$4:$F$339,MATCH($O91&amp;"|"&amp;$R91&amp;"|"&amp;$AE91,'ASIGNACIONES'!$J$4:$J$339,0)),""))=0,"",IFERROR(INDEX('ASIGNACIONES'!$F$4:$F$339,MATCH($O91&amp;"|"&amp;$R91&amp;"|"&amp;$AE91,'ASIGNACIONES'!$J$4:$J$339,0)),"")))</f>
        <v/>
      </c>
      <c r="AG91" s="13">
        <f>IF($AE91="","",SUMIFS('ORDENES'!$M$4:$M$1203,'ORDENES'!$AE$4:$AE$1203,$AE91,'ORDENES'!$O$4:$O$1203,$O91,'ORDENES'!$R$4:$R$1203,$R91))</f>
        <v/>
      </c>
      <c r="AH91" s="13">
        <f>IF($AG91="","",p_factor_productividad*IFERROR(INDEX('ASIGNACIONES'!$I$4:$I$339,MATCH($O91&amp;"|"&amp;$R91&amp;"|"&amp;$AE91,'ASIGNACIONES'!$J$4:$J$339,0)),0)-$AG91)</f>
        <v/>
      </c>
      <c r="AI91" s="10">
        <f>IF($A91="","",IFERROR(INDEX('2_IMPORTAR_EJECUCION'!$F$9:$F$1208,MATCH($AQ91,'2_IMPORTAR_EJECUCION'!$J$9:$J$1208,0)),0))</f>
        <v/>
      </c>
      <c r="AJ91" s="10">
        <f>IF($A91="","",MAX(0,IFERROR(INDEX('2_IMPORTAR_EJECUCION'!$H$9:$H$1208,MATCH($AQ91,'2_IMPORTAR_EJECUCION'!$J$9:$J$1208,0)),0)-$AI91))</f>
        <v/>
      </c>
      <c r="AK91" s="10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2">
        <f>IF($J92="","",TODAY()-$J92)</f>
        <v/>
      </c>
      <c r="AB92" s="12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08</t>
        </is>
      </c>
      <c r="AF92" s="3">
        <f>IF($AE92="","",IF((IFERROR(INDEX('ASIGNACIONES'!$F$4:$F$339,MATCH($O92&amp;"|"&amp;$R92&amp;"|"&amp;$AE92,'ASIGNACIONES'!$J$4:$J$339,0)),""))=0,"",IFERROR(INDEX('ASIGNACIONES'!$F$4:$F$339,MATCH($O92&amp;"|"&amp;$R92&amp;"|"&amp;$AE92,'ASIGNACIONES'!$J$4:$J$339,0)),"")))</f>
        <v/>
      </c>
      <c r="AG92" s="13">
        <f>IF($AE92="","",SUMIFS('ORDENES'!$M$4:$M$1203,'ORDENES'!$AE$4:$AE$1203,$AE92,'ORDENES'!$O$4:$O$1203,$O92,'ORDENES'!$R$4:$R$1203,$R92))</f>
        <v/>
      </c>
      <c r="AH92" s="13">
        <f>IF($AG92="","",p_factor_productividad*IFERROR(INDEX('ASIGNACIONES'!$I$4:$I$339,MATCH($O92&amp;"|"&amp;$R92&amp;"|"&amp;$AE92,'ASIGNACIONES'!$J$4:$J$339,0)),0)-$AG92)</f>
        <v/>
      </c>
      <c r="AI92" s="10">
        <f>IF($A92="","",IFERROR(INDEX('2_IMPORTAR_EJECUCION'!$F$9:$F$1208,MATCH($AQ92,'2_IMPORTAR_EJECUCION'!$J$9:$J$1208,0)),0))</f>
        <v/>
      </c>
      <c r="AJ92" s="10">
        <f>IF($A92="","",MAX(0,IFERROR(INDEX('2_IMPORTAR_EJECUCION'!$H$9:$H$1208,MATCH($AQ92,'2_IMPORTAR_EJECUCION'!$J$9:$J$1208,0)),0)-$AI92))</f>
        <v/>
      </c>
      <c r="AK92" s="10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2">
        <f>IF($J93="","",TODAY()-$J93)</f>
        <v/>
      </c>
      <c r="AB93" s="12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09</t>
        </is>
      </c>
      <c r="AF93" s="3">
        <f>IF($AE93="","",IF((IFERROR(INDEX('ASIGNACIONES'!$F$4:$F$339,MATCH($O93&amp;"|"&amp;$R93&amp;"|"&amp;$AE93,'ASIGNACIONES'!$J$4:$J$339,0)),""))=0,"",IFERROR(INDEX('ASIGNACIONES'!$F$4:$F$339,MATCH($O93&amp;"|"&amp;$R93&amp;"|"&amp;$AE93,'ASIGNACIONES'!$J$4:$J$339,0)),"")))</f>
        <v/>
      </c>
      <c r="AG93" s="13">
        <f>IF($AE93="","",SUMIFS('ORDENES'!$M$4:$M$1203,'ORDENES'!$AE$4:$AE$1203,$AE93,'ORDENES'!$O$4:$O$1203,$O93,'ORDENES'!$R$4:$R$1203,$R93))</f>
        <v/>
      </c>
      <c r="AH93" s="13">
        <f>IF($AG93="","",p_factor_productividad*IFERROR(INDEX('ASIGNACIONES'!$I$4:$I$339,MATCH($O93&amp;"|"&amp;$R93&amp;"|"&amp;$AE93,'ASIGNACIONES'!$J$4:$J$339,0)),0)-$AG93)</f>
        <v/>
      </c>
      <c r="AI93" s="10">
        <f>IF($A93="","",IFERROR(INDEX('2_IMPORTAR_EJECUCION'!$F$9:$F$1208,MATCH($AQ93,'2_IMPORTAR_EJECUCION'!$J$9:$J$1208,0)),0))</f>
        <v/>
      </c>
      <c r="AJ93" s="10">
        <f>IF($A93="","",MAX(0,IFERROR(INDEX('2_IMPORTAR_EJECUCION'!$H$9:$H$1208,MATCH($AQ93,'2_IMPORTAR_EJECUCION'!$J$9:$J$1208,0)),0)-$AI93))</f>
        <v/>
      </c>
      <c r="AK93" s="10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2">
        <f>IF($J94="","",TODAY()-$J94)</f>
        <v/>
      </c>
      <c r="AB94" s="12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08</t>
        </is>
      </c>
      <c r="AF94" s="3">
        <f>IF($AE94="","",IF((IFERROR(INDEX('ASIGNACIONES'!$F$4:$F$339,MATCH($O94&amp;"|"&amp;$R94&amp;"|"&amp;$AE94,'ASIGNACIONES'!$J$4:$J$339,0)),""))=0,"",IFERROR(INDEX('ASIGNACIONES'!$F$4:$F$339,MATCH($O94&amp;"|"&amp;$R94&amp;"|"&amp;$AE94,'ASIGNACIONES'!$J$4:$J$339,0)),"")))</f>
        <v/>
      </c>
      <c r="AG94" s="13">
        <f>IF($AE94="","",SUMIFS('ORDENES'!$M$4:$M$1203,'ORDENES'!$AE$4:$AE$1203,$AE94,'ORDENES'!$O$4:$O$1203,$O94,'ORDENES'!$R$4:$R$1203,$R94))</f>
        <v/>
      </c>
      <c r="AH94" s="13">
        <f>IF($AG94="","",p_factor_productividad*IFERROR(INDEX('ASIGNACIONES'!$I$4:$I$339,MATCH($O94&amp;"|"&amp;$R94&amp;"|"&amp;$AE94,'ASIGNACIONES'!$J$4:$J$339,0)),0)-$AG94)</f>
        <v/>
      </c>
      <c r="AI94" s="10">
        <f>IF($A94="","",IFERROR(INDEX('2_IMPORTAR_EJECUCION'!$F$9:$F$1208,MATCH($AQ94,'2_IMPORTAR_EJECUCION'!$J$9:$J$1208,0)),0))</f>
        <v/>
      </c>
      <c r="AJ94" s="10">
        <f>IF($A94="","",MAX(0,IFERROR(INDEX('2_IMPORTAR_EJECUCION'!$H$9:$H$1208,MATCH($AQ94,'2_IMPORTAR_EJECUCION'!$J$9:$J$1208,0)),0)-$AI94))</f>
        <v/>
      </c>
      <c r="AK94" s="10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2">
        <f>IF($J95="","",TODAY()-$J95)</f>
        <v/>
      </c>
      <c r="AB95" s="12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09</t>
        </is>
      </c>
      <c r="AF95" s="3">
        <f>IF($AE95="","",IF((IFERROR(INDEX('ASIGNACIONES'!$F$4:$F$339,MATCH($O95&amp;"|"&amp;$R95&amp;"|"&amp;$AE95,'ASIGNACIONES'!$J$4:$J$339,0)),""))=0,"",IFERROR(INDEX('ASIGNACIONES'!$F$4:$F$339,MATCH($O95&amp;"|"&amp;$R95&amp;"|"&amp;$AE95,'ASIGNACIONES'!$J$4:$J$339,0)),"")))</f>
        <v/>
      </c>
      <c r="AG95" s="13">
        <f>IF($AE95="","",SUMIFS('ORDENES'!$M$4:$M$1203,'ORDENES'!$AE$4:$AE$1203,$AE95,'ORDENES'!$O$4:$O$1203,$O95,'ORDENES'!$R$4:$R$1203,$R95))</f>
        <v/>
      </c>
      <c r="AH95" s="13">
        <f>IF($AG95="","",p_factor_productividad*IFERROR(INDEX('ASIGNACIONES'!$I$4:$I$339,MATCH($O95&amp;"|"&amp;$R95&amp;"|"&amp;$AE95,'ASIGNACIONES'!$J$4:$J$339,0)),0)-$AG95)</f>
        <v/>
      </c>
      <c r="AI95" s="10">
        <f>IF($A95="","",IFERROR(INDEX('2_IMPORTAR_EJECUCION'!$F$9:$F$1208,MATCH($AQ95,'2_IMPORTAR_EJECUCION'!$J$9:$J$1208,0)),0))</f>
        <v/>
      </c>
      <c r="AJ95" s="10">
        <f>IF($A95="","",MAX(0,IFERROR(INDEX('2_IMPORTAR_EJECUCION'!$H$9:$H$1208,MATCH($AQ95,'2_IMPORTAR_EJECUCION'!$J$9:$J$1208,0)),0)-$AI95))</f>
        <v/>
      </c>
      <c r="AK95" s="10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2">
        <f>IF($J96="","",TODAY()-$J96)</f>
        <v/>
      </c>
      <c r="AB96" s="12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08</t>
        </is>
      </c>
      <c r="AF96" s="3">
        <f>IF($AE96="","",IF((IFERROR(INDEX('ASIGNACIONES'!$F$4:$F$339,MATCH($O96&amp;"|"&amp;$R96&amp;"|"&amp;$AE96,'ASIGNACIONES'!$J$4:$J$339,0)),""))=0,"",IFERROR(INDEX('ASIGNACIONES'!$F$4:$F$339,MATCH($O96&amp;"|"&amp;$R96&amp;"|"&amp;$AE96,'ASIGNACIONES'!$J$4:$J$339,0)),"")))</f>
        <v/>
      </c>
      <c r="AG96" s="13">
        <f>IF($AE96="","",SUMIFS('ORDENES'!$M$4:$M$1203,'ORDENES'!$AE$4:$AE$1203,$AE96,'ORDENES'!$O$4:$O$1203,$O96,'ORDENES'!$R$4:$R$1203,$R96))</f>
        <v/>
      </c>
      <c r="AH96" s="13">
        <f>IF($AG96="","",p_factor_productividad*IFERROR(INDEX('ASIGNACIONES'!$I$4:$I$339,MATCH($O96&amp;"|"&amp;$R96&amp;"|"&amp;$AE96,'ASIGNACIONES'!$J$4:$J$339,0)),0)-$AG96)</f>
        <v/>
      </c>
      <c r="AI96" s="10">
        <f>IF($A96="","",IFERROR(INDEX('2_IMPORTAR_EJECUCION'!$F$9:$F$1208,MATCH($AQ96,'2_IMPORTAR_EJECUCION'!$J$9:$J$1208,0)),0))</f>
        <v/>
      </c>
      <c r="AJ96" s="10">
        <f>IF($A96="","",MAX(0,IFERROR(INDEX('2_IMPORTAR_EJECUCION'!$H$9:$H$1208,MATCH($AQ96,'2_IMPORTAR_EJECUCION'!$J$9:$J$1208,0)),0)-$AI96))</f>
        <v/>
      </c>
      <c r="AK96" s="10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2">
        <f>IF($J97="","",TODAY()-$J97)</f>
        <v/>
      </c>
      <c r="AB97" s="12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09</t>
        </is>
      </c>
      <c r="AF97" s="3">
        <f>IF($AE97="","",IF((IFERROR(INDEX('ASIGNACIONES'!$F$4:$F$339,MATCH($O97&amp;"|"&amp;$R97&amp;"|"&amp;$AE97,'ASIGNACIONES'!$J$4:$J$339,0)),""))=0,"",IFERROR(INDEX('ASIGNACIONES'!$F$4:$F$339,MATCH($O97&amp;"|"&amp;$R97&amp;"|"&amp;$AE97,'ASIGNACIONES'!$J$4:$J$339,0)),"")))</f>
        <v/>
      </c>
      <c r="AG97" s="13">
        <f>IF($AE97="","",SUMIFS('ORDENES'!$M$4:$M$1203,'ORDENES'!$AE$4:$AE$1203,$AE97,'ORDENES'!$O$4:$O$1203,$O97,'ORDENES'!$R$4:$R$1203,$R97))</f>
        <v/>
      </c>
      <c r="AH97" s="13">
        <f>IF($AG97="","",p_factor_productividad*IFERROR(INDEX('ASIGNACIONES'!$I$4:$I$339,MATCH($O97&amp;"|"&amp;$R97&amp;"|"&amp;$AE97,'ASIGNACIONES'!$J$4:$J$339,0)),0)-$AG97)</f>
        <v/>
      </c>
      <c r="AI97" s="10">
        <f>IF($A97="","",IFERROR(INDEX('2_IMPORTAR_EJECUCION'!$F$9:$F$1208,MATCH($AQ97,'2_IMPORTAR_EJECUCION'!$J$9:$J$1208,0)),0))</f>
        <v/>
      </c>
      <c r="AJ97" s="10">
        <f>IF($A97="","",MAX(0,IFERROR(INDEX('2_IMPORTAR_EJECUCION'!$H$9:$H$1208,MATCH($AQ97,'2_IMPORTAR_EJECUCION'!$J$9:$J$1208,0)),0)-$AI97))</f>
        <v/>
      </c>
      <c r="AK97" s="10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2">
        <f>IF($J98="","",TODAY()-$J98)</f>
        <v/>
      </c>
      <c r="AB98" s="12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08</t>
        </is>
      </c>
      <c r="AF98" s="3">
        <f>IF($AE98="","",IF((IFERROR(INDEX('ASIGNACIONES'!$F$4:$F$339,MATCH($O98&amp;"|"&amp;$R98&amp;"|"&amp;$AE98,'ASIGNACIONES'!$J$4:$J$339,0)),""))=0,"",IFERROR(INDEX('ASIGNACIONES'!$F$4:$F$339,MATCH($O98&amp;"|"&amp;$R98&amp;"|"&amp;$AE98,'ASIGNACIONES'!$J$4:$J$339,0)),"")))</f>
        <v/>
      </c>
      <c r="AG98" s="13">
        <f>IF($AE98="","",SUMIFS('ORDENES'!$M$4:$M$1203,'ORDENES'!$AE$4:$AE$1203,$AE98,'ORDENES'!$O$4:$O$1203,$O98,'ORDENES'!$R$4:$R$1203,$R98))</f>
        <v/>
      </c>
      <c r="AH98" s="13">
        <f>IF($AG98="","",p_factor_productividad*IFERROR(INDEX('ASIGNACIONES'!$I$4:$I$339,MATCH($O98&amp;"|"&amp;$R98&amp;"|"&amp;$AE98,'ASIGNACIONES'!$J$4:$J$339,0)),0)-$AG98)</f>
        <v/>
      </c>
      <c r="AI98" s="10">
        <f>IF($A98="","",IFERROR(INDEX('2_IMPORTAR_EJECUCION'!$F$9:$F$1208,MATCH($AQ98,'2_IMPORTAR_EJECUCION'!$J$9:$J$1208,0)),0))</f>
        <v/>
      </c>
      <c r="AJ98" s="10">
        <f>IF($A98="","",MAX(0,IFERROR(INDEX('2_IMPORTAR_EJECUCION'!$H$9:$H$1208,MATCH($AQ98,'2_IMPORTAR_EJECUCION'!$J$9:$J$1208,0)),0)-$AI98))</f>
        <v/>
      </c>
      <c r="AK98" s="10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2">
        <f>IF($J99="","",TODAY()-$J99)</f>
        <v/>
      </c>
      <c r="AB99" s="12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IF($AE99="","",IF((IFERROR(INDEX('ASIGNACIONES'!$F$4:$F$339,MATCH($O99&amp;"|"&amp;$R99&amp;"|"&amp;$AE99,'ASIGNACIONES'!$J$4:$J$339,0)),""))=0,"",IFERROR(INDEX('ASIGNACIONES'!$F$4:$F$339,MATCH($O99&amp;"|"&amp;$R99&amp;"|"&amp;$AE99,'ASIGNACIONES'!$J$4:$J$339,0)),"")))</f>
        <v/>
      </c>
      <c r="AG99" s="13">
        <f>IF($AE99="","",SUMIFS('ORDENES'!$M$4:$M$1203,'ORDENES'!$AE$4:$AE$1203,$AE99,'ORDENES'!$O$4:$O$1203,$O99,'ORDENES'!$R$4:$R$1203,$R99))</f>
        <v/>
      </c>
      <c r="AH99" s="13">
        <f>IF($AG99="","",p_factor_productividad*IFERROR(INDEX('ASIGNACIONES'!$I$4:$I$339,MATCH($O99&amp;"|"&amp;$R99&amp;"|"&amp;$AE99,'ASIGNACIONES'!$J$4:$J$339,0)),0)-$AG99)</f>
        <v/>
      </c>
      <c r="AI99" s="10">
        <f>IF($A99="","",IFERROR(INDEX('2_IMPORTAR_EJECUCION'!$F$9:$F$1208,MATCH($AQ99,'2_IMPORTAR_EJECUCION'!$J$9:$J$1208,0)),0))</f>
        <v/>
      </c>
      <c r="AJ99" s="10">
        <f>IF($A99="","",MAX(0,IFERROR(INDEX('2_IMPORTAR_EJECUCION'!$H$9:$H$1208,MATCH($AQ99,'2_IMPORTAR_EJECUCION'!$J$9:$J$1208,0)),0)-$AI99))</f>
        <v/>
      </c>
      <c r="AK99" s="10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2">
        <f>IF($J100="","",TODAY()-$J100)</f>
        <v/>
      </c>
      <c r="AB100" s="12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08</t>
        </is>
      </c>
      <c r="AF100" s="3">
        <f>IF($AE100="","",IF((IFERROR(INDEX('ASIGNACIONES'!$F$4:$F$339,MATCH($O100&amp;"|"&amp;$R100&amp;"|"&amp;$AE100,'ASIGNACIONES'!$J$4:$J$339,0)),""))=0,"",IFERROR(INDEX('ASIGNACIONES'!$F$4:$F$339,MATCH($O100&amp;"|"&amp;$R100&amp;"|"&amp;$AE100,'ASIGNACIONES'!$J$4:$J$339,0)),"")))</f>
        <v/>
      </c>
      <c r="AG100" s="13">
        <f>IF($AE100="","",SUMIFS('ORDENES'!$M$4:$M$1203,'ORDENES'!$AE$4:$AE$1203,$AE100,'ORDENES'!$O$4:$O$1203,$O100,'ORDENES'!$R$4:$R$1203,$R100))</f>
        <v/>
      </c>
      <c r="AH100" s="13">
        <f>IF($AG100="","",p_factor_productividad*IFERROR(INDEX('ASIGNACIONES'!$I$4:$I$339,MATCH($O100&amp;"|"&amp;$R100&amp;"|"&amp;$AE100,'ASIGNACIONES'!$J$4:$J$339,0)),0)-$AG100)</f>
        <v/>
      </c>
      <c r="AI100" s="10">
        <f>IF($A100="","",IFERROR(INDEX('2_IMPORTAR_EJECUCION'!$F$9:$F$1208,MATCH($AQ100,'2_IMPORTAR_EJECUCION'!$J$9:$J$1208,0)),0))</f>
        <v/>
      </c>
      <c r="AJ100" s="10">
        <f>IF($A100="","",MAX(0,IFERROR(INDEX('2_IMPORTAR_EJECUCION'!$H$9:$H$1208,MATCH($AQ100,'2_IMPORTAR_EJECUCION'!$J$9:$J$1208,0)),0)-$AI100))</f>
        <v/>
      </c>
      <c r="AK100" s="10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2">
        <f>IF($J101="","",TODAY()-$J101)</f>
        <v/>
      </c>
      <c r="AB101" s="12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09</t>
        </is>
      </c>
      <c r="AF101" s="3">
        <f>IF($AE101="","",IF((IFERROR(INDEX('ASIGNACIONES'!$F$4:$F$339,MATCH($O101&amp;"|"&amp;$R101&amp;"|"&amp;$AE101,'ASIGNACIONES'!$J$4:$J$339,0)),""))=0,"",IFERROR(INDEX('ASIGNACIONES'!$F$4:$F$339,MATCH($O101&amp;"|"&amp;$R101&amp;"|"&amp;$AE101,'ASIGNACIONES'!$J$4:$J$339,0)),"")))</f>
        <v/>
      </c>
      <c r="AG101" s="13">
        <f>IF($AE101="","",SUMIFS('ORDENES'!$M$4:$M$1203,'ORDENES'!$AE$4:$AE$1203,$AE101,'ORDENES'!$O$4:$O$1203,$O101,'ORDENES'!$R$4:$R$1203,$R101))</f>
        <v/>
      </c>
      <c r="AH101" s="13">
        <f>IF($AG101="","",p_factor_productividad*IFERROR(INDEX('ASIGNACIONES'!$I$4:$I$339,MATCH($O101&amp;"|"&amp;$R101&amp;"|"&amp;$AE101,'ASIGNACIONES'!$J$4:$J$339,0)),0)-$AG101)</f>
        <v/>
      </c>
      <c r="AI101" s="10">
        <f>IF($A101="","",IFERROR(INDEX('2_IMPORTAR_EJECUCION'!$F$9:$F$1208,MATCH($AQ101,'2_IMPORTAR_EJECUCION'!$J$9:$J$1208,0)),0))</f>
        <v/>
      </c>
      <c r="AJ101" s="10">
        <f>IF($A101="","",MAX(0,IFERROR(INDEX('2_IMPORTAR_EJECUCION'!$H$9:$H$1208,MATCH($AQ101,'2_IMPORTAR_EJECUCION'!$J$9:$J$1208,0)),0)-$AI101))</f>
        <v/>
      </c>
      <c r="AK101" s="10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2">
        <f>IF($J102="","",TODAY()-$J102)</f>
        <v/>
      </c>
      <c r="AB102" s="12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08</t>
        </is>
      </c>
      <c r="AF102" s="3">
        <f>IF($AE102="","",IF((IFERROR(INDEX('ASIGNACIONES'!$F$4:$F$339,MATCH($O102&amp;"|"&amp;$R102&amp;"|"&amp;$AE102,'ASIGNACIONES'!$J$4:$J$339,0)),""))=0,"",IFERROR(INDEX('ASIGNACIONES'!$F$4:$F$339,MATCH($O102&amp;"|"&amp;$R102&amp;"|"&amp;$AE102,'ASIGNACIONES'!$J$4:$J$339,0)),"")))</f>
        <v/>
      </c>
      <c r="AG102" s="13">
        <f>IF($AE102="","",SUMIFS('ORDENES'!$M$4:$M$1203,'ORDENES'!$AE$4:$AE$1203,$AE102,'ORDENES'!$O$4:$O$1203,$O102,'ORDENES'!$R$4:$R$1203,$R102))</f>
        <v/>
      </c>
      <c r="AH102" s="13">
        <f>IF($AG102="","",p_factor_productividad*IFERROR(INDEX('ASIGNACIONES'!$I$4:$I$339,MATCH($O102&amp;"|"&amp;$R102&amp;"|"&amp;$AE102,'ASIGNACIONES'!$J$4:$J$339,0)),0)-$AG102)</f>
        <v/>
      </c>
      <c r="AI102" s="10">
        <f>IF($A102="","",IFERROR(INDEX('2_IMPORTAR_EJECUCION'!$F$9:$F$1208,MATCH($AQ102,'2_IMPORTAR_EJECUCION'!$J$9:$J$1208,0)),0))</f>
        <v/>
      </c>
      <c r="AJ102" s="10">
        <f>IF($A102="","",MAX(0,IFERROR(INDEX('2_IMPORTAR_EJECUCION'!$H$9:$H$1208,MATCH($AQ102,'2_IMPORTAR_EJECUCION'!$J$9:$J$1208,0)),0)-$AI102))</f>
        <v/>
      </c>
      <c r="AK102" s="10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2">
        <f>IF($J103="","",TODAY()-$J103)</f>
        <v/>
      </c>
      <c r="AB103" s="12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09</t>
        </is>
      </c>
      <c r="AF103" s="3">
        <f>IF($AE103="","",IF((IFERROR(INDEX('ASIGNACIONES'!$F$4:$F$339,MATCH($O103&amp;"|"&amp;$R103&amp;"|"&amp;$AE103,'ASIGNACIONES'!$J$4:$J$339,0)),""))=0,"",IFERROR(INDEX('ASIGNACIONES'!$F$4:$F$339,MATCH($O103&amp;"|"&amp;$R103&amp;"|"&amp;$AE103,'ASIGNACIONES'!$J$4:$J$339,0)),"")))</f>
        <v/>
      </c>
      <c r="AG103" s="13">
        <f>IF($AE103="","",SUMIFS('ORDENES'!$M$4:$M$1203,'ORDENES'!$AE$4:$AE$1203,$AE103,'ORDENES'!$O$4:$O$1203,$O103,'ORDENES'!$R$4:$R$1203,$R103))</f>
        <v/>
      </c>
      <c r="AH103" s="13">
        <f>IF($AG103="","",p_factor_productividad*IFERROR(INDEX('ASIGNACIONES'!$I$4:$I$339,MATCH($O103&amp;"|"&amp;$R103&amp;"|"&amp;$AE103,'ASIGNACIONES'!$J$4:$J$339,0)),0)-$AG103)</f>
        <v/>
      </c>
      <c r="AI103" s="10">
        <f>IF($A103="","",IFERROR(INDEX('2_IMPORTAR_EJECUCION'!$F$9:$F$1208,MATCH($AQ103,'2_IMPORTAR_EJECUCION'!$J$9:$J$1208,0)),0))</f>
        <v/>
      </c>
      <c r="AJ103" s="10">
        <f>IF($A103="","",MAX(0,IFERROR(INDEX('2_IMPORTAR_EJECUCION'!$H$9:$H$1208,MATCH($AQ103,'2_IMPORTAR_EJECUCION'!$J$9:$J$1208,0)),0)-$AI103))</f>
        <v/>
      </c>
      <c r="AK103" s="10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2">
        <f>IF($J104="","",TODAY()-$J104)</f>
        <v/>
      </c>
      <c r="AB104" s="12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08</t>
        </is>
      </c>
      <c r="AF104" s="3">
        <f>IF($AE104="","",IF((IFERROR(INDEX('ASIGNACIONES'!$F$4:$F$339,MATCH($O104&amp;"|"&amp;$R104&amp;"|"&amp;$AE104,'ASIGNACIONES'!$J$4:$J$339,0)),""))=0,"",IFERROR(INDEX('ASIGNACIONES'!$F$4:$F$339,MATCH($O104&amp;"|"&amp;$R104&amp;"|"&amp;$AE104,'ASIGNACIONES'!$J$4:$J$339,0)),"")))</f>
        <v/>
      </c>
      <c r="AG104" s="13">
        <f>IF($AE104="","",SUMIFS('ORDENES'!$M$4:$M$1203,'ORDENES'!$AE$4:$AE$1203,$AE104,'ORDENES'!$O$4:$O$1203,$O104,'ORDENES'!$R$4:$R$1203,$R104))</f>
        <v/>
      </c>
      <c r="AH104" s="13">
        <f>IF($AG104="","",p_factor_productividad*IFERROR(INDEX('ASIGNACIONES'!$I$4:$I$339,MATCH($O104&amp;"|"&amp;$R104&amp;"|"&amp;$AE104,'ASIGNACIONES'!$J$4:$J$339,0)),0)-$AG104)</f>
        <v/>
      </c>
      <c r="AI104" s="10">
        <f>IF($A104="","",IFERROR(INDEX('2_IMPORTAR_EJECUCION'!$F$9:$F$1208,MATCH($AQ104,'2_IMPORTAR_EJECUCION'!$J$9:$J$1208,0)),0))</f>
        <v/>
      </c>
      <c r="AJ104" s="10">
        <f>IF($A104="","",MAX(0,IFERROR(INDEX('2_IMPORTAR_EJECUCION'!$H$9:$H$1208,MATCH($AQ104,'2_IMPORTAR_EJECUCION'!$J$9:$J$1208,0)),0)-$AI104))</f>
        <v/>
      </c>
      <c r="AK104" s="10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2">
        <f>IF($J105="","",TODAY()-$J105)</f>
        <v/>
      </c>
      <c r="AB105" s="12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09</t>
        </is>
      </c>
      <c r="AF105" s="3">
        <f>IF($AE105="","",IF((IFERROR(INDEX('ASIGNACIONES'!$F$4:$F$339,MATCH($O105&amp;"|"&amp;$R105&amp;"|"&amp;$AE105,'ASIGNACIONES'!$J$4:$J$339,0)),""))=0,"",IFERROR(INDEX('ASIGNACIONES'!$F$4:$F$339,MATCH($O105&amp;"|"&amp;$R105&amp;"|"&amp;$AE105,'ASIGNACIONES'!$J$4:$J$339,0)),"")))</f>
        <v/>
      </c>
      <c r="AG105" s="13">
        <f>IF($AE105="","",SUMIFS('ORDENES'!$M$4:$M$1203,'ORDENES'!$AE$4:$AE$1203,$AE105,'ORDENES'!$O$4:$O$1203,$O105,'ORDENES'!$R$4:$R$1203,$R105))</f>
        <v/>
      </c>
      <c r="AH105" s="13">
        <f>IF($AG105="","",p_factor_productividad*IFERROR(INDEX('ASIGNACIONES'!$I$4:$I$339,MATCH($O105&amp;"|"&amp;$R105&amp;"|"&amp;$AE105,'ASIGNACIONES'!$J$4:$J$339,0)),0)-$AG105)</f>
        <v/>
      </c>
      <c r="AI105" s="10">
        <f>IF($A105="","",IFERROR(INDEX('2_IMPORTAR_EJECUCION'!$F$9:$F$1208,MATCH($AQ105,'2_IMPORTAR_EJECUCION'!$J$9:$J$1208,0)),0))</f>
        <v/>
      </c>
      <c r="AJ105" s="10">
        <f>IF($A105="","",MAX(0,IFERROR(INDEX('2_IMPORTAR_EJECUCION'!$H$9:$H$1208,MATCH($AQ105,'2_IMPORTAR_EJECUCION'!$J$9:$J$1208,0)),0)-$AI105))</f>
        <v/>
      </c>
      <c r="AK105" s="10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2">
        <f>IF($J106="","",TODAY()-$J106)</f>
        <v/>
      </c>
      <c r="AB106" s="12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08</t>
        </is>
      </c>
      <c r="AF106" s="3">
        <f>IF($AE106="","",IF((IFERROR(INDEX('ASIGNACIONES'!$F$4:$F$339,MATCH($O106&amp;"|"&amp;$R106&amp;"|"&amp;$AE106,'ASIGNACIONES'!$J$4:$J$339,0)),""))=0,"",IFERROR(INDEX('ASIGNACIONES'!$F$4:$F$339,MATCH($O106&amp;"|"&amp;$R106&amp;"|"&amp;$AE106,'ASIGNACIONES'!$J$4:$J$339,0)),"")))</f>
        <v/>
      </c>
      <c r="AG106" s="13">
        <f>IF($AE106="","",SUMIFS('ORDENES'!$M$4:$M$1203,'ORDENES'!$AE$4:$AE$1203,$AE106,'ORDENES'!$O$4:$O$1203,$O106,'ORDENES'!$R$4:$R$1203,$R106))</f>
        <v/>
      </c>
      <c r="AH106" s="13">
        <f>IF($AG106="","",p_factor_productividad*IFERROR(INDEX('ASIGNACIONES'!$I$4:$I$339,MATCH($O106&amp;"|"&amp;$R106&amp;"|"&amp;$AE106,'ASIGNACIONES'!$J$4:$J$339,0)),0)-$AG106)</f>
        <v/>
      </c>
      <c r="AI106" s="10">
        <f>IF($A106="","",IFERROR(INDEX('2_IMPORTAR_EJECUCION'!$F$9:$F$1208,MATCH($AQ106,'2_IMPORTAR_EJECUCION'!$J$9:$J$1208,0)),0))</f>
        <v/>
      </c>
      <c r="AJ106" s="10">
        <f>IF($A106="","",MAX(0,IFERROR(INDEX('2_IMPORTAR_EJECUCION'!$H$9:$H$1208,MATCH($AQ106,'2_IMPORTAR_EJECUCION'!$J$9:$J$1208,0)),0)-$AI106))</f>
        <v/>
      </c>
      <c r="AK106" s="10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2">
        <f>IF($J107="","",TODAY()-$J107)</f>
        <v/>
      </c>
      <c r="AB107" s="12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09</t>
        </is>
      </c>
      <c r="AF107" s="3">
        <f>IF($AE107="","",IF((IFERROR(INDEX('ASIGNACIONES'!$F$4:$F$339,MATCH($O107&amp;"|"&amp;$R107&amp;"|"&amp;$AE107,'ASIGNACIONES'!$J$4:$J$339,0)),""))=0,"",IFERROR(INDEX('ASIGNACIONES'!$F$4:$F$339,MATCH($O107&amp;"|"&amp;$R107&amp;"|"&amp;$AE107,'ASIGNACIONES'!$J$4:$J$339,0)),"")))</f>
        <v/>
      </c>
      <c r="AG107" s="13">
        <f>IF($AE107="","",SUMIFS('ORDENES'!$M$4:$M$1203,'ORDENES'!$AE$4:$AE$1203,$AE107,'ORDENES'!$O$4:$O$1203,$O107,'ORDENES'!$R$4:$R$1203,$R107))</f>
        <v/>
      </c>
      <c r="AH107" s="13">
        <f>IF($AG107="","",p_factor_productividad*IFERROR(INDEX('ASIGNACIONES'!$I$4:$I$339,MATCH($O107&amp;"|"&amp;$R107&amp;"|"&amp;$AE107,'ASIGNACIONES'!$J$4:$J$339,0)),0)-$AG107)</f>
        <v/>
      </c>
      <c r="AI107" s="10">
        <f>IF($A107="","",IFERROR(INDEX('2_IMPORTAR_EJECUCION'!$F$9:$F$1208,MATCH($AQ107,'2_IMPORTAR_EJECUCION'!$J$9:$J$1208,0)),0))</f>
        <v/>
      </c>
      <c r="AJ107" s="10">
        <f>IF($A107="","",MAX(0,IFERROR(INDEX('2_IMPORTAR_EJECUCION'!$H$9:$H$1208,MATCH($AQ107,'2_IMPORTAR_EJECUCION'!$J$9:$J$1208,0)),0)-$AI107))</f>
        <v/>
      </c>
      <c r="AK107" s="10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2">
        <f>IF($J108="","",TODAY()-$J108)</f>
        <v/>
      </c>
      <c r="AB108" s="12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08</t>
        </is>
      </c>
      <c r="AF108" s="3">
        <f>IF($AE108="","",IF((IFERROR(INDEX('ASIGNACIONES'!$F$4:$F$339,MATCH($O108&amp;"|"&amp;$R108&amp;"|"&amp;$AE108,'ASIGNACIONES'!$J$4:$J$339,0)),""))=0,"",IFERROR(INDEX('ASIGNACIONES'!$F$4:$F$339,MATCH($O108&amp;"|"&amp;$R108&amp;"|"&amp;$AE108,'ASIGNACIONES'!$J$4:$J$339,0)),"")))</f>
        <v/>
      </c>
      <c r="AG108" s="13">
        <f>IF($AE108="","",SUMIFS('ORDENES'!$M$4:$M$1203,'ORDENES'!$AE$4:$AE$1203,$AE108,'ORDENES'!$O$4:$O$1203,$O108,'ORDENES'!$R$4:$R$1203,$R108))</f>
        <v/>
      </c>
      <c r="AH108" s="13">
        <f>IF($AG108="","",p_factor_productividad*IFERROR(INDEX('ASIGNACIONES'!$I$4:$I$339,MATCH($O108&amp;"|"&amp;$R108&amp;"|"&amp;$AE108,'ASIGNACIONES'!$J$4:$J$339,0)),0)-$AG108)</f>
        <v/>
      </c>
      <c r="AI108" s="10">
        <f>IF($A108="","",IFERROR(INDEX('2_IMPORTAR_EJECUCION'!$F$9:$F$1208,MATCH($AQ108,'2_IMPORTAR_EJECUCION'!$J$9:$J$1208,0)),0))</f>
        <v/>
      </c>
      <c r="AJ108" s="10">
        <f>IF($A108="","",MAX(0,IFERROR(INDEX('2_IMPORTAR_EJECUCION'!$H$9:$H$1208,MATCH($AQ108,'2_IMPORTAR_EJECUCION'!$J$9:$J$1208,0)),0)-$AI108))</f>
        <v/>
      </c>
      <c r="AK108" s="10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2">
        <f>IF($J109="","",TODAY()-$J109)</f>
        <v/>
      </c>
      <c r="AB109" s="12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09</t>
        </is>
      </c>
      <c r="AF109" s="3">
        <f>IF($AE109="","",IF((IFERROR(INDEX('ASIGNACIONES'!$F$4:$F$339,MATCH($O109&amp;"|"&amp;$R109&amp;"|"&amp;$AE109,'ASIGNACIONES'!$J$4:$J$339,0)),""))=0,"",IFERROR(INDEX('ASIGNACIONES'!$F$4:$F$339,MATCH($O109&amp;"|"&amp;$R109&amp;"|"&amp;$AE109,'ASIGNACIONES'!$J$4:$J$339,0)),"")))</f>
        <v/>
      </c>
      <c r="AG109" s="13">
        <f>IF($AE109="","",SUMIFS('ORDENES'!$M$4:$M$1203,'ORDENES'!$AE$4:$AE$1203,$AE109,'ORDENES'!$O$4:$O$1203,$O109,'ORDENES'!$R$4:$R$1203,$R109))</f>
        <v/>
      </c>
      <c r="AH109" s="13">
        <f>IF($AG109="","",p_factor_productividad*IFERROR(INDEX('ASIGNACIONES'!$I$4:$I$339,MATCH($O109&amp;"|"&amp;$R109&amp;"|"&amp;$AE109,'ASIGNACIONES'!$J$4:$J$339,0)),0)-$AG109)</f>
        <v/>
      </c>
      <c r="AI109" s="10">
        <f>IF($A109="","",IFERROR(INDEX('2_IMPORTAR_EJECUCION'!$F$9:$F$1208,MATCH($AQ109,'2_IMPORTAR_EJECUCION'!$J$9:$J$1208,0)),0))</f>
        <v/>
      </c>
      <c r="AJ109" s="10">
        <f>IF($A109="","",MAX(0,IFERROR(INDEX('2_IMPORTAR_EJECUCION'!$H$9:$H$1208,MATCH($AQ109,'2_IMPORTAR_EJECUCION'!$J$9:$J$1208,0)),0)-$AI109))</f>
        <v/>
      </c>
      <c r="AK109" s="10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2">
        <f>IF($J110="","",TODAY()-$J110)</f>
        <v/>
      </c>
      <c r="AB110" s="12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>
        <is>
          <t>Técnico 11</t>
        </is>
      </c>
      <c r="AF110" s="3">
        <f>IF($AE110="","",IF((IFERROR(INDEX('ASIGNACIONES'!$F$4:$F$339,MATCH($O110&amp;"|"&amp;$R110&amp;"|"&amp;$AE110,'ASIGNACIONES'!$J$4:$J$339,0)),""))=0,"",IFERROR(INDEX('ASIGNACIONES'!$F$4:$F$339,MATCH($O110&amp;"|"&amp;$R110&amp;"|"&amp;$AE110,'ASIGNACIONES'!$J$4:$J$339,0)),"")))</f>
        <v/>
      </c>
      <c r="AG110" s="13">
        <f>IF($AE110="","",SUMIFS('ORDENES'!$M$4:$M$1203,'ORDENES'!$AE$4:$AE$1203,$AE110,'ORDENES'!$O$4:$O$1203,$O110,'ORDENES'!$R$4:$R$1203,$R110))</f>
        <v/>
      </c>
      <c r="AH110" s="13">
        <f>IF($AG110="","",p_factor_productividad*IFERROR(INDEX('ASIGNACIONES'!$I$4:$I$339,MATCH($O110&amp;"|"&amp;$R110&amp;"|"&amp;$AE110,'ASIGNACIONES'!$J$4:$J$339,0)),0)-$AG110)</f>
        <v/>
      </c>
      <c r="AI110" s="10">
        <f>IF($A110="","",IFERROR(INDEX('2_IMPORTAR_EJECUCION'!$F$9:$F$1208,MATCH($AQ110,'2_IMPORTAR_EJECUCION'!$J$9:$J$1208,0)),0))</f>
        <v/>
      </c>
      <c r="AJ110" s="10">
        <f>IF($A110="","",MAX(0,IFERROR(INDEX('2_IMPORTAR_EJECUCION'!$H$9:$H$1208,MATCH($AQ110,'2_IMPORTAR_EJECUCION'!$J$9:$J$1208,0)),0)-$AI110))</f>
        <v/>
      </c>
      <c r="AK110" s="10">
        <f>IF($A110="","",$AI110+$AJ110)</f>
        <v/>
      </c>
      <c r="AL110" s="6" t="inlineStr"/>
      <c r="AM110" s="6" t="inlineStr"/>
      <c r="AN110" s="6" t="inlineStr">
        <is>
          <t>ACT-04.pdf</t>
        </is>
      </c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2">
        <f>IF($J111="","",TODAY()-$J111)</f>
        <v/>
      </c>
      <c r="AB111" s="12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IF($AE111="","",IF((IFERROR(INDEX('ASIGNACIONES'!$F$4:$F$339,MATCH($O111&amp;"|"&amp;$R111&amp;"|"&amp;$AE111,'ASIGNACIONES'!$J$4:$J$339,0)),""))=0,"",IFERROR(INDEX('ASIGNACIONES'!$F$4:$F$339,MATCH($O111&amp;"|"&amp;$R111&amp;"|"&amp;$AE111,'ASIGNACIONES'!$J$4:$J$339,0)),"")))</f>
        <v/>
      </c>
      <c r="AG111" s="13">
        <f>IF($AE111="","",SUMIFS('ORDENES'!$M$4:$M$1203,'ORDENES'!$AE$4:$AE$1203,$AE111,'ORDENES'!$O$4:$O$1203,$O111,'ORDENES'!$R$4:$R$1203,$R111))</f>
        <v/>
      </c>
      <c r="AH111" s="13">
        <f>IF($AG111="","",p_factor_productividad*IFERROR(INDEX('ASIGNACIONES'!$I$4:$I$339,MATCH($O111&amp;"|"&amp;$R111&amp;"|"&amp;$AE111,'ASIGNACIONES'!$J$4:$J$339,0)),0)-$AG111)</f>
        <v/>
      </c>
      <c r="AI111" s="10">
        <f>IF($A111="","",IFERROR(INDEX('2_IMPORTAR_EJECUCION'!$F$9:$F$1208,MATCH($AQ111,'2_IMPORTAR_EJECUCION'!$J$9:$J$1208,0)),0))</f>
        <v/>
      </c>
      <c r="AJ111" s="10">
        <f>IF($A111="","",MAX(0,IFERROR(INDEX('2_IMPORTAR_EJECUCION'!$H$9:$H$1208,MATCH($AQ111,'2_IMPORTAR_EJECUCION'!$J$9:$J$1208,0)),0)-$AI111))</f>
        <v/>
      </c>
      <c r="AK111" s="10">
        <f>IF($A111="","",$AI111+$AJ111)</f>
        <v/>
      </c>
      <c r="AL111" s="6" t="inlineStr"/>
      <c r="AM111" s="6" t="inlineStr"/>
      <c r="AN111" s="6" t="inlineStr">
        <is>
          <t>ACT-01.pdf</t>
        </is>
      </c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2">
        <f>IF($J112="","",TODAY()-$J112)</f>
        <v/>
      </c>
      <c r="AB112" s="12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>
        <is>
          <t>Técnico 10</t>
        </is>
      </c>
      <c r="AF112" s="3">
        <f>IF($AE112="","",IF((IFERROR(INDEX('ASIGNACIONES'!$F$4:$F$339,MATCH($O112&amp;"|"&amp;$R112&amp;"|"&amp;$AE112,'ASIGNACIONES'!$J$4:$J$339,0)),""))=0,"",IFERROR(INDEX('ASIGNACIONES'!$F$4:$F$339,MATCH($O112&amp;"|"&amp;$R112&amp;"|"&amp;$AE112,'ASIGNACIONES'!$J$4:$J$339,0)),"")))</f>
        <v/>
      </c>
      <c r="AG112" s="13">
        <f>IF($AE112="","",SUMIFS('ORDENES'!$M$4:$M$1203,'ORDENES'!$AE$4:$AE$1203,$AE112,'ORDENES'!$O$4:$O$1203,$O112,'ORDENES'!$R$4:$R$1203,$R112))</f>
        <v/>
      </c>
      <c r="AH112" s="13">
        <f>IF($AG112="","",p_factor_productividad*IFERROR(INDEX('ASIGNACIONES'!$I$4:$I$339,MATCH($O112&amp;"|"&amp;$R112&amp;"|"&amp;$AE112,'ASIGNACIONES'!$J$4:$J$339,0)),0)-$AG112)</f>
        <v/>
      </c>
      <c r="AI112" s="10">
        <f>IF($A112="","",IFERROR(INDEX('2_IMPORTAR_EJECUCION'!$F$9:$F$1208,MATCH($AQ112,'2_IMPORTAR_EJECUCION'!$J$9:$J$1208,0)),0))</f>
        <v/>
      </c>
      <c r="AJ112" s="10">
        <f>IF($A112="","",MAX(0,IFERROR(INDEX('2_IMPORTAR_EJECUCION'!$H$9:$H$1208,MATCH($AQ112,'2_IMPORTAR_EJECUCION'!$J$9:$J$1208,0)),0)-$AI112))</f>
        <v/>
      </c>
      <c r="AK112" s="10">
        <f>IF($A112="","",$AI112+$AJ112)</f>
        <v/>
      </c>
      <c r="AL112" s="6" t="inlineStr"/>
      <c r="AM112" s="6" t="inlineStr"/>
      <c r="AN112" s="6" t="inlineStr">
        <is>
          <t>ACT-02.pdf</t>
        </is>
      </c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2">
        <f>IF($J113="","",TODAY()-$J113)</f>
        <v/>
      </c>
      <c r="AB113" s="12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>
        <is>
          <t>Técnico 11</t>
        </is>
      </c>
      <c r="AF113" s="3">
        <f>IF($AE113="","",IF((IFERROR(INDEX('ASIGNACIONES'!$F$4:$F$339,MATCH($O113&amp;"|"&amp;$R113&amp;"|"&amp;$AE113,'ASIGNACIONES'!$J$4:$J$339,0)),""))=0,"",IFERROR(INDEX('ASIGNACIONES'!$F$4:$F$339,MATCH($O113&amp;"|"&amp;$R113&amp;"|"&amp;$AE113,'ASIGNACIONES'!$J$4:$J$339,0)),"")))</f>
        <v/>
      </c>
      <c r="AG113" s="13">
        <f>IF($AE113="","",SUMIFS('ORDENES'!$M$4:$M$1203,'ORDENES'!$AE$4:$AE$1203,$AE113,'ORDENES'!$O$4:$O$1203,$O113,'ORDENES'!$R$4:$R$1203,$R113))</f>
        <v/>
      </c>
      <c r="AH113" s="13">
        <f>IF($AG113="","",p_factor_productividad*IFERROR(INDEX('ASIGNACIONES'!$I$4:$I$339,MATCH($O113&amp;"|"&amp;$R113&amp;"|"&amp;$AE113,'ASIGNACIONES'!$J$4:$J$339,0)),0)-$AG113)</f>
        <v/>
      </c>
      <c r="AI113" s="10">
        <f>IF($A113="","",IFERROR(INDEX('2_IMPORTAR_EJECUCION'!$F$9:$F$1208,MATCH($AQ113,'2_IMPORTAR_EJECUCION'!$J$9:$J$1208,0)),0))</f>
        <v/>
      </c>
      <c r="AJ113" s="10">
        <f>IF($A113="","",MAX(0,IFERROR(INDEX('2_IMPORTAR_EJECUCION'!$H$9:$H$1208,MATCH($AQ113,'2_IMPORTAR_EJECUCION'!$J$9:$J$1208,0)),0)-$AI113))</f>
        <v/>
      </c>
      <c r="AK113" s="10">
        <f>IF($A113="","",$AI113+$AJ113)</f>
        <v/>
      </c>
      <c r="AL113" s="6" t="inlineStr"/>
      <c r="AM113" s="6" t="inlineStr"/>
      <c r="AN113" s="6" t="inlineStr">
        <is>
          <t>ACT-04.pdf</t>
        </is>
      </c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2">
        <f>IF($J114="","",TODAY()-$J114)</f>
        <v/>
      </c>
      <c r="AB114" s="12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12</t>
        </is>
      </c>
      <c r="AF114" s="3">
        <f>IF($AE114="","",IF((IFERROR(INDEX('ASIGNACIONES'!$F$4:$F$339,MATCH($O114&amp;"|"&amp;$R114&amp;"|"&amp;$AE114,'ASIGNACIONES'!$J$4:$J$339,0)),""))=0,"",IFERROR(INDEX('ASIGNACIONES'!$F$4:$F$339,MATCH($O114&amp;"|"&amp;$R114&amp;"|"&amp;$AE114,'ASIGNACIONES'!$J$4:$J$339,0)),"")))</f>
        <v/>
      </c>
      <c r="AG114" s="13">
        <f>IF($AE114="","",SUMIFS('ORDENES'!$M$4:$M$1203,'ORDENES'!$AE$4:$AE$1203,$AE114,'ORDENES'!$O$4:$O$1203,$O114,'ORDENES'!$R$4:$R$1203,$R114))</f>
        <v/>
      </c>
      <c r="AH114" s="13">
        <f>IF($AG114="","",p_factor_productividad*IFERROR(INDEX('ASIGNACIONES'!$I$4:$I$339,MATCH($O114&amp;"|"&amp;$R114&amp;"|"&amp;$AE114,'ASIGNACIONES'!$J$4:$J$339,0)),0)-$AG114)</f>
        <v/>
      </c>
      <c r="AI114" s="10">
        <f>IF($A114="","",IFERROR(INDEX('2_IMPORTAR_EJECUCION'!$F$9:$F$1208,MATCH($AQ114,'2_IMPORTAR_EJECUCION'!$J$9:$J$1208,0)),0))</f>
        <v/>
      </c>
      <c r="AJ114" s="10">
        <f>IF($A114="","",MAX(0,IFERROR(INDEX('2_IMPORTAR_EJECUCION'!$H$9:$H$1208,MATCH($AQ114,'2_IMPORTAR_EJECUCION'!$J$9:$J$1208,0)),0)-$AI114))</f>
        <v/>
      </c>
      <c r="AK114" s="10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2">
        <f>IF($J115="","",TODAY()-$J115)</f>
        <v/>
      </c>
      <c r="AB115" s="12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10</t>
        </is>
      </c>
      <c r="AF115" s="3">
        <f>IF($AE115="","",IF((IFERROR(INDEX('ASIGNACIONES'!$F$4:$F$339,MATCH($O115&amp;"|"&amp;$R115&amp;"|"&amp;$AE115,'ASIGNACIONES'!$J$4:$J$339,0)),""))=0,"",IFERROR(INDEX('ASIGNACIONES'!$F$4:$F$339,MATCH($O115&amp;"|"&amp;$R115&amp;"|"&amp;$AE115,'ASIGNACIONES'!$J$4:$J$339,0)),"")))</f>
        <v/>
      </c>
      <c r="AG115" s="13">
        <f>IF($AE115="","",SUMIFS('ORDENES'!$M$4:$M$1203,'ORDENES'!$AE$4:$AE$1203,$AE115,'ORDENES'!$O$4:$O$1203,$O115,'ORDENES'!$R$4:$R$1203,$R115))</f>
        <v/>
      </c>
      <c r="AH115" s="13">
        <f>IF($AG115="","",p_factor_productividad*IFERROR(INDEX('ASIGNACIONES'!$I$4:$I$339,MATCH($O115&amp;"|"&amp;$R115&amp;"|"&amp;$AE115,'ASIGNACIONES'!$J$4:$J$339,0)),0)-$AG115)</f>
        <v/>
      </c>
      <c r="AI115" s="10">
        <f>IF($A115="","",IFERROR(INDEX('2_IMPORTAR_EJECUCION'!$F$9:$F$1208,MATCH($AQ115,'2_IMPORTAR_EJECUCION'!$J$9:$J$1208,0)),0))</f>
        <v/>
      </c>
      <c r="AJ115" s="10">
        <f>IF($A115="","",MAX(0,IFERROR(INDEX('2_IMPORTAR_EJECUCION'!$H$9:$H$1208,MATCH($AQ115,'2_IMPORTAR_EJECUCION'!$J$9:$J$1208,0)),0)-$AI115))</f>
        <v/>
      </c>
      <c r="AK115" s="10">
        <f>IF($A115="","",$AI115+$AJ115)</f>
        <v/>
      </c>
      <c r="AL115" s="6" t="inlineStr"/>
      <c r="AM115" s="6" t="inlineStr"/>
      <c r="AN115" s="6" t="inlineStr">
        <is>
          <t>ACT-02.pdf</t>
        </is>
      </c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2">
        <f>IF($J116="","",TODAY()-$J116)</f>
        <v/>
      </c>
      <c r="AB116" s="12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>
        <is>
          <t>Técnico 11</t>
        </is>
      </c>
      <c r="AF116" s="3">
        <f>IF($AE116="","",IF((IFERROR(INDEX('ASIGNACIONES'!$F$4:$F$339,MATCH($O116&amp;"|"&amp;$R116&amp;"|"&amp;$AE116,'ASIGNACIONES'!$J$4:$J$339,0)),""))=0,"",IFERROR(INDEX('ASIGNACIONES'!$F$4:$F$339,MATCH($O116&amp;"|"&amp;$R116&amp;"|"&amp;$AE116,'ASIGNACIONES'!$J$4:$J$339,0)),"")))</f>
        <v/>
      </c>
      <c r="AG116" s="13">
        <f>IF($AE116="","",SUMIFS('ORDENES'!$M$4:$M$1203,'ORDENES'!$AE$4:$AE$1203,$AE116,'ORDENES'!$O$4:$O$1203,$O116,'ORDENES'!$R$4:$R$1203,$R116))</f>
        <v/>
      </c>
      <c r="AH116" s="13">
        <f>IF($AG116="","",p_factor_productividad*IFERROR(INDEX('ASIGNACIONES'!$I$4:$I$339,MATCH($O116&amp;"|"&amp;$R116&amp;"|"&amp;$AE116,'ASIGNACIONES'!$J$4:$J$339,0)),0)-$AG116)</f>
        <v/>
      </c>
      <c r="AI116" s="10">
        <f>IF($A116="","",IFERROR(INDEX('2_IMPORTAR_EJECUCION'!$F$9:$F$1208,MATCH($AQ116,'2_IMPORTAR_EJECUCION'!$J$9:$J$1208,0)),0))</f>
        <v/>
      </c>
      <c r="AJ116" s="10">
        <f>IF($A116="","",MAX(0,IFERROR(INDEX('2_IMPORTAR_EJECUCION'!$H$9:$H$1208,MATCH($AQ116,'2_IMPORTAR_EJECUCION'!$J$9:$J$1208,0)),0)-$AI116))</f>
        <v/>
      </c>
      <c r="AK116" s="10">
        <f>IF($A116="","",$AI116+$AJ116)</f>
        <v/>
      </c>
      <c r="AL116" s="6" t="inlineStr"/>
      <c r="AM116" s="6" t="inlineStr"/>
      <c r="AN116" s="6" t="inlineStr">
        <is>
          <t>ACT-04.pdf</t>
        </is>
      </c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2">
        <f>IF($J117="","",TODAY()-$J117)</f>
        <v/>
      </c>
      <c r="AB117" s="12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12</t>
        </is>
      </c>
      <c r="AF117" s="3">
        <f>IF($AE117="","",IF((IFERROR(INDEX('ASIGNACIONES'!$F$4:$F$339,MATCH($O117&amp;"|"&amp;$R117&amp;"|"&amp;$AE117,'ASIGNACIONES'!$J$4:$J$339,0)),""))=0,"",IFERROR(INDEX('ASIGNACIONES'!$F$4:$F$339,MATCH($O117&amp;"|"&amp;$R117&amp;"|"&amp;$AE117,'ASIGNACIONES'!$J$4:$J$339,0)),"")))</f>
        <v/>
      </c>
      <c r="AG117" s="13">
        <f>IF($AE117="","",SUMIFS('ORDENES'!$M$4:$M$1203,'ORDENES'!$AE$4:$AE$1203,$AE117,'ORDENES'!$O$4:$O$1203,$O117,'ORDENES'!$R$4:$R$1203,$R117))</f>
        <v/>
      </c>
      <c r="AH117" s="13">
        <f>IF($AG117="","",p_factor_productividad*IFERROR(INDEX('ASIGNACIONES'!$I$4:$I$339,MATCH($O117&amp;"|"&amp;$R117&amp;"|"&amp;$AE117,'ASIGNACIONES'!$J$4:$J$339,0)),0)-$AG117)</f>
        <v/>
      </c>
      <c r="AI117" s="10">
        <f>IF($A117="","",IFERROR(INDEX('2_IMPORTAR_EJECUCION'!$F$9:$F$1208,MATCH($AQ117,'2_IMPORTAR_EJECUCION'!$J$9:$J$1208,0)),0))</f>
        <v/>
      </c>
      <c r="AJ117" s="10">
        <f>IF($A117="","",MAX(0,IFERROR(INDEX('2_IMPORTAR_EJECUCION'!$H$9:$H$1208,MATCH($AQ117,'2_IMPORTAR_EJECUCION'!$J$9:$J$1208,0)),0)-$AI117))</f>
        <v/>
      </c>
      <c r="AK117" s="10">
        <f>IF($A117="","",$AI117+$AJ117)</f>
        <v/>
      </c>
      <c r="AL117" s="6" t="inlineStr"/>
      <c r="AM117" s="6" t="inlineStr"/>
      <c r="AN117" s="6" t="inlineStr">
        <is>
          <t>ACT-01.pdf</t>
        </is>
      </c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2">
        <f>IF($J118="","",TODAY()-$J118)</f>
        <v/>
      </c>
      <c r="AB118" s="12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10</t>
        </is>
      </c>
      <c r="AF118" s="3">
        <f>IF($AE118="","",IF((IFERROR(INDEX('ASIGNACIONES'!$F$4:$F$339,MATCH($O118&amp;"|"&amp;$R118&amp;"|"&amp;$AE118,'ASIGNACIONES'!$J$4:$J$339,0)),""))=0,"",IFERROR(INDEX('ASIGNACIONES'!$F$4:$F$339,MATCH($O118&amp;"|"&amp;$R118&amp;"|"&amp;$AE118,'ASIGNACIONES'!$J$4:$J$339,0)),"")))</f>
        <v/>
      </c>
      <c r="AG118" s="13">
        <f>IF($AE118="","",SUMIFS('ORDENES'!$M$4:$M$1203,'ORDENES'!$AE$4:$AE$1203,$AE118,'ORDENES'!$O$4:$O$1203,$O118,'ORDENES'!$R$4:$R$1203,$R118))</f>
        <v/>
      </c>
      <c r="AH118" s="13">
        <f>IF($AG118="","",p_factor_productividad*IFERROR(INDEX('ASIGNACIONES'!$I$4:$I$339,MATCH($O118&amp;"|"&amp;$R118&amp;"|"&amp;$AE118,'ASIGNACIONES'!$J$4:$J$339,0)),0)-$AG118)</f>
        <v/>
      </c>
      <c r="AI118" s="10">
        <f>IF($A118="","",IFERROR(INDEX('2_IMPORTAR_EJECUCION'!$F$9:$F$1208,MATCH($AQ118,'2_IMPORTAR_EJECUCION'!$J$9:$J$1208,0)),0))</f>
        <v/>
      </c>
      <c r="AJ118" s="10">
        <f>IF($A118="","",MAX(0,IFERROR(INDEX('2_IMPORTAR_EJECUCION'!$H$9:$H$1208,MATCH($AQ118,'2_IMPORTAR_EJECUCION'!$J$9:$J$1208,0)),0)-$AI118))</f>
        <v/>
      </c>
      <c r="AK118" s="10">
        <f>IF($A118="","",$AI118+$AJ118)</f>
        <v/>
      </c>
      <c r="AL118" s="6" t="inlineStr"/>
      <c r="AM118" s="6" t="inlineStr"/>
      <c r="AN118" s="6" t="inlineStr">
        <is>
          <t>ACT-02.pdf</t>
        </is>
      </c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2">
        <f>IF($J119="","",TODAY()-$J119)</f>
        <v/>
      </c>
      <c r="AB119" s="12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IF($AE119="","",IF((IFERROR(INDEX('ASIGNACIONES'!$F$4:$F$339,MATCH($O119&amp;"|"&amp;$R119&amp;"|"&amp;$AE119,'ASIGNACIONES'!$J$4:$J$339,0)),""))=0,"",IFERROR(INDEX('ASIGNACIONES'!$F$4:$F$339,MATCH($O119&amp;"|"&amp;$R119&amp;"|"&amp;$AE119,'ASIGNACIONES'!$J$4:$J$339,0)),"")))</f>
        <v/>
      </c>
      <c r="AG119" s="13">
        <f>IF($AE119="","",SUMIFS('ORDENES'!$M$4:$M$1203,'ORDENES'!$AE$4:$AE$1203,$AE119,'ORDENES'!$O$4:$O$1203,$O119,'ORDENES'!$R$4:$R$1203,$R119))</f>
        <v/>
      </c>
      <c r="AH119" s="13">
        <f>IF($AG119="","",p_factor_productividad*IFERROR(INDEX('ASIGNACIONES'!$I$4:$I$339,MATCH($O119&amp;"|"&amp;$R119&amp;"|"&amp;$AE119,'ASIGNACIONES'!$J$4:$J$339,0)),0)-$AG119)</f>
        <v/>
      </c>
      <c r="AI119" s="10">
        <f>IF($A119="","",IFERROR(INDEX('2_IMPORTAR_EJECUCION'!$F$9:$F$1208,MATCH($AQ119,'2_IMPORTAR_EJECUCION'!$J$9:$J$1208,0)),0))</f>
        <v/>
      </c>
      <c r="AJ119" s="10">
        <f>IF($A119="","",MAX(0,IFERROR(INDEX('2_IMPORTAR_EJECUCION'!$H$9:$H$1208,MATCH($AQ119,'2_IMPORTAR_EJECUCION'!$J$9:$J$1208,0)),0)-$AI119))</f>
        <v/>
      </c>
      <c r="AK119" s="10">
        <f>IF($A119="","",$AI119+$AJ119)</f>
        <v/>
      </c>
      <c r="AL119" s="6" t="inlineStr"/>
      <c r="AM119" s="6" t="inlineStr"/>
      <c r="AN119" s="6" t="inlineStr">
        <is>
          <t>ACT-04.pdf</t>
        </is>
      </c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2">
        <f>IF($J120="","",TODAY()-$J120)</f>
        <v/>
      </c>
      <c r="AB120" s="12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>
        <is>
          <t>Técnico 12</t>
        </is>
      </c>
      <c r="AF120" s="3">
        <f>IF($AE120="","",IF((IFERROR(INDEX('ASIGNACIONES'!$F$4:$F$339,MATCH($O120&amp;"|"&amp;$R120&amp;"|"&amp;$AE120,'ASIGNACIONES'!$J$4:$J$339,0)),""))=0,"",IFERROR(INDEX('ASIGNACIONES'!$F$4:$F$339,MATCH($O120&amp;"|"&amp;$R120&amp;"|"&amp;$AE120,'ASIGNACIONES'!$J$4:$J$339,0)),"")))</f>
        <v/>
      </c>
      <c r="AG120" s="13">
        <f>IF($AE120="","",SUMIFS('ORDENES'!$M$4:$M$1203,'ORDENES'!$AE$4:$AE$1203,$AE120,'ORDENES'!$O$4:$O$1203,$O120,'ORDENES'!$R$4:$R$1203,$R120))</f>
        <v/>
      </c>
      <c r="AH120" s="13">
        <f>IF($AG120="","",p_factor_productividad*IFERROR(INDEX('ASIGNACIONES'!$I$4:$I$339,MATCH($O120&amp;"|"&amp;$R120&amp;"|"&amp;$AE120,'ASIGNACIONES'!$J$4:$J$339,0)),0)-$AG120)</f>
        <v/>
      </c>
      <c r="AI120" s="10">
        <f>IF($A120="","",IFERROR(INDEX('2_IMPORTAR_EJECUCION'!$F$9:$F$1208,MATCH($AQ120,'2_IMPORTAR_EJECUCION'!$J$9:$J$1208,0)),0))</f>
        <v/>
      </c>
      <c r="AJ120" s="10">
        <f>IF($A120="","",MAX(0,IFERROR(INDEX('2_IMPORTAR_EJECUCION'!$H$9:$H$1208,MATCH($AQ120,'2_IMPORTAR_EJECUCION'!$J$9:$J$1208,0)),0)-$AI120))</f>
        <v/>
      </c>
      <c r="AK120" s="10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2">
        <f>IF($J121="","",TODAY()-$J121)</f>
        <v/>
      </c>
      <c r="AB121" s="12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>
        <is>
          <t>Técnico 10</t>
        </is>
      </c>
      <c r="AF121" s="3">
        <f>IF($AE121="","",IF((IFERROR(INDEX('ASIGNACIONES'!$F$4:$F$339,MATCH($O121&amp;"|"&amp;$R121&amp;"|"&amp;$AE121,'ASIGNACIONES'!$J$4:$J$339,0)),""))=0,"",IFERROR(INDEX('ASIGNACIONES'!$F$4:$F$339,MATCH($O121&amp;"|"&amp;$R121&amp;"|"&amp;$AE121,'ASIGNACIONES'!$J$4:$J$339,0)),"")))</f>
        <v/>
      </c>
      <c r="AG121" s="13">
        <f>IF($AE121="","",SUMIFS('ORDENES'!$M$4:$M$1203,'ORDENES'!$AE$4:$AE$1203,$AE121,'ORDENES'!$O$4:$O$1203,$O121,'ORDENES'!$R$4:$R$1203,$R121))</f>
        <v/>
      </c>
      <c r="AH121" s="13">
        <f>IF($AG121="","",p_factor_productividad*IFERROR(INDEX('ASIGNACIONES'!$I$4:$I$339,MATCH($O121&amp;"|"&amp;$R121&amp;"|"&amp;$AE121,'ASIGNACIONES'!$J$4:$J$339,0)),0)-$AG121)</f>
        <v/>
      </c>
      <c r="AI121" s="10">
        <f>IF($A121="","",IFERROR(INDEX('2_IMPORTAR_EJECUCION'!$F$9:$F$1208,MATCH($AQ121,'2_IMPORTAR_EJECUCION'!$J$9:$J$1208,0)),0))</f>
        <v/>
      </c>
      <c r="AJ121" s="10">
        <f>IF($A121="","",MAX(0,IFERROR(INDEX('2_IMPORTAR_EJECUCION'!$H$9:$H$1208,MATCH($AQ121,'2_IMPORTAR_EJECUCION'!$J$9:$J$1208,0)),0)-$AI121))</f>
        <v/>
      </c>
      <c r="AK121" s="10">
        <f>IF($A121="","",$AI121+$AJ121)</f>
        <v/>
      </c>
      <c r="AL121" s="6" t="inlineStr"/>
      <c r="AM121" s="6" t="inlineStr"/>
      <c r="AN121" s="6" t="inlineStr">
        <is>
          <t>ACT-02.pdf</t>
        </is>
      </c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2">
        <f>IF($J122="","",TODAY()-$J122)</f>
        <v/>
      </c>
      <c r="AB122" s="12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>
        <is>
          <t>Técnico 11</t>
        </is>
      </c>
      <c r="AF122" s="3">
        <f>IF($AE122="","",IF((IFERROR(INDEX('ASIGNACIONES'!$F$4:$F$339,MATCH($O122&amp;"|"&amp;$R122&amp;"|"&amp;$AE122,'ASIGNACIONES'!$J$4:$J$339,0)),""))=0,"",IFERROR(INDEX('ASIGNACIONES'!$F$4:$F$339,MATCH($O122&amp;"|"&amp;$R122&amp;"|"&amp;$AE122,'ASIGNACIONES'!$J$4:$J$339,0)),"")))</f>
        <v/>
      </c>
      <c r="AG122" s="13">
        <f>IF($AE122="","",SUMIFS('ORDENES'!$M$4:$M$1203,'ORDENES'!$AE$4:$AE$1203,$AE122,'ORDENES'!$O$4:$O$1203,$O122,'ORDENES'!$R$4:$R$1203,$R122))</f>
        <v/>
      </c>
      <c r="AH122" s="13">
        <f>IF($AG122="","",p_factor_productividad*IFERROR(INDEX('ASIGNACIONES'!$I$4:$I$339,MATCH($O122&amp;"|"&amp;$R122&amp;"|"&amp;$AE122,'ASIGNACIONES'!$J$4:$J$339,0)),0)-$AG122)</f>
        <v/>
      </c>
      <c r="AI122" s="10">
        <f>IF($A122="","",IFERROR(INDEX('2_IMPORTAR_EJECUCION'!$F$9:$F$1208,MATCH($AQ122,'2_IMPORTAR_EJECUCION'!$J$9:$J$1208,0)),0))</f>
        <v/>
      </c>
      <c r="AJ122" s="10">
        <f>IF($A122="","",MAX(0,IFERROR(INDEX('2_IMPORTAR_EJECUCION'!$H$9:$H$1208,MATCH($AQ122,'2_IMPORTAR_EJECUCION'!$J$9:$J$1208,0)),0)-$AI122))</f>
        <v/>
      </c>
      <c r="AK122" s="10">
        <f>IF($A122="","",$AI122+$AJ122)</f>
        <v/>
      </c>
      <c r="AL122" s="6" t="inlineStr"/>
      <c r="AM122" s="6" t="inlineStr"/>
      <c r="AN122" s="6" t="inlineStr">
        <is>
          <t>ACT-04.pdf</t>
        </is>
      </c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2">
        <f>IF($J123="","",TODAY()-$J123)</f>
        <v/>
      </c>
      <c r="AB123" s="12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IF($AE123="","",IF((IFERROR(INDEX('ASIGNACIONES'!$F$4:$F$339,MATCH($O123&amp;"|"&amp;$R123&amp;"|"&amp;$AE123,'ASIGNACIONES'!$J$4:$J$339,0)),""))=0,"",IFERROR(INDEX('ASIGNACIONES'!$F$4:$F$339,MATCH($O123&amp;"|"&amp;$R123&amp;"|"&amp;$AE123,'ASIGNACIONES'!$J$4:$J$339,0)),"")))</f>
        <v/>
      </c>
      <c r="AG123" s="13">
        <f>IF($AE123="","",SUMIFS('ORDENES'!$M$4:$M$1203,'ORDENES'!$AE$4:$AE$1203,$AE123,'ORDENES'!$O$4:$O$1203,$O123,'ORDENES'!$R$4:$R$1203,$R123))</f>
        <v/>
      </c>
      <c r="AH123" s="13">
        <f>IF($AG123="","",p_factor_productividad*IFERROR(INDEX('ASIGNACIONES'!$I$4:$I$339,MATCH($O123&amp;"|"&amp;$R123&amp;"|"&amp;$AE123,'ASIGNACIONES'!$J$4:$J$339,0)),0)-$AG123)</f>
        <v/>
      </c>
      <c r="AI123" s="10">
        <f>IF($A123="","",IFERROR(INDEX('2_IMPORTAR_EJECUCION'!$F$9:$F$1208,MATCH($AQ123,'2_IMPORTAR_EJECUCION'!$J$9:$J$1208,0)),0))</f>
        <v/>
      </c>
      <c r="AJ123" s="10">
        <f>IF($A123="","",MAX(0,IFERROR(INDEX('2_IMPORTAR_EJECUCION'!$H$9:$H$1208,MATCH($AQ123,'2_IMPORTAR_EJECUCION'!$J$9:$J$1208,0)),0)-$AI123))</f>
        <v/>
      </c>
      <c r="AK123" s="10">
        <f>IF($A123="","",$AI123+$AJ123)</f>
        <v/>
      </c>
      <c r="AL123" s="6" t="inlineStr"/>
      <c r="AM123" s="6" t="inlineStr"/>
      <c r="AN123" s="6" t="inlineStr">
        <is>
          <t>ACT-01.pdf</t>
        </is>
      </c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2">
        <f>IF($J124="","",TODAY()-$J124)</f>
        <v/>
      </c>
      <c r="AB124" s="12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>
        <is>
          <t>Técnico 10</t>
        </is>
      </c>
      <c r="AF124" s="3">
        <f>IF($AE124="","",IF((IFERROR(INDEX('ASIGNACIONES'!$F$4:$F$339,MATCH($O124&amp;"|"&amp;$R124&amp;"|"&amp;$AE124,'ASIGNACIONES'!$J$4:$J$339,0)),""))=0,"",IFERROR(INDEX('ASIGNACIONES'!$F$4:$F$339,MATCH($O124&amp;"|"&amp;$R124&amp;"|"&amp;$AE124,'ASIGNACIONES'!$J$4:$J$339,0)),"")))</f>
        <v/>
      </c>
      <c r="AG124" s="13">
        <f>IF($AE124="","",SUMIFS('ORDENES'!$M$4:$M$1203,'ORDENES'!$AE$4:$AE$1203,$AE124,'ORDENES'!$O$4:$O$1203,$O124,'ORDENES'!$R$4:$R$1203,$R124))</f>
        <v/>
      </c>
      <c r="AH124" s="13">
        <f>IF($AG124="","",p_factor_productividad*IFERROR(INDEX('ASIGNACIONES'!$I$4:$I$339,MATCH($O124&amp;"|"&amp;$R124&amp;"|"&amp;$AE124,'ASIGNACIONES'!$J$4:$J$339,0)),0)-$AG124)</f>
        <v/>
      </c>
      <c r="AI124" s="10">
        <f>IF($A124="","",IFERROR(INDEX('2_IMPORTAR_EJECUCION'!$F$9:$F$1208,MATCH($AQ124,'2_IMPORTAR_EJECUCION'!$J$9:$J$1208,0)),0))</f>
        <v/>
      </c>
      <c r="AJ124" s="10">
        <f>IF($A124="","",MAX(0,IFERROR(INDEX('2_IMPORTAR_EJECUCION'!$H$9:$H$1208,MATCH($AQ124,'2_IMPORTAR_EJECUCION'!$J$9:$J$1208,0)),0)-$AI124))</f>
        <v/>
      </c>
      <c r="AK124" s="10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2">
        <f>IF($J125="","",TODAY()-$J125)</f>
        <v/>
      </c>
      <c r="AB125" s="12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>
        <is>
          <t>Técnico 11</t>
        </is>
      </c>
      <c r="AF125" s="3">
        <f>IF($AE125="","",IF((IFERROR(INDEX('ASIGNACIONES'!$F$4:$F$339,MATCH($O125&amp;"|"&amp;$R125&amp;"|"&amp;$AE125,'ASIGNACIONES'!$J$4:$J$339,0)),""))=0,"",IFERROR(INDEX('ASIGNACIONES'!$F$4:$F$339,MATCH($O125&amp;"|"&amp;$R125&amp;"|"&amp;$AE125,'ASIGNACIONES'!$J$4:$J$339,0)),"")))</f>
        <v/>
      </c>
      <c r="AG125" s="13">
        <f>IF($AE125="","",SUMIFS('ORDENES'!$M$4:$M$1203,'ORDENES'!$AE$4:$AE$1203,$AE125,'ORDENES'!$O$4:$O$1203,$O125,'ORDENES'!$R$4:$R$1203,$R125))</f>
        <v/>
      </c>
      <c r="AH125" s="13">
        <f>IF($AG125="","",p_factor_productividad*IFERROR(INDEX('ASIGNACIONES'!$I$4:$I$339,MATCH($O125&amp;"|"&amp;$R125&amp;"|"&amp;$AE125,'ASIGNACIONES'!$J$4:$J$339,0)),0)-$AG125)</f>
        <v/>
      </c>
      <c r="AI125" s="10">
        <f>IF($A125="","",IFERROR(INDEX('2_IMPORTAR_EJECUCION'!$F$9:$F$1208,MATCH($AQ125,'2_IMPORTAR_EJECUCION'!$J$9:$J$1208,0)),0))</f>
        <v/>
      </c>
      <c r="AJ125" s="10">
        <f>IF($A125="","",MAX(0,IFERROR(INDEX('2_IMPORTAR_EJECUCION'!$H$9:$H$1208,MATCH($AQ125,'2_IMPORTAR_EJECUCION'!$J$9:$J$1208,0)),0)-$AI125))</f>
        <v/>
      </c>
      <c r="AK125" s="10">
        <f>IF($A125="","",$AI125+$AJ125)</f>
        <v/>
      </c>
      <c r="AL125" s="6" t="inlineStr"/>
      <c r="AM125" s="6" t="inlineStr"/>
      <c r="AN125" s="6" t="inlineStr">
        <is>
          <t>ACT-04.pdf</t>
        </is>
      </c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2">
        <f>IF($J126="","",TODAY()-$J126)</f>
        <v/>
      </c>
      <c r="AB126" s="12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>
        <is>
          <t>Técnico 12</t>
        </is>
      </c>
      <c r="AF126" s="3">
        <f>IF($AE126="","",IF((IFERROR(INDEX('ASIGNACIONES'!$F$4:$F$339,MATCH($O126&amp;"|"&amp;$R126&amp;"|"&amp;$AE126,'ASIGNACIONES'!$J$4:$J$339,0)),""))=0,"",IFERROR(INDEX('ASIGNACIONES'!$F$4:$F$339,MATCH($O126&amp;"|"&amp;$R126&amp;"|"&amp;$AE126,'ASIGNACIONES'!$J$4:$J$339,0)),"")))</f>
        <v/>
      </c>
      <c r="AG126" s="13">
        <f>IF($AE126="","",SUMIFS('ORDENES'!$M$4:$M$1203,'ORDENES'!$AE$4:$AE$1203,$AE126,'ORDENES'!$O$4:$O$1203,$O126,'ORDENES'!$R$4:$R$1203,$R126))</f>
        <v/>
      </c>
      <c r="AH126" s="13">
        <f>IF($AG126="","",p_factor_productividad*IFERROR(INDEX('ASIGNACIONES'!$I$4:$I$339,MATCH($O126&amp;"|"&amp;$R126&amp;"|"&amp;$AE126,'ASIGNACIONES'!$J$4:$J$339,0)),0)-$AG126)</f>
        <v/>
      </c>
      <c r="AI126" s="10">
        <f>IF($A126="","",IFERROR(INDEX('2_IMPORTAR_EJECUCION'!$F$9:$F$1208,MATCH($AQ126,'2_IMPORTAR_EJECUCION'!$J$9:$J$1208,0)),0))</f>
        <v/>
      </c>
      <c r="AJ126" s="10">
        <f>IF($A126="","",MAX(0,IFERROR(INDEX('2_IMPORTAR_EJECUCION'!$H$9:$H$1208,MATCH($AQ126,'2_IMPORTAR_EJECUCION'!$J$9:$J$1208,0)),0)-$AI126))</f>
        <v/>
      </c>
      <c r="AK126" s="10">
        <f>IF($A126="","",$AI126+$AJ126)</f>
        <v/>
      </c>
      <c r="AL126" s="6" t="inlineStr"/>
      <c r="AM126" s="6" t="inlineStr"/>
      <c r="AN126" s="6" t="inlineStr">
        <is>
          <t>ACT-01.pdf</t>
        </is>
      </c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2">
        <f>IF($J127="","",TODAY()-$J127)</f>
        <v/>
      </c>
      <c r="AB127" s="12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>
        <is>
          <t>Técnico 10</t>
        </is>
      </c>
      <c r="AF127" s="3">
        <f>IF($AE127="","",IF((IFERROR(INDEX('ASIGNACIONES'!$F$4:$F$339,MATCH($O127&amp;"|"&amp;$R127&amp;"|"&amp;$AE127,'ASIGNACIONES'!$J$4:$J$339,0)),""))=0,"",IFERROR(INDEX('ASIGNACIONES'!$F$4:$F$339,MATCH($O127&amp;"|"&amp;$R127&amp;"|"&amp;$AE127,'ASIGNACIONES'!$J$4:$J$339,0)),"")))</f>
        <v/>
      </c>
      <c r="AG127" s="13">
        <f>IF($AE127="","",SUMIFS('ORDENES'!$M$4:$M$1203,'ORDENES'!$AE$4:$AE$1203,$AE127,'ORDENES'!$O$4:$O$1203,$O127,'ORDENES'!$R$4:$R$1203,$R127))</f>
        <v/>
      </c>
      <c r="AH127" s="13">
        <f>IF($AG127="","",p_factor_productividad*IFERROR(INDEX('ASIGNACIONES'!$I$4:$I$339,MATCH($O127&amp;"|"&amp;$R127&amp;"|"&amp;$AE127,'ASIGNACIONES'!$J$4:$J$339,0)),0)-$AG127)</f>
        <v/>
      </c>
      <c r="AI127" s="10">
        <f>IF($A127="","",IFERROR(INDEX('2_IMPORTAR_EJECUCION'!$F$9:$F$1208,MATCH($AQ127,'2_IMPORTAR_EJECUCION'!$J$9:$J$1208,0)),0))</f>
        <v/>
      </c>
      <c r="AJ127" s="10">
        <f>IF($A127="","",MAX(0,IFERROR(INDEX('2_IMPORTAR_EJECUCION'!$H$9:$H$1208,MATCH($AQ127,'2_IMPORTAR_EJECUCION'!$J$9:$J$1208,0)),0)-$AI127))</f>
        <v/>
      </c>
      <c r="AK127" s="10">
        <f>IF($A127="","",$AI127+$AJ127)</f>
        <v/>
      </c>
      <c r="AL127" s="6" t="inlineStr"/>
      <c r="AM127" s="6" t="inlineStr"/>
      <c r="AN127" s="6" t="inlineStr">
        <is>
          <t>ACT-02.pdf</t>
        </is>
      </c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2">
        <f>IF($J128="","",TODAY()-$J128)</f>
        <v/>
      </c>
      <c r="AB128" s="12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>
        <is>
          <t>Técnico 11</t>
        </is>
      </c>
      <c r="AF128" s="3">
        <f>IF($AE128="","",IF((IFERROR(INDEX('ASIGNACIONES'!$F$4:$F$339,MATCH($O128&amp;"|"&amp;$R128&amp;"|"&amp;$AE128,'ASIGNACIONES'!$J$4:$J$339,0)),""))=0,"",IFERROR(INDEX('ASIGNACIONES'!$F$4:$F$339,MATCH($O128&amp;"|"&amp;$R128&amp;"|"&amp;$AE128,'ASIGNACIONES'!$J$4:$J$339,0)),"")))</f>
        <v/>
      </c>
      <c r="AG128" s="13">
        <f>IF($AE128="","",SUMIFS('ORDENES'!$M$4:$M$1203,'ORDENES'!$AE$4:$AE$1203,$AE128,'ORDENES'!$O$4:$O$1203,$O128,'ORDENES'!$R$4:$R$1203,$R128))</f>
        <v/>
      </c>
      <c r="AH128" s="13">
        <f>IF($AG128="","",p_factor_productividad*IFERROR(INDEX('ASIGNACIONES'!$I$4:$I$339,MATCH($O128&amp;"|"&amp;$R128&amp;"|"&amp;$AE128,'ASIGNACIONES'!$J$4:$J$339,0)),0)-$AG128)</f>
        <v/>
      </c>
      <c r="AI128" s="10">
        <f>IF($A128="","",IFERROR(INDEX('2_IMPORTAR_EJECUCION'!$F$9:$F$1208,MATCH($AQ128,'2_IMPORTAR_EJECUCION'!$J$9:$J$1208,0)),0))</f>
        <v/>
      </c>
      <c r="AJ128" s="10">
        <f>IF($A128="","",MAX(0,IFERROR(INDEX('2_IMPORTAR_EJECUCION'!$H$9:$H$1208,MATCH($AQ128,'2_IMPORTAR_EJECUCION'!$J$9:$J$1208,0)),0)-$AI128))</f>
        <v/>
      </c>
      <c r="AK128" s="10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2">
        <f>IF($J129="","",TODAY()-$J129)</f>
        <v/>
      </c>
      <c r="AB129" s="12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IF($AE129="","",IF((IFERROR(INDEX('ASIGNACIONES'!$F$4:$F$339,MATCH($O129&amp;"|"&amp;$R129&amp;"|"&amp;$AE129,'ASIGNACIONES'!$J$4:$J$339,0)),""))=0,"",IFERROR(INDEX('ASIGNACIONES'!$F$4:$F$339,MATCH($O129&amp;"|"&amp;$R129&amp;"|"&amp;$AE129,'ASIGNACIONES'!$J$4:$J$339,0)),"")))</f>
        <v/>
      </c>
      <c r="AG129" s="13">
        <f>IF($AE129="","",SUMIFS('ORDENES'!$M$4:$M$1203,'ORDENES'!$AE$4:$AE$1203,$AE129,'ORDENES'!$O$4:$O$1203,$O129,'ORDENES'!$R$4:$R$1203,$R129))</f>
        <v/>
      </c>
      <c r="AH129" s="13">
        <f>IF($AG129="","",p_factor_productividad*IFERROR(INDEX('ASIGNACIONES'!$I$4:$I$339,MATCH($O129&amp;"|"&amp;$R129&amp;"|"&amp;$AE129,'ASIGNACIONES'!$J$4:$J$339,0)),0)-$AG129)</f>
        <v/>
      </c>
      <c r="AI129" s="10">
        <f>IF($A129="","",IFERROR(INDEX('2_IMPORTAR_EJECUCION'!$F$9:$F$1208,MATCH($AQ129,'2_IMPORTAR_EJECUCION'!$J$9:$J$1208,0)),0))</f>
        <v/>
      </c>
      <c r="AJ129" s="10">
        <f>IF($A129="","",MAX(0,IFERROR(INDEX('2_IMPORTAR_EJECUCION'!$H$9:$H$1208,MATCH($AQ129,'2_IMPORTAR_EJECUCION'!$J$9:$J$1208,0)),0)-$AI129))</f>
        <v/>
      </c>
      <c r="AK129" s="10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2">
        <f>IF($J130="","",TODAY()-$J130)</f>
        <v/>
      </c>
      <c r="AB130" s="12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IF($AE130="","",IF((IFERROR(INDEX('ASIGNACIONES'!$F$4:$F$339,MATCH($O130&amp;"|"&amp;$R130&amp;"|"&amp;$AE130,'ASIGNACIONES'!$J$4:$J$339,0)),""))=0,"",IFERROR(INDEX('ASIGNACIONES'!$F$4:$F$339,MATCH($O130&amp;"|"&amp;$R130&amp;"|"&amp;$AE130,'ASIGNACIONES'!$J$4:$J$339,0)),"")))</f>
        <v/>
      </c>
      <c r="AG130" s="13">
        <f>IF($AE130="","",SUMIFS('ORDENES'!$M$4:$M$1203,'ORDENES'!$AE$4:$AE$1203,$AE130,'ORDENES'!$O$4:$O$1203,$O130,'ORDENES'!$R$4:$R$1203,$R130))</f>
        <v/>
      </c>
      <c r="AH130" s="13">
        <f>IF($AG130="","",p_factor_productividad*IFERROR(INDEX('ASIGNACIONES'!$I$4:$I$339,MATCH($O130&amp;"|"&amp;$R130&amp;"|"&amp;$AE130,'ASIGNACIONES'!$J$4:$J$339,0)),0)-$AG130)</f>
        <v/>
      </c>
      <c r="AI130" s="10">
        <f>IF($A130="","",IFERROR(INDEX('2_IMPORTAR_EJECUCION'!$F$9:$F$1208,MATCH($AQ130,'2_IMPORTAR_EJECUCION'!$J$9:$J$1208,0)),0))</f>
        <v/>
      </c>
      <c r="AJ130" s="10">
        <f>IF($A130="","",MAX(0,IFERROR(INDEX('2_IMPORTAR_EJECUCION'!$H$9:$H$1208,MATCH($AQ130,'2_IMPORTAR_EJECUCION'!$J$9:$J$1208,0)),0)-$AI130))</f>
        <v/>
      </c>
      <c r="AK130" s="10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2">
        <f>IF($J131="","",TODAY()-$J131)</f>
        <v/>
      </c>
      <c r="AB131" s="12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IF($AE131="","",IF((IFERROR(INDEX('ASIGNACIONES'!$F$4:$F$339,MATCH($O131&amp;"|"&amp;$R131&amp;"|"&amp;$AE131,'ASIGNACIONES'!$J$4:$J$339,0)),""))=0,"",IFERROR(INDEX('ASIGNACIONES'!$F$4:$F$339,MATCH($O131&amp;"|"&amp;$R131&amp;"|"&amp;$AE131,'ASIGNACIONES'!$J$4:$J$339,0)),"")))</f>
        <v/>
      </c>
      <c r="AG131" s="13">
        <f>IF($AE131="","",SUMIFS('ORDENES'!$M$4:$M$1203,'ORDENES'!$AE$4:$AE$1203,$AE131,'ORDENES'!$O$4:$O$1203,$O131,'ORDENES'!$R$4:$R$1203,$R131))</f>
        <v/>
      </c>
      <c r="AH131" s="13">
        <f>IF($AG131="","",p_factor_productividad*IFERROR(INDEX('ASIGNACIONES'!$I$4:$I$339,MATCH($O131&amp;"|"&amp;$R131&amp;"|"&amp;$AE131,'ASIGNACIONES'!$J$4:$J$339,0)),0)-$AG131)</f>
        <v/>
      </c>
      <c r="AI131" s="10">
        <f>IF($A131="","",IFERROR(INDEX('2_IMPORTAR_EJECUCION'!$F$9:$F$1208,MATCH($AQ131,'2_IMPORTAR_EJECUCION'!$J$9:$J$1208,0)),0))</f>
        <v/>
      </c>
      <c r="AJ131" s="10">
        <f>IF($A131="","",MAX(0,IFERROR(INDEX('2_IMPORTAR_EJECUCION'!$H$9:$H$1208,MATCH($AQ131,'2_IMPORTAR_EJECUCION'!$J$9:$J$1208,0)),0)-$AI131))</f>
        <v/>
      </c>
      <c r="AK131" s="10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2">
        <f>IF($J132="","",TODAY()-$J132)</f>
        <v/>
      </c>
      <c r="AB132" s="12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IF($AE132="","",IF((IFERROR(INDEX('ASIGNACIONES'!$F$4:$F$339,MATCH($O132&amp;"|"&amp;$R132&amp;"|"&amp;$AE132,'ASIGNACIONES'!$J$4:$J$339,0)),""))=0,"",IFERROR(INDEX('ASIGNACIONES'!$F$4:$F$339,MATCH($O132&amp;"|"&amp;$R132&amp;"|"&amp;$AE132,'ASIGNACIONES'!$J$4:$J$339,0)),"")))</f>
        <v/>
      </c>
      <c r="AG132" s="13">
        <f>IF($AE132="","",SUMIFS('ORDENES'!$M$4:$M$1203,'ORDENES'!$AE$4:$AE$1203,$AE132,'ORDENES'!$O$4:$O$1203,$O132,'ORDENES'!$R$4:$R$1203,$R132))</f>
        <v/>
      </c>
      <c r="AH132" s="13">
        <f>IF($AG132="","",p_factor_productividad*IFERROR(INDEX('ASIGNACIONES'!$I$4:$I$339,MATCH($O132&amp;"|"&amp;$R132&amp;"|"&amp;$AE132,'ASIGNACIONES'!$J$4:$J$339,0)),0)-$AG132)</f>
        <v/>
      </c>
      <c r="AI132" s="10">
        <f>IF($A132="","",IFERROR(INDEX('2_IMPORTAR_EJECUCION'!$F$9:$F$1208,MATCH($AQ132,'2_IMPORTAR_EJECUCION'!$J$9:$J$1208,0)),0))</f>
        <v/>
      </c>
      <c r="AJ132" s="10">
        <f>IF($A132="","",MAX(0,IFERROR(INDEX('2_IMPORTAR_EJECUCION'!$H$9:$H$1208,MATCH($AQ132,'2_IMPORTAR_EJECUCION'!$J$9:$J$1208,0)),0)-$AI132))</f>
        <v/>
      </c>
      <c r="AK132" s="10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2">
        <f>IF($J133="","",TODAY()-$J133)</f>
        <v/>
      </c>
      <c r="AB133" s="12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>
        <is>
          <t>Técnico 01</t>
        </is>
      </c>
      <c r="AF133" s="3">
        <f>IF($AE133="","",IF((IFERROR(INDEX('ASIGNACIONES'!$F$4:$F$339,MATCH($O133&amp;"|"&amp;$R133&amp;"|"&amp;$AE133,'ASIGNACIONES'!$J$4:$J$339,0)),""))=0,"",IFERROR(INDEX('ASIGNACIONES'!$F$4:$F$339,MATCH($O133&amp;"|"&amp;$R133&amp;"|"&amp;$AE133,'ASIGNACIONES'!$J$4:$J$339,0)),"")))</f>
        <v/>
      </c>
      <c r="AG133" s="13">
        <f>IF($AE133="","",SUMIFS('ORDENES'!$M$4:$M$1203,'ORDENES'!$AE$4:$AE$1203,$AE133,'ORDENES'!$O$4:$O$1203,$O133,'ORDENES'!$R$4:$R$1203,$R133))</f>
        <v/>
      </c>
      <c r="AH133" s="13">
        <f>IF($AG133="","",p_factor_productividad*IFERROR(INDEX('ASIGNACIONES'!$I$4:$I$339,MATCH($O133&amp;"|"&amp;$R133&amp;"|"&amp;$AE133,'ASIGNACIONES'!$J$4:$J$339,0)),0)-$AG133)</f>
        <v/>
      </c>
      <c r="AI133" s="10">
        <f>IF($A133="","",IFERROR(INDEX('2_IMPORTAR_EJECUCION'!$F$9:$F$1208,MATCH($AQ133,'2_IMPORTAR_EJECUCION'!$J$9:$J$1208,0)),0))</f>
        <v/>
      </c>
      <c r="AJ133" s="10">
        <f>IF($A133="","",MAX(0,IFERROR(INDEX('2_IMPORTAR_EJECUCION'!$H$9:$H$1208,MATCH($AQ133,'2_IMPORTAR_EJECUCION'!$J$9:$J$1208,0)),0)-$AI133))</f>
        <v/>
      </c>
      <c r="AK133" s="10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2">
        <f>IF($J134="","",TODAY()-$J134)</f>
        <v/>
      </c>
      <c r="AB134" s="12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>
        <is>
          <t>Técnico 05</t>
        </is>
      </c>
      <c r="AF134" s="3">
        <f>IF($AE134="","",IF((IFERROR(INDEX('ASIGNACIONES'!$F$4:$F$339,MATCH($O134&amp;"|"&amp;$R134&amp;"|"&amp;$AE134,'ASIGNACIONES'!$J$4:$J$339,0)),""))=0,"",IFERROR(INDEX('ASIGNACIONES'!$F$4:$F$339,MATCH($O134&amp;"|"&amp;$R134&amp;"|"&amp;$AE134,'ASIGNACIONES'!$J$4:$J$339,0)),"")))</f>
        <v/>
      </c>
      <c r="AG134" s="13">
        <f>IF($AE134="","",SUMIFS('ORDENES'!$M$4:$M$1203,'ORDENES'!$AE$4:$AE$1203,$AE134,'ORDENES'!$O$4:$O$1203,$O134,'ORDENES'!$R$4:$R$1203,$R134))</f>
        <v/>
      </c>
      <c r="AH134" s="13">
        <f>IF($AG134="","",p_factor_productividad*IFERROR(INDEX('ASIGNACIONES'!$I$4:$I$339,MATCH($O134&amp;"|"&amp;$R134&amp;"|"&amp;$AE134,'ASIGNACIONES'!$J$4:$J$339,0)),0)-$AG134)</f>
        <v/>
      </c>
      <c r="AI134" s="10">
        <f>IF($A134="","",IFERROR(INDEX('2_IMPORTAR_EJECUCION'!$F$9:$F$1208,MATCH($AQ134,'2_IMPORTAR_EJECUCION'!$J$9:$J$1208,0)),0))</f>
        <v/>
      </c>
      <c r="AJ134" s="10">
        <f>IF($A134="","",MAX(0,IFERROR(INDEX('2_IMPORTAR_EJECUCION'!$H$9:$H$1208,MATCH($AQ134,'2_IMPORTAR_EJECUCION'!$J$9:$J$1208,0)),0)-$AI134))</f>
        <v/>
      </c>
      <c r="AK134" s="10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2">
        <f>IF($J135="","",TODAY()-$J135)</f>
        <v/>
      </c>
      <c r="AB135" s="12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IF($AE135="","",IF((IFERROR(INDEX('ASIGNACIONES'!$F$4:$F$339,MATCH($O135&amp;"|"&amp;$R135&amp;"|"&amp;$AE135,'ASIGNACIONES'!$J$4:$J$339,0)),""))=0,"",IFERROR(INDEX('ASIGNACIONES'!$F$4:$F$339,MATCH($O135&amp;"|"&amp;$R135&amp;"|"&amp;$AE135,'ASIGNACIONES'!$J$4:$J$339,0)),"")))</f>
        <v/>
      </c>
      <c r="AG135" s="13">
        <f>IF($AE135="","",SUMIFS('ORDENES'!$M$4:$M$1203,'ORDENES'!$AE$4:$AE$1203,$AE135,'ORDENES'!$O$4:$O$1203,$O135,'ORDENES'!$R$4:$R$1203,$R135))</f>
        <v/>
      </c>
      <c r="AH135" s="13">
        <f>IF($AG135="","",p_factor_productividad*IFERROR(INDEX('ASIGNACIONES'!$I$4:$I$339,MATCH($O135&amp;"|"&amp;$R135&amp;"|"&amp;$AE135,'ASIGNACIONES'!$J$4:$J$339,0)),0)-$AG135)</f>
        <v/>
      </c>
      <c r="AI135" s="10">
        <f>IF($A135="","",IFERROR(INDEX('2_IMPORTAR_EJECUCION'!$F$9:$F$1208,MATCH($AQ135,'2_IMPORTAR_EJECUCION'!$J$9:$J$1208,0)),0))</f>
        <v/>
      </c>
      <c r="AJ135" s="10">
        <f>IF($A135="","",MAX(0,IFERROR(INDEX('2_IMPORTAR_EJECUCION'!$H$9:$H$1208,MATCH($AQ135,'2_IMPORTAR_EJECUCION'!$J$9:$J$1208,0)),0)-$AI135))</f>
        <v/>
      </c>
      <c r="AK135" s="10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2">
        <f>IF($J136="","",TODAY()-$J136)</f>
        <v/>
      </c>
      <c r="AB136" s="12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>
        <is>
          <t>Técnico 12</t>
        </is>
      </c>
      <c r="AF136" s="3">
        <f>IF($AE136="","",IF((IFERROR(INDEX('ASIGNACIONES'!$F$4:$F$339,MATCH($O136&amp;"|"&amp;$R136&amp;"|"&amp;$AE136,'ASIGNACIONES'!$J$4:$J$339,0)),""))=0,"",IFERROR(INDEX('ASIGNACIONES'!$F$4:$F$339,MATCH($O136&amp;"|"&amp;$R136&amp;"|"&amp;$AE136,'ASIGNACIONES'!$J$4:$J$339,0)),"")))</f>
        <v/>
      </c>
      <c r="AG136" s="13">
        <f>IF($AE136="","",SUMIFS('ORDENES'!$M$4:$M$1203,'ORDENES'!$AE$4:$AE$1203,$AE136,'ORDENES'!$O$4:$O$1203,$O136,'ORDENES'!$R$4:$R$1203,$R136))</f>
        <v/>
      </c>
      <c r="AH136" s="13">
        <f>IF($AG136="","",p_factor_productividad*IFERROR(INDEX('ASIGNACIONES'!$I$4:$I$339,MATCH($O136&amp;"|"&amp;$R136&amp;"|"&amp;$AE136,'ASIGNACIONES'!$J$4:$J$339,0)),0)-$AG136)</f>
        <v/>
      </c>
      <c r="AI136" s="10">
        <f>IF($A136="","",IFERROR(INDEX('2_IMPORTAR_EJECUCION'!$F$9:$F$1208,MATCH($AQ136,'2_IMPORTAR_EJECUCION'!$J$9:$J$1208,0)),0))</f>
        <v/>
      </c>
      <c r="AJ136" s="10">
        <f>IF($A136="","",MAX(0,IFERROR(INDEX('2_IMPORTAR_EJECUCION'!$H$9:$H$1208,MATCH($AQ136,'2_IMPORTAR_EJECUCION'!$J$9:$J$1208,0)),0)-$AI136))</f>
        <v/>
      </c>
      <c r="AK136" s="10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2">
        <f>IF($J137="","",TODAY()-$J137)</f>
        <v/>
      </c>
      <c r="AB137" s="12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>
        <is>
          <t>Técnico 01</t>
        </is>
      </c>
      <c r="AF137" s="3">
        <f>IF($AE137="","",IF((IFERROR(INDEX('ASIGNACIONES'!$F$4:$F$339,MATCH($O137&amp;"|"&amp;$R137&amp;"|"&amp;$AE137,'ASIGNACIONES'!$J$4:$J$339,0)),""))=0,"",IFERROR(INDEX('ASIGNACIONES'!$F$4:$F$339,MATCH($O137&amp;"|"&amp;$R137&amp;"|"&amp;$AE137,'ASIGNACIONES'!$J$4:$J$339,0)),"")))</f>
        <v/>
      </c>
      <c r="AG137" s="13">
        <f>IF($AE137="","",SUMIFS('ORDENES'!$M$4:$M$1203,'ORDENES'!$AE$4:$AE$1203,$AE137,'ORDENES'!$O$4:$O$1203,$O137,'ORDENES'!$R$4:$R$1203,$R137))</f>
        <v/>
      </c>
      <c r="AH137" s="13">
        <f>IF($AG137="","",p_factor_productividad*IFERROR(INDEX('ASIGNACIONES'!$I$4:$I$339,MATCH($O137&amp;"|"&amp;$R137&amp;"|"&amp;$AE137,'ASIGNACIONES'!$J$4:$J$339,0)),0)-$AG137)</f>
        <v/>
      </c>
      <c r="AI137" s="10">
        <f>IF($A137="","",IFERROR(INDEX('2_IMPORTAR_EJECUCION'!$F$9:$F$1208,MATCH($AQ137,'2_IMPORTAR_EJECUCION'!$J$9:$J$1208,0)),0))</f>
        <v/>
      </c>
      <c r="AJ137" s="10">
        <f>IF($A137="","",MAX(0,IFERROR(INDEX('2_IMPORTAR_EJECUCION'!$H$9:$H$1208,MATCH($AQ137,'2_IMPORTAR_EJECUCION'!$J$9:$J$1208,0)),0)-$AI137))</f>
        <v/>
      </c>
      <c r="AK137" s="10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2">
        <f>IF($J138="","",TODAY()-$J138)</f>
        <v/>
      </c>
      <c r="AB138" s="12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>
        <is>
          <t>Técnico 01</t>
        </is>
      </c>
      <c r="AF138" s="3">
        <f>IF($AE138="","",IF((IFERROR(INDEX('ASIGNACIONES'!$F$4:$F$339,MATCH($O138&amp;"|"&amp;$R138&amp;"|"&amp;$AE138,'ASIGNACIONES'!$J$4:$J$339,0)),""))=0,"",IFERROR(INDEX('ASIGNACIONES'!$F$4:$F$339,MATCH($O138&amp;"|"&amp;$R138&amp;"|"&amp;$AE138,'ASIGNACIONES'!$J$4:$J$339,0)),"")))</f>
        <v/>
      </c>
      <c r="AG138" s="13">
        <f>IF($AE138="","",SUMIFS('ORDENES'!$M$4:$M$1203,'ORDENES'!$AE$4:$AE$1203,$AE138,'ORDENES'!$O$4:$O$1203,$O138,'ORDENES'!$R$4:$R$1203,$R138))</f>
        <v/>
      </c>
      <c r="AH138" s="13">
        <f>IF($AG138="","",p_factor_productividad*IFERROR(INDEX('ASIGNACIONES'!$I$4:$I$339,MATCH($O138&amp;"|"&amp;$R138&amp;"|"&amp;$AE138,'ASIGNACIONES'!$J$4:$J$339,0)),0)-$AG138)</f>
        <v/>
      </c>
      <c r="AI138" s="10">
        <f>IF($A138="","",IFERROR(INDEX('2_IMPORTAR_EJECUCION'!$F$9:$F$1208,MATCH($AQ138,'2_IMPORTAR_EJECUCION'!$J$9:$J$1208,0)),0))</f>
        <v/>
      </c>
      <c r="AJ138" s="10">
        <f>IF($A138="","",MAX(0,IFERROR(INDEX('2_IMPORTAR_EJECUCION'!$H$9:$H$1208,MATCH($AQ138,'2_IMPORTAR_EJECUCION'!$J$9:$J$1208,0)),0)-$AI138))</f>
        <v/>
      </c>
      <c r="AK138" s="10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2">
        <f>IF($J139="","",TODAY()-$J139)</f>
        <v/>
      </c>
      <c r="AB139" s="12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>
        <is>
          <t>Técnico 07</t>
        </is>
      </c>
      <c r="AF139" s="3">
        <f>IF($AE139="","",IF((IFERROR(INDEX('ASIGNACIONES'!$F$4:$F$339,MATCH($O139&amp;"|"&amp;$R139&amp;"|"&amp;$AE139,'ASIGNACIONES'!$J$4:$J$339,0)),""))=0,"",IFERROR(INDEX('ASIGNACIONES'!$F$4:$F$339,MATCH($O139&amp;"|"&amp;$R139&amp;"|"&amp;$AE139,'ASIGNACIONES'!$J$4:$J$339,0)),"")))</f>
        <v/>
      </c>
      <c r="AG139" s="13">
        <f>IF($AE139="","",SUMIFS('ORDENES'!$M$4:$M$1203,'ORDENES'!$AE$4:$AE$1203,$AE139,'ORDENES'!$O$4:$O$1203,$O139,'ORDENES'!$R$4:$R$1203,$R139))</f>
        <v/>
      </c>
      <c r="AH139" s="13">
        <f>IF($AG139="","",p_factor_productividad*IFERROR(INDEX('ASIGNACIONES'!$I$4:$I$339,MATCH($O139&amp;"|"&amp;$R139&amp;"|"&amp;$AE139,'ASIGNACIONES'!$J$4:$J$339,0)),0)-$AG139)</f>
        <v/>
      </c>
      <c r="AI139" s="10">
        <f>IF($A139="","",IFERROR(INDEX('2_IMPORTAR_EJECUCION'!$F$9:$F$1208,MATCH($AQ139,'2_IMPORTAR_EJECUCION'!$J$9:$J$1208,0)),0))</f>
        <v/>
      </c>
      <c r="AJ139" s="10">
        <f>IF($A139="","",MAX(0,IFERROR(INDEX('2_IMPORTAR_EJECUCION'!$H$9:$H$1208,MATCH($AQ139,'2_IMPORTAR_EJECUCION'!$J$9:$J$1208,0)),0)-$AI139))</f>
        <v/>
      </c>
      <c r="AK139" s="10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2">
        <f>IF($J140="","",TODAY()-$J140)</f>
        <v/>
      </c>
      <c r="AB140" s="12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>
        <is>
          <t>Técnico 10</t>
        </is>
      </c>
      <c r="AF140" s="3">
        <f>IF($AE140="","",IF((IFERROR(INDEX('ASIGNACIONES'!$F$4:$F$339,MATCH($O140&amp;"|"&amp;$R140&amp;"|"&amp;$AE140,'ASIGNACIONES'!$J$4:$J$339,0)),""))=0,"",IFERROR(INDEX('ASIGNACIONES'!$F$4:$F$339,MATCH($O140&amp;"|"&amp;$R140&amp;"|"&amp;$AE140,'ASIGNACIONES'!$J$4:$J$339,0)),"")))</f>
        <v/>
      </c>
      <c r="AG140" s="13">
        <f>IF($AE140="","",SUMIFS('ORDENES'!$M$4:$M$1203,'ORDENES'!$AE$4:$AE$1203,$AE140,'ORDENES'!$O$4:$O$1203,$O140,'ORDENES'!$R$4:$R$1203,$R140))</f>
        <v/>
      </c>
      <c r="AH140" s="13">
        <f>IF($AG140="","",p_factor_productividad*IFERROR(INDEX('ASIGNACIONES'!$I$4:$I$339,MATCH($O140&amp;"|"&amp;$R140&amp;"|"&amp;$AE140,'ASIGNACIONES'!$J$4:$J$339,0)),0)-$AG140)</f>
        <v/>
      </c>
      <c r="AI140" s="10">
        <f>IF($A140="","",IFERROR(INDEX('2_IMPORTAR_EJECUCION'!$F$9:$F$1208,MATCH($AQ140,'2_IMPORTAR_EJECUCION'!$J$9:$J$1208,0)),0))</f>
        <v/>
      </c>
      <c r="AJ140" s="10">
        <f>IF($A140="","",MAX(0,IFERROR(INDEX('2_IMPORTAR_EJECUCION'!$H$9:$H$1208,MATCH($AQ140,'2_IMPORTAR_EJECUCION'!$J$9:$J$1208,0)),0)-$AI140))</f>
        <v/>
      </c>
      <c r="AK140" s="10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46180</v>
      </c>
      <c r="K141" s="3" t="n">
        <v>4</v>
      </c>
      <c r="L141" s="10" t="n">
        <v>160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2">
        <f>IF($J141="","",TODAY()-$J141)</f>
        <v/>
      </c>
      <c r="AB141" s="12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IF($AE141="","",IF((IFERROR(INDEX('ASIGNACIONES'!$F$4:$F$339,MATCH($O141&amp;"|"&amp;$R141&amp;"|"&amp;$AE141,'ASIGNACIONES'!$J$4:$J$339,0)),""))=0,"",IFERROR(INDEX('ASIGNACIONES'!$F$4:$F$339,MATCH($O141&amp;"|"&amp;$R141&amp;"|"&amp;$AE141,'ASIGNACIONES'!$J$4:$J$339,0)),"")))</f>
        <v/>
      </c>
      <c r="AG141" s="13">
        <f>IF($AE141="","",SUMIFS('ORDENES'!$M$4:$M$1203,'ORDENES'!$AE$4:$AE$1203,$AE141,'ORDENES'!$O$4:$O$1203,$O141,'ORDENES'!$R$4:$R$1203,$R141))</f>
        <v/>
      </c>
      <c r="AH141" s="13">
        <f>IF($AG141="","",p_factor_productividad*IFERROR(INDEX('ASIGNACIONES'!$I$4:$I$339,MATCH($O141&amp;"|"&amp;$R141&amp;"|"&amp;$AE141,'ASIGNACIONES'!$J$4:$J$339,0)),0)-$AG141)</f>
        <v/>
      </c>
      <c r="AI141" s="10">
        <f>IF($A141="","",IFERROR(INDEX('2_IMPORTAR_EJECUCION'!$F$9:$F$1208,MATCH($AQ141,'2_IMPORTAR_EJECUCION'!$J$9:$J$1208,0)),0))</f>
        <v/>
      </c>
      <c r="AJ141" s="10">
        <f>IF($A141="","",MAX(0,IFERROR(INDEX('2_IMPORTAR_EJECUCION'!$H$9:$H$1208,MATCH($AQ141,'2_IMPORTAR_EJECUCION'!$J$9:$J$1208,0)),0)-$AI141))</f>
        <v/>
      </c>
      <c r="AK141" s="10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46180</v>
      </c>
      <c r="K142" s="3" t="n">
        <v>6</v>
      </c>
      <c r="L142" s="10" t="n">
        <v>240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2">
        <f>IF($J142="","",TODAY()-$J142)</f>
        <v/>
      </c>
      <c r="AB142" s="12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IF($AE142="","",IF((IFERROR(INDEX('ASIGNACIONES'!$F$4:$F$339,MATCH($O142&amp;"|"&amp;$R142&amp;"|"&amp;$AE142,'ASIGNACIONES'!$J$4:$J$339,0)),""))=0,"",IFERROR(INDEX('ASIGNACIONES'!$F$4:$F$339,MATCH($O142&amp;"|"&amp;$R142&amp;"|"&amp;$AE142,'ASIGNACIONES'!$J$4:$J$339,0)),"")))</f>
        <v/>
      </c>
      <c r="AG142" s="13">
        <f>IF($AE142="","",SUMIFS('ORDENES'!$M$4:$M$1203,'ORDENES'!$AE$4:$AE$1203,$AE142,'ORDENES'!$O$4:$O$1203,$O142,'ORDENES'!$R$4:$R$1203,$R142))</f>
        <v/>
      </c>
      <c r="AH142" s="13">
        <f>IF($AG142="","",p_factor_productividad*IFERROR(INDEX('ASIGNACIONES'!$I$4:$I$339,MATCH($O142&amp;"|"&amp;$R142&amp;"|"&amp;$AE142,'ASIGNACIONES'!$J$4:$J$339,0)),0)-$AG142)</f>
        <v/>
      </c>
      <c r="AI142" s="10">
        <f>IF($A142="","",IFERROR(INDEX('2_IMPORTAR_EJECUCION'!$F$9:$F$1208,MATCH($AQ142,'2_IMPORTAR_EJECUCION'!$J$9:$J$1208,0)),0))</f>
        <v/>
      </c>
      <c r="AJ142" s="10">
        <f>IF($A142="","",MAX(0,IFERROR(INDEX('2_IMPORTAR_EJECUCION'!$H$9:$H$1208,MATCH($AQ142,'2_IMPORTAR_EJECUCION'!$J$9:$J$1208,0)),0)-$AI142))</f>
        <v/>
      </c>
      <c r="AK142" s="10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46180</v>
      </c>
      <c r="K143" s="3" t="n">
        <v>8</v>
      </c>
      <c r="L143" s="10" t="n">
        <v>320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2">
        <f>IF($J143="","",TODAY()-$J143)</f>
        <v/>
      </c>
      <c r="AB143" s="12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IF($AE143="","",IF((IFERROR(INDEX('ASIGNACIONES'!$F$4:$F$339,MATCH($O143&amp;"|"&amp;$R143&amp;"|"&amp;$AE143,'ASIGNACIONES'!$J$4:$J$339,0)),""))=0,"",IFERROR(INDEX('ASIGNACIONES'!$F$4:$F$339,MATCH($O143&amp;"|"&amp;$R143&amp;"|"&amp;$AE143,'ASIGNACIONES'!$J$4:$J$339,0)),"")))</f>
        <v/>
      </c>
      <c r="AG143" s="13">
        <f>IF($AE143="","",SUMIFS('ORDENES'!$M$4:$M$1203,'ORDENES'!$AE$4:$AE$1203,$AE143,'ORDENES'!$O$4:$O$1203,$O143,'ORDENES'!$R$4:$R$1203,$R143))</f>
        <v/>
      </c>
      <c r="AH143" s="13">
        <f>IF($AG143="","",p_factor_productividad*IFERROR(INDEX('ASIGNACIONES'!$I$4:$I$339,MATCH($O143&amp;"|"&amp;$R143&amp;"|"&amp;$AE143,'ASIGNACIONES'!$J$4:$J$339,0)),0)-$AG143)</f>
        <v/>
      </c>
      <c r="AI143" s="10">
        <f>IF($A143="","",IFERROR(INDEX('2_IMPORTAR_EJECUCION'!$F$9:$F$1208,MATCH($AQ143,'2_IMPORTAR_EJECUCION'!$J$9:$J$1208,0)),0))</f>
        <v/>
      </c>
      <c r="AJ143" s="10">
        <f>IF($A143="","",MAX(0,IFERROR(INDEX('2_IMPORTAR_EJECUCION'!$H$9:$H$1208,MATCH($AQ143,'2_IMPORTAR_EJECUCION'!$J$9:$J$1208,0)),0)-$AI143))</f>
        <v/>
      </c>
      <c r="AK143" s="10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46180</v>
      </c>
      <c r="K144" s="3" t="n">
        <v>4</v>
      </c>
      <c r="L144" s="10" t="n">
        <v>100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2">
        <f>IF($J144="","",TODAY()-$J144)</f>
        <v/>
      </c>
      <c r="AB144" s="12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IF($AE144="","",IF((IFERROR(INDEX('ASIGNACIONES'!$F$4:$F$339,MATCH($O144&amp;"|"&amp;$R144&amp;"|"&amp;$AE144,'ASIGNACIONES'!$J$4:$J$339,0)),""))=0,"",IFERROR(INDEX('ASIGNACIONES'!$F$4:$F$339,MATCH($O144&amp;"|"&amp;$R144&amp;"|"&amp;$AE144,'ASIGNACIONES'!$J$4:$J$339,0)),"")))</f>
        <v/>
      </c>
      <c r="AG144" s="13">
        <f>IF($AE144="","",SUMIFS('ORDENES'!$M$4:$M$1203,'ORDENES'!$AE$4:$AE$1203,$AE144,'ORDENES'!$O$4:$O$1203,$O144,'ORDENES'!$R$4:$R$1203,$R144))</f>
        <v/>
      </c>
      <c r="AH144" s="13">
        <f>IF($AG144="","",p_factor_productividad*IFERROR(INDEX('ASIGNACIONES'!$I$4:$I$339,MATCH($O144&amp;"|"&amp;$R144&amp;"|"&amp;$AE144,'ASIGNACIONES'!$J$4:$J$339,0)),0)-$AG144)</f>
        <v/>
      </c>
      <c r="AI144" s="10">
        <f>IF($A144="","",IFERROR(INDEX('2_IMPORTAR_EJECUCION'!$F$9:$F$1208,MATCH($AQ144,'2_IMPORTAR_EJECUCION'!$J$9:$J$1208,0)),0))</f>
        <v/>
      </c>
      <c r="AJ144" s="10">
        <f>IF($A144="","",MAX(0,IFERROR(INDEX('2_IMPORTAR_EJECUCION'!$H$9:$H$1208,MATCH($AQ144,'2_IMPORTAR_EJECUCION'!$J$9:$J$1208,0)),0)-$AI144))</f>
        <v/>
      </c>
      <c r="AK144" s="10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46180</v>
      </c>
      <c r="K145" s="3" t="n">
        <v>6</v>
      </c>
      <c r="L145" s="10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2">
        <f>IF($J145="","",TODAY()-$J145)</f>
        <v/>
      </c>
      <c r="AB145" s="12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IF($AE145="","",IF((IFERROR(INDEX('ASIGNACIONES'!$F$4:$F$339,MATCH($O145&amp;"|"&amp;$R145&amp;"|"&amp;$AE145,'ASIGNACIONES'!$J$4:$J$339,0)),""))=0,"",IFERROR(INDEX('ASIGNACIONES'!$F$4:$F$339,MATCH($O145&amp;"|"&amp;$R145&amp;"|"&amp;$AE145,'ASIGNACIONES'!$J$4:$J$339,0)),"")))</f>
        <v/>
      </c>
      <c r="AG145" s="13">
        <f>IF($AE145="","",SUMIFS('ORDENES'!$M$4:$M$1203,'ORDENES'!$AE$4:$AE$1203,$AE145,'ORDENES'!$O$4:$O$1203,$O145,'ORDENES'!$R$4:$R$1203,$R145))</f>
        <v/>
      </c>
      <c r="AH145" s="13">
        <f>IF($AG145="","",p_factor_productividad*IFERROR(INDEX('ASIGNACIONES'!$I$4:$I$339,MATCH($O145&amp;"|"&amp;$R145&amp;"|"&amp;$AE145,'ASIGNACIONES'!$J$4:$J$339,0)),0)-$AG145)</f>
        <v/>
      </c>
      <c r="AI145" s="10">
        <f>IF($A145="","",IFERROR(INDEX('2_IMPORTAR_EJECUCION'!$F$9:$F$1208,MATCH($AQ145,'2_IMPORTAR_EJECUCION'!$J$9:$J$1208,0)),0))</f>
        <v/>
      </c>
      <c r="AJ145" s="10">
        <f>IF($A145="","",MAX(0,IFERROR(INDEX('2_IMPORTAR_EJECUCION'!$H$9:$H$1208,MATCH($AQ145,'2_IMPORTAR_EJECUCION'!$J$9:$J$1208,0)),0)-$AI145))</f>
        <v/>
      </c>
      <c r="AK145" s="10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46180</v>
      </c>
      <c r="K146" s="3" t="n">
        <v>8</v>
      </c>
      <c r="L146" s="10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2">
        <f>IF($J146="","",TODAY()-$J146)</f>
        <v/>
      </c>
      <c r="AB146" s="12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IF($AE146="","",IF((IFERROR(INDEX('ASIGNACIONES'!$F$4:$F$339,MATCH($O146&amp;"|"&amp;$R146&amp;"|"&amp;$AE146,'ASIGNACIONES'!$J$4:$J$339,0)),""))=0,"",IFERROR(INDEX('ASIGNACIONES'!$F$4:$F$339,MATCH($O146&amp;"|"&amp;$R146&amp;"|"&amp;$AE146,'ASIGNACIONES'!$J$4:$J$339,0)),"")))</f>
        <v/>
      </c>
      <c r="AG146" s="13">
        <f>IF($AE146="","",SUMIFS('ORDENES'!$M$4:$M$1203,'ORDENES'!$AE$4:$AE$1203,$AE146,'ORDENES'!$O$4:$O$1203,$O146,'ORDENES'!$R$4:$R$1203,$R146))</f>
        <v/>
      </c>
      <c r="AH146" s="13">
        <f>IF($AG146="","",p_factor_productividad*IFERROR(INDEX('ASIGNACIONES'!$I$4:$I$339,MATCH($O146&amp;"|"&amp;$R146&amp;"|"&amp;$AE146,'ASIGNACIONES'!$J$4:$J$339,0)),0)-$AG146)</f>
        <v/>
      </c>
      <c r="AI146" s="10">
        <f>IF($A146="","",IFERROR(INDEX('2_IMPORTAR_EJECUCION'!$F$9:$F$1208,MATCH($AQ146,'2_IMPORTAR_EJECUCION'!$J$9:$J$1208,0)),0))</f>
        <v/>
      </c>
      <c r="AJ146" s="10">
        <f>IF($A146="","",MAX(0,IFERROR(INDEX('2_IMPORTAR_EJECUCION'!$H$9:$H$1208,MATCH($AQ146,'2_IMPORTAR_EJECUCION'!$J$9:$J$1208,0)),0)-$AI146))</f>
        <v/>
      </c>
      <c r="AK146" s="10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46180</v>
      </c>
      <c r="K147" s="3" t="n">
        <v>4</v>
      </c>
      <c r="L147" s="10" t="n">
        <v>160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2">
        <f>IF($J147="","",TODAY()-$J147)</f>
        <v/>
      </c>
      <c r="AB147" s="12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IF($AE147="","",IF((IFERROR(INDEX('ASIGNACIONES'!$F$4:$F$339,MATCH($O147&amp;"|"&amp;$R147&amp;"|"&amp;$AE147,'ASIGNACIONES'!$J$4:$J$339,0)),""))=0,"",IFERROR(INDEX('ASIGNACIONES'!$F$4:$F$339,MATCH($O147&amp;"|"&amp;$R147&amp;"|"&amp;$AE147,'ASIGNACIONES'!$J$4:$J$339,0)),"")))</f>
        <v/>
      </c>
      <c r="AG147" s="13">
        <f>IF($AE147="","",SUMIFS('ORDENES'!$M$4:$M$1203,'ORDENES'!$AE$4:$AE$1203,$AE147,'ORDENES'!$O$4:$O$1203,$O147,'ORDENES'!$R$4:$R$1203,$R147))</f>
        <v/>
      </c>
      <c r="AH147" s="13">
        <f>IF($AG147="","",p_factor_productividad*IFERROR(INDEX('ASIGNACIONES'!$I$4:$I$339,MATCH($O147&amp;"|"&amp;$R147&amp;"|"&amp;$AE147,'ASIGNACIONES'!$J$4:$J$339,0)),0)-$AG147)</f>
        <v/>
      </c>
      <c r="AI147" s="10">
        <f>IF($A147="","",IFERROR(INDEX('2_IMPORTAR_EJECUCION'!$F$9:$F$1208,MATCH($AQ147,'2_IMPORTAR_EJECUCION'!$J$9:$J$1208,0)),0))</f>
        <v/>
      </c>
      <c r="AJ147" s="10">
        <f>IF($A147="","",MAX(0,IFERROR(INDEX('2_IMPORTAR_EJECUCION'!$H$9:$H$1208,MATCH($AQ147,'2_IMPORTAR_EJECUCION'!$J$9:$J$1208,0)),0)-$AI147))</f>
        <v/>
      </c>
      <c r="AK147" s="10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46180</v>
      </c>
      <c r="K148" s="3" t="n">
        <v>6</v>
      </c>
      <c r="L148" s="10" t="n">
        <v>150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2">
        <f>IF($J148="","",TODAY()-$J148)</f>
        <v/>
      </c>
      <c r="AB148" s="12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IF($AE148="","",IF((IFERROR(INDEX('ASIGNACIONES'!$F$4:$F$339,MATCH($O148&amp;"|"&amp;$R148&amp;"|"&amp;$AE148,'ASIGNACIONES'!$J$4:$J$339,0)),""))=0,"",IFERROR(INDEX('ASIGNACIONES'!$F$4:$F$339,MATCH($O148&amp;"|"&amp;$R148&amp;"|"&amp;$AE148,'ASIGNACIONES'!$J$4:$J$339,0)),"")))</f>
        <v/>
      </c>
      <c r="AG148" s="13">
        <f>IF($AE148="","",SUMIFS('ORDENES'!$M$4:$M$1203,'ORDENES'!$AE$4:$AE$1203,$AE148,'ORDENES'!$O$4:$O$1203,$O148,'ORDENES'!$R$4:$R$1203,$R148))</f>
        <v/>
      </c>
      <c r="AH148" s="13">
        <f>IF($AG148="","",p_factor_productividad*IFERROR(INDEX('ASIGNACIONES'!$I$4:$I$339,MATCH($O148&amp;"|"&amp;$R148&amp;"|"&amp;$AE148,'ASIGNACIONES'!$J$4:$J$339,0)),0)-$AG148)</f>
        <v/>
      </c>
      <c r="AI148" s="10">
        <f>IF($A148="","",IFERROR(INDEX('2_IMPORTAR_EJECUCION'!$F$9:$F$1208,MATCH($AQ148,'2_IMPORTAR_EJECUCION'!$J$9:$J$1208,0)),0))</f>
        <v/>
      </c>
      <c r="AJ148" s="10">
        <f>IF($A148="","",MAX(0,IFERROR(INDEX('2_IMPORTAR_EJECUCION'!$H$9:$H$1208,MATCH($AQ148,'2_IMPORTAR_EJECUCION'!$J$9:$J$1208,0)),0)-$AI148))</f>
        <v/>
      </c>
      <c r="AK148" s="10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46150</v>
      </c>
      <c r="K149" s="3" t="n">
        <v>4</v>
      </c>
      <c r="L149" s="10" t="n">
        <v>160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2">
        <f>IF($J149="","",TODAY()-$J149)</f>
        <v/>
      </c>
      <c r="AB149" s="12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IF($AE149="","",IF((IFERROR(INDEX('ASIGNACIONES'!$F$4:$F$339,MATCH($O149&amp;"|"&amp;$R149&amp;"|"&amp;$AE149,'ASIGNACIONES'!$J$4:$J$339,0)),""))=0,"",IFERROR(INDEX('ASIGNACIONES'!$F$4:$F$339,MATCH($O149&amp;"|"&amp;$R149&amp;"|"&amp;$AE149,'ASIGNACIONES'!$J$4:$J$339,0)),"")))</f>
        <v/>
      </c>
      <c r="AG149" s="13">
        <f>IF($AE149="","",SUMIFS('ORDENES'!$M$4:$M$1203,'ORDENES'!$AE$4:$AE$1203,$AE149,'ORDENES'!$O$4:$O$1203,$O149,'ORDENES'!$R$4:$R$1203,$R149))</f>
        <v/>
      </c>
      <c r="AH149" s="13">
        <f>IF($AG149="","",p_factor_productividad*IFERROR(INDEX('ASIGNACIONES'!$I$4:$I$339,MATCH($O149&amp;"|"&amp;$R149&amp;"|"&amp;$AE149,'ASIGNACIONES'!$J$4:$J$339,0)),0)-$AG149)</f>
        <v/>
      </c>
      <c r="AI149" s="10">
        <f>IF($A149="","",IFERROR(INDEX('2_IMPORTAR_EJECUCION'!$F$9:$F$1208,MATCH($AQ149,'2_IMPORTAR_EJECUCION'!$J$9:$J$1208,0)),0))</f>
        <v/>
      </c>
      <c r="AJ149" s="10">
        <f>IF($A149="","",MAX(0,IFERROR(INDEX('2_IMPORTAR_EJECUCION'!$H$9:$H$1208,MATCH($AQ149,'2_IMPORTAR_EJECUCION'!$J$9:$J$1208,0)),0)-$AI149))</f>
        <v/>
      </c>
      <c r="AK149" s="10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46150</v>
      </c>
      <c r="K150" s="3" t="n">
        <v>6</v>
      </c>
      <c r="L150" s="10" t="n">
        <v>240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2">
        <f>IF($J150="","",TODAY()-$J150)</f>
        <v/>
      </c>
      <c r="AB150" s="12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IF($AE150="","",IF((IFERROR(INDEX('ASIGNACIONES'!$F$4:$F$339,MATCH($O150&amp;"|"&amp;$R150&amp;"|"&amp;$AE150,'ASIGNACIONES'!$J$4:$J$339,0)),""))=0,"",IFERROR(INDEX('ASIGNACIONES'!$F$4:$F$339,MATCH($O150&amp;"|"&amp;$R150&amp;"|"&amp;$AE150,'ASIGNACIONES'!$J$4:$J$339,0)),"")))</f>
        <v/>
      </c>
      <c r="AG150" s="13">
        <f>IF($AE150="","",SUMIFS('ORDENES'!$M$4:$M$1203,'ORDENES'!$AE$4:$AE$1203,$AE150,'ORDENES'!$O$4:$O$1203,$O150,'ORDENES'!$R$4:$R$1203,$R150))</f>
        <v/>
      </c>
      <c r="AH150" s="13">
        <f>IF($AG150="","",p_factor_productividad*IFERROR(INDEX('ASIGNACIONES'!$I$4:$I$339,MATCH($O150&amp;"|"&amp;$R150&amp;"|"&amp;$AE150,'ASIGNACIONES'!$J$4:$J$339,0)),0)-$AG150)</f>
        <v/>
      </c>
      <c r="AI150" s="10">
        <f>IF($A150="","",IFERROR(INDEX('2_IMPORTAR_EJECUCION'!$F$9:$F$1208,MATCH($AQ150,'2_IMPORTAR_EJECUCION'!$J$9:$J$1208,0)),0))</f>
        <v/>
      </c>
      <c r="AJ150" s="10">
        <f>IF($A150="","",MAX(0,IFERROR(INDEX('2_IMPORTAR_EJECUCION'!$H$9:$H$1208,MATCH($AQ150,'2_IMPORTAR_EJECUCION'!$J$9:$J$1208,0)),0)-$AI150))</f>
        <v/>
      </c>
      <c r="AK150" s="10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46150</v>
      </c>
      <c r="K151" s="3" t="n">
        <v>8</v>
      </c>
      <c r="L151" s="10" t="n">
        <v>320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2">
        <f>IF($J151="","",TODAY()-$J151)</f>
        <v/>
      </c>
      <c r="AB151" s="12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IF($AE151="","",IF((IFERROR(INDEX('ASIGNACIONES'!$F$4:$F$339,MATCH($O151&amp;"|"&amp;$R151&amp;"|"&amp;$AE151,'ASIGNACIONES'!$J$4:$J$339,0)),""))=0,"",IFERROR(INDEX('ASIGNACIONES'!$F$4:$F$339,MATCH($O151&amp;"|"&amp;$R151&amp;"|"&amp;$AE151,'ASIGNACIONES'!$J$4:$J$339,0)),"")))</f>
        <v/>
      </c>
      <c r="AG151" s="13">
        <f>IF($AE151="","",SUMIFS('ORDENES'!$M$4:$M$1203,'ORDENES'!$AE$4:$AE$1203,$AE151,'ORDENES'!$O$4:$O$1203,$O151,'ORDENES'!$R$4:$R$1203,$R151))</f>
        <v/>
      </c>
      <c r="AH151" s="13">
        <f>IF($AG151="","",p_factor_productividad*IFERROR(INDEX('ASIGNACIONES'!$I$4:$I$339,MATCH($O151&amp;"|"&amp;$R151&amp;"|"&amp;$AE151,'ASIGNACIONES'!$J$4:$J$339,0)),0)-$AG151)</f>
        <v/>
      </c>
      <c r="AI151" s="10">
        <f>IF($A151="","",IFERROR(INDEX('2_IMPORTAR_EJECUCION'!$F$9:$F$1208,MATCH($AQ151,'2_IMPORTAR_EJECUCION'!$J$9:$J$1208,0)),0))</f>
        <v/>
      </c>
      <c r="AJ151" s="10">
        <f>IF($A151="","",MAX(0,IFERROR(INDEX('2_IMPORTAR_EJECUCION'!$H$9:$H$1208,MATCH($AQ151,'2_IMPORTAR_EJECUCION'!$J$9:$J$1208,0)),0)-$AI151))</f>
        <v/>
      </c>
      <c r="AK151" s="10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46150</v>
      </c>
      <c r="K152" s="3" t="n">
        <v>4</v>
      </c>
      <c r="L152" s="10" t="n">
        <v>100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2">
        <f>IF($J152="","",TODAY()-$J152)</f>
        <v/>
      </c>
      <c r="AB152" s="12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IF($AE152="","",IF((IFERROR(INDEX('ASIGNACIONES'!$F$4:$F$339,MATCH($O152&amp;"|"&amp;$R152&amp;"|"&amp;$AE152,'ASIGNACIONES'!$J$4:$J$339,0)),""))=0,"",IFERROR(INDEX('ASIGNACIONES'!$F$4:$F$339,MATCH($O152&amp;"|"&amp;$R152&amp;"|"&amp;$AE152,'ASIGNACIONES'!$J$4:$J$339,0)),"")))</f>
        <v/>
      </c>
      <c r="AG152" s="13">
        <f>IF($AE152="","",SUMIFS('ORDENES'!$M$4:$M$1203,'ORDENES'!$AE$4:$AE$1203,$AE152,'ORDENES'!$O$4:$O$1203,$O152,'ORDENES'!$R$4:$R$1203,$R152))</f>
        <v/>
      </c>
      <c r="AH152" s="13">
        <f>IF($AG152="","",p_factor_productividad*IFERROR(INDEX('ASIGNACIONES'!$I$4:$I$339,MATCH($O152&amp;"|"&amp;$R152&amp;"|"&amp;$AE152,'ASIGNACIONES'!$J$4:$J$339,0)),0)-$AG152)</f>
        <v/>
      </c>
      <c r="AI152" s="10">
        <f>IF($A152="","",IFERROR(INDEX('2_IMPORTAR_EJECUCION'!$F$9:$F$1208,MATCH($AQ152,'2_IMPORTAR_EJECUCION'!$J$9:$J$1208,0)),0))</f>
        <v/>
      </c>
      <c r="AJ152" s="10">
        <f>IF($A152="","",MAX(0,IFERROR(INDEX('2_IMPORTAR_EJECUCION'!$H$9:$H$1208,MATCH($AQ152,'2_IMPORTAR_EJECUCION'!$J$9:$J$1208,0)),0)-$AI152))</f>
        <v/>
      </c>
      <c r="AK152" s="10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46150</v>
      </c>
      <c r="K153" s="3" t="n">
        <v>6</v>
      </c>
      <c r="L153" s="10" t="n">
        <v>240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2">
        <f>IF($J153="","",TODAY()-$J153)</f>
        <v/>
      </c>
      <c r="AB153" s="12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IF($AE153="","",IF((IFERROR(INDEX('ASIGNACIONES'!$F$4:$F$339,MATCH($O153&amp;"|"&amp;$R153&amp;"|"&amp;$AE153,'ASIGNACIONES'!$J$4:$J$339,0)),""))=0,"",IFERROR(INDEX('ASIGNACIONES'!$F$4:$F$339,MATCH($O153&amp;"|"&amp;$R153&amp;"|"&amp;$AE153,'ASIGNACIONES'!$J$4:$J$339,0)),"")))</f>
        <v/>
      </c>
      <c r="AG153" s="13">
        <f>IF($AE153="","",SUMIFS('ORDENES'!$M$4:$M$1203,'ORDENES'!$AE$4:$AE$1203,$AE153,'ORDENES'!$O$4:$O$1203,$O153,'ORDENES'!$R$4:$R$1203,$R153))</f>
        <v/>
      </c>
      <c r="AH153" s="13">
        <f>IF($AG153="","",p_factor_productividad*IFERROR(INDEX('ASIGNACIONES'!$I$4:$I$339,MATCH($O153&amp;"|"&amp;$R153&amp;"|"&amp;$AE153,'ASIGNACIONES'!$J$4:$J$339,0)),0)-$AG153)</f>
        <v/>
      </c>
      <c r="AI153" s="10">
        <f>IF($A153="","",IFERROR(INDEX('2_IMPORTAR_EJECUCION'!$F$9:$F$1208,MATCH($AQ153,'2_IMPORTAR_EJECUCION'!$J$9:$J$1208,0)),0))</f>
        <v/>
      </c>
      <c r="AJ153" s="10">
        <f>IF($A153="","",MAX(0,IFERROR(INDEX('2_IMPORTAR_EJECUCION'!$H$9:$H$1208,MATCH($AQ153,'2_IMPORTAR_EJECUCION'!$J$9:$J$1208,0)),0)-$AI153))</f>
        <v/>
      </c>
      <c r="AK153" s="10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46150</v>
      </c>
      <c r="K154" s="3" t="n">
        <v>8</v>
      </c>
      <c r="L154" s="10" t="n">
        <v>320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2">
        <f>IF($J154="","",TODAY()-$J154)</f>
        <v/>
      </c>
      <c r="AB154" s="12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IF($AE154="","",IF((IFERROR(INDEX('ASIGNACIONES'!$F$4:$F$339,MATCH($O154&amp;"|"&amp;$R154&amp;"|"&amp;$AE154,'ASIGNACIONES'!$J$4:$J$339,0)),""))=0,"",IFERROR(INDEX('ASIGNACIONES'!$F$4:$F$339,MATCH($O154&amp;"|"&amp;$R154&amp;"|"&amp;$AE154,'ASIGNACIONES'!$J$4:$J$339,0)),"")))</f>
        <v/>
      </c>
      <c r="AG154" s="13">
        <f>IF($AE154="","",SUMIFS('ORDENES'!$M$4:$M$1203,'ORDENES'!$AE$4:$AE$1203,$AE154,'ORDENES'!$O$4:$O$1203,$O154,'ORDENES'!$R$4:$R$1203,$R154))</f>
        <v/>
      </c>
      <c r="AH154" s="13">
        <f>IF($AG154="","",p_factor_productividad*IFERROR(INDEX('ASIGNACIONES'!$I$4:$I$339,MATCH($O154&amp;"|"&amp;$R154&amp;"|"&amp;$AE154,'ASIGNACIONES'!$J$4:$J$339,0)),0)-$AG154)</f>
        <v/>
      </c>
      <c r="AI154" s="10">
        <f>IF($A154="","",IFERROR(INDEX('2_IMPORTAR_EJECUCION'!$F$9:$F$1208,MATCH($AQ154,'2_IMPORTAR_EJECUCION'!$J$9:$J$1208,0)),0))</f>
        <v/>
      </c>
      <c r="AJ154" s="10">
        <f>IF($A154="","",MAX(0,IFERROR(INDEX('2_IMPORTAR_EJECUCION'!$H$9:$H$1208,MATCH($AQ154,'2_IMPORTAR_EJECUCION'!$J$9:$J$1208,0)),0)-$AI154))</f>
        <v/>
      </c>
      <c r="AK154" s="10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46125</v>
      </c>
      <c r="K155" s="3" t="n">
        <v>4</v>
      </c>
      <c r="L155" s="10" t="n">
        <v>160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2">
        <f>IF($J155="","",TODAY()-$J155)</f>
        <v/>
      </c>
      <c r="AB155" s="12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IF($AE155="","",IF((IFERROR(INDEX('ASIGNACIONES'!$F$4:$F$339,MATCH($O155&amp;"|"&amp;$R155&amp;"|"&amp;$AE155,'ASIGNACIONES'!$J$4:$J$339,0)),""))=0,"",IFERROR(INDEX('ASIGNACIONES'!$F$4:$F$339,MATCH($O155&amp;"|"&amp;$R155&amp;"|"&amp;$AE155,'ASIGNACIONES'!$J$4:$J$339,0)),"")))</f>
        <v/>
      </c>
      <c r="AG155" s="13">
        <f>IF($AE155="","",SUMIFS('ORDENES'!$M$4:$M$1203,'ORDENES'!$AE$4:$AE$1203,$AE155,'ORDENES'!$O$4:$O$1203,$O155,'ORDENES'!$R$4:$R$1203,$R155))</f>
        <v/>
      </c>
      <c r="AH155" s="13">
        <f>IF($AG155="","",p_factor_productividad*IFERROR(INDEX('ASIGNACIONES'!$I$4:$I$339,MATCH($O155&amp;"|"&amp;$R155&amp;"|"&amp;$AE155,'ASIGNACIONES'!$J$4:$J$339,0)),0)-$AG155)</f>
        <v/>
      </c>
      <c r="AI155" s="10">
        <f>IF($A155="","",IFERROR(INDEX('2_IMPORTAR_EJECUCION'!$F$9:$F$1208,MATCH($AQ155,'2_IMPORTAR_EJECUCION'!$J$9:$J$1208,0)),0))</f>
        <v/>
      </c>
      <c r="AJ155" s="10">
        <f>IF($A155="","",MAX(0,IFERROR(INDEX('2_IMPORTAR_EJECUCION'!$H$9:$H$1208,MATCH($AQ155,'2_IMPORTAR_EJECUCION'!$J$9:$J$1208,0)),0)-$AI155))</f>
        <v/>
      </c>
      <c r="AK155" s="10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46125</v>
      </c>
      <c r="K156" s="3" t="n">
        <v>6</v>
      </c>
      <c r="L156" s="10" t="n">
        <v>240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2">
        <f>IF($J156="","",TODAY()-$J156)</f>
        <v/>
      </c>
      <c r="AB156" s="12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IF($AE156="","",IF((IFERROR(INDEX('ASIGNACIONES'!$F$4:$F$339,MATCH($O156&amp;"|"&amp;$R156&amp;"|"&amp;$AE156,'ASIGNACIONES'!$J$4:$J$339,0)),""))=0,"",IFERROR(INDEX('ASIGNACIONES'!$F$4:$F$339,MATCH($O156&amp;"|"&amp;$R156&amp;"|"&amp;$AE156,'ASIGNACIONES'!$J$4:$J$339,0)),"")))</f>
        <v/>
      </c>
      <c r="AG156" s="13">
        <f>IF($AE156="","",SUMIFS('ORDENES'!$M$4:$M$1203,'ORDENES'!$AE$4:$AE$1203,$AE156,'ORDENES'!$O$4:$O$1203,$O156,'ORDENES'!$R$4:$R$1203,$R156))</f>
        <v/>
      </c>
      <c r="AH156" s="13">
        <f>IF($AG156="","",p_factor_productividad*IFERROR(INDEX('ASIGNACIONES'!$I$4:$I$339,MATCH($O156&amp;"|"&amp;$R156&amp;"|"&amp;$AE156,'ASIGNACIONES'!$J$4:$J$339,0)),0)-$AG156)</f>
        <v/>
      </c>
      <c r="AI156" s="10">
        <f>IF($A156="","",IFERROR(INDEX('2_IMPORTAR_EJECUCION'!$F$9:$F$1208,MATCH($AQ156,'2_IMPORTAR_EJECUCION'!$J$9:$J$1208,0)),0))</f>
        <v/>
      </c>
      <c r="AJ156" s="10">
        <f>IF($A156="","",MAX(0,IFERROR(INDEX('2_IMPORTAR_EJECUCION'!$H$9:$H$1208,MATCH($AQ156,'2_IMPORTAR_EJECUCION'!$J$9:$J$1208,0)),0)-$AI156))</f>
        <v/>
      </c>
      <c r="AK156" s="10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46125</v>
      </c>
      <c r="K157" s="3" t="n">
        <v>8</v>
      </c>
      <c r="L157" s="10" t="n">
        <v>320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2">
        <f>IF($J157="","",TODAY()-$J157)</f>
        <v/>
      </c>
      <c r="AB157" s="12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IF($AE157="","",IF((IFERROR(INDEX('ASIGNACIONES'!$F$4:$F$339,MATCH($O157&amp;"|"&amp;$R157&amp;"|"&amp;$AE157,'ASIGNACIONES'!$J$4:$J$339,0)),""))=0,"",IFERROR(INDEX('ASIGNACIONES'!$F$4:$F$339,MATCH($O157&amp;"|"&amp;$R157&amp;"|"&amp;$AE157,'ASIGNACIONES'!$J$4:$J$339,0)),"")))</f>
        <v/>
      </c>
      <c r="AG157" s="13">
        <f>IF($AE157="","",SUMIFS('ORDENES'!$M$4:$M$1203,'ORDENES'!$AE$4:$AE$1203,$AE157,'ORDENES'!$O$4:$O$1203,$O157,'ORDENES'!$R$4:$R$1203,$R157))</f>
        <v/>
      </c>
      <c r="AH157" s="13">
        <f>IF($AG157="","",p_factor_productividad*IFERROR(INDEX('ASIGNACIONES'!$I$4:$I$339,MATCH($O157&amp;"|"&amp;$R157&amp;"|"&amp;$AE157,'ASIGNACIONES'!$J$4:$J$339,0)),0)-$AG157)</f>
        <v/>
      </c>
      <c r="AI157" s="10">
        <f>IF($A157="","",IFERROR(INDEX('2_IMPORTAR_EJECUCION'!$F$9:$F$1208,MATCH($AQ157,'2_IMPORTAR_EJECUCION'!$J$9:$J$1208,0)),0))</f>
        <v/>
      </c>
      <c r="AJ157" s="10">
        <f>IF($A157="","",MAX(0,IFERROR(INDEX('2_IMPORTAR_EJECUCION'!$H$9:$H$1208,MATCH($AQ157,'2_IMPORTAR_EJECUCION'!$J$9:$J$1208,0)),0)-$AI157))</f>
        <v/>
      </c>
      <c r="AK157" s="10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46125</v>
      </c>
      <c r="K158" s="3" t="n">
        <v>4</v>
      </c>
      <c r="L158" s="10" t="n">
        <v>100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2">
        <f>IF($J158="","",TODAY()-$J158)</f>
        <v/>
      </c>
      <c r="AB158" s="12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IF($AE158="","",IF((IFERROR(INDEX('ASIGNACIONES'!$F$4:$F$339,MATCH($O158&amp;"|"&amp;$R158&amp;"|"&amp;$AE158,'ASIGNACIONES'!$J$4:$J$339,0)),""))=0,"",IFERROR(INDEX('ASIGNACIONES'!$F$4:$F$339,MATCH($O158&amp;"|"&amp;$R158&amp;"|"&amp;$AE158,'ASIGNACIONES'!$J$4:$J$339,0)),"")))</f>
        <v/>
      </c>
      <c r="AG158" s="13">
        <f>IF($AE158="","",SUMIFS('ORDENES'!$M$4:$M$1203,'ORDENES'!$AE$4:$AE$1203,$AE158,'ORDENES'!$O$4:$O$1203,$O158,'ORDENES'!$R$4:$R$1203,$R158))</f>
        <v/>
      </c>
      <c r="AH158" s="13">
        <f>IF($AG158="","",p_factor_productividad*IFERROR(INDEX('ASIGNACIONES'!$I$4:$I$339,MATCH($O158&amp;"|"&amp;$R158&amp;"|"&amp;$AE158,'ASIGNACIONES'!$J$4:$J$339,0)),0)-$AG158)</f>
        <v/>
      </c>
      <c r="AI158" s="10">
        <f>IF($A158="","",IFERROR(INDEX('2_IMPORTAR_EJECUCION'!$F$9:$F$1208,MATCH($AQ158,'2_IMPORTAR_EJECUCION'!$J$9:$J$1208,0)),0))</f>
        <v/>
      </c>
      <c r="AJ158" s="10">
        <f>IF($A158="","",MAX(0,IFERROR(INDEX('2_IMPORTAR_EJECUCION'!$H$9:$H$1208,MATCH($AQ158,'2_IMPORTAR_EJECUCION'!$J$9:$J$1208,0)),0)-$AI158))</f>
        <v/>
      </c>
      <c r="AK158" s="10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46125</v>
      </c>
      <c r="K159" s="3" t="n">
        <v>6</v>
      </c>
      <c r="L159" s="10" t="n">
        <v>240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2">
        <f>IF($J159="","",TODAY()-$J159)</f>
        <v/>
      </c>
      <c r="AB159" s="12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IF($AE159="","",IF((IFERROR(INDEX('ASIGNACIONES'!$F$4:$F$339,MATCH($O159&amp;"|"&amp;$R159&amp;"|"&amp;$AE159,'ASIGNACIONES'!$J$4:$J$339,0)),""))=0,"",IFERROR(INDEX('ASIGNACIONES'!$F$4:$F$339,MATCH($O159&amp;"|"&amp;$R159&amp;"|"&amp;$AE159,'ASIGNACIONES'!$J$4:$J$339,0)),"")))</f>
        <v/>
      </c>
      <c r="AG159" s="13">
        <f>IF($AE159="","",SUMIFS('ORDENES'!$M$4:$M$1203,'ORDENES'!$AE$4:$AE$1203,$AE159,'ORDENES'!$O$4:$O$1203,$O159,'ORDENES'!$R$4:$R$1203,$R159))</f>
        <v/>
      </c>
      <c r="AH159" s="13">
        <f>IF($AG159="","",p_factor_productividad*IFERROR(INDEX('ASIGNACIONES'!$I$4:$I$339,MATCH($O159&amp;"|"&amp;$R159&amp;"|"&amp;$AE159,'ASIGNACIONES'!$J$4:$J$339,0)),0)-$AG159)</f>
        <v/>
      </c>
      <c r="AI159" s="10">
        <f>IF($A159="","",IFERROR(INDEX('2_IMPORTAR_EJECUCION'!$F$9:$F$1208,MATCH($AQ159,'2_IMPORTAR_EJECUCION'!$J$9:$J$1208,0)),0))</f>
        <v/>
      </c>
      <c r="AJ159" s="10">
        <f>IF($A159="","",MAX(0,IFERROR(INDEX('2_IMPORTAR_EJECUCION'!$H$9:$H$1208,MATCH($AQ159,'2_IMPORTAR_EJECUCION'!$J$9:$J$1208,0)),0)-$AI159))</f>
        <v/>
      </c>
      <c r="AK159" s="10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46125</v>
      </c>
      <c r="K160" s="3" t="n">
        <v>8</v>
      </c>
      <c r="L160" s="10" t="n">
        <v>320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2">
        <f>IF($J160="","",TODAY()-$J160)</f>
        <v/>
      </c>
      <c r="AB160" s="12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IF($AE160="","",IF((IFERROR(INDEX('ASIGNACIONES'!$F$4:$F$339,MATCH($O160&amp;"|"&amp;$R160&amp;"|"&amp;$AE160,'ASIGNACIONES'!$J$4:$J$339,0)),""))=0,"",IFERROR(INDEX('ASIGNACIONES'!$F$4:$F$339,MATCH($O160&amp;"|"&amp;$R160&amp;"|"&amp;$AE160,'ASIGNACIONES'!$J$4:$J$339,0)),"")))</f>
        <v/>
      </c>
      <c r="AG160" s="13">
        <f>IF($AE160="","",SUMIFS('ORDENES'!$M$4:$M$1203,'ORDENES'!$AE$4:$AE$1203,$AE160,'ORDENES'!$O$4:$O$1203,$O160,'ORDENES'!$R$4:$R$1203,$R160))</f>
        <v/>
      </c>
      <c r="AH160" s="13">
        <f>IF($AG160="","",p_factor_productividad*IFERROR(INDEX('ASIGNACIONES'!$I$4:$I$339,MATCH($O160&amp;"|"&amp;$R160&amp;"|"&amp;$AE160,'ASIGNACIONES'!$J$4:$J$339,0)),0)-$AG160)</f>
        <v/>
      </c>
      <c r="AI160" s="10">
        <f>IF($A160="","",IFERROR(INDEX('2_IMPORTAR_EJECUCION'!$F$9:$F$1208,MATCH($AQ160,'2_IMPORTAR_EJECUCION'!$J$9:$J$1208,0)),0))</f>
        <v/>
      </c>
      <c r="AJ160" s="10">
        <f>IF($A160="","",MAX(0,IFERROR(INDEX('2_IMPORTAR_EJECUCION'!$H$9:$H$1208,MATCH($AQ160,'2_IMPORTAR_EJECUCION'!$J$9:$J$1208,0)),0)-$AI160))</f>
        <v/>
      </c>
      <c r="AK160" s="10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46105</v>
      </c>
      <c r="K161" s="3" t="n">
        <v>4</v>
      </c>
      <c r="L161" s="10" t="n">
        <v>160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2">
        <f>IF($J161="","",TODAY()-$J161)</f>
        <v/>
      </c>
      <c r="AB161" s="12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IF($AE161="","",IF((IFERROR(INDEX('ASIGNACIONES'!$F$4:$F$339,MATCH($O161&amp;"|"&amp;$R161&amp;"|"&amp;$AE161,'ASIGNACIONES'!$J$4:$J$339,0)),""))=0,"",IFERROR(INDEX('ASIGNACIONES'!$F$4:$F$339,MATCH($O161&amp;"|"&amp;$R161&amp;"|"&amp;$AE161,'ASIGNACIONES'!$J$4:$J$339,0)),"")))</f>
        <v/>
      </c>
      <c r="AG161" s="13">
        <f>IF($AE161="","",SUMIFS('ORDENES'!$M$4:$M$1203,'ORDENES'!$AE$4:$AE$1203,$AE161,'ORDENES'!$O$4:$O$1203,$O161,'ORDENES'!$R$4:$R$1203,$R161))</f>
        <v/>
      </c>
      <c r="AH161" s="13">
        <f>IF($AG161="","",p_factor_productividad*IFERROR(INDEX('ASIGNACIONES'!$I$4:$I$339,MATCH($O161&amp;"|"&amp;$R161&amp;"|"&amp;$AE161,'ASIGNACIONES'!$J$4:$J$339,0)),0)-$AG161)</f>
        <v/>
      </c>
      <c r="AI161" s="10">
        <f>IF($A161="","",IFERROR(INDEX('2_IMPORTAR_EJECUCION'!$F$9:$F$1208,MATCH($AQ161,'2_IMPORTAR_EJECUCION'!$J$9:$J$1208,0)),0))</f>
        <v/>
      </c>
      <c r="AJ161" s="10">
        <f>IF($A161="","",MAX(0,IFERROR(INDEX('2_IMPORTAR_EJECUCION'!$H$9:$H$1208,MATCH($AQ161,'2_IMPORTAR_EJECUCION'!$J$9:$J$1208,0)),0)-$AI161))</f>
        <v/>
      </c>
      <c r="AK161" s="10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46105</v>
      </c>
      <c r="K162" s="3" t="n">
        <v>6</v>
      </c>
      <c r="L162" s="10" t="n">
        <v>240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2">
        <f>IF($J162="","",TODAY()-$J162)</f>
        <v/>
      </c>
      <c r="AB162" s="12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IF($AE162="","",IF((IFERROR(INDEX('ASIGNACIONES'!$F$4:$F$339,MATCH($O162&amp;"|"&amp;$R162&amp;"|"&amp;$AE162,'ASIGNACIONES'!$J$4:$J$339,0)),""))=0,"",IFERROR(INDEX('ASIGNACIONES'!$F$4:$F$339,MATCH($O162&amp;"|"&amp;$R162&amp;"|"&amp;$AE162,'ASIGNACIONES'!$J$4:$J$339,0)),"")))</f>
        <v/>
      </c>
      <c r="AG162" s="13">
        <f>IF($AE162="","",SUMIFS('ORDENES'!$M$4:$M$1203,'ORDENES'!$AE$4:$AE$1203,$AE162,'ORDENES'!$O$4:$O$1203,$O162,'ORDENES'!$R$4:$R$1203,$R162))</f>
        <v/>
      </c>
      <c r="AH162" s="13">
        <f>IF($AG162="","",p_factor_productividad*IFERROR(INDEX('ASIGNACIONES'!$I$4:$I$339,MATCH($O162&amp;"|"&amp;$R162&amp;"|"&amp;$AE162,'ASIGNACIONES'!$J$4:$J$339,0)),0)-$AG162)</f>
        <v/>
      </c>
      <c r="AI162" s="10">
        <f>IF($A162="","",IFERROR(INDEX('2_IMPORTAR_EJECUCION'!$F$9:$F$1208,MATCH($AQ162,'2_IMPORTAR_EJECUCION'!$J$9:$J$1208,0)),0))</f>
        <v/>
      </c>
      <c r="AJ162" s="10">
        <f>IF($A162="","",MAX(0,IFERROR(INDEX('2_IMPORTAR_EJECUCION'!$H$9:$H$1208,MATCH($AQ162,'2_IMPORTAR_EJECUCION'!$J$9:$J$1208,0)),0)-$AI162))</f>
        <v/>
      </c>
      <c r="AK162" s="10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46105</v>
      </c>
      <c r="K163" s="3" t="n">
        <v>8</v>
      </c>
      <c r="L163" s="10" t="n">
        <v>320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2">
        <f>IF($J163="","",TODAY()-$J163)</f>
        <v/>
      </c>
      <c r="AB163" s="12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IF($AE163="","",IF((IFERROR(INDEX('ASIGNACIONES'!$F$4:$F$339,MATCH($O163&amp;"|"&amp;$R163&amp;"|"&amp;$AE163,'ASIGNACIONES'!$J$4:$J$339,0)),""))=0,"",IFERROR(INDEX('ASIGNACIONES'!$F$4:$F$339,MATCH($O163&amp;"|"&amp;$R163&amp;"|"&amp;$AE163,'ASIGNACIONES'!$J$4:$J$339,0)),"")))</f>
        <v/>
      </c>
      <c r="AG163" s="13">
        <f>IF($AE163="","",SUMIFS('ORDENES'!$M$4:$M$1203,'ORDENES'!$AE$4:$AE$1203,$AE163,'ORDENES'!$O$4:$O$1203,$O163,'ORDENES'!$R$4:$R$1203,$R163))</f>
        <v/>
      </c>
      <c r="AH163" s="13">
        <f>IF($AG163="","",p_factor_productividad*IFERROR(INDEX('ASIGNACIONES'!$I$4:$I$339,MATCH($O163&amp;"|"&amp;$R163&amp;"|"&amp;$AE163,'ASIGNACIONES'!$J$4:$J$339,0)),0)-$AG163)</f>
        <v/>
      </c>
      <c r="AI163" s="10">
        <f>IF($A163="","",IFERROR(INDEX('2_IMPORTAR_EJECUCION'!$F$9:$F$1208,MATCH($AQ163,'2_IMPORTAR_EJECUCION'!$J$9:$J$1208,0)),0))</f>
        <v/>
      </c>
      <c r="AJ163" s="10">
        <f>IF($A163="","",MAX(0,IFERROR(INDEX('2_IMPORTAR_EJECUCION'!$H$9:$H$1208,MATCH($AQ163,'2_IMPORTAR_EJECUCION'!$J$9:$J$1208,0)),0)-$AI163))</f>
        <v/>
      </c>
      <c r="AK163" s="10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46105</v>
      </c>
      <c r="K164" s="3" t="n">
        <v>4</v>
      </c>
      <c r="L164" s="10" t="n">
        <v>100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2">
        <f>IF($J164="","",TODAY()-$J164)</f>
        <v/>
      </c>
      <c r="AB164" s="12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IF($AE164="","",IF((IFERROR(INDEX('ASIGNACIONES'!$F$4:$F$339,MATCH($O164&amp;"|"&amp;$R164&amp;"|"&amp;$AE164,'ASIGNACIONES'!$J$4:$J$339,0)),""))=0,"",IFERROR(INDEX('ASIGNACIONES'!$F$4:$F$339,MATCH($O164&amp;"|"&amp;$R164&amp;"|"&amp;$AE164,'ASIGNACIONES'!$J$4:$J$339,0)),"")))</f>
        <v/>
      </c>
      <c r="AG164" s="13">
        <f>IF($AE164="","",SUMIFS('ORDENES'!$M$4:$M$1203,'ORDENES'!$AE$4:$AE$1203,$AE164,'ORDENES'!$O$4:$O$1203,$O164,'ORDENES'!$R$4:$R$1203,$R164))</f>
        <v/>
      </c>
      <c r="AH164" s="13">
        <f>IF($AG164="","",p_factor_productividad*IFERROR(INDEX('ASIGNACIONES'!$I$4:$I$339,MATCH($O164&amp;"|"&amp;$R164&amp;"|"&amp;$AE164,'ASIGNACIONES'!$J$4:$J$339,0)),0)-$AG164)</f>
        <v/>
      </c>
      <c r="AI164" s="10">
        <f>IF($A164="","",IFERROR(INDEX('2_IMPORTAR_EJECUCION'!$F$9:$F$1208,MATCH($AQ164,'2_IMPORTAR_EJECUCION'!$J$9:$J$1208,0)),0))</f>
        <v/>
      </c>
      <c r="AJ164" s="10">
        <f>IF($A164="","",MAX(0,IFERROR(INDEX('2_IMPORTAR_EJECUCION'!$H$9:$H$1208,MATCH($AQ164,'2_IMPORTAR_EJECUCION'!$J$9:$J$1208,0)),0)-$AI164))</f>
        <v/>
      </c>
      <c r="AK164" s="10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46075</v>
      </c>
      <c r="K165" s="3" t="n">
        <v>4</v>
      </c>
      <c r="L165" s="10" t="n">
        <v>160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2">
        <f>IF($J165="","",TODAY()-$J165)</f>
        <v/>
      </c>
      <c r="AB165" s="12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IF($AE165="","",IF((IFERROR(INDEX('ASIGNACIONES'!$F$4:$F$339,MATCH($O165&amp;"|"&amp;$R165&amp;"|"&amp;$AE165,'ASIGNACIONES'!$J$4:$J$339,0)),""))=0,"",IFERROR(INDEX('ASIGNACIONES'!$F$4:$F$339,MATCH($O165&amp;"|"&amp;$R165&amp;"|"&amp;$AE165,'ASIGNACIONES'!$J$4:$J$339,0)),"")))</f>
        <v/>
      </c>
      <c r="AG165" s="13">
        <f>IF($AE165="","",SUMIFS('ORDENES'!$M$4:$M$1203,'ORDENES'!$AE$4:$AE$1203,$AE165,'ORDENES'!$O$4:$O$1203,$O165,'ORDENES'!$R$4:$R$1203,$R165))</f>
        <v/>
      </c>
      <c r="AH165" s="13">
        <f>IF($AG165="","",p_factor_productividad*IFERROR(INDEX('ASIGNACIONES'!$I$4:$I$339,MATCH($O165&amp;"|"&amp;$R165&amp;"|"&amp;$AE165,'ASIGNACIONES'!$J$4:$J$339,0)),0)-$AG165)</f>
        <v/>
      </c>
      <c r="AI165" s="10">
        <f>IF($A165="","",IFERROR(INDEX('2_IMPORTAR_EJECUCION'!$F$9:$F$1208,MATCH($AQ165,'2_IMPORTAR_EJECUCION'!$J$9:$J$1208,0)),0))</f>
        <v/>
      </c>
      <c r="AJ165" s="10">
        <f>IF($A165="","",MAX(0,IFERROR(INDEX('2_IMPORTAR_EJECUCION'!$H$9:$H$1208,MATCH($AQ165,'2_IMPORTAR_EJECUCION'!$J$9:$J$1208,0)),0)-$AI165))</f>
        <v/>
      </c>
      <c r="AK165" s="10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46075</v>
      </c>
      <c r="K166" s="3" t="n">
        <v>6</v>
      </c>
      <c r="L166" s="10" t="n">
        <v>240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2">
        <f>IF($J166="","",TODAY()-$J166)</f>
        <v/>
      </c>
      <c r="AB166" s="12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IF($AE166="","",IF((IFERROR(INDEX('ASIGNACIONES'!$F$4:$F$339,MATCH($O166&amp;"|"&amp;$R166&amp;"|"&amp;$AE166,'ASIGNACIONES'!$J$4:$J$339,0)),""))=0,"",IFERROR(INDEX('ASIGNACIONES'!$F$4:$F$339,MATCH($O166&amp;"|"&amp;$R166&amp;"|"&amp;$AE166,'ASIGNACIONES'!$J$4:$J$339,0)),"")))</f>
        <v/>
      </c>
      <c r="AG166" s="13">
        <f>IF($AE166="","",SUMIFS('ORDENES'!$M$4:$M$1203,'ORDENES'!$AE$4:$AE$1203,$AE166,'ORDENES'!$O$4:$O$1203,$O166,'ORDENES'!$R$4:$R$1203,$R166))</f>
        <v/>
      </c>
      <c r="AH166" s="13">
        <f>IF($AG166="","",p_factor_productividad*IFERROR(INDEX('ASIGNACIONES'!$I$4:$I$339,MATCH($O166&amp;"|"&amp;$R166&amp;"|"&amp;$AE166,'ASIGNACIONES'!$J$4:$J$339,0)),0)-$AG166)</f>
        <v/>
      </c>
      <c r="AI166" s="10">
        <f>IF($A166="","",IFERROR(INDEX('2_IMPORTAR_EJECUCION'!$F$9:$F$1208,MATCH($AQ166,'2_IMPORTAR_EJECUCION'!$J$9:$J$1208,0)),0))</f>
        <v/>
      </c>
      <c r="AJ166" s="10">
        <f>IF($A166="","",MAX(0,IFERROR(INDEX('2_IMPORTAR_EJECUCION'!$H$9:$H$1208,MATCH($AQ166,'2_IMPORTAR_EJECUCION'!$J$9:$J$1208,0)),0)-$AI166))</f>
        <v/>
      </c>
      <c r="AK166" s="10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46075</v>
      </c>
      <c r="K167" s="3" t="n">
        <v>8</v>
      </c>
      <c r="L167" s="10" t="n">
        <v>320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2">
        <f>IF($J167="","",TODAY()-$J167)</f>
        <v/>
      </c>
      <c r="AB167" s="12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IF($AE167="","",IF((IFERROR(INDEX('ASIGNACIONES'!$F$4:$F$339,MATCH($O167&amp;"|"&amp;$R167&amp;"|"&amp;$AE167,'ASIGNACIONES'!$J$4:$J$339,0)),""))=0,"",IFERROR(INDEX('ASIGNACIONES'!$F$4:$F$339,MATCH($O167&amp;"|"&amp;$R167&amp;"|"&amp;$AE167,'ASIGNACIONES'!$J$4:$J$339,0)),"")))</f>
        <v/>
      </c>
      <c r="AG167" s="13">
        <f>IF($AE167="","",SUMIFS('ORDENES'!$M$4:$M$1203,'ORDENES'!$AE$4:$AE$1203,$AE167,'ORDENES'!$O$4:$O$1203,$O167,'ORDENES'!$R$4:$R$1203,$R167))</f>
        <v/>
      </c>
      <c r="AH167" s="13">
        <f>IF($AG167="","",p_factor_productividad*IFERROR(INDEX('ASIGNACIONES'!$I$4:$I$339,MATCH($O167&amp;"|"&amp;$R167&amp;"|"&amp;$AE167,'ASIGNACIONES'!$J$4:$J$339,0)),0)-$AG167)</f>
        <v/>
      </c>
      <c r="AI167" s="10">
        <f>IF($A167="","",IFERROR(INDEX('2_IMPORTAR_EJECUCION'!$F$9:$F$1208,MATCH($AQ167,'2_IMPORTAR_EJECUCION'!$J$9:$J$1208,0)),0))</f>
        <v/>
      </c>
      <c r="AJ167" s="10">
        <f>IF($A167="","",MAX(0,IFERROR(INDEX('2_IMPORTAR_EJECUCION'!$H$9:$H$1208,MATCH($AQ167,'2_IMPORTAR_EJECUCION'!$J$9:$J$1208,0)),0)-$AI167))</f>
        <v/>
      </c>
      <c r="AK167" s="10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46075</v>
      </c>
      <c r="K168" s="3" t="n">
        <v>4</v>
      </c>
      <c r="L168" s="10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2">
        <f>IF($J168="","",TODAY()-$J168)</f>
        <v/>
      </c>
      <c r="AB168" s="12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IF($AE168="","",IF((IFERROR(INDEX('ASIGNACIONES'!$F$4:$F$339,MATCH($O168&amp;"|"&amp;$R168&amp;"|"&amp;$AE168,'ASIGNACIONES'!$J$4:$J$339,0)),""))=0,"",IFERROR(INDEX('ASIGNACIONES'!$F$4:$F$339,MATCH($O168&amp;"|"&amp;$R168&amp;"|"&amp;$AE168,'ASIGNACIONES'!$J$4:$J$339,0)),"")))</f>
        <v/>
      </c>
      <c r="AG168" s="13">
        <f>IF($AE168="","",SUMIFS('ORDENES'!$M$4:$M$1203,'ORDENES'!$AE$4:$AE$1203,$AE168,'ORDENES'!$O$4:$O$1203,$O168,'ORDENES'!$R$4:$R$1203,$R168))</f>
        <v/>
      </c>
      <c r="AH168" s="13">
        <f>IF($AG168="","",p_factor_productividad*IFERROR(INDEX('ASIGNACIONES'!$I$4:$I$339,MATCH($O168&amp;"|"&amp;$R168&amp;"|"&amp;$AE168,'ASIGNACIONES'!$J$4:$J$339,0)),0)-$AG168)</f>
        <v/>
      </c>
      <c r="AI168" s="10">
        <f>IF($A168="","",IFERROR(INDEX('2_IMPORTAR_EJECUCION'!$F$9:$F$1208,MATCH($AQ168,'2_IMPORTAR_EJECUCION'!$J$9:$J$1208,0)),0))</f>
        <v/>
      </c>
      <c r="AJ168" s="10">
        <f>IF($A168="","",MAX(0,IFERROR(INDEX('2_IMPORTAR_EJECUCION'!$H$9:$H$1208,MATCH($AQ168,'2_IMPORTAR_EJECUCION'!$J$9:$J$1208,0)),0)-$AI168))</f>
        <v/>
      </c>
      <c r="AK168" s="10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46185</v>
      </c>
      <c r="K169" s="3" t="n">
        <v>4</v>
      </c>
      <c r="L169" s="10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2">
        <f>IF($J169="","",TODAY()-$J169)</f>
        <v/>
      </c>
      <c r="AB169" s="12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IF($AE169="","",IF((IFERROR(INDEX('ASIGNACIONES'!$F$4:$F$339,MATCH($O169&amp;"|"&amp;$R169&amp;"|"&amp;$AE169,'ASIGNACIONES'!$J$4:$J$339,0)),""))=0,"",IFERROR(INDEX('ASIGNACIONES'!$F$4:$F$339,MATCH($O169&amp;"|"&amp;$R169&amp;"|"&amp;$AE169,'ASIGNACIONES'!$J$4:$J$339,0)),"")))</f>
        <v/>
      </c>
      <c r="AG169" s="13">
        <f>IF($AE169="","",SUMIFS('ORDENES'!$M$4:$M$1203,'ORDENES'!$AE$4:$AE$1203,$AE169,'ORDENES'!$O$4:$O$1203,$O169,'ORDENES'!$R$4:$R$1203,$R169))</f>
        <v/>
      </c>
      <c r="AH169" s="13">
        <f>IF($AG169="","",p_factor_productividad*IFERROR(INDEX('ASIGNACIONES'!$I$4:$I$339,MATCH($O169&amp;"|"&amp;$R169&amp;"|"&amp;$AE169,'ASIGNACIONES'!$J$4:$J$339,0)),0)-$AG169)</f>
        <v/>
      </c>
      <c r="AI169" s="10">
        <f>IF($A169="","",IFERROR(INDEX('2_IMPORTAR_EJECUCION'!$F$9:$F$1208,MATCH($AQ169,'2_IMPORTAR_EJECUCION'!$J$9:$J$1208,0)),0))</f>
        <v/>
      </c>
      <c r="AJ169" s="10">
        <f>IF($A169="","",MAX(0,IFERROR(INDEX('2_IMPORTAR_EJECUCION'!$H$9:$H$1208,MATCH($AQ169,'2_IMPORTAR_EJECUCION'!$J$9:$J$1208,0)),0)-$AI169))</f>
        <v/>
      </c>
      <c r="AK169" s="10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46178</v>
      </c>
      <c r="K170" s="3" t="n">
        <v>6</v>
      </c>
      <c r="L170" s="10" t="n">
        <v>240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2">
        <f>IF($J170="","",TODAY()-$J170)</f>
        <v/>
      </c>
      <c r="AB170" s="12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IF($AE170="","",IF((IFERROR(INDEX('ASIGNACIONES'!$F$4:$F$339,MATCH($O170&amp;"|"&amp;$R170&amp;"|"&amp;$AE170,'ASIGNACIONES'!$J$4:$J$339,0)),""))=0,"",IFERROR(INDEX('ASIGNACIONES'!$F$4:$F$339,MATCH($O170&amp;"|"&amp;$R170&amp;"|"&amp;$AE170,'ASIGNACIONES'!$J$4:$J$339,0)),"")))</f>
        <v/>
      </c>
      <c r="AG170" s="13">
        <f>IF($AE170="","",SUMIFS('ORDENES'!$M$4:$M$1203,'ORDENES'!$AE$4:$AE$1203,$AE170,'ORDENES'!$O$4:$O$1203,$O170,'ORDENES'!$R$4:$R$1203,$R170))</f>
        <v/>
      </c>
      <c r="AH170" s="13">
        <f>IF($AG170="","",p_factor_productividad*IFERROR(INDEX('ASIGNACIONES'!$I$4:$I$339,MATCH($O170&amp;"|"&amp;$R170&amp;"|"&amp;$AE170,'ASIGNACIONES'!$J$4:$J$339,0)),0)-$AG170)</f>
        <v/>
      </c>
      <c r="AI170" s="10">
        <f>IF($A170="","",IFERROR(INDEX('2_IMPORTAR_EJECUCION'!$F$9:$F$1208,MATCH($AQ170,'2_IMPORTAR_EJECUCION'!$J$9:$J$1208,0)),0))</f>
        <v/>
      </c>
      <c r="AJ170" s="10">
        <f>IF($A170="","",MAX(0,IFERROR(INDEX('2_IMPORTAR_EJECUCION'!$H$9:$H$1208,MATCH($AQ170,'2_IMPORTAR_EJECUCION'!$J$9:$J$1208,0)),0)-$AI170))</f>
        <v/>
      </c>
      <c r="AK170" s="10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46171</v>
      </c>
      <c r="K171" s="3" t="n">
        <v>8</v>
      </c>
      <c r="L171" s="10" t="n">
        <v>200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2">
        <f>IF($J171="","",TODAY()-$J171)</f>
        <v/>
      </c>
      <c r="AB171" s="12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IF($AE171="","",IF((IFERROR(INDEX('ASIGNACIONES'!$F$4:$F$339,MATCH($O171&amp;"|"&amp;$R171&amp;"|"&amp;$AE171,'ASIGNACIONES'!$J$4:$J$339,0)),""))=0,"",IFERROR(INDEX('ASIGNACIONES'!$F$4:$F$339,MATCH($O171&amp;"|"&amp;$R171&amp;"|"&amp;$AE171,'ASIGNACIONES'!$J$4:$J$339,0)),"")))</f>
        <v/>
      </c>
      <c r="AG171" s="13">
        <f>IF($AE171="","",SUMIFS('ORDENES'!$M$4:$M$1203,'ORDENES'!$AE$4:$AE$1203,$AE171,'ORDENES'!$O$4:$O$1203,$O171,'ORDENES'!$R$4:$R$1203,$R171))</f>
        <v/>
      </c>
      <c r="AH171" s="13">
        <f>IF($AG171="","",p_factor_productividad*IFERROR(INDEX('ASIGNACIONES'!$I$4:$I$339,MATCH($O171&amp;"|"&amp;$R171&amp;"|"&amp;$AE171,'ASIGNACIONES'!$J$4:$J$339,0)),0)-$AG171)</f>
        <v/>
      </c>
      <c r="AI171" s="10">
        <f>IF($A171="","",IFERROR(INDEX('2_IMPORTAR_EJECUCION'!$F$9:$F$1208,MATCH($AQ171,'2_IMPORTAR_EJECUCION'!$J$9:$J$1208,0)),0))</f>
        <v/>
      </c>
      <c r="AJ171" s="10">
        <f>IF($A171="","",MAX(0,IFERROR(INDEX('2_IMPORTAR_EJECUCION'!$H$9:$H$1208,MATCH($AQ171,'2_IMPORTAR_EJECUCION'!$J$9:$J$1208,0)),0)-$AI171))</f>
        <v/>
      </c>
      <c r="AK171" s="10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46164</v>
      </c>
      <c r="K172" s="3" t="n">
        <v>4</v>
      </c>
      <c r="L172" s="10" t="n">
        <v>160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2">
        <f>IF($J172="","",TODAY()-$J172)</f>
        <v/>
      </c>
      <c r="AB172" s="12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IF($AE172="","",IF((IFERROR(INDEX('ASIGNACIONES'!$F$4:$F$339,MATCH($O172&amp;"|"&amp;$R172&amp;"|"&amp;$AE172,'ASIGNACIONES'!$J$4:$J$339,0)),""))=0,"",IFERROR(INDEX('ASIGNACIONES'!$F$4:$F$339,MATCH($O172&amp;"|"&amp;$R172&amp;"|"&amp;$AE172,'ASIGNACIONES'!$J$4:$J$339,0)),"")))</f>
        <v/>
      </c>
      <c r="AG172" s="13">
        <f>IF($AE172="","",SUMIFS('ORDENES'!$M$4:$M$1203,'ORDENES'!$AE$4:$AE$1203,$AE172,'ORDENES'!$O$4:$O$1203,$O172,'ORDENES'!$R$4:$R$1203,$R172))</f>
        <v/>
      </c>
      <c r="AH172" s="13">
        <f>IF($AG172="","",p_factor_productividad*IFERROR(INDEX('ASIGNACIONES'!$I$4:$I$339,MATCH($O172&amp;"|"&amp;$R172&amp;"|"&amp;$AE172,'ASIGNACIONES'!$J$4:$J$339,0)),0)-$AG172)</f>
        <v/>
      </c>
      <c r="AI172" s="10">
        <f>IF($A172="","",IFERROR(INDEX('2_IMPORTAR_EJECUCION'!$F$9:$F$1208,MATCH($AQ172,'2_IMPORTAR_EJECUCION'!$J$9:$J$1208,0)),0))</f>
        <v/>
      </c>
      <c r="AJ172" s="10">
        <f>IF($A172="","",MAX(0,IFERROR(INDEX('2_IMPORTAR_EJECUCION'!$H$9:$H$1208,MATCH($AQ172,'2_IMPORTAR_EJECUCION'!$J$9:$J$1208,0)),0)-$AI172))</f>
        <v/>
      </c>
      <c r="AK172" s="10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46157</v>
      </c>
      <c r="K173" s="3" t="n">
        <v>6</v>
      </c>
      <c r="L173" s="10" t="n">
        <v>150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2">
        <f>IF($J173="","",TODAY()-$J173)</f>
        <v/>
      </c>
      <c r="AB173" s="12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IF($AE173="","",IF((IFERROR(INDEX('ASIGNACIONES'!$F$4:$F$339,MATCH($O173&amp;"|"&amp;$R173&amp;"|"&amp;$AE173,'ASIGNACIONES'!$J$4:$J$339,0)),""))=0,"",IFERROR(INDEX('ASIGNACIONES'!$F$4:$F$339,MATCH($O173&amp;"|"&amp;$R173&amp;"|"&amp;$AE173,'ASIGNACIONES'!$J$4:$J$339,0)),"")))</f>
        <v/>
      </c>
      <c r="AG173" s="13">
        <f>IF($AE173="","",SUMIFS('ORDENES'!$M$4:$M$1203,'ORDENES'!$AE$4:$AE$1203,$AE173,'ORDENES'!$O$4:$O$1203,$O173,'ORDENES'!$R$4:$R$1203,$R173))</f>
        <v/>
      </c>
      <c r="AH173" s="13">
        <f>IF($AG173="","",p_factor_productividad*IFERROR(INDEX('ASIGNACIONES'!$I$4:$I$339,MATCH($O173&amp;"|"&amp;$R173&amp;"|"&amp;$AE173,'ASIGNACIONES'!$J$4:$J$339,0)),0)-$AG173)</f>
        <v/>
      </c>
      <c r="AI173" s="10">
        <f>IF($A173="","",IFERROR(INDEX('2_IMPORTAR_EJECUCION'!$F$9:$F$1208,MATCH($AQ173,'2_IMPORTAR_EJECUCION'!$J$9:$J$1208,0)),0))</f>
        <v/>
      </c>
      <c r="AJ173" s="10">
        <f>IF($A173="","",MAX(0,IFERROR(INDEX('2_IMPORTAR_EJECUCION'!$H$9:$H$1208,MATCH($AQ173,'2_IMPORTAR_EJECUCION'!$J$9:$J$1208,0)),0)-$AI173))</f>
        <v/>
      </c>
      <c r="AK173" s="10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46150</v>
      </c>
      <c r="K174" s="3" t="n">
        <v>8</v>
      </c>
      <c r="L174" s="10" t="n">
        <v>320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2">
        <f>IF($J174="","",TODAY()-$J174)</f>
        <v/>
      </c>
      <c r="AB174" s="12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IF($AE174="","",IF((IFERROR(INDEX('ASIGNACIONES'!$F$4:$F$339,MATCH($O174&amp;"|"&amp;$R174&amp;"|"&amp;$AE174,'ASIGNACIONES'!$J$4:$J$339,0)),""))=0,"",IFERROR(INDEX('ASIGNACIONES'!$F$4:$F$339,MATCH($O174&amp;"|"&amp;$R174&amp;"|"&amp;$AE174,'ASIGNACIONES'!$J$4:$J$339,0)),"")))</f>
        <v/>
      </c>
      <c r="AG174" s="13">
        <f>IF($AE174="","",SUMIFS('ORDENES'!$M$4:$M$1203,'ORDENES'!$AE$4:$AE$1203,$AE174,'ORDENES'!$O$4:$O$1203,$O174,'ORDENES'!$R$4:$R$1203,$R174))</f>
        <v/>
      </c>
      <c r="AH174" s="13">
        <f>IF($AG174="","",p_factor_productividad*IFERROR(INDEX('ASIGNACIONES'!$I$4:$I$339,MATCH($O174&amp;"|"&amp;$R174&amp;"|"&amp;$AE174,'ASIGNACIONES'!$J$4:$J$339,0)),0)-$AG174)</f>
        <v/>
      </c>
      <c r="AI174" s="10">
        <f>IF($A174="","",IFERROR(INDEX('2_IMPORTAR_EJECUCION'!$F$9:$F$1208,MATCH($AQ174,'2_IMPORTAR_EJECUCION'!$J$9:$J$1208,0)),0))</f>
        <v/>
      </c>
      <c r="AJ174" s="10">
        <f>IF($A174="","",MAX(0,IFERROR(INDEX('2_IMPORTAR_EJECUCION'!$H$9:$H$1208,MATCH($AQ174,'2_IMPORTAR_EJECUCION'!$J$9:$J$1208,0)),0)-$AI174))</f>
        <v/>
      </c>
      <c r="AK174" s="10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46143</v>
      </c>
      <c r="K175" s="3" t="n">
        <v>4</v>
      </c>
      <c r="L175" s="10" t="n">
        <v>100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2">
        <f>IF($J175="","",TODAY()-$J175)</f>
        <v/>
      </c>
      <c r="AB175" s="12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IF($AE175="","",IF((IFERROR(INDEX('ASIGNACIONES'!$F$4:$F$339,MATCH($O175&amp;"|"&amp;$R175&amp;"|"&amp;$AE175,'ASIGNACIONES'!$J$4:$J$339,0)),""))=0,"",IFERROR(INDEX('ASIGNACIONES'!$F$4:$F$339,MATCH($O175&amp;"|"&amp;$R175&amp;"|"&amp;$AE175,'ASIGNACIONES'!$J$4:$J$339,0)),"")))</f>
        <v/>
      </c>
      <c r="AG175" s="13">
        <f>IF($AE175="","",SUMIFS('ORDENES'!$M$4:$M$1203,'ORDENES'!$AE$4:$AE$1203,$AE175,'ORDENES'!$O$4:$O$1203,$O175,'ORDENES'!$R$4:$R$1203,$R175))</f>
        <v/>
      </c>
      <c r="AH175" s="13">
        <f>IF($AG175="","",p_factor_productividad*IFERROR(INDEX('ASIGNACIONES'!$I$4:$I$339,MATCH($O175&amp;"|"&amp;$R175&amp;"|"&amp;$AE175,'ASIGNACIONES'!$J$4:$J$339,0)),0)-$AG175)</f>
        <v/>
      </c>
      <c r="AI175" s="10">
        <f>IF($A175="","",IFERROR(INDEX('2_IMPORTAR_EJECUCION'!$F$9:$F$1208,MATCH($AQ175,'2_IMPORTAR_EJECUCION'!$J$9:$J$1208,0)),0))</f>
        <v/>
      </c>
      <c r="AJ175" s="10">
        <f>IF($A175="","",MAX(0,IFERROR(INDEX('2_IMPORTAR_EJECUCION'!$H$9:$H$1208,MATCH($AQ175,'2_IMPORTAR_EJECUCION'!$J$9:$J$1208,0)),0)-$AI175))</f>
        <v/>
      </c>
      <c r="AK175" s="10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46136</v>
      </c>
      <c r="K176" s="3" t="n">
        <v>6</v>
      </c>
      <c r="L176" s="10" t="n">
        <v>240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2">
        <f>IF($J176="","",TODAY()-$J176)</f>
        <v/>
      </c>
      <c r="AB176" s="12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IF($AE176="","",IF((IFERROR(INDEX('ASIGNACIONES'!$F$4:$F$339,MATCH($O176&amp;"|"&amp;$R176&amp;"|"&amp;$AE176,'ASIGNACIONES'!$J$4:$J$339,0)),""))=0,"",IFERROR(INDEX('ASIGNACIONES'!$F$4:$F$339,MATCH($O176&amp;"|"&amp;$R176&amp;"|"&amp;$AE176,'ASIGNACIONES'!$J$4:$J$339,0)),"")))</f>
        <v/>
      </c>
      <c r="AG176" s="13">
        <f>IF($AE176="","",SUMIFS('ORDENES'!$M$4:$M$1203,'ORDENES'!$AE$4:$AE$1203,$AE176,'ORDENES'!$O$4:$O$1203,$O176,'ORDENES'!$R$4:$R$1203,$R176))</f>
        <v/>
      </c>
      <c r="AH176" s="13">
        <f>IF($AG176="","",p_factor_productividad*IFERROR(INDEX('ASIGNACIONES'!$I$4:$I$339,MATCH($O176&amp;"|"&amp;$R176&amp;"|"&amp;$AE176,'ASIGNACIONES'!$J$4:$J$339,0)),0)-$AG176)</f>
        <v/>
      </c>
      <c r="AI176" s="10">
        <f>IF($A176="","",IFERROR(INDEX('2_IMPORTAR_EJECUCION'!$F$9:$F$1208,MATCH($AQ176,'2_IMPORTAR_EJECUCION'!$J$9:$J$1208,0)),0))</f>
        <v/>
      </c>
      <c r="AJ176" s="10">
        <f>IF($A176="","",MAX(0,IFERROR(INDEX('2_IMPORTAR_EJECUCION'!$H$9:$H$1208,MATCH($AQ176,'2_IMPORTAR_EJECUCION'!$J$9:$J$1208,0)),0)-$AI176))</f>
        <v/>
      </c>
      <c r="AK176" s="10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46129</v>
      </c>
      <c r="K177" s="3" t="n">
        <v>8</v>
      </c>
      <c r="L177" s="10" t="n">
        <v>200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2">
        <f>IF($J177="","",TODAY()-$J177)</f>
        <v/>
      </c>
      <c r="AB177" s="12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IF($AE177="","",IF((IFERROR(INDEX('ASIGNACIONES'!$F$4:$F$339,MATCH($O177&amp;"|"&amp;$R177&amp;"|"&amp;$AE177,'ASIGNACIONES'!$J$4:$J$339,0)),""))=0,"",IFERROR(INDEX('ASIGNACIONES'!$F$4:$F$339,MATCH($O177&amp;"|"&amp;$R177&amp;"|"&amp;$AE177,'ASIGNACIONES'!$J$4:$J$339,0)),"")))</f>
        <v/>
      </c>
      <c r="AG177" s="13">
        <f>IF($AE177="","",SUMIFS('ORDENES'!$M$4:$M$1203,'ORDENES'!$AE$4:$AE$1203,$AE177,'ORDENES'!$O$4:$O$1203,$O177,'ORDENES'!$R$4:$R$1203,$R177))</f>
        <v/>
      </c>
      <c r="AH177" s="13">
        <f>IF($AG177="","",p_factor_productividad*IFERROR(INDEX('ASIGNACIONES'!$I$4:$I$339,MATCH($O177&amp;"|"&amp;$R177&amp;"|"&amp;$AE177,'ASIGNACIONES'!$J$4:$J$339,0)),0)-$AG177)</f>
        <v/>
      </c>
      <c r="AI177" s="10">
        <f>IF($A177="","",IFERROR(INDEX('2_IMPORTAR_EJECUCION'!$F$9:$F$1208,MATCH($AQ177,'2_IMPORTAR_EJECUCION'!$J$9:$J$1208,0)),0))</f>
        <v/>
      </c>
      <c r="AJ177" s="10">
        <f>IF($A177="","",MAX(0,IFERROR(INDEX('2_IMPORTAR_EJECUCION'!$H$9:$H$1208,MATCH($AQ177,'2_IMPORTAR_EJECUCION'!$J$9:$J$1208,0)),0)-$AI177))</f>
        <v/>
      </c>
      <c r="AK177" s="10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46122</v>
      </c>
      <c r="K178" s="3" t="n">
        <v>4</v>
      </c>
      <c r="L178" s="10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2">
        <f>IF($J178="","",TODAY()-$J178)</f>
        <v/>
      </c>
      <c r="AB178" s="12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IF($AE178="","",IF((IFERROR(INDEX('ASIGNACIONES'!$F$4:$F$339,MATCH($O178&amp;"|"&amp;$R178&amp;"|"&amp;$AE178,'ASIGNACIONES'!$J$4:$J$339,0)),""))=0,"",IFERROR(INDEX('ASIGNACIONES'!$F$4:$F$339,MATCH($O178&amp;"|"&amp;$R178&amp;"|"&amp;$AE178,'ASIGNACIONES'!$J$4:$J$339,0)),"")))</f>
        <v/>
      </c>
      <c r="AG178" s="13">
        <f>IF($AE178="","",SUMIFS('ORDENES'!$M$4:$M$1203,'ORDENES'!$AE$4:$AE$1203,$AE178,'ORDENES'!$O$4:$O$1203,$O178,'ORDENES'!$R$4:$R$1203,$R178))</f>
        <v/>
      </c>
      <c r="AH178" s="13">
        <f>IF($AG178="","",p_factor_productividad*IFERROR(INDEX('ASIGNACIONES'!$I$4:$I$339,MATCH($O178&amp;"|"&amp;$R178&amp;"|"&amp;$AE178,'ASIGNACIONES'!$J$4:$J$339,0)),0)-$AG178)</f>
        <v/>
      </c>
      <c r="AI178" s="10">
        <f>IF($A178="","",IFERROR(INDEX('2_IMPORTAR_EJECUCION'!$F$9:$F$1208,MATCH($AQ178,'2_IMPORTAR_EJECUCION'!$J$9:$J$1208,0)),0))</f>
        <v/>
      </c>
      <c r="AJ178" s="10">
        <f>IF($A178="","",MAX(0,IFERROR(INDEX('2_IMPORTAR_EJECUCION'!$H$9:$H$1208,MATCH($AQ178,'2_IMPORTAR_EJECUCION'!$J$9:$J$1208,0)),0)-$AI178))</f>
        <v/>
      </c>
      <c r="AK178" s="10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46115</v>
      </c>
      <c r="K179" s="3" t="n">
        <v>6</v>
      </c>
      <c r="L179" s="10" t="n">
        <v>150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2">
        <f>IF($J179="","",TODAY()-$J179)</f>
        <v/>
      </c>
      <c r="AB179" s="12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IF($AE179="","",IF((IFERROR(INDEX('ASIGNACIONES'!$F$4:$F$339,MATCH($O179&amp;"|"&amp;$R179&amp;"|"&amp;$AE179,'ASIGNACIONES'!$J$4:$J$339,0)),""))=0,"",IFERROR(INDEX('ASIGNACIONES'!$F$4:$F$339,MATCH($O179&amp;"|"&amp;$R179&amp;"|"&amp;$AE179,'ASIGNACIONES'!$J$4:$J$339,0)),"")))</f>
        <v/>
      </c>
      <c r="AG179" s="13">
        <f>IF($AE179="","",SUMIFS('ORDENES'!$M$4:$M$1203,'ORDENES'!$AE$4:$AE$1203,$AE179,'ORDENES'!$O$4:$O$1203,$O179,'ORDENES'!$R$4:$R$1203,$R179))</f>
        <v/>
      </c>
      <c r="AH179" s="13">
        <f>IF($AG179="","",p_factor_productividad*IFERROR(INDEX('ASIGNACIONES'!$I$4:$I$339,MATCH($O179&amp;"|"&amp;$R179&amp;"|"&amp;$AE179,'ASIGNACIONES'!$J$4:$J$339,0)),0)-$AG179)</f>
        <v/>
      </c>
      <c r="AI179" s="10">
        <f>IF($A179="","",IFERROR(INDEX('2_IMPORTAR_EJECUCION'!$F$9:$F$1208,MATCH($AQ179,'2_IMPORTAR_EJECUCION'!$J$9:$J$1208,0)),0))</f>
        <v/>
      </c>
      <c r="AJ179" s="10">
        <f>IF($A179="","",MAX(0,IFERROR(INDEX('2_IMPORTAR_EJECUCION'!$H$9:$H$1208,MATCH($AQ179,'2_IMPORTAR_EJECUCION'!$J$9:$J$1208,0)),0)-$AI179))</f>
        <v/>
      </c>
      <c r="AK179" s="10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46108</v>
      </c>
      <c r="K180" s="3" t="n">
        <v>8</v>
      </c>
      <c r="L180" s="10" t="n">
        <v>320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2">
        <f>IF($J180="","",TODAY()-$J180)</f>
        <v/>
      </c>
      <c r="AB180" s="12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IF($AE180="","",IF((IFERROR(INDEX('ASIGNACIONES'!$F$4:$F$339,MATCH($O180&amp;"|"&amp;$R180&amp;"|"&amp;$AE180,'ASIGNACIONES'!$J$4:$J$339,0)),""))=0,"",IFERROR(INDEX('ASIGNACIONES'!$F$4:$F$339,MATCH($O180&amp;"|"&amp;$R180&amp;"|"&amp;$AE180,'ASIGNACIONES'!$J$4:$J$339,0)),"")))</f>
        <v/>
      </c>
      <c r="AG180" s="13">
        <f>IF($AE180="","",SUMIFS('ORDENES'!$M$4:$M$1203,'ORDENES'!$AE$4:$AE$1203,$AE180,'ORDENES'!$O$4:$O$1203,$O180,'ORDENES'!$R$4:$R$1203,$R180))</f>
        <v/>
      </c>
      <c r="AH180" s="13">
        <f>IF($AG180="","",p_factor_productividad*IFERROR(INDEX('ASIGNACIONES'!$I$4:$I$339,MATCH($O180&amp;"|"&amp;$R180&amp;"|"&amp;$AE180,'ASIGNACIONES'!$J$4:$J$339,0)),0)-$AG180)</f>
        <v/>
      </c>
      <c r="AI180" s="10">
        <f>IF($A180="","",IFERROR(INDEX('2_IMPORTAR_EJECUCION'!$F$9:$F$1208,MATCH($AQ180,'2_IMPORTAR_EJECUCION'!$J$9:$J$1208,0)),0))</f>
        <v/>
      </c>
      <c r="AJ180" s="10">
        <f>IF($A180="","",MAX(0,IFERROR(INDEX('2_IMPORTAR_EJECUCION'!$H$9:$H$1208,MATCH($AQ180,'2_IMPORTAR_EJECUCION'!$J$9:$J$1208,0)),0)-$AI180))</f>
        <v/>
      </c>
      <c r="AK180" s="10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46101</v>
      </c>
      <c r="K181" s="3" t="n">
        <v>4</v>
      </c>
      <c r="L181" s="10" t="n">
        <v>100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2">
        <f>IF($J181="","",TODAY()-$J181)</f>
        <v/>
      </c>
      <c r="AB181" s="12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IF($AE181="","",IF((IFERROR(INDEX('ASIGNACIONES'!$F$4:$F$339,MATCH($O181&amp;"|"&amp;$R181&amp;"|"&amp;$AE181,'ASIGNACIONES'!$J$4:$J$339,0)),""))=0,"",IFERROR(INDEX('ASIGNACIONES'!$F$4:$F$339,MATCH($O181&amp;"|"&amp;$R181&amp;"|"&amp;$AE181,'ASIGNACIONES'!$J$4:$J$339,0)),"")))</f>
        <v/>
      </c>
      <c r="AG181" s="13">
        <f>IF($AE181="","",SUMIFS('ORDENES'!$M$4:$M$1203,'ORDENES'!$AE$4:$AE$1203,$AE181,'ORDENES'!$O$4:$O$1203,$O181,'ORDENES'!$R$4:$R$1203,$R181))</f>
        <v/>
      </c>
      <c r="AH181" s="13">
        <f>IF($AG181="","",p_factor_productividad*IFERROR(INDEX('ASIGNACIONES'!$I$4:$I$339,MATCH($O181&amp;"|"&amp;$R181&amp;"|"&amp;$AE181,'ASIGNACIONES'!$J$4:$J$339,0)),0)-$AG181)</f>
        <v/>
      </c>
      <c r="AI181" s="10">
        <f>IF($A181="","",IFERROR(INDEX('2_IMPORTAR_EJECUCION'!$F$9:$F$1208,MATCH($AQ181,'2_IMPORTAR_EJECUCION'!$J$9:$J$1208,0)),0))</f>
        <v/>
      </c>
      <c r="AJ181" s="10">
        <f>IF($A181="","",MAX(0,IFERROR(INDEX('2_IMPORTAR_EJECUCION'!$H$9:$H$1208,MATCH($AQ181,'2_IMPORTAR_EJECUCION'!$J$9:$J$1208,0)),0)-$AI181))</f>
        <v/>
      </c>
      <c r="AK181" s="10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46094</v>
      </c>
      <c r="K182" s="3" t="n">
        <v>6</v>
      </c>
      <c r="L182" s="10" t="n">
        <v>240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2">
        <f>IF($J182="","",TODAY()-$J182)</f>
        <v/>
      </c>
      <c r="AB182" s="12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IF($AE182="","",IF((IFERROR(INDEX('ASIGNACIONES'!$F$4:$F$339,MATCH($O182&amp;"|"&amp;$R182&amp;"|"&amp;$AE182,'ASIGNACIONES'!$J$4:$J$339,0)),""))=0,"",IFERROR(INDEX('ASIGNACIONES'!$F$4:$F$339,MATCH($O182&amp;"|"&amp;$R182&amp;"|"&amp;$AE182,'ASIGNACIONES'!$J$4:$J$339,0)),"")))</f>
        <v/>
      </c>
      <c r="AG182" s="13">
        <f>IF($AE182="","",SUMIFS('ORDENES'!$M$4:$M$1203,'ORDENES'!$AE$4:$AE$1203,$AE182,'ORDENES'!$O$4:$O$1203,$O182,'ORDENES'!$R$4:$R$1203,$R182))</f>
        <v/>
      </c>
      <c r="AH182" s="13">
        <f>IF($AG182="","",p_factor_productividad*IFERROR(INDEX('ASIGNACIONES'!$I$4:$I$339,MATCH($O182&amp;"|"&amp;$R182&amp;"|"&amp;$AE182,'ASIGNACIONES'!$J$4:$J$339,0)),0)-$AG182)</f>
        <v/>
      </c>
      <c r="AI182" s="10">
        <f>IF($A182="","",IFERROR(INDEX('2_IMPORTAR_EJECUCION'!$F$9:$F$1208,MATCH($AQ182,'2_IMPORTAR_EJECUCION'!$J$9:$J$1208,0)),0))</f>
        <v/>
      </c>
      <c r="AJ182" s="10">
        <f>IF($A182="","",MAX(0,IFERROR(INDEX('2_IMPORTAR_EJECUCION'!$H$9:$H$1208,MATCH($AQ182,'2_IMPORTAR_EJECUCION'!$J$9:$J$1208,0)),0)-$AI182))</f>
        <v/>
      </c>
      <c r="AK182" s="10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46087</v>
      </c>
      <c r="K183" s="3" t="n">
        <v>8</v>
      </c>
      <c r="L183" s="10" t="n">
        <v>200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2">
        <f>IF($J183="","",TODAY()-$J183)</f>
        <v/>
      </c>
      <c r="AB183" s="12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IF($AE183="","",IF((IFERROR(INDEX('ASIGNACIONES'!$F$4:$F$339,MATCH($O183&amp;"|"&amp;$R183&amp;"|"&amp;$AE183,'ASIGNACIONES'!$J$4:$J$339,0)),""))=0,"",IFERROR(INDEX('ASIGNACIONES'!$F$4:$F$339,MATCH($O183&amp;"|"&amp;$R183&amp;"|"&amp;$AE183,'ASIGNACIONES'!$J$4:$J$339,0)),"")))</f>
        <v/>
      </c>
      <c r="AG183" s="13">
        <f>IF($AE183="","",SUMIFS('ORDENES'!$M$4:$M$1203,'ORDENES'!$AE$4:$AE$1203,$AE183,'ORDENES'!$O$4:$O$1203,$O183,'ORDENES'!$R$4:$R$1203,$R183))</f>
        <v/>
      </c>
      <c r="AH183" s="13">
        <f>IF($AG183="","",p_factor_productividad*IFERROR(INDEX('ASIGNACIONES'!$I$4:$I$339,MATCH($O183&amp;"|"&amp;$R183&amp;"|"&amp;$AE183,'ASIGNACIONES'!$J$4:$J$339,0)),0)-$AG183)</f>
        <v/>
      </c>
      <c r="AI183" s="10">
        <f>IF($A183="","",IFERROR(INDEX('2_IMPORTAR_EJECUCION'!$F$9:$F$1208,MATCH($AQ183,'2_IMPORTAR_EJECUCION'!$J$9:$J$1208,0)),0))</f>
        <v/>
      </c>
      <c r="AJ183" s="10">
        <f>IF($A183="","",MAX(0,IFERROR(INDEX('2_IMPORTAR_EJECUCION'!$H$9:$H$1208,MATCH($AQ183,'2_IMPORTAR_EJECUCION'!$J$9:$J$1208,0)),0)-$AI183))</f>
        <v/>
      </c>
      <c r="AK183" s="10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46265</v>
      </c>
      <c r="K184" s="3" t="n">
        <v>6</v>
      </c>
      <c r="L184" s="10" t="n">
        <v>150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2">
        <f>IF($J184="","",TODAY()-$J184)</f>
        <v/>
      </c>
      <c r="AB184" s="12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IF($AE184="","",IF((IFERROR(INDEX('ASIGNACIONES'!$F$4:$F$339,MATCH($O184&amp;"|"&amp;$R184&amp;"|"&amp;$AE184,'ASIGNACIONES'!$J$4:$J$339,0)),""))=0,"",IFERROR(INDEX('ASIGNACIONES'!$F$4:$F$339,MATCH($O184&amp;"|"&amp;$R184&amp;"|"&amp;$AE184,'ASIGNACIONES'!$J$4:$J$339,0)),"")))</f>
        <v/>
      </c>
      <c r="AG184" s="13">
        <f>IF($AE184="","",SUMIFS('ORDENES'!$M$4:$M$1203,'ORDENES'!$AE$4:$AE$1203,$AE184,'ORDENES'!$O$4:$O$1203,$O184,'ORDENES'!$R$4:$R$1203,$R184))</f>
        <v/>
      </c>
      <c r="AH184" s="13">
        <f>IF($AG184="","",p_factor_productividad*IFERROR(INDEX('ASIGNACIONES'!$I$4:$I$339,MATCH($O184&amp;"|"&amp;$R184&amp;"|"&amp;$AE184,'ASIGNACIONES'!$J$4:$J$339,0)),0)-$AG184)</f>
        <v/>
      </c>
      <c r="AI184" s="10">
        <f>IF($A184="","",IFERROR(INDEX('2_IMPORTAR_EJECUCION'!$F$9:$F$1208,MATCH($AQ184,'2_IMPORTAR_EJECUCION'!$J$9:$J$1208,0)),0))</f>
        <v/>
      </c>
      <c r="AJ184" s="10">
        <f>IF($A184="","",MAX(0,IFERROR(INDEX('2_IMPORTAR_EJECUCION'!$H$9:$H$1208,MATCH($AQ184,'2_IMPORTAR_EJECUCION'!$J$9:$J$1208,0)),0)-$AI184))</f>
        <v/>
      </c>
      <c r="AK184" s="10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46265</v>
      </c>
      <c r="K185" s="3" t="n">
        <v>6</v>
      </c>
      <c r="L185" s="10" t="n">
        <v>150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2">
        <f>IF($J185="","",TODAY()-$J185)</f>
        <v/>
      </c>
      <c r="AB185" s="12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IF($AE185="","",IF((IFERROR(INDEX('ASIGNACIONES'!$F$4:$F$339,MATCH($O185&amp;"|"&amp;$R185&amp;"|"&amp;$AE185,'ASIGNACIONES'!$J$4:$J$339,0)),""))=0,"",IFERROR(INDEX('ASIGNACIONES'!$F$4:$F$339,MATCH($O185&amp;"|"&amp;$R185&amp;"|"&amp;$AE185,'ASIGNACIONES'!$J$4:$J$339,0)),"")))</f>
        <v/>
      </c>
      <c r="AG185" s="13">
        <f>IF($AE185="","",SUMIFS('ORDENES'!$M$4:$M$1203,'ORDENES'!$AE$4:$AE$1203,$AE185,'ORDENES'!$O$4:$O$1203,$O185,'ORDENES'!$R$4:$R$1203,$R185))</f>
        <v/>
      </c>
      <c r="AH185" s="13">
        <f>IF($AG185="","",p_factor_productividad*IFERROR(INDEX('ASIGNACIONES'!$I$4:$I$339,MATCH($O185&amp;"|"&amp;$R185&amp;"|"&amp;$AE185,'ASIGNACIONES'!$J$4:$J$339,0)),0)-$AG185)</f>
        <v/>
      </c>
      <c r="AI185" s="10">
        <f>IF($A185="","",IFERROR(INDEX('2_IMPORTAR_EJECUCION'!$F$9:$F$1208,MATCH($AQ185,'2_IMPORTAR_EJECUCION'!$J$9:$J$1208,0)),0))</f>
        <v/>
      </c>
      <c r="AJ185" s="10">
        <f>IF($A185="","",MAX(0,IFERROR(INDEX('2_IMPORTAR_EJECUCION'!$H$9:$H$1208,MATCH($AQ185,'2_IMPORTAR_EJECUCION'!$J$9:$J$1208,0)),0)-$AI185))</f>
        <v/>
      </c>
      <c r="AK185" s="10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46265</v>
      </c>
      <c r="K186" s="3" t="n">
        <v>6</v>
      </c>
      <c r="L186" s="10" t="n">
        <v>150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2">
        <f>IF($J186="","",TODAY()-$J186)</f>
        <v/>
      </c>
      <c r="AB186" s="12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IF($AE186="","",IF((IFERROR(INDEX('ASIGNACIONES'!$F$4:$F$339,MATCH($O186&amp;"|"&amp;$R186&amp;"|"&amp;$AE186,'ASIGNACIONES'!$J$4:$J$339,0)),""))=0,"",IFERROR(INDEX('ASIGNACIONES'!$F$4:$F$339,MATCH($O186&amp;"|"&amp;$R186&amp;"|"&amp;$AE186,'ASIGNACIONES'!$J$4:$J$339,0)),"")))</f>
        <v/>
      </c>
      <c r="AG186" s="13">
        <f>IF($AE186="","",SUMIFS('ORDENES'!$M$4:$M$1203,'ORDENES'!$AE$4:$AE$1203,$AE186,'ORDENES'!$O$4:$O$1203,$O186,'ORDENES'!$R$4:$R$1203,$R186))</f>
        <v/>
      </c>
      <c r="AH186" s="13">
        <f>IF($AG186="","",p_factor_productividad*IFERROR(INDEX('ASIGNACIONES'!$I$4:$I$339,MATCH($O186&amp;"|"&amp;$R186&amp;"|"&amp;$AE186,'ASIGNACIONES'!$J$4:$J$339,0)),0)-$AG186)</f>
        <v/>
      </c>
      <c r="AI186" s="10">
        <f>IF($A186="","",IFERROR(INDEX('2_IMPORTAR_EJECUCION'!$F$9:$F$1208,MATCH($AQ186,'2_IMPORTAR_EJECUCION'!$J$9:$J$1208,0)),0))</f>
        <v/>
      </c>
      <c r="AJ186" s="10">
        <f>IF($A186="","",MAX(0,IFERROR(INDEX('2_IMPORTAR_EJECUCION'!$H$9:$H$1208,MATCH($AQ186,'2_IMPORTAR_EJECUCION'!$J$9:$J$1208,0)),0)-$AI186))</f>
        <v/>
      </c>
      <c r="AK186" s="10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46325</v>
      </c>
      <c r="K187" s="3" t="n">
        <v>6</v>
      </c>
      <c r="L187" s="10" t="n">
        <v>150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2">
        <f>IF($J187="","",TODAY()-$J187)</f>
        <v/>
      </c>
      <c r="AB187" s="12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IF($AE187="","",IF((IFERROR(INDEX('ASIGNACIONES'!$F$4:$F$339,MATCH($O187&amp;"|"&amp;$R187&amp;"|"&amp;$AE187,'ASIGNACIONES'!$J$4:$J$339,0)),""))=0,"",IFERROR(INDEX('ASIGNACIONES'!$F$4:$F$339,MATCH($O187&amp;"|"&amp;$R187&amp;"|"&amp;$AE187,'ASIGNACIONES'!$J$4:$J$339,0)),"")))</f>
        <v/>
      </c>
      <c r="AG187" s="13">
        <f>IF($AE187="","",SUMIFS('ORDENES'!$M$4:$M$1203,'ORDENES'!$AE$4:$AE$1203,$AE187,'ORDENES'!$O$4:$O$1203,$O187,'ORDENES'!$R$4:$R$1203,$R187))</f>
        <v/>
      </c>
      <c r="AH187" s="13">
        <f>IF($AG187="","",p_factor_productividad*IFERROR(INDEX('ASIGNACIONES'!$I$4:$I$339,MATCH($O187&amp;"|"&amp;$R187&amp;"|"&amp;$AE187,'ASIGNACIONES'!$J$4:$J$339,0)),0)-$AG187)</f>
        <v/>
      </c>
      <c r="AI187" s="10">
        <f>IF($A187="","",IFERROR(INDEX('2_IMPORTAR_EJECUCION'!$F$9:$F$1208,MATCH($AQ187,'2_IMPORTAR_EJECUCION'!$J$9:$J$1208,0)),0))</f>
        <v/>
      </c>
      <c r="AJ187" s="10">
        <f>IF($A187="","",MAX(0,IFERROR(INDEX('2_IMPORTAR_EJECUCION'!$H$9:$H$1208,MATCH($AQ187,'2_IMPORTAR_EJECUCION'!$J$9:$J$1208,0)),0)-$AI187))</f>
        <v/>
      </c>
      <c r="AK187" s="10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46325</v>
      </c>
      <c r="K188" s="3" t="n">
        <v>6</v>
      </c>
      <c r="L188" s="10" t="n">
        <v>150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2">
        <f>IF($J188="","",TODAY()-$J188)</f>
        <v/>
      </c>
      <c r="AB188" s="12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IF($AE188="","",IF((IFERROR(INDEX('ASIGNACIONES'!$F$4:$F$339,MATCH($O188&amp;"|"&amp;$R188&amp;"|"&amp;$AE188,'ASIGNACIONES'!$J$4:$J$339,0)),""))=0,"",IFERROR(INDEX('ASIGNACIONES'!$F$4:$F$339,MATCH($O188&amp;"|"&amp;$R188&amp;"|"&amp;$AE188,'ASIGNACIONES'!$J$4:$J$339,0)),"")))</f>
        <v/>
      </c>
      <c r="AG188" s="13">
        <f>IF($AE188="","",SUMIFS('ORDENES'!$M$4:$M$1203,'ORDENES'!$AE$4:$AE$1203,$AE188,'ORDENES'!$O$4:$O$1203,$O188,'ORDENES'!$R$4:$R$1203,$R188))</f>
        <v/>
      </c>
      <c r="AH188" s="13">
        <f>IF($AG188="","",p_factor_productividad*IFERROR(INDEX('ASIGNACIONES'!$I$4:$I$339,MATCH($O188&amp;"|"&amp;$R188&amp;"|"&amp;$AE188,'ASIGNACIONES'!$J$4:$J$339,0)),0)-$AG188)</f>
        <v/>
      </c>
      <c r="AI188" s="10">
        <f>IF($A188="","",IFERROR(INDEX('2_IMPORTAR_EJECUCION'!$F$9:$F$1208,MATCH($AQ188,'2_IMPORTAR_EJECUCION'!$J$9:$J$1208,0)),0))</f>
        <v/>
      </c>
      <c r="AJ188" s="10">
        <f>IF($A188="","",MAX(0,IFERROR(INDEX('2_IMPORTAR_EJECUCION'!$H$9:$H$1208,MATCH($AQ188,'2_IMPORTAR_EJECUCION'!$J$9:$J$1208,0)),0)-$AI188))</f>
        <v/>
      </c>
      <c r="AK188" s="10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2">
        <f>IF($J189="","",TODAY()-$J189)</f>
        <v/>
      </c>
      <c r="AB189" s="12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IF($AE189="","",IF((IFERROR(INDEX('ASIGNACIONES'!$F$4:$F$339,MATCH($O189&amp;"|"&amp;$R189&amp;"|"&amp;$AE189,'ASIGNACIONES'!$J$4:$J$339,0)),""))=0,"",IFERROR(INDEX('ASIGNACIONES'!$F$4:$F$339,MATCH($O189&amp;"|"&amp;$R189&amp;"|"&amp;$AE189,'ASIGNACIONES'!$J$4:$J$339,0)),"")))</f>
        <v/>
      </c>
      <c r="AG189" s="13">
        <f>IF($AE189="","",SUMIFS('ORDENES'!$M$4:$M$1203,'ORDENES'!$AE$4:$AE$1203,$AE189,'ORDENES'!$O$4:$O$1203,$O189,'ORDENES'!$R$4:$R$1203,$R189))</f>
        <v/>
      </c>
      <c r="AH189" s="13">
        <f>IF($AG189="","",p_factor_productividad*IFERROR(INDEX('ASIGNACIONES'!$I$4:$I$339,MATCH($O189&amp;"|"&amp;$R189&amp;"|"&amp;$AE189,'ASIGNACIONES'!$J$4:$J$339,0)),0)-$AG189)</f>
        <v/>
      </c>
      <c r="AI189" s="10">
        <f>IF($A189="","",IFERROR(INDEX('2_IMPORTAR_EJECUCION'!$F$9:$F$1208,MATCH($AQ189,'2_IMPORTAR_EJECUCION'!$J$9:$J$1208,0)),0))</f>
        <v/>
      </c>
      <c r="AJ189" s="10">
        <f>IF($A189="","",MAX(0,IFERROR(INDEX('2_IMPORTAR_EJECUCION'!$H$9:$H$1208,MATCH($AQ189,'2_IMPORTAR_EJECUCION'!$J$9:$J$1208,0)),0)-$AI189))</f>
        <v/>
      </c>
      <c r="AK189" s="10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2">
        <f>IF($J190="","",TODAY()-$J190)</f>
        <v/>
      </c>
      <c r="AB190" s="12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IF($AE190="","",IF((IFERROR(INDEX('ASIGNACIONES'!$F$4:$F$339,MATCH($O190&amp;"|"&amp;$R190&amp;"|"&amp;$AE190,'ASIGNACIONES'!$J$4:$J$339,0)),""))=0,"",IFERROR(INDEX('ASIGNACIONES'!$F$4:$F$339,MATCH($O190&amp;"|"&amp;$R190&amp;"|"&amp;$AE190,'ASIGNACIONES'!$J$4:$J$339,0)),"")))</f>
        <v/>
      </c>
      <c r="AG190" s="13">
        <f>IF($AE190="","",SUMIFS('ORDENES'!$M$4:$M$1203,'ORDENES'!$AE$4:$AE$1203,$AE190,'ORDENES'!$O$4:$O$1203,$O190,'ORDENES'!$R$4:$R$1203,$R190))</f>
        <v/>
      </c>
      <c r="AH190" s="13">
        <f>IF($AG190="","",p_factor_productividad*IFERROR(INDEX('ASIGNACIONES'!$I$4:$I$339,MATCH($O190&amp;"|"&amp;$R190&amp;"|"&amp;$AE190,'ASIGNACIONES'!$J$4:$J$339,0)),0)-$AG190)</f>
        <v/>
      </c>
      <c r="AI190" s="10">
        <f>IF($A190="","",IFERROR(INDEX('2_IMPORTAR_EJECUCION'!$F$9:$F$1208,MATCH($AQ190,'2_IMPORTAR_EJECUCION'!$J$9:$J$1208,0)),0))</f>
        <v/>
      </c>
      <c r="AJ190" s="10">
        <f>IF($A190="","",MAX(0,IFERROR(INDEX('2_IMPORTAR_EJECUCION'!$H$9:$H$1208,MATCH($AQ190,'2_IMPORTAR_EJECUCION'!$J$9:$J$1208,0)),0)-$AI190))</f>
        <v/>
      </c>
      <c r="AK190" s="10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2">
        <f>IF($J191="","",TODAY()-$J191)</f>
        <v/>
      </c>
      <c r="AB191" s="12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IF($AE191="","",IF((IFERROR(INDEX('ASIGNACIONES'!$F$4:$F$339,MATCH($O191&amp;"|"&amp;$R191&amp;"|"&amp;$AE191,'ASIGNACIONES'!$J$4:$J$339,0)),""))=0,"",IFERROR(INDEX('ASIGNACIONES'!$F$4:$F$339,MATCH($O191&amp;"|"&amp;$R191&amp;"|"&amp;$AE191,'ASIGNACIONES'!$J$4:$J$339,0)),"")))</f>
        <v/>
      </c>
      <c r="AG191" s="13">
        <f>IF($AE191="","",SUMIFS('ORDENES'!$M$4:$M$1203,'ORDENES'!$AE$4:$AE$1203,$AE191,'ORDENES'!$O$4:$O$1203,$O191,'ORDENES'!$R$4:$R$1203,$R191))</f>
        <v/>
      </c>
      <c r="AH191" s="13">
        <f>IF($AG191="","",p_factor_productividad*IFERROR(INDEX('ASIGNACIONES'!$I$4:$I$339,MATCH($O191&amp;"|"&amp;$R191&amp;"|"&amp;$AE191,'ASIGNACIONES'!$J$4:$J$339,0)),0)-$AG191)</f>
        <v/>
      </c>
      <c r="AI191" s="10">
        <f>IF($A191="","",IFERROR(INDEX('2_IMPORTAR_EJECUCION'!$F$9:$F$1208,MATCH($AQ191,'2_IMPORTAR_EJECUCION'!$J$9:$J$1208,0)),0))</f>
        <v/>
      </c>
      <c r="AJ191" s="10">
        <f>IF($A191="","",MAX(0,IFERROR(INDEX('2_IMPORTAR_EJECUCION'!$H$9:$H$1208,MATCH($AQ191,'2_IMPORTAR_EJECUCION'!$J$9:$J$1208,0)),0)-$AI191))</f>
        <v/>
      </c>
      <c r="AK191" s="10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46175</v>
      </c>
      <c r="K192" s="3" t="n">
        <v>6</v>
      </c>
      <c r="L192" s="10" t="n">
        <v>240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2">
        <f>IF($J192="","",TODAY()-$J192)</f>
        <v/>
      </c>
      <c r="AB192" s="12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IF($AE192="","",IF((IFERROR(INDEX('ASIGNACIONES'!$F$4:$F$339,MATCH($O192&amp;"|"&amp;$R192&amp;"|"&amp;$AE192,'ASIGNACIONES'!$J$4:$J$339,0)),""))=0,"",IFERROR(INDEX('ASIGNACIONES'!$F$4:$F$339,MATCH($O192&amp;"|"&amp;$R192&amp;"|"&amp;$AE192,'ASIGNACIONES'!$J$4:$J$339,0)),"")))</f>
        <v/>
      </c>
      <c r="AG192" s="13">
        <f>IF($AE192="","",SUMIFS('ORDENES'!$M$4:$M$1203,'ORDENES'!$AE$4:$AE$1203,$AE192,'ORDENES'!$O$4:$O$1203,$O192,'ORDENES'!$R$4:$R$1203,$R192))</f>
        <v/>
      </c>
      <c r="AH192" s="13">
        <f>IF($AG192="","",p_factor_productividad*IFERROR(INDEX('ASIGNACIONES'!$I$4:$I$339,MATCH($O192&amp;"|"&amp;$R192&amp;"|"&amp;$AE192,'ASIGNACIONES'!$J$4:$J$339,0)),0)-$AG192)</f>
        <v/>
      </c>
      <c r="AI192" s="10">
        <f>IF($A192="","",IFERROR(INDEX('2_IMPORTAR_EJECUCION'!$F$9:$F$1208,MATCH($AQ192,'2_IMPORTAR_EJECUCION'!$J$9:$J$1208,0)),0))</f>
        <v/>
      </c>
      <c r="AJ192" s="10">
        <f>IF($A192="","",MAX(0,IFERROR(INDEX('2_IMPORTAR_EJECUCION'!$H$9:$H$1208,MATCH($AQ192,'2_IMPORTAR_EJECUCION'!$J$9:$J$1208,0)),0)-$AI192))</f>
        <v/>
      </c>
      <c r="AK192" s="10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46175</v>
      </c>
      <c r="K193" s="3" t="n">
        <v>6</v>
      </c>
      <c r="L193" s="10" t="n">
        <v>240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2">
        <f>IF($J193="","",TODAY()-$J193)</f>
        <v/>
      </c>
      <c r="AB193" s="12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IF($AE193="","",IF((IFERROR(INDEX('ASIGNACIONES'!$F$4:$F$339,MATCH($O193&amp;"|"&amp;$R193&amp;"|"&amp;$AE193,'ASIGNACIONES'!$J$4:$J$339,0)),""))=0,"",IFERROR(INDEX('ASIGNACIONES'!$F$4:$F$339,MATCH($O193&amp;"|"&amp;$R193&amp;"|"&amp;$AE193,'ASIGNACIONES'!$J$4:$J$339,0)),"")))</f>
        <v/>
      </c>
      <c r="AG193" s="13">
        <f>IF($AE193="","",SUMIFS('ORDENES'!$M$4:$M$1203,'ORDENES'!$AE$4:$AE$1203,$AE193,'ORDENES'!$O$4:$O$1203,$O193,'ORDENES'!$R$4:$R$1203,$R193))</f>
        <v/>
      </c>
      <c r="AH193" s="13">
        <f>IF($AG193="","",p_factor_productividad*IFERROR(INDEX('ASIGNACIONES'!$I$4:$I$339,MATCH($O193&amp;"|"&amp;$R193&amp;"|"&amp;$AE193,'ASIGNACIONES'!$J$4:$J$339,0)),0)-$AG193)</f>
        <v/>
      </c>
      <c r="AI193" s="10">
        <f>IF($A193="","",IFERROR(INDEX('2_IMPORTAR_EJECUCION'!$F$9:$F$1208,MATCH($AQ193,'2_IMPORTAR_EJECUCION'!$J$9:$J$1208,0)),0))</f>
        <v/>
      </c>
      <c r="AJ193" s="10">
        <f>IF($A193="","",MAX(0,IFERROR(INDEX('2_IMPORTAR_EJECUCION'!$H$9:$H$1208,MATCH($AQ193,'2_IMPORTAR_EJECUCION'!$J$9:$J$1208,0)),0)-$AI193))</f>
        <v/>
      </c>
      <c r="AK193" s="10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2">
        <f>IF($J194="","",TODAY()-$J194)</f>
        <v/>
      </c>
      <c r="AB194" s="12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IF($AE194="","",IF((IFERROR(INDEX('ASIGNACIONES'!$F$4:$F$339,MATCH($O194&amp;"|"&amp;$R194&amp;"|"&amp;$AE194,'ASIGNACIONES'!$J$4:$J$339,0)),""))=0,"",IFERROR(INDEX('ASIGNACIONES'!$F$4:$F$339,MATCH($O194&amp;"|"&amp;$R194&amp;"|"&amp;$AE194,'ASIGNACIONES'!$J$4:$J$339,0)),"")))</f>
        <v/>
      </c>
      <c r="AG194" s="13">
        <f>IF($AE194="","",SUMIFS('ORDENES'!$M$4:$M$1203,'ORDENES'!$AE$4:$AE$1203,$AE194,'ORDENES'!$O$4:$O$1203,$O194,'ORDENES'!$R$4:$R$1203,$R194))</f>
        <v/>
      </c>
      <c r="AH194" s="13">
        <f>IF($AG194="","",p_factor_productividad*IFERROR(INDEX('ASIGNACIONES'!$I$4:$I$339,MATCH($O194&amp;"|"&amp;$R194&amp;"|"&amp;$AE194,'ASIGNACIONES'!$J$4:$J$339,0)),0)-$AG194)</f>
        <v/>
      </c>
      <c r="AI194" s="10">
        <f>IF($A194="","",IFERROR(INDEX('2_IMPORTAR_EJECUCION'!$F$9:$F$1208,MATCH($AQ194,'2_IMPORTAR_EJECUCION'!$J$9:$J$1208,0)),0))</f>
        <v/>
      </c>
      <c r="AJ194" s="10">
        <f>IF($A194="","",MAX(0,IFERROR(INDEX('2_IMPORTAR_EJECUCION'!$H$9:$H$1208,MATCH($AQ194,'2_IMPORTAR_EJECUCION'!$J$9:$J$1208,0)),0)-$AI194))</f>
        <v/>
      </c>
      <c r="AK194" s="10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2">
        <f>IF($J195="","",TODAY()-$J195)</f>
        <v/>
      </c>
      <c r="AB195" s="12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IF($AE195="","",IF((IFERROR(INDEX('ASIGNACIONES'!$F$4:$F$339,MATCH($O195&amp;"|"&amp;$R195&amp;"|"&amp;$AE195,'ASIGNACIONES'!$J$4:$J$339,0)),""))=0,"",IFERROR(INDEX('ASIGNACIONES'!$F$4:$F$339,MATCH($O195&amp;"|"&amp;$R195&amp;"|"&amp;$AE195,'ASIGNACIONES'!$J$4:$J$339,0)),"")))</f>
        <v/>
      </c>
      <c r="AG195" s="13">
        <f>IF($AE195="","",SUMIFS('ORDENES'!$M$4:$M$1203,'ORDENES'!$AE$4:$AE$1203,$AE195,'ORDENES'!$O$4:$O$1203,$O195,'ORDENES'!$R$4:$R$1203,$R195))</f>
        <v/>
      </c>
      <c r="AH195" s="13">
        <f>IF($AG195="","",p_factor_productividad*IFERROR(INDEX('ASIGNACIONES'!$I$4:$I$339,MATCH($O195&amp;"|"&amp;$R195&amp;"|"&amp;$AE195,'ASIGNACIONES'!$J$4:$J$339,0)),0)-$AG195)</f>
        <v/>
      </c>
      <c r="AI195" s="10">
        <f>IF($A195="","",IFERROR(INDEX('2_IMPORTAR_EJECUCION'!$F$9:$F$1208,MATCH($AQ195,'2_IMPORTAR_EJECUCION'!$J$9:$J$1208,0)),0))</f>
        <v/>
      </c>
      <c r="AJ195" s="10">
        <f>IF($A195="","",MAX(0,IFERROR(INDEX('2_IMPORTAR_EJECUCION'!$H$9:$H$1208,MATCH($AQ195,'2_IMPORTAR_EJECUCION'!$J$9:$J$1208,0)),0)-$AI195))</f>
        <v/>
      </c>
      <c r="AK195" s="10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46170</v>
      </c>
      <c r="K196" s="3" t="n"/>
      <c r="L196" s="10" t="n">
        <v>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2">
        <f>IF($J196="","",TODAY()-$J196)</f>
        <v/>
      </c>
      <c r="AB196" s="12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IF($AE196="","",IF((IFERROR(INDEX('ASIGNACIONES'!$F$4:$F$339,MATCH($O196&amp;"|"&amp;$R196&amp;"|"&amp;$AE196,'ASIGNACIONES'!$J$4:$J$339,0)),""))=0,"",IFERROR(INDEX('ASIGNACIONES'!$F$4:$F$339,MATCH($O196&amp;"|"&amp;$R196&amp;"|"&amp;$AE196,'ASIGNACIONES'!$J$4:$J$339,0)),"")))</f>
        <v/>
      </c>
      <c r="AG196" s="13">
        <f>IF($AE196="","",SUMIFS('ORDENES'!$M$4:$M$1203,'ORDENES'!$AE$4:$AE$1203,$AE196,'ORDENES'!$O$4:$O$1203,$O196,'ORDENES'!$R$4:$R$1203,$R196))</f>
        <v/>
      </c>
      <c r="AH196" s="13">
        <f>IF($AG196="","",p_factor_productividad*IFERROR(INDEX('ASIGNACIONES'!$I$4:$I$339,MATCH($O196&amp;"|"&amp;$R196&amp;"|"&amp;$AE196,'ASIGNACIONES'!$J$4:$J$339,0)),0)-$AG196)</f>
        <v/>
      </c>
      <c r="AI196" s="10">
        <f>IF($A196="","",IFERROR(INDEX('2_IMPORTAR_EJECUCION'!$F$9:$F$1208,MATCH($AQ196,'2_IMPORTAR_EJECUCION'!$J$9:$J$1208,0)),0))</f>
        <v/>
      </c>
      <c r="AJ196" s="10">
        <f>IF($A196="","",MAX(0,IFERROR(INDEX('2_IMPORTAR_EJECUCION'!$H$9:$H$1208,MATCH($AQ196,'2_IMPORTAR_EJECUCION'!$J$9:$J$1208,0)),0)-$AI196))</f>
        <v/>
      </c>
      <c r="AK196" s="10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46170</v>
      </c>
      <c r="K197" s="3" t="n"/>
      <c r="L197" s="10" t="n">
        <v>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2">
        <f>IF($J197="","",TODAY()-$J197)</f>
        <v/>
      </c>
      <c r="AB197" s="12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IF($AE197="","",IF((IFERROR(INDEX('ASIGNACIONES'!$F$4:$F$339,MATCH($O197&amp;"|"&amp;$R197&amp;"|"&amp;$AE197,'ASIGNACIONES'!$J$4:$J$339,0)),""))=0,"",IFERROR(INDEX('ASIGNACIONES'!$F$4:$F$339,MATCH($O197&amp;"|"&amp;$R197&amp;"|"&amp;$AE197,'ASIGNACIONES'!$J$4:$J$339,0)),"")))</f>
        <v/>
      </c>
      <c r="AG197" s="13">
        <f>IF($AE197="","",SUMIFS('ORDENES'!$M$4:$M$1203,'ORDENES'!$AE$4:$AE$1203,$AE197,'ORDENES'!$O$4:$O$1203,$O197,'ORDENES'!$R$4:$R$1203,$R197))</f>
        <v/>
      </c>
      <c r="AH197" s="13">
        <f>IF($AG197="","",p_factor_productividad*IFERROR(INDEX('ASIGNACIONES'!$I$4:$I$339,MATCH($O197&amp;"|"&amp;$R197&amp;"|"&amp;$AE197,'ASIGNACIONES'!$J$4:$J$339,0)),0)-$AG197)</f>
        <v/>
      </c>
      <c r="AI197" s="10">
        <f>IF($A197="","",IFERROR(INDEX('2_IMPORTAR_EJECUCION'!$F$9:$F$1208,MATCH($AQ197,'2_IMPORTAR_EJECUCION'!$J$9:$J$1208,0)),0))</f>
        <v/>
      </c>
      <c r="AJ197" s="10">
        <f>IF($A197="","",MAX(0,IFERROR(INDEX('2_IMPORTAR_EJECUCION'!$H$9:$H$1208,MATCH($AQ197,'2_IMPORTAR_EJECUCION'!$J$9:$J$1208,0)),0)-$AI197))</f>
        <v/>
      </c>
      <c r="AK197" s="10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46165</v>
      </c>
      <c r="K198" s="3" t="n">
        <v>4</v>
      </c>
      <c r="L198" s="10" t="n">
        <v>160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2">
        <f>IF($J198="","",TODAY()-$J198)</f>
        <v/>
      </c>
      <c r="AB198" s="12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IF($AE198="","",IF((IFERROR(INDEX('ASIGNACIONES'!$F$4:$F$339,MATCH($O198&amp;"|"&amp;$R198&amp;"|"&amp;$AE198,'ASIGNACIONES'!$J$4:$J$339,0)),""))=0,"",IFERROR(INDEX('ASIGNACIONES'!$F$4:$F$339,MATCH($O198&amp;"|"&amp;$R198&amp;"|"&amp;$AE198,'ASIGNACIONES'!$J$4:$J$339,0)),"")))</f>
        <v/>
      </c>
      <c r="AG198" s="13">
        <f>IF($AE198="","",SUMIFS('ORDENES'!$M$4:$M$1203,'ORDENES'!$AE$4:$AE$1203,$AE198,'ORDENES'!$O$4:$O$1203,$O198,'ORDENES'!$R$4:$R$1203,$R198))</f>
        <v/>
      </c>
      <c r="AH198" s="13">
        <f>IF($AG198="","",p_factor_productividad*IFERROR(INDEX('ASIGNACIONES'!$I$4:$I$339,MATCH($O198&amp;"|"&amp;$R198&amp;"|"&amp;$AE198,'ASIGNACIONES'!$J$4:$J$339,0)),0)-$AG198)</f>
        <v/>
      </c>
      <c r="AI198" s="10">
        <f>IF($A198="","",IFERROR(INDEX('2_IMPORTAR_EJECUCION'!$F$9:$F$1208,MATCH($AQ198,'2_IMPORTAR_EJECUCION'!$J$9:$J$1208,0)),0))</f>
        <v/>
      </c>
      <c r="AJ198" s="10">
        <f>IF($A198="","",MAX(0,IFERROR(INDEX('2_IMPORTAR_EJECUCION'!$H$9:$H$1208,MATCH($AQ198,'2_IMPORTAR_EJECUCION'!$J$9:$J$1208,0)),0)-$AI198))</f>
        <v/>
      </c>
      <c r="AK198" s="10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46165</v>
      </c>
      <c r="K199" s="3" t="n">
        <v>4</v>
      </c>
      <c r="L199" s="10" t="n">
        <v>160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2">
        <f>IF($J199="","",TODAY()-$J199)</f>
        <v/>
      </c>
      <c r="AB199" s="12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IF($AE199="","",IF((IFERROR(INDEX('ASIGNACIONES'!$F$4:$F$339,MATCH($O199&amp;"|"&amp;$R199&amp;"|"&amp;$AE199,'ASIGNACIONES'!$J$4:$J$339,0)),""))=0,"",IFERROR(INDEX('ASIGNACIONES'!$F$4:$F$339,MATCH($O199&amp;"|"&amp;$R199&amp;"|"&amp;$AE199,'ASIGNACIONES'!$J$4:$J$339,0)),"")))</f>
        <v/>
      </c>
      <c r="AG199" s="13">
        <f>IF($AE199="","",SUMIFS('ORDENES'!$M$4:$M$1203,'ORDENES'!$AE$4:$AE$1203,$AE199,'ORDENES'!$O$4:$O$1203,$O199,'ORDENES'!$R$4:$R$1203,$R199))</f>
        <v/>
      </c>
      <c r="AH199" s="13">
        <f>IF($AG199="","",p_factor_productividad*IFERROR(INDEX('ASIGNACIONES'!$I$4:$I$339,MATCH($O199&amp;"|"&amp;$R199&amp;"|"&amp;$AE199,'ASIGNACIONES'!$J$4:$J$339,0)),0)-$AG199)</f>
        <v/>
      </c>
      <c r="AI199" s="10">
        <f>IF($A199="","",IFERROR(INDEX('2_IMPORTAR_EJECUCION'!$F$9:$F$1208,MATCH($AQ199,'2_IMPORTAR_EJECUCION'!$J$9:$J$1208,0)),0))</f>
        <v/>
      </c>
      <c r="AJ199" s="10">
        <f>IF($A199="","",MAX(0,IFERROR(INDEX('2_IMPORTAR_EJECUCION'!$H$9:$H$1208,MATCH($AQ199,'2_IMPORTAR_EJECUCION'!$J$9:$J$1208,0)),0)-$AI199))</f>
        <v/>
      </c>
      <c r="AK199" s="10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46163</v>
      </c>
      <c r="K200" s="3" t="n">
        <v>4</v>
      </c>
      <c r="L200" s="10" t="n">
        <v>160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2">
        <f>IF($J200="","",TODAY()-$J200)</f>
        <v/>
      </c>
      <c r="AB200" s="12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IF($AE200="","",IF((IFERROR(INDEX('ASIGNACIONES'!$F$4:$F$339,MATCH($O200&amp;"|"&amp;$R200&amp;"|"&amp;$AE200,'ASIGNACIONES'!$J$4:$J$339,0)),""))=0,"",IFERROR(INDEX('ASIGNACIONES'!$F$4:$F$339,MATCH($O200&amp;"|"&amp;$R200&amp;"|"&amp;$AE200,'ASIGNACIONES'!$J$4:$J$339,0)),"")))</f>
        <v/>
      </c>
      <c r="AG200" s="13">
        <f>IF($AE200="","",SUMIFS('ORDENES'!$M$4:$M$1203,'ORDENES'!$AE$4:$AE$1203,$AE200,'ORDENES'!$O$4:$O$1203,$O200,'ORDENES'!$R$4:$R$1203,$R200))</f>
        <v/>
      </c>
      <c r="AH200" s="13">
        <f>IF($AG200="","",p_factor_productividad*IFERROR(INDEX('ASIGNACIONES'!$I$4:$I$339,MATCH($O200&amp;"|"&amp;$R200&amp;"|"&amp;$AE200,'ASIGNACIONES'!$J$4:$J$339,0)),0)-$AG200)</f>
        <v/>
      </c>
      <c r="AI200" s="10">
        <f>IF($A200="","",IFERROR(INDEX('2_IMPORTAR_EJECUCION'!$F$9:$F$1208,MATCH($AQ200,'2_IMPORTAR_EJECUCION'!$J$9:$J$1208,0)),0))</f>
        <v/>
      </c>
      <c r="AJ200" s="10">
        <f>IF($A200="","",MAX(0,IFERROR(INDEX('2_IMPORTAR_EJECUCION'!$H$9:$H$1208,MATCH($AQ200,'2_IMPORTAR_EJECUCION'!$J$9:$J$1208,0)),0)-$AI200))</f>
        <v/>
      </c>
      <c r="AK200" s="10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46163</v>
      </c>
      <c r="K201" s="3" t="n">
        <v>4</v>
      </c>
      <c r="L201" s="10" t="n">
        <v>160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2">
        <f>IF($J201="","",TODAY()-$J201)</f>
        <v/>
      </c>
      <c r="AB201" s="12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IF($AE201="","",IF((IFERROR(INDEX('ASIGNACIONES'!$F$4:$F$339,MATCH($O201&amp;"|"&amp;$R201&amp;"|"&amp;$AE201,'ASIGNACIONES'!$J$4:$J$339,0)),""))=0,"",IFERROR(INDEX('ASIGNACIONES'!$F$4:$F$339,MATCH($O201&amp;"|"&amp;$R201&amp;"|"&amp;$AE201,'ASIGNACIONES'!$J$4:$J$339,0)),"")))</f>
        <v/>
      </c>
      <c r="AG201" s="13">
        <f>IF($AE201="","",SUMIFS('ORDENES'!$M$4:$M$1203,'ORDENES'!$AE$4:$AE$1203,$AE201,'ORDENES'!$O$4:$O$1203,$O201,'ORDENES'!$R$4:$R$1203,$R201))</f>
        <v/>
      </c>
      <c r="AH201" s="13">
        <f>IF($AG201="","",p_factor_productividad*IFERROR(INDEX('ASIGNACIONES'!$I$4:$I$339,MATCH($O201&amp;"|"&amp;$R201&amp;"|"&amp;$AE201,'ASIGNACIONES'!$J$4:$J$339,0)),0)-$AG201)</f>
        <v/>
      </c>
      <c r="AI201" s="10">
        <f>IF($A201="","",IFERROR(INDEX('2_IMPORTAR_EJECUCION'!$F$9:$F$1208,MATCH($AQ201,'2_IMPORTAR_EJECUCION'!$J$9:$J$1208,0)),0))</f>
        <v/>
      </c>
      <c r="AJ201" s="10">
        <f>IF($A201="","",MAX(0,IFERROR(INDEX('2_IMPORTAR_EJECUCION'!$H$9:$H$1208,MATCH($AQ201,'2_IMPORTAR_EJECUCION'!$J$9:$J$1208,0)),0)-$AI201))</f>
        <v/>
      </c>
      <c r="AK201" s="10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46161</v>
      </c>
      <c r="K202" s="3" t="n">
        <v>4</v>
      </c>
      <c r="L202" s="10" t="n">
        <v>160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2">
        <f>IF($J202="","",TODAY()-$J202)</f>
        <v/>
      </c>
      <c r="AB202" s="12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IF($AE202="","",IF((IFERROR(INDEX('ASIGNACIONES'!$F$4:$F$339,MATCH($O202&amp;"|"&amp;$R202&amp;"|"&amp;$AE202,'ASIGNACIONES'!$J$4:$J$339,0)),""))=0,"",IFERROR(INDEX('ASIGNACIONES'!$F$4:$F$339,MATCH($O202&amp;"|"&amp;$R202&amp;"|"&amp;$AE202,'ASIGNACIONES'!$J$4:$J$339,0)),"")))</f>
        <v/>
      </c>
      <c r="AG202" s="13">
        <f>IF($AE202="","",SUMIFS('ORDENES'!$M$4:$M$1203,'ORDENES'!$AE$4:$AE$1203,$AE202,'ORDENES'!$O$4:$O$1203,$O202,'ORDENES'!$R$4:$R$1203,$R202))</f>
        <v/>
      </c>
      <c r="AH202" s="13">
        <f>IF($AG202="","",p_factor_productividad*IFERROR(INDEX('ASIGNACIONES'!$I$4:$I$339,MATCH($O202&amp;"|"&amp;$R202&amp;"|"&amp;$AE202,'ASIGNACIONES'!$J$4:$J$339,0)),0)-$AG202)</f>
        <v/>
      </c>
      <c r="AI202" s="10">
        <f>IF($A202="","",IFERROR(INDEX('2_IMPORTAR_EJECUCION'!$F$9:$F$1208,MATCH($AQ202,'2_IMPORTAR_EJECUCION'!$J$9:$J$1208,0)),0))</f>
        <v/>
      </c>
      <c r="AJ202" s="10">
        <f>IF($A202="","",MAX(0,IFERROR(INDEX('2_IMPORTAR_EJECUCION'!$H$9:$H$1208,MATCH($AQ202,'2_IMPORTAR_EJECUCION'!$J$9:$J$1208,0)),0)-$AI202))</f>
        <v/>
      </c>
      <c r="AK202" s="10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46190</v>
      </c>
      <c r="K203" s="3" t="n">
        <v>2</v>
      </c>
      <c r="L203" s="10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2">
        <f>IF($J203="","",TODAY()-$J203)</f>
        <v/>
      </c>
      <c r="AB203" s="12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IF($AE203="","",IF((IFERROR(INDEX('ASIGNACIONES'!$F$4:$F$339,MATCH($O203&amp;"|"&amp;$R203&amp;"|"&amp;$AE203,'ASIGNACIONES'!$J$4:$J$339,0)),""))=0,"",IFERROR(INDEX('ASIGNACIONES'!$F$4:$F$339,MATCH($O203&amp;"|"&amp;$R203&amp;"|"&amp;$AE203,'ASIGNACIONES'!$J$4:$J$339,0)),"")))</f>
        <v/>
      </c>
      <c r="AG203" s="13">
        <f>IF($AE203="","",SUMIFS('ORDENES'!$M$4:$M$1203,'ORDENES'!$AE$4:$AE$1203,$AE203,'ORDENES'!$O$4:$O$1203,$O203,'ORDENES'!$R$4:$R$1203,$R203))</f>
        <v/>
      </c>
      <c r="AH203" s="13">
        <f>IF($AG203="","",p_factor_productividad*IFERROR(INDEX('ASIGNACIONES'!$I$4:$I$339,MATCH($O203&amp;"|"&amp;$R203&amp;"|"&amp;$AE203,'ASIGNACIONES'!$J$4:$J$339,0)),0)-$AG203)</f>
        <v/>
      </c>
      <c r="AI203" s="10">
        <f>IF($A203="","",IFERROR(INDEX('2_IMPORTAR_EJECUCION'!$F$9:$F$1208,MATCH($AQ203,'2_IMPORTAR_EJECUCION'!$J$9:$J$1208,0)),0))</f>
        <v/>
      </c>
      <c r="AJ203" s="10">
        <f>IF($A203="","",MAX(0,IFERROR(INDEX('2_IMPORTAR_EJECUCION'!$H$9:$H$1208,MATCH($AQ203,'2_IMPORTAR_EJECUCION'!$J$9:$J$1208,0)),0)-$AI203))</f>
        <v/>
      </c>
      <c r="AK203" s="10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2">
        <f>IF($J204="","",TODAY()-$J204)</f>
        <v/>
      </c>
      <c r="AB204" s="12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IF($AE204="","",IF((IFERROR(INDEX('ASIGNACIONES'!$F$4:$F$339,MATCH($O204&amp;"|"&amp;$R204&amp;"|"&amp;$AE204,'ASIGNACIONES'!$J$4:$J$339,0)),""))=0,"",IFERROR(INDEX('ASIGNACIONES'!$F$4:$F$339,MATCH($O204&amp;"|"&amp;$R204&amp;"|"&amp;$AE204,'ASIGNACIONES'!$J$4:$J$339,0)),"")))</f>
        <v/>
      </c>
      <c r="AG204" s="13">
        <f>IF($AE204="","",SUMIFS('ORDENES'!$M$4:$M$1203,'ORDENES'!$AE$4:$AE$1203,$AE204,'ORDENES'!$O$4:$O$1203,$O204,'ORDENES'!$R$4:$R$1203,$R204))</f>
        <v/>
      </c>
      <c r="AH204" s="13">
        <f>IF($AG204="","",p_factor_productividad*IFERROR(INDEX('ASIGNACIONES'!$I$4:$I$339,MATCH($O204&amp;"|"&amp;$R204&amp;"|"&amp;$AE204,'ASIGNACIONES'!$J$4:$J$339,0)),0)-$AG204)</f>
        <v/>
      </c>
      <c r="AI204" s="10">
        <f>IF($A204="","",IFERROR(INDEX('2_IMPORTAR_EJECUCION'!$F$9:$F$1208,MATCH($AQ204,'2_IMPORTAR_EJECUCION'!$J$9:$J$1208,0)),0))</f>
        <v/>
      </c>
      <c r="AJ204" s="10">
        <f>IF($A204="","",MAX(0,IFERROR(INDEX('2_IMPORTAR_EJECUCION'!$H$9:$H$1208,MATCH($AQ204,'2_IMPORTAR_EJECUCION'!$J$9:$J$1208,0)),0)-$AI204))</f>
        <v/>
      </c>
      <c r="AK204" s="10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2">
        <f>IF($J205="","",TODAY()-$J205)</f>
        <v/>
      </c>
      <c r="AB205" s="12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IF($AE205="","",IF((IFERROR(INDEX('ASIGNACIONES'!$F$4:$F$339,MATCH($O205&amp;"|"&amp;$R205&amp;"|"&amp;$AE205,'ASIGNACIONES'!$J$4:$J$339,0)),""))=0,"",IFERROR(INDEX('ASIGNACIONES'!$F$4:$F$339,MATCH($O205&amp;"|"&amp;$R205&amp;"|"&amp;$AE205,'ASIGNACIONES'!$J$4:$J$339,0)),"")))</f>
        <v/>
      </c>
      <c r="AG205" s="13">
        <f>IF($AE205="","",SUMIFS('ORDENES'!$M$4:$M$1203,'ORDENES'!$AE$4:$AE$1203,$AE205,'ORDENES'!$O$4:$O$1203,$O205,'ORDENES'!$R$4:$R$1203,$R205))</f>
        <v/>
      </c>
      <c r="AH205" s="13">
        <f>IF($AG205="","",p_factor_productividad*IFERROR(INDEX('ASIGNACIONES'!$I$4:$I$339,MATCH($O205&amp;"|"&amp;$R205&amp;"|"&amp;$AE205,'ASIGNACIONES'!$J$4:$J$339,0)),0)-$AG205)</f>
        <v/>
      </c>
      <c r="AI205" s="10">
        <f>IF($A205="","",IFERROR(INDEX('2_IMPORTAR_EJECUCION'!$F$9:$F$1208,MATCH($AQ205,'2_IMPORTAR_EJECUCION'!$J$9:$J$1208,0)),0))</f>
        <v/>
      </c>
      <c r="AJ205" s="10">
        <f>IF($A205="","",MAX(0,IFERROR(INDEX('2_IMPORTAR_EJECUCION'!$H$9:$H$1208,MATCH($AQ205,'2_IMPORTAR_EJECUCION'!$J$9:$J$1208,0)),0)-$AI205))</f>
        <v/>
      </c>
      <c r="AK205" s="10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2">
        <f>IF($J206="","",TODAY()-$J206)</f>
        <v/>
      </c>
      <c r="AB206" s="12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IF($AE206="","",IF((IFERROR(INDEX('ASIGNACIONES'!$F$4:$F$339,MATCH($O206&amp;"|"&amp;$R206&amp;"|"&amp;$AE206,'ASIGNACIONES'!$J$4:$J$339,0)),""))=0,"",IFERROR(INDEX('ASIGNACIONES'!$F$4:$F$339,MATCH($O206&amp;"|"&amp;$R206&amp;"|"&amp;$AE206,'ASIGNACIONES'!$J$4:$J$339,0)),"")))</f>
        <v/>
      </c>
      <c r="AG206" s="13">
        <f>IF($AE206="","",SUMIFS('ORDENES'!$M$4:$M$1203,'ORDENES'!$AE$4:$AE$1203,$AE206,'ORDENES'!$O$4:$O$1203,$O206,'ORDENES'!$R$4:$R$1203,$R206))</f>
        <v/>
      </c>
      <c r="AH206" s="13">
        <f>IF($AG206="","",p_factor_productividad*IFERROR(INDEX('ASIGNACIONES'!$I$4:$I$339,MATCH($O206&amp;"|"&amp;$R206&amp;"|"&amp;$AE206,'ASIGNACIONES'!$J$4:$J$339,0)),0)-$AG206)</f>
        <v/>
      </c>
      <c r="AI206" s="10">
        <f>IF($A206="","",IFERROR(INDEX('2_IMPORTAR_EJECUCION'!$F$9:$F$1208,MATCH($AQ206,'2_IMPORTAR_EJECUCION'!$J$9:$J$1208,0)),0))</f>
        <v/>
      </c>
      <c r="AJ206" s="10">
        <f>IF($A206="","",MAX(0,IFERROR(INDEX('2_IMPORTAR_EJECUCION'!$H$9:$H$1208,MATCH($AQ206,'2_IMPORTAR_EJECUCION'!$J$9:$J$1208,0)),0)-$AI206))</f>
        <v/>
      </c>
      <c r="AK206" s="10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2">
        <f>IF($J207="","",TODAY()-$J207)</f>
        <v/>
      </c>
      <c r="AB207" s="12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IF($AE207="","",IF((IFERROR(INDEX('ASIGNACIONES'!$F$4:$F$339,MATCH($O207&amp;"|"&amp;$R207&amp;"|"&amp;$AE207,'ASIGNACIONES'!$J$4:$J$339,0)),""))=0,"",IFERROR(INDEX('ASIGNACIONES'!$F$4:$F$339,MATCH($O207&amp;"|"&amp;$R207&amp;"|"&amp;$AE207,'ASIGNACIONES'!$J$4:$J$339,0)),"")))</f>
        <v/>
      </c>
      <c r="AG207" s="13">
        <f>IF($AE207="","",SUMIFS('ORDENES'!$M$4:$M$1203,'ORDENES'!$AE$4:$AE$1203,$AE207,'ORDENES'!$O$4:$O$1203,$O207,'ORDENES'!$R$4:$R$1203,$R207))</f>
        <v/>
      </c>
      <c r="AH207" s="13">
        <f>IF($AG207="","",p_factor_productividad*IFERROR(INDEX('ASIGNACIONES'!$I$4:$I$339,MATCH($O207&amp;"|"&amp;$R207&amp;"|"&amp;$AE207,'ASIGNACIONES'!$J$4:$J$339,0)),0)-$AG207)</f>
        <v/>
      </c>
      <c r="AI207" s="10">
        <f>IF($A207="","",IFERROR(INDEX('2_IMPORTAR_EJECUCION'!$F$9:$F$1208,MATCH($AQ207,'2_IMPORTAR_EJECUCION'!$J$9:$J$1208,0)),0))</f>
        <v/>
      </c>
      <c r="AJ207" s="10">
        <f>IF($A207="","",MAX(0,IFERROR(INDEX('2_IMPORTAR_EJECUCION'!$H$9:$H$1208,MATCH($AQ207,'2_IMPORTAR_EJECUCION'!$J$9:$J$1208,0)),0)-$AI207))</f>
        <v/>
      </c>
      <c r="AK207" s="10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2">
        <f>IF($J208="","",TODAY()-$J208)</f>
        <v/>
      </c>
      <c r="AB208" s="12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IF($AE208="","",IF((IFERROR(INDEX('ASIGNACIONES'!$F$4:$F$339,MATCH($O208&amp;"|"&amp;$R208&amp;"|"&amp;$AE208,'ASIGNACIONES'!$J$4:$J$339,0)),""))=0,"",IFERROR(INDEX('ASIGNACIONES'!$F$4:$F$339,MATCH($O208&amp;"|"&amp;$R208&amp;"|"&amp;$AE208,'ASIGNACIONES'!$J$4:$J$339,0)),"")))</f>
        <v/>
      </c>
      <c r="AG208" s="13">
        <f>IF($AE208="","",SUMIFS('ORDENES'!$M$4:$M$1203,'ORDENES'!$AE$4:$AE$1203,$AE208,'ORDENES'!$O$4:$O$1203,$O208,'ORDENES'!$R$4:$R$1203,$R208))</f>
        <v/>
      </c>
      <c r="AH208" s="13">
        <f>IF($AG208="","",p_factor_productividad*IFERROR(INDEX('ASIGNACIONES'!$I$4:$I$339,MATCH($O208&amp;"|"&amp;$R208&amp;"|"&amp;$AE208,'ASIGNACIONES'!$J$4:$J$339,0)),0)-$AG208)</f>
        <v/>
      </c>
      <c r="AI208" s="10">
        <f>IF($A208="","",IFERROR(INDEX('2_IMPORTAR_EJECUCION'!$F$9:$F$1208,MATCH($AQ208,'2_IMPORTAR_EJECUCION'!$J$9:$J$1208,0)),0))</f>
        <v/>
      </c>
      <c r="AJ208" s="10">
        <f>IF($A208="","",MAX(0,IFERROR(INDEX('2_IMPORTAR_EJECUCION'!$H$9:$H$1208,MATCH($AQ208,'2_IMPORTAR_EJECUCION'!$J$9:$J$1208,0)),0)-$AI208))</f>
        <v/>
      </c>
      <c r="AK208" s="10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2">
        <f>IF($J209="","",TODAY()-$J209)</f>
        <v/>
      </c>
      <c r="AB209" s="12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IF($AE209="","",IF((IFERROR(INDEX('ASIGNACIONES'!$F$4:$F$339,MATCH($O209&amp;"|"&amp;$R209&amp;"|"&amp;$AE209,'ASIGNACIONES'!$J$4:$J$339,0)),""))=0,"",IFERROR(INDEX('ASIGNACIONES'!$F$4:$F$339,MATCH($O209&amp;"|"&amp;$R209&amp;"|"&amp;$AE209,'ASIGNACIONES'!$J$4:$J$339,0)),"")))</f>
        <v/>
      </c>
      <c r="AG209" s="13">
        <f>IF($AE209="","",SUMIFS('ORDENES'!$M$4:$M$1203,'ORDENES'!$AE$4:$AE$1203,$AE209,'ORDENES'!$O$4:$O$1203,$O209,'ORDENES'!$R$4:$R$1203,$R209))</f>
        <v/>
      </c>
      <c r="AH209" s="13">
        <f>IF($AG209="","",p_factor_productividad*IFERROR(INDEX('ASIGNACIONES'!$I$4:$I$339,MATCH($O209&amp;"|"&amp;$R209&amp;"|"&amp;$AE209,'ASIGNACIONES'!$J$4:$J$339,0)),0)-$AG209)</f>
        <v/>
      </c>
      <c r="AI209" s="10">
        <f>IF($A209="","",IFERROR(INDEX('2_IMPORTAR_EJECUCION'!$F$9:$F$1208,MATCH($AQ209,'2_IMPORTAR_EJECUCION'!$J$9:$J$1208,0)),0))</f>
        <v/>
      </c>
      <c r="AJ209" s="10">
        <f>IF($A209="","",MAX(0,IFERROR(INDEX('2_IMPORTAR_EJECUCION'!$H$9:$H$1208,MATCH($AQ209,'2_IMPORTAR_EJECUCION'!$J$9:$J$1208,0)),0)-$AI209))</f>
        <v/>
      </c>
      <c r="AK209" s="10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2">
        <f>IF($J210="","",TODAY()-$J210)</f>
        <v/>
      </c>
      <c r="AB210" s="12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IF($AE210="","",IF((IFERROR(INDEX('ASIGNACIONES'!$F$4:$F$339,MATCH($O210&amp;"|"&amp;$R210&amp;"|"&amp;$AE210,'ASIGNACIONES'!$J$4:$J$339,0)),""))=0,"",IFERROR(INDEX('ASIGNACIONES'!$F$4:$F$339,MATCH($O210&amp;"|"&amp;$R210&amp;"|"&amp;$AE210,'ASIGNACIONES'!$J$4:$J$339,0)),"")))</f>
        <v/>
      </c>
      <c r="AG210" s="13">
        <f>IF($AE210="","",SUMIFS('ORDENES'!$M$4:$M$1203,'ORDENES'!$AE$4:$AE$1203,$AE210,'ORDENES'!$O$4:$O$1203,$O210,'ORDENES'!$R$4:$R$1203,$R210))</f>
        <v/>
      </c>
      <c r="AH210" s="13">
        <f>IF($AG210="","",p_factor_productividad*IFERROR(INDEX('ASIGNACIONES'!$I$4:$I$339,MATCH($O210&amp;"|"&amp;$R210&amp;"|"&amp;$AE210,'ASIGNACIONES'!$J$4:$J$339,0)),0)-$AG210)</f>
        <v/>
      </c>
      <c r="AI210" s="10">
        <f>IF($A210="","",IFERROR(INDEX('2_IMPORTAR_EJECUCION'!$F$9:$F$1208,MATCH($AQ210,'2_IMPORTAR_EJECUCION'!$J$9:$J$1208,0)),0))</f>
        <v/>
      </c>
      <c r="AJ210" s="10">
        <f>IF($A210="","",MAX(0,IFERROR(INDEX('2_IMPORTAR_EJECUCION'!$H$9:$H$1208,MATCH($AQ210,'2_IMPORTAR_EJECUCION'!$J$9:$J$1208,0)),0)-$AI210))</f>
        <v/>
      </c>
      <c r="AK210" s="10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2">
        <f>IF($J211="","",TODAY()-$J211)</f>
        <v/>
      </c>
      <c r="AB211" s="12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IF($AE211="","",IF((IFERROR(INDEX('ASIGNACIONES'!$F$4:$F$339,MATCH($O211&amp;"|"&amp;$R211&amp;"|"&amp;$AE211,'ASIGNACIONES'!$J$4:$J$339,0)),""))=0,"",IFERROR(INDEX('ASIGNACIONES'!$F$4:$F$339,MATCH($O211&amp;"|"&amp;$R211&amp;"|"&amp;$AE211,'ASIGNACIONES'!$J$4:$J$339,0)),"")))</f>
        <v/>
      </c>
      <c r="AG211" s="13">
        <f>IF($AE211="","",SUMIFS('ORDENES'!$M$4:$M$1203,'ORDENES'!$AE$4:$AE$1203,$AE211,'ORDENES'!$O$4:$O$1203,$O211,'ORDENES'!$R$4:$R$1203,$R211))</f>
        <v/>
      </c>
      <c r="AH211" s="13">
        <f>IF($AG211="","",p_factor_productividad*IFERROR(INDEX('ASIGNACIONES'!$I$4:$I$339,MATCH($O211&amp;"|"&amp;$R211&amp;"|"&amp;$AE211,'ASIGNACIONES'!$J$4:$J$339,0)),0)-$AG211)</f>
        <v/>
      </c>
      <c r="AI211" s="10">
        <f>IF($A211="","",IFERROR(INDEX('2_IMPORTAR_EJECUCION'!$F$9:$F$1208,MATCH($AQ211,'2_IMPORTAR_EJECUCION'!$J$9:$J$1208,0)),0))</f>
        <v/>
      </c>
      <c r="AJ211" s="10">
        <f>IF($A211="","",MAX(0,IFERROR(INDEX('2_IMPORTAR_EJECUCION'!$H$9:$H$1208,MATCH($AQ211,'2_IMPORTAR_EJECUCION'!$J$9:$J$1208,0)),0)-$AI211))</f>
        <v/>
      </c>
      <c r="AK211" s="10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2">
        <f>IF($J212="","",TODAY()-$J212)</f>
        <v/>
      </c>
      <c r="AB212" s="12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IF($AE212="","",IF((IFERROR(INDEX('ASIGNACIONES'!$F$4:$F$339,MATCH($O212&amp;"|"&amp;$R212&amp;"|"&amp;$AE212,'ASIGNACIONES'!$J$4:$J$339,0)),""))=0,"",IFERROR(INDEX('ASIGNACIONES'!$F$4:$F$339,MATCH($O212&amp;"|"&amp;$R212&amp;"|"&amp;$AE212,'ASIGNACIONES'!$J$4:$J$339,0)),"")))</f>
        <v/>
      </c>
      <c r="AG212" s="13">
        <f>IF($AE212="","",SUMIFS('ORDENES'!$M$4:$M$1203,'ORDENES'!$AE$4:$AE$1203,$AE212,'ORDENES'!$O$4:$O$1203,$O212,'ORDENES'!$R$4:$R$1203,$R212))</f>
        <v/>
      </c>
      <c r="AH212" s="13">
        <f>IF($AG212="","",p_factor_productividad*IFERROR(INDEX('ASIGNACIONES'!$I$4:$I$339,MATCH($O212&amp;"|"&amp;$R212&amp;"|"&amp;$AE212,'ASIGNACIONES'!$J$4:$J$339,0)),0)-$AG212)</f>
        <v/>
      </c>
      <c r="AI212" s="10">
        <f>IF($A212="","",IFERROR(INDEX('2_IMPORTAR_EJECUCION'!$F$9:$F$1208,MATCH($AQ212,'2_IMPORTAR_EJECUCION'!$J$9:$J$1208,0)),0))</f>
        <v/>
      </c>
      <c r="AJ212" s="10">
        <f>IF($A212="","",MAX(0,IFERROR(INDEX('2_IMPORTAR_EJECUCION'!$H$9:$H$1208,MATCH($AQ212,'2_IMPORTAR_EJECUCION'!$J$9:$J$1208,0)),0)-$AI212))</f>
        <v/>
      </c>
      <c r="AK212" s="10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2">
        <f>IF($J213="","",TODAY()-$J213)</f>
        <v/>
      </c>
      <c r="AB213" s="12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IF($AE213="","",IF((IFERROR(INDEX('ASIGNACIONES'!$F$4:$F$339,MATCH($O213&amp;"|"&amp;$R213&amp;"|"&amp;$AE213,'ASIGNACIONES'!$J$4:$J$339,0)),""))=0,"",IFERROR(INDEX('ASIGNACIONES'!$F$4:$F$339,MATCH($O213&amp;"|"&amp;$R213&amp;"|"&amp;$AE213,'ASIGNACIONES'!$J$4:$J$339,0)),"")))</f>
        <v/>
      </c>
      <c r="AG213" s="13">
        <f>IF($AE213="","",SUMIFS('ORDENES'!$M$4:$M$1203,'ORDENES'!$AE$4:$AE$1203,$AE213,'ORDENES'!$O$4:$O$1203,$O213,'ORDENES'!$R$4:$R$1203,$R213))</f>
        <v/>
      </c>
      <c r="AH213" s="13">
        <f>IF($AG213="","",p_factor_productividad*IFERROR(INDEX('ASIGNACIONES'!$I$4:$I$339,MATCH($O213&amp;"|"&amp;$R213&amp;"|"&amp;$AE213,'ASIGNACIONES'!$J$4:$J$339,0)),0)-$AG213)</f>
        <v/>
      </c>
      <c r="AI213" s="10">
        <f>IF($A213="","",IFERROR(INDEX('2_IMPORTAR_EJECUCION'!$F$9:$F$1208,MATCH($AQ213,'2_IMPORTAR_EJECUCION'!$J$9:$J$1208,0)),0))</f>
        <v/>
      </c>
      <c r="AJ213" s="10">
        <f>IF($A213="","",MAX(0,IFERROR(INDEX('2_IMPORTAR_EJECUCION'!$H$9:$H$1208,MATCH($AQ213,'2_IMPORTAR_EJECUCION'!$J$9:$J$1208,0)),0)-$AI213))</f>
        <v/>
      </c>
      <c r="AK213" s="10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2">
        <f>IF($J214="","",TODAY()-$J214)</f>
        <v/>
      </c>
      <c r="AB214" s="12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IF($AE214="","",IF((IFERROR(INDEX('ASIGNACIONES'!$F$4:$F$339,MATCH($O214&amp;"|"&amp;$R214&amp;"|"&amp;$AE214,'ASIGNACIONES'!$J$4:$J$339,0)),""))=0,"",IFERROR(INDEX('ASIGNACIONES'!$F$4:$F$339,MATCH($O214&amp;"|"&amp;$R214&amp;"|"&amp;$AE214,'ASIGNACIONES'!$J$4:$J$339,0)),"")))</f>
        <v/>
      </c>
      <c r="AG214" s="13">
        <f>IF($AE214="","",SUMIFS('ORDENES'!$M$4:$M$1203,'ORDENES'!$AE$4:$AE$1203,$AE214,'ORDENES'!$O$4:$O$1203,$O214,'ORDENES'!$R$4:$R$1203,$R214))</f>
        <v/>
      </c>
      <c r="AH214" s="13">
        <f>IF($AG214="","",p_factor_productividad*IFERROR(INDEX('ASIGNACIONES'!$I$4:$I$339,MATCH($O214&amp;"|"&amp;$R214&amp;"|"&amp;$AE214,'ASIGNACIONES'!$J$4:$J$339,0)),0)-$AG214)</f>
        <v/>
      </c>
      <c r="AI214" s="10">
        <f>IF($A214="","",IFERROR(INDEX('2_IMPORTAR_EJECUCION'!$F$9:$F$1208,MATCH($AQ214,'2_IMPORTAR_EJECUCION'!$J$9:$J$1208,0)),0))</f>
        <v/>
      </c>
      <c r="AJ214" s="10">
        <f>IF($A214="","",MAX(0,IFERROR(INDEX('2_IMPORTAR_EJECUCION'!$H$9:$H$1208,MATCH($AQ214,'2_IMPORTAR_EJECUCION'!$J$9:$J$1208,0)),0)-$AI214))</f>
        <v/>
      </c>
      <c r="AK214" s="10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2">
        <f>IF($J215="","",TODAY()-$J215)</f>
        <v/>
      </c>
      <c r="AB215" s="12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IF($AE215="","",IF((IFERROR(INDEX('ASIGNACIONES'!$F$4:$F$339,MATCH($O215&amp;"|"&amp;$R215&amp;"|"&amp;$AE215,'ASIGNACIONES'!$J$4:$J$339,0)),""))=0,"",IFERROR(INDEX('ASIGNACIONES'!$F$4:$F$339,MATCH($O215&amp;"|"&amp;$R215&amp;"|"&amp;$AE215,'ASIGNACIONES'!$J$4:$J$339,0)),"")))</f>
        <v/>
      </c>
      <c r="AG215" s="13">
        <f>IF($AE215="","",SUMIFS('ORDENES'!$M$4:$M$1203,'ORDENES'!$AE$4:$AE$1203,$AE215,'ORDENES'!$O$4:$O$1203,$O215,'ORDENES'!$R$4:$R$1203,$R215))</f>
        <v/>
      </c>
      <c r="AH215" s="13">
        <f>IF($AG215="","",p_factor_productividad*IFERROR(INDEX('ASIGNACIONES'!$I$4:$I$339,MATCH($O215&amp;"|"&amp;$R215&amp;"|"&amp;$AE215,'ASIGNACIONES'!$J$4:$J$339,0)),0)-$AG215)</f>
        <v/>
      </c>
      <c r="AI215" s="10">
        <f>IF($A215="","",IFERROR(INDEX('2_IMPORTAR_EJECUCION'!$F$9:$F$1208,MATCH($AQ215,'2_IMPORTAR_EJECUCION'!$J$9:$J$1208,0)),0))</f>
        <v/>
      </c>
      <c r="AJ215" s="10">
        <f>IF($A215="","",MAX(0,IFERROR(INDEX('2_IMPORTAR_EJECUCION'!$H$9:$H$1208,MATCH($AQ215,'2_IMPORTAR_EJECUCION'!$J$9:$J$1208,0)),0)-$AI215))</f>
        <v/>
      </c>
      <c r="AK215" s="10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2">
        <f>IF($J216="","",TODAY()-$J216)</f>
        <v/>
      </c>
      <c r="AB216" s="12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IF($AE216="","",IF((IFERROR(INDEX('ASIGNACIONES'!$F$4:$F$339,MATCH($O216&amp;"|"&amp;$R216&amp;"|"&amp;$AE216,'ASIGNACIONES'!$J$4:$J$339,0)),""))=0,"",IFERROR(INDEX('ASIGNACIONES'!$F$4:$F$339,MATCH($O216&amp;"|"&amp;$R216&amp;"|"&amp;$AE216,'ASIGNACIONES'!$J$4:$J$339,0)),"")))</f>
        <v/>
      </c>
      <c r="AG216" s="13">
        <f>IF($AE216="","",SUMIFS('ORDENES'!$M$4:$M$1203,'ORDENES'!$AE$4:$AE$1203,$AE216,'ORDENES'!$O$4:$O$1203,$O216,'ORDENES'!$R$4:$R$1203,$R216))</f>
        <v/>
      </c>
      <c r="AH216" s="13">
        <f>IF($AG216="","",p_factor_productividad*IFERROR(INDEX('ASIGNACIONES'!$I$4:$I$339,MATCH($O216&amp;"|"&amp;$R216&amp;"|"&amp;$AE216,'ASIGNACIONES'!$J$4:$J$339,0)),0)-$AG216)</f>
        <v/>
      </c>
      <c r="AI216" s="10">
        <f>IF($A216="","",IFERROR(INDEX('2_IMPORTAR_EJECUCION'!$F$9:$F$1208,MATCH($AQ216,'2_IMPORTAR_EJECUCION'!$J$9:$J$1208,0)),0))</f>
        <v/>
      </c>
      <c r="AJ216" s="10">
        <f>IF($A216="","",MAX(0,IFERROR(INDEX('2_IMPORTAR_EJECUCION'!$H$9:$H$1208,MATCH($AQ216,'2_IMPORTAR_EJECUCION'!$J$9:$J$1208,0)),0)-$AI216))</f>
        <v/>
      </c>
      <c r="AK216" s="10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2">
        <f>IF($J217="","",TODAY()-$J217)</f>
        <v/>
      </c>
      <c r="AB217" s="12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IF($AE217="","",IF((IFERROR(INDEX('ASIGNACIONES'!$F$4:$F$339,MATCH($O217&amp;"|"&amp;$R217&amp;"|"&amp;$AE217,'ASIGNACIONES'!$J$4:$J$339,0)),""))=0,"",IFERROR(INDEX('ASIGNACIONES'!$F$4:$F$339,MATCH($O217&amp;"|"&amp;$R217&amp;"|"&amp;$AE217,'ASIGNACIONES'!$J$4:$J$339,0)),"")))</f>
        <v/>
      </c>
      <c r="AG217" s="13">
        <f>IF($AE217="","",SUMIFS('ORDENES'!$M$4:$M$1203,'ORDENES'!$AE$4:$AE$1203,$AE217,'ORDENES'!$O$4:$O$1203,$O217,'ORDENES'!$R$4:$R$1203,$R217))</f>
        <v/>
      </c>
      <c r="AH217" s="13">
        <f>IF($AG217="","",p_factor_productividad*IFERROR(INDEX('ASIGNACIONES'!$I$4:$I$339,MATCH($O217&amp;"|"&amp;$R217&amp;"|"&amp;$AE217,'ASIGNACIONES'!$J$4:$J$339,0)),0)-$AG217)</f>
        <v/>
      </c>
      <c r="AI217" s="10">
        <f>IF($A217="","",IFERROR(INDEX('2_IMPORTAR_EJECUCION'!$F$9:$F$1208,MATCH($AQ217,'2_IMPORTAR_EJECUCION'!$J$9:$J$1208,0)),0))</f>
        <v/>
      </c>
      <c r="AJ217" s="10">
        <f>IF($A217="","",MAX(0,IFERROR(INDEX('2_IMPORTAR_EJECUCION'!$H$9:$H$1208,MATCH($AQ217,'2_IMPORTAR_EJECUCION'!$J$9:$J$1208,0)),0)-$AI217))</f>
        <v/>
      </c>
      <c r="AK217" s="10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2">
        <f>IF($J218="","",TODAY()-$J218)</f>
        <v/>
      </c>
      <c r="AB218" s="12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IF($AE218="","",IF((IFERROR(INDEX('ASIGNACIONES'!$F$4:$F$339,MATCH($O218&amp;"|"&amp;$R218&amp;"|"&amp;$AE218,'ASIGNACIONES'!$J$4:$J$339,0)),""))=0,"",IFERROR(INDEX('ASIGNACIONES'!$F$4:$F$339,MATCH($O218&amp;"|"&amp;$R218&amp;"|"&amp;$AE218,'ASIGNACIONES'!$J$4:$J$339,0)),"")))</f>
        <v/>
      </c>
      <c r="AG218" s="13">
        <f>IF($AE218="","",SUMIFS('ORDENES'!$M$4:$M$1203,'ORDENES'!$AE$4:$AE$1203,$AE218,'ORDENES'!$O$4:$O$1203,$O218,'ORDENES'!$R$4:$R$1203,$R218))</f>
        <v/>
      </c>
      <c r="AH218" s="13">
        <f>IF($AG218="","",p_factor_productividad*IFERROR(INDEX('ASIGNACIONES'!$I$4:$I$339,MATCH($O218&amp;"|"&amp;$R218&amp;"|"&amp;$AE218,'ASIGNACIONES'!$J$4:$J$339,0)),0)-$AG218)</f>
        <v/>
      </c>
      <c r="AI218" s="10">
        <f>IF($A218="","",IFERROR(INDEX('2_IMPORTAR_EJECUCION'!$F$9:$F$1208,MATCH($AQ218,'2_IMPORTAR_EJECUCION'!$J$9:$J$1208,0)),0))</f>
        <v/>
      </c>
      <c r="AJ218" s="10">
        <f>IF($A218="","",MAX(0,IFERROR(INDEX('2_IMPORTAR_EJECUCION'!$H$9:$H$1208,MATCH($AQ218,'2_IMPORTAR_EJECUCION'!$J$9:$J$1208,0)),0)-$AI218))</f>
        <v/>
      </c>
      <c r="AK218" s="10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2">
        <f>IF($J219="","",TODAY()-$J219)</f>
        <v/>
      </c>
      <c r="AB219" s="12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IF($AE219="","",IF((IFERROR(INDEX('ASIGNACIONES'!$F$4:$F$339,MATCH($O219&amp;"|"&amp;$R219&amp;"|"&amp;$AE219,'ASIGNACIONES'!$J$4:$J$339,0)),""))=0,"",IFERROR(INDEX('ASIGNACIONES'!$F$4:$F$339,MATCH($O219&amp;"|"&amp;$R219&amp;"|"&amp;$AE219,'ASIGNACIONES'!$J$4:$J$339,0)),"")))</f>
        <v/>
      </c>
      <c r="AG219" s="13">
        <f>IF($AE219="","",SUMIFS('ORDENES'!$M$4:$M$1203,'ORDENES'!$AE$4:$AE$1203,$AE219,'ORDENES'!$O$4:$O$1203,$O219,'ORDENES'!$R$4:$R$1203,$R219))</f>
        <v/>
      </c>
      <c r="AH219" s="13">
        <f>IF($AG219="","",p_factor_productividad*IFERROR(INDEX('ASIGNACIONES'!$I$4:$I$339,MATCH($O219&amp;"|"&amp;$R219&amp;"|"&amp;$AE219,'ASIGNACIONES'!$J$4:$J$339,0)),0)-$AG219)</f>
        <v/>
      </c>
      <c r="AI219" s="10">
        <f>IF($A219="","",IFERROR(INDEX('2_IMPORTAR_EJECUCION'!$F$9:$F$1208,MATCH($AQ219,'2_IMPORTAR_EJECUCION'!$J$9:$J$1208,0)),0))</f>
        <v/>
      </c>
      <c r="AJ219" s="10">
        <f>IF($A219="","",MAX(0,IFERROR(INDEX('2_IMPORTAR_EJECUCION'!$H$9:$H$1208,MATCH($AQ219,'2_IMPORTAR_EJECUCION'!$J$9:$J$1208,0)),0)-$AI219))</f>
        <v/>
      </c>
      <c r="AK219" s="10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2">
        <f>IF($J220="","",TODAY()-$J220)</f>
        <v/>
      </c>
      <c r="AB220" s="12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IF($AE220="","",IF((IFERROR(INDEX('ASIGNACIONES'!$F$4:$F$339,MATCH($O220&amp;"|"&amp;$R220&amp;"|"&amp;$AE220,'ASIGNACIONES'!$J$4:$J$339,0)),""))=0,"",IFERROR(INDEX('ASIGNACIONES'!$F$4:$F$339,MATCH($O220&amp;"|"&amp;$R220&amp;"|"&amp;$AE220,'ASIGNACIONES'!$J$4:$J$339,0)),"")))</f>
        <v/>
      </c>
      <c r="AG220" s="13">
        <f>IF($AE220="","",SUMIFS('ORDENES'!$M$4:$M$1203,'ORDENES'!$AE$4:$AE$1203,$AE220,'ORDENES'!$O$4:$O$1203,$O220,'ORDENES'!$R$4:$R$1203,$R220))</f>
        <v/>
      </c>
      <c r="AH220" s="13">
        <f>IF($AG220="","",p_factor_productividad*IFERROR(INDEX('ASIGNACIONES'!$I$4:$I$339,MATCH($O220&amp;"|"&amp;$R220&amp;"|"&amp;$AE220,'ASIGNACIONES'!$J$4:$J$339,0)),0)-$AG220)</f>
        <v/>
      </c>
      <c r="AI220" s="10">
        <f>IF($A220="","",IFERROR(INDEX('2_IMPORTAR_EJECUCION'!$F$9:$F$1208,MATCH($AQ220,'2_IMPORTAR_EJECUCION'!$J$9:$J$1208,0)),0))</f>
        <v/>
      </c>
      <c r="AJ220" s="10">
        <f>IF($A220="","",MAX(0,IFERROR(INDEX('2_IMPORTAR_EJECUCION'!$H$9:$H$1208,MATCH($AQ220,'2_IMPORTAR_EJECUCION'!$J$9:$J$1208,0)),0)-$AI220))</f>
        <v/>
      </c>
      <c r="AK220" s="10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2">
        <f>IF($J221="","",TODAY()-$J221)</f>
        <v/>
      </c>
      <c r="AB221" s="12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IF($AE221="","",IF((IFERROR(INDEX('ASIGNACIONES'!$F$4:$F$339,MATCH($O221&amp;"|"&amp;$R221&amp;"|"&amp;$AE221,'ASIGNACIONES'!$J$4:$J$339,0)),""))=0,"",IFERROR(INDEX('ASIGNACIONES'!$F$4:$F$339,MATCH($O221&amp;"|"&amp;$R221&amp;"|"&amp;$AE221,'ASIGNACIONES'!$J$4:$J$339,0)),"")))</f>
        <v/>
      </c>
      <c r="AG221" s="13">
        <f>IF($AE221="","",SUMIFS('ORDENES'!$M$4:$M$1203,'ORDENES'!$AE$4:$AE$1203,$AE221,'ORDENES'!$O$4:$O$1203,$O221,'ORDENES'!$R$4:$R$1203,$R221))</f>
        <v/>
      </c>
      <c r="AH221" s="13">
        <f>IF($AG221="","",p_factor_productividad*IFERROR(INDEX('ASIGNACIONES'!$I$4:$I$339,MATCH($O221&amp;"|"&amp;$R221&amp;"|"&amp;$AE221,'ASIGNACIONES'!$J$4:$J$339,0)),0)-$AG221)</f>
        <v/>
      </c>
      <c r="AI221" s="10">
        <f>IF($A221="","",IFERROR(INDEX('2_IMPORTAR_EJECUCION'!$F$9:$F$1208,MATCH($AQ221,'2_IMPORTAR_EJECUCION'!$J$9:$J$1208,0)),0))</f>
        <v/>
      </c>
      <c r="AJ221" s="10">
        <f>IF($A221="","",MAX(0,IFERROR(INDEX('2_IMPORTAR_EJECUCION'!$H$9:$H$1208,MATCH($AQ221,'2_IMPORTAR_EJECUCION'!$J$9:$J$1208,0)),0)-$AI221))</f>
        <v/>
      </c>
      <c r="AK221" s="10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2">
        <f>IF($J222="","",TODAY()-$J222)</f>
        <v/>
      </c>
      <c r="AB222" s="12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IF($AE222="","",IF((IFERROR(INDEX('ASIGNACIONES'!$F$4:$F$339,MATCH($O222&amp;"|"&amp;$R222&amp;"|"&amp;$AE222,'ASIGNACIONES'!$J$4:$J$339,0)),""))=0,"",IFERROR(INDEX('ASIGNACIONES'!$F$4:$F$339,MATCH($O222&amp;"|"&amp;$R222&amp;"|"&amp;$AE222,'ASIGNACIONES'!$J$4:$J$339,0)),"")))</f>
        <v/>
      </c>
      <c r="AG222" s="13">
        <f>IF($AE222="","",SUMIFS('ORDENES'!$M$4:$M$1203,'ORDENES'!$AE$4:$AE$1203,$AE222,'ORDENES'!$O$4:$O$1203,$O222,'ORDENES'!$R$4:$R$1203,$R222))</f>
        <v/>
      </c>
      <c r="AH222" s="13">
        <f>IF($AG222="","",p_factor_productividad*IFERROR(INDEX('ASIGNACIONES'!$I$4:$I$339,MATCH($O222&amp;"|"&amp;$R222&amp;"|"&amp;$AE222,'ASIGNACIONES'!$J$4:$J$339,0)),0)-$AG222)</f>
        <v/>
      </c>
      <c r="AI222" s="10">
        <f>IF($A222="","",IFERROR(INDEX('2_IMPORTAR_EJECUCION'!$F$9:$F$1208,MATCH($AQ222,'2_IMPORTAR_EJECUCION'!$J$9:$J$1208,0)),0))</f>
        <v/>
      </c>
      <c r="AJ222" s="10">
        <f>IF($A222="","",MAX(0,IFERROR(INDEX('2_IMPORTAR_EJECUCION'!$H$9:$H$1208,MATCH($AQ222,'2_IMPORTAR_EJECUCION'!$J$9:$J$1208,0)),0)-$AI222))</f>
        <v/>
      </c>
      <c r="AK222" s="10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2">
        <f>IF($J223="","",TODAY()-$J223)</f>
        <v/>
      </c>
      <c r="AB223" s="12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IF($AE223="","",IF((IFERROR(INDEX('ASIGNACIONES'!$F$4:$F$339,MATCH($O223&amp;"|"&amp;$R223&amp;"|"&amp;$AE223,'ASIGNACIONES'!$J$4:$J$339,0)),""))=0,"",IFERROR(INDEX('ASIGNACIONES'!$F$4:$F$339,MATCH($O223&amp;"|"&amp;$R223&amp;"|"&amp;$AE223,'ASIGNACIONES'!$J$4:$J$339,0)),"")))</f>
        <v/>
      </c>
      <c r="AG223" s="13">
        <f>IF($AE223="","",SUMIFS('ORDENES'!$M$4:$M$1203,'ORDENES'!$AE$4:$AE$1203,$AE223,'ORDENES'!$O$4:$O$1203,$O223,'ORDENES'!$R$4:$R$1203,$R223))</f>
        <v/>
      </c>
      <c r="AH223" s="13">
        <f>IF($AG223="","",p_factor_productividad*IFERROR(INDEX('ASIGNACIONES'!$I$4:$I$339,MATCH($O223&amp;"|"&amp;$R223&amp;"|"&amp;$AE223,'ASIGNACIONES'!$J$4:$J$339,0)),0)-$AG223)</f>
        <v/>
      </c>
      <c r="AI223" s="10">
        <f>IF($A223="","",IFERROR(INDEX('2_IMPORTAR_EJECUCION'!$F$9:$F$1208,MATCH($AQ223,'2_IMPORTAR_EJECUCION'!$J$9:$J$1208,0)),0))</f>
        <v/>
      </c>
      <c r="AJ223" s="10">
        <f>IF($A223="","",MAX(0,IFERROR(INDEX('2_IMPORTAR_EJECUCION'!$H$9:$H$1208,MATCH($AQ223,'2_IMPORTAR_EJECUCION'!$J$9:$J$1208,0)),0)-$AI223))</f>
        <v/>
      </c>
      <c r="AK223" s="10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2">
        <f>IF($J224="","",TODAY()-$J224)</f>
        <v/>
      </c>
      <c r="AB224" s="12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IF($AE224="","",IF((IFERROR(INDEX('ASIGNACIONES'!$F$4:$F$339,MATCH($O224&amp;"|"&amp;$R224&amp;"|"&amp;$AE224,'ASIGNACIONES'!$J$4:$J$339,0)),""))=0,"",IFERROR(INDEX('ASIGNACIONES'!$F$4:$F$339,MATCH($O224&amp;"|"&amp;$R224&amp;"|"&amp;$AE224,'ASIGNACIONES'!$J$4:$J$339,0)),"")))</f>
        <v/>
      </c>
      <c r="AG224" s="13">
        <f>IF($AE224="","",SUMIFS('ORDENES'!$M$4:$M$1203,'ORDENES'!$AE$4:$AE$1203,$AE224,'ORDENES'!$O$4:$O$1203,$O224,'ORDENES'!$R$4:$R$1203,$R224))</f>
        <v/>
      </c>
      <c r="AH224" s="13">
        <f>IF($AG224="","",p_factor_productividad*IFERROR(INDEX('ASIGNACIONES'!$I$4:$I$339,MATCH($O224&amp;"|"&amp;$R224&amp;"|"&amp;$AE224,'ASIGNACIONES'!$J$4:$J$339,0)),0)-$AG224)</f>
        <v/>
      </c>
      <c r="AI224" s="10">
        <f>IF($A224="","",IFERROR(INDEX('2_IMPORTAR_EJECUCION'!$F$9:$F$1208,MATCH($AQ224,'2_IMPORTAR_EJECUCION'!$J$9:$J$1208,0)),0))</f>
        <v/>
      </c>
      <c r="AJ224" s="10">
        <f>IF($A224="","",MAX(0,IFERROR(INDEX('2_IMPORTAR_EJECUCION'!$H$9:$H$1208,MATCH($AQ224,'2_IMPORTAR_EJECUCION'!$J$9:$J$1208,0)),0)-$AI224))</f>
        <v/>
      </c>
      <c r="AK224" s="10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2">
        <f>IF($J225="","",TODAY()-$J225)</f>
        <v/>
      </c>
      <c r="AB225" s="12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IF($AE225="","",IF((IFERROR(INDEX('ASIGNACIONES'!$F$4:$F$339,MATCH($O225&amp;"|"&amp;$R225&amp;"|"&amp;$AE225,'ASIGNACIONES'!$J$4:$J$339,0)),""))=0,"",IFERROR(INDEX('ASIGNACIONES'!$F$4:$F$339,MATCH($O225&amp;"|"&amp;$R225&amp;"|"&amp;$AE225,'ASIGNACIONES'!$J$4:$J$339,0)),"")))</f>
        <v/>
      </c>
      <c r="AG225" s="13">
        <f>IF($AE225="","",SUMIFS('ORDENES'!$M$4:$M$1203,'ORDENES'!$AE$4:$AE$1203,$AE225,'ORDENES'!$O$4:$O$1203,$O225,'ORDENES'!$R$4:$R$1203,$R225))</f>
        <v/>
      </c>
      <c r="AH225" s="13">
        <f>IF($AG225="","",p_factor_productividad*IFERROR(INDEX('ASIGNACIONES'!$I$4:$I$339,MATCH($O225&amp;"|"&amp;$R225&amp;"|"&amp;$AE225,'ASIGNACIONES'!$J$4:$J$339,0)),0)-$AG225)</f>
        <v/>
      </c>
      <c r="AI225" s="10">
        <f>IF($A225="","",IFERROR(INDEX('2_IMPORTAR_EJECUCION'!$F$9:$F$1208,MATCH($AQ225,'2_IMPORTAR_EJECUCION'!$J$9:$J$1208,0)),0))</f>
        <v/>
      </c>
      <c r="AJ225" s="10">
        <f>IF($A225="","",MAX(0,IFERROR(INDEX('2_IMPORTAR_EJECUCION'!$H$9:$H$1208,MATCH($AQ225,'2_IMPORTAR_EJECUCION'!$J$9:$J$1208,0)),0)-$AI225))</f>
        <v/>
      </c>
      <c r="AK225" s="10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2">
        <f>IF($J226="","",TODAY()-$J226)</f>
        <v/>
      </c>
      <c r="AB226" s="12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IF($AE226="","",IF((IFERROR(INDEX('ASIGNACIONES'!$F$4:$F$339,MATCH($O226&amp;"|"&amp;$R226&amp;"|"&amp;$AE226,'ASIGNACIONES'!$J$4:$J$339,0)),""))=0,"",IFERROR(INDEX('ASIGNACIONES'!$F$4:$F$339,MATCH($O226&amp;"|"&amp;$R226&amp;"|"&amp;$AE226,'ASIGNACIONES'!$J$4:$J$339,0)),"")))</f>
        <v/>
      </c>
      <c r="AG226" s="13">
        <f>IF($AE226="","",SUMIFS('ORDENES'!$M$4:$M$1203,'ORDENES'!$AE$4:$AE$1203,$AE226,'ORDENES'!$O$4:$O$1203,$O226,'ORDENES'!$R$4:$R$1203,$R226))</f>
        <v/>
      </c>
      <c r="AH226" s="13">
        <f>IF($AG226="","",p_factor_productividad*IFERROR(INDEX('ASIGNACIONES'!$I$4:$I$339,MATCH($O226&amp;"|"&amp;$R226&amp;"|"&amp;$AE226,'ASIGNACIONES'!$J$4:$J$339,0)),0)-$AG226)</f>
        <v/>
      </c>
      <c r="AI226" s="10">
        <f>IF($A226="","",IFERROR(INDEX('2_IMPORTAR_EJECUCION'!$F$9:$F$1208,MATCH($AQ226,'2_IMPORTAR_EJECUCION'!$J$9:$J$1208,0)),0))</f>
        <v/>
      </c>
      <c r="AJ226" s="10">
        <f>IF($A226="","",MAX(0,IFERROR(INDEX('2_IMPORTAR_EJECUCION'!$H$9:$H$1208,MATCH($AQ226,'2_IMPORTAR_EJECUCION'!$J$9:$J$1208,0)),0)-$AI226))</f>
        <v/>
      </c>
      <c r="AK226" s="10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2">
        <f>IF($J227="","",TODAY()-$J227)</f>
        <v/>
      </c>
      <c r="AB227" s="12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IF($AE227="","",IF((IFERROR(INDEX('ASIGNACIONES'!$F$4:$F$339,MATCH($O227&amp;"|"&amp;$R227&amp;"|"&amp;$AE227,'ASIGNACIONES'!$J$4:$J$339,0)),""))=0,"",IFERROR(INDEX('ASIGNACIONES'!$F$4:$F$339,MATCH($O227&amp;"|"&amp;$R227&amp;"|"&amp;$AE227,'ASIGNACIONES'!$J$4:$J$339,0)),"")))</f>
        <v/>
      </c>
      <c r="AG227" s="13">
        <f>IF($AE227="","",SUMIFS('ORDENES'!$M$4:$M$1203,'ORDENES'!$AE$4:$AE$1203,$AE227,'ORDENES'!$O$4:$O$1203,$O227,'ORDENES'!$R$4:$R$1203,$R227))</f>
        <v/>
      </c>
      <c r="AH227" s="13">
        <f>IF($AG227="","",p_factor_productividad*IFERROR(INDEX('ASIGNACIONES'!$I$4:$I$339,MATCH($O227&amp;"|"&amp;$R227&amp;"|"&amp;$AE227,'ASIGNACIONES'!$J$4:$J$339,0)),0)-$AG227)</f>
        <v/>
      </c>
      <c r="AI227" s="10">
        <f>IF($A227="","",IFERROR(INDEX('2_IMPORTAR_EJECUCION'!$F$9:$F$1208,MATCH($AQ227,'2_IMPORTAR_EJECUCION'!$J$9:$J$1208,0)),0))</f>
        <v/>
      </c>
      <c r="AJ227" s="10">
        <f>IF($A227="","",MAX(0,IFERROR(INDEX('2_IMPORTAR_EJECUCION'!$H$9:$H$1208,MATCH($AQ227,'2_IMPORTAR_EJECUCION'!$J$9:$J$1208,0)),0)-$AI227))</f>
        <v/>
      </c>
      <c r="AK227" s="10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2">
        <f>IF($J228="","",TODAY()-$J228)</f>
        <v/>
      </c>
      <c r="AB228" s="12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IF($AE228="","",IF((IFERROR(INDEX('ASIGNACIONES'!$F$4:$F$339,MATCH($O228&amp;"|"&amp;$R228&amp;"|"&amp;$AE228,'ASIGNACIONES'!$J$4:$J$339,0)),""))=0,"",IFERROR(INDEX('ASIGNACIONES'!$F$4:$F$339,MATCH($O228&amp;"|"&amp;$R228&amp;"|"&amp;$AE228,'ASIGNACIONES'!$J$4:$J$339,0)),"")))</f>
        <v/>
      </c>
      <c r="AG228" s="13">
        <f>IF($AE228="","",SUMIFS('ORDENES'!$M$4:$M$1203,'ORDENES'!$AE$4:$AE$1203,$AE228,'ORDENES'!$O$4:$O$1203,$O228,'ORDENES'!$R$4:$R$1203,$R228))</f>
        <v/>
      </c>
      <c r="AH228" s="13">
        <f>IF($AG228="","",p_factor_productividad*IFERROR(INDEX('ASIGNACIONES'!$I$4:$I$339,MATCH($O228&amp;"|"&amp;$R228&amp;"|"&amp;$AE228,'ASIGNACIONES'!$J$4:$J$339,0)),0)-$AG228)</f>
        <v/>
      </c>
      <c r="AI228" s="10">
        <f>IF($A228="","",IFERROR(INDEX('2_IMPORTAR_EJECUCION'!$F$9:$F$1208,MATCH($AQ228,'2_IMPORTAR_EJECUCION'!$J$9:$J$1208,0)),0))</f>
        <v/>
      </c>
      <c r="AJ228" s="10">
        <f>IF($A228="","",MAX(0,IFERROR(INDEX('2_IMPORTAR_EJECUCION'!$H$9:$H$1208,MATCH($AQ228,'2_IMPORTAR_EJECUCION'!$J$9:$J$1208,0)),0)-$AI228))</f>
        <v/>
      </c>
      <c r="AK228" s="10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2">
        <f>IF($J229="","",TODAY()-$J229)</f>
        <v/>
      </c>
      <c r="AB229" s="12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IF($AE229="","",IF((IFERROR(INDEX('ASIGNACIONES'!$F$4:$F$339,MATCH($O229&amp;"|"&amp;$R229&amp;"|"&amp;$AE229,'ASIGNACIONES'!$J$4:$J$339,0)),""))=0,"",IFERROR(INDEX('ASIGNACIONES'!$F$4:$F$339,MATCH($O229&amp;"|"&amp;$R229&amp;"|"&amp;$AE229,'ASIGNACIONES'!$J$4:$J$339,0)),"")))</f>
        <v/>
      </c>
      <c r="AG229" s="13">
        <f>IF($AE229="","",SUMIFS('ORDENES'!$M$4:$M$1203,'ORDENES'!$AE$4:$AE$1203,$AE229,'ORDENES'!$O$4:$O$1203,$O229,'ORDENES'!$R$4:$R$1203,$R229))</f>
        <v/>
      </c>
      <c r="AH229" s="13">
        <f>IF($AG229="","",p_factor_productividad*IFERROR(INDEX('ASIGNACIONES'!$I$4:$I$339,MATCH($O229&amp;"|"&amp;$R229&amp;"|"&amp;$AE229,'ASIGNACIONES'!$J$4:$J$339,0)),0)-$AG229)</f>
        <v/>
      </c>
      <c r="AI229" s="10">
        <f>IF($A229="","",IFERROR(INDEX('2_IMPORTAR_EJECUCION'!$F$9:$F$1208,MATCH($AQ229,'2_IMPORTAR_EJECUCION'!$J$9:$J$1208,0)),0))</f>
        <v/>
      </c>
      <c r="AJ229" s="10">
        <f>IF($A229="","",MAX(0,IFERROR(INDEX('2_IMPORTAR_EJECUCION'!$H$9:$H$1208,MATCH($AQ229,'2_IMPORTAR_EJECUCION'!$J$9:$J$1208,0)),0)-$AI229))</f>
        <v/>
      </c>
      <c r="AK229" s="10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2">
        <f>IF($J230="","",TODAY()-$J230)</f>
        <v/>
      </c>
      <c r="AB230" s="12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IF($AE230="","",IF((IFERROR(INDEX('ASIGNACIONES'!$F$4:$F$339,MATCH($O230&amp;"|"&amp;$R230&amp;"|"&amp;$AE230,'ASIGNACIONES'!$J$4:$J$339,0)),""))=0,"",IFERROR(INDEX('ASIGNACIONES'!$F$4:$F$339,MATCH($O230&amp;"|"&amp;$R230&amp;"|"&amp;$AE230,'ASIGNACIONES'!$J$4:$J$339,0)),"")))</f>
        <v/>
      </c>
      <c r="AG230" s="13">
        <f>IF($AE230="","",SUMIFS('ORDENES'!$M$4:$M$1203,'ORDENES'!$AE$4:$AE$1203,$AE230,'ORDENES'!$O$4:$O$1203,$O230,'ORDENES'!$R$4:$R$1203,$R230))</f>
        <v/>
      </c>
      <c r="AH230" s="13">
        <f>IF($AG230="","",p_factor_productividad*IFERROR(INDEX('ASIGNACIONES'!$I$4:$I$339,MATCH($O230&amp;"|"&amp;$R230&amp;"|"&amp;$AE230,'ASIGNACIONES'!$J$4:$J$339,0)),0)-$AG230)</f>
        <v/>
      </c>
      <c r="AI230" s="10">
        <f>IF($A230="","",IFERROR(INDEX('2_IMPORTAR_EJECUCION'!$F$9:$F$1208,MATCH($AQ230,'2_IMPORTAR_EJECUCION'!$J$9:$J$1208,0)),0))</f>
        <v/>
      </c>
      <c r="AJ230" s="10">
        <f>IF($A230="","",MAX(0,IFERROR(INDEX('2_IMPORTAR_EJECUCION'!$H$9:$H$1208,MATCH($AQ230,'2_IMPORTAR_EJECUCION'!$J$9:$J$1208,0)),0)-$AI230))</f>
        <v/>
      </c>
      <c r="AK230" s="10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2">
        <f>IF($J231="","",TODAY()-$J231)</f>
        <v/>
      </c>
      <c r="AB231" s="12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IF($AE231="","",IF((IFERROR(INDEX('ASIGNACIONES'!$F$4:$F$339,MATCH($O231&amp;"|"&amp;$R231&amp;"|"&amp;$AE231,'ASIGNACIONES'!$J$4:$J$339,0)),""))=0,"",IFERROR(INDEX('ASIGNACIONES'!$F$4:$F$339,MATCH($O231&amp;"|"&amp;$R231&amp;"|"&amp;$AE231,'ASIGNACIONES'!$J$4:$J$339,0)),"")))</f>
        <v/>
      </c>
      <c r="AG231" s="13">
        <f>IF($AE231="","",SUMIFS('ORDENES'!$M$4:$M$1203,'ORDENES'!$AE$4:$AE$1203,$AE231,'ORDENES'!$O$4:$O$1203,$O231,'ORDENES'!$R$4:$R$1203,$R231))</f>
        <v/>
      </c>
      <c r="AH231" s="13">
        <f>IF($AG231="","",p_factor_productividad*IFERROR(INDEX('ASIGNACIONES'!$I$4:$I$339,MATCH($O231&amp;"|"&amp;$R231&amp;"|"&amp;$AE231,'ASIGNACIONES'!$J$4:$J$339,0)),0)-$AG231)</f>
        <v/>
      </c>
      <c r="AI231" s="10">
        <f>IF($A231="","",IFERROR(INDEX('2_IMPORTAR_EJECUCION'!$F$9:$F$1208,MATCH($AQ231,'2_IMPORTAR_EJECUCION'!$J$9:$J$1208,0)),0))</f>
        <v/>
      </c>
      <c r="AJ231" s="10">
        <f>IF($A231="","",MAX(0,IFERROR(INDEX('2_IMPORTAR_EJECUCION'!$H$9:$H$1208,MATCH($AQ231,'2_IMPORTAR_EJECUCION'!$J$9:$J$1208,0)),0)-$AI231))</f>
        <v/>
      </c>
      <c r="AK231" s="10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2">
        <f>IF($J232="","",TODAY()-$J232)</f>
        <v/>
      </c>
      <c r="AB232" s="12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IF($AE232="","",IF((IFERROR(INDEX('ASIGNACIONES'!$F$4:$F$339,MATCH($O232&amp;"|"&amp;$R232&amp;"|"&amp;$AE232,'ASIGNACIONES'!$J$4:$J$339,0)),""))=0,"",IFERROR(INDEX('ASIGNACIONES'!$F$4:$F$339,MATCH($O232&amp;"|"&amp;$R232&amp;"|"&amp;$AE232,'ASIGNACIONES'!$J$4:$J$339,0)),"")))</f>
        <v/>
      </c>
      <c r="AG232" s="13">
        <f>IF($AE232="","",SUMIFS('ORDENES'!$M$4:$M$1203,'ORDENES'!$AE$4:$AE$1203,$AE232,'ORDENES'!$O$4:$O$1203,$O232,'ORDENES'!$R$4:$R$1203,$R232))</f>
        <v/>
      </c>
      <c r="AH232" s="13">
        <f>IF($AG232="","",p_factor_productividad*IFERROR(INDEX('ASIGNACIONES'!$I$4:$I$339,MATCH($O232&amp;"|"&amp;$R232&amp;"|"&amp;$AE232,'ASIGNACIONES'!$J$4:$J$339,0)),0)-$AG232)</f>
        <v/>
      </c>
      <c r="AI232" s="10">
        <f>IF($A232="","",IFERROR(INDEX('2_IMPORTAR_EJECUCION'!$F$9:$F$1208,MATCH($AQ232,'2_IMPORTAR_EJECUCION'!$J$9:$J$1208,0)),0))</f>
        <v/>
      </c>
      <c r="AJ232" s="10">
        <f>IF($A232="","",MAX(0,IFERROR(INDEX('2_IMPORTAR_EJECUCION'!$H$9:$H$1208,MATCH($AQ232,'2_IMPORTAR_EJECUCION'!$J$9:$J$1208,0)),0)-$AI232))</f>
        <v/>
      </c>
      <c r="AK232" s="10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2">
        <f>IF($J233="","",TODAY()-$J233)</f>
        <v/>
      </c>
      <c r="AB233" s="12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IF($AE233="","",IF((IFERROR(INDEX('ASIGNACIONES'!$F$4:$F$339,MATCH($O233&amp;"|"&amp;$R233&amp;"|"&amp;$AE233,'ASIGNACIONES'!$J$4:$J$339,0)),""))=0,"",IFERROR(INDEX('ASIGNACIONES'!$F$4:$F$339,MATCH($O233&amp;"|"&amp;$R233&amp;"|"&amp;$AE233,'ASIGNACIONES'!$J$4:$J$339,0)),"")))</f>
        <v/>
      </c>
      <c r="AG233" s="13">
        <f>IF($AE233="","",SUMIFS('ORDENES'!$M$4:$M$1203,'ORDENES'!$AE$4:$AE$1203,$AE233,'ORDENES'!$O$4:$O$1203,$O233,'ORDENES'!$R$4:$R$1203,$R233))</f>
        <v/>
      </c>
      <c r="AH233" s="13">
        <f>IF($AG233="","",p_factor_productividad*IFERROR(INDEX('ASIGNACIONES'!$I$4:$I$339,MATCH($O233&amp;"|"&amp;$R233&amp;"|"&amp;$AE233,'ASIGNACIONES'!$J$4:$J$339,0)),0)-$AG233)</f>
        <v/>
      </c>
      <c r="AI233" s="10">
        <f>IF($A233="","",IFERROR(INDEX('2_IMPORTAR_EJECUCION'!$F$9:$F$1208,MATCH($AQ233,'2_IMPORTAR_EJECUCION'!$J$9:$J$1208,0)),0))</f>
        <v/>
      </c>
      <c r="AJ233" s="10">
        <f>IF($A233="","",MAX(0,IFERROR(INDEX('2_IMPORTAR_EJECUCION'!$H$9:$H$1208,MATCH($AQ233,'2_IMPORTAR_EJECUCION'!$J$9:$J$1208,0)),0)-$AI233))</f>
        <v/>
      </c>
      <c r="AK233" s="10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2">
        <f>IF($J234="","",TODAY()-$J234)</f>
        <v/>
      </c>
      <c r="AB234" s="12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IF($AE234="","",IF((IFERROR(INDEX('ASIGNACIONES'!$F$4:$F$339,MATCH($O234&amp;"|"&amp;$R234&amp;"|"&amp;$AE234,'ASIGNACIONES'!$J$4:$J$339,0)),""))=0,"",IFERROR(INDEX('ASIGNACIONES'!$F$4:$F$339,MATCH($O234&amp;"|"&amp;$R234&amp;"|"&amp;$AE234,'ASIGNACIONES'!$J$4:$J$339,0)),"")))</f>
        <v/>
      </c>
      <c r="AG234" s="13">
        <f>IF($AE234="","",SUMIFS('ORDENES'!$M$4:$M$1203,'ORDENES'!$AE$4:$AE$1203,$AE234,'ORDENES'!$O$4:$O$1203,$O234,'ORDENES'!$R$4:$R$1203,$R234))</f>
        <v/>
      </c>
      <c r="AH234" s="13">
        <f>IF($AG234="","",p_factor_productividad*IFERROR(INDEX('ASIGNACIONES'!$I$4:$I$339,MATCH($O234&amp;"|"&amp;$R234&amp;"|"&amp;$AE234,'ASIGNACIONES'!$J$4:$J$339,0)),0)-$AG234)</f>
        <v/>
      </c>
      <c r="AI234" s="10">
        <f>IF($A234="","",IFERROR(INDEX('2_IMPORTAR_EJECUCION'!$F$9:$F$1208,MATCH($AQ234,'2_IMPORTAR_EJECUCION'!$J$9:$J$1208,0)),0))</f>
        <v/>
      </c>
      <c r="AJ234" s="10">
        <f>IF($A234="","",MAX(0,IFERROR(INDEX('2_IMPORTAR_EJECUCION'!$H$9:$H$1208,MATCH($AQ234,'2_IMPORTAR_EJECUCION'!$J$9:$J$1208,0)),0)-$AI234))</f>
        <v/>
      </c>
      <c r="AK234" s="10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2">
        <f>IF($J235="","",TODAY()-$J235)</f>
        <v/>
      </c>
      <c r="AB235" s="12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IF($AE235="","",IF((IFERROR(INDEX('ASIGNACIONES'!$F$4:$F$339,MATCH($O235&amp;"|"&amp;$R235&amp;"|"&amp;$AE235,'ASIGNACIONES'!$J$4:$J$339,0)),""))=0,"",IFERROR(INDEX('ASIGNACIONES'!$F$4:$F$339,MATCH($O235&amp;"|"&amp;$R235&amp;"|"&amp;$AE235,'ASIGNACIONES'!$J$4:$J$339,0)),"")))</f>
        <v/>
      </c>
      <c r="AG235" s="13">
        <f>IF($AE235="","",SUMIFS('ORDENES'!$M$4:$M$1203,'ORDENES'!$AE$4:$AE$1203,$AE235,'ORDENES'!$O$4:$O$1203,$O235,'ORDENES'!$R$4:$R$1203,$R235))</f>
        <v/>
      </c>
      <c r="AH235" s="13">
        <f>IF($AG235="","",p_factor_productividad*IFERROR(INDEX('ASIGNACIONES'!$I$4:$I$339,MATCH($O235&amp;"|"&amp;$R235&amp;"|"&amp;$AE235,'ASIGNACIONES'!$J$4:$J$339,0)),0)-$AG235)</f>
        <v/>
      </c>
      <c r="AI235" s="10">
        <f>IF($A235="","",IFERROR(INDEX('2_IMPORTAR_EJECUCION'!$F$9:$F$1208,MATCH($AQ235,'2_IMPORTAR_EJECUCION'!$J$9:$J$1208,0)),0))</f>
        <v/>
      </c>
      <c r="AJ235" s="10">
        <f>IF($A235="","",MAX(0,IFERROR(INDEX('2_IMPORTAR_EJECUCION'!$H$9:$H$1208,MATCH($AQ235,'2_IMPORTAR_EJECUCION'!$J$9:$J$1208,0)),0)-$AI235))</f>
        <v/>
      </c>
      <c r="AK235" s="10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2">
        <f>IF($J236="","",TODAY()-$J236)</f>
        <v/>
      </c>
      <c r="AB236" s="12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IF($AE236="","",IF((IFERROR(INDEX('ASIGNACIONES'!$F$4:$F$339,MATCH($O236&amp;"|"&amp;$R236&amp;"|"&amp;$AE236,'ASIGNACIONES'!$J$4:$J$339,0)),""))=0,"",IFERROR(INDEX('ASIGNACIONES'!$F$4:$F$339,MATCH($O236&amp;"|"&amp;$R236&amp;"|"&amp;$AE236,'ASIGNACIONES'!$J$4:$J$339,0)),"")))</f>
        <v/>
      </c>
      <c r="AG236" s="13">
        <f>IF($AE236="","",SUMIFS('ORDENES'!$M$4:$M$1203,'ORDENES'!$AE$4:$AE$1203,$AE236,'ORDENES'!$O$4:$O$1203,$O236,'ORDENES'!$R$4:$R$1203,$R236))</f>
        <v/>
      </c>
      <c r="AH236" s="13">
        <f>IF($AG236="","",p_factor_productividad*IFERROR(INDEX('ASIGNACIONES'!$I$4:$I$339,MATCH($O236&amp;"|"&amp;$R236&amp;"|"&amp;$AE236,'ASIGNACIONES'!$J$4:$J$339,0)),0)-$AG236)</f>
        <v/>
      </c>
      <c r="AI236" s="10">
        <f>IF($A236="","",IFERROR(INDEX('2_IMPORTAR_EJECUCION'!$F$9:$F$1208,MATCH($AQ236,'2_IMPORTAR_EJECUCION'!$J$9:$J$1208,0)),0))</f>
        <v/>
      </c>
      <c r="AJ236" s="10">
        <f>IF($A236="","",MAX(0,IFERROR(INDEX('2_IMPORTAR_EJECUCION'!$H$9:$H$1208,MATCH($AQ236,'2_IMPORTAR_EJECUCION'!$J$9:$J$1208,0)),0)-$AI236))</f>
        <v/>
      </c>
      <c r="AK236" s="10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2">
        <f>IF($J237="","",TODAY()-$J237)</f>
        <v/>
      </c>
      <c r="AB237" s="12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IF($AE237="","",IF((IFERROR(INDEX('ASIGNACIONES'!$F$4:$F$339,MATCH($O237&amp;"|"&amp;$R237&amp;"|"&amp;$AE237,'ASIGNACIONES'!$J$4:$J$339,0)),""))=0,"",IFERROR(INDEX('ASIGNACIONES'!$F$4:$F$339,MATCH($O237&amp;"|"&amp;$R237&amp;"|"&amp;$AE237,'ASIGNACIONES'!$J$4:$J$339,0)),"")))</f>
        <v/>
      </c>
      <c r="AG237" s="13">
        <f>IF($AE237="","",SUMIFS('ORDENES'!$M$4:$M$1203,'ORDENES'!$AE$4:$AE$1203,$AE237,'ORDENES'!$O$4:$O$1203,$O237,'ORDENES'!$R$4:$R$1203,$R237))</f>
        <v/>
      </c>
      <c r="AH237" s="13">
        <f>IF($AG237="","",p_factor_productividad*IFERROR(INDEX('ASIGNACIONES'!$I$4:$I$339,MATCH($O237&amp;"|"&amp;$R237&amp;"|"&amp;$AE237,'ASIGNACIONES'!$J$4:$J$339,0)),0)-$AG237)</f>
        <v/>
      </c>
      <c r="AI237" s="10">
        <f>IF($A237="","",IFERROR(INDEX('2_IMPORTAR_EJECUCION'!$F$9:$F$1208,MATCH($AQ237,'2_IMPORTAR_EJECUCION'!$J$9:$J$1208,0)),0))</f>
        <v/>
      </c>
      <c r="AJ237" s="10">
        <f>IF($A237="","",MAX(0,IFERROR(INDEX('2_IMPORTAR_EJECUCION'!$H$9:$H$1208,MATCH($AQ237,'2_IMPORTAR_EJECUCION'!$J$9:$J$1208,0)),0)-$AI237))</f>
        <v/>
      </c>
      <c r="AK237" s="10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2">
        <f>IF($J238="","",TODAY()-$J238)</f>
        <v/>
      </c>
      <c r="AB238" s="12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IF($AE238="","",IF((IFERROR(INDEX('ASIGNACIONES'!$F$4:$F$339,MATCH($O238&amp;"|"&amp;$R238&amp;"|"&amp;$AE238,'ASIGNACIONES'!$J$4:$J$339,0)),""))=0,"",IFERROR(INDEX('ASIGNACIONES'!$F$4:$F$339,MATCH($O238&amp;"|"&amp;$R238&amp;"|"&amp;$AE238,'ASIGNACIONES'!$J$4:$J$339,0)),"")))</f>
        <v/>
      </c>
      <c r="AG238" s="13">
        <f>IF($AE238="","",SUMIFS('ORDENES'!$M$4:$M$1203,'ORDENES'!$AE$4:$AE$1203,$AE238,'ORDENES'!$O$4:$O$1203,$O238,'ORDENES'!$R$4:$R$1203,$R238))</f>
        <v/>
      </c>
      <c r="AH238" s="13">
        <f>IF($AG238="","",p_factor_productividad*IFERROR(INDEX('ASIGNACIONES'!$I$4:$I$339,MATCH($O238&amp;"|"&amp;$R238&amp;"|"&amp;$AE238,'ASIGNACIONES'!$J$4:$J$339,0)),0)-$AG238)</f>
        <v/>
      </c>
      <c r="AI238" s="10">
        <f>IF($A238="","",IFERROR(INDEX('2_IMPORTAR_EJECUCION'!$F$9:$F$1208,MATCH($AQ238,'2_IMPORTAR_EJECUCION'!$J$9:$J$1208,0)),0))</f>
        <v/>
      </c>
      <c r="AJ238" s="10">
        <f>IF($A238="","",MAX(0,IFERROR(INDEX('2_IMPORTAR_EJECUCION'!$H$9:$H$1208,MATCH($AQ238,'2_IMPORTAR_EJECUCION'!$J$9:$J$1208,0)),0)-$AI238))</f>
        <v/>
      </c>
      <c r="AK238" s="10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2">
        <f>IF($J239="","",TODAY()-$J239)</f>
        <v/>
      </c>
      <c r="AB239" s="12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IF($AE239="","",IF((IFERROR(INDEX('ASIGNACIONES'!$F$4:$F$339,MATCH($O239&amp;"|"&amp;$R239&amp;"|"&amp;$AE239,'ASIGNACIONES'!$J$4:$J$339,0)),""))=0,"",IFERROR(INDEX('ASIGNACIONES'!$F$4:$F$339,MATCH($O239&amp;"|"&amp;$R239&amp;"|"&amp;$AE239,'ASIGNACIONES'!$J$4:$J$339,0)),"")))</f>
        <v/>
      </c>
      <c r="AG239" s="13">
        <f>IF($AE239="","",SUMIFS('ORDENES'!$M$4:$M$1203,'ORDENES'!$AE$4:$AE$1203,$AE239,'ORDENES'!$O$4:$O$1203,$O239,'ORDENES'!$R$4:$R$1203,$R239))</f>
        <v/>
      </c>
      <c r="AH239" s="13">
        <f>IF($AG239="","",p_factor_productividad*IFERROR(INDEX('ASIGNACIONES'!$I$4:$I$339,MATCH($O239&amp;"|"&amp;$R239&amp;"|"&amp;$AE239,'ASIGNACIONES'!$J$4:$J$339,0)),0)-$AG239)</f>
        <v/>
      </c>
      <c r="AI239" s="10">
        <f>IF($A239="","",IFERROR(INDEX('2_IMPORTAR_EJECUCION'!$F$9:$F$1208,MATCH($AQ239,'2_IMPORTAR_EJECUCION'!$J$9:$J$1208,0)),0))</f>
        <v/>
      </c>
      <c r="AJ239" s="10">
        <f>IF($A239="","",MAX(0,IFERROR(INDEX('2_IMPORTAR_EJECUCION'!$H$9:$H$1208,MATCH($AQ239,'2_IMPORTAR_EJECUCION'!$J$9:$J$1208,0)),0)-$AI239))</f>
        <v/>
      </c>
      <c r="AK239" s="10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2">
        <f>IF($J240="","",TODAY()-$J240)</f>
        <v/>
      </c>
      <c r="AB240" s="12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IF($AE240="","",IF((IFERROR(INDEX('ASIGNACIONES'!$F$4:$F$339,MATCH($O240&amp;"|"&amp;$R240&amp;"|"&amp;$AE240,'ASIGNACIONES'!$J$4:$J$339,0)),""))=0,"",IFERROR(INDEX('ASIGNACIONES'!$F$4:$F$339,MATCH($O240&amp;"|"&amp;$R240&amp;"|"&amp;$AE240,'ASIGNACIONES'!$J$4:$J$339,0)),"")))</f>
        <v/>
      </c>
      <c r="AG240" s="13">
        <f>IF($AE240="","",SUMIFS('ORDENES'!$M$4:$M$1203,'ORDENES'!$AE$4:$AE$1203,$AE240,'ORDENES'!$O$4:$O$1203,$O240,'ORDENES'!$R$4:$R$1203,$R240))</f>
        <v/>
      </c>
      <c r="AH240" s="13">
        <f>IF($AG240="","",p_factor_productividad*IFERROR(INDEX('ASIGNACIONES'!$I$4:$I$339,MATCH($O240&amp;"|"&amp;$R240&amp;"|"&amp;$AE240,'ASIGNACIONES'!$J$4:$J$339,0)),0)-$AG240)</f>
        <v/>
      </c>
      <c r="AI240" s="10">
        <f>IF($A240="","",IFERROR(INDEX('2_IMPORTAR_EJECUCION'!$F$9:$F$1208,MATCH($AQ240,'2_IMPORTAR_EJECUCION'!$J$9:$J$1208,0)),0))</f>
        <v/>
      </c>
      <c r="AJ240" s="10">
        <f>IF($A240="","",MAX(0,IFERROR(INDEX('2_IMPORTAR_EJECUCION'!$H$9:$H$1208,MATCH($AQ240,'2_IMPORTAR_EJECUCION'!$J$9:$J$1208,0)),0)-$AI240))</f>
        <v/>
      </c>
      <c r="AK240" s="10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2">
        <f>IF($J241="","",TODAY()-$J241)</f>
        <v/>
      </c>
      <c r="AB241" s="12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IF($AE241="","",IF((IFERROR(INDEX('ASIGNACIONES'!$F$4:$F$339,MATCH($O241&amp;"|"&amp;$R241&amp;"|"&amp;$AE241,'ASIGNACIONES'!$J$4:$J$339,0)),""))=0,"",IFERROR(INDEX('ASIGNACIONES'!$F$4:$F$339,MATCH($O241&amp;"|"&amp;$R241&amp;"|"&amp;$AE241,'ASIGNACIONES'!$J$4:$J$339,0)),"")))</f>
        <v/>
      </c>
      <c r="AG241" s="13">
        <f>IF($AE241="","",SUMIFS('ORDENES'!$M$4:$M$1203,'ORDENES'!$AE$4:$AE$1203,$AE241,'ORDENES'!$O$4:$O$1203,$O241,'ORDENES'!$R$4:$R$1203,$R241))</f>
        <v/>
      </c>
      <c r="AH241" s="13">
        <f>IF($AG241="","",p_factor_productividad*IFERROR(INDEX('ASIGNACIONES'!$I$4:$I$339,MATCH($O241&amp;"|"&amp;$R241&amp;"|"&amp;$AE241,'ASIGNACIONES'!$J$4:$J$339,0)),0)-$AG241)</f>
        <v/>
      </c>
      <c r="AI241" s="10">
        <f>IF($A241="","",IFERROR(INDEX('2_IMPORTAR_EJECUCION'!$F$9:$F$1208,MATCH($AQ241,'2_IMPORTAR_EJECUCION'!$J$9:$J$1208,0)),0))</f>
        <v/>
      </c>
      <c r="AJ241" s="10">
        <f>IF($A241="","",MAX(0,IFERROR(INDEX('2_IMPORTAR_EJECUCION'!$H$9:$H$1208,MATCH($AQ241,'2_IMPORTAR_EJECUCION'!$J$9:$J$1208,0)),0)-$AI241))</f>
        <v/>
      </c>
      <c r="AK241" s="10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2">
        <f>IF($J242="","",TODAY()-$J242)</f>
        <v/>
      </c>
      <c r="AB242" s="12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IF($AE242="","",IF((IFERROR(INDEX('ASIGNACIONES'!$F$4:$F$339,MATCH($O242&amp;"|"&amp;$R242&amp;"|"&amp;$AE242,'ASIGNACIONES'!$J$4:$J$339,0)),""))=0,"",IFERROR(INDEX('ASIGNACIONES'!$F$4:$F$339,MATCH($O242&amp;"|"&amp;$R242&amp;"|"&amp;$AE242,'ASIGNACIONES'!$J$4:$J$339,0)),"")))</f>
        <v/>
      </c>
      <c r="AG242" s="13">
        <f>IF($AE242="","",SUMIFS('ORDENES'!$M$4:$M$1203,'ORDENES'!$AE$4:$AE$1203,$AE242,'ORDENES'!$O$4:$O$1203,$O242,'ORDENES'!$R$4:$R$1203,$R242))</f>
        <v/>
      </c>
      <c r="AH242" s="13">
        <f>IF($AG242="","",p_factor_productividad*IFERROR(INDEX('ASIGNACIONES'!$I$4:$I$339,MATCH($O242&amp;"|"&amp;$R242&amp;"|"&amp;$AE242,'ASIGNACIONES'!$J$4:$J$339,0)),0)-$AG242)</f>
        <v/>
      </c>
      <c r="AI242" s="10">
        <f>IF($A242="","",IFERROR(INDEX('2_IMPORTAR_EJECUCION'!$F$9:$F$1208,MATCH($AQ242,'2_IMPORTAR_EJECUCION'!$J$9:$J$1208,0)),0))</f>
        <v/>
      </c>
      <c r="AJ242" s="10">
        <f>IF($A242="","",MAX(0,IFERROR(INDEX('2_IMPORTAR_EJECUCION'!$H$9:$H$1208,MATCH($AQ242,'2_IMPORTAR_EJECUCION'!$J$9:$J$1208,0)),0)-$AI242))</f>
        <v/>
      </c>
      <c r="AK242" s="10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2">
        <f>IF($J243="","",TODAY()-$J243)</f>
        <v/>
      </c>
      <c r="AB243" s="12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IF($AE243="","",IF((IFERROR(INDEX('ASIGNACIONES'!$F$4:$F$339,MATCH($O243&amp;"|"&amp;$R243&amp;"|"&amp;$AE243,'ASIGNACIONES'!$J$4:$J$339,0)),""))=0,"",IFERROR(INDEX('ASIGNACIONES'!$F$4:$F$339,MATCH($O243&amp;"|"&amp;$R243&amp;"|"&amp;$AE243,'ASIGNACIONES'!$J$4:$J$339,0)),"")))</f>
        <v/>
      </c>
      <c r="AG243" s="13">
        <f>IF($AE243="","",SUMIFS('ORDENES'!$M$4:$M$1203,'ORDENES'!$AE$4:$AE$1203,$AE243,'ORDENES'!$O$4:$O$1203,$O243,'ORDENES'!$R$4:$R$1203,$R243))</f>
        <v/>
      </c>
      <c r="AH243" s="13">
        <f>IF($AG243="","",p_factor_productividad*IFERROR(INDEX('ASIGNACIONES'!$I$4:$I$339,MATCH($O243&amp;"|"&amp;$R243&amp;"|"&amp;$AE243,'ASIGNACIONES'!$J$4:$J$339,0)),0)-$AG243)</f>
        <v/>
      </c>
      <c r="AI243" s="10">
        <f>IF($A243="","",IFERROR(INDEX('2_IMPORTAR_EJECUCION'!$F$9:$F$1208,MATCH($AQ243,'2_IMPORTAR_EJECUCION'!$J$9:$J$1208,0)),0))</f>
        <v/>
      </c>
      <c r="AJ243" s="10">
        <f>IF($A243="","",MAX(0,IFERROR(INDEX('2_IMPORTAR_EJECUCION'!$H$9:$H$1208,MATCH($AQ243,'2_IMPORTAR_EJECUCION'!$J$9:$J$1208,0)),0)-$AI243))</f>
        <v/>
      </c>
      <c r="AK243" s="10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2">
        <f>IF($J244="","",TODAY()-$J244)</f>
        <v/>
      </c>
      <c r="AB244" s="12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IF($AE244="","",IF((IFERROR(INDEX('ASIGNACIONES'!$F$4:$F$339,MATCH($O244&amp;"|"&amp;$R244&amp;"|"&amp;$AE244,'ASIGNACIONES'!$J$4:$J$339,0)),""))=0,"",IFERROR(INDEX('ASIGNACIONES'!$F$4:$F$339,MATCH($O244&amp;"|"&amp;$R244&amp;"|"&amp;$AE244,'ASIGNACIONES'!$J$4:$J$339,0)),"")))</f>
        <v/>
      </c>
      <c r="AG244" s="13">
        <f>IF($AE244="","",SUMIFS('ORDENES'!$M$4:$M$1203,'ORDENES'!$AE$4:$AE$1203,$AE244,'ORDENES'!$O$4:$O$1203,$O244,'ORDENES'!$R$4:$R$1203,$R244))</f>
        <v/>
      </c>
      <c r="AH244" s="13">
        <f>IF($AG244="","",p_factor_productividad*IFERROR(INDEX('ASIGNACIONES'!$I$4:$I$339,MATCH($O244&amp;"|"&amp;$R244&amp;"|"&amp;$AE244,'ASIGNACIONES'!$J$4:$J$339,0)),0)-$AG244)</f>
        <v/>
      </c>
      <c r="AI244" s="10">
        <f>IF($A244="","",IFERROR(INDEX('2_IMPORTAR_EJECUCION'!$F$9:$F$1208,MATCH($AQ244,'2_IMPORTAR_EJECUCION'!$J$9:$J$1208,0)),0))</f>
        <v/>
      </c>
      <c r="AJ244" s="10">
        <f>IF($A244="","",MAX(0,IFERROR(INDEX('2_IMPORTAR_EJECUCION'!$H$9:$H$1208,MATCH($AQ244,'2_IMPORTAR_EJECUCION'!$J$9:$J$1208,0)),0)-$AI244))</f>
        <v/>
      </c>
      <c r="AK244" s="10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2">
        <f>IF($J245="","",TODAY()-$J245)</f>
        <v/>
      </c>
      <c r="AB245" s="12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IF($AE245="","",IF((IFERROR(INDEX('ASIGNACIONES'!$F$4:$F$339,MATCH($O245&amp;"|"&amp;$R245&amp;"|"&amp;$AE245,'ASIGNACIONES'!$J$4:$J$339,0)),""))=0,"",IFERROR(INDEX('ASIGNACIONES'!$F$4:$F$339,MATCH($O245&amp;"|"&amp;$R245&amp;"|"&amp;$AE245,'ASIGNACIONES'!$J$4:$J$339,0)),"")))</f>
        <v/>
      </c>
      <c r="AG245" s="13">
        <f>IF($AE245="","",SUMIFS('ORDENES'!$M$4:$M$1203,'ORDENES'!$AE$4:$AE$1203,$AE245,'ORDENES'!$O$4:$O$1203,$O245,'ORDENES'!$R$4:$R$1203,$R245))</f>
        <v/>
      </c>
      <c r="AH245" s="13">
        <f>IF($AG245="","",p_factor_productividad*IFERROR(INDEX('ASIGNACIONES'!$I$4:$I$339,MATCH($O245&amp;"|"&amp;$R245&amp;"|"&amp;$AE245,'ASIGNACIONES'!$J$4:$J$339,0)),0)-$AG245)</f>
        <v/>
      </c>
      <c r="AI245" s="10">
        <f>IF($A245="","",IFERROR(INDEX('2_IMPORTAR_EJECUCION'!$F$9:$F$1208,MATCH($AQ245,'2_IMPORTAR_EJECUCION'!$J$9:$J$1208,0)),0))</f>
        <v/>
      </c>
      <c r="AJ245" s="10">
        <f>IF($A245="","",MAX(0,IFERROR(INDEX('2_IMPORTAR_EJECUCION'!$H$9:$H$1208,MATCH($AQ245,'2_IMPORTAR_EJECUCION'!$J$9:$J$1208,0)),0)-$AI245))</f>
        <v/>
      </c>
      <c r="AK245" s="10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2">
        <f>IF($J246="","",TODAY()-$J246)</f>
        <v/>
      </c>
      <c r="AB246" s="12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IF($AE246="","",IF((IFERROR(INDEX('ASIGNACIONES'!$F$4:$F$339,MATCH($O246&amp;"|"&amp;$R246&amp;"|"&amp;$AE246,'ASIGNACIONES'!$J$4:$J$339,0)),""))=0,"",IFERROR(INDEX('ASIGNACIONES'!$F$4:$F$339,MATCH($O246&amp;"|"&amp;$R246&amp;"|"&amp;$AE246,'ASIGNACIONES'!$J$4:$J$339,0)),"")))</f>
        <v/>
      </c>
      <c r="AG246" s="13">
        <f>IF($AE246="","",SUMIFS('ORDENES'!$M$4:$M$1203,'ORDENES'!$AE$4:$AE$1203,$AE246,'ORDENES'!$O$4:$O$1203,$O246,'ORDENES'!$R$4:$R$1203,$R246))</f>
        <v/>
      </c>
      <c r="AH246" s="13">
        <f>IF($AG246="","",p_factor_productividad*IFERROR(INDEX('ASIGNACIONES'!$I$4:$I$339,MATCH($O246&amp;"|"&amp;$R246&amp;"|"&amp;$AE246,'ASIGNACIONES'!$J$4:$J$339,0)),0)-$AG246)</f>
        <v/>
      </c>
      <c r="AI246" s="10">
        <f>IF($A246="","",IFERROR(INDEX('2_IMPORTAR_EJECUCION'!$F$9:$F$1208,MATCH($AQ246,'2_IMPORTAR_EJECUCION'!$J$9:$J$1208,0)),0))</f>
        <v/>
      </c>
      <c r="AJ246" s="10">
        <f>IF($A246="","",MAX(0,IFERROR(INDEX('2_IMPORTAR_EJECUCION'!$H$9:$H$1208,MATCH($AQ246,'2_IMPORTAR_EJECUCION'!$J$9:$J$1208,0)),0)-$AI246))</f>
        <v/>
      </c>
      <c r="AK246" s="10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2">
        <f>IF($J247="","",TODAY()-$J247)</f>
        <v/>
      </c>
      <c r="AB247" s="12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IF($AE247="","",IF((IFERROR(INDEX('ASIGNACIONES'!$F$4:$F$339,MATCH($O247&amp;"|"&amp;$R247&amp;"|"&amp;$AE247,'ASIGNACIONES'!$J$4:$J$339,0)),""))=0,"",IFERROR(INDEX('ASIGNACIONES'!$F$4:$F$339,MATCH($O247&amp;"|"&amp;$R247&amp;"|"&amp;$AE247,'ASIGNACIONES'!$J$4:$J$339,0)),"")))</f>
        <v/>
      </c>
      <c r="AG247" s="13">
        <f>IF($AE247="","",SUMIFS('ORDENES'!$M$4:$M$1203,'ORDENES'!$AE$4:$AE$1203,$AE247,'ORDENES'!$O$4:$O$1203,$O247,'ORDENES'!$R$4:$R$1203,$R247))</f>
        <v/>
      </c>
      <c r="AH247" s="13">
        <f>IF($AG247="","",p_factor_productividad*IFERROR(INDEX('ASIGNACIONES'!$I$4:$I$339,MATCH($O247&amp;"|"&amp;$R247&amp;"|"&amp;$AE247,'ASIGNACIONES'!$J$4:$J$339,0)),0)-$AG247)</f>
        <v/>
      </c>
      <c r="AI247" s="10">
        <f>IF($A247="","",IFERROR(INDEX('2_IMPORTAR_EJECUCION'!$F$9:$F$1208,MATCH($AQ247,'2_IMPORTAR_EJECUCION'!$J$9:$J$1208,0)),0))</f>
        <v/>
      </c>
      <c r="AJ247" s="10">
        <f>IF($A247="","",MAX(0,IFERROR(INDEX('2_IMPORTAR_EJECUCION'!$H$9:$H$1208,MATCH($AQ247,'2_IMPORTAR_EJECUCION'!$J$9:$J$1208,0)),0)-$AI247))</f>
        <v/>
      </c>
      <c r="AK247" s="10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2">
        <f>IF($J248="","",TODAY()-$J248)</f>
        <v/>
      </c>
      <c r="AB248" s="12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IF($AE248="","",IF((IFERROR(INDEX('ASIGNACIONES'!$F$4:$F$339,MATCH($O248&amp;"|"&amp;$R248&amp;"|"&amp;$AE248,'ASIGNACIONES'!$J$4:$J$339,0)),""))=0,"",IFERROR(INDEX('ASIGNACIONES'!$F$4:$F$339,MATCH($O248&amp;"|"&amp;$R248&amp;"|"&amp;$AE248,'ASIGNACIONES'!$J$4:$J$339,0)),"")))</f>
        <v/>
      </c>
      <c r="AG248" s="13">
        <f>IF($AE248="","",SUMIFS('ORDENES'!$M$4:$M$1203,'ORDENES'!$AE$4:$AE$1203,$AE248,'ORDENES'!$O$4:$O$1203,$O248,'ORDENES'!$R$4:$R$1203,$R248))</f>
        <v/>
      </c>
      <c r="AH248" s="13">
        <f>IF($AG248="","",p_factor_productividad*IFERROR(INDEX('ASIGNACIONES'!$I$4:$I$339,MATCH($O248&amp;"|"&amp;$R248&amp;"|"&amp;$AE248,'ASIGNACIONES'!$J$4:$J$339,0)),0)-$AG248)</f>
        <v/>
      </c>
      <c r="AI248" s="10">
        <f>IF($A248="","",IFERROR(INDEX('2_IMPORTAR_EJECUCION'!$F$9:$F$1208,MATCH($AQ248,'2_IMPORTAR_EJECUCION'!$J$9:$J$1208,0)),0))</f>
        <v/>
      </c>
      <c r="AJ248" s="10">
        <f>IF($A248="","",MAX(0,IFERROR(INDEX('2_IMPORTAR_EJECUCION'!$H$9:$H$1208,MATCH($AQ248,'2_IMPORTAR_EJECUCION'!$J$9:$J$1208,0)),0)-$AI248))</f>
        <v/>
      </c>
      <c r="AK248" s="10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2">
        <f>IF($J249="","",TODAY()-$J249)</f>
        <v/>
      </c>
      <c r="AB249" s="12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IF($AE249="","",IF((IFERROR(INDEX('ASIGNACIONES'!$F$4:$F$339,MATCH($O249&amp;"|"&amp;$R249&amp;"|"&amp;$AE249,'ASIGNACIONES'!$J$4:$J$339,0)),""))=0,"",IFERROR(INDEX('ASIGNACIONES'!$F$4:$F$339,MATCH($O249&amp;"|"&amp;$R249&amp;"|"&amp;$AE249,'ASIGNACIONES'!$J$4:$J$339,0)),"")))</f>
        <v/>
      </c>
      <c r="AG249" s="13">
        <f>IF($AE249="","",SUMIFS('ORDENES'!$M$4:$M$1203,'ORDENES'!$AE$4:$AE$1203,$AE249,'ORDENES'!$O$4:$O$1203,$O249,'ORDENES'!$R$4:$R$1203,$R249))</f>
        <v/>
      </c>
      <c r="AH249" s="13">
        <f>IF($AG249="","",p_factor_productividad*IFERROR(INDEX('ASIGNACIONES'!$I$4:$I$339,MATCH($O249&amp;"|"&amp;$R249&amp;"|"&amp;$AE249,'ASIGNACIONES'!$J$4:$J$339,0)),0)-$AG249)</f>
        <v/>
      </c>
      <c r="AI249" s="10">
        <f>IF($A249="","",IFERROR(INDEX('2_IMPORTAR_EJECUCION'!$F$9:$F$1208,MATCH($AQ249,'2_IMPORTAR_EJECUCION'!$J$9:$J$1208,0)),0))</f>
        <v/>
      </c>
      <c r="AJ249" s="10">
        <f>IF($A249="","",MAX(0,IFERROR(INDEX('2_IMPORTAR_EJECUCION'!$H$9:$H$1208,MATCH($AQ249,'2_IMPORTAR_EJECUCION'!$J$9:$J$1208,0)),0)-$AI249))</f>
        <v/>
      </c>
      <c r="AK249" s="10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2">
        <f>IF($J250="","",TODAY()-$J250)</f>
        <v/>
      </c>
      <c r="AB250" s="12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IF($AE250="","",IF((IFERROR(INDEX('ASIGNACIONES'!$F$4:$F$339,MATCH($O250&amp;"|"&amp;$R250&amp;"|"&amp;$AE250,'ASIGNACIONES'!$J$4:$J$339,0)),""))=0,"",IFERROR(INDEX('ASIGNACIONES'!$F$4:$F$339,MATCH($O250&amp;"|"&amp;$R250&amp;"|"&amp;$AE250,'ASIGNACIONES'!$J$4:$J$339,0)),"")))</f>
        <v/>
      </c>
      <c r="AG250" s="13">
        <f>IF($AE250="","",SUMIFS('ORDENES'!$M$4:$M$1203,'ORDENES'!$AE$4:$AE$1203,$AE250,'ORDENES'!$O$4:$O$1203,$O250,'ORDENES'!$R$4:$R$1203,$R250))</f>
        <v/>
      </c>
      <c r="AH250" s="13">
        <f>IF($AG250="","",p_factor_productividad*IFERROR(INDEX('ASIGNACIONES'!$I$4:$I$339,MATCH($O250&amp;"|"&amp;$R250&amp;"|"&amp;$AE250,'ASIGNACIONES'!$J$4:$J$339,0)),0)-$AG250)</f>
        <v/>
      </c>
      <c r="AI250" s="10">
        <f>IF($A250="","",IFERROR(INDEX('2_IMPORTAR_EJECUCION'!$F$9:$F$1208,MATCH($AQ250,'2_IMPORTAR_EJECUCION'!$J$9:$J$1208,0)),0))</f>
        <v/>
      </c>
      <c r="AJ250" s="10">
        <f>IF($A250="","",MAX(0,IFERROR(INDEX('2_IMPORTAR_EJECUCION'!$H$9:$H$1208,MATCH($AQ250,'2_IMPORTAR_EJECUCION'!$J$9:$J$1208,0)),0)-$AI250))</f>
        <v/>
      </c>
      <c r="AK250" s="10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2">
        <f>IF($J251="","",TODAY()-$J251)</f>
        <v/>
      </c>
      <c r="AB251" s="12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IF($AE251="","",IF((IFERROR(INDEX('ASIGNACIONES'!$F$4:$F$339,MATCH($O251&amp;"|"&amp;$R251&amp;"|"&amp;$AE251,'ASIGNACIONES'!$J$4:$J$339,0)),""))=0,"",IFERROR(INDEX('ASIGNACIONES'!$F$4:$F$339,MATCH($O251&amp;"|"&amp;$R251&amp;"|"&amp;$AE251,'ASIGNACIONES'!$J$4:$J$339,0)),"")))</f>
        <v/>
      </c>
      <c r="AG251" s="13">
        <f>IF($AE251="","",SUMIFS('ORDENES'!$M$4:$M$1203,'ORDENES'!$AE$4:$AE$1203,$AE251,'ORDENES'!$O$4:$O$1203,$O251,'ORDENES'!$R$4:$R$1203,$R251))</f>
        <v/>
      </c>
      <c r="AH251" s="13">
        <f>IF($AG251="","",p_factor_productividad*IFERROR(INDEX('ASIGNACIONES'!$I$4:$I$339,MATCH($O251&amp;"|"&amp;$R251&amp;"|"&amp;$AE251,'ASIGNACIONES'!$J$4:$J$339,0)),0)-$AG251)</f>
        <v/>
      </c>
      <c r="AI251" s="10">
        <f>IF($A251="","",IFERROR(INDEX('2_IMPORTAR_EJECUCION'!$F$9:$F$1208,MATCH($AQ251,'2_IMPORTAR_EJECUCION'!$J$9:$J$1208,0)),0))</f>
        <v/>
      </c>
      <c r="AJ251" s="10">
        <f>IF($A251="","",MAX(0,IFERROR(INDEX('2_IMPORTAR_EJECUCION'!$H$9:$H$1208,MATCH($AQ251,'2_IMPORTAR_EJECUCION'!$J$9:$J$1208,0)),0)-$AI251))</f>
        <v/>
      </c>
      <c r="AK251" s="10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2">
        <f>IF($J252="","",TODAY()-$J252)</f>
        <v/>
      </c>
      <c r="AB252" s="12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IF($AE252="","",IF((IFERROR(INDEX('ASIGNACIONES'!$F$4:$F$339,MATCH($O252&amp;"|"&amp;$R252&amp;"|"&amp;$AE252,'ASIGNACIONES'!$J$4:$J$339,0)),""))=0,"",IFERROR(INDEX('ASIGNACIONES'!$F$4:$F$339,MATCH($O252&amp;"|"&amp;$R252&amp;"|"&amp;$AE252,'ASIGNACIONES'!$J$4:$J$339,0)),"")))</f>
        <v/>
      </c>
      <c r="AG252" s="13">
        <f>IF($AE252="","",SUMIFS('ORDENES'!$M$4:$M$1203,'ORDENES'!$AE$4:$AE$1203,$AE252,'ORDENES'!$O$4:$O$1203,$O252,'ORDENES'!$R$4:$R$1203,$R252))</f>
        <v/>
      </c>
      <c r="AH252" s="13">
        <f>IF($AG252="","",p_factor_productividad*IFERROR(INDEX('ASIGNACIONES'!$I$4:$I$339,MATCH($O252&amp;"|"&amp;$R252&amp;"|"&amp;$AE252,'ASIGNACIONES'!$J$4:$J$339,0)),0)-$AG252)</f>
        <v/>
      </c>
      <c r="AI252" s="10">
        <f>IF($A252="","",IFERROR(INDEX('2_IMPORTAR_EJECUCION'!$F$9:$F$1208,MATCH($AQ252,'2_IMPORTAR_EJECUCION'!$J$9:$J$1208,0)),0))</f>
        <v/>
      </c>
      <c r="AJ252" s="10">
        <f>IF($A252="","",MAX(0,IFERROR(INDEX('2_IMPORTAR_EJECUCION'!$H$9:$H$1208,MATCH($AQ252,'2_IMPORTAR_EJECUCION'!$J$9:$J$1208,0)),0)-$AI252))</f>
        <v/>
      </c>
      <c r="AK252" s="10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2">
        <f>IF($J253="","",TODAY()-$J253)</f>
        <v/>
      </c>
      <c r="AB253" s="12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IF($AE253="","",IF((IFERROR(INDEX('ASIGNACIONES'!$F$4:$F$339,MATCH($O253&amp;"|"&amp;$R253&amp;"|"&amp;$AE253,'ASIGNACIONES'!$J$4:$J$339,0)),""))=0,"",IFERROR(INDEX('ASIGNACIONES'!$F$4:$F$339,MATCH($O253&amp;"|"&amp;$R253&amp;"|"&amp;$AE253,'ASIGNACIONES'!$J$4:$J$339,0)),"")))</f>
        <v/>
      </c>
      <c r="AG253" s="13">
        <f>IF($AE253="","",SUMIFS('ORDENES'!$M$4:$M$1203,'ORDENES'!$AE$4:$AE$1203,$AE253,'ORDENES'!$O$4:$O$1203,$O253,'ORDENES'!$R$4:$R$1203,$R253))</f>
        <v/>
      </c>
      <c r="AH253" s="13">
        <f>IF($AG253="","",p_factor_productividad*IFERROR(INDEX('ASIGNACIONES'!$I$4:$I$339,MATCH($O253&amp;"|"&amp;$R253&amp;"|"&amp;$AE253,'ASIGNACIONES'!$J$4:$J$339,0)),0)-$AG253)</f>
        <v/>
      </c>
      <c r="AI253" s="10">
        <f>IF($A253="","",IFERROR(INDEX('2_IMPORTAR_EJECUCION'!$F$9:$F$1208,MATCH($AQ253,'2_IMPORTAR_EJECUCION'!$J$9:$J$1208,0)),0))</f>
        <v/>
      </c>
      <c r="AJ253" s="10">
        <f>IF($A253="","",MAX(0,IFERROR(INDEX('2_IMPORTAR_EJECUCION'!$H$9:$H$1208,MATCH($AQ253,'2_IMPORTAR_EJECUCION'!$J$9:$J$1208,0)),0)-$AI253))</f>
        <v/>
      </c>
      <c r="AK253" s="10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2">
        <f>IF($J254="","",TODAY()-$J254)</f>
        <v/>
      </c>
      <c r="AB254" s="12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IF($AE254="","",IF((IFERROR(INDEX('ASIGNACIONES'!$F$4:$F$339,MATCH($O254&amp;"|"&amp;$R254&amp;"|"&amp;$AE254,'ASIGNACIONES'!$J$4:$J$339,0)),""))=0,"",IFERROR(INDEX('ASIGNACIONES'!$F$4:$F$339,MATCH($O254&amp;"|"&amp;$R254&amp;"|"&amp;$AE254,'ASIGNACIONES'!$J$4:$J$339,0)),"")))</f>
        <v/>
      </c>
      <c r="AG254" s="13">
        <f>IF($AE254="","",SUMIFS('ORDENES'!$M$4:$M$1203,'ORDENES'!$AE$4:$AE$1203,$AE254,'ORDENES'!$O$4:$O$1203,$O254,'ORDENES'!$R$4:$R$1203,$R254))</f>
        <v/>
      </c>
      <c r="AH254" s="13">
        <f>IF($AG254="","",p_factor_productividad*IFERROR(INDEX('ASIGNACIONES'!$I$4:$I$339,MATCH($O254&amp;"|"&amp;$R254&amp;"|"&amp;$AE254,'ASIGNACIONES'!$J$4:$J$339,0)),0)-$AG254)</f>
        <v/>
      </c>
      <c r="AI254" s="10">
        <f>IF($A254="","",IFERROR(INDEX('2_IMPORTAR_EJECUCION'!$F$9:$F$1208,MATCH($AQ254,'2_IMPORTAR_EJECUCION'!$J$9:$J$1208,0)),0))</f>
        <v/>
      </c>
      <c r="AJ254" s="10">
        <f>IF($A254="","",MAX(0,IFERROR(INDEX('2_IMPORTAR_EJECUCION'!$H$9:$H$1208,MATCH($AQ254,'2_IMPORTAR_EJECUCION'!$J$9:$J$1208,0)),0)-$AI254))</f>
        <v/>
      </c>
      <c r="AK254" s="10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2">
        <f>IF($J255="","",TODAY()-$J255)</f>
        <v/>
      </c>
      <c r="AB255" s="12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IF($AE255="","",IF((IFERROR(INDEX('ASIGNACIONES'!$F$4:$F$339,MATCH($O255&amp;"|"&amp;$R255&amp;"|"&amp;$AE255,'ASIGNACIONES'!$J$4:$J$339,0)),""))=0,"",IFERROR(INDEX('ASIGNACIONES'!$F$4:$F$339,MATCH($O255&amp;"|"&amp;$R255&amp;"|"&amp;$AE255,'ASIGNACIONES'!$J$4:$J$339,0)),"")))</f>
        <v/>
      </c>
      <c r="AG255" s="13">
        <f>IF($AE255="","",SUMIFS('ORDENES'!$M$4:$M$1203,'ORDENES'!$AE$4:$AE$1203,$AE255,'ORDENES'!$O$4:$O$1203,$O255,'ORDENES'!$R$4:$R$1203,$R255))</f>
        <v/>
      </c>
      <c r="AH255" s="13">
        <f>IF($AG255="","",p_factor_productividad*IFERROR(INDEX('ASIGNACIONES'!$I$4:$I$339,MATCH($O255&amp;"|"&amp;$R255&amp;"|"&amp;$AE255,'ASIGNACIONES'!$J$4:$J$339,0)),0)-$AG255)</f>
        <v/>
      </c>
      <c r="AI255" s="10">
        <f>IF($A255="","",IFERROR(INDEX('2_IMPORTAR_EJECUCION'!$F$9:$F$1208,MATCH($AQ255,'2_IMPORTAR_EJECUCION'!$J$9:$J$1208,0)),0))</f>
        <v/>
      </c>
      <c r="AJ255" s="10">
        <f>IF($A255="","",MAX(0,IFERROR(INDEX('2_IMPORTAR_EJECUCION'!$H$9:$H$1208,MATCH($AQ255,'2_IMPORTAR_EJECUCION'!$J$9:$J$1208,0)),0)-$AI255))</f>
        <v/>
      </c>
      <c r="AK255" s="10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2">
        <f>IF($J256="","",TODAY()-$J256)</f>
        <v/>
      </c>
      <c r="AB256" s="12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IF($AE256="","",IF((IFERROR(INDEX('ASIGNACIONES'!$F$4:$F$339,MATCH($O256&amp;"|"&amp;$R256&amp;"|"&amp;$AE256,'ASIGNACIONES'!$J$4:$J$339,0)),""))=0,"",IFERROR(INDEX('ASIGNACIONES'!$F$4:$F$339,MATCH($O256&amp;"|"&amp;$R256&amp;"|"&amp;$AE256,'ASIGNACIONES'!$J$4:$J$339,0)),"")))</f>
        <v/>
      </c>
      <c r="AG256" s="13">
        <f>IF($AE256="","",SUMIFS('ORDENES'!$M$4:$M$1203,'ORDENES'!$AE$4:$AE$1203,$AE256,'ORDENES'!$O$4:$O$1203,$O256,'ORDENES'!$R$4:$R$1203,$R256))</f>
        <v/>
      </c>
      <c r="AH256" s="13">
        <f>IF($AG256="","",p_factor_productividad*IFERROR(INDEX('ASIGNACIONES'!$I$4:$I$339,MATCH($O256&amp;"|"&amp;$R256&amp;"|"&amp;$AE256,'ASIGNACIONES'!$J$4:$J$339,0)),0)-$AG256)</f>
        <v/>
      </c>
      <c r="AI256" s="10">
        <f>IF($A256="","",IFERROR(INDEX('2_IMPORTAR_EJECUCION'!$F$9:$F$1208,MATCH($AQ256,'2_IMPORTAR_EJECUCION'!$J$9:$J$1208,0)),0))</f>
        <v/>
      </c>
      <c r="AJ256" s="10">
        <f>IF($A256="","",MAX(0,IFERROR(INDEX('2_IMPORTAR_EJECUCION'!$H$9:$H$1208,MATCH($AQ256,'2_IMPORTAR_EJECUCION'!$J$9:$J$1208,0)),0)-$AI256))</f>
        <v/>
      </c>
      <c r="AK256" s="10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2">
        <f>IF($J257="","",TODAY()-$J257)</f>
        <v/>
      </c>
      <c r="AB257" s="12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IF($AE257="","",IF((IFERROR(INDEX('ASIGNACIONES'!$F$4:$F$339,MATCH($O257&amp;"|"&amp;$R257&amp;"|"&amp;$AE257,'ASIGNACIONES'!$J$4:$J$339,0)),""))=0,"",IFERROR(INDEX('ASIGNACIONES'!$F$4:$F$339,MATCH($O257&amp;"|"&amp;$R257&amp;"|"&amp;$AE257,'ASIGNACIONES'!$J$4:$J$339,0)),"")))</f>
        <v/>
      </c>
      <c r="AG257" s="13">
        <f>IF($AE257="","",SUMIFS('ORDENES'!$M$4:$M$1203,'ORDENES'!$AE$4:$AE$1203,$AE257,'ORDENES'!$O$4:$O$1203,$O257,'ORDENES'!$R$4:$R$1203,$R257))</f>
        <v/>
      </c>
      <c r="AH257" s="13">
        <f>IF($AG257="","",p_factor_productividad*IFERROR(INDEX('ASIGNACIONES'!$I$4:$I$339,MATCH($O257&amp;"|"&amp;$R257&amp;"|"&amp;$AE257,'ASIGNACIONES'!$J$4:$J$339,0)),0)-$AG257)</f>
        <v/>
      </c>
      <c r="AI257" s="10">
        <f>IF($A257="","",IFERROR(INDEX('2_IMPORTAR_EJECUCION'!$F$9:$F$1208,MATCH($AQ257,'2_IMPORTAR_EJECUCION'!$J$9:$J$1208,0)),0))</f>
        <v/>
      </c>
      <c r="AJ257" s="10">
        <f>IF($A257="","",MAX(0,IFERROR(INDEX('2_IMPORTAR_EJECUCION'!$H$9:$H$1208,MATCH($AQ257,'2_IMPORTAR_EJECUCION'!$J$9:$J$1208,0)),0)-$AI257))</f>
        <v/>
      </c>
      <c r="AK257" s="10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2">
        <f>IF($J258="","",TODAY()-$J258)</f>
        <v/>
      </c>
      <c r="AB258" s="12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IF($AE258="","",IF((IFERROR(INDEX('ASIGNACIONES'!$F$4:$F$339,MATCH($O258&amp;"|"&amp;$R258&amp;"|"&amp;$AE258,'ASIGNACIONES'!$J$4:$J$339,0)),""))=0,"",IFERROR(INDEX('ASIGNACIONES'!$F$4:$F$339,MATCH($O258&amp;"|"&amp;$R258&amp;"|"&amp;$AE258,'ASIGNACIONES'!$J$4:$J$339,0)),"")))</f>
        <v/>
      </c>
      <c r="AG258" s="13">
        <f>IF($AE258="","",SUMIFS('ORDENES'!$M$4:$M$1203,'ORDENES'!$AE$4:$AE$1203,$AE258,'ORDENES'!$O$4:$O$1203,$O258,'ORDENES'!$R$4:$R$1203,$R258))</f>
        <v/>
      </c>
      <c r="AH258" s="13">
        <f>IF($AG258="","",p_factor_productividad*IFERROR(INDEX('ASIGNACIONES'!$I$4:$I$339,MATCH($O258&amp;"|"&amp;$R258&amp;"|"&amp;$AE258,'ASIGNACIONES'!$J$4:$J$339,0)),0)-$AG258)</f>
        <v/>
      </c>
      <c r="AI258" s="10">
        <f>IF($A258="","",IFERROR(INDEX('2_IMPORTAR_EJECUCION'!$F$9:$F$1208,MATCH($AQ258,'2_IMPORTAR_EJECUCION'!$J$9:$J$1208,0)),0))</f>
        <v/>
      </c>
      <c r="AJ258" s="10">
        <f>IF($A258="","",MAX(0,IFERROR(INDEX('2_IMPORTAR_EJECUCION'!$H$9:$H$1208,MATCH($AQ258,'2_IMPORTAR_EJECUCION'!$J$9:$J$1208,0)),0)-$AI258))</f>
        <v/>
      </c>
      <c r="AK258" s="10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2">
        <f>IF($J259="","",TODAY()-$J259)</f>
        <v/>
      </c>
      <c r="AB259" s="12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IF($AE259="","",IF((IFERROR(INDEX('ASIGNACIONES'!$F$4:$F$339,MATCH($O259&amp;"|"&amp;$R259&amp;"|"&amp;$AE259,'ASIGNACIONES'!$J$4:$J$339,0)),""))=0,"",IFERROR(INDEX('ASIGNACIONES'!$F$4:$F$339,MATCH($O259&amp;"|"&amp;$R259&amp;"|"&amp;$AE259,'ASIGNACIONES'!$J$4:$J$339,0)),"")))</f>
        <v/>
      </c>
      <c r="AG259" s="13">
        <f>IF($AE259="","",SUMIFS('ORDENES'!$M$4:$M$1203,'ORDENES'!$AE$4:$AE$1203,$AE259,'ORDENES'!$O$4:$O$1203,$O259,'ORDENES'!$R$4:$R$1203,$R259))</f>
        <v/>
      </c>
      <c r="AH259" s="13">
        <f>IF($AG259="","",p_factor_productividad*IFERROR(INDEX('ASIGNACIONES'!$I$4:$I$339,MATCH($O259&amp;"|"&amp;$R259&amp;"|"&amp;$AE259,'ASIGNACIONES'!$J$4:$J$339,0)),0)-$AG259)</f>
        <v/>
      </c>
      <c r="AI259" s="10">
        <f>IF($A259="","",IFERROR(INDEX('2_IMPORTAR_EJECUCION'!$F$9:$F$1208,MATCH($AQ259,'2_IMPORTAR_EJECUCION'!$J$9:$J$1208,0)),0))</f>
        <v/>
      </c>
      <c r="AJ259" s="10">
        <f>IF($A259="","",MAX(0,IFERROR(INDEX('2_IMPORTAR_EJECUCION'!$H$9:$H$1208,MATCH($AQ259,'2_IMPORTAR_EJECUCION'!$J$9:$J$1208,0)),0)-$AI259))</f>
        <v/>
      </c>
      <c r="AK259" s="10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2">
        <f>IF($J260="","",TODAY()-$J260)</f>
        <v/>
      </c>
      <c r="AB260" s="12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IF($AE260="","",IF((IFERROR(INDEX('ASIGNACIONES'!$F$4:$F$339,MATCH($O260&amp;"|"&amp;$R260&amp;"|"&amp;$AE260,'ASIGNACIONES'!$J$4:$J$339,0)),""))=0,"",IFERROR(INDEX('ASIGNACIONES'!$F$4:$F$339,MATCH($O260&amp;"|"&amp;$R260&amp;"|"&amp;$AE260,'ASIGNACIONES'!$J$4:$J$339,0)),"")))</f>
        <v/>
      </c>
      <c r="AG260" s="13">
        <f>IF($AE260="","",SUMIFS('ORDENES'!$M$4:$M$1203,'ORDENES'!$AE$4:$AE$1203,$AE260,'ORDENES'!$O$4:$O$1203,$O260,'ORDENES'!$R$4:$R$1203,$R260))</f>
        <v/>
      </c>
      <c r="AH260" s="13">
        <f>IF($AG260="","",p_factor_productividad*IFERROR(INDEX('ASIGNACIONES'!$I$4:$I$339,MATCH($O260&amp;"|"&amp;$R260&amp;"|"&amp;$AE260,'ASIGNACIONES'!$J$4:$J$339,0)),0)-$AG260)</f>
        <v/>
      </c>
      <c r="AI260" s="10">
        <f>IF($A260="","",IFERROR(INDEX('2_IMPORTAR_EJECUCION'!$F$9:$F$1208,MATCH($AQ260,'2_IMPORTAR_EJECUCION'!$J$9:$J$1208,0)),0))</f>
        <v/>
      </c>
      <c r="AJ260" s="10">
        <f>IF($A260="","",MAX(0,IFERROR(INDEX('2_IMPORTAR_EJECUCION'!$H$9:$H$1208,MATCH($AQ260,'2_IMPORTAR_EJECUCION'!$J$9:$J$1208,0)),0)-$AI260))</f>
        <v/>
      </c>
      <c r="AK260" s="10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2">
        <f>IF($J261="","",TODAY()-$J261)</f>
        <v/>
      </c>
      <c r="AB261" s="12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IF($AE261="","",IF((IFERROR(INDEX('ASIGNACIONES'!$F$4:$F$339,MATCH($O261&amp;"|"&amp;$R261&amp;"|"&amp;$AE261,'ASIGNACIONES'!$J$4:$J$339,0)),""))=0,"",IFERROR(INDEX('ASIGNACIONES'!$F$4:$F$339,MATCH($O261&amp;"|"&amp;$R261&amp;"|"&amp;$AE261,'ASIGNACIONES'!$J$4:$J$339,0)),"")))</f>
        <v/>
      </c>
      <c r="AG261" s="13">
        <f>IF($AE261="","",SUMIFS('ORDENES'!$M$4:$M$1203,'ORDENES'!$AE$4:$AE$1203,$AE261,'ORDENES'!$O$4:$O$1203,$O261,'ORDENES'!$R$4:$R$1203,$R261))</f>
        <v/>
      </c>
      <c r="AH261" s="13">
        <f>IF($AG261="","",p_factor_productividad*IFERROR(INDEX('ASIGNACIONES'!$I$4:$I$339,MATCH($O261&amp;"|"&amp;$R261&amp;"|"&amp;$AE261,'ASIGNACIONES'!$J$4:$J$339,0)),0)-$AG261)</f>
        <v/>
      </c>
      <c r="AI261" s="10">
        <f>IF($A261="","",IFERROR(INDEX('2_IMPORTAR_EJECUCION'!$F$9:$F$1208,MATCH($AQ261,'2_IMPORTAR_EJECUCION'!$J$9:$J$1208,0)),0))</f>
        <v/>
      </c>
      <c r="AJ261" s="10">
        <f>IF($A261="","",MAX(0,IFERROR(INDEX('2_IMPORTAR_EJECUCION'!$H$9:$H$1208,MATCH($AQ261,'2_IMPORTAR_EJECUCION'!$J$9:$J$1208,0)),0)-$AI261))</f>
        <v/>
      </c>
      <c r="AK261" s="10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2">
        <f>IF($J262="","",TODAY()-$J262)</f>
        <v/>
      </c>
      <c r="AB262" s="12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IF($AE262="","",IF((IFERROR(INDEX('ASIGNACIONES'!$F$4:$F$339,MATCH($O262&amp;"|"&amp;$R262&amp;"|"&amp;$AE262,'ASIGNACIONES'!$J$4:$J$339,0)),""))=0,"",IFERROR(INDEX('ASIGNACIONES'!$F$4:$F$339,MATCH($O262&amp;"|"&amp;$R262&amp;"|"&amp;$AE262,'ASIGNACIONES'!$J$4:$J$339,0)),"")))</f>
        <v/>
      </c>
      <c r="AG262" s="13">
        <f>IF($AE262="","",SUMIFS('ORDENES'!$M$4:$M$1203,'ORDENES'!$AE$4:$AE$1203,$AE262,'ORDENES'!$O$4:$O$1203,$O262,'ORDENES'!$R$4:$R$1203,$R262))</f>
        <v/>
      </c>
      <c r="AH262" s="13">
        <f>IF($AG262="","",p_factor_productividad*IFERROR(INDEX('ASIGNACIONES'!$I$4:$I$339,MATCH($O262&amp;"|"&amp;$R262&amp;"|"&amp;$AE262,'ASIGNACIONES'!$J$4:$J$339,0)),0)-$AG262)</f>
        <v/>
      </c>
      <c r="AI262" s="10">
        <f>IF($A262="","",IFERROR(INDEX('2_IMPORTAR_EJECUCION'!$F$9:$F$1208,MATCH($AQ262,'2_IMPORTAR_EJECUCION'!$J$9:$J$1208,0)),0))</f>
        <v/>
      </c>
      <c r="AJ262" s="10">
        <f>IF($A262="","",MAX(0,IFERROR(INDEX('2_IMPORTAR_EJECUCION'!$H$9:$H$1208,MATCH($AQ262,'2_IMPORTAR_EJECUCION'!$J$9:$J$1208,0)),0)-$AI262))</f>
        <v/>
      </c>
      <c r="AK262" s="10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2">
        <f>IF($J263="","",TODAY()-$J263)</f>
        <v/>
      </c>
      <c r="AB263" s="12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IF($AE263="","",IF((IFERROR(INDEX('ASIGNACIONES'!$F$4:$F$339,MATCH($O263&amp;"|"&amp;$R263&amp;"|"&amp;$AE263,'ASIGNACIONES'!$J$4:$J$339,0)),""))=0,"",IFERROR(INDEX('ASIGNACIONES'!$F$4:$F$339,MATCH($O263&amp;"|"&amp;$R263&amp;"|"&amp;$AE263,'ASIGNACIONES'!$J$4:$J$339,0)),"")))</f>
        <v/>
      </c>
      <c r="AG263" s="13">
        <f>IF($AE263="","",SUMIFS('ORDENES'!$M$4:$M$1203,'ORDENES'!$AE$4:$AE$1203,$AE263,'ORDENES'!$O$4:$O$1203,$O263,'ORDENES'!$R$4:$R$1203,$R263))</f>
        <v/>
      </c>
      <c r="AH263" s="13">
        <f>IF($AG263="","",p_factor_productividad*IFERROR(INDEX('ASIGNACIONES'!$I$4:$I$339,MATCH($O263&amp;"|"&amp;$R263&amp;"|"&amp;$AE263,'ASIGNACIONES'!$J$4:$J$339,0)),0)-$AG263)</f>
        <v/>
      </c>
      <c r="AI263" s="10">
        <f>IF($A263="","",IFERROR(INDEX('2_IMPORTAR_EJECUCION'!$F$9:$F$1208,MATCH($AQ263,'2_IMPORTAR_EJECUCION'!$J$9:$J$1208,0)),0))</f>
        <v/>
      </c>
      <c r="AJ263" s="10">
        <f>IF($A263="","",MAX(0,IFERROR(INDEX('2_IMPORTAR_EJECUCION'!$H$9:$H$1208,MATCH($AQ263,'2_IMPORTAR_EJECUCION'!$J$9:$J$1208,0)),0)-$AI263))</f>
        <v/>
      </c>
      <c r="AK263" s="10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2">
        <f>IF($J264="","",TODAY()-$J264)</f>
        <v/>
      </c>
      <c r="AB264" s="12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IF($AE264="","",IF((IFERROR(INDEX('ASIGNACIONES'!$F$4:$F$339,MATCH($O264&amp;"|"&amp;$R264&amp;"|"&amp;$AE264,'ASIGNACIONES'!$J$4:$J$339,0)),""))=0,"",IFERROR(INDEX('ASIGNACIONES'!$F$4:$F$339,MATCH($O264&amp;"|"&amp;$R264&amp;"|"&amp;$AE264,'ASIGNACIONES'!$J$4:$J$339,0)),"")))</f>
        <v/>
      </c>
      <c r="AG264" s="13">
        <f>IF($AE264="","",SUMIFS('ORDENES'!$M$4:$M$1203,'ORDENES'!$AE$4:$AE$1203,$AE264,'ORDENES'!$O$4:$O$1203,$O264,'ORDENES'!$R$4:$R$1203,$R264))</f>
        <v/>
      </c>
      <c r="AH264" s="13">
        <f>IF($AG264="","",p_factor_productividad*IFERROR(INDEX('ASIGNACIONES'!$I$4:$I$339,MATCH($O264&amp;"|"&amp;$R264&amp;"|"&amp;$AE264,'ASIGNACIONES'!$J$4:$J$339,0)),0)-$AG264)</f>
        <v/>
      </c>
      <c r="AI264" s="10">
        <f>IF($A264="","",IFERROR(INDEX('2_IMPORTAR_EJECUCION'!$F$9:$F$1208,MATCH($AQ264,'2_IMPORTAR_EJECUCION'!$J$9:$J$1208,0)),0))</f>
        <v/>
      </c>
      <c r="AJ264" s="10">
        <f>IF($A264="","",MAX(0,IFERROR(INDEX('2_IMPORTAR_EJECUCION'!$H$9:$H$1208,MATCH($AQ264,'2_IMPORTAR_EJECUCION'!$J$9:$J$1208,0)),0)-$AI264))</f>
        <v/>
      </c>
      <c r="AK264" s="10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2">
        <f>IF($J265="","",TODAY()-$J265)</f>
        <v/>
      </c>
      <c r="AB265" s="12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IF($AE265="","",IF((IFERROR(INDEX('ASIGNACIONES'!$F$4:$F$339,MATCH($O265&amp;"|"&amp;$R265&amp;"|"&amp;$AE265,'ASIGNACIONES'!$J$4:$J$339,0)),""))=0,"",IFERROR(INDEX('ASIGNACIONES'!$F$4:$F$339,MATCH($O265&amp;"|"&amp;$R265&amp;"|"&amp;$AE265,'ASIGNACIONES'!$J$4:$J$339,0)),"")))</f>
        <v/>
      </c>
      <c r="AG265" s="13">
        <f>IF($AE265="","",SUMIFS('ORDENES'!$M$4:$M$1203,'ORDENES'!$AE$4:$AE$1203,$AE265,'ORDENES'!$O$4:$O$1203,$O265,'ORDENES'!$R$4:$R$1203,$R265))</f>
        <v/>
      </c>
      <c r="AH265" s="13">
        <f>IF($AG265="","",p_factor_productividad*IFERROR(INDEX('ASIGNACIONES'!$I$4:$I$339,MATCH($O265&amp;"|"&amp;$R265&amp;"|"&amp;$AE265,'ASIGNACIONES'!$J$4:$J$339,0)),0)-$AG265)</f>
        <v/>
      </c>
      <c r="AI265" s="10">
        <f>IF($A265="","",IFERROR(INDEX('2_IMPORTAR_EJECUCION'!$F$9:$F$1208,MATCH($AQ265,'2_IMPORTAR_EJECUCION'!$J$9:$J$1208,0)),0))</f>
        <v/>
      </c>
      <c r="AJ265" s="10">
        <f>IF($A265="","",MAX(0,IFERROR(INDEX('2_IMPORTAR_EJECUCION'!$H$9:$H$1208,MATCH($AQ265,'2_IMPORTAR_EJECUCION'!$J$9:$J$1208,0)),0)-$AI265))</f>
        <v/>
      </c>
      <c r="AK265" s="10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2">
        <f>IF($J266="","",TODAY()-$J266)</f>
        <v/>
      </c>
      <c r="AB266" s="12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IF($AE266="","",IF((IFERROR(INDEX('ASIGNACIONES'!$F$4:$F$339,MATCH($O266&amp;"|"&amp;$R266&amp;"|"&amp;$AE266,'ASIGNACIONES'!$J$4:$J$339,0)),""))=0,"",IFERROR(INDEX('ASIGNACIONES'!$F$4:$F$339,MATCH($O266&amp;"|"&amp;$R266&amp;"|"&amp;$AE266,'ASIGNACIONES'!$J$4:$J$339,0)),"")))</f>
        <v/>
      </c>
      <c r="AG266" s="13">
        <f>IF($AE266="","",SUMIFS('ORDENES'!$M$4:$M$1203,'ORDENES'!$AE$4:$AE$1203,$AE266,'ORDENES'!$O$4:$O$1203,$O266,'ORDENES'!$R$4:$R$1203,$R266))</f>
        <v/>
      </c>
      <c r="AH266" s="13">
        <f>IF($AG266="","",p_factor_productividad*IFERROR(INDEX('ASIGNACIONES'!$I$4:$I$339,MATCH($O266&amp;"|"&amp;$R266&amp;"|"&amp;$AE266,'ASIGNACIONES'!$J$4:$J$339,0)),0)-$AG266)</f>
        <v/>
      </c>
      <c r="AI266" s="10">
        <f>IF($A266="","",IFERROR(INDEX('2_IMPORTAR_EJECUCION'!$F$9:$F$1208,MATCH($AQ266,'2_IMPORTAR_EJECUCION'!$J$9:$J$1208,0)),0))</f>
        <v/>
      </c>
      <c r="AJ266" s="10">
        <f>IF($A266="","",MAX(0,IFERROR(INDEX('2_IMPORTAR_EJECUCION'!$H$9:$H$1208,MATCH($AQ266,'2_IMPORTAR_EJECUCION'!$J$9:$J$1208,0)),0)-$AI266))</f>
        <v/>
      </c>
      <c r="AK266" s="10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2">
        <f>IF($J267="","",TODAY()-$J267)</f>
        <v/>
      </c>
      <c r="AB267" s="12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IF($AE267="","",IF((IFERROR(INDEX('ASIGNACIONES'!$F$4:$F$339,MATCH($O267&amp;"|"&amp;$R267&amp;"|"&amp;$AE267,'ASIGNACIONES'!$J$4:$J$339,0)),""))=0,"",IFERROR(INDEX('ASIGNACIONES'!$F$4:$F$339,MATCH($O267&amp;"|"&amp;$R267&amp;"|"&amp;$AE267,'ASIGNACIONES'!$J$4:$J$339,0)),"")))</f>
        <v/>
      </c>
      <c r="AG267" s="13">
        <f>IF($AE267="","",SUMIFS('ORDENES'!$M$4:$M$1203,'ORDENES'!$AE$4:$AE$1203,$AE267,'ORDENES'!$O$4:$O$1203,$O267,'ORDENES'!$R$4:$R$1203,$R267))</f>
        <v/>
      </c>
      <c r="AH267" s="13">
        <f>IF($AG267="","",p_factor_productividad*IFERROR(INDEX('ASIGNACIONES'!$I$4:$I$339,MATCH($O267&amp;"|"&amp;$R267&amp;"|"&amp;$AE267,'ASIGNACIONES'!$J$4:$J$339,0)),0)-$AG267)</f>
        <v/>
      </c>
      <c r="AI267" s="10">
        <f>IF($A267="","",IFERROR(INDEX('2_IMPORTAR_EJECUCION'!$F$9:$F$1208,MATCH($AQ267,'2_IMPORTAR_EJECUCION'!$J$9:$J$1208,0)),0))</f>
        <v/>
      </c>
      <c r="AJ267" s="10">
        <f>IF($A267="","",MAX(0,IFERROR(INDEX('2_IMPORTAR_EJECUCION'!$H$9:$H$1208,MATCH($AQ267,'2_IMPORTAR_EJECUCION'!$J$9:$J$1208,0)),0)-$AI267))</f>
        <v/>
      </c>
      <c r="AK267" s="10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2">
        <f>IF($J268="","",TODAY()-$J268)</f>
        <v/>
      </c>
      <c r="AB268" s="12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IF($AE268="","",IF((IFERROR(INDEX('ASIGNACIONES'!$F$4:$F$339,MATCH($O268&amp;"|"&amp;$R268&amp;"|"&amp;$AE268,'ASIGNACIONES'!$J$4:$J$339,0)),""))=0,"",IFERROR(INDEX('ASIGNACIONES'!$F$4:$F$339,MATCH($O268&amp;"|"&amp;$R268&amp;"|"&amp;$AE268,'ASIGNACIONES'!$J$4:$J$339,0)),"")))</f>
        <v/>
      </c>
      <c r="AG268" s="13">
        <f>IF($AE268="","",SUMIFS('ORDENES'!$M$4:$M$1203,'ORDENES'!$AE$4:$AE$1203,$AE268,'ORDENES'!$O$4:$O$1203,$O268,'ORDENES'!$R$4:$R$1203,$R268))</f>
        <v/>
      </c>
      <c r="AH268" s="13">
        <f>IF($AG268="","",p_factor_productividad*IFERROR(INDEX('ASIGNACIONES'!$I$4:$I$339,MATCH($O268&amp;"|"&amp;$R268&amp;"|"&amp;$AE268,'ASIGNACIONES'!$J$4:$J$339,0)),0)-$AG268)</f>
        <v/>
      </c>
      <c r="AI268" s="10">
        <f>IF($A268="","",IFERROR(INDEX('2_IMPORTAR_EJECUCION'!$F$9:$F$1208,MATCH($AQ268,'2_IMPORTAR_EJECUCION'!$J$9:$J$1208,0)),0))</f>
        <v/>
      </c>
      <c r="AJ268" s="10">
        <f>IF($A268="","",MAX(0,IFERROR(INDEX('2_IMPORTAR_EJECUCION'!$H$9:$H$1208,MATCH($AQ268,'2_IMPORTAR_EJECUCION'!$J$9:$J$1208,0)),0)-$AI268))</f>
        <v/>
      </c>
      <c r="AK268" s="10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2">
        <f>IF($J269="","",TODAY()-$J269)</f>
        <v/>
      </c>
      <c r="AB269" s="12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IF($AE269="","",IF((IFERROR(INDEX('ASIGNACIONES'!$F$4:$F$339,MATCH($O269&amp;"|"&amp;$R269&amp;"|"&amp;$AE269,'ASIGNACIONES'!$J$4:$J$339,0)),""))=0,"",IFERROR(INDEX('ASIGNACIONES'!$F$4:$F$339,MATCH($O269&amp;"|"&amp;$R269&amp;"|"&amp;$AE269,'ASIGNACIONES'!$J$4:$J$339,0)),"")))</f>
        <v/>
      </c>
      <c r="AG269" s="13">
        <f>IF($AE269="","",SUMIFS('ORDENES'!$M$4:$M$1203,'ORDENES'!$AE$4:$AE$1203,$AE269,'ORDENES'!$O$4:$O$1203,$O269,'ORDENES'!$R$4:$R$1203,$R269))</f>
        <v/>
      </c>
      <c r="AH269" s="13">
        <f>IF($AG269="","",p_factor_productividad*IFERROR(INDEX('ASIGNACIONES'!$I$4:$I$339,MATCH($O269&amp;"|"&amp;$R269&amp;"|"&amp;$AE269,'ASIGNACIONES'!$J$4:$J$339,0)),0)-$AG269)</f>
        <v/>
      </c>
      <c r="AI269" s="10">
        <f>IF($A269="","",IFERROR(INDEX('2_IMPORTAR_EJECUCION'!$F$9:$F$1208,MATCH($AQ269,'2_IMPORTAR_EJECUCION'!$J$9:$J$1208,0)),0))</f>
        <v/>
      </c>
      <c r="AJ269" s="10">
        <f>IF($A269="","",MAX(0,IFERROR(INDEX('2_IMPORTAR_EJECUCION'!$H$9:$H$1208,MATCH($AQ269,'2_IMPORTAR_EJECUCION'!$J$9:$J$1208,0)),0)-$AI269))</f>
        <v/>
      </c>
      <c r="AK269" s="10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2">
        <f>IF($J270="","",TODAY()-$J270)</f>
        <v/>
      </c>
      <c r="AB270" s="12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IF($AE270="","",IF((IFERROR(INDEX('ASIGNACIONES'!$F$4:$F$339,MATCH($O270&amp;"|"&amp;$R270&amp;"|"&amp;$AE270,'ASIGNACIONES'!$J$4:$J$339,0)),""))=0,"",IFERROR(INDEX('ASIGNACIONES'!$F$4:$F$339,MATCH($O270&amp;"|"&amp;$R270&amp;"|"&amp;$AE270,'ASIGNACIONES'!$J$4:$J$339,0)),"")))</f>
        <v/>
      </c>
      <c r="AG270" s="13">
        <f>IF($AE270="","",SUMIFS('ORDENES'!$M$4:$M$1203,'ORDENES'!$AE$4:$AE$1203,$AE270,'ORDENES'!$O$4:$O$1203,$O270,'ORDENES'!$R$4:$R$1203,$R270))</f>
        <v/>
      </c>
      <c r="AH270" s="13">
        <f>IF($AG270="","",p_factor_productividad*IFERROR(INDEX('ASIGNACIONES'!$I$4:$I$339,MATCH($O270&amp;"|"&amp;$R270&amp;"|"&amp;$AE270,'ASIGNACIONES'!$J$4:$J$339,0)),0)-$AG270)</f>
        <v/>
      </c>
      <c r="AI270" s="10">
        <f>IF($A270="","",IFERROR(INDEX('2_IMPORTAR_EJECUCION'!$F$9:$F$1208,MATCH($AQ270,'2_IMPORTAR_EJECUCION'!$J$9:$J$1208,0)),0))</f>
        <v/>
      </c>
      <c r="AJ270" s="10">
        <f>IF($A270="","",MAX(0,IFERROR(INDEX('2_IMPORTAR_EJECUCION'!$H$9:$H$1208,MATCH($AQ270,'2_IMPORTAR_EJECUCION'!$J$9:$J$1208,0)),0)-$AI270))</f>
        <v/>
      </c>
      <c r="AK270" s="10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2">
        <f>IF($J271="","",TODAY()-$J271)</f>
        <v/>
      </c>
      <c r="AB271" s="12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IF($AE271="","",IF((IFERROR(INDEX('ASIGNACIONES'!$F$4:$F$339,MATCH($O271&amp;"|"&amp;$R271&amp;"|"&amp;$AE271,'ASIGNACIONES'!$J$4:$J$339,0)),""))=0,"",IFERROR(INDEX('ASIGNACIONES'!$F$4:$F$339,MATCH($O271&amp;"|"&amp;$R271&amp;"|"&amp;$AE271,'ASIGNACIONES'!$J$4:$J$339,0)),"")))</f>
        <v/>
      </c>
      <c r="AG271" s="13">
        <f>IF($AE271="","",SUMIFS('ORDENES'!$M$4:$M$1203,'ORDENES'!$AE$4:$AE$1203,$AE271,'ORDENES'!$O$4:$O$1203,$O271,'ORDENES'!$R$4:$R$1203,$R271))</f>
        <v/>
      </c>
      <c r="AH271" s="13">
        <f>IF($AG271="","",p_factor_productividad*IFERROR(INDEX('ASIGNACIONES'!$I$4:$I$339,MATCH($O271&amp;"|"&amp;$R271&amp;"|"&amp;$AE271,'ASIGNACIONES'!$J$4:$J$339,0)),0)-$AG271)</f>
        <v/>
      </c>
      <c r="AI271" s="10">
        <f>IF($A271="","",IFERROR(INDEX('2_IMPORTAR_EJECUCION'!$F$9:$F$1208,MATCH($AQ271,'2_IMPORTAR_EJECUCION'!$J$9:$J$1208,0)),0))</f>
        <v/>
      </c>
      <c r="AJ271" s="10">
        <f>IF($A271="","",MAX(0,IFERROR(INDEX('2_IMPORTAR_EJECUCION'!$H$9:$H$1208,MATCH($AQ271,'2_IMPORTAR_EJECUCION'!$J$9:$J$1208,0)),0)-$AI271))</f>
        <v/>
      </c>
      <c r="AK271" s="10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2">
        <f>IF($J272="","",TODAY()-$J272)</f>
        <v/>
      </c>
      <c r="AB272" s="12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IF($AE272="","",IF((IFERROR(INDEX('ASIGNACIONES'!$F$4:$F$339,MATCH($O272&amp;"|"&amp;$R272&amp;"|"&amp;$AE272,'ASIGNACIONES'!$J$4:$J$339,0)),""))=0,"",IFERROR(INDEX('ASIGNACIONES'!$F$4:$F$339,MATCH($O272&amp;"|"&amp;$R272&amp;"|"&amp;$AE272,'ASIGNACIONES'!$J$4:$J$339,0)),"")))</f>
        <v/>
      </c>
      <c r="AG272" s="13">
        <f>IF($AE272="","",SUMIFS('ORDENES'!$M$4:$M$1203,'ORDENES'!$AE$4:$AE$1203,$AE272,'ORDENES'!$O$4:$O$1203,$O272,'ORDENES'!$R$4:$R$1203,$R272))</f>
        <v/>
      </c>
      <c r="AH272" s="13">
        <f>IF($AG272="","",p_factor_productividad*IFERROR(INDEX('ASIGNACIONES'!$I$4:$I$339,MATCH($O272&amp;"|"&amp;$R272&amp;"|"&amp;$AE272,'ASIGNACIONES'!$J$4:$J$339,0)),0)-$AG272)</f>
        <v/>
      </c>
      <c r="AI272" s="10">
        <f>IF($A272="","",IFERROR(INDEX('2_IMPORTAR_EJECUCION'!$F$9:$F$1208,MATCH($AQ272,'2_IMPORTAR_EJECUCION'!$J$9:$J$1208,0)),0))</f>
        <v/>
      </c>
      <c r="AJ272" s="10">
        <f>IF($A272="","",MAX(0,IFERROR(INDEX('2_IMPORTAR_EJECUCION'!$H$9:$H$1208,MATCH($AQ272,'2_IMPORTAR_EJECUCION'!$J$9:$J$1208,0)),0)-$AI272))</f>
        <v/>
      </c>
      <c r="AK272" s="10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2">
        <f>IF($J273="","",TODAY()-$J273)</f>
        <v/>
      </c>
      <c r="AB273" s="12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IF($AE273="","",IF((IFERROR(INDEX('ASIGNACIONES'!$F$4:$F$339,MATCH($O273&amp;"|"&amp;$R273&amp;"|"&amp;$AE273,'ASIGNACIONES'!$J$4:$J$339,0)),""))=0,"",IFERROR(INDEX('ASIGNACIONES'!$F$4:$F$339,MATCH($O273&amp;"|"&amp;$R273&amp;"|"&amp;$AE273,'ASIGNACIONES'!$J$4:$J$339,0)),"")))</f>
        <v/>
      </c>
      <c r="AG273" s="13">
        <f>IF($AE273="","",SUMIFS('ORDENES'!$M$4:$M$1203,'ORDENES'!$AE$4:$AE$1203,$AE273,'ORDENES'!$O$4:$O$1203,$O273,'ORDENES'!$R$4:$R$1203,$R273))</f>
        <v/>
      </c>
      <c r="AH273" s="13">
        <f>IF($AG273="","",p_factor_productividad*IFERROR(INDEX('ASIGNACIONES'!$I$4:$I$339,MATCH($O273&amp;"|"&amp;$R273&amp;"|"&amp;$AE273,'ASIGNACIONES'!$J$4:$J$339,0)),0)-$AG273)</f>
        <v/>
      </c>
      <c r="AI273" s="10">
        <f>IF($A273="","",IFERROR(INDEX('2_IMPORTAR_EJECUCION'!$F$9:$F$1208,MATCH($AQ273,'2_IMPORTAR_EJECUCION'!$J$9:$J$1208,0)),0))</f>
        <v/>
      </c>
      <c r="AJ273" s="10">
        <f>IF($A273="","",MAX(0,IFERROR(INDEX('2_IMPORTAR_EJECUCION'!$H$9:$H$1208,MATCH($AQ273,'2_IMPORTAR_EJECUCION'!$J$9:$J$1208,0)),0)-$AI273))</f>
        <v/>
      </c>
      <c r="AK273" s="10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2">
        <f>IF($J274="","",TODAY()-$J274)</f>
        <v/>
      </c>
      <c r="AB274" s="12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IF($AE274="","",IF((IFERROR(INDEX('ASIGNACIONES'!$F$4:$F$339,MATCH($O274&amp;"|"&amp;$R274&amp;"|"&amp;$AE274,'ASIGNACIONES'!$J$4:$J$339,0)),""))=0,"",IFERROR(INDEX('ASIGNACIONES'!$F$4:$F$339,MATCH($O274&amp;"|"&amp;$R274&amp;"|"&amp;$AE274,'ASIGNACIONES'!$J$4:$J$339,0)),"")))</f>
        <v/>
      </c>
      <c r="AG274" s="13">
        <f>IF($AE274="","",SUMIFS('ORDENES'!$M$4:$M$1203,'ORDENES'!$AE$4:$AE$1203,$AE274,'ORDENES'!$O$4:$O$1203,$O274,'ORDENES'!$R$4:$R$1203,$R274))</f>
        <v/>
      </c>
      <c r="AH274" s="13">
        <f>IF($AG274="","",p_factor_productividad*IFERROR(INDEX('ASIGNACIONES'!$I$4:$I$339,MATCH($O274&amp;"|"&amp;$R274&amp;"|"&amp;$AE274,'ASIGNACIONES'!$J$4:$J$339,0)),0)-$AG274)</f>
        <v/>
      </c>
      <c r="AI274" s="10">
        <f>IF($A274="","",IFERROR(INDEX('2_IMPORTAR_EJECUCION'!$F$9:$F$1208,MATCH($AQ274,'2_IMPORTAR_EJECUCION'!$J$9:$J$1208,0)),0))</f>
        <v/>
      </c>
      <c r="AJ274" s="10">
        <f>IF($A274="","",MAX(0,IFERROR(INDEX('2_IMPORTAR_EJECUCION'!$H$9:$H$1208,MATCH($AQ274,'2_IMPORTAR_EJECUCION'!$J$9:$J$1208,0)),0)-$AI274))</f>
        <v/>
      </c>
      <c r="AK274" s="10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2">
        <f>IF($J275="","",TODAY()-$J275)</f>
        <v/>
      </c>
      <c r="AB275" s="12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IF($AE275="","",IF((IFERROR(INDEX('ASIGNACIONES'!$F$4:$F$339,MATCH($O275&amp;"|"&amp;$R275&amp;"|"&amp;$AE275,'ASIGNACIONES'!$J$4:$J$339,0)),""))=0,"",IFERROR(INDEX('ASIGNACIONES'!$F$4:$F$339,MATCH($O275&amp;"|"&amp;$R275&amp;"|"&amp;$AE275,'ASIGNACIONES'!$J$4:$J$339,0)),"")))</f>
        <v/>
      </c>
      <c r="AG275" s="13">
        <f>IF($AE275="","",SUMIFS('ORDENES'!$M$4:$M$1203,'ORDENES'!$AE$4:$AE$1203,$AE275,'ORDENES'!$O$4:$O$1203,$O275,'ORDENES'!$R$4:$R$1203,$R275))</f>
        <v/>
      </c>
      <c r="AH275" s="13">
        <f>IF($AG275="","",p_factor_productividad*IFERROR(INDEX('ASIGNACIONES'!$I$4:$I$339,MATCH($O275&amp;"|"&amp;$R275&amp;"|"&amp;$AE275,'ASIGNACIONES'!$J$4:$J$339,0)),0)-$AG275)</f>
        <v/>
      </c>
      <c r="AI275" s="10">
        <f>IF($A275="","",IFERROR(INDEX('2_IMPORTAR_EJECUCION'!$F$9:$F$1208,MATCH($AQ275,'2_IMPORTAR_EJECUCION'!$J$9:$J$1208,0)),0))</f>
        <v/>
      </c>
      <c r="AJ275" s="10">
        <f>IF($A275="","",MAX(0,IFERROR(INDEX('2_IMPORTAR_EJECUCION'!$H$9:$H$1208,MATCH($AQ275,'2_IMPORTAR_EJECUCION'!$J$9:$J$1208,0)),0)-$AI275))</f>
        <v/>
      </c>
      <c r="AK275" s="10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2">
        <f>IF($J276="","",TODAY()-$J276)</f>
        <v/>
      </c>
      <c r="AB276" s="12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IF($AE276="","",IF((IFERROR(INDEX('ASIGNACIONES'!$F$4:$F$339,MATCH($O276&amp;"|"&amp;$R276&amp;"|"&amp;$AE276,'ASIGNACIONES'!$J$4:$J$339,0)),""))=0,"",IFERROR(INDEX('ASIGNACIONES'!$F$4:$F$339,MATCH($O276&amp;"|"&amp;$R276&amp;"|"&amp;$AE276,'ASIGNACIONES'!$J$4:$J$339,0)),"")))</f>
        <v/>
      </c>
      <c r="AG276" s="13">
        <f>IF($AE276="","",SUMIFS('ORDENES'!$M$4:$M$1203,'ORDENES'!$AE$4:$AE$1203,$AE276,'ORDENES'!$O$4:$O$1203,$O276,'ORDENES'!$R$4:$R$1203,$R276))</f>
        <v/>
      </c>
      <c r="AH276" s="13">
        <f>IF($AG276="","",p_factor_productividad*IFERROR(INDEX('ASIGNACIONES'!$I$4:$I$339,MATCH($O276&amp;"|"&amp;$R276&amp;"|"&amp;$AE276,'ASIGNACIONES'!$J$4:$J$339,0)),0)-$AG276)</f>
        <v/>
      </c>
      <c r="AI276" s="10">
        <f>IF($A276="","",IFERROR(INDEX('2_IMPORTAR_EJECUCION'!$F$9:$F$1208,MATCH($AQ276,'2_IMPORTAR_EJECUCION'!$J$9:$J$1208,0)),0))</f>
        <v/>
      </c>
      <c r="AJ276" s="10">
        <f>IF($A276="","",MAX(0,IFERROR(INDEX('2_IMPORTAR_EJECUCION'!$H$9:$H$1208,MATCH($AQ276,'2_IMPORTAR_EJECUCION'!$J$9:$J$1208,0)),0)-$AI276))</f>
        <v/>
      </c>
      <c r="AK276" s="10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2">
        <f>IF($J277="","",TODAY()-$J277)</f>
        <v/>
      </c>
      <c r="AB277" s="12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IF($AE277="","",IF((IFERROR(INDEX('ASIGNACIONES'!$F$4:$F$339,MATCH($O277&amp;"|"&amp;$R277&amp;"|"&amp;$AE277,'ASIGNACIONES'!$J$4:$J$339,0)),""))=0,"",IFERROR(INDEX('ASIGNACIONES'!$F$4:$F$339,MATCH($O277&amp;"|"&amp;$R277&amp;"|"&amp;$AE277,'ASIGNACIONES'!$J$4:$J$339,0)),"")))</f>
        <v/>
      </c>
      <c r="AG277" s="13">
        <f>IF($AE277="","",SUMIFS('ORDENES'!$M$4:$M$1203,'ORDENES'!$AE$4:$AE$1203,$AE277,'ORDENES'!$O$4:$O$1203,$O277,'ORDENES'!$R$4:$R$1203,$R277))</f>
        <v/>
      </c>
      <c r="AH277" s="13">
        <f>IF($AG277="","",p_factor_productividad*IFERROR(INDEX('ASIGNACIONES'!$I$4:$I$339,MATCH($O277&amp;"|"&amp;$R277&amp;"|"&amp;$AE277,'ASIGNACIONES'!$J$4:$J$339,0)),0)-$AG277)</f>
        <v/>
      </c>
      <c r="AI277" s="10">
        <f>IF($A277="","",IFERROR(INDEX('2_IMPORTAR_EJECUCION'!$F$9:$F$1208,MATCH($AQ277,'2_IMPORTAR_EJECUCION'!$J$9:$J$1208,0)),0))</f>
        <v/>
      </c>
      <c r="AJ277" s="10">
        <f>IF($A277="","",MAX(0,IFERROR(INDEX('2_IMPORTAR_EJECUCION'!$H$9:$H$1208,MATCH($AQ277,'2_IMPORTAR_EJECUCION'!$J$9:$J$1208,0)),0)-$AI277))</f>
        <v/>
      </c>
      <c r="AK277" s="10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2">
        <f>IF($J278="","",TODAY()-$J278)</f>
        <v/>
      </c>
      <c r="AB278" s="12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IF($AE278="","",IF((IFERROR(INDEX('ASIGNACIONES'!$F$4:$F$339,MATCH($O278&amp;"|"&amp;$R278&amp;"|"&amp;$AE278,'ASIGNACIONES'!$J$4:$J$339,0)),""))=0,"",IFERROR(INDEX('ASIGNACIONES'!$F$4:$F$339,MATCH($O278&amp;"|"&amp;$R278&amp;"|"&amp;$AE278,'ASIGNACIONES'!$J$4:$J$339,0)),"")))</f>
        <v/>
      </c>
      <c r="AG278" s="13">
        <f>IF($AE278="","",SUMIFS('ORDENES'!$M$4:$M$1203,'ORDENES'!$AE$4:$AE$1203,$AE278,'ORDENES'!$O$4:$O$1203,$O278,'ORDENES'!$R$4:$R$1203,$R278))</f>
        <v/>
      </c>
      <c r="AH278" s="13">
        <f>IF($AG278="","",p_factor_productividad*IFERROR(INDEX('ASIGNACIONES'!$I$4:$I$339,MATCH($O278&amp;"|"&amp;$R278&amp;"|"&amp;$AE278,'ASIGNACIONES'!$J$4:$J$339,0)),0)-$AG278)</f>
        <v/>
      </c>
      <c r="AI278" s="10">
        <f>IF($A278="","",IFERROR(INDEX('2_IMPORTAR_EJECUCION'!$F$9:$F$1208,MATCH($AQ278,'2_IMPORTAR_EJECUCION'!$J$9:$J$1208,0)),0))</f>
        <v/>
      </c>
      <c r="AJ278" s="10">
        <f>IF($A278="","",MAX(0,IFERROR(INDEX('2_IMPORTAR_EJECUCION'!$H$9:$H$1208,MATCH($AQ278,'2_IMPORTAR_EJECUCION'!$J$9:$J$1208,0)),0)-$AI278))</f>
        <v/>
      </c>
      <c r="AK278" s="10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2">
        <f>IF($J279="","",TODAY()-$J279)</f>
        <v/>
      </c>
      <c r="AB279" s="12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IF($AE279="","",IF((IFERROR(INDEX('ASIGNACIONES'!$F$4:$F$339,MATCH($O279&amp;"|"&amp;$R279&amp;"|"&amp;$AE279,'ASIGNACIONES'!$J$4:$J$339,0)),""))=0,"",IFERROR(INDEX('ASIGNACIONES'!$F$4:$F$339,MATCH($O279&amp;"|"&amp;$R279&amp;"|"&amp;$AE279,'ASIGNACIONES'!$J$4:$J$339,0)),"")))</f>
        <v/>
      </c>
      <c r="AG279" s="13">
        <f>IF($AE279="","",SUMIFS('ORDENES'!$M$4:$M$1203,'ORDENES'!$AE$4:$AE$1203,$AE279,'ORDENES'!$O$4:$O$1203,$O279,'ORDENES'!$R$4:$R$1203,$R279))</f>
        <v/>
      </c>
      <c r="AH279" s="13">
        <f>IF($AG279="","",p_factor_productividad*IFERROR(INDEX('ASIGNACIONES'!$I$4:$I$339,MATCH($O279&amp;"|"&amp;$R279&amp;"|"&amp;$AE279,'ASIGNACIONES'!$J$4:$J$339,0)),0)-$AG279)</f>
        <v/>
      </c>
      <c r="AI279" s="10">
        <f>IF($A279="","",IFERROR(INDEX('2_IMPORTAR_EJECUCION'!$F$9:$F$1208,MATCH($AQ279,'2_IMPORTAR_EJECUCION'!$J$9:$J$1208,0)),0))</f>
        <v/>
      </c>
      <c r="AJ279" s="10">
        <f>IF($A279="","",MAX(0,IFERROR(INDEX('2_IMPORTAR_EJECUCION'!$H$9:$H$1208,MATCH($AQ279,'2_IMPORTAR_EJECUCION'!$J$9:$J$1208,0)),0)-$AI279))</f>
        <v/>
      </c>
      <c r="AK279" s="10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2">
        <f>IF($J280="","",TODAY()-$J280)</f>
        <v/>
      </c>
      <c r="AB280" s="12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IF($AE280="","",IF((IFERROR(INDEX('ASIGNACIONES'!$F$4:$F$339,MATCH($O280&amp;"|"&amp;$R280&amp;"|"&amp;$AE280,'ASIGNACIONES'!$J$4:$J$339,0)),""))=0,"",IFERROR(INDEX('ASIGNACIONES'!$F$4:$F$339,MATCH($O280&amp;"|"&amp;$R280&amp;"|"&amp;$AE280,'ASIGNACIONES'!$J$4:$J$339,0)),"")))</f>
        <v/>
      </c>
      <c r="AG280" s="13">
        <f>IF($AE280="","",SUMIFS('ORDENES'!$M$4:$M$1203,'ORDENES'!$AE$4:$AE$1203,$AE280,'ORDENES'!$O$4:$O$1203,$O280,'ORDENES'!$R$4:$R$1203,$R280))</f>
        <v/>
      </c>
      <c r="AH280" s="13">
        <f>IF($AG280="","",p_factor_productividad*IFERROR(INDEX('ASIGNACIONES'!$I$4:$I$339,MATCH($O280&amp;"|"&amp;$R280&amp;"|"&amp;$AE280,'ASIGNACIONES'!$J$4:$J$339,0)),0)-$AG280)</f>
        <v/>
      </c>
      <c r="AI280" s="10">
        <f>IF($A280="","",IFERROR(INDEX('2_IMPORTAR_EJECUCION'!$F$9:$F$1208,MATCH($AQ280,'2_IMPORTAR_EJECUCION'!$J$9:$J$1208,0)),0))</f>
        <v/>
      </c>
      <c r="AJ280" s="10">
        <f>IF($A280="","",MAX(0,IFERROR(INDEX('2_IMPORTAR_EJECUCION'!$H$9:$H$1208,MATCH($AQ280,'2_IMPORTAR_EJECUCION'!$J$9:$J$1208,0)),0)-$AI280))</f>
        <v/>
      </c>
      <c r="AK280" s="10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2">
        <f>IF($J281="","",TODAY()-$J281)</f>
        <v/>
      </c>
      <c r="AB281" s="12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IF($AE281="","",IF((IFERROR(INDEX('ASIGNACIONES'!$F$4:$F$339,MATCH($O281&amp;"|"&amp;$R281&amp;"|"&amp;$AE281,'ASIGNACIONES'!$J$4:$J$339,0)),""))=0,"",IFERROR(INDEX('ASIGNACIONES'!$F$4:$F$339,MATCH($O281&amp;"|"&amp;$R281&amp;"|"&amp;$AE281,'ASIGNACIONES'!$J$4:$J$339,0)),"")))</f>
        <v/>
      </c>
      <c r="AG281" s="13">
        <f>IF($AE281="","",SUMIFS('ORDENES'!$M$4:$M$1203,'ORDENES'!$AE$4:$AE$1203,$AE281,'ORDENES'!$O$4:$O$1203,$O281,'ORDENES'!$R$4:$R$1203,$R281))</f>
        <v/>
      </c>
      <c r="AH281" s="13">
        <f>IF($AG281="","",p_factor_productividad*IFERROR(INDEX('ASIGNACIONES'!$I$4:$I$339,MATCH($O281&amp;"|"&amp;$R281&amp;"|"&amp;$AE281,'ASIGNACIONES'!$J$4:$J$339,0)),0)-$AG281)</f>
        <v/>
      </c>
      <c r="AI281" s="10">
        <f>IF($A281="","",IFERROR(INDEX('2_IMPORTAR_EJECUCION'!$F$9:$F$1208,MATCH($AQ281,'2_IMPORTAR_EJECUCION'!$J$9:$J$1208,0)),0))</f>
        <v/>
      </c>
      <c r="AJ281" s="10">
        <f>IF($A281="","",MAX(0,IFERROR(INDEX('2_IMPORTAR_EJECUCION'!$H$9:$H$1208,MATCH($AQ281,'2_IMPORTAR_EJECUCION'!$J$9:$J$1208,0)),0)-$AI281))</f>
        <v/>
      </c>
      <c r="AK281" s="10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2">
        <f>IF($J282="","",TODAY()-$J282)</f>
        <v/>
      </c>
      <c r="AB282" s="12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IF($AE282="","",IF((IFERROR(INDEX('ASIGNACIONES'!$F$4:$F$339,MATCH($O282&amp;"|"&amp;$R282&amp;"|"&amp;$AE282,'ASIGNACIONES'!$J$4:$J$339,0)),""))=0,"",IFERROR(INDEX('ASIGNACIONES'!$F$4:$F$339,MATCH($O282&amp;"|"&amp;$R282&amp;"|"&amp;$AE282,'ASIGNACIONES'!$J$4:$J$339,0)),"")))</f>
        <v/>
      </c>
      <c r="AG282" s="13">
        <f>IF($AE282="","",SUMIFS('ORDENES'!$M$4:$M$1203,'ORDENES'!$AE$4:$AE$1203,$AE282,'ORDENES'!$O$4:$O$1203,$O282,'ORDENES'!$R$4:$R$1203,$R282))</f>
        <v/>
      </c>
      <c r="AH282" s="13">
        <f>IF($AG282="","",p_factor_productividad*IFERROR(INDEX('ASIGNACIONES'!$I$4:$I$339,MATCH($O282&amp;"|"&amp;$R282&amp;"|"&amp;$AE282,'ASIGNACIONES'!$J$4:$J$339,0)),0)-$AG282)</f>
        <v/>
      </c>
      <c r="AI282" s="10">
        <f>IF($A282="","",IFERROR(INDEX('2_IMPORTAR_EJECUCION'!$F$9:$F$1208,MATCH($AQ282,'2_IMPORTAR_EJECUCION'!$J$9:$J$1208,0)),0))</f>
        <v/>
      </c>
      <c r="AJ282" s="10">
        <f>IF($A282="","",MAX(0,IFERROR(INDEX('2_IMPORTAR_EJECUCION'!$H$9:$H$1208,MATCH($AQ282,'2_IMPORTAR_EJECUCION'!$J$9:$J$1208,0)),0)-$AI282))</f>
        <v/>
      </c>
      <c r="AK282" s="10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2">
        <f>IF($J283="","",TODAY()-$J283)</f>
        <v/>
      </c>
      <c r="AB283" s="12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IF($AE283="","",IF((IFERROR(INDEX('ASIGNACIONES'!$F$4:$F$339,MATCH($O283&amp;"|"&amp;$R283&amp;"|"&amp;$AE283,'ASIGNACIONES'!$J$4:$J$339,0)),""))=0,"",IFERROR(INDEX('ASIGNACIONES'!$F$4:$F$339,MATCH($O283&amp;"|"&amp;$R283&amp;"|"&amp;$AE283,'ASIGNACIONES'!$J$4:$J$339,0)),"")))</f>
        <v/>
      </c>
      <c r="AG283" s="13">
        <f>IF($AE283="","",SUMIFS('ORDENES'!$M$4:$M$1203,'ORDENES'!$AE$4:$AE$1203,$AE283,'ORDENES'!$O$4:$O$1203,$O283,'ORDENES'!$R$4:$R$1203,$R283))</f>
        <v/>
      </c>
      <c r="AH283" s="13">
        <f>IF($AG283="","",p_factor_productividad*IFERROR(INDEX('ASIGNACIONES'!$I$4:$I$339,MATCH($O283&amp;"|"&amp;$R283&amp;"|"&amp;$AE283,'ASIGNACIONES'!$J$4:$J$339,0)),0)-$AG283)</f>
        <v/>
      </c>
      <c r="AI283" s="10">
        <f>IF($A283="","",IFERROR(INDEX('2_IMPORTAR_EJECUCION'!$F$9:$F$1208,MATCH($AQ283,'2_IMPORTAR_EJECUCION'!$J$9:$J$1208,0)),0))</f>
        <v/>
      </c>
      <c r="AJ283" s="10">
        <f>IF($A283="","",MAX(0,IFERROR(INDEX('2_IMPORTAR_EJECUCION'!$H$9:$H$1208,MATCH($AQ283,'2_IMPORTAR_EJECUCION'!$J$9:$J$1208,0)),0)-$AI283))</f>
        <v/>
      </c>
      <c r="AK283" s="10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2">
        <f>IF($J284="","",TODAY()-$J284)</f>
        <v/>
      </c>
      <c r="AB284" s="12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IF($AE284="","",IF((IFERROR(INDEX('ASIGNACIONES'!$F$4:$F$339,MATCH($O284&amp;"|"&amp;$R284&amp;"|"&amp;$AE284,'ASIGNACIONES'!$J$4:$J$339,0)),""))=0,"",IFERROR(INDEX('ASIGNACIONES'!$F$4:$F$339,MATCH($O284&amp;"|"&amp;$R284&amp;"|"&amp;$AE284,'ASIGNACIONES'!$J$4:$J$339,0)),"")))</f>
        <v/>
      </c>
      <c r="AG284" s="13">
        <f>IF($AE284="","",SUMIFS('ORDENES'!$M$4:$M$1203,'ORDENES'!$AE$4:$AE$1203,$AE284,'ORDENES'!$O$4:$O$1203,$O284,'ORDENES'!$R$4:$R$1203,$R284))</f>
        <v/>
      </c>
      <c r="AH284" s="13">
        <f>IF($AG284="","",p_factor_productividad*IFERROR(INDEX('ASIGNACIONES'!$I$4:$I$339,MATCH($O284&amp;"|"&amp;$R284&amp;"|"&amp;$AE284,'ASIGNACIONES'!$J$4:$J$339,0)),0)-$AG284)</f>
        <v/>
      </c>
      <c r="AI284" s="10">
        <f>IF($A284="","",IFERROR(INDEX('2_IMPORTAR_EJECUCION'!$F$9:$F$1208,MATCH($AQ284,'2_IMPORTAR_EJECUCION'!$J$9:$J$1208,0)),0))</f>
        <v/>
      </c>
      <c r="AJ284" s="10">
        <f>IF($A284="","",MAX(0,IFERROR(INDEX('2_IMPORTAR_EJECUCION'!$H$9:$H$1208,MATCH($AQ284,'2_IMPORTAR_EJECUCION'!$J$9:$J$1208,0)),0)-$AI284))</f>
        <v/>
      </c>
      <c r="AK284" s="10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2">
        <f>IF($J285="","",TODAY()-$J285)</f>
        <v/>
      </c>
      <c r="AB285" s="12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IF($AE285="","",IF((IFERROR(INDEX('ASIGNACIONES'!$F$4:$F$339,MATCH($O285&amp;"|"&amp;$R285&amp;"|"&amp;$AE285,'ASIGNACIONES'!$J$4:$J$339,0)),""))=0,"",IFERROR(INDEX('ASIGNACIONES'!$F$4:$F$339,MATCH($O285&amp;"|"&amp;$R285&amp;"|"&amp;$AE285,'ASIGNACIONES'!$J$4:$J$339,0)),"")))</f>
        <v/>
      </c>
      <c r="AG285" s="13">
        <f>IF($AE285="","",SUMIFS('ORDENES'!$M$4:$M$1203,'ORDENES'!$AE$4:$AE$1203,$AE285,'ORDENES'!$O$4:$O$1203,$O285,'ORDENES'!$R$4:$R$1203,$R285))</f>
        <v/>
      </c>
      <c r="AH285" s="13">
        <f>IF($AG285="","",p_factor_productividad*IFERROR(INDEX('ASIGNACIONES'!$I$4:$I$339,MATCH($O285&amp;"|"&amp;$R285&amp;"|"&amp;$AE285,'ASIGNACIONES'!$J$4:$J$339,0)),0)-$AG285)</f>
        <v/>
      </c>
      <c r="AI285" s="10">
        <f>IF($A285="","",IFERROR(INDEX('2_IMPORTAR_EJECUCION'!$F$9:$F$1208,MATCH($AQ285,'2_IMPORTAR_EJECUCION'!$J$9:$J$1208,0)),0))</f>
        <v/>
      </c>
      <c r="AJ285" s="10">
        <f>IF($A285="","",MAX(0,IFERROR(INDEX('2_IMPORTAR_EJECUCION'!$H$9:$H$1208,MATCH($AQ285,'2_IMPORTAR_EJECUCION'!$J$9:$J$1208,0)),0)-$AI285))</f>
        <v/>
      </c>
      <c r="AK285" s="10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2">
        <f>IF($J286="","",TODAY()-$J286)</f>
        <v/>
      </c>
      <c r="AB286" s="12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IF($AE286="","",IF((IFERROR(INDEX('ASIGNACIONES'!$F$4:$F$339,MATCH($O286&amp;"|"&amp;$R286&amp;"|"&amp;$AE286,'ASIGNACIONES'!$J$4:$J$339,0)),""))=0,"",IFERROR(INDEX('ASIGNACIONES'!$F$4:$F$339,MATCH($O286&amp;"|"&amp;$R286&amp;"|"&amp;$AE286,'ASIGNACIONES'!$J$4:$J$339,0)),"")))</f>
        <v/>
      </c>
      <c r="AG286" s="13">
        <f>IF($AE286="","",SUMIFS('ORDENES'!$M$4:$M$1203,'ORDENES'!$AE$4:$AE$1203,$AE286,'ORDENES'!$O$4:$O$1203,$O286,'ORDENES'!$R$4:$R$1203,$R286))</f>
        <v/>
      </c>
      <c r="AH286" s="13">
        <f>IF($AG286="","",p_factor_productividad*IFERROR(INDEX('ASIGNACIONES'!$I$4:$I$339,MATCH($O286&amp;"|"&amp;$R286&amp;"|"&amp;$AE286,'ASIGNACIONES'!$J$4:$J$339,0)),0)-$AG286)</f>
        <v/>
      </c>
      <c r="AI286" s="10">
        <f>IF($A286="","",IFERROR(INDEX('2_IMPORTAR_EJECUCION'!$F$9:$F$1208,MATCH($AQ286,'2_IMPORTAR_EJECUCION'!$J$9:$J$1208,0)),0))</f>
        <v/>
      </c>
      <c r="AJ286" s="10">
        <f>IF($A286="","",MAX(0,IFERROR(INDEX('2_IMPORTAR_EJECUCION'!$H$9:$H$1208,MATCH($AQ286,'2_IMPORTAR_EJECUCION'!$J$9:$J$1208,0)),0)-$AI286))</f>
        <v/>
      </c>
      <c r="AK286" s="10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2">
        <f>IF($J287="","",TODAY()-$J287)</f>
        <v/>
      </c>
      <c r="AB287" s="12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IF($AE287="","",IF((IFERROR(INDEX('ASIGNACIONES'!$F$4:$F$339,MATCH($O287&amp;"|"&amp;$R287&amp;"|"&amp;$AE287,'ASIGNACIONES'!$J$4:$J$339,0)),""))=0,"",IFERROR(INDEX('ASIGNACIONES'!$F$4:$F$339,MATCH($O287&amp;"|"&amp;$R287&amp;"|"&amp;$AE287,'ASIGNACIONES'!$J$4:$J$339,0)),"")))</f>
        <v/>
      </c>
      <c r="AG287" s="13">
        <f>IF($AE287="","",SUMIFS('ORDENES'!$M$4:$M$1203,'ORDENES'!$AE$4:$AE$1203,$AE287,'ORDENES'!$O$4:$O$1203,$O287,'ORDENES'!$R$4:$R$1203,$R287))</f>
        <v/>
      </c>
      <c r="AH287" s="13">
        <f>IF($AG287="","",p_factor_productividad*IFERROR(INDEX('ASIGNACIONES'!$I$4:$I$339,MATCH($O287&amp;"|"&amp;$R287&amp;"|"&amp;$AE287,'ASIGNACIONES'!$J$4:$J$339,0)),0)-$AG287)</f>
        <v/>
      </c>
      <c r="AI287" s="10">
        <f>IF($A287="","",IFERROR(INDEX('2_IMPORTAR_EJECUCION'!$F$9:$F$1208,MATCH($AQ287,'2_IMPORTAR_EJECUCION'!$J$9:$J$1208,0)),0))</f>
        <v/>
      </c>
      <c r="AJ287" s="10">
        <f>IF($A287="","",MAX(0,IFERROR(INDEX('2_IMPORTAR_EJECUCION'!$H$9:$H$1208,MATCH($AQ287,'2_IMPORTAR_EJECUCION'!$J$9:$J$1208,0)),0)-$AI287))</f>
        <v/>
      </c>
      <c r="AK287" s="10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2">
        <f>IF($J288="","",TODAY()-$J288)</f>
        <v/>
      </c>
      <c r="AB288" s="12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IF($AE288="","",IF((IFERROR(INDEX('ASIGNACIONES'!$F$4:$F$339,MATCH($O288&amp;"|"&amp;$R288&amp;"|"&amp;$AE288,'ASIGNACIONES'!$J$4:$J$339,0)),""))=0,"",IFERROR(INDEX('ASIGNACIONES'!$F$4:$F$339,MATCH($O288&amp;"|"&amp;$R288&amp;"|"&amp;$AE288,'ASIGNACIONES'!$J$4:$J$339,0)),"")))</f>
        <v/>
      </c>
      <c r="AG288" s="13">
        <f>IF($AE288="","",SUMIFS('ORDENES'!$M$4:$M$1203,'ORDENES'!$AE$4:$AE$1203,$AE288,'ORDENES'!$O$4:$O$1203,$O288,'ORDENES'!$R$4:$R$1203,$R288))</f>
        <v/>
      </c>
      <c r="AH288" s="13">
        <f>IF($AG288="","",p_factor_productividad*IFERROR(INDEX('ASIGNACIONES'!$I$4:$I$339,MATCH($O288&amp;"|"&amp;$R288&amp;"|"&amp;$AE288,'ASIGNACIONES'!$J$4:$J$339,0)),0)-$AG288)</f>
        <v/>
      </c>
      <c r="AI288" s="10">
        <f>IF($A288="","",IFERROR(INDEX('2_IMPORTAR_EJECUCION'!$F$9:$F$1208,MATCH($AQ288,'2_IMPORTAR_EJECUCION'!$J$9:$J$1208,0)),0))</f>
        <v/>
      </c>
      <c r="AJ288" s="10">
        <f>IF($A288="","",MAX(0,IFERROR(INDEX('2_IMPORTAR_EJECUCION'!$H$9:$H$1208,MATCH($AQ288,'2_IMPORTAR_EJECUCION'!$J$9:$J$1208,0)),0)-$AI288))</f>
        <v/>
      </c>
      <c r="AK288" s="10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2">
        <f>IF($J289="","",TODAY()-$J289)</f>
        <v/>
      </c>
      <c r="AB289" s="12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IF($AE289="","",IF((IFERROR(INDEX('ASIGNACIONES'!$F$4:$F$339,MATCH($O289&amp;"|"&amp;$R289&amp;"|"&amp;$AE289,'ASIGNACIONES'!$J$4:$J$339,0)),""))=0,"",IFERROR(INDEX('ASIGNACIONES'!$F$4:$F$339,MATCH($O289&amp;"|"&amp;$R289&amp;"|"&amp;$AE289,'ASIGNACIONES'!$J$4:$J$339,0)),"")))</f>
        <v/>
      </c>
      <c r="AG289" s="13">
        <f>IF($AE289="","",SUMIFS('ORDENES'!$M$4:$M$1203,'ORDENES'!$AE$4:$AE$1203,$AE289,'ORDENES'!$O$4:$O$1203,$O289,'ORDENES'!$R$4:$R$1203,$R289))</f>
        <v/>
      </c>
      <c r="AH289" s="13">
        <f>IF($AG289="","",p_factor_productividad*IFERROR(INDEX('ASIGNACIONES'!$I$4:$I$339,MATCH($O289&amp;"|"&amp;$R289&amp;"|"&amp;$AE289,'ASIGNACIONES'!$J$4:$J$339,0)),0)-$AG289)</f>
        <v/>
      </c>
      <c r="AI289" s="10">
        <f>IF($A289="","",IFERROR(INDEX('2_IMPORTAR_EJECUCION'!$F$9:$F$1208,MATCH($AQ289,'2_IMPORTAR_EJECUCION'!$J$9:$J$1208,0)),0))</f>
        <v/>
      </c>
      <c r="AJ289" s="10">
        <f>IF($A289="","",MAX(0,IFERROR(INDEX('2_IMPORTAR_EJECUCION'!$H$9:$H$1208,MATCH($AQ289,'2_IMPORTAR_EJECUCION'!$J$9:$J$1208,0)),0)-$AI289))</f>
        <v/>
      </c>
      <c r="AK289" s="10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2">
        <f>IF($J290="","",TODAY()-$J290)</f>
        <v/>
      </c>
      <c r="AB290" s="12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IF($AE290="","",IF((IFERROR(INDEX('ASIGNACIONES'!$F$4:$F$339,MATCH($O290&amp;"|"&amp;$R290&amp;"|"&amp;$AE290,'ASIGNACIONES'!$J$4:$J$339,0)),""))=0,"",IFERROR(INDEX('ASIGNACIONES'!$F$4:$F$339,MATCH($O290&amp;"|"&amp;$R290&amp;"|"&amp;$AE290,'ASIGNACIONES'!$J$4:$J$339,0)),"")))</f>
        <v/>
      </c>
      <c r="AG290" s="13">
        <f>IF($AE290="","",SUMIFS('ORDENES'!$M$4:$M$1203,'ORDENES'!$AE$4:$AE$1203,$AE290,'ORDENES'!$O$4:$O$1203,$O290,'ORDENES'!$R$4:$R$1203,$R290))</f>
        <v/>
      </c>
      <c r="AH290" s="13">
        <f>IF($AG290="","",p_factor_productividad*IFERROR(INDEX('ASIGNACIONES'!$I$4:$I$339,MATCH($O290&amp;"|"&amp;$R290&amp;"|"&amp;$AE290,'ASIGNACIONES'!$J$4:$J$339,0)),0)-$AG290)</f>
        <v/>
      </c>
      <c r="AI290" s="10">
        <f>IF($A290="","",IFERROR(INDEX('2_IMPORTAR_EJECUCION'!$F$9:$F$1208,MATCH($AQ290,'2_IMPORTAR_EJECUCION'!$J$9:$J$1208,0)),0))</f>
        <v/>
      </c>
      <c r="AJ290" s="10">
        <f>IF($A290="","",MAX(0,IFERROR(INDEX('2_IMPORTAR_EJECUCION'!$H$9:$H$1208,MATCH($AQ290,'2_IMPORTAR_EJECUCION'!$J$9:$J$1208,0)),0)-$AI290))</f>
        <v/>
      </c>
      <c r="AK290" s="10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2">
        <f>IF($J291="","",TODAY()-$J291)</f>
        <v/>
      </c>
      <c r="AB291" s="12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IF($AE291="","",IF((IFERROR(INDEX('ASIGNACIONES'!$F$4:$F$339,MATCH($O291&amp;"|"&amp;$R291&amp;"|"&amp;$AE291,'ASIGNACIONES'!$J$4:$J$339,0)),""))=0,"",IFERROR(INDEX('ASIGNACIONES'!$F$4:$F$339,MATCH($O291&amp;"|"&amp;$R291&amp;"|"&amp;$AE291,'ASIGNACIONES'!$J$4:$J$339,0)),"")))</f>
        <v/>
      </c>
      <c r="AG291" s="13">
        <f>IF($AE291="","",SUMIFS('ORDENES'!$M$4:$M$1203,'ORDENES'!$AE$4:$AE$1203,$AE291,'ORDENES'!$O$4:$O$1203,$O291,'ORDENES'!$R$4:$R$1203,$R291))</f>
        <v/>
      </c>
      <c r="AH291" s="13">
        <f>IF($AG291="","",p_factor_productividad*IFERROR(INDEX('ASIGNACIONES'!$I$4:$I$339,MATCH($O291&amp;"|"&amp;$R291&amp;"|"&amp;$AE291,'ASIGNACIONES'!$J$4:$J$339,0)),0)-$AG291)</f>
        <v/>
      </c>
      <c r="AI291" s="10">
        <f>IF($A291="","",IFERROR(INDEX('2_IMPORTAR_EJECUCION'!$F$9:$F$1208,MATCH($AQ291,'2_IMPORTAR_EJECUCION'!$J$9:$J$1208,0)),0))</f>
        <v/>
      </c>
      <c r="AJ291" s="10">
        <f>IF($A291="","",MAX(0,IFERROR(INDEX('2_IMPORTAR_EJECUCION'!$H$9:$H$1208,MATCH($AQ291,'2_IMPORTAR_EJECUCION'!$J$9:$J$1208,0)),0)-$AI291))</f>
        <v/>
      </c>
      <c r="AK291" s="10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2">
        <f>IF($J292="","",TODAY()-$J292)</f>
        <v/>
      </c>
      <c r="AB292" s="12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IF($AE292="","",IF((IFERROR(INDEX('ASIGNACIONES'!$F$4:$F$339,MATCH($O292&amp;"|"&amp;$R292&amp;"|"&amp;$AE292,'ASIGNACIONES'!$J$4:$J$339,0)),""))=0,"",IFERROR(INDEX('ASIGNACIONES'!$F$4:$F$339,MATCH($O292&amp;"|"&amp;$R292&amp;"|"&amp;$AE292,'ASIGNACIONES'!$J$4:$J$339,0)),"")))</f>
        <v/>
      </c>
      <c r="AG292" s="13">
        <f>IF($AE292="","",SUMIFS('ORDENES'!$M$4:$M$1203,'ORDENES'!$AE$4:$AE$1203,$AE292,'ORDENES'!$O$4:$O$1203,$O292,'ORDENES'!$R$4:$R$1203,$R292))</f>
        <v/>
      </c>
      <c r="AH292" s="13">
        <f>IF($AG292="","",p_factor_productividad*IFERROR(INDEX('ASIGNACIONES'!$I$4:$I$339,MATCH($O292&amp;"|"&amp;$R292&amp;"|"&amp;$AE292,'ASIGNACIONES'!$J$4:$J$339,0)),0)-$AG292)</f>
        <v/>
      </c>
      <c r="AI292" s="10">
        <f>IF($A292="","",IFERROR(INDEX('2_IMPORTAR_EJECUCION'!$F$9:$F$1208,MATCH($AQ292,'2_IMPORTAR_EJECUCION'!$J$9:$J$1208,0)),0))</f>
        <v/>
      </c>
      <c r="AJ292" s="10">
        <f>IF($A292="","",MAX(0,IFERROR(INDEX('2_IMPORTAR_EJECUCION'!$H$9:$H$1208,MATCH($AQ292,'2_IMPORTAR_EJECUCION'!$J$9:$J$1208,0)),0)-$AI292))</f>
        <v/>
      </c>
      <c r="AK292" s="10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2">
        <f>IF($J293="","",TODAY()-$J293)</f>
        <v/>
      </c>
      <c r="AB293" s="12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IF($AE293="","",IF((IFERROR(INDEX('ASIGNACIONES'!$F$4:$F$339,MATCH($O293&amp;"|"&amp;$R293&amp;"|"&amp;$AE293,'ASIGNACIONES'!$J$4:$J$339,0)),""))=0,"",IFERROR(INDEX('ASIGNACIONES'!$F$4:$F$339,MATCH($O293&amp;"|"&amp;$R293&amp;"|"&amp;$AE293,'ASIGNACIONES'!$J$4:$J$339,0)),"")))</f>
        <v/>
      </c>
      <c r="AG293" s="13">
        <f>IF($AE293="","",SUMIFS('ORDENES'!$M$4:$M$1203,'ORDENES'!$AE$4:$AE$1203,$AE293,'ORDENES'!$O$4:$O$1203,$O293,'ORDENES'!$R$4:$R$1203,$R293))</f>
        <v/>
      </c>
      <c r="AH293" s="13">
        <f>IF($AG293="","",p_factor_productividad*IFERROR(INDEX('ASIGNACIONES'!$I$4:$I$339,MATCH($O293&amp;"|"&amp;$R293&amp;"|"&amp;$AE293,'ASIGNACIONES'!$J$4:$J$339,0)),0)-$AG293)</f>
        <v/>
      </c>
      <c r="AI293" s="10">
        <f>IF($A293="","",IFERROR(INDEX('2_IMPORTAR_EJECUCION'!$F$9:$F$1208,MATCH($AQ293,'2_IMPORTAR_EJECUCION'!$J$9:$J$1208,0)),0))</f>
        <v/>
      </c>
      <c r="AJ293" s="10">
        <f>IF($A293="","",MAX(0,IFERROR(INDEX('2_IMPORTAR_EJECUCION'!$H$9:$H$1208,MATCH($AQ293,'2_IMPORTAR_EJECUCION'!$J$9:$J$1208,0)),0)-$AI293))</f>
        <v/>
      </c>
      <c r="AK293" s="10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2">
        <f>IF($J294="","",TODAY()-$J294)</f>
        <v/>
      </c>
      <c r="AB294" s="12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IF($AE294="","",IF((IFERROR(INDEX('ASIGNACIONES'!$F$4:$F$339,MATCH($O294&amp;"|"&amp;$R294&amp;"|"&amp;$AE294,'ASIGNACIONES'!$J$4:$J$339,0)),""))=0,"",IFERROR(INDEX('ASIGNACIONES'!$F$4:$F$339,MATCH($O294&amp;"|"&amp;$R294&amp;"|"&amp;$AE294,'ASIGNACIONES'!$J$4:$J$339,0)),"")))</f>
        <v/>
      </c>
      <c r="AG294" s="13">
        <f>IF($AE294="","",SUMIFS('ORDENES'!$M$4:$M$1203,'ORDENES'!$AE$4:$AE$1203,$AE294,'ORDENES'!$O$4:$O$1203,$O294,'ORDENES'!$R$4:$R$1203,$R294))</f>
        <v/>
      </c>
      <c r="AH294" s="13">
        <f>IF($AG294="","",p_factor_productividad*IFERROR(INDEX('ASIGNACIONES'!$I$4:$I$339,MATCH($O294&amp;"|"&amp;$R294&amp;"|"&amp;$AE294,'ASIGNACIONES'!$J$4:$J$339,0)),0)-$AG294)</f>
        <v/>
      </c>
      <c r="AI294" s="10">
        <f>IF($A294="","",IFERROR(INDEX('2_IMPORTAR_EJECUCION'!$F$9:$F$1208,MATCH($AQ294,'2_IMPORTAR_EJECUCION'!$J$9:$J$1208,0)),0))</f>
        <v/>
      </c>
      <c r="AJ294" s="10">
        <f>IF($A294="","",MAX(0,IFERROR(INDEX('2_IMPORTAR_EJECUCION'!$H$9:$H$1208,MATCH($AQ294,'2_IMPORTAR_EJECUCION'!$J$9:$J$1208,0)),0)-$AI294))</f>
        <v/>
      </c>
      <c r="AK294" s="10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2">
        <f>IF($J295="","",TODAY()-$J295)</f>
        <v/>
      </c>
      <c r="AB295" s="12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IF($AE295="","",IF((IFERROR(INDEX('ASIGNACIONES'!$F$4:$F$339,MATCH($O295&amp;"|"&amp;$R295&amp;"|"&amp;$AE295,'ASIGNACIONES'!$J$4:$J$339,0)),""))=0,"",IFERROR(INDEX('ASIGNACIONES'!$F$4:$F$339,MATCH($O295&amp;"|"&amp;$R295&amp;"|"&amp;$AE295,'ASIGNACIONES'!$J$4:$J$339,0)),"")))</f>
        <v/>
      </c>
      <c r="AG295" s="13">
        <f>IF($AE295="","",SUMIFS('ORDENES'!$M$4:$M$1203,'ORDENES'!$AE$4:$AE$1203,$AE295,'ORDENES'!$O$4:$O$1203,$O295,'ORDENES'!$R$4:$R$1203,$R295))</f>
        <v/>
      </c>
      <c r="AH295" s="13">
        <f>IF($AG295="","",p_factor_productividad*IFERROR(INDEX('ASIGNACIONES'!$I$4:$I$339,MATCH($O295&amp;"|"&amp;$R295&amp;"|"&amp;$AE295,'ASIGNACIONES'!$J$4:$J$339,0)),0)-$AG295)</f>
        <v/>
      </c>
      <c r="AI295" s="10">
        <f>IF($A295="","",IFERROR(INDEX('2_IMPORTAR_EJECUCION'!$F$9:$F$1208,MATCH($AQ295,'2_IMPORTAR_EJECUCION'!$J$9:$J$1208,0)),0))</f>
        <v/>
      </c>
      <c r="AJ295" s="10">
        <f>IF($A295="","",MAX(0,IFERROR(INDEX('2_IMPORTAR_EJECUCION'!$H$9:$H$1208,MATCH($AQ295,'2_IMPORTAR_EJECUCION'!$J$9:$J$1208,0)),0)-$AI295))</f>
        <v/>
      </c>
      <c r="AK295" s="10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2">
        <f>IF($J296="","",TODAY()-$J296)</f>
        <v/>
      </c>
      <c r="AB296" s="12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IF($AE296="","",IF((IFERROR(INDEX('ASIGNACIONES'!$F$4:$F$339,MATCH($O296&amp;"|"&amp;$R296&amp;"|"&amp;$AE296,'ASIGNACIONES'!$J$4:$J$339,0)),""))=0,"",IFERROR(INDEX('ASIGNACIONES'!$F$4:$F$339,MATCH($O296&amp;"|"&amp;$R296&amp;"|"&amp;$AE296,'ASIGNACIONES'!$J$4:$J$339,0)),"")))</f>
        <v/>
      </c>
      <c r="AG296" s="13">
        <f>IF($AE296="","",SUMIFS('ORDENES'!$M$4:$M$1203,'ORDENES'!$AE$4:$AE$1203,$AE296,'ORDENES'!$O$4:$O$1203,$O296,'ORDENES'!$R$4:$R$1203,$R296))</f>
        <v/>
      </c>
      <c r="AH296" s="13">
        <f>IF($AG296="","",p_factor_productividad*IFERROR(INDEX('ASIGNACIONES'!$I$4:$I$339,MATCH($O296&amp;"|"&amp;$R296&amp;"|"&amp;$AE296,'ASIGNACIONES'!$J$4:$J$339,0)),0)-$AG296)</f>
        <v/>
      </c>
      <c r="AI296" s="10">
        <f>IF($A296="","",IFERROR(INDEX('2_IMPORTAR_EJECUCION'!$F$9:$F$1208,MATCH($AQ296,'2_IMPORTAR_EJECUCION'!$J$9:$J$1208,0)),0))</f>
        <v/>
      </c>
      <c r="AJ296" s="10">
        <f>IF($A296="","",MAX(0,IFERROR(INDEX('2_IMPORTAR_EJECUCION'!$H$9:$H$1208,MATCH($AQ296,'2_IMPORTAR_EJECUCION'!$J$9:$J$1208,0)),0)-$AI296))</f>
        <v/>
      </c>
      <c r="AK296" s="10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2">
        <f>IF($J297="","",TODAY()-$J297)</f>
        <v/>
      </c>
      <c r="AB297" s="12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IF($AE297="","",IF((IFERROR(INDEX('ASIGNACIONES'!$F$4:$F$339,MATCH($O297&amp;"|"&amp;$R297&amp;"|"&amp;$AE297,'ASIGNACIONES'!$J$4:$J$339,0)),""))=0,"",IFERROR(INDEX('ASIGNACIONES'!$F$4:$F$339,MATCH($O297&amp;"|"&amp;$R297&amp;"|"&amp;$AE297,'ASIGNACIONES'!$J$4:$J$339,0)),"")))</f>
        <v/>
      </c>
      <c r="AG297" s="13">
        <f>IF($AE297="","",SUMIFS('ORDENES'!$M$4:$M$1203,'ORDENES'!$AE$4:$AE$1203,$AE297,'ORDENES'!$O$4:$O$1203,$O297,'ORDENES'!$R$4:$R$1203,$R297))</f>
        <v/>
      </c>
      <c r="AH297" s="13">
        <f>IF($AG297="","",p_factor_productividad*IFERROR(INDEX('ASIGNACIONES'!$I$4:$I$339,MATCH($O297&amp;"|"&amp;$R297&amp;"|"&amp;$AE297,'ASIGNACIONES'!$J$4:$J$339,0)),0)-$AG297)</f>
        <v/>
      </c>
      <c r="AI297" s="10">
        <f>IF($A297="","",IFERROR(INDEX('2_IMPORTAR_EJECUCION'!$F$9:$F$1208,MATCH($AQ297,'2_IMPORTAR_EJECUCION'!$J$9:$J$1208,0)),0))</f>
        <v/>
      </c>
      <c r="AJ297" s="10">
        <f>IF($A297="","",MAX(0,IFERROR(INDEX('2_IMPORTAR_EJECUCION'!$H$9:$H$1208,MATCH($AQ297,'2_IMPORTAR_EJECUCION'!$J$9:$J$1208,0)),0)-$AI297))</f>
        <v/>
      </c>
      <c r="AK297" s="10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2">
        <f>IF($J298="","",TODAY()-$J298)</f>
        <v/>
      </c>
      <c r="AB298" s="12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IF($AE298="","",IF((IFERROR(INDEX('ASIGNACIONES'!$F$4:$F$339,MATCH($O298&amp;"|"&amp;$R298&amp;"|"&amp;$AE298,'ASIGNACIONES'!$J$4:$J$339,0)),""))=0,"",IFERROR(INDEX('ASIGNACIONES'!$F$4:$F$339,MATCH($O298&amp;"|"&amp;$R298&amp;"|"&amp;$AE298,'ASIGNACIONES'!$J$4:$J$339,0)),"")))</f>
        <v/>
      </c>
      <c r="AG298" s="13">
        <f>IF($AE298="","",SUMIFS('ORDENES'!$M$4:$M$1203,'ORDENES'!$AE$4:$AE$1203,$AE298,'ORDENES'!$O$4:$O$1203,$O298,'ORDENES'!$R$4:$R$1203,$R298))</f>
        <v/>
      </c>
      <c r="AH298" s="13">
        <f>IF($AG298="","",p_factor_productividad*IFERROR(INDEX('ASIGNACIONES'!$I$4:$I$339,MATCH($O298&amp;"|"&amp;$R298&amp;"|"&amp;$AE298,'ASIGNACIONES'!$J$4:$J$339,0)),0)-$AG298)</f>
        <v/>
      </c>
      <c r="AI298" s="10">
        <f>IF($A298="","",IFERROR(INDEX('2_IMPORTAR_EJECUCION'!$F$9:$F$1208,MATCH($AQ298,'2_IMPORTAR_EJECUCION'!$J$9:$J$1208,0)),0))</f>
        <v/>
      </c>
      <c r="AJ298" s="10">
        <f>IF($A298="","",MAX(0,IFERROR(INDEX('2_IMPORTAR_EJECUCION'!$H$9:$H$1208,MATCH($AQ298,'2_IMPORTAR_EJECUCION'!$J$9:$J$1208,0)),0)-$AI298))</f>
        <v/>
      </c>
      <c r="AK298" s="10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2">
        <f>IF($J299="","",TODAY()-$J299)</f>
        <v/>
      </c>
      <c r="AB299" s="12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IF($AE299="","",IF((IFERROR(INDEX('ASIGNACIONES'!$F$4:$F$339,MATCH($O299&amp;"|"&amp;$R299&amp;"|"&amp;$AE299,'ASIGNACIONES'!$J$4:$J$339,0)),""))=0,"",IFERROR(INDEX('ASIGNACIONES'!$F$4:$F$339,MATCH($O299&amp;"|"&amp;$R299&amp;"|"&amp;$AE299,'ASIGNACIONES'!$J$4:$J$339,0)),"")))</f>
        <v/>
      </c>
      <c r="AG299" s="13">
        <f>IF($AE299="","",SUMIFS('ORDENES'!$M$4:$M$1203,'ORDENES'!$AE$4:$AE$1203,$AE299,'ORDENES'!$O$4:$O$1203,$O299,'ORDENES'!$R$4:$R$1203,$R299))</f>
        <v/>
      </c>
      <c r="AH299" s="13">
        <f>IF($AG299="","",p_factor_productividad*IFERROR(INDEX('ASIGNACIONES'!$I$4:$I$339,MATCH($O299&amp;"|"&amp;$R299&amp;"|"&amp;$AE299,'ASIGNACIONES'!$J$4:$J$339,0)),0)-$AG299)</f>
        <v/>
      </c>
      <c r="AI299" s="10">
        <f>IF($A299="","",IFERROR(INDEX('2_IMPORTAR_EJECUCION'!$F$9:$F$1208,MATCH($AQ299,'2_IMPORTAR_EJECUCION'!$J$9:$J$1208,0)),0))</f>
        <v/>
      </c>
      <c r="AJ299" s="10">
        <f>IF($A299="","",MAX(0,IFERROR(INDEX('2_IMPORTAR_EJECUCION'!$H$9:$H$1208,MATCH($AQ299,'2_IMPORTAR_EJECUCION'!$J$9:$J$1208,0)),0)-$AI299))</f>
        <v/>
      </c>
      <c r="AK299" s="10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2">
        <f>IF($J300="","",TODAY()-$J300)</f>
        <v/>
      </c>
      <c r="AB300" s="12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IF($AE300="","",IF((IFERROR(INDEX('ASIGNACIONES'!$F$4:$F$339,MATCH($O300&amp;"|"&amp;$R300&amp;"|"&amp;$AE300,'ASIGNACIONES'!$J$4:$J$339,0)),""))=0,"",IFERROR(INDEX('ASIGNACIONES'!$F$4:$F$339,MATCH($O300&amp;"|"&amp;$R300&amp;"|"&amp;$AE300,'ASIGNACIONES'!$J$4:$J$339,0)),"")))</f>
        <v/>
      </c>
      <c r="AG300" s="13">
        <f>IF($AE300="","",SUMIFS('ORDENES'!$M$4:$M$1203,'ORDENES'!$AE$4:$AE$1203,$AE300,'ORDENES'!$O$4:$O$1203,$O300,'ORDENES'!$R$4:$R$1203,$R300))</f>
        <v/>
      </c>
      <c r="AH300" s="13">
        <f>IF($AG300="","",p_factor_productividad*IFERROR(INDEX('ASIGNACIONES'!$I$4:$I$339,MATCH($O300&amp;"|"&amp;$R300&amp;"|"&amp;$AE300,'ASIGNACIONES'!$J$4:$J$339,0)),0)-$AG300)</f>
        <v/>
      </c>
      <c r="AI300" s="10">
        <f>IF($A300="","",IFERROR(INDEX('2_IMPORTAR_EJECUCION'!$F$9:$F$1208,MATCH($AQ300,'2_IMPORTAR_EJECUCION'!$J$9:$J$1208,0)),0))</f>
        <v/>
      </c>
      <c r="AJ300" s="10">
        <f>IF($A300="","",MAX(0,IFERROR(INDEX('2_IMPORTAR_EJECUCION'!$H$9:$H$1208,MATCH($AQ300,'2_IMPORTAR_EJECUCION'!$J$9:$J$1208,0)),0)-$AI300))</f>
        <v/>
      </c>
      <c r="AK300" s="10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2">
        <f>IF($J301="","",TODAY()-$J301)</f>
        <v/>
      </c>
      <c r="AB301" s="12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IF($AE301="","",IF((IFERROR(INDEX('ASIGNACIONES'!$F$4:$F$339,MATCH($O301&amp;"|"&amp;$R301&amp;"|"&amp;$AE301,'ASIGNACIONES'!$J$4:$J$339,0)),""))=0,"",IFERROR(INDEX('ASIGNACIONES'!$F$4:$F$339,MATCH($O301&amp;"|"&amp;$R301&amp;"|"&amp;$AE301,'ASIGNACIONES'!$J$4:$J$339,0)),"")))</f>
        <v/>
      </c>
      <c r="AG301" s="13">
        <f>IF($AE301="","",SUMIFS('ORDENES'!$M$4:$M$1203,'ORDENES'!$AE$4:$AE$1203,$AE301,'ORDENES'!$O$4:$O$1203,$O301,'ORDENES'!$R$4:$R$1203,$R301))</f>
        <v/>
      </c>
      <c r="AH301" s="13">
        <f>IF($AG301="","",p_factor_productividad*IFERROR(INDEX('ASIGNACIONES'!$I$4:$I$339,MATCH($O301&amp;"|"&amp;$R301&amp;"|"&amp;$AE301,'ASIGNACIONES'!$J$4:$J$339,0)),0)-$AG301)</f>
        <v/>
      </c>
      <c r="AI301" s="10">
        <f>IF($A301="","",IFERROR(INDEX('2_IMPORTAR_EJECUCION'!$F$9:$F$1208,MATCH($AQ301,'2_IMPORTAR_EJECUCION'!$J$9:$J$1208,0)),0))</f>
        <v/>
      </c>
      <c r="AJ301" s="10">
        <f>IF($A301="","",MAX(0,IFERROR(INDEX('2_IMPORTAR_EJECUCION'!$H$9:$H$1208,MATCH($AQ301,'2_IMPORTAR_EJECUCION'!$J$9:$J$1208,0)),0)-$AI301))</f>
        <v/>
      </c>
      <c r="AK301" s="10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2">
        <f>IF($J302="","",TODAY()-$J302)</f>
        <v/>
      </c>
      <c r="AB302" s="12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IF($AE302="","",IF((IFERROR(INDEX('ASIGNACIONES'!$F$4:$F$339,MATCH($O302&amp;"|"&amp;$R302&amp;"|"&amp;$AE302,'ASIGNACIONES'!$J$4:$J$339,0)),""))=0,"",IFERROR(INDEX('ASIGNACIONES'!$F$4:$F$339,MATCH($O302&amp;"|"&amp;$R302&amp;"|"&amp;$AE302,'ASIGNACIONES'!$J$4:$J$339,0)),"")))</f>
        <v/>
      </c>
      <c r="AG302" s="13">
        <f>IF($AE302="","",SUMIFS('ORDENES'!$M$4:$M$1203,'ORDENES'!$AE$4:$AE$1203,$AE302,'ORDENES'!$O$4:$O$1203,$O302,'ORDENES'!$R$4:$R$1203,$R302))</f>
        <v/>
      </c>
      <c r="AH302" s="13">
        <f>IF($AG302="","",p_factor_productividad*IFERROR(INDEX('ASIGNACIONES'!$I$4:$I$339,MATCH($O302&amp;"|"&amp;$R302&amp;"|"&amp;$AE302,'ASIGNACIONES'!$J$4:$J$339,0)),0)-$AG302)</f>
        <v/>
      </c>
      <c r="AI302" s="10">
        <f>IF($A302="","",IFERROR(INDEX('2_IMPORTAR_EJECUCION'!$F$9:$F$1208,MATCH($AQ302,'2_IMPORTAR_EJECUCION'!$J$9:$J$1208,0)),0))</f>
        <v/>
      </c>
      <c r="AJ302" s="10">
        <f>IF($A302="","",MAX(0,IFERROR(INDEX('2_IMPORTAR_EJECUCION'!$H$9:$H$1208,MATCH($AQ302,'2_IMPORTAR_EJECUCION'!$J$9:$J$1208,0)),0)-$AI302))</f>
        <v/>
      </c>
      <c r="AK302" s="10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2">
        <f>IF($J303="","",TODAY()-$J303)</f>
        <v/>
      </c>
      <c r="AB303" s="12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IF($AE303="","",IF((IFERROR(INDEX('ASIGNACIONES'!$F$4:$F$339,MATCH($O303&amp;"|"&amp;$R303&amp;"|"&amp;$AE303,'ASIGNACIONES'!$J$4:$J$339,0)),""))=0,"",IFERROR(INDEX('ASIGNACIONES'!$F$4:$F$339,MATCH($O303&amp;"|"&amp;$R303&amp;"|"&amp;$AE303,'ASIGNACIONES'!$J$4:$J$339,0)),"")))</f>
        <v/>
      </c>
      <c r="AG303" s="13">
        <f>IF($AE303="","",SUMIFS('ORDENES'!$M$4:$M$1203,'ORDENES'!$AE$4:$AE$1203,$AE303,'ORDENES'!$O$4:$O$1203,$O303,'ORDENES'!$R$4:$R$1203,$R303))</f>
        <v/>
      </c>
      <c r="AH303" s="13">
        <f>IF($AG303="","",p_factor_productividad*IFERROR(INDEX('ASIGNACIONES'!$I$4:$I$339,MATCH($O303&amp;"|"&amp;$R303&amp;"|"&amp;$AE303,'ASIGNACIONES'!$J$4:$J$339,0)),0)-$AG303)</f>
        <v/>
      </c>
      <c r="AI303" s="10">
        <f>IF($A303="","",IFERROR(INDEX('2_IMPORTAR_EJECUCION'!$F$9:$F$1208,MATCH($AQ303,'2_IMPORTAR_EJECUCION'!$J$9:$J$1208,0)),0))</f>
        <v/>
      </c>
      <c r="AJ303" s="10">
        <f>IF($A303="","",MAX(0,IFERROR(INDEX('2_IMPORTAR_EJECUCION'!$H$9:$H$1208,MATCH($AQ303,'2_IMPORTAR_EJECUCION'!$J$9:$J$1208,0)),0)-$AI303))</f>
        <v/>
      </c>
      <c r="AK303" s="10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2">
        <f>IF($J304="","",TODAY()-$J304)</f>
        <v/>
      </c>
      <c r="AB304" s="12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IF($AE304="","",IF((IFERROR(INDEX('ASIGNACIONES'!$F$4:$F$339,MATCH($O304&amp;"|"&amp;$R304&amp;"|"&amp;$AE304,'ASIGNACIONES'!$J$4:$J$339,0)),""))=0,"",IFERROR(INDEX('ASIGNACIONES'!$F$4:$F$339,MATCH($O304&amp;"|"&amp;$R304&amp;"|"&amp;$AE304,'ASIGNACIONES'!$J$4:$J$339,0)),"")))</f>
        <v/>
      </c>
      <c r="AG304" s="13">
        <f>IF($AE304="","",SUMIFS('ORDENES'!$M$4:$M$1203,'ORDENES'!$AE$4:$AE$1203,$AE304,'ORDENES'!$O$4:$O$1203,$O304,'ORDENES'!$R$4:$R$1203,$R304))</f>
        <v/>
      </c>
      <c r="AH304" s="13">
        <f>IF($AG304="","",p_factor_productividad*IFERROR(INDEX('ASIGNACIONES'!$I$4:$I$339,MATCH($O304&amp;"|"&amp;$R304&amp;"|"&amp;$AE304,'ASIGNACIONES'!$J$4:$J$339,0)),0)-$AG304)</f>
        <v/>
      </c>
      <c r="AI304" s="10">
        <f>IF($A304="","",IFERROR(INDEX('2_IMPORTAR_EJECUCION'!$F$9:$F$1208,MATCH($AQ304,'2_IMPORTAR_EJECUCION'!$J$9:$J$1208,0)),0))</f>
        <v/>
      </c>
      <c r="AJ304" s="10">
        <f>IF($A304="","",MAX(0,IFERROR(INDEX('2_IMPORTAR_EJECUCION'!$H$9:$H$1208,MATCH($AQ304,'2_IMPORTAR_EJECUCION'!$J$9:$J$1208,0)),0)-$AI304))</f>
        <v/>
      </c>
      <c r="AK304" s="10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2">
        <f>IF($J305="","",TODAY()-$J305)</f>
        <v/>
      </c>
      <c r="AB305" s="12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IF($AE305="","",IF((IFERROR(INDEX('ASIGNACIONES'!$F$4:$F$339,MATCH($O305&amp;"|"&amp;$R305&amp;"|"&amp;$AE305,'ASIGNACIONES'!$J$4:$J$339,0)),""))=0,"",IFERROR(INDEX('ASIGNACIONES'!$F$4:$F$339,MATCH($O305&amp;"|"&amp;$R305&amp;"|"&amp;$AE305,'ASIGNACIONES'!$J$4:$J$339,0)),"")))</f>
        <v/>
      </c>
      <c r="AG305" s="13">
        <f>IF($AE305="","",SUMIFS('ORDENES'!$M$4:$M$1203,'ORDENES'!$AE$4:$AE$1203,$AE305,'ORDENES'!$O$4:$O$1203,$O305,'ORDENES'!$R$4:$R$1203,$R305))</f>
        <v/>
      </c>
      <c r="AH305" s="13">
        <f>IF($AG305="","",p_factor_productividad*IFERROR(INDEX('ASIGNACIONES'!$I$4:$I$339,MATCH($O305&amp;"|"&amp;$R305&amp;"|"&amp;$AE305,'ASIGNACIONES'!$J$4:$J$339,0)),0)-$AG305)</f>
        <v/>
      </c>
      <c r="AI305" s="10">
        <f>IF($A305="","",IFERROR(INDEX('2_IMPORTAR_EJECUCION'!$F$9:$F$1208,MATCH($AQ305,'2_IMPORTAR_EJECUCION'!$J$9:$J$1208,0)),0))</f>
        <v/>
      </c>
      <c r="AJ305" s="10">
        <f>IF($A305="","",MAX(0,IFERROR(INDEX('2_IMPORTAR_EJECUCION'!$H$9:$H$1208,MATCH($AQ305,'2_IMPORTAR_EJECUCION'!$J$9:$J$1208,0)),0)-$AI305))</f>
        <v/>
      </c>
      <c r="AK305" s="10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2">
        <f>IF($J306="","",TODAY()-$J306)</f>
        <v/>
      </c>
      <c r="AB306" s="12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IF($AE306="","",IF((IFERROR(INDEX('ASIGNACIONES'!$F$4:$F$339,MATCH($O306&amp;"|"&amp;$R306&amp;"|"&amp;$AE306,'ASIGNACIONES'!$J$4:$J$339,0)),""))=0,"",IFERROR(INDEX('ASIGNACIONES'!$F$4:$F$339,MATCH($O306&amp;"|"&amp;$R306&amp;"|"&amp;$AE306,'ASIGNACIONES'!$J$4:$J$339,0)),"")))</f>
        <v/>
      </c>
      <c r="AG306" s="13">
        <f>IF($AE306="","",SUMIFS('ORDENES'!$M$4:$M$1203,'ORDENES'!$AE$4:$AE$1203,$AE306,'ORDENES'!$O$4:$O$1203,$O306,'ORDENES'!$R$4:$R$1203,$R306))</f>
        <v/>
      </c>
      <c r="AH306" s="13">
        <f>IF($AG306="","",p_factor_productividad*IFERROR(INDEX('ASIGNACIONES'!$I$4:$I$339,MATCH($O306&amp;"|"&amp;$R306&amp;"|"&amp;$AE306,'ASIGNACIONES'!$J$4:$J$339,0)),0)-$AG306)</f>
        <v/>
      </c>
      <c r="AI306" s="10">
        <f>IF($A306="","",IFERROR(INDEX('2_IMPORTAR_EJECUCION'!$F$9:$F$1208,MATCH($AQ306,'2_IMPORTAR_EJECUCION'!$J$9:$J$1208,0)),0))</f>
        <v/>
      </c>
      <c r="AJ306" s="10">
        <f>IF($A306="","",MAX(0,IFERROR(INDEX('2_IMPORTAR_EJECUCION'!$H$9:$H$1208,MATCH($AQ306,'2_IMPORTAR_EJECUCION'!$J$9:$J$1208,0)),0)-$AI306))</f>
        <v/>
      </c>
      <c r="AK306" s="10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2">
        <f>IF($J307="","",TODAY()-$J307)</f>
        <v/>
      </c>
      <c r="AB307" s="12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IF($AE307="","",IF((IFERROR(INDEX('ASIGNACIONES'!$F$4:$F$339,MATCH($O307&amp;"|"&amp;$R307&amp;"|"&amp;$AE307,'ASIGNACIONES'!$J$4:$J$339,0)),""))=0,"",IFERROR(INDEX('ASIGNACIONES'!$F$4:$F$339,MATCH($O307&amp;"|"&amp;$R307&amp;"|"&amp;$AE307,'ASIGNACIONES'!$J$4:$J$339,0)),"")))</f>
        <v/>
      </c>
      <c r="AG307" s="13">
        <f>IF($AE307="","",SUMIFS('ORDENES'!$M$4:$M$1203,'ORDENES'!$AE$4:$AE$1203,$AE307,'ORDENES'!$O$4:$O$1203,$O307,'ORDENES'!$R$4:$R$1203,$R307))</f>
        <v/>
      </c>
      <c r="AH307" s="13">
        <f>IF($AG307="","",p_factor_productividad*IFERROR(INDEX('ASIGNACIONES'!$I$4:$I$339,MATCH($O307&amp;"|"&amp;$R307&amp;"|"&amp;$AE307,'ASIGNACIONES'!$J$4:$J$339,0)),0)-$AG307)</f>
        <v/>
      </c>
      <c r="AI307" s="10">
        <f>IF($A307="","",IFERROR(INDEX('2_IMPORTAR_EJECUCION'!$F$9:$F$1208,MATCH($AQ307,'2_IMPORTAR_EJECUCION'!$J$9:$J$1208,0)),0))</f>
        <v/>
      </c>
      <c r="AJ307" s="10">
        <f>IF($A307="","",MAX(0,IFERROR(INDEX('2_IMPORTAR_EJECUCION'!$H$9:$H$1208,MATCH($AQ307,'2_IMPORTAR_EJECUCION'!$J$9:$J$1208,0)),0)-$AI307))</f>
        <v/>
      </c>
      <c r="AK307" s="10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2">
        <f>IF($J308="","",TODAY()-$J308)</f>
        <v/>
      </c>
      <c r="AB308" s="12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IF($AE308="","",IF((IFERROR(INDEX('ASIGNACIONES'!$F$4:$F$339,MATCH($O308&amp;"|"&amp;$R308&amp;"|"&amp;$AE308,'ASIGNACIONES'!$J$4:$J$339,0)),""))=0,"",IFERROR(INDEX('ASIGNACIONES'!$F$4:$F$339,MATCH($O308&amp;"|"&amp;$R308&amp;"|"&amp;$AE308,'ASIGNACIONES'!$J$4:$J$339,0)),"")))</f>
        <v/>
      </c>
      <c r="AG308" s="13">
        <f>IF($AE308="","",SUMIFS('ORDENES'!$M$4:$M$1203,'ORDENES'!$AE$4:$AE$1203,$AE308,'ORDENES'!$O$4:$O$1203,$O308,'ORDENES'!$R$4:$R$1203,$R308))</f>
        <v/>
      </c>
      <c r="AH308" s="13">
        <f>IF($AG308="","",p_factor_productividad*IFERROR(INDEX('ASIGNACIONES'!$I$4:$I$339,MATCH($O308&amp;"|"&amp;$R308&amp;"|"&amp;$AE308,'ASIGNACIONES'!$J$4:$J$339,0)),0)-$AG308)</f>
        <v/>
      </c>
      <c r="AI308" s="10">
        <f>IF($A308="","",IFERROR(INDEX('2_IMPORTAR_EJECUCION'!$F$9:$F$1208,MATCH($AQ308,'2_IMPORTAR_EJECUCION'!$J$9:$J$1208,0)),0))</f>
        <v/>
      </c>
      <c r="AJ308" s="10">
        <f>IF($A308="","",MAX(0,IFERROR(INDEX('2_IMPORTAR_EJECUCION'!$H$9:$H$1208,MATCH($AQ308,'2_IMPORTAR_EJECUCION'!$J$9:$J$1208,0)),0)-$AI308))</f>
        <v/>
      </c>
      <c r="AK308" s="10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2">
        <f>IF($J309="","",TODAY()-$J309)</f>
        <v/>
      </c>
      <c r="AB309" s="12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IF($AE309="","",IF((IFERROR(INDEX('ASIGNACIONES'!$F$4:$F$339,MATCH($O309&amp;"|"&amp;$R309&amp;"|"&amp;$AE309,'ASIGNACIONES'!$J$4:$J$339,0)),""))=0,"",IFERROR(INDEX('ASIGNACIONES'!$F$4:$F$339,MATCH($O309&amp;"|"&amp;$R309&amp;"|"&amp;$AE309,'ASIGNACIONES'!$J$4:$J$339,0)),"")))</f>
        <v/>
      </c>
      <c r="AG309" s="13">
        <f>IF($AE309="","",SUMIFS('ORDENES'!$M$4:$M$1203,'ORDENES'!$AE$4:$AE$1203,$AE309,'ORDENES'!$O$4:$O$1203,$O309,'ORDENES'!$R$4:$R$1203,$R309))</f>
        <v/>
      </c>
      <c r="AH309" s="13">
        <f>IF($AG309="","",p_factor_productividad*IFERROR(INDEX('ASIGNACIONES'!$I$4:$I$339,MATCH($O309&amp;"|"&amp;$R309&amp;"|"&amp;$AE309,'ASIGNACIONES'!$J$4:$J$339,0)),0)-$AG309)</f>
        <v/>
      </c>
      <c r="AI309" s="10">
        <f>IF($A309="","",IFERROR(INDEX('2_IMPORTAR_EJECUCION'!$F$9:$F$1208,MATCH($AQ309,'2_IMPORTAR_EJECUCION'!$J$9:$J$1208,0)),0))</f>
        <v/>
      </c>
      <c r="AJ309" s="10">
        <f>IF($A309="","",MAX(0,IFERROR(INDEX('2_IMPORTAR_EJECUCION'!$H$9:$H$1208,MATCH($AQ309,'2_IMPORTAR_EJECUCION'!$J$9:$J$1208,0)),0)-$AI309))</f>
        <v/>
      </c>
      <c r="AK309" s="10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2">
        <f>IF($J310="","",TODAY()-$J310)</f>
        <v/>
      </c>
      <c r="AB310" s="12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IF($AE310="","",IF((IFERROR(INDEX('ASIGNACIONES'!$F$4:$F$339,MATCH($O310&amp;"|"&amp;$R310&amp;"|"&amp;$AE310,'ASIGNACIONES'!$J$4:$J$339,0)),""))=0,"",IFERROR(INDEX('ASIGNACIONES'!$F$4:$F$339,MATCH($O310&amp;"|"&amp;$R310&amp;"|"&amp;$AE310,'ASIGNACIONES'!$J$4:$J$339,0)),"")))</f>
        <v/>
      </c>
      <c r="AG310" s="13">
        <f>IF($AE310="","",SUMIFS('ORDENES'!$M$4:$M$1203,'ORDENES'!$AE$4:$AE$1203,$AE310,'ORDENES'!$O$4:$O$1203,$O310,'ORDENES'!$R$4:$R$1203,$R310))</f>
        <v/>
      </c>
      <c r="AH310" s="13">
        <f>IF($AG310="","",p_factor_productividad*IFERROR(INDEX('ASIGNACIONES'!$I$4:$I$339,MATCH($O310&amp;"|"&amp;$R310&amp;"|"&amp;$AE310,'ASIGNACIONES'!$J$4:$J$339,0)),0)-$AG310)</f>
        <v/>
      </c>
      <c r="AI310" s="10">
        <f>IF($A310="","",IFERROR(INDEX('2_IMPORTAR_EJECUCION'!$F$9:$F$1208,MATCH($AQ310,'2_IMPORTAR_EJECUCION'!$J$9:$J$1208,0)),0))</f>
        <v/>
      </c>
      <c r="AJ310" s="10">
        <f>IF($A310="","",MAX(0,IFERROR(INDEX('2_IMPORTAR_EJECUCION'!$H$9:$H$1208,MATCH($AQ310,'2_IMPORTAR_EJECUCION'!$J$9:$J$1208,0)),0)-$AI310))</f>
        <v/>
      </c>
      <c r="AK310" s="10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2">
        <f>IF($J311="","",TODAY()-$J311)</f>
        <v/>
      </c>
      <c r="AB311" s="12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IF($AE311="","",IF((IFERROR(INDEX('ASIGNACIONES'!$F$4:$F$339,MATCH($O311&amp;"|"&amp;$R311&amp;"|"&amp;$AE311,'ASIGNACIONES'!$J$4:$J$339,0)),""))=0,"",IFERROR(INDEX('ASIGNACIONES'!$F$4:$F$339,MATCH($O311&amp;"|"&amp;$R311&amp;"|"&amp;$AE311,'ASIGNACIONES'!$J$4:$J$339,0)),"")))</f>
        <v/>
      </c>
      <c r="AG311" s="13">
        <f>IF($AE311="","",SUMIFS('ORDENES'!$M$4:$M$1203,'ORDENES'!$AE$4:$AE$1203,$AE311,'ORDENES'!$O$4:$O$1203,$O311,'ORDENES'!$R$4:$R$1203,$R311))</f>
        <v/>
      </c>
      <c r="AH311" s="13">
        <f>IF($AG311="","",p_factor_productividad*IFERROR(INDEX('ASIGNACIONES'!$I$4:$I$339,MATCH($O311&amp;"|"&amp;$R311&amp;"|"&amp;$AE311,'ASIGNACIONES'!$J$4:$J$339,0)),0)-$AG311)</f>
        <v/>
      </c>
      <c r="AI311" s="10">
        <f>IF($A311="","",IFERROR(INDEX('2_IMPORTAR_EJECUCION'!$F$9:$F$1208,MATCH($AQ311,'2_IMPORTAR_EJECUCION'!$J$9:$J$1208,0)),0))</f>
        <v/>
      </c>
      <c r="AJ311" s="10">
        <f>IF($A311="","",MAX(0,IFERROR(INDEX('2_IMPORTAR_EJECUCION'!$H$9:$H$1208,MATCH($AQ311,'2_IMPORTAR_EJECUCION'!$J$9:$J$1208,0)),0)-$AI311))</f>
        <v/>
      </c>
      <c r="AK311" s="10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2">
        <f>IF($J312="","",TODAY()-$J312)</f>
        <v/>
      </c>
      <c r="AB312" s="12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IF($AE312="","",IF((IFERROR(INDEX('ASIGNACIONES'!$F$4:$F$339,MATCH($O312&amp;"|"&amp;$R312&amp;"|"&amp;$AE312,'ASIGNACIONES'!$J$4:$J$339,0)),""))=0,"",IFERROR(INDEX('ASIGNACIONES'!$F$4:$F$339,MATCH($O312&amp;"|"&amp;$R312&amp;"|"&amp;$AE312,'ASIGNACIONES'!$J$4:$J$339,0)),"")))</f>
        <v/>
      </c>
      <c r="AG312" s="13">
        <f>IF($AE312="","",SUMIFS('ORDENES'!$M$4:$M$1203,'ORDENES'!$AE$4:$AE$1203,$AE312,'ORDENES'!$O$4:$O$1203,$O312,'ORDENES'!$R$4:$R$1203,$R312))</f>
        <v/>
      </c>
      <c r="AH312" s="13">
        <f>IF($AG312="","",p_factor_productividad*IFERROR(INDEX('ASIGNACIONES'!$I$4:$I$339,MATCH($O312&amp;"|"&amp;$R312&amp;"|"&amp;$AE312,'ASIGNACIONES'!$J$4:$J$339,0)),0)-$AG312)</f>
        <v/>
      </c>
      <c r="AI312" s="10">
        <f>IF($A312="","",IFERROR(INDEX('2_IMPORTAR_EJECUCION'!$F$9:$F$1208,MATCH($AQ312,'2_IMPORTAR_EJECUCION'!$J$9:$J$1208,0)),0))</f>
        <v/>
      </c>
      <c r="AJ312" s="10">
        <f>IF($A312="","",MAX(0,IFERROR(INDEX('2_IMPORTAR_EJECUCION'!$H$9:$H$1208,MATCH($AQ312,'2_IMPORTAR_EJECUCION'!$J$9:$J$1208,0)),0)-$AI312))</f>
        <v/>
      </c>
      <c r="AK312" s="10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2">
        <f>IF($J313="","",TODAY()-$J313)</f>
        <v/>
      </c>
      <c r="AB313" s="12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IF($AE313="","",IF((IFERROR(INDEX('ASIGNACIONES'!$F$4:$F$339,MATCH($O313&amp;"|"&amp;$R313&amp;"|"&amp;$AE313,'ASIGNACIONES'!$J$4:$J$339,0)),""))=0,"",IFERROR(INDEX('ASIGNACIONES'!$F$4:$F$339,MATCH($O313&amp;"|"&amp;$R313&amp;"|"&amp;$AE313,'ASIGNACIONES'!$J$4:$J$339,0)),"")))</f>
        <v/>
      </c>
      <c r="AG313" s="13">
        <f>IF($AE313="","",SUMIFS('ORDENES'!$M$4:$M$1203,'ORDENES'!$AE$4:$AE$1203,$AE313,'ORDENES'!$O$4:$O$1203,$O313,'ORDENES'!$R$4:$R$1203,$R313))</f>
        <v/>
      </c>
      <c r="AH313" s="13">
        <f>IF($AG313="","",p_factor_productividad*IFERROR(INDEX('ASIGNACIONES'!$I$4:$I$339,MATCH($O313&amp;"|"&amp;$R313&amp;"|"&amp;$AE313,'ASIGNACIONES'!$J$4:$J$339,0)),0)-$AG313)</f>
        <v/>
      </c>
      <c r="AI313" s="10">
        <f>IF($A313="","",IFERROR(INDEX('2_IMPORTAR_EJECUCION'!$F$9:$F$1208,MATCH($AQ313,'2_IMPORTAR_EJECUCION'!$J$9:$J$1208,0)),0))</f>
        <v/>
      </c>
      <c r="AJ313" s="10">
        <f>IF($A313="","",MAX(0,IFERROR(INDEX('2_IMPORTAR_EJECUCION'!$H$9:$H$1208,MATCH($AQ313,'2_IMPORTAR_EJECUCION'!$J$9:$J$1208,0)),0)-$AI313))</f>
        <v/>
      </c>
      <c r="AK313" s="10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2">
        <f>IF($J314="","",TODAY()-$J314)</f>
        <v/>
      </c>
      <c r="AB314" s="12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IF($AE314="","",IF((IFERROR(INDEX('ASIGNACIONES'!$F$4:$F$339,MATCH($O314&amp;"|"&amp;$R314&amp;"|"&amp;$AE314,'ASIGNACIONES'!$J$4:$J$339,0)),""))=0,"",IFERROR(INDEX('ASIGNACIONES'!$F$4:$F$339,MATCH($O314&amp;"|"&amp;$R314&amp;"|"&amp;$AE314,'ASIGNACIONES'!$J$4:$J$339,0)),"")))</f>
        <v/>
      </c>
      <c r="AG314" s="13">
        <f>IF($AE314="","",SUMIFS('ORDENES'!$M$4:$M$1203,'ORDENES'!$AE$4:$AE$1203,$AE314,'ORDENES'!$O$4:$O$1203,$O314,'ORDENES'!$R$4:$R$1203,$R314))</f>
        <v/>
      </c>
      <c r="AH314" s="13">
        <f>IF($AG314="","",p_factor_productividad*IFERROR(INDEX('ASIGNACIONES'!$I$4:$I$339,MATCH($O314&amp;"|"&amp;$R314&amp;"|"&amp;$AE314,'ASIGNACIONES'!$J$4:$J$339,0)),0)-$AG314)</f>
        <v/>
      </c>
      <c r="AI314" s="10">
        <f>IF($A314="","",IFERROR(INDEX('2_IMPORTAR_EJECUCION'!$F$9:$F$1208,MATCH($AQ314,'2_IMPORTAR_EJECUCION'!$J$9:$J$1208,0)),0))</f>
        <v/>
      </c>
      <c r="AJ314" s="10">
        <f>IF($A314="","",MAX(0,IFERROR(INDEX('2_IMPORTAR_EJECUCION'!$H$9:$H$1208,MATCH($AQ314,'2_IMPORTAR_EJECUCION'!$J$9:$J$1208,0)),0)-$AI314))</f>
        <v/>
      </c>
      <c r="AK314" s="10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2">
        <f>IF($J315="","",TODAY()-$J315)</f>
        <v/>
      </c>
      <c r="AB315" s="12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IF($AE315="","",IF((IFERROR(INDEX('ASIGNACIONES'!$F$4:$F$339,MATCH($O315&amp;"|"&amp;$R315&amp;"|"&amp;$AE315,'ASIGNACIONES'!$J$4:$J$339,0)),""))=0,"",IFERROR(INDEX('ASIGNACIONES'!$F$4:$F$339,MATCH($O315&amp;"|"&amp;$R315&amp;"|"&amp;$AE315,'ASIGNACIONES'!$J$4:$J$339,0)),"")))</f>
        <v/>
      </c>
      <c r="AG315" s="13">
        <f>IF($AE315="","",SUMIFS('ORDENES'!$M$4:$M$1203,'ORDENES'!$AE$4:$AE$1203,$AE315,'ORDENES'!$O$4:$O$1203,$O315,'ORDENES'!$R$4:$R$1203,$R315))</f>
        <v/>
      </c>
      <c r="AH315" s="13">
        <f>IF($AG315="","",p_factor_productividad*IFERROR(INDEX('ASIGNACIONES'!$I$4:$I$339,MATCH($O315&amp;"|"&amp;$R315&amp;"|"&amp;$AE315,'ASIGNACIONES'!$J$4:$J$339,0)),0)-$AG315)</f>
        <v/>
      </c>
      <c r="AI315" s="10">
        <f>IF($A315="","",IFERROR(INDEX('2_IMPORTAR_EJECUCION'!$F$9:$F$1208,MATCH($AQ315,'2_IMPORTAR_EJECUCION'!$J$9:$J$1208,0)),0))</f>
        <v/>
      </c>
      <c r="AJ315" s="10">
        <f>IF($A315="","",MAX(0,IFERROR(INDEX('2_IMPORTAR_EJECUCION'!$H$9:$H$1208,MATCH($AQ315,'2_IMPORTAR_EJECUCION'!$J$9:$J$1208,0)),0)-$AI315))</f>
        <v/>
      </c>
      <c r="AK315" s="10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2">
        <f>IF($J316="","",TODAY()-$J316)</f>
        <v/>
      </c>
      <c r="AB316" s="12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IF($AE316="","",IF((IFERROR(INDEX('ASIGNACIONES'!$F$4:$F$339,MATCH($O316&amp;"|"&amp;$R316&amp;"|"&amp;$AE316,'ASIGNACIONES'!$J$4:$J$339,0)),""))=0,"",IFERROR(INDEX('ASIGNACIONES'!$F$4:$F$339,MATCH($O316&amp;"|"&amp;$R316&amp;"|"&amp;$AE316,'ASIGNACIONES'!$J$4:$J$339,0)),"")))</f>
        <v/>
      </c>
      <c r="AG316" s="13">
        <f>IF($AE316="","",SUMIFS('ORDENES'!$M$4:$M$1203,'ORDENES'!$AE$4:$AE$1203,$AE316,'ORDENES'!$O$4:$O$1203,$O316,'ORDENES'!$R$4:$R$1203,$R316))</f>
        <v/>
      </c>
      <c r="AH316" s="13">
        <f>IF($AG316="","",p_factor_productividad*IFERROR(INDEX('ASIGNACIONES'!$I$4:$I$339,MATCH($O316&amp;"|"&amp;$R316&amp;"|"&amp;$AE316,'ASIGNACIONES'!$J$4:$J$339,0)),0)-$AG316)</f>
        <v/>
      </c>
      <c r="AI316" s="10">
        <f>IF($A316="","",IFERROR(INDEX('2_IMPORTAR_EJECUCION'!$F$9:$F$1208,MATCH($AQ316,'2_IMPORTAR_EJECUCION'!$J$9:$J$1208,0)),0))</f>
        <v/>
      </c>
      <c r="AJ316" s="10">
        <f>IF($A316="","",MAX(0,IFERROR(INDEX('2_IMPORTAR_EJECUCION'!$H$9:$H$1208,MATCH($AQ316,'2_IMPORTAR_EJECUCION'!$J$9:$J$1208,0)),0)-$AI316))</f>
        <v/>
      </c>
      <c r="AK316" s="10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2">
        <f>IF($J317="","",TODAY()-$J317)</f>
        <v/>
      </c>
      <c r="AB317" s="12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IF($AE317="","",IF((IFERROR(INDEX('ASIGNACIONES'!$F$4:$F$339,MATCH($O317&amp;"|"&amp;$R317&amp;"|"&amp;$AE317,'ASIGNACIONES'!$J$4:$J$339,0)),""))=0,"",IFERROR(INDEX('ASIGNACIONES'!$F$4:$F$339,MATCH($O317&amp;"|"&amp;$R317&amp;"|"&amp;$AE317,'ASIGNACIONES'!$J$4:$J$339,0)),"")))</f>
        <v/>
      </c>
      <c r="AG317" s="13">
        <f>IF($AE317="","",SUMIFS('ORDENES'!$M$4:$M$1203,'ORDENES'!$AE$4:$AE$1203,$AE317,'ORDENES'!$O$4:$O$1203,$O317,'ORDENES'!$R$4:$R$1203,$R317))</f>
        <v/>
      </c>
      <c r="AH317" s="13">
        <f>IF($AG317="","",p_factor_productividad*IFERROR(INDEX('ASIGNACIONES'!$I$4:$I$339,MATCH($O317&amp;"|"&amp;$R317&amp;"|"&amp;$AE317,'ASIGNACIONES'!$J$4:$J$339,0)),0)-$AG317)</f>
        <v/>
      </c>
      <c r="AI317" s="10">
        <f>IF($A317="","",IFERROR(INDEX('2_IMPORTAR_EJECUCION'!$F$9:$F$1208,MATCH($AQ317,'2_IMPORTAR_EJECUCION'!$J$9:$J$1208,0)),0))</f>
        <v/>
      </c>
      <c r="AJ317" s="10">
        <f>IF($A317="","",MAX(0,IFERROR(INDEX('2_IMPORTAR_EJECUCION'!$H$9:$H$1208,MATCH($AQ317,'2_IMPORTAR_EJECUCION'!$J$9:$J$1208,0)),0)-$AI317))</f>
        <v/>
      </c>
      <c r="AK317" s="10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2">
        <f>IF($J318="","",TODAY()-$J318)</f>
        <v/>
      </c>
      <c r="AB318" s="12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IF($AE318="","",IF((IFERROR(INDEX('ASIGNACIONES'!$F$4:$F$339,MATCH($O318&amp;"|"&amp;$R318&amp;"|"&amp;$AE318,'ASIGNACIONES'!$J$4:$J$339,0)),""))=0,"",IFERROR(INDEX('ASIGNACIONES'!$F$4:$F$339,MATCH($O318&amp;"|"&amp;$R318&amp;"|"&amp;$AE318,'ASIGNACIONES'!$J$4:$J$339,0)),"")))</f>
        <v/>
      </c>
      <c r="AG318" s="13">
        <f>IF($AE318="","",SUMIFS('ORDENES'!$M$4:$M$1203,'ORDENES'!$AE$4:$AE$1203,$AE318,'ORDENES'!$O$4:$O$1203,$O318,'ORDENES'!$R$4:$R$1203,$R318))</f>
        <v/>
      </c>
      <c r="AH318" s="13">
        <f>IF($AG318="","",p_factor_productividad*IFERROR(INDEX('ASIGNACIONES'!$I$4:$I$339,MATCH($O318&amp;"|"&amp;$R318&amp;"|"&amp;$AE318,'ASIGNACIONES'!$J$4:$J$339,0)),0)-$AG318)</f>
        <v/>
      </c>
      <c r="AI318" s="10">
        <f>IF($A318="","",IFERROR(INDEX('2_IMPORTAR_EJECUCION'!$F$9:$F$1208,MATCH($AQ318,'2_IMPORTAR_EJECUCION'!$J$9:$J$1208,0)),0))</f>
        <v/>
      </c>
      <c r="AJ318" s="10">
        <f>IF($A318="","",MAX(0,IFERROR(INDEX('2_IMPORTAR_EJECUCION'!$H$9:$H$1208,MATCH($AQ318,'2_IMPORTAR_EJECUCION'!$J$9:$J$1208,0)),0)-$AI318))</f>
        <v/>
      </c>
      <c r="AK318" s="10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2">
        <f>IF($J319="","",TODAY()-$J319)</f>
        <v/>
      </c>
      <c r="AB319" s="12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IF($AE319="","",IF((IFERROR(INDEX('ASIGNACIONES'!$F$4:$F$339,MATCH($O319&amp;"|"&amp;$R319&amp;"|"&amp;$AE319,'ASIGNACIONES'!$J$4:$J$339,0)),""))=0,"",IFERROR(INDEX('ASIGNACIONES'!$F$4:$F$339,MATCH($O319&amp;"|"&amp;$R319&amp;"|"&amp;$AE319,'ASIGNACIONES'!$J$4:$J$339,0)),"")))</f>
        <v/>
      </c>
      <c r="AG319" s="13">
        <f>IF($AE319="","",SUMIFS('ORDENES'!$M$4:$M$1203,'ORDENES'!$AE$4:$AE$1203,$AE319,'ORDENES'!$O$4:$O$1203,$O319,'ORDENES'!$R$4:$R$1203,$R319))</f>
        <v/>
      </c>
      <c r="AH319" s="13">
        <f>IF($AG319="","",p_factor_productividad*IFERROR(INDEX('ASIGNACIONES'!$I$4:$I$339,MATCH($O319&amp;"|"&amp;$R319&amp;"|"&amp;$AE319,'ASIGNACIONES'!$J$4:$J$339,0)),0)-$AG319)</f>
        <v/>
      </c>
      <c r="AI319" s="10">
        <f>IF($A319="","",IFERROR(INDEX('2_IMPORTAR_EJECUCION'!$F$9:$F$1208,MATCH($AQ319,'2_IMPORTAR_EJECUCION'!$J$9:$J$1208,0)),0))</f>
        <v/>
      </c>
      <c r="AJ319" s="10">
        <f>IF($A319="","",MAX(0,IFERROR(INDEX('2_IMPORTAR_EJECUCION'!$H$9:$H$1208,MATCH($AQ319,'2_IMPORTAR_EJECUCION'!$J$9:$J$1208,0)),0)-$AI319))</f>
        <v/>
      </c>
      <c r="AK319" s="10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2">
        <f>IF($J320="","",TODAY()-$J320)</f>
        <v/>
      </c>
      <c r="AB320" s="12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IF($AE320="","",IF((IFERROR(INDEX('ASIGNACIONES'!$F$4:$F$339,MATCH($O320&amp;"|"&amp;$R320&amp;"|"&amp;$AE320,'ASIGNACIONES'!$J$4:$J$339,0)),""))=0,"",IFERROR(INDEX('ASIGNACIONES'!$F$4:$F$339,MATCH($O320&amp;"|"&amp;$R320&amp;"|"&amp;$AE320,'ASIGNACIONES'!$J$4:$J$339,0)),"")))</f>
        <v/>
      </c>
      <c r="AG320" s="13">
        <f>IF($AE320="","",SUMIFS('ORDENES'!$M$4:$M$1203,'ORDENES'!$AE$4:$AE$1203,$AE320,'ORDENES'!$O$4:$O$1203,$O320,'ORDENES'!$R$4:$R$1203,$R320))</f>
        <v/>
      </c>
      <c r="AH320" s="13">
        <f>IF($AG320="","",p_factor_productividad*IFERROR(INDEX('ASIGNACIONES'!$I$4:$I$339,MATCH($O320&amp;"|"&amp;$R320&amp;"|"&amp;$AE320,'ASIGNACIONES'!$J$4:$J$339,0)),0)-$AG320)</f>
        <v/>
      </c>
      <c r="AI320" s="10">
        <f>IF($A320="","",IFERROR(INDEX('2_IMPORTAR_EJECUCION'!$F$9:$F$1208,MATCH($AQ320,'2_IMPORTAR_EJECUCION'!$J$9:$J$1208,0)),0))</f>
        <v/>
      </c>
      <c r="AJ320" s="10">
        <f>IF($A320="","",MAX(0,IFERROR(INDEX('2_IMPORTAR_EJECUCION'!$H$9:$H$1208,MATCH($AQ320,'2_IMPORTAR_EJECUCION'!$J$9:$J$1208,0)),0)-$AI320))</f>
        <v/>
      </c>
      <c r="AK320" s="10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2">
        <f>IF($J321="","",TODAY()-$J321)</f>
        <v/>
      </c>
      <c r="AB321" s="12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IF($AE321="","",IF((IFERROR(INDEX('ASIGNACIONES'!$F$4:$F$339,MATCH($O321&amp;"|"&amp;$R321&amp;"|"&amp;$AE321,'ASIGNACIONES'!$J$4:$J$339,0)),""))=0,"",IFERROR(INDEX('ASIGNACIONES'!$F$4:$F$339,MATCH($O321&amp;"|"&amp;$R321&amp;"|"&amp;$AE321,'ASIGNACIONES'!$J$4:$J$339,0)),"")))</f>
        <v/>
      </c>
      <c r="AG321" s="13">
        <f>IF($AE321="","",SUMIFS('ORDENES'!$M$4:$M$1203,'ORDENES'!$AE$4:$AE$1203,$AE321,'ORDENES'!$O$4:$O$1203,$O321,'ORDENES'!$R$4:$R$1203,$R321))</f>
        <v/>
      </c>
      <c r="AH321" s="13">
        <f>IF($AG321="","",p_factor_productividad*IFERROR(INDEX('ASIGNACIONES'!$I$4:$I$339,MATCH($O321&amp;"|"&amp;$R321&amp;"|"&amp;$AE321,'ASIGNACIONES'!$J$4:$J$339,0)),0)-$AG321)</f>
        <v/>
      </c>
      <c r="AI321" s="10">
        <f>IF($A321="","",IFERROR(INDEX('2_IMPORTAR_EJECUCION'!$F$9:$F$1208,MATCH($AQ321,'2_IMPORTAR_EJECUCION'!$J$9:$J$1208,0)),0))</f>
        <v/>
      </c>
      <c r="AJ321" s="10">
        <f>IF($A321="","",MAX(0,IFERROR(INDEX('2_IMPORTAR_EJECUCION'!$H$9:$H$1208,MATCH($AQ321,'2_IMPORTAR_EJECUCION'!$J$9:$J$1208,0)),0)-$AI321))</f>
        <v/>
      </c>
      <c r="AK321" s="10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2">
        <f>IF($J322="","",TODAY()-$J322)</f>
        <v/>
      </c>
      <c r="AB322" s="12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IF($AE322="","",IF((IFERROR(INDEX('ASIGNACIONES'!$F$4:$F$339,MATCH($O322&amp;"|"&amp;$R322&amp;"|"&amp;$AE322,'ASIGNACIONES'!$J$4:$J$339,0)),""))=0,"",IFERROR(INDEX('ASIGNACIONES'!$F$4:$F$339,MATCH($O322&amp;"|"&amp;$R322&amp;"|"&amp;$AE322,'ASIGNACIONES'!$J$4:$J$339,0)),"")))</f>
        <v/>
      </c>
      <c r="AG322" s="13">
        <f>IF($AE322="","",SUMIFS('ORDENES'!$M$4:$M$1203,'ORDENES'!$AE$4:$AE$1203,$AE322,'ORDENES'!$O$4:$O$1203,$O322,'ORDENES'!$R$4:$R$1203,$R322))</f>
        <v/>
      </c>
      <c r="AH322" s="13">
        <f>IF($AG322="","",p_factor_productividad*IFERROR(INDEX('ASIGNACIONES'!$I$4:$I$339,MATCH($O322&amp;"|"&amp;$R322&amp;"|"&amp;$AE322,'ASIGNACIONES'!$J$4:$J$339,0)),0)-$AG322)</f>
        <v/>
      </c>
      <c r="AI322" s="10">
        <f>IF($A322="","",IFERROR(INDEX('2_IMPORTAR_EJECUCION'!$F$9:$F$1208,MATCH($AQ322,'2_IMPORTAR_EJECUCION'!$J$9:$J$1208,0)),0))</f>
        <v/>
      </c>
      <c r="AJ322" s="10">
        <f>IF($A322="","",MAX(0,IFERROR(INDEX('2_IMPORTAR_EJECUCION'!$H$9:$H$1208,MATCH($AQ322,'2_IMPORTAR_EJECUCION'!$J$9:$J$1208,0)),0)-$AI322))</f>
        <v/>
      </c>
      <c r="AK322" s="10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2">
        <f>IF($J323="","",TODAY()-$J323)</f>
        <v/>
      </c>
      <c r="AB323" s="12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IF($AE323="","",IF((IFERROR(INDEX('ASIGNACIONES'!$F$4:$F$339,MATCH($O323&amp;"|"&amp;$R323&amp;"|"&amp;$AE323,'ASIGNACIONES'!$J$4:$J$339,0)),""))=0,"",IFERROR(INDEX('ASIGNACIONES'!$F$4:$F$339,MATCH($O323&amp;"|"&amp;$R323&amp;"|"&amp;$AE323,'ASIGNACIONES'!$J$4:$J$339,0)),"")))</f>
        <v/>
      </c>
      <c r="AG323" s="13">
        <f>IF($AE323="","",SUMIFS('ORDENES'!$M$4:$M$1203,'ORDENES'!$AE$4:$AE$1203,$AE323,'ORDENES'!$O$4:$O$1203,$O323,'ORDENES'!$R$4:$R$1203,$R323))</f>
        <v/>
      </c>
      <c r="AH323" s="13">
        <f>IF($AG323="","",p_factor_productividad*IFERROR(INDEX('ASIGNACIONES'!$I$4:$I$339,MATCH($O323&amp;"|"&amp;$R323&amp;"|"&amp;$AE323,'ASIGNACIONES'!$J$4:$J$339,0)),0)-$AG323)</f>
        <v/>
      </c>
      <c r="AI323" s="10">
        <f>IF($A323="","",IFERROR(INDEX('2_IMPORTAR_EJECUCION'!$F$9:$F$1208,MATCH($AQ323,'2_IMPORTAR_EJECUCION'!$J$9:$J$1208,0)),0))</f>
        <v/>
      </c>
      <c r="AJ323" s="10">
        <f>IF($A323="","",MAX(0,IFERROR(INDEX('2_IMPORTAR_EJECUCION'!$H$9:$H$1208,MATCH($AQ323,'2_IMPORTAR_EJECUCION'!$J$9:$J$1208,0)),0)-$AI323))</f>
        <v/>
      </c>
      <c r="AK323" s="10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2">
        <f>IF($J324="","",TODAY()-$J324)</f>
        <v/>
      </c>
      <c r="AB324" s="12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IF($AE324="","",IF((IFERROR(INDEX('ASIGNACIONES'!$F$4:$F$339,MATCH($O324&amp;"|"&amp;$R324&amp;"|"&amp;$AE324,'ASIGNACIONES'!$J$4:$J$339,0)),""))=0,"",IFERROR(INDEX('ASIGNACIONES'!$F$4:$F$339,MATCH($O324&amp;"|"&amp;$R324&amp;"|"&amp;$AE324,'ASIGNACIONES'!$J$4:$J$339,0)),"")))</f>
        <v/>
      </c>
      <c r="AG324" s="13">
        <f>IF($AE324="","",SUMIFS('ORDENES'!$M$4:$M$1203,'ORDENES'!$AE$4:$AE$1203,$AE324,'ORDENES'!$O$4:$O$1203,$O324,'ORDENES'!$R$4:$R$1203,$R324))</f>
        <v/>
      </c>
      <c r="AH324" s="13">
        <f>IF($AG324="","",p_factor_productividad*IFERROR(INDEX('ASIGNACIONES'!$I$4:$I$339,MATCH($O324&amp;"|"&amp;$R324&amp;"|"&amp;$AE324,'ASIGNACIONES'!$J$4:$J$339,0)),0)-$AG324)</f>
        <v/>
      </c>
      <c r="AI324" s="10">
        <f>IF($A324="","",IFERROR(INDEX('2_IMPORTAR_EJECUCION'!$F$9:$F$1208,MATCH($AQ324,'2_IMPORTAR_EJECUCION'!$J$9:$J$1208,0)),0))</f>
        <v/>
      </c>
      <c r="AJ324" s="10">
        <f>IF($A324="","",MAX(0,IFERROR(INDEX('2_IMPORTAR_EJECUCION'!$H$9:$H$1208,MATCH($AQ324,'2_IMPORTAR_EJECUCION'!$J$9:$J$1208,0)),0)-$AI324))</f>
        <v/>
      </c>
      <c r="AK324" s="10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2">
        <f>IF($J325="","",TODAY()-$J325)</f>
        <v/>
      </c>
      <c r="AB325" s="12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IF($AE325="","",IF((IFERROR(INDEX('ASIGNACIONES'!$F$4:$F$339,MATCH($O325&amp;"|"&amp;$R325&amp;"|"&amp;$AE325,'ASIGNACIONES'!$J$4:$J$339,0)),""))=0,"",IFERROR(INDEX('ASIGNACIONES'!$F$4:$F$339,MATCH($O325&amp;"|"&amp;$R325&amp;"|"&amp;$AE325,'ASIGNACIONES'!$J$4:$J$339,0)),"")))</f>
        <v/>
      </c>
      <c r="AG325" s="13">
        <f>IF($AE325="","",SUMIFS('ORDENES'!$M$4:$M$1203,'ORDENES'!$AE$4:$AE$1203,$AE325,'ORDENES'!$O$4:$O$1203,$O325,'ORDENES'!$R$4:$R$1203,$R325))</f>
        <v/>
      </c>
      <c r="AH325" s="13">
        <f>IF($AG325="","",p_factor_productividad*IFERROR(INDEX('ASIGNACIONES'!$I$4:$I$339,MATCH($O325&amp;"|"&amp;$R325&amp;"|"&amp;$AE325,'ASIGNACIONES'!$J$4:$J$339,0)),0)-$AG325)</f>
        <v/>
      </c>
      <c r="AI325" s="10">
        <f>IF($A325="","",IFERROR(INDEX('2_IMPORTAR_EJECUCION'!$F$9:$F$1208,MATCH($AQ325,'2_IMPORTAR_EJECUCION'!$J$9:$J$1208,0)),0))</f>
        <v/>
      </c>
      <c r="AJ325" s="10">
        <f>IF($A325="","",MAX(0,IFERROR(INDEX('2_IMPORTAR_EJECUCION'!$H$9:$H$1208,MATCH($AQ325,'2_IMPORTAR_EJECUCION'!$J$9:$J$1208,0)),0)-$AI325))</f>
        <v/>
      </c>
      <c r="AK325" s="10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2">
        <f>IF($J326="","",TODAY()-$J326)</f>
        <v/>
      </c>
      <c r="AB326" s="12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IF($AE326="","",IF((IFERROR(INDEX('ASIGNACIONES'!$F$4:$F$339,MATCH($O326&amp;"|"&amp;$R326&amp;"|"&amp;$AE326,'ASIGNACIONES'!$J$4:$J$339,0)),""))=0,"",IFERROR(INDEX('ASIGNACIONES'!$F$4:$F$339,MATCH($O326&amp;"|"&amp;$R326&amp;"|"&amp;$AE326,'ASIGNACIONES'!$J$4:$J$339,0)),"")))</f>
        <v/>
      </c>
      <c r="AG326" s="13">
        <f>IF($AE326="","",SUMIFS('ORDENES'!$M$4:$M$1203,'ORDENES'!$AE$4:$AE$1203,$AE326,'ORDENES'!$O$4:$O$1203,$O326,'ORDENES'!$R$4:$R$1203,$R326))</f>
        <v/>
      </c>
      <c r="AH326" s="13">
        <f>IF($AG326="","",p_factor_productividad*IFERROR(INDEX('ASIGNACIONES'!$I$4:$I$339,MATCH($O326&amp;"|"&amp;$R326&amp;"|"&amp;$AE326,'ASIGNACIONES'!$J$4:$J$339,0)),0)-$AG326)</f>
        <v/>
      </c>
      <c r="AI326" s="10">
        <f>IF($A326="","",IFERROR(INDEX('2_IMPORTAR_EJECUCION'!$F$9:$F$1208,MATCH($AQ326,'2_IMPORTAR_EJECUCION'!$J$9:$J$1208,0)),0))</f>
        <v/>
      </c>
      <c r="AJ326" s="10">
        <f>IF($A326="","",MAX(0,IFERROR(INDEX('2_IMPORTAR_EJECUCION'!$H$9:$H$1208,MATCH($AQ326,'2_IMPORTAR_EJECUCION'!$J$9:$J$1208,0)),0)-$AI326))</f>
        <v/>
      </c>
      <c r="AK326" s="10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2">
        <f>IF($J327="","",TODAY()-$J327)</f>
        <v/>
      </c>
      <c r="AB327" s="12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IF($AE327="","",IF((IFERROR(INDEX('ASIGNACIONES'!$F$4:$F$339,MATCH($O327&amp;"|"&amp;$R327&amp;"|"&amp;$AE327,'ASIGNACIONES'!$J$4:$J$339,0)),""))=0,"",IFERROR(INDEX('ASIGNACIONES'!$F$4:$F$339,MATCH($O327&amp;"|"&amp;$R327&amp;"|"&amp;$AE327,'ASIGNACIONES'!$J$4:$J$339,0)),"")))</f>
        <v/>
      </c>
      <c r="AG327" s="13">
        <f>IF($AE327="","",SUMIFS('ORDENES'!$M$4:$M$1203,'ORDENES'!$AE$4:$AE$1203,$AE327,'ORDENES'!$O$4:$O$1203,$O327,'ORDENES'!$R$4:$R$1203,$R327))</f>
        <v/>
      </c>
      <c r="AH327" s="13">
        <f>IF($AG327="","",p_factor_productividad*IFERROR(INDEX('ASIGNACIONES'!$I$4:$I$339,MATCH($O327&amp;"|"&amp;$R327&amp;"|"&amp;$AE327,'ASIGNACIONES'!$J$4:$J$339,0)),0)-$AG327)</f>
        <v/>
      </c>
      <c r="AI327" s="10">
        <f>IF($A327="","",IFERROR(INDEX('2_IMPORTAR_EJECUCION'!$F$9:$F$1208,MATCH($AQ327,'2_IMPORTAR_EJECUCION'!$J$9:$J$1208,0)),0))</f>
        <v/>
      </c>
      <c r="AJ327" s="10">
        <f>IF($A327="","",MAX(0,IFERROR(INDEX('2_IMPORTAR_EJECUCION'!$H$9:$H$1208,MATCH($AQ327,'2_IMPORTAR_EJECUCION'!$J$9:$J$1208,0)),0)-$AI327))</f>
        <v/>
      </c>
      <c r="AK327" s="10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2">
        <f>IF($J328="","",TODAY()-$J328)</f>
        <v/>
      </c>
      <c r="AB328" s="12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IF($AE328="","",IF((IFERROR(INDEX('ASIGNACIONES'!$F$4:$F$339,MATCH($O328&amp;"|"&amp;$R328&amp;"|"&amp;$AE328,'ASIGNACIONES'!$J$4:$J$339,0)),""))=0,"",IFERROR(INDEX('ASIGNACIONES'!$F$4:$F$339,MATCH($O328&amp;"|"&amp;$R328&amp;"|"&amp;$AE328,'ASIGNACIONES'!$J$4:$J$339,0)),"")))</f>
        <v/>
      </c>
      <c r="AG328" s="13">
        <f>IF($AE328="","",SUMIFS('ORDENES'!$M$4:$M$1203,'ORDENES'!$AE$4:$AE$1203,$AE328,'ORDENES'!$O$4:$O$1203,$O328,'ORDENES'!$R$4:$R$1203,$R328))</f>
        <v/>
      </c>
      <c r="AH328" s="13">
        <f>IF($AG328="","",p_factor_productividad*IFERROR(INDEX('ASIGNACIONES'!$I$4:$I$339,MATCH($O328&amp;"|"&amp;$R328&amp;"|"&amp;$AE328,'ASIGNACIONES'!$J$4:$J$339,0)),0)-$AG328)</f>
        <v/>
      </c>
      <c r="AI328" s="10">
        <f>IF($A328="","",IFERROR(INDEX('2_IMPORTAR_EJECUCION'!$F$9:$F$1208,MATCH($AQ328,'2_IMPORTAR_EJECUCION'!$J$9:$J$1208,0)),0))</f>
        <v/>
      </c>
      <c r="AJ328" s="10">
        <f>IF($A328="","",MAX(0,IFERROR(INDEX('2_IMPORTAR_EJECUCION'!$H$9:$H$1208,MATCH($AQ328,'2_IMPORTAR_EJECUCION'!$J$9:$J$1208,0)),0)-$AI328))</f>
        <v/>
      </c>
      <c r="AK328" s="10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2">
        <f>IF($J329="","",TODAY()-$J329)</f>
        <v/>
      </c>
      <c r="AB329" s="12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IF($AE329="","",IF((IFERROR(INDEX('ASIGNACIONES'!$F$4:$F$339,MATCH($O329&amp;"|"&amp;$R329&amp;"|"&amp;$AE329,'ASIGNACIONES'!$J$4:$J$339,0)),""))=0,"",IFERROR(INDEX('ASIGNACIONES'!$F$4:$F$339,MATCH($O329&amp;"|"&amp;$R329&amp;"|"&amp;$AE329,'ASIGNACIONES'!$J$4:$J$339,0)),"")))</f>
        <v/>
      </c>
      <c r="AG329" s="13">
        <f>IF($AE329="","",SUMIFS('ORDENES'!$M$4:$M$1203,'ORDENES'!$AE$4:$AE$1203,$AE329,'ORDENES'!$O$4:$O$1203,$O329,'ORDENES'!$R$4:$R$1203,$R329))</f>
        <v/>
      </c>
      <c r="AH329" s="13">
        <f>IF($AG329="","",p_factor_productividad*IFERROR(INDEX('ASIGNACIONES'!$I$4:$I$339,MATCH($O329&amp;"|"&amp;$R329&amp;"|"&amp;$AE329,'ASIGNACIONES'!$J$4:$J$339,0)),0)-$AG329)</f>
        <v/>
      </c>
      <c r="AI329" s="10">
        <f>IF($A329="","",IFERROR(INDEX('2_IMPORTAR_EJECUCION'!$F$9:$F$1208,MATCH($AQ329,'2_IMPORTAR_EJECUCION'!$J$9:$J$1208,0)),0))</f>
        <v/>
      </c>
      <c r="AJ329" s="10">
        <f>IF($A329="","",MAX(0,IFERROR(INDEX('2_IMPORTAR_EJECUCION'!$H$9:$H$1208,MATCH($AQ329,'2_IMPORTAR_EJECUCION'!$J$9:$J$1208,0)),0)-$AI329))</f>
        <v/>
      </c>
      <c r="AK329" s="10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2">
        <f>IF($J330="","",TODAY()-$J330)</f>
        <v/>
      </c>
      <c r="AB330" s="12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IF($AE330="","",IF((IFERROR(INDEX('ASIGNACIONES'!$F$4:$F$339,MATCH($O330&amp;"|"&amp;$R330&amp;"|"&amp;$AE330,'ASIGNACIONES'!$J$4:$J$339,0)),""))=0,"",IFERROR(INDEX('ASIGNACIONES'!$F$4:$F$339,MATCH($O330&amp;"|"&amp;$R330&amp;"|"&amp;$AE330,'ASIGNACIONES'!$J$4:$J$339,0)),"")))</f>
        <v/>
      </c>
      <c r="AG330" s="13">
        <f>IF($AE330="","",SUMIFS('ORDENES'!$M$4:$M$1203,'ORDENES'!$AE$4:$AE$1203,$AE330,'ORDENES'!$O$4:$O$1203,$O330,'ORDENES'!$R$4:$R$1203,$R330))</f>
        <v/>
      </c>
      <c r="AH330" s="13">
        <f>IF($AG330="","",p_factor_productividad*IFERROR(INDEX('ASIGNACIONES'!$I$4:$I$339,MATCH($O330&amp;"|"&amp;$R330&amp;"|"&amp;$AE330,'ASIGNACIONES'!$J$4:$J$339,0)),0)-$AG330)</f>
        <v/>
      </c>
      <c r="AI330" s="10">
        <f>IF($A330="","",IFERROR(INDEX('2_IMPORTAR_EJECUCION'!$F$9:$F$1208,MATCH($AQ330,'2_IMPORTAR_EJECUCION'!$J$9:$J$1208,0)),0))</f>
        <v/>
      </c>
      <c r="AJ330" s="10">
        <f>IF($A330="","",MAX(0,IFERROR(INDEX('2_IMPORTAR_EJECUCION'!$H$9:$H$1208,MATCH($AQ330,'2_IMPORTAR_EJECUCION'!$J$9:$J$1208,0)),0)-$AI330))</f>
        <v/>
      </c>
      <c r="AK330" s="10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2">
        <f>IF($J331="","",TODAY()-$J331)</f>
        <v/>
      </c>
      <c r="AB331" s="12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IF($AE331="","",IF((IFERROR(INDEX('ASIGNACIONES'!$F$4:$F$339,MATCH($O331&amp;"|"&amp;$R331&amp;"|"&amp;$AE331,'ASIGNACIONES'!$J$4:$J$339,0)),""))=0,"",IFERROR(INDEX('ASIGNACIONES'!$F$4:$F$339,MATCH($O331&amp;"|"&amp;$R331&amp;"|"&amp;$AE331,'ASIGNACIONES'!$J$4:$J$339,0)),"")))</f>
        <v/>
      </c>
      <c r="AG331" s="13">
        <f>IF($AE331="","",SUMIFS('ORDENES'!$M$4:$M$1203,'ORDENES'!$AE$4:$AE$1203,$AE331,'ORDENES'!$O$4:$O$1203,$O331,'ORDENES'!$R$4:$R$1203,$R331))</f>
        <v/>
      </c>
      <c r="AH331" s="13">
        <f>IF($AG331="","",p_factor_productividad*IFERROR(INDEX('ASIGNACIONES'!$I$4:$I$339,MATCH($O331&amp;"|"&amp;$R331&amp;"|"&amp;$AE331,'ASIGNACIONES'!$J$4:$J$339,0)),0)-$AG331)</f>
        <v/>
      </c>
      <c r="AI331" s="10">
        <f>IF($A331="","",IFERROR(INDEX('2_IMPORTAR_EJECUCION'!$F$9:$F$1208,MATCH($AQ331,'2_IMPORTAR_EJECUCION'!$J$9:$J$1208,0)),0))</f>
        <v/>
      </c>
      <c r="AJ331" s="10">
        <f>IF($A331="","",MAX(0,IFERROR(INDEX('2_IMPORTAR_EJECUCION'!$H$9:$H$1208,MATCH($AQ331,'2_IMPORTAR_EJECUCION'!$J$9:$J$1208,0)),0)-$AI331))</f>
        <v/>
      </c>
      <c r="AK331" s="10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2">
        <f>IF($J332="","",TODAY()-$J332)</f>
        <v/>
      </c>
      <c r="AB332" s="12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IF($AE332="","",IF((IFERROR(INDEX('ASIGNACIONES'!$F$4:$F$339,MATCH($O332&amp;"|"&amp;$R332&amp;"|"&amp;$AE332,'ASIGNACIONES'!$J$4:$J$339,0)),""))=0,"",IFERROR(INDEX('ASIGNACIONES'!$F$4:$F$339,MATCH($O332&amp;"|"&amp;$R332&amp;"|"&amp;$AE332,'ASIGNACIONES'!$J$4:$J$339,0)),"")))</f>
        <v/>
      </c>
      <c r="AG332" s="13">
        <f>IF($AE332="","",SUMIFS('ORDENES'!$M$4:$M$1203,'ORDENES'!$AE$4:$AE$1203,$AE332,'ORDENES'!$O$4:$O$1203,$O332,'ORDENES'!$R$4:$R$1203,$R332))</f>
        <v/>
      </c>
      <c r="AH332" s="13">
        <f>IF($AG332="","",p_factor_productividad*IFERROR(INDEX('ASIGNACIONES'!$I$4:$I$339,MATCH($O332&amp;"|"&amp;$R332&amp;"|"&amp;$AE332,'ASIGNACIONES'!$J$4:$J$339,0)),0)-$AG332)</f>
        <v/>
      </c>
      <c r="AI332" s="10">
        <f>IF($A332="","",IFERROR(INDEX('2_IMPORTAR_EJECUCION'!$F$9:$F$1208,MATCH($AQ332,'2_IMPORTAR_EJECUCION'!$J$9:$J$1208,0)),0))</f>
        <v/>
      </c>
      <c r="AJ332" s="10">
        <f>IF($A332="","",MAX(0,IFERROR(INDEX('2_IMPORTAR_EJECUCION'!$H$9:$H$1208,MATCH($AQ332,'2_IMPORTAR_EJECUCION'!$J$9:$J$1208,0)),0)-$AI332))</f>
        <v/>
      </c>
      <c r="AK332" s="10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2">
        <f>IF($J333="","",TODAY()-$J333)</f>
        <v/>
      </c>
      <c r="AB333" s="12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IF($AE333="","",IF((IFERROR(INDEX('ASIGNACIONES'!$F$4:$F$339,MATCH($O333&amp;"|"&amp;$R333&amp;"|"&amp;$AE333,'ASIGNACIONES'!$J$4:$J$339,0)),""))=0,"",IFERROR(INDEX('ASIGNACIONES'!$F$4:$F$339,MATCH($O333&amp;"|"&amp;$R333&amp;"|"&amp;$AE333,'ASIGNACIONES'!$J$4:$J$339,0)),"")))</f>
        <v/>
      </c>
      <c r="AG333" s="13">
        <f>IF($AE333="","",SUMIFS('ORDENES'!$M$4:$M$1203,'ORDENES'!$AE$4:$AE$1203,$AE333,'ORDENES'!$O$4:$O$1203,$O333,'ORDENES'!$R$4:$R$1203,$R333))</f>
        <v/>
      </c>
      <c r="AH333" s="13">
        <f>IF($AG333="","",p_factor_productividad*IFERROR(INDEX('ASIGNACIONES'!$I$4:$I$339,MATCH($O333&amp;"|"&amp;$R333&amp;"|"&amp;$AE333,'ASIGNACIONES'!$J$4:$J$339,0)),0)-$AG333)</f>
        <v/>
      </c>
      <c r="AI333" s="10">
        <f>IF($A333="","",IFERROR(INDEX('2_IMPORTAR_EJECUCION'!$F$9:$F$1208,MATCH($AQ333,'2_IMPORTAR_EJECUCION'!$J$9:$J$1208,0)),0))</f>
        <v/>
      </c>
      <c r="AJ333" s="10">
        <f>IF($A333="","",MAX(0,IFERROR(INDEX('2_IMPORTAR_EJECUCION'!$H$9:$H$1208,MATCH($AQ333,'2_IMPORTAR_EJECUCION'!$J$9:$J$1208,0)),0)-$AI333))</f>
        <v/>
      </c>
      <c r="AK333" s="10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2">
        <f>IF($J334="","",TODAY()-$J334)</f>
        <v/>
      </c>
      <c r="AB334" s="12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IF($AE334="","",IF((IFERROR(INDEX('ASIGNACIONES'!$F$4:$F$339,MATCH($O334&amp;"|"&amp;$R334&amp;"|"&amp;$AE334,'ASIGNACIONES'!$J$4:$J$339,0)),""))=0,"",IFERROR(INDEX('ASIGNACIONES'!$F$4:$F$339,MATCH($O334&amp;"|"&amp;$R334&amp;"|"&amp;$AE334,'ASIGNACIONES'!$J$4:$J$339,0)),"")))</f>
        <v/>
      </c>
      <c r="AG334" s="13">
        <f>IF($AE334="","",SUMIFS('ORDENES'!$M$4:$M$1203,'ORDENES'!$AE$4:$AE$1203,$AE334,'ORDENES'!$O$4:$O$1203,$O334,'ORDENES'!$R$4:$R$1203,$R334))</f>
        <v/>
      </c>
      <c r="AH334" s="13">
        <f>IF($AG334="","",p_factor_productividad*IFERROR(INDEX('ASIGNACIONES'!$I$4:$I$339,MATCH($O334&amp;"|"&amp;$R334&amp;"|"&amp;$AE334,'ASIGNACIONES'!$J$4:$J$339,0)),0)-$AG334)</f>
        <v/>
      </c>
      <c r="AI334" s="10">
        <f>IF($A334="","",IFERROR(INDEX('2_IMPORTAR_EJECUCION'!$F$9:$F$1208,MATCH($AQ334,'2_IMPORTAR_EJECUCION'!$J$9:$J$1208,0)),0))</f>
        <v/>
      </c>
      <c r="AJ334" s="10">
        <f>IF($A334="","",MAX(0,IFERROR(INDEX('2_IMPORTAR_EJECUCION'!$H$9:$H$1208,MATCH($AQ334,'2_IMPORTAR_EJECUCION'!$J$9:$J$1208,0)),0)-$AI334))</f>
        <v/>
      </c>
      <c r="AK334" s="10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2">
        <f>IF($J335="","",TODAY()-$J335)</f>
        <v/>
      </c>
      <c r="AB335" s="12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IF($AE335="","",IF((IFERROR(INDEX('ASIGNACIONES'!$F$4:$F$339,MATCH($O335&amp;"|"&amp;$R335&amp;"|"&amp;$AE335,'ASIGNACIONES'!$J$4:$J$339,0)),""))=0,"",IFERROR(INDEX('ASIGNACIONES'!$F$4:$F$339,MATCH($O335&amp;"|"&amp;$R335&amp;"|"&amp;$AE335,'ASIGNACIONES'!$J$4:$J$339,0)),"")))</f>
        <v/>
      </c>
      <c r="AG335" s="13">
        <f>IF($AE335="","",SUMIFS('ORDENES'!$M$4:$M$1203,'ORDENES'!$AE$4:$AE$1203,$AE335,'ORDENES'!$O$4:$O$1203,$O335,'ORDENES'!$R$4:$R$1203,$R335))</f>
        <v/>
      </c>
      <c r="AH335" s="13">
        <f>IF($AG335="","",p_factor_productividad*IFERROR(INDEX('ASIGNACIONES'!$I$4:$I$339,MATCH($O335&amp;"|"&amp;$R335&amp;"|"&amp;$AE335,'ASIGNACIONES'!$J$4:$J$339,0)),0)-$AG335)</f>
        <v/>
      </c>
      <c r="AI335" s="10">
        <f>IF($A335="","",IFERROR(INDEX('2_IMPORTAR_EJECUCION'!$F$9:$F$1208,MATCH($AQ335,'2_IMPORTAR_EJECUCION'!$J$9:$J$1208,0)),0))</f>
        <v/>
      </c>
      <c r="AJ335" s="10">
        <f>IF($A335="","",MAX(0,IFERROR(INDEX('2_IMPORTAR_EJECUCION'!$H$9:$H$1208,MATCH($AQ335,'2_IMPORTAR_EJECUCION'!$J$9:$J$1208,0)),0)-$AI335))</f>
        <v/>
      </c>
      <c r="AK335" s="10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2">
        <f>IF($J336="","",TODAY()-$J336)</f>
        <v/>
      </c>
      <c r="AB336" s="12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IF($AE336="","",IF((IFERROR(INDEX('ASIGNACIONES'!$F$4:$F$339,MATCH($O336&amp;"|"&amp;$R336&amp;"|"&amp;$AE336,'ASIGNACIONES'!$J$4:$J$339,0)),""))=0,"",IFERROR(INDEX('ASIGNACIONES'!$F$4:$F$339,MATCH($O336&amp;"|"&amp;$R336&amp;"|"&amp;$AE336,'ASIGNACIONES'!$J$4:$J$339,0)),"")))</f>
        <v/>
      </c>
      <c r="AG336" s="13">
        <f>IF($AE336="","",SUMIFS('ORDENES'!$M$4:$M$1203,'ORDENES'!$AE$4:$AE$1203,$AE336,'ORDENES'!$O$4:$O$1203,$O336,'ORDENES'!$R$4:$R$1203,$R336))</f>
        <v/>
      </c>
      <c r="AH336" s="13">
        <f>IF($AG336="","",p_factor_productividad*IFERROR(INDEX('ASIGNACIONES'!$I$4:$I$339,MATCH($O336&amp;"|"&amp;$R336&amp;"|"&amp;$AE336,'ASIGNACIONES'!$J$4:$J$339,0)),0)-$AG336)</f>
        <v/>
      </c>
      <c r="AI336" s="10">
        <f>IF($A336="","",IFERROR(INDEX('2_IMPORTAR_EJECUCION'!$F$9:$F$1208,MATCH($AQ336,'2_IMPORTAR_EJECUCION'!$J$9:$J$1208,0)),0))</f>
        <v/>
      </c>
      <c r="AJ336" s="10">
        <f>IF($A336="","",MAX(0,IFERROR(INDEX('2_IMPORTAR_EJECUCION'!$H$9:$H$1208,MATCH($AQ336,'2_IMPORTAR_EJECUCION'!$J$9:$J$1208,0)),0)-$AI336))</f>
        <v/>
      </c>
      <c r="AK336" s="10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2">
        <f>IF($J337="","",TODAY()-$J337)</f>
        <v/>
      </c>
      <c r="AB337" s="12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IF($AE337="","",IF((IFERROR(INDEX('ASIGNACIONES'!$F$4:$F$339,MATCH($O337&amp;"|"&amp;$R337&amp;"|"&amp;$AE337,'ASIGNACIONES'!$J$4:$J$339,0)),""))=0,"",IFERROR(INDEX('ASIGNACIONES'!$F$4:$F$339,MATCH($O337&amp;"|"&amp;$R337&amp;"|"&amp;$AE337,'ASIGNACIONES'!$J$4:$J$339,0)),"")))</f>
        <v/>
      </c>
      <c r="AG337" s="13">
        <f>IF($AE337="","",SUMIFS('ORDENES'!$M$4:$M$1203,'ORDENES'!$AE$4:$AE$1203,$AE337,'ORDENES'!$O$4:$O$1203,$O337,'ORDENES'!$R$4:$R$1203,$R337))</f>
        <v/>
      </c>
      <c r="AH337" s="13">
        <f>IF($AG337="","",p_factor_productividad*IFERROR(INDEX('ASIGNACIONES'!$I$4:$I$339,MATCH($O337&amp;"|"&amp;$R337&amp;"|"&amp;$AE337,'ASIGNACIONES'!$J$4:$J$339,0)),0)-$AG337)</f>
        <v/>
      </c>
      <c r="AI337" s="10">
        <f>IF($A337="","",IFERROR(INDEX('2_IMPORTAR_EJECUCION'!$F$9:$F$1208,MATCH($AQ337,'2_IMPORTAR_EJECUCION'!$J$9:$J$1208,0)),0))</f>
        <v/>
      </c>
      <c r="AJ337" s="10">
        <f>IF($A337="","",MAX(0,IFERROR(INDEX('2_IMPORTAR_EJECUCION'!$H$9:$H$1208,MATCH($AQ337,'2_IMPORTAR_EJECUCION'!$J$9:$J$1208,0)),0)-$AI337))</f>
        <v/>
      </c>
      <c r="AK337" s="10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2">
        <f>IF($J338="","",TODAY()-$J338)</f>
        <v/>
      </c>
      <c r="AB338" s="12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IF($AE338="","",IF((IFERROR(INDEX('ASIGNACIONES'!$F$4:$F$339,MATCH($O338&amp;"|"&amp;$R338&amp;"|"&amp;$AE338,'ASIGNACIONES'!$J$4:$J$339,0)),""))=0,"",IFERROR(INDEX('ASIGNACIONES'!$F$4:$F$339,MATCH($O338&amp;"|"&amp;$R338&amp;"|"&amp;$AE338,'ASIGNACIONES'!$J$4:$J$339,0)),"")))</f>
        <v/>
      </c>
      <c r="AG338" s="13">
        <f>IF($AE338="","",SUMIFS('ORDENES'!$M$4:$M$1203,'ORDENES'!$AE$4:$AE$1203,$AE338,'ORDENES'!$O$4:$O$1203,$O338,'ORDENES'!$R$4:$R$1203,$R338))</f>
        <v/>
      </c>
      <c r="AH338" s="13">
        <f>IF($AG338="","",p_factor_productividad*IFERROR(INDEX('ASIGNACIONES'!$I$4:$I$339,MATCH($O338&amp;"|"&amp;$R338&amp;"|"&amp;$AE338,'ASIGNACIONES'!$J$4:$J$339,0)),0)-$AG338)</f>
        <v/>
      </c>
      <c r="AI338" s="10">
        <f>IF($A338="","",IFERROR(INDEX('2_IMPORTAR_EJECUCION'!$F$9:$F$1208,MATCH($AQ338,'2_IMPORTAR_EJECUCION'!$J$9:$J$1208,0)),0))</f>
        <v/>
      </c>
      <c r="AJ338" s="10">
        <f>IF($A338="","",MAX(0,IFERROR(INDEX('2_IMPORTAR_EJECUCION'!$H$9:$H$1208,MATCH($AQ338,'2_IMPORTAR_EJECUCION'!$J$9:$J$1208,0)),0)-$AI338))</f>
        <v/>
      </c>
      <c r="AK338" s="10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2">
        <f>IF($J339="","",TODAY()-$J339)</f>
        <v/>
      </c>
      <c r="AB339" s="12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IF($AE339="","",IF((IFERROR(INDEX('ASIGNACIONES'!$F$4:$F$339,MATCH($O339&amp;"|"&amp;$R339&amp;"|"&amp;$AE339,'ASIGNACIONES'!$J$4:$J$339,0)),""))=0,"",IFERROR(INDEX('ASIGNACIONES'!$F$4:$F$339,MATCH($O339&amp;"|"&amp;$R339&amp;"|"&amp;$AE339,'ASIGNACIONES'!$J$4:$J$339,0)),"")))</f>
        <v/>
      </c>
      <c r="AG339" s="13">
        <f>IF($AE339="","",SUMIFS('ORDENES'!$M$4:$M$1203,'ORDENES'!$AE$4:$AE$1203,$AE339,'ORDENES'!$O$4:$O$1203,$O339,'ORDENES'!$R$4:$R$1203,$R339))</f>
        <v/>
      </c>
      <c r="AH339" s="13">
        <f>IF($AG339="","",p_factor_productividad*IFERROR(INDEX('ASIGNACIONES'!$I$4:$I$339,MATCH($O339&amp;"|"&amp;$R339&amp;"|"&amp;$AE339,'ASIGNACIONES'!$J$4:$J$339,0)),0)-$AG339)</f>
        <v/>
      </c>
      <c r="AI339" s="10">
        <f>IF($A339="","",IFERROR(INDEX('2_IMPORTAR_EJECUCION'!$F$9:$F$1208,MATCH($AQ339,'2_IMPORTAR_EJECUCION'!$J$9:$J$1208,0)),0))</f>
        <v/>
      </c>
      <c r="AJ339" s="10">
        <f>IF($A339="","",MAX(0,IFERROR(INDEX('2_IMPORTAR_EJECUCION'!$H$9:$H$1208,MATCH($AQ339,'2_IMPORTAR_EJECUCION'!$J$9:$J$1208,0)),0)-$AI339))</f>
        <v/>
      </c>
      <c r="AK339" s="10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2">
        <f>IF($J340="","",TODAY()-$J340)</f>
        <v/>
      </c>
      <c r="AB340" s="12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IF($AE340="","",IF((IFERROR(INDEX('ASIGNACIONES'!$F$4:$F$339,MATCH($O340&amp;"|"&amp;$R340&amp;"|"&amp;$AE340,'ASIGNACIONES'!$J$4:$J$339,0)),""))=0,"",IFERROR(INDEX('ASIGNACIONES'!$F$4:$F$339,MATCH($O340&amp;"|"&amp;$R340&amp;"|"&amp;$AE340,'ASIGNACIONES'!$J$4:$J$339,0)),"")))</f>
        <v/>
      </c>
      <c r="AG340" s="13">
        <f>IF($AE340="","",SUMIFS('ORDENES'!$M$4:$M$1203,'ORDENES'!$AE$4:$AE$1203,$AE340,'ORDENES'!$O$4:$O$1203,$O340,'ORDENES'!$R$4:$R$1203,$R340))</f>
        <v/>
      </c>
      <c r="AH340" s="13">
        <f>IF($AG340="","",p_factor_productividad*IFERROR(INDEX('ASIGNACIONES'!$I$4:$I$339,MATCH($O340&amp;"|"&amp;$R340&amp;"|"&amp;$AE340,'ASIGNACIONES'!$J$4:$J$339,0)),0)-$AG340)</f>
        <v/>
      </c>
      <c r="AI340" s="10">
        <f>IF($A340="","",IFERROR(INDEX('2_IMPORTAR_EJECUCION'!$F$9:$F$1208,MATCH($AQ340,'2_IMPORTAR_EJECUCION'!$J$9:$J$1208,0)),0))</f>
        <v/>
      </c>
      <c r="AJ340" s="10">
        <f>IF($A340="","",MAX(0,IFERROR(INDEX('2_IMPORTAR_EJECUCION'!$H$9:$H$1208,MATCH($AQ340,'2_IMPORTAR_EJECUCION'!$J$9:$J$1208,0)),0)-$AI340))</f>
        <v/>
      </c>
      <c r="AK340" s="10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2">
        <f>IF($J341="","",TODAY()-$J341)</f>
        <v/>
      </c>
      <c r="AB341" s="12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IF($AE341="","",IF((IFERROR(INDEX('ASIGNACIONES'!$F$4:$F$339,MATCH($O341&amp;"|"&amp;$R341&amp;"|"&amp;$AE341,'ASIGNACIONES'!$J$4:$J$339,0)),""))=0,"",IFERROR(INDEX('ASIGNACIONES'!$F$4:$F$339,MATCH($O341&amp;"|"&amp;$R341&amp;"|"&amp;$AE341,'ASIGNACIONES'!$J$4:$J$339,0)),"")))</f>
        <v/>
      </c>
      <c r="AG341" s="13">
        <f>IF($AE341="","",SUMIFS('ORDENES'!$M$4:$M$1203,'ORDENES'!$AE$4:$AE$1203,$AE341,'ORDENES'!$O$4:$O$1203,$O341,'ORDENES'!$R$4:$R$1203,$R341))</f>
        <v/>
      </c>
      <c r="AH341" s="13">
        <f>IF($AG341="","",p_factor_productividad*IFERROR(INDEX('ASIGNACIONES'!$I$4:$I$339,MATCH($O341&amp;"|"&amp;$R341&amp;"|"&amp;$AE341,'ASIGNACIONES'!$J$4:$J$339,0)),0)-$AG341)</f>
        <v/>
      </c>
      <c r="AI341" s="10">
        <f>IF($A341="","",IFERROR(INDEX('2_IMPORTAR_EJECUCION'!$F$9:$F$1208,MATCH($AQ341,'2_IMPORTAR_EJECUCION'!$J$9:$J$1208,0)),0))</f>
        <v/>
      </c>
      <c r="AJ341" s="10">
        <f>IF($A341="","",MAX(0,IFERROR(INDEX('2_IMPORTAR_EJECUCION'!$H$9:$H$1208,MATCH($AQ341,'2_IMPORTAR_EJECUCION'!$J$9:$J$1208,0)),0)-$AI341))</f>
        <v/>
      </c>
      <c r="AK341" s="10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2">
        <f>IF($J342="","",TODAY()-$J342)</f>
        <v/>
      </c>
      <c r="AB342" s="12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IF($AE342="","",IF((IFERROR(INDEX('ASIGNACIONES'!$F$4:$F$339,MATCH($O342&amp;"|"&amp;$R342&amp;"|"&amp;$AE342,'ASIGNACIONES'!$J$4:$J$339,0)),""))=0,"",IFERROR(INDEX('ASIGNACIONES'!$F$4:$F$339,MATCH($O342&amp;"|"&amp;$R342&amp;"|"&amp;$AE342,'ASIGNACIONES'!$J$4:$J$339,0)),"")))</f>
        <v/>
      </c>
      <c r="AG342" s="13">
        <f>IF($AE342="","",SUMIFS('ORDENES'!$M$4:$M$1203,'ORDENES'!$AE$4:$AE$1203,$AE342,'ORDENES'!$O$4:$O$1203,$O342,'ORDENES'!$R$4:$R$1203,$R342))</f>
        <v/>
      </c>
      <c r="AH342" s="13">
        <f>IF($AG342="","",p_factor_productividad*IFERROR(INDEX('ASIGNACIONES'!$I$4:$I$339,MATCH($O342&amp;"|"&amp;$R342&amp;"|"&amp;$AE342,'ASIGNACIONES'!$J$4:$J$339,0)),0)-$AG342)</f>
        <v/>
      </c>
      <c r="AI342" s="10">
        <f>IF($A342="","",IFERROR(INDEX('2_IMPORTAR_EJECUCION'!$F$9:$F$1208,MATCH($AQ342,'2_IMPORTAR_EJECUCION'!$J$9:$J$1208,0)),0))</f>
        <v/>
      </c>
      <c r="AJ342" s="10">
        <f>IF($A342="","",MAX(0,IFERROR(INDEX('2_IMPORTAR_EJECUCION'!$H$9:$H$1208,MATCH($AQ342,'2_IMPORTAR_EJECUCION'!$J$9:$J$1208,0)),0)-$AI342))</f>
        <v/>
      </c>
      <c r="AK342" s="10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2">
        <f>IF($J343="","",TODAY()-$J343)</f>
        <v/>
      </c>
      <c r="AB343" s="12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IF($AE343="","",IF((IFERROR(INDEX('ASIGNACIONES'!$F$4:$F$339,MATCH($O343&amp;"|"&amp;$R343&amp;"|"&amp;$AE343,'ASIGNACIONES'!$J$4:$J$339,0)),""))=0,"",IFERROR(INDEX('ASIGNACIONES'!$F$4:$F$339,MATCH($O343&amp;"|"&amp;$R343&amp;"|"&amp;$AE343,'ASIGNACIONES'!$J$4:$J$339,0)),"")))</f>
        <v/>
      </c>
      <c r="AG343" s="13">
        <f>IF($AE343="","",SUMIFS('ORDENES'!$M$4:$M$1203,'ORDENES'!$AE$4:$AE$1203,$AE343,'ORDENES'!$O$4:$O$1203,$O343,'ORDENES'!$R$4:$R$1203,$R343))</f>
        <v/>
      </c>
      <c r="AH343" s="13">
        <f>IF($AG343="","",p_factor_productividad*IFERROR(INDEX('ASIGNACIONES'!$I$4:$I$339,MATCH($O343&amp;"|"&amp;$R343&amp;"|"&amp;$AE343,'ASIGNACIONES'!$J$4:$J$339,0)),0)-$AG343)</f>
        <v/>
      </c>
      <c r="AI343" s="10">
        <f>IF($A343="","",IFERROR(INDEX('2_IMPORTAR_EJECUCION'!$F$9:$F$1208,MATCH($AQ343,'2_IMPORTAR_EJECUCION'!$J$9:$J$1208,0)),0))</f>
        <v/>
      </c>
      <c r="AJ343" s="10">
        <f>IF($A343="","",MAX(0,IFERROR(INDEX('2_IMPORTAR_EJECUCION'!$H$9:$H$1208,MATCH($AQ343,'2_IMPORTAR_EJECUCION'!$J$9:$J$1208,0)),0)-$AI343))</f>
        <v/>
      </c>
      <c r="AK343" s="10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2">
        <f>IF($J344="","",TODAY()-$J344)</f>
        <v/>
      </c>
      <c r="AB344" s="12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IF($AE344="","",IF((IFERROR(INDEX('ASIGNACIONES'!$F$4:$F$339,MATCH($O344&amp;"|"&amp;$R344&amp;"|"&amp;$AE344,'ASIGNACIONES'!$J$4:$J$339,0)),""))=0,"",IFERROR(INDEX('ASIGNACIONES'!$F$4:$F$339,MATCH($O344&amp;"|"&amp;$R344&amp;"|"&amp;$AE344,'ASIGNACIONES'!$J$4:$J$339,0)),"")))</f>
        <v/>
      </c>
      <c r="AG344" s="13">
        <f>IF($AE344="","",SUMIFS('ORDENES'!$M$4:$M$1203,'ORDENES'!$AE$4:$AE$1203,$AE344,'ORDENES'!$O$4:$O$1203,$O344,'ORDENES'!$R$4:$R$1203,$R344))</f>
        <v/>
      </c>
      <c r="AH344" s="13">
        <f>IF($AG344="","",p_factor_productividad*IFERROR(INDEX('ASIGNACIONES'!$I$4:$I$339,MATCH($O344&amp;"|"&amp;$R344&amp;"|"&amp;$AE344,'ASIGNACIONES'!$J$4:$J$339,0)),0)-$AG344)</f>
        <v/>
      </c>
      <c r="AI344" s="10">
        <f>IF($A344="","",IFERROR(INDEX('2_IMPORTAR_EJECUCION'!$F$9:$F$1208,MATCH($AQ344,'2_IMPORTAR_EJECUCION'!$J$9:$J$1208,0)),0))</f>
        <v/>
      </c>
      <c r="AJ344" s="10">
        <f>IF($A344="","",MAX(0,IFERROR(INDEX('2_IMPORTAR_EJECUCION'!$H$9:$H$1208,MATCH($AQ344,'2_IMPORTAR_EJECUCION'!$J$9:$J$1208,0)),0)-$AI344))</f>
        <v/>
      </c>
      <c r="AK344" s="10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2">
        <f>IF($J345="","",TODAY()-$J345)</f>
        <v/>
      </c>
      <c r="AB345" s="12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IF($AE345="","",IF((IFERROR(INDEX('ASIGNACIONES'!$F$4:$F$339,MATCH($O345&amp;"|"&amp;$R345&amp;"|"&amp;$AE345,'ASIGNACIONES'!$J$4:$J$339,0)),""))=0,"",IFERROR(INDEX('ASIGNACIONES'!$F$4:$F$339,MATCH($O345&amp;"|"&amp;$R345&amp;"|"&amp;$AE345,'ASIGNACIONES'!$J$4:$J$339,0)),"")))</f>
        <v/>
      </c>
      <c r="AG345" s="13">
        <f>IF($AE345="","",SUMIFS('ORDENES'!$M$4:$M$1203,'ORDENES'!$AE$4:$AE$1203,$AE345,'ORDENES'!$O$4:$O$1203,$O345,'ORDENES'!$R$4:$R$1203,$R345))</f>
        <v/>
      </c>
      <c r="AH345" s="13">
        <f>IF($AG345="","",p_factor_productividad*IFERROR(INDEX('ASIGNACIONES'!$I$4:$I$339,MATCH($O345&amp;"|"&amp;$R345&amp;"|"&amp;$AE345,'ASIGNACIONES'!$J$4:$J$339,0)),0)-$AG345)</f>
        <v/>
      </c>
      <c r="AI345" s="10">
        <f>IF($A345="","",IFERROR(INDEX('2_IMPORTAR_EJECUCION'!$F$9:$F$1208,MATCH($AQ345,'2_IMPORTAR_EJECUCION'!$J$9:$J$1208,0)),0))</f>
        <v/>
      </c>
      <c r="AJ345" s="10">
        <f>IF($A345="","",MAX(0,IFERROR(INDEX('2_IMPORTAR_EJECUCION'!$H$9:$H$1208,MATCH($AQ345,'2_IMPORTAR_EJECUCION'!$J$9:$J$1208,0)),0)-$AI345))</f>
        <v/>
      </c>
      <c r="AK345" s="10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2">
        <f>IF($J346="","",TODAY()-$J346)</f>
        <v/>
      </c>
      <c r="AB346" s="12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IF($AE346="","",IF((IFERROR(INDEX('ASIGNACIONES'!$F$4:$F$339,MATCH($O346&amp;"|"&amp;$R346&amp;"|"&amp;$AE346,'ASIGNACIONES'!$J$4:$J$339,0)),""))=0,"",IFERROR(INDEX('ASIGNACIONES'!$F$4:$F$339,MATCH($O346&amp;"|"&amp;$R346&amp;"|"&amp;$AE346,'ASIGNACIONES'!$J$4:$J$339,0)),"")))</f>
        <v/>
      </c>
      <c r="AG346" s="13">
        <f>IF($AE346="","",SUMIFS('ORDENES'!$M$4:$M$1203,'ORDENES'!$AE$4:$AE$1203,$AE346,'ORDENES'!$O$4:$O$1203,$O346,'ORDENES'!$R$4:$R$1203,$R346))</f>
        <v/>
      </c>
      <c r="AH346" s="13">
        <f>IF($AG346="","",p_factor_productividad*IFERROR(INDEX('ASIGNACIONES'!$I$4:$I$339,MATCH($O346&amp;"|"&amp;$R346&amp;"|"&amp;$AE346,'ASIGNACIONES'!$J$4:$J$339,0)),0)-$AG346)</f>
        <v/>
      </c>
      <c r="AI346" s="10">
        <f>IF($A346="","",IFERROR(INDEX('2_IMPORTAR_EJECUCION'!$F$9:$F$1208,MATCH($AQ346,'2_IMPORTAR_EJECUCION'!$J$9:$J$1208,0)),0))</f>
        <v/>
      </c>
      <c r="AJ346" s="10">
        <f>IF($A346="","",MAX(0,IFERROR(INDEX('2_IMPORTAR_EJECUCION'!$H$9:$H$1208,MATCH($AQ346,'2_IMPORTAR_EJECUCION'!$J$9:$J$1208,0)),0)-$AI346))</f>
        <v/>
      </c>
      <c r="AK346" s="10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2">
        <f>IF($J347="","",TODAY()-$J347)</f>
        <v/>
      </c>
      <c r="AB347" s="12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IF($AE347="","",IF((IFERROR(INDEX('ASIGNACIONES'!$F$4:$F$339,MATCH($O347&amp;"|"&amp;$R347&amp;"|"&amp;$AE347,'ASIGNACIONES'!$J$4:$J$339,0)),""))=0,"",IFERROR(INDEX('ASIGNACIONES'!$F$4:$F$339,MATCH($O347&amp;"|"&amp;$R347&amp;"|"&amp;$AE347,'ASIGNACIONES'!$J$4:$J$339,0)),"")))</f>
        <v/>
      </c>
      <c r="AG347" s="13">
        <f>IF($AE347="","",SUMIFS('ORDENES'!$M$4:$M$1203,'ORDENES'!$AE$4:$AE$1203,$AE347,'ORDENES'!$O$4:$O$1203,$O347,'ORDENES'!$R$4:$R$1203,$R347))</f>
        <v/>
      </c>
      <c r="AH347" s="13">
        <f>IF($AG347="","",p_factor_productividad*IFERROR(INDEX('ASIGNACIONES'!$I$4:$I$339,MATCH($O347&amp;"|"&amp;$R347&amp;"|"&amp;$AE347,'ASIGNACIONES'!$J$4:$J$339,0)),0)-$AG347)</f>
        <v/>
      </c>
      <c r="AI347" s="10">
        <f>IF($A347="","",IFERROR(INDEX('2_IMPORTAR_EJECUCION'!$F$9:$F$1208,MATCH($AQ347,'2_IMPORTAR_EJECUCION'!$J$9:$J$1208,0)),0))</f>
        <v/>
      </c>
      <c r="AJ347" s="10">
        <f>IF($A347="","",MAX(0,IFERROR(INDEX('2_IMPORTAR_EJECUCION'!$H$9:$H$1208,MATCH($AQ347,'2_IMPORTAR_EJECUCION'!$J$9:$J$1208,0)),0)-$AI347))</f>
        <v/>
      </c>
      <c r="AK347" s="10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2">
        <f>IF($J348="","",TODAY()-$J348)</f>
        <v/>
      </c>
      <c r="AB348" s="12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IF($AE348="","",IF((IFERROR(INDEX('ASIGNACIONES'!$F$4:$F$339,MATCH($O348&amp;"|"&amp;$R348&amp;"|"&amp;$AE348,'ASIGNACIONES'!$J$4:$J$339,0)),""))=0,"",IFERROR(INDEX('ASIGNACIONES'!$F$4:$F$339,MATCH($O348&amp;"|"&amp;$R348&amp;"|"&amp;$AE348,'ASIGNACIONES'!$J$4:$J$339,0)),"")))</f>
        <v/>
      </c>
      <c r="AG348" s="13">
        <f>IF($AE348="","",SUMIFS('ORDENES'!$M$4:$M$1203,'ORDENES'!$AE$4:$AE$1203,$AE348,'ORDENES'!$O$4:$O$1203,$O348,'ORDENES'!$R$4:$R$1203,$R348))</f>
        <v/>
      </c>
      <c r="AH348" s="13">
        <f>IF($AG348="","",p_factor_productividad*IFERROR(INDEX('ASIGNACIONES'!$I$4:$I$339,MATCH($O348&amp;"|"&amp;$R348&amp;"|"&amp;$AE348,'ASIGNACIONES'!$J$4:$J$339,0)),0)-$AG348)</f>
        <v/>
      </c>
      <c r="AI348" s="10">
        <f>IF($A348="","",IFERROR(INDEX('2_IMPORTAR_EJECUCION'!$F$9:$F$1208,MATCH($AQ348,'2_IMPORTAR_EJECUCION'!$J$9:$J$1208,0)),0))</f>
        <v/>
      </c>
      <c r="AJ348" s="10">
        <f>IF($A348="","",MAX(0,IFERROR(INDEX('2_IMPORTAR_EJECUCION'!$H$9:$H$1208,MATCH($AQ348,'2_IMPORTAR_EJECUCION'!$J$9:$J$1208,0)),0)-$AI348))</f>
        <v/>
      </c>
      <c r="AK348" s="10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2">
        <f>IF($J349="","",TODAY()-$J349)</f>
        <v/>
      </c>
      <c r="AB349" s="12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IF($AE349="","",IF((IFERROR(INDEX('ASIGNACIONES'!$F$4:$F$339,MATCH($O349&amp;"|"&amp;$R349&amp;"|"&amp;$AE349,'ASIGNACIONES'!$J$4:$J$339,0)),""))=0,"",IFERROR(INDEX('ASIGNACIONES'!$F$4:$F$339,MATCH($O349&amp;"|"&amp;$R349&amp;"|"&amp;$AE349,'ASIGNACIONES'!$J$4:$J$339,0)),"")))</f>
        <v/>
      </c>
      <c r="AG349" s="13">
        <f>IF($AE349="","",SUMIFS('ORDENES'!$M$4:$M$1203,'ORDENES'!$AE$4:$AE$1203,$AE349,'ORDENES'!$O$4:$O$1203,$O349,'ORDENES'!$R$4:$R$1203,$R349))</f>
        <v/>
      </c>
      <c r="AH349" s="13">
        <f>IF($AG349="","",p_factor_productividad*IFERROR(INDEX('ASIGNACIONES'!$I$4:$I$339,MATCH($O349&amp;"|"&amp;$R349&amp;"|"&amp;$AE349,'ASIGNACIONES'!$J$4:$J$339,0)),0)-$AG349)</f>
        <v/>
      </c>
      <c r="AI349" s="10">
        <f>IF($A349="","",IFERROR(INDEX('2_IMPORTAR_EJECUCION'!$F$9:$F$1208,MATCH($AQ349,'2_IMPORTAR_EJECUCION'!$J$9:$J$1208,0)),0))</f>
        <v/>
      </c>
      <c r="AJ349" s="10">
        <f>IF($A349="","",MAX(0,IFERROR(INDEX('2_IMPORTAR_EJECUCION'!$H$9:$H$1208,MATCH($AQ349,'2_IMPORTAR_EJECUCION'!$J$9:$J$1208,0)),0)-$AI349))</f>
        <v/>
      </c>
      <c r="AK349" s="10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2">
        <f>IF($J350="","",TODAY()-$J350)</f>
        <v/>
      </c>
      <c r="AB350" s="12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IF($AE350="","",IF((IFERROR(INDEX('ASIGNACIONES'!$F$4:$F$339,MATCH($O350&amp;"|"&amp;$R350&amp;"|"&amp;$AE350,'ASIGNACIONES'!$J$4:$J$339,0)),""))=0,"",IFERROR(INDEX('ASIGNACIONES'!$F$4:$F$339,MATCH($O350&amp;"|"&amp;$R350&amp;"|"&amp;$AE350,'ASIGNACIONES'!$J$4:$J$339,0)),"")))</f>
        <v/>
      </c>
      <c r="AG350" s="13">
        <f>IF($AE350="","",SUMIFS('ORDENES'!$M$4:$M$1203,'ORDENES'!$AE$4:$AE$1203,$AE350,'ORDENES'!$O$4:$O$1203,$O350,'ORDENES'!$R$4:$R$1203,$R350))</f>
        <v/>
      </c>
      <c r="AH350" s="13">
        <f>IF($AG350="","",p_factor_productividad*IFERROR(INDEX('ASIGNACIONES'!$I$4:$I$339,MATCH($O350&amp;"|"&amp;$R350&amp;"|"&amp;$AE350,'ASIGNACIONES'!$J$4:$J$339,0)),0)-$AG350)</f>
        <v/>
      </c>
      <c r="AI350" s="10">
        <f>IF($A350="","",IFERROR(INDEX('2_IMPORTAR_EJECUCION'!$F$9:$F$1208,MATCH($AQ350,'2_IMPORTAR_EJECUCION'!$J$9:$J$1208,0)),0))</f>
        <v/>
      </c>
      <c r="AJ350" s="10">
        <f>IF($A350="","",MAX(0,IFERROR(INDEX('2_IMPORTAR_EJECUCION'!$H$9:$H$1208,MATCH($AQ350,'2_IMPORTAR_EJECUCION'!$J$9:$J$1208,0)),0)-$AI350))</f>
        <v/>
      </c>
      <c r="AK350" s="10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2">
        <f>IF($J351="","",TODAY()-$J351)</f>
        <v/>
      </c>
      <c r="AB351" s="12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IF($AE351="","",IF((IFERROR(INDEX('ASIGNACIONES'!$F$4:$F$339,MATCH($O351&amp;"|"&amp;$R351&amp;"|"&amp;$AE351,'ASIGNACIONES'!$J$4:$J$339,0)),""))=0,"",IFERROR(INDEX('ASIGNACIONES'!$F$4:$F$339,MATCH($O351&amp;"|"&amp;$R351&amp;"|"&amp;$AE351,'ASIGNACIONES'!$J$4:$J$339,0)),"")))</f>
        <v/>
      </c>
      <c r="AG351" s="13">
        <f>IF($AE351="","",SUMIFS('ORDENES'!$M$4:$M$1203,'ORDENES'!$AE$4:$AE$1203,$AE351,'ORDENES'!$O$4:$O$1203,$O351,'ORDENES'!$R$4:$R$1203,$R351))</f>
        <v/>
      </c>
      <c r="AH351" s="13">
        <f>IF($AG351="","",p_factor_productividad*IFERROR(INDEX('ASIGNACIONES'!$I$4:$I$339,MATCH($O351&amp;"|"&amp;$R351&amp;"|"&amp;$AE351,'ASIGNACIONES'!$J$4:$J$339,0)),0)-$AG351)</f>
        <v/>
      </c>
      <c r="AI351" s="10">
        <f>IF($A351="","",IFERROR(INDEX('2_IMPORTAR_EJECUCION'!$F$9:$F$1208,MATCH($AQ351,'2_IMPORTAR_EJECUCION'!$J$9:$J$1208,0)),0))</f>
        <v/>
      </c>
      <c r="AJ351" s="10">
        <f>IF($A351="","",MAX(0,IFERROR(INDEX('2_IMPORTAR_EJECUCION'!$H$9:$H$1208,MATCH($AQ351,'2_IMPORTAR_EJECUCION'!$J$9:$J$1208,0)),0)-$AI351))</f>
        <v/>
      </c>
      <c r="AK351" s="10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2">
        <f>IF($J352="","",TODAY()-$J352)</f>
        <v/>
      </c>
      <c r="AB352" s="12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IF($AE352="","",IF((IFERROR(INDEX('ASIGNACIONES'!$F$4:$F$339,MATCH($O352&amp;"|"&amp;$R352&amp;"|"&amp;$AE352,'ASIGNACIONES'!$J$4:$J$339,0)),""))=0,"",IFERROR(INDEX('ASIGNACIONES'!$F$4:$F$339,MATCH($O352&amp;"|"&amp;$R352&amp;"|"&amp;$AE352,'ASIGNACIONES'!$J$4:$J$339,0)),"")))</f>
        <v/>
      </c>
      <c r="AG352" s="13">
        <f>IF($AE352="","",SUMIFS('ORDENES'!$M$4:$M$1203,'ORDENES'!$AE$4:$AE$1203,$AE352,'ORDENES'!$O$4:$O$1203,$O352,'ORDENES'!$R$4:$R$1203,$R352))</f>
        <v/>
      </c>
      <c r="AH352" s="13">
        <f>IF($AG352="","",p_factor_productividad*IFERROR(INDEX('ASIGNACIONES'!$I$4:$I$339,MATCH($O352&amp;"|"&amp;$R352&amp;"|"&amp;$AE352,'ASIGNACIONES'!$J$4:$J$339,0)),0)-$AG352)</f>
        <v/>
      </c>
      <c r="AI352" s="10">
        <f>IF($A352="","",IFERROR(INDEX('2_IMPORTAR_EJECUCION'!$F$9:$F$1208,MATCH($AQ352,'2_IMPORTAR_EJECUCION'!$J$9:$J$1208,0)),0))</f>
        <v/>
      </c>
      <c r="AJ352" s="10">
        <f>IF($A352="","",MAX(0,IFERROR(INDEX('2_IMPORTAR_EJECUCION'!$H$9:$H$1208,MATCH($AQ352,'2_IMPORTAR_EJECUCION'!$J$9:$J$1208,0)),0)-$AI352))</f>
        <v/>
      </c>
      <c r="AK352" s="10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2">
        <f>IF($J353="","",TODAY()-$J353)</f>
        <v/>
      </c>
      <c r="AB353" s="12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IF($AE353="","",IF((IFERROR(INDEX('ASIGNACIONES'!$F$4:$F$339,MATCH($O353&amp;"|"&amp;$R353&amp;"|"&amp;$AE353,'ASIGNACIONES'!$J$4:$J$339,0)),""))=0,"",IFERROR(INDEX('ASIGNACIONES'!$F$4:$F$339,MATCH($O353&amp;"|"&amp;$R353&amp;"|"&amp;$AE353,'ASIGNACIONES'!$J$4:$J$339,0)),"")))</f>
        <v/>
      </c>
      <c r="AG353" s="13">
        <f>IF($AE353="","",SUMIFS('ORDENES'!$M$4:$M$1203,'ORDENES'!$AE$4:$AE$1203,$AE353,'ORDENES'!$O$4:$O$1203,$O353,'ORDENES'!$R$4:$R$1203,$R353))</f>
        <v/>
      </c>
      <c r="AH353" s="13">
        <f>IF($AG353="","",p_factor_productividad*IFERROR(INDEX('ASIGNACIONES'!$I$4:$I$339,MATCH($O353&amp;"|"&amp;$R353&amp;"|"&amp;$AE353,'ASIGNACIONES'!$J$4:$J$339,0)),0)-$AG353)</f>
        <v/>
      </c>
      <c r="AI353" s="10">
        <f>IF($A353="","",IFERROR(INDEX('2_IMPORTAR_EJECUCION'!$F$9:$F$1208,MATCH($AQ353,'2_IMPORTAR_EJECUCION'!$J$9:$J$1208,0)),0))</f>
        <v/>
      </c>
      <c r="AJ353" s="10">
        <f>IF($A353="","",MAX(0,IFERROR(INDEX('2_IMPORTAR_EJECUCION'!$H$9:$H$1208,MATCH($AQ353,'2_IMPORTAR_EJECUCION'!$J$9:$J$1208,0)),0)-$AI353))</f>
        <v/>
      </c>
      <c r="AK353" s="10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2">
        <f>IF($J354="","",TODAY()-$J354)</f>
        <v/>
      </c>
      <c r="AB354" s="12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IF($AE354="","",IF((IFERROR(INDEX('ASIGNACIONES'!$F$4:$F$339,MATCH($O354&amp;"|"&amp;$R354&amp;"|"&amp;$AE354,'ASIGNACIONES'!$J$4:$J$339,0)),""))=0,"",IFERROR(INDEX('ASIGNACIONES'!$F$4:$F$339,MATCH($O354&amp;"|"&amp;$R354&amp;"|"&amp;$AE354,'ASIGNACIONES'!$J$4:$J$339,0)),"")))</f>
        <v/>
      </c>
      <c r="AG354" s="13">
        <f>IF($AE354="","",SUMIFS('ORDENES'!$M$4:$M$1203,'ORDENES'!$AE$4:$AE$1203,$AE354,'ORDENES'!$O$4:$O$1203,$O354,'ORDENES'!$R$4:$R$1203,$R354))</f>
        <v/>
      </c>
      <c r="AH354" s="13">
        <f>IF($AG354="","",p_factor_productividad*IFERROR(INDEX('ASIGNACIONES'!$I$4:$I$339,MATCH($O354&amp;"|"&amp;$R354&amp;"|"&amp;$AE354,'ASIGNACIONES'!$J$4:$J$339,0)),0)-$AG354)</f>
        <v/>
      </c>
      <c r="AI354" s="10">
        <f>IF($A354="","",IFERROR(INDEX('2_IMPORTAR_EJECUCION'!$F$9:$F$1208,MATCH($AQ354,'2_IMPORTAR_EJECUCION'!$J$9:$J$1208,0)),0))</f>
        <v/>
      </c>
      <c r="AJ354" s="10">
        <f>IF($A354="","",MAX(0,IFERROR(INDEX('2_IMPORTAR_EJECUCION'!$H$9:$H$1208,MATCH($AQ354,'2_IMPORTAR_EJECUCION'!$J$9:$J$1208,0)),0)-$AI354))</f>
        <v/>
      </c>
      <c r="AK354" s="10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2">
        <f>IF($J355="","",TODAY()-$J355)</f>
        <v/>
      </c>
      <c r="AB355" s="12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IF($AE355="","",IF((IFERROR(INDEX('ASIGNACIONES'!$F$4:$F$339,MATCH($O355&amp;"|"&amp;$R355&amp;"|"&amp;$AE355,'ASIGNACIONES'!$J$4:$J$339,0)),""))=0,"",IFERROR(INDEX('ASIGNACIONES'!$F$4:$F$339,MATCH($O355&amp;"|"&amp;$R355&amp;"|"&amp;$AE355,'ASIGNACIONES'!$J$4:$J$339,0)),"")))</f>
        <v/>
      </c>
      <c r="AG355" s="13">
        <f>IF($AE355="","",SUMIFS('ORDENES'!$M$4:$M$1203,'ORDENES'!$AE$4:$AE$1203,$AE355,'ORDENES'!$O$4:$O$1203,$O355,'ORDENES'!$R$4:$R$1203,$R355))</f>
        <v/>
      </c>
      <c r="AH355" s="13">
        <f>IF($AG355="","",p_factor_productividad*IFERROR(INDEX('ASIGNACIONES'!$I$4:$I$339,MATCH($O355&amp;"|"&amp;$R355&amp;"|"&amp;$AE355,'ASIGNACIONES'!$J$4:$J$339,0)),0)-$AG355)</f>
        <v/>
      </c>
      <c r="AI355" s="10">
        <f>IF($A355="","",IFERROR(INDEX('2_IMPORTAR_EJECUCION'!$F$9:$F$1208,MATCH($AQ355,'2_IMPORTAR_EJECUCION'!$J$9:$J$1208,0)),0))</f>
        <v/>
      </c>
      <c r="AJ355" s="10">
        <f>IF($A355="","",MAX(0,IFERROR(INDEX('2_IMPORTAR_EJECUCION'!$H$9:$H$1208,MATCH($AQ355,'2_IMPORTAR_EJECUCION'!$J$9:$J$1208,0)),0)-$AI355))</f>
        <v/>
      </c>
      <c r="AK355" s="10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2">
        <f>IF($J356="","",TODAY()-$J356)</f>
        <v/>
      </c>
      <c r="AB356" s="12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IF($AE356="","",IF((IFERROR(INDEX('ASIGNACIONES'!$F$4:$F$339,MATCH($O356&amp;"|"&amp;$R356&amp;"|"&amp;$AE356,'ASIGNACIONES'!$J$4:$J$339,0)),""))=0,"",IFERROR(INDEX('ASIGNACIONES'!$F$4:$F$339,MATCH($O356&amp;"|"&amp;$R356&amp;"|"&amp;$AE356,'ASIGNACIONES'!$J$4:$J$339,0)),"")))</f>
        <v/>
      </c>
      <c r="AG356" s="13">
        <f>IF($AE356="","",SUMIFS('ORDENES'!$M$4:$M$1203,'ORDENES'!$AE$4:$AE$1203,$AE356,'ORDENES'!$O$4:$O$1203,$O356,'ORDENES'!$R$4:$R$1203,$R356))</f>
        <v/>
      </c>
      <c r="AH356" s="13">
        <f>IF($AG356="","",p_factor_productividad*IFERROR(INDEX('ASIGNACIONES'!$I$4:$I$339,MATCH($O356&amp;"|"&amp;$R356&amp;"|"&amp;$AE356,'ASIGNACIONES'!$J$4:$J$339,0)),0)-$AG356)</f>
        <v/>
      </c>
      <c r="AI356" s="10">
        <f>IF($A356="","",IFERROR(INDEX('2_IMPORTAR_EJECUCION'!$F$9:$F$1208,MATCH($AQ356,'2_IMPORTAR_EJECUCION'!$J$9:$J$1208,0)),0))</f>
        <v/>
      </c>
      <c r="AJ356" s="10">
        <f>IF($A356="","",MAX(0,IFERROR(INDEX('2_IMPORTAR_EJECUCION'!$H$9:$H$1208,MATCH($AQ356,'2_IMPORTAR_EJECUCION'!$J$9:$J$1208,0)),0)-$AI356))</f>
        <v/>
      </c>
      <c r="AK356" s="10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2">
        <f>IF($J357="","",TODAY()-$J357)</f>
        <v/>
      </c>
      <c r="AB357" s="12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IF($AE357="","",IF((IFERROR(INDEX('ASIGNACIONES'!$F$4:$F$339,MATCH($O357&amp;"|"&amp;$R357&amp;"|"&amp;$AE357,'ASIGNACIONES'!$J$4:$J$339,0)),""))=0,"",IFERROR(INDEX('ASIGNACIONES'!$F$4:$F$339,MATCH($O357&amp;"|"&amp;$R357&amp;"|"&amp;$AE357,'ASIGNACIONES'!$J$4:$J$339,0)),"")))</f>
        <v/>
      </c>
      <c r="AG357" s="13">
        <f>IF($AE357="","",SUMIFS('ORDENES'!$M$4:$M$1203,'ORDENES'!$AE$4:$AE$1203,$AE357,'ORDENES'!$O$4:$O$1203,$O357,'ORDENES'!$R$4:$R$1203,$R357))</f>
        <v/>
      </c>
      <c r="AH357" s="13">
        <f>IF($AG357="","",p_factor_productividad*IFERROR(INDEX('ASIGNACIONES'!$I$4:$I$339,MATCH($O357&amp;"|"&amp;$R357&amp;"|"&amp;$AE357,'ASIGNACIONES'!$J$4:$J$339,0)),0)-$AG357)</f>
        <v/>
      </c>
      <c r="AI357" s="10">
        <f>IF($A357="","",IFERROR(INDEX('2_IMPORTAR_EJECUCION'!$F$9:$F$1208,MATCH($AQ357,'2_IMPORTAR_EJECUCION'!$J$9:$J$1208,0)),0))</f>
        <v/>
      </c>
      <c r="AJ357" s="10">
        <f>IF($A357="","",MAX(0,IFERROR(INDEX('2_IMPORTAR_EJECUCION'!$H$9:$H$1208,MATCH($AQ357,'2_IMPORTAR_EJECUCION'!$J$9:$J$1208,0)),0)-$AI357))</f>
        <v/>
      </c>
      <c r="AK357" s="10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2">
        <f>IF($J358="","",TODAY()-$J358)</f>
        <v/>
      </c>
      <c r="AB358" s="12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IF($AE358="","",IF((IFERROR(INDEX('ASIGNACIONES'!$F$4:$F$339,MATCH($O358&amp;"|"&amp;$R358&amp;"|"&amp;$AE358,'ASIGNACIONES'!$J$4:$J$339,0)),""))=0,"",IFERROR(INDEX('ASIGNACIONES'!$F$4:$F$339,MATCH($O358&amp;"|"&amp;$R358&amp;"|"&amp;$AE358,'ASIGNACIONES'!$J$4:$J$339,0)),"")))</f>
        <v/>
      </c>
      <c r="AG358" s="13">
        <f>IF($AE358="","",SUMIFS('ORDENES'!$M$4:$M$1203,'ORDENES'!$AE$4:$AE$1203,$AE358,'ORDENES'!$O$4:$O$1203,$O358,'ORDENES'!$R$4:$R$1203,$R358))</f>
        <v/>
      </c>
      <c r="AH358" s="13">
        <f>IF($AG358="","",p_factor_productividad*IFERROR(INDEX('ASIGNACIONES'!$I$4:$I$339,MATCH($O358&amp;"|"&amp;$R358&amp;"|"&amp;$AE358,'ASIGNACIONES'!$J$4:$J$339,0)),0)-$AG358)</f>
        <v/>
      </c>
      <c r="AI358" s="10">
        <f>IF($A358="","",IFERROR(INDEX('2_IMPORTAR_EJECUCION'!$F$9:$F$1208,MATCH($AQ358,'2_IMPORTAR_EJECUCION'!$J$9:$J$1208,0)),0))</f>
        <v/>
      </c>
      <c r="AJ358" s="10">
        <f>IF($A358="","",MAX(0,IFERROR(INDEX('2_IMPORTAR_EJECUCION'!$H$9:$H$1208,MATCH($AQ358,'2_IMPORTAR_EJECUCION'!$J$9:$J$1208,0)),0)-$AI358))</f>
        <v/>
      </c>
      <c r="AK358" s="10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2">
        <f>IF($J359="","",TODAY()-$J359)</f>
        <v/>
      </c>
      <c r="AB359" s="12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IF($AE359="","",IF((IFERROR(INDEX('ASIGNACIONES'!$F$4:$F$339,MATCH($O359&amp;"|"&amp;$R359&amp;"|"&amp;$AE359,'ASIGNACIONES'!$J$4:$J$339,0)),""))=0,"",IFERROR(INDEX('ASIGNACIONES'!$F$4:$F$339,MATCH($O359&amp;"|"&amp;$R359&amp;"|"&amp;$AE359,'ASIGNACIONES'!$J$4:$J$339,0)),"")))</f>
        <v/>
      </c>
      <c r="AG359" s="13">
        <f>IF($AE359="","",SUMIFS('ORDENES'!$M$4:$M$1203,'ORDENES'!$AE$4:$AE$1203,$AE359,'ORDENES'!$O$4:$O$1203,$O359,'ORDENES'!$R$4:$R$1203,$R359))</f>
        <v/>
      </c>
      <c r="AH359" s="13">
        <f>IF($AG359="","",p_factor_productividad*IFERROR(INDEX('ASIGNACIONES'!$I$4:$I$339,MATCH($O359&amp;"|"&amp;$R359&amp;"|"&amp;$AE359,'ASIGNACIONES'!$J$4:$J$339,0)),0)-$AG359)</f>
        <v/>
      </c>
      <c r="AI359" s="10">
        <f>IF($A359="","",IFERROR(INDEX('2_IMPORTAR_EJECUCION'!$F$9:$F$1208,MATCH($AQ359,'2_IMPORTAR_EJECUCION'!$J$9:$J$1208,0)),0))</f>
        <v/>
      </c>
      <c r="AJ359" s="10">
        <f>IF($A359="","",MAX(0,IFERROR(INDEX('2_IMPORTAR_EJECUCION'!$H$9:$H$1208,MATCH($AQ359,'2_IMPORTAR_EJECUCION'!$J$9:$J$1208,0)),0)-$AI359))</f>
        <v/>
      </c>
      <c r="AK359" s="10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2">
        <f>IF($J360="","",TODAY()-$J360)</f>
        <v/>
      </c>
      <c r="AB360" s="12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IF($AE360="","",IF((IFERROR(INDEX('ASIGNACIONES'!$F$4:$F$339,MATCH($O360&amp;"|"&amp;$R360&amp;"|"&amp;$AE360,'ASIGNACIONES'!$J$4:$J$339,0)),""))=0,"",IFERROR(INDEX('ASIGNACIONES'!$F$4:$F$339,MATCH($O360&amp;"|"&amp;$R360&amp;"|"&amp;$AE360,'ASIGNACIONES'!$J$4:$J$339,0)),"")))</f>
        <v/>
      </c>
      <c r="AG360" s="13">
        <f>IF($AE360="","",SUMIFS('ORDENES'!$M$4:$M$1203,'ORDENES'!$AE$4:$AE$1203,$AE360,'ORDENES'!$O$4:$O$1203,$O360,'ORDENES'!$R$4:$R$1203,$R360))</f>
        <v/>
      </c>
      <c r="AH360" s="13">
        <f>IF($AG360="","",p_factor_productividad*IFERROR(INDEX('ASIGNACIONES'!$I$4:$I$339,MATCH($O360&amp;"|"&amp;$R360&amp;"|"&amp;$AE360,'ASIGNACIONES'!$J$4:$J$339,0)),0)-$AG360)</f>
        <v/>
      </c>
      <c r="AI360" s="10">
        <f>IF($A360="","",IFERROR(INDEX('2_IMPORTAR_EJECUCION'!$F$9:$F$1208,MATCH($AQ360,'2_IMPORTAR_EJECUCION'!$J$9:$J$1208,0)),0))</f>
        <v/>
      </c>
      <c r="AJ360" s="10">
        <f>IF($A360="","",MAX(0,IFERROR(INDEX('2_IMPORTAR_EJECUCION'!$H$9:$H$1208,MATCH($AQ360,'2_IMPORTAR_EJECUCION'!$J$9:$J$1208,0)),0)-$AI360))</f>
        <v/>
      </c>
      <c r="AK360" s="10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2">
        <f>IF($J361="","",TODAY()-$J361)</f>
        <v/>
      </c>
      <c r="AB361" s="12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IF($AE361="","",IF((IFERROR(INDEX('ASIGNACIONES'!$F$4:$F$339,MATCH($O361&amp;"|"&amp;$R361&amp;"|"&amp;$AE361,'ASIGNACIONES'!$J$4:$J$339,0)),""))=0,"",IFERROR(INDEX('ASIGNACIONES'!$F$4:$F$339,MATCH($O361&amp;"|"&amp;$R361&amp;"|"&amp;$AE361,'ASIGNACIONES'!$J$4:$J$339,0)),"")))</f>
        <v/>
      </c>
      <c r="AG361" s="13">
        <f>IF($AE361="","",SUMIFS('ORDENES'!$M$4:$M$1203,'ORDENES'!$AE$4:$AE$1203,$AE361,'ORDENES'!$O$4:$O$1203,$O361,'ORDENES'!$R$4:$R$1203,$R361))</f>
        <v/>
      </c>
      <c r="AH361" s="13">
        <f>IF($AG361="","",p_factor_productividad*IFERROR(INDEX('ASIGNACIONES'!$I$4:$I$339,MATCH($O361&amp;"|"&amp;$R361&amp;"|"&amp;$AE361,'ASIGNACIONES'!$J$4:$J$339,0)),0)-$AG361)</f>
        <v/>
      </c>
      <c r="AI361" s="10">
        <f>IF($A361="","",IFERROR(INDEX('2_IMPORTAR_EJECUCION'!$F$9:$F$1208,MATCH($AQ361,'2_IMPORTAR_EJECUCION'!$J$9:$J$1208,0)),0))</f>
        <v/>
      </c>
      <c r="AJ361" s="10">
        <f>IF($A361="","",MAX(0,IFERROR(INDEX('2_IMPORTAR_EJECUCION'!$H$9:$H$1208,MATCH($AQ361,'2_IMPORTAR_EJECUCION'!$J$9:$J$1208,0)),0)-$AI361))</f>
        <v/>
      </c>
      <c r="AK361" s="10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2">
        <f>IF($J362="","",TODAY()-$J362)</f>
        <v/>
      </c>
      <c r="AB362" s="12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IF($AE362="","",IF((IFERROR(INDEX('ASIGNACIONES'!$F$4:$F$339,MATCH($O362&amp;"|"&amp;$R362&amp;"|"&amp;$AE362,'ASIGNACIONES'!$J$4:$J$339,0)),""))=0,"",IFERROR(INDEX('ASIGNACIONES'!$F$4:$F$339,MATCH($O362&amp;"|"&amp;$R362&amp;"|"&amp;$AE362,'ASIGNACIONES'!$J$4:$J$339,0)),"")))</f>
        <v/>
      </c>
      <c r="AG362" s="13">
        <f>IF($AE362="","",SUMIFS('ORDENES'!$M$4:$M$1203,'ORDENES'!$AE$4:$AE$1203,$AE362,'ORDENES'!$O$4:$O$1203,$O362,'ORDENES'!$R$4:$R$1203,$R362))</f>
        <v/>
      </c>
      <c r="AH362" s="13">
        <f>IF($AG362="","",p_factor_productividad*IFERROR(INDEX('ASIGNACIONES'!$I$4:$I$339,MATCH($O362&amp;"|"&amp;$R362&amp;"|"&amp;$AE362,'ASIGNACIONES'!$J$4:$J$339,0)),0)-$AG362)</f>
        <v/>
      </c>
      <c r="AI362" s="10">
        <f>IF($A362="","",IFERROR(INDEX('2_IMPORTAR_EJECUCION'!$F$9:$F$1208,MATCH($AQ362,'2_IMPORTAR_EJECUCION'!$J$9:$J$1208,0)),0))</f>
        <v/>
      </c>
      <c r="AJ362" s="10">
        <f>IF($A362="","",MAX(0,IFERROR(INDEX('2_IMPORTAR_EJECUCION'!$H$9:$H$1208,MATCH($AQ362,'2_IMPORTAR_EJECUCION'!$J$9:$J$1208,0)),0)-$AI362))</f>
        <v/>
      </c>
      <c r="AK362" s="10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2">
        <f>IF($J363="","",TODAY()-$J363)</f>
        <v/>
      </c>
      <c r="AB363" s="12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IF($AE363="","",IF((IFERROR(INDEX('ASIGNACIONES'!$F$4:$F$339,MATCH($O363&amp;"|"&amp;$R363&amp;"|"&amp;$AE363,'ASIGNACIONES'!$J$4:$J$339,0)),""))=0,"",IFERROR(INDEX('ASIGNACIONES'!$F$4:$F$339,MATCH($O363&amp;"|"&amp;$R363&amp;"|"&amp;$AE363,'ASIGNACIONES'!$J$4:$J$339,0)),"")))</f>
        <v/>
      </c>
      <c r="AG363" s="13">
        <f>IF($AE363="","",SUMIFS('ORDENES'!$M$4:$M$1203,'ORDENES'!$AE$4:$AE$1203,$AE363,'ORDENES'!$O$4:$O$1203,$O363,'ORDENES'!$R$4:$R$1203,$R363))</f>
        <v/>
      </c>
      <c r="AH363" s="13">
        <f>IF($AG363="","",p_factor_productividad*IFERROR(INDEX('ASIGNACIONES'!$I$4:$I$339,MATCH($O363&amp;"|"&amp;$R363&amp;"|"&amp;$AE363,'ASIGNACIONES'!$J$4:$J$339,0)),0)-$AG363)</f>
        <v/>
      </c>
      <c r="AI363" s="10">
        <f>IF($A363="","",IFERROR(INDEX('2_IMPORTAR_EJECUCION'!$F$9:$F$1208,MATCH($AQ363,'2_IMPORTAR_EJECUCION'!$J$9:$J$1208,0)),0))</f>
        <v/>
      </c>
      <c r="AJ363" s="10">
        <f>IF($A363="","",MAX(0,IFERROR(INDEX('2_IMPORTAR_EJECUCION'!$H$9:$H$1208,MATCH($AQ363,'2_IMPORTAR_EJECUCION'!$J$9:$J$1208,0)),0)-$AI363))</f>
        <v/>
      </c>
      <c r="AK363" s="10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2">
        <f>IF($J364="","",TODAY()-$J364)</f>
        <v/>
      </c>
      <c r="AB364" s="12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IF($AE364="","",IF((IFERROR(INDEX('ASIGNACIONES'!$F$4:$F$339,MATCH($O364&amp;"|"&amp;$R364&amp;"|"&amp;$AE364,'ASIGNACIONES'!$J$4:$J$339,0)),""))=0,"",IFERROR(INDEX('ASIGNACIONES'!$F$4:$F$339,MATCH($O364&amp;"|"&amp;$R364&amp;"|"&amp;$AE364,'ASIGNACIONES'!$J$4:$J$339,0)),"")))</f>
        <v/>
      </c>
      <c r="AG364" s="13">
        <f>IF($AE364="","",SUMIFS('ORDENES'!$M$4:$M$1203,'ORDENES'!$AE$4:$AE$1203,$AE364,'ORDENES'!$O$4:$O$1203,$O364,'ORDENES'!$R$4:$R$1203,$R364))</f>
        <v/>
      </c>
      <c r="AH364" s="13">
        <f>IF($AG364="","",p_factor_productividad*IFERROR(INDEX('ASIGNACIONES'!$I$4:$I$339,MATCH($O364&amp;"|"&amp;$R364&amp;"|"&amp;$AE364,'ASIGNACIONES'!$J$4:$J$339,0)),0)-$AG364)</f>
        <v/>
      </c>
      <c r="AI364" s="10">
        <f>IF($A364="","",IFERROR(INDEX('2_IMPORTAR_EJECUCION'!$F$9:$F$1208,MATCH($AQ364,'2_IMPORTAR_EJECUCION'!$J$9:$J$1208,0)),0))</f>
        <v/>
      </c>
      <c r="AJ364" s="10">
        <f>IF($A364="","",MAX(0,IFERROR(INDEX('2_IMPORTAR_EJECUCION'!$H$9:$H$1208,MATCH($AQ364,'2_IMPORTAR_EJECUCION'!$J$9:$J$1208,0)),0)-$AI364))</f>
        <v/>
      </c>
      <c r="AK364" s="10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2">
        <f>IF($J365="","",TODAY()-$J365)</f>
        <v/>
      </c>
      <c r="AB365" s="12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IF($AE365="","",IF((IFERROR(INDEX('ASIGNACIONES'!$F$4:$F$339,MATCH($O365&amp;"|"&amp;$R365&amp;"|"&amp;$AE365,'ASIGNACIONES'!$J$4:$J$339,0)),""))=0,"",IFERROR(INDEX('ASIGNACIONES'!$F$4:$F$339,MATCH($O365&amp;"|"&amp;$R365&amp;"|"&amp;$AE365,'ASIGNACIONES'!$J$4:$J$339,0)),"")))</f>
        <v/>
      </c>
      <c r="AG365" s="13">
        <f>IF($AE365="","",SUMIFS('ORDENES'!$M$4:$M$1203,'ORDENES'!$AE$4:$AE$1203,$AE365,'ORDENES'!$O$4:$O$1203,$O365,'ORDENES'!$R$4:$R$1203,$R365))</f>
        <v/>
      </c>
      <c r="AH365" s="13">
        <f>IF($AG365="","",p_factor_productividad*IFERROR(INDEX('ASIGNACIONES'!$I$4:$I$339,MATCH($O365&amp;"|"&amp;$R365&amp;"|"&amp;$AE365,'ASIGNACIONES'!$J$4:$J$339,0)),0)-$AG365)</f>
        <v/>
      </c>
      <c r="AI365" s="10">
        <f>IF($A365="","",IFERROR(INDEX('2_IMPORTAR_EJECUCION'!$F$9:$F$1208,MATCH($AQ365,'2_IMPORTAR_EJECUCION'!$J$9:$J$1208,0)),0))</f>
        <v/>
      </c>
      <c r="AJ365" s="10">
        <f>IF($A365="","",MAX(0,IFERROR(INDEX('2_IMPORTAR_EJECUCION'!$H$9:$H$1208,MATCH($AQ365,'2_IMPORTAR_EJECUCION'!$J$9:$J$1208,0)),0)-$AI365))</f>
        <v/>
      </c>
      <c r="AK365" s="10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2">
        <f>IF($J366="","",TODAY()-$J366)</f>
        <v/>
      </c>
      <c r="AB366" s="12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IF($AE366="","",IF((IFERROR(INDEX('ASIGNACIONES'!$F$4:$F$339,MATCH($O366&amp;"|"&amp;$R366&amp;"|"&amp;$AE366,'ASIGNACIONES'!$J$4:$J$339,0)),""))=0,"",IFERROR(INDEX('ASIGNACIONES'!$F$4:$F$339,MATCH($O366&amp;"|"&amp;$R366&amp;"|"&amp;$AE366,'ASIGNACIONES'!$J$4:$J$339,0)),"")))</f>
        <v/>
      </c>
      <c r="AG366" s="13">
        <f>IF($AE366="","",SUMIFS('ORDENES'!$M$4:$M$1203,'ORDENES'!$AE$4:$AE$1203,$AE366,'ORDENES'!$O$4:$O$1203,$O366,'ORDENES'!$R$4:$R$1203,$R366))</f>
        <v/>
      </c>
      <c r="AH366" s="13">
        <f>IF($AG366="","",p_factor_productividad*IFERROR(INDEX('ASIGNACIONES'!$I$4:$I$339,MATCH($O366&amp;"|"&amp;$R366&amp;"|"&amp;$AE366,'ASIGNACIONES'!$J$4:$J$339,0)),0)-$AG366)</f>
        <v/>
      </c>
      <c r="AI366" s="10">
        <f>IF($A366="","",IFERROR(INDEX('2_IMPORTAR_EJECUCION'!$F$9:$F$1208,MATCH($AQ366,'2_IMPORTAR_EJECUCION'!$J$9:$J$1208,0)),0))</f>
        <v/>
      </c>
      <c r="AJ366" s="10">
        <f>IF($A366="","",MAX(0,IFERROR(INDEX('2_IMPORTAR_EJECUCION'!$H$9:$H$1208,MATCH($AQ366,'2_IMPORTAR_EJECUCION'!$J$9:$J$1208,0)),0)-$AI366))</f>
        <v/>
      </c>
      <c r="AK366" s="10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2">
        <f>IF($J367="","",TODAY()-$J367)</f>
        <v/>
      </c>
      <c r="AB367" s="12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IF($AE367="","",IF((IFERROR(INDEX('ASIGNACIONES'!$F$4:$F$339,MATCH($O367&amp;"|"&amp;$R367&amp;"|"&amp;$AE367,'ASIGNACIONES'!$J$4:$J$339,0)),""))=0,"",IFERROR(INDEX('ASIGNACIONES'!$F$4:$F$339,MATCH($O367&amp;"|"&amp;$R367&amp;"|"&amp;$AE367,'ASIGNACIONES'!$J$4:$J$339,0)),"")))</f>
        <v/>
      </c>
      <c r="AG367" s="13">
        <f>IF($AE367="","",SUMIFS('ORDENES'!$M$4:$M$1203,'ORDENES'!$AE$4:$AE$1203,$AE367,'ORDENES'!$O$4:$O$1203,$O367,'ORDENES'!$R$4:$R$1203,$R367))</f>
        <v/>
      </c>
      <c r="AH367" s="13">
        <f>IF($AG367="","",p_factor_productividad*IFERROR(INDEX('ASIGNACIONES'!$I$4:$I$339,MATCH($O367&amp;"|"&amp;$R367&amp;"|"&amp;$AE367,'ASIGNACIONES'!$J$4:$J$339,0)),0)-$AG367)</f>
        <v/>
      </c>
      <c r="AI367" s="10">
        <f>IF($A367="","",IFERROR(INDEX('2_IMPORTAR_EJECUCION'!$F$9:$F$1208,MATCH($AQ367,'2_IMPORTAR_EJECUCION'!$J$9:$J$1208,0)),0))</f>
        <v/>
      </c>
      <c r="AJ367" s="10">
        <f>IF($A367="","",MAX(0,IFERROR(INDEX('2_IMPORTAR_EJECUCION'!$H$9:$H$1208,MATCH($AQ367,'2_IMPORTAR_EJECUCION'!$J$9:$J$1208,0)),0)-$AI367))</f>
        <v/>
      </c>
      <c r="AK367" s="10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2">
        <f>IF($J368="","",TODAY()-$J368)</f>
        <v/>
      </c>
      <c r="AB368" s="12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IF($AE368="","",IF((IFERROR(INDEX('ASIGNACIONES'!$F$4:$F$339,MATCH($O368&amp;"|"&amp;$R368&amp;"|"&amp;$AE368,'ASIGNACIONES'!$J$4:$J$339,0)),""))=0,"",IFERROR(INDEX('ASIGNACIONES'!$F$4:$F$339,MATCH($O368&amp;"|"&amp;$R368&amp;"|"&amp;$AE368,'ASIGNACIONES'!$J$4:$J$339,0)),"")))</f>
        <v/>
      </c>
      <c r="AG368" s="13">
        <f>IF($AE368="","",SUMIFS('ORDENES'!$M$4:$M$1203,'ORDENES'!$AE$4:$AE$1203,$AE368,'ORDENES'!$O$4:$O$1203,$O368,'ORDENES'!$R$4:$R$1203,$R368))</f>
        <v/>
      </c>
      <c r="AH368" s="13">
        <f>IF($AG368="","",p_factor_productividad*IFERROR(INDEX('ASIGNACIONES'!$I$4:$I$339,MATCH($O368&amp;"|"&amp;$R368&amp;"|"&amp;$AE368,'ASIGNACIONES'!$J$4:$J$339,0)),0)-$AG368)</f>
        <v/>
      </c>
      <c r="AI368" s="10">
        <f>IF($A368="","",IFERROR(INDEX('2_IMPORTAR_EJECUCION'!$F$9:$F$1208,MATCH($AQ368,'2_IMPORTAR_EJECUCION'!$J$9:$J$1208,0)),0))</f>
        <v/>
      </c>
      <c r="AJ368" s="10">
        <f>IF($A368="","",MAX(0,IFERROR(INDEX('2_IMPORTAR_EJECUCION'!$H$9:$H$1208,MATCH($AQ368,'2_IMPORTAR_EJECUCION'!$J$9:$J$1208,0)),0)-$AI368))</f>
        <v/>
      </c>
      <c r="AK368" s="10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2">
        <f>IF($J369="","",TODAY()-$J369)</f>
        <v/>
      </c>
      <c r="AB369" s="12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IF($AE369="","",IF((IFERROR(INDEX('ASIGNACIONES'!$F$4:$F$339,MATCH($O369&amp;"|"&amp;$R369&amp;"|"&amp;$AE369,'ASIGNACIONES'!$J$4:$J$339,0)),""))=0,"",IFERROR(INDEX('ASIGNACIONES'!$F$4:$F$339,MATCH($O369&amp;"|"&amp;$R369&amp;"|"&amp;$AE369,'ASIGNACIONES'!$J$4:$J$339,0)),"")))</f>
        <v/>
      </c>
      <c r="AG369" s="13">
        <f>IF($AE369="","",SUMIFS('ORDENES'!$M$4:$M$1203,'ORDENES'!$AE$4:$AE$1203,$AE369,'ORDENES'!$O$4:$O$1203,$O369,'ORDENES'!$R$4:$R$1203,$R369))</f>
        <v/>
      </c>
      <c r="AH369" s="13">
        <f>IF($AG369="","",p_factor_productividad*IFERROR(INDEX('ASIGNACIONES'!$I$4:$I$339,MATCH($O369&amp;"|"&amp;$R369&amp;"|"&amp;$AE369,'ASIGNACIONES'!$J$4:$J$339,0)),0)-$AG369)</f>
        <v/>
      </c>
      <c r="AI369" s="10">
        <f>IF($A369="","",IFERROR(INDEX('2_IMPORTAR_EJECUCION'!$F$9:$F$1208,MATCH($AQ369,'2_IMPORTAR_EJECUCION'!$J$9:$J$1208,0)),0))</f>
        <v/>
      </c>
      <c r="AJ369" s="10">
        <f>IF($A369="","",MAX(0,IFERROR(INDEX('2_IMPORTAR_EJECUCION'!$H$9:$H$1208,MATCH($AQ369,'2_IMPORTAR_EJECUCION'!$J$9:$J$1208,0)),0)-$AI369))</f>
        <v/>
      </c>
      <c r="AK369" s="10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2">
        <f>IF($J370="","",TODAY()-$J370)</f>
        <v/>
      </c>
      <c r="AB370" s="12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IF($AE370="","",IF((IFERROR(INDEX('ASIGNACIONES'!$F$4:$F$339,MATCH($O370&amp;"|"&amp;$R370&amp;"|"&amp;$AE370,'ASIGNACIONES'!$J$4:$J$339,0)),""))=0,"",IFERROR(INDEX('ASIGNACIONES'!$F$4:$F$339,MATCH($O370&amp;"|"&amp;$R370&amp;"|"&amp;$AE370,'ASIGNACIONES'!$J$4:$J$339,0)),"")))</f>
        <v/>
      </c>
      <c r="AG370" s="13">
        <f>IF($AE370="","",SUMIFS('ORDENES'!$M$4:$M$1203,'ORDENES'!$AE$4:$AE$1203,$AE370,'ORDENES'!$O$4:$O$1203,$O370,'ORDENES'!$R$4:$R$1203,$R370))</f>
        <v/>
      </c>
      <c r="AH370" s="13">
        <f>IF($AG370="","",p_factor_productividad*IFERROR(INDEX('ASIGNACIONES'!$I$4:$I$339,MATCH($O370&amp;"|"&amp;$R370&amp;"|"&amp;$AE370,'ASIGNACIONES'!$J$4:$J$339,0)),0)-$AG370)</f>
        <v/>
      </c>
      <c r="AI370" s="10">
        <f>IF($A370="","",IFERROR(INDEX('2_IMPORTAR_EJECUCION'!$F$9:$F$1208,MATCH($AQ370,'2_IMPORTAR_EJECUCION'!$J$9:$J$1208,0)),0))</f>
        <v/>
      </c>
      <c r="AJ370" s="10">
        <f>IF($A370="","",MAX(0,IFERROR(INDEX('2_IMPORTAR_EJECUCION'!$H$9:$H$1208,MATCH($AQ370,'2_IMPORTAR_EJECUCION'!$J$9:$J$1208,0)),0)-$AI370))</f>
        <v/>
      </c>
      <c r="AK370" s="10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2">
        <f>IF($J371="","",TODAY()-$J371)</f>
        <v/>
      </c>
      <c r="AB371" s="12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IF($AE371="","",IF((IFERROR(INDEX('ASIGNACIONES'!$F$4:$F$339,MATCH($O371&amp;"|"&amp;$R371&amp;"|"&amp;$AE371,'ASIGNACIONES'!$J$4:$J$339,0)),""))=0,"",IFERROR(INDEX('ASIGNACIONES'!$F$4:$F$339,MATCH($O371&amp;"|"&amp;$R371&amp;"|"&amp;$AE371,'ASIGNACIONES'!$J$4:$J$339,0)),"")))</f>
        <v/>
      </c>
      <c r="AG371" s="13">
        <f>IF($AE371="","",SUMIFS('ORDENES'!$M$4:$M$1203,'ORDENES'!$AE$4:$AE$1203,$AE371,'ORDENES'!$O$4:$O$1203,$O371,'ORDENES'!$R$4:$R$1203,$R371))</f>
        <v/>
      </c>
      <c r="AH371" s="13">
        <f>IF($AG371="","",p_factor_productividad*IFERROR(INDEX('ASIGNACIONES'!$I$4:$I$339,MATCH($O371&amp;"|"&amp;$R371&amp;"|"&amp;$AE371,'ASIGNACIONES'!$J$4:$J$339,0)),0)-$AG371)</f>
        <v/>
      </c>
      <c r="AI371" s="10">
        <f>IF($A371="","",IFERROR(INDEX('2_IMPORTAR_EJECUCION'!$F$9:$F$1208,MATCH($AQ371,'2_IMPORTAR_EJECUCION'!$J$9:$J$1208,0)),0))</f>
        <v/>
      </c>
      <c r="AJ371" s="10">
        <f>IF($A371="","",MAX(0,IFERROR(INDEX('2_IMPORTAR_EJECUCION'!$H$9:$H$1208,MATCH($AQ371,'2_IMPORTAR_EJECUCION'!$J$9:$J$1208,0)),0)-$AI371))</f>
        <v/>
      </c>
      <c r="AK371" s="10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2">
        <f>IF($J372="","",TODAY()-$J372)</f>
        <v/>
      </c>
      <c r="AB372" s="12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IF($AE372="","",IF((IFERROR(INDEX('ASIGNACIONES'!$F$4:$F$339,MATCH($O372&amp;"|"&amp;$R372&amp;"|"&amp;$AE372,'ASIGNACIONES'!$J$4:$J$339,0)),""))=0,"",IFERROR(INDEX('ASIGNACIONES'!$F$4:$F$339,MATCH($O372&amp;"|"&amp;$R372&amp;"|"&amp;$AE372,'ASIGNACIONES'!$J$4:$J$339,0)),"")))</f>
        <v/>
      </c>
      <c r="AG372" s="13">
        <f>IF($AE372="","",SUMIFS('ORDENES'!$M$4:$M$1203,'ORDENES'!$AE$4:$AE$1203,$AE372,'ORDENES'!$O$4:$O$1203,$O372,'ORDENES'!$R$4:$R$1203,$R372))</f>
        <v/>
      </c>
      <c r="AH372" s="13">
        <f>IF($AG372="","",p_factor_productividad*IFERROR(INDEX('ASIGNACIONES'!$I$4:$I$339,MATCH($O372&amp;"|"&amp;$R372&amp;"|"&amp;$AE372,'ASIGNACIONES'!$J$4:$J$339,0)),0)-$AG372)</f>
        <v/>
      </c>
      <c r="AI372" s="10">
        <f>IF($A372="","",IFERROR(INDEX('2_IMPORTAR_EJECUCION'!$F$9:$F$1208,MATCH($AQ372,'2_IMPORTAR_EJECUCION'!$J$9:$J$1208,0)),0))</f>
        <v/>
      </c>
      <c r="AJ372" s="10">
        <f>IF($A372="","",MAX(0,IFERROR(INDEX('2_IMPORTAR_EJECUCION'!$H$9:$H$1208,MATCH($AQ372,'2_IMPORTAR_EJECUCION'!$J$9:$J$1208,0)),0)-$AI372))</f>
        <v/>
      </c>
      <c r="AK372" s="10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2">
        <f>IF($J373="","",TODAY()-$J373)</f>
        <v/>
      </c>
      <c r="AB373" s="12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IF($AE373="","",IF((IFERROR(INDEX('ASIGNACIONES'!$F$4:$F$339,MATCH($O373&amp;"|"&amp;$R373&amp;"|"&amp;$AE373,'ASIGNACIONES'!$J$4:$J$339,0)),""))=0,"",IFERROR(INDEX('ASIGNACIONES'!$F$4:$F$339,MATCH($O373&amp;"|"&amp;$R373&amp;"|"&amp;$AE373,'ASIGNACIONES'!$J$4:$J$339,0)),"")))</f>
        <v/>
      </c>
      <c r="AG373" s="13">
        <f>IF($AE373="","",SUMIFS('ORDENES'!$M$4:$M$1203,'ORDENES'!$AE$4:$AE$1203,$AE373,'ORDENES'!$O$4:$O$1203,$O373,'ORDENES'!$R$4:$R$1203,$R373))</f>
        <v/>
      </c>
      <c r="AH373" s="13">
        <f>IF($AG373="","",p_factor_productividad*IFERROR(INDEX('ASIGNACIONES'!$I$4:$I$339,MATCH($O373&amp;"|"&amp;$R373&amp;"|"&amp;$AE373,'ASIGNACIONES'!$J$4:$J$339,0)),0)-$AG373)</f>
        <v/>
      </c>
      <c r="AI373" s="10">
        <f>IF($A373="","",IFERROR(INDEX('2_IMPORTAR_EJECUCION'!$F$9:$F$1208,MATCH($AQ373,'2_IMPORTAR_EJECUCION'!$J$9:$J$1208,0)),0))</f>
        <v/>
      </c>
      <c r="AJ373" s="10">
        <f>IF($A373="","",MAX(0,IFERROR(INDEX('2_IMPORTAR_EJECUCION'!$H$9:$H$1208,MATCH($AQ373,'2_IMPORTAR_EJECUCION'!$J$9:$J$1208,0)),0)-$AI373))</f>
        <v/>
      </c>
      <c r="AK373" s="10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2">
        <f>IF($J374="","",TODAY()-$J374)</f>
        <v/>
      </c>
      <c r="AB374" s="12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IF($AE374="","",IF((IFERROR(INDEX('ASIGNACIONES'!$F$4:$F$339,MATCH($O374&amp;"|"&amp;$R374&amp;"|"&amp;$AE374,'ASIGNACIONES'!$J$4:$J$339,0)),""))=0,"",IFERROR(INDEX('ASIGNACIONES'!$F$4:$F$339,MATCH($O374&amp;"|"&amp;$R374&amp;"|"&amp;$AE374,'ASIGNACIONES'!$J$4:$J$339,0)),"")))</f>
        <v/>
      </c>
      <c r="AG374" s="13">
        <f>IF($AE374="","",SUMIFS('ORDENES'!$M$4:$M$1203,'ORDENES'!$AE$4:$AE$1203,$AE374,'ORDENES'!$O$4:$O$1203,$O374,'ORDENES'!$R$4:$R$1203,$R374))</f>
        <v/>
      </c>
      <c r="AH374" s="13">
        <f>IF($AG374="","",p_factor_productividad*IFERROR(INDEX('ASIGNACIONES'!$I$4:$I$339,MATCH($O374&amp;"|"&amp;$R374&amp;"|"&amp;$AE374,'ASIGNACIONES'!$J$4:$J$339,0)),0)-$AG374)</f>
        <v/>
      </c>
      <c r="AI374" s="10">
        <f>IF($A374="","",IFERROR(INDEX('2_IMPORTAR_EJECUCION'!$F$9:$F$1208,MATCH($AQ374,'2_IMPORTAR_EJECUCION'!$J$9:$J$1208,0)),0))</f>
        <v/>
      </c>
      <c r="AJ374" s="10">
        <f>IF($A374="","",MAX(0,IFERROR(INDEX('2_IMPORTAR_EJECUCION'!$H$9:$H$1208,MATCH($AQ374,'2_IMPORTAR_EJECUCION'!$J$9:$J$1208,0)),0)-$AI374))</f>
        <v/>
      </c>
      <c r="AK374" s="10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2">
        <f>IF($J375="","",TODAY()-$J375)</f>
        <v/>
      </c>
      <c r="AB375" s="12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IF($AE375="","",IF((IFERROR(INDEX('ASIGNACIONES'!$F$4:$F$339,MATCH($O375&amp;"|"&amp;$R375&amp;"|"&amp;$AE375,'ASIGNACIONES'!$J$4:$J$339,0)),""))=0,"",IFERROR(INDEX('ASIGNACIONES'!$F$4:$F$339,MATCH($O375&amp;"|"&amp;$R375&amp;"|"&amp;$AE375,'ASIGNACIONES'!$J$4:$J$339,0)),"")))</f>
        <v/>
      </c>
      <c r="AG375" s="13">
        <f>IF($AE375="","",SUMIFS('ORDENES'!$M$4:$M$1203,'ORDENES'!$AE$4:$AE$1203,$AE375,'ORDENES'!$O$4:$O$1203,$O375,'ORDENES'!$R$4:$R$1203,$R375))</f>
        <v/>
      </c>
      <c r="AH375" s="13">
        <f>IF($AG375="","",p_factor_productividad*IFERROR(INDEX('ASIGNACIONES'!$I$4:$I$339,MATCH($O375&amp;"|"&amp;$R375&amp;"|"&amp;$AE375,'ASIGNACIONES'!$J$4:$J$339,0)),0)-$AG375)</f>
        <v/>
      </c>
      <c r="AI375" s="10">
        <f>IF($A375="","",IFERROR(INDEX('2_IMPORTAR_EJECUCION'!$F$9:$F$1208,MATCH($AQ375,'2_IMPORTAR_EJECUCION'!$J$9:$J$1208,0)),0))</f>
        <v/>
      </c>
      <c r="AJ375" s="10">
        <f>IF($A375="","",MAX(0,IFERROR(INDEX('2_IMPORTAR_EJECUCION'!$H$9:$H$1208,MATCH($AQ375,'2_IMPORTAR_EJECUCION'!$J$9:$J$1208,0)),0)-$AI375))</f>
        <v/>
      </c>
      <c r="AK375" s="10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2">
        <f>IF($J376="","",TODAY()-$J376)</f>
        <v/>
      </c>
      <c r="AB376" s="12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IF($AE376="","",IF((IFERROR(INDEX('ASIGNACIONES'!$F$4:$F$339,MATCH($O376&amp;"|"&amp;$R376&amp;"|"&amp;$AE376,'ASIGNACIONES'!$J$4:$J$339,0)),""))=0,"",IFERROR(INDEX('ASIGNACIONES'!$F$4:$F$339,MATCH($O376&amp;"|"&amp;$R376&amp;"|"&amp;$AE376,'ASIGNACIONES'!$J$4:$J$339,0)),"")))</f>
        <v/>
      </c>
      <c r="AG376" s="13">
        <f>IF($AE376="","",SUMIFS('ORDENES'!$M$4:$M$1203,'ORDENES'!$AE$4:$AE$1203,$AE376,'ORDENES'!$O$4:$O$1203,$O376,'ORDENES'!$R$4:$R$1203,$R376))</f>
        <v/>
      </c>
      <c r="AH376" s="13">
        <f>IF($AG376="","",p_factor_productividad*IFERROR(INDEX('ASIGNACIONES'!$I$4:$I$339,MATCH($O376&amp;"|"&amp;$R376&amp;"|"&amp;$AE376,'ASIGNACIONES'!$J$4:$J$339,0)),0)-$AG376)</f>
        <v/>
      </c>
      <c r="AI376" s="10">
        <f>IF($A376="","",IFERROR(INDEX('2_IMPORTAR_EJECUCION'!$F$9:$F$1208,MATCH($AQ376,'2_IMPORTAR_EJECUCION'!$J$9:$J$1208,0)),0))</f>
        <v/>
      </c>
      <c r="AJ376" s="10">
        <f>IF($A376="","",MAX(0,IFERROR(INDEX('2_IMPORTAR_EJECUCION'!$H$9:$H$1208,MATCH($AQ376,'2_IMPORTAR_EJECUCION'!$J$9:$J$1208,0)),0)-$AI376))</f>
        <v/>
      </c>
      <c r="AK376" s="10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2">
        <f>IF($J377="","",TODAY()-$J377)</f>
        <v/>
      </c>
      <c r="AB377" s="12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IF($AE377="","",IF((IFERROR(INDEX('ASIGNACIONES'!$F$4:$F$339,MATCH($O377&amp;"|"&amp;$R377&amp;"|"&amp;$AE377,'ASIGNACIONES'!$J$4:$J$339,0)),""))=0,"",IFERROR(INDEX('ASIGNACIONES'!$F$4:$F$339,MATCH($O377&amp;"|"&amp;$R377&amp;"|"&amp;$AE377,'ASIGNACIONES'!$J$4:$J$339,0)),"")))</f>
        <v/>
      </c>
      <c r="AG377" s="13">
        <f>IF($AE377="","",SUMIFS('ORDENES'!$M$4:$M$1203,'ORDENES'!$AE$4:$AE$1203,$AE377,'ORDENES'!$O$4:$O$1203,$O377,'ORDENES'!$R$4:$R$1203,$R377))</f>
        <v/>
      </c>
      <c r="AH377" s="13">
        <f>IF($AG377="","",p_factor_productividad*IFERROR(INDEX('ASIGNACIONES'!$I$4:$I$339,MATCH($O377&amp;"|"&amp;$R377&amp;"|"&amp;$AE377,'ASIGNACIONES'!$J$4:$J$339,0)),0)-$AG377)</f>
        <v/>
      </c>
      <c r="AI377" s="10">
        <f>IF($A377="","",IFERROR(INDEX('2_IMPORTAR_EJECUCION'!$F$9:$F$1208,MATCH($AQ377,'2_IMPORTAR_EJECUCION'!$J$9:$J$1208,0)),0))</f>
        <v/>
      </c>
      <c r="AJ377" s="10">
        <f>IF($A377="","",MAX(0,IFERROR(INDEX('2_IMPORTAR_EJECUCION'!$H$9:$H$1208,MATCH($AQ377,'2_IMPORTAR_EJECUCION'!$J$9:$J$1208,0)),0)-$AI377))</f>
        <v/>
      </c>
      <c r="AK377" s="10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2">
        <f>IF($J378="","",TODAY()-$J378)</f>
        <v/>
      </c>
      <c r="AB378" s="12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IF($AE378="","",IF((IFERROR(INDEX('ASIGNACIONES'!$F$4:$F$339,MATCH($O378&amp;"|"&amp;$R378&amp;"|"&amp;$AE378,'ASIGNACIONES'!$J$4:$J$339,0)),""))=0,"",IFERROR(INDEX('ASIGNACIONES'!$F$4:$F$339,MATCH($O378&amp;"|"&amp;$R378&amp;"|"&amp;$AE378,'ASIGNACIONES'!$J$4:$J$339,0)),"")))</f>
        <v/>
      </c>
      <c r="AG378" s="13">
        <f>IF($AE378="","",SUMIFS('ORDENES'!$M$4:$M$1203,'ORDENES'!$AE$4:$AE$1203,$AE378,'ORDENES'!$O$4:$O$1203,$O378,'ORDENES'!$R$4:$R$1203,$R378))</f>
        <v/>
      </c>
      <c r="AH378" s="13">
        <f>IF($AG378="","",p_factor_productividad*IFERROR(INDEX('ASIGNACIONES'!$I$4:$I$339,MATCH($O378&amp;"|"&amp;$R378&amp;"|"&amp;$AE378,'ASIGNACIONES'!$J$4:$J$339,0)),0)-$AG378)</f>
        <v/>
      </c>
      <c r="AI378" s="10">
        <f>IF($A378="","",IFERROR(INDEX('2_IMPORTAR_EJECUCION'!$F$9:$F$1208,MATCH($AQ378,'2_IMPORTAR_EJECUCION'!$J$9:$J$1208,0)),0))</f>
        <v/>
      </c>
      <c r="AJ378" s="10">
        <f>IF($A378="","",MAX(0,IFERROR(INDEX('2_IMPORTAR_EJECUCION'!$H$9:$H$1208,MATCH($AQ378,'2_IMPORTAR_EJECUCION'!$J$9:$J$1208,0)),0)-$AI378))</f>
        <v/>
      </c>
      <c r="AK378" s="10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2">
        <f>IF($J379="","",TODAY()-$J379)</f>
        <v/>
      </c>
      <c r="AB379" s="12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IF($AE379="","",IF((IFERROR(INDEX('ASIGNACIONES'!$F$4:$F$339,MATCH($O379&amp;"|"&amp;$R379&amp;"|"&amp;$AE379,'ASIGNACIONES'!$J$4:$J$339,0)),""))=0,"",IFERROR(INDEX('ASIGNACIONES'!$F$4:$F$339,MATCH($O379&amp;"|"&amp;$R379&amp;"|"&amp;$AE379,'ASIGNACIONES'!$J$4:$J$339,0)),"")))</f>
        <v/>
      </c>
      <c r="AG379" s="13">
        <f>IF($AE379="","",SUMIFS('ORDENES'!$M$4:$M$1203,'ORDENES'!$AE$4:$AE$1203,$AE379,'ORDENES'!$O$4:$O$1203,$O379,'ORDENES'!$R$4:$R$1203,$R379))</f>
        <v/>
      </c>
      <c r="AH379" s="13">
        <f>IF($AG379="","",p_factor_productividad*IFERROR(INDEX('ASIGNACIONES'!$I$4:$I$339,MATCH($O379&amp;"|"&amp;$R379&amp;"|"&amp;$AE379,'ASIGNACIONES'!$J$4:$J$339,0)),0)-$AG379)</f>
        <v/>
      </c>
      <c r="AI379" s="10">
        <f>IF($A379="","",IFERROR(INDEX('2_IMPORTAR_EJECUCION'!$F$9:$F$1208,MATCH($AQ379,'2_IMPORTAR_EJECUCION'!$J$9:$J$1208,0)),0))</f>
        <v/>
      </c>
      <c r="AJ379" s="10">
        <f>IF($A379="","",MAX(0,IFERROR(INDEX('2_IMPORTAR_EJECUCION'!$H$9:$H$1208,MATCH($AQ379,'2_IMPORTAR_EJECUCION'!$J$9:$J$1208,0)),0)-$AI379))</f>
        <v/>
      </c>
      <c r="AK379" s="10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2">
        <f>IF($J380="","",TODAY()-$J380)</f>
        <v/>
      </c>
      <c r="AB380" s="12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IF($AE380="","",IF((IFERROR(INDEX('ASIGNACIONES'!$F$4:$F$339,MATCH($O380&amp;"|"&amp;$R380&amp;"|"&amp;$AE380,'ASIGNACIONES'!$J$4:$J$339,0)),""))=0,"",IFERROR(INDEX('ASIGNACIONES'!$F$4:$F$339,MATCH($O380&amp;"|"&amp;$R380&amp;"|"&amp;$AE380,'ASIGNACIONES'!$J$4:$J$339,0)),"")))</f>
        <v/>
      </c>
      <c r="AG380" s="13">
        <f>IF($AE380="","",SUMIFS('ORDENES'!$M$4:$M$1203,'ORDENES'!$AE$4:$AE$1203,$AE380,'ORDENES'!$O$4:$O$1203,$O380,'ORDENES'!$R$4:$R$1203,$R380))</f>
        <v/>
      </c>
      <c r="AH380" s="13">
        <f>IF($AG380="","",p_factor_productividad*IFERROR(INDEX('ASIGNACIONES'!$I$4:$I$339,MATCH($O380&amp;"|"&amp;$R380&amp;"|"&amp;$AE380,'ASIGNACIONES'!$J$4:$J$339,0)),0)-$AG380)</f>
        <v/>
      </c>
      <c r="AI380" s="10">
        <f>IF($A380="","",IFERROR(INDEX('2_IMPORTAR_EJECUCION'!$F$9:$F$1208,MATCH($AQ380,'2_IMPORTAR_EJECUCION'!$J$9:$J$1208,0)),0))</f>
        <v/>
      </c>
      <c r="AJ380" s="10">
        <f>IF($A380="","",MAX(0,IFERROR(INDEX('2_IMPORTAR_EJECUCION'!$H$9:$H$1208,MATCH($AQ380,'2_IMPORTAR_EJECUCION'!$J$9:$J$1208,0)),0)-$AI380))</f>
        <v/>
      </c>
      <c r="AK380" s="10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2">
        <f>IF($J381="","",TODAY()-$J381)</f>
        <v/>
      </c>
      <c r="AB381" s="12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IF($AE381="","",IF((IFERROR(INDEX('ASIGNACIONES'!$F$4:$F$339,MATCH($O381&amp;"|"&amp;$R381&amp;"|"&amp;$AE381,'ASIGNACIONES'!$J$4:$J$339,0)),""))=0,"",IFERROR(INDEX('ASIGNACIONES'!$F$4:$F$339,MATCH($O381&amp;"|"&amp;$R381&amp;"|"&amp;$AE381,'ASIGNACIONES'!$J$4:$J$339,0)),"")))</f>
        <v/>
      </c>
      <c r="AG381" s="13">
        <f>IF($AE381="","",SUMIFS('ORDENES'!$M$4:$M$1203,'ORDENES'!$AE$4:$AE$1203,$AE381,'ORDENES'!$O$4:$O$1203,$O381,'ORDENES'!$R$4:$R$1203,$R381))</f>
        <v/>
      </c>
      <c r="AH381" s="13">
        <f>IF($AG381="","",p_factor_productividad*IFERROR(INDEX('ASIGNACIONES'!$I$4:$I$339,MATCH($O381&amp;"|"&amp;$R381&amp;"|"&amp;$AE381,'ASIGNACIONES'!$J$4:$J$339,0)),0)-$AG381)</f>
        <v/>
      </c>
      <c r="AI381" s="10">
        <f>IF($A381="","",IFERROR(INDEX('2_IMPORTAR_EJECUCION'!$F$9:$F$1208,MATCH($AQ381,'2_IMPORTAR_EJECUCION'!$J$9:$J$1208,0)),0))</f>
        <v/>
      </c>
      <c r="AJ381" s="10">
        <f>IF($A381="","",MAX(0,IFERROR(INDEX('2_IMPORTAR_EJECUCION'!$H$9:$H$1208,MATCH($AQ381,'2_IMPORTAR_EJECUCION'!$J$9:$J$1208,0)),0)-$AI381))</f>
        <v/>
      </c>
      <c r="AK381" s="10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2">
        <f>IF($J382="","",TODAY()-$J382)</f>
        <v/>
      </c>
      <c r="AB382" s="12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IF($AE382="","",IF((IFERROR(INDEX('ASIGNACIONES'!$F$4:$F$339,MATCH($O382&amp;"|"&amp;$R382&amp;"|"&amp;$AE382,'ASIGNACIONES'!$J$4:$J$339,0)),""))=0,"",IFERROR(INDEX('ASIGNACIONES'!$F$4:$F$339,MATCH($O382&amp;"|"&amp;$R382&amp;"|"&amp;$AE382,'ASIGNACIONES'!$J$4:$J$339,0)),"")))</f>
        <v/>
      </c>
      <c r="AG382" s="13">
        <f>IF($AE382="","",SUMIFS('ORDENES'!$M$4:$M$1203,'ORDENES'!$AE$4:$AE$1203,$AE382,'ORDENES'!$O$4:$O$1203,$O382,'ORDENES'!$R$4:$R$1203,$R382))</f>
        <v/>
      </c>
      <c r="AH382" s="13">
        <f>IF($AG382="","",p_factor_productividad*IFERROR(INDEX('ASIGNACIONES'!$I$4:$I$339,MATCH($O382&amp;"|"&amp;$R382&amp;"|"&amp;$AE382,'ASIGNACIONES'!$J$4:$J$339,0)),0)-$AG382)</f>
        <v/>
      </c>
      <c r="AI382" s="10">
        <f>IF($A382="","",IFERROR(INDEX('2_IMPORTAR_EJECUCION'!$F$9:$F$1208,MATCH($AQ382,'2_IMPORTAR_EJECUCION'!$J$9:$J$1208,0)),0))</f>
        <v/>
      </c>
      <c r="AJ382" s="10">
        <f>IF($A382="","",MAX(0,IFERROR(INDEX('2_IMPORTAR_EJECUCION'!$H$9:$H$1208,MATCH($AQ382,'2_IMPORTAR_EJECUCION'!$J$9:$J$1208,0)),0)-$AI382))</f>
        <v/>
      </c>
      <c r="AK382" s="10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2">
        <f>IF($J383="","",TODAY()-$J383)</f>
        <v/>
      </c>
      <c r="AB383" s="12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IF($AE383="","",IF((IFERROR(INDEX('ASIGNACIONES'!$F$4:$F$339,MATCH($O383&amp;"|"&amp;$R383&amp;"|"&amp;$AE383,'ASIGNACIONES'!$J$4:$J$339,0)),""))=0,"",IFERROR(INDEX('ASIGNACIONES'!$F$4:$F$339,MATCH($O383&amp;"|"&amp;$R383&amp;"|"&amp;$AE383,'ASIGNACIONES'!$J$4:$J$339,0)),"")))</f>
        <v/>
      </c>
      <c r="AG383" s="13">
        <f>IF($AE383="","",SUMIFS('ORDENES'!$M$4:$M$1203,'ORDENES'!$AE$4:$AE$1203,$AE383,'ORDENES'!$O$4:$O$1203,$O383,'ORDENES'!$R$4:$R$1203,$R383))</f>
        <v/>
      </c>
      <c r="AH383" s="13">
        <f>IF($AG383="","",p_factor_productividad*IFERROR(INDEX('ASIGNACIONES'!$I$4:$I$339,MATCH($O383&amp;"|"&amp;$R383&amp;"|"&amp;$AE383,'ASIGNACIONES'!$J$4:$J$339,0)),0)-$AG383)</f>
        <v/>
      </c>
      <c r="AI383" s="10">
        <f>IF($A383="","",IFERROR(INDEX('2_IMPORTAR_EJECUCION'!$F$9:$F$1208,MATCH($AQ383,'2_IMPORTAR_EJECUCION'!$J$9:$J$1208,0)),0))</f>
        <v/>
      </c>
      <c r="AJ383" s="10">
        <f>IF($A383="","",MAX(0,IFERROR(INDEX('2_IMPORTAR_EJECUCION'!$H$9:$H$1208,MATCH($AQ383,'2_IMPORTAR_EJECUCION'!$J$9:$J$1208,0)),0)-$AI383))</f>
        <v/>
      </c>
      <c r="AK383" s="10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2">
        <f>IF($J384="","",TODAY()-$J384)</f>
        <v/>
      </c>
      <c r="AB384" s="12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IF($AE384="","",IF((IFERROR(INDEX('ASIGNACIONES'!$F$4:$F$339,MATCH($O384&amp;"|"&amp;$R384&amp;"|"&amp;$AE384,'ASIGNACIONES'!$J$4:$J$339,0)),""))=0,"",IFERROR(INDEX('ASIGNACIONES'!$F$4:$F$339,MATCH($O384&amp;"|"&amp;$R384&amp;"|"&amp;$AE384,'ASIGNACIONES'!$J$4:$J$339,0)),"")))</f>
        <v/>
      </c>
      <c r="AG384" s="13">
        <f>IF($AE384="","",SUMIFS('ORDENES'!$M$4:$M$1203,'ORDENES'!$AE$4:$AE$1203,$AE384,'ORDENES'!$O$4:$O$1203,$O384,'ORDENES'!$R$4:$R$1203,$R384))</f>
        <v/>
      </c>
      <c r="AH384" s="13">
        <f>IF($AG384="","",p_factor_productividad*IFERROR(INDEX('ASIGNACIONES'!$I$4:$I$339,MATCH($O384&amp;"|"&amp;$R384&amp;"|"&amp;$AE384,'ASIGNACIONES'!$J$4:$J$339,0)),0)-$AG384)</f>
        <v/>
      </c>
      <c r="AI384" s="10">
        <f>IF($A384="","",IFERROR(INDEX('2_IMPORTAR_EJECUCION'!$F$9:$F$1208,MATCH($AQ384,'2_IMPORTAR_EJECUCION'!$J$9:$J$1208,0)),0))</f>
        <v/>
      </c>
      <c r="AJ384" s="10">
        <f>IF($A384="","",MAX(0,IFERROR(INDEX('2_IMPORTAR_EJECUCION'!$H$9:$H$1208,MATCH($AQ384,'2_IMPORTAR_EJECUCION'!$J$9:$J$1208,0)),0)-$AI384))</f>
        <v/>
      </c>
      <c r="AK384" s="10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2">
        <f>IF($J385="","",TODAY()-$J385)</f>
        <v/>
      </c>
      <c r="AB385" s="12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IF($AE385="","",IF((IFERROR(INDEX('ASIGNACIONES'!$F$4:$F$339,MATCH($O385&amp;"|"&amp;$R385&amp;"|"&amp;$AE385,'ASIGNACIONES'!$J$4:$J$339,0)),""))=0,"",IFERROR(INDEX('ASIGNACIONES'!$F$4:$F$339,MATCH($O385&amp;"|"&amp;$R385&amp;"|"&amp;$AE385,'ASIGNACIONES'!$J$4:$J$339,0)),"")))</f>
        <v/>
      </c>
      <c r="AG385" s="13">
        <f>IF($AE385="","",SUMIFS('ORDENES'!$M$4:$M$1203,'ORDENES'!$AE$4:$AE$1203,$AE385,'ORDENES'!$O$4:$O$1203,$O385,'ORDENES'!$R$4:$R$1203,$R385))</f>
        <v/>
      </c>
      <c r="AH385" s="13">
        <f>IF($AG385="","",p_factor_productividad*IFERROR(INDEX('ASIGNACIONES'!$I$4:$I$339,MATCH($O385&amp;"|"&amp;$R385&amp;"|"&amp;$AE385,'ASIGNACIONES'!$J$4:$J$339,0)),0)-$AG385)</f>
        <v/>
      </c>
      <c r="AI385" s="10">
        <f>IF($A385="","",IFERROR(INDEX('2_IMPORTAR_EJECUCION'!$F$9:$F$1208,MATCH($AQ385,'2_IMPORTAR_EJECUCION'!$J$9:$J$1208,0)),0))</f>
        <v/>
      </c>
      <c r="AJ385" s="10">
        <f>IF($A385="","",MAX(0,IFERROR(INDEX('2_IMPORTAR_EJECUCION'!$H$9:$H$1208,MATCH($AQ385,'2_IMPORTAR_EJECUCION'!$J$9:$J$1208,0)),0)-$AI385))</f>
        <v/>
      </c>
      <c r="AK385" s="10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2">
        <f>IF($J386="","",TODAY()-$J386)</f>
        <v/>
      </c>
      <c r="AB386" s="12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IF($AE386="","",IF((IFERROR(INDEX('ASIGNACIONES'!$F$4:$F$339,MATCH($O386&amp;"|"&amp;$R386&amp;"|"&amp;$AE386,'ASIGNACIONES'!$J$4:$J$339,0)),""))=0,"",IFERROR(INDEX('ASIGNACIONES'!$F$4:$F$339,MATCH($O386&amp;"|"&amp;$R386&amp;"|"&amp;$AE386,'ASIGNACIONES'!$J$4:$J$339,0)),"")))</f>
        <v/>
      </c>
      <c r="AG386" s="13">
        <f>IF($AE386="","",SUMIFS('ORDENES'!$M$4:$M$1203,'ORDENES'!$AE$4:$AE$1203,$AE386,'ORDENES'!$O$4:$O$1203,$O386,'ORDENES'!$R$4:$R$1203,$R386))</f>
        <v/>
      </c>
      <c r="AH386" s="13">
        <f>IF($AG386="","",p_factor_productividad*IFERROR(INDEX('ASIGNACIONES'!$I$4:$I$339,MATCH($O386&amp;"|"&amp;$R386&amp;"|"&amp;$AE386,'ASIGNACIONES'!$J$4:$J$339,0)),0)-$AG386)</f>
        <v/>
      </c>
      <c r="AI386" s="10">
        <f>IF($A386="","",IFERROR(INDEX('2_IMPORTAR_EJECUCION'!$F$9:$F$1208,MATCH($AQ386,'2_IMPORTAR_EJECUCION'!$J$9:$J$1208,0)),0))</f>
        <v/>
      </c>
      <c r="AJ386" s="10">
        <f>IF($A386="","",MAX(0,IFERROR(INDEX('2_IMPORTAR_EJECUCION'!$H$9:$H$1208,MATCH($AQ386,'2_IMPORTAR_EJECUCION'!$J$9:$J$1208,0)),0)-$AI386))</f>
        <v/>
      </c>
      <c r="AK386" s="10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2">
        <f>IF($J387="","",TODAY()-$J387)</f>
        <v/>
      </c>
      <c r="AB387" s="12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IF($AE387="","",IF((IFERROR(INDEX('ASIGNACIONES'!$F$4:$F$339,MATCH($O387&amp;"|"&amp;$R387&amp;"|"&amp;$AE387,'ASIGNACIONES'!$J$4:$J$339,0)),""))=0,"",IFERROR(INDEX('ASIGNACIONES'!$F$4:$F$339,MATCH($O387&amp;"|"&amp;$R387&amp;"|"&amp;$AE387,'ASIGNACIONES'!$J$4:$J$339,0)),"")))</f>
        <v/>
      </c>
      <c r="AG387" s="13">
        <f>IF($AE387="","",SUMIFS('ORDENES'!$M$4:$M$1203,'ORDENES'!$AE$4:$AE$1203,$AE387,'ORDENES'!$O$4:$O$1203,$O387,'ORDENES'!$R$4:$R$1203,$R387))</f>
        <v/>
      </c>
      <c r="AH387" s="13">
        <f>IF($AG387="","",p_factor_productividad*IFERROR(INDEX('ASIGNACIONES'!$I$4:$I$339,MATCH($O387&amp;"|"&amp;$R387&amp;"|"&amp;$AE387,'ASIGNACIONES'!$J$4:$J$339,0)),0)-$AG387)</f>
        <v/>
      </c>
      <c r="AI387" s="10">
        <f>IF($A387="","",IFERROR(INDEX('2_IMPORTAR_EJECUCION'!$F$9:$F$1208,MATCH($AQ387,'2_IMPORTAR_EJECUCION'!$J$9:$J$1208,0)),0))</f>
        <v/>
      </c>
      <c r="AJ387" s="10">
        <f>IF($A387="","",MAX(0,IFERROR(INDEX('2_IMPORTAR_EJECUCION'!$H$9:$H$1208,MATCH($AQ387,'2_IMPORTAR_EJECUCION'!$J$9:$J$1208,0)),0)-$AI387))</f>
        <v/>
      </c>
      <c r="AK387" s="10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2">
        <f>IF($J388="","",TODAY()-$J388)</f>
        <v/>
      </c>
      <c r="AB388" s="12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IF($AE388="","",IF((IFERROR(INDEX('ASIGNACIONES'!$F$4:$F$339,MATCH($O388&amp;"|"&amp;$R388&amp;"|"&amp;$AE388,'ASIGNACIONES'!$J$4:$J$339,0)),""))=0,"",IFERROR(INDEX('ASIGNACIONES'!$F$4:$F$339,MATCH($O388&amp;"|"&amp;$R388&amp;"|"&amp;$AE388,'ASIGNACIONES'!$J$4:$J$339,0)),"")))</f>
        <v/>
      </c>
      <c r="AG388" s="13">
        <f>IF($AE388="","",SUMIFS('ORDENES'!$M$4:$M$1203,'ORDENES'!$AE$4:$AE$1203,$AE388,'ORDENES'!$O$4:$O$1203,$O388,'ORDENES'!$R$4:$R$1203,$R388))</f>
        <v/>
      </c>
      <c r="AH388" s="13">
        <f>IF($AG388="","",p_factor_productividad*IFERROR(INDEX('ASIGNACIONES'!$I$4:$I$339,MATCH($O388&amp;"|"&amp;$R388&amp;"|"&amp;$AE388,'ASIGNACIONES'!$J$4:$J$339,0)),0)-$AG388)</f>
        <v/>
      </c>
      <c r="AI388" s="10">
        <f>IF($A388="","",IFERROR(INDEX('2_IMPORTAR_EJECUCION'!$F$9:$F$1208,MATCH($AQ388,'2_IMPORTAR_EJECUCION'!$J$9:$J$1208,0)),0))</f>
        <v/>
      </c>
      <c r="AJ388" s="10">
        <f>IF($A388="","",MAX(0,IFERROR(INDEX('2_IMPORTAR_EJECUCION'!$H$9:$H$1208,MATCH($AQ388,'2_IMPORTAR_EJECUCION'!$J$9:$J$1208,0)),0)-$AI388))</f>
        <v/>
      </c>
      <c r="AK388" s="10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2">
        <f>IF($J389="","",TODAY()-$J389)</f>
        <v/>
      </c>
      <c r="AB389" s="12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IF($AE389="","",IF((IFERROR(INDEX('ASIGNACIONES'!$F$4:$F$339,MATCH($O389&amp;"|"&amp;$R389&amp;"|"&amp;$AE389,'ASIGNACIONES'!$J$4:$J$339,0)),""))=0,"",IFERROR(INDEX('ASIGNACIONES'!$F$4:$F$339,MATCH($O389&amp;"|"&amp;$R389&amp;"|"&amp;$AE389,'ASIGNACIONES'!$J$4:$J$339,0)),"")))</f>
        <v/>
      </c>
      <c r="AG389" s="13">
        <f>IF($AE389="","",SUMIFS('ORDENES'!$M$4:$M$1203,'ORDENES'!$AE$4:$AE$1203,$AE389,'ORDENES'!$O$4:$O$1203,$O389,'ORDENES'!$R$4:$R$1203,$R389))</f>
        <v/>
      </c>
      <c r="AH389" s="13">
        <f>IF($AG389="","",p_factor_productividad*IFERROR(INDEX('ASIGNACIONES'!$I$4:$I$339,MATCH($O389&amp;"|"&amp;$R389&amp;"|"&amp;$AE389,'ASIGNACIONES'!$J$4:$J$339,0)),0)-$AG389)</f>
        <v/>
      </c>
      <c r="AI389" s="10">
        <f>IF($A389="","",IFERROR(INDEX('2_IMPORTAR_EJECUCION'!$F$9:$F$1208,MATCH($AQ389,'2_IMPORTAR_EJECUCION'!$J$9:$J$1208,0)),0))</f>
        <v/>
      </c>
      <c r="AJ389" s="10">
        <f>IF($A389="","",MAX(0,IFERROR(INDEX('2_IMPORTAR_EJECUCION'!$H$9:$H$1208,MATCH($AQ389,'2_IMPORTAR_EJECUCION'!$J$9:$J$1208,0)),0)-$AI389))</f>
        <v/>
      </c>
      <c r="AK389" s="10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2">
        <f>IF($J390="","",TODAY()-$J390)</f>
        <v/>
      </c>
      <c r="AB390" s="12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IF($AE390="","",IF((IFERROR(INDEX('ASIGNACIONES'!$F$4:$F$339,MATCH($O390&amp;"|"&amp;$R390&amp;"|"&amp;$AE390,'ASIGNACIONES'!$J$4:$J$339,0)),""))=0,"",IFERROR(INDEX('ASIGNACIONES'!$F$4:$F$339,MATCH($O390&amp;"|"&amp;$R390&amp;"|"&amp;$AE390,'ASIGNACIONES'!$J$4:$J$339,0)),"")))</f>
        <v/>
      </c>
      <c r="AG390" s="13">
        <f>IF($AE390="","",SUMIFS('ORDENES'!$M$4:$M$1203,'ORDENES'!$AE$4:$AE$1203,$AE390,'ORDENES'!$O$4:$O$1203,$O390,'ORDENES'!$R$4:$R$1203,$R390))</f>
        <v/>
      </c>
      <c r="AH390" s="13">
        <f>IF($AG390="","",p_factor_productividad*IFERROR(INDEX('ASIGNACIONES'!$I$4:$I$339,MATCH($O390&amp;"|"&amp;$R390&amp;"|"&amp;$AE390,'ASIGNACIONES'!$J$4:$J$339,0)),0)-$AG390)</f>
        <v/>
      </c>
      <c r="AI390" s="10">
        <f>IF($A390="","",IFERROR(INDEX('2_IMPORTAR_EJECUCION'!$F$9:$F$1208,MATCH($AQ390,'2_IMPORTAR_EJECUCION'!$J$9:$J$1208,0)),0))</f>
        <v/>
      </c>
      <c r="AJ390" s="10">
        <f>IF($A390="","",MAX(0,IFERROR(INDEX('2_IMPORTAR_EJECUCION'!$H$9:$H$1208,MATCH($AQ390,'2_IMPORTAR_EJECUCION'!$J$9:$J$1208,0)),0)-$AI390))</f>
        <v/>
      </c>
      <c r="AK390" s="10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2">
        <f>IF($J391="","",TODAY()-$J391)</f>
        <v/>
      </c>
      <c r="AB391" s="12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IF($AE391="","",IF((IFERROR(INDEX('ASIGNACIONES'!$F$4:$F$339,MATCH($O391&amp;"|"&amp;$R391&amp;"|"&amp;$AE391,'ASIGNACIONES'!$J$4:$J$339,0)),""))=0,"",IFERROR(INDEX('ASIGNACIONES'!$F$4:$F$339,MATCH($O391&amp;"|"&amp;$R391&amp;"|"&amp;$AE391,'ASIGNACIONES'!$J$4:$J$339,0)),"")))</f>
        <v/>
      </c>
      <c r="AG391" s="13">
        <f>IF($AE391="","",SUMIFS('ORDENES'!$M$4:$M$1203,'ORDENES'!$AE$4:$AE$1203,$AE391,'ORDENES'!$O$4:$O$1203,$O391,'ORDENES'!$R$4:$R$1203,$R391))</f>
        <v/>
      </c>
      <c r="AH391" s="13">
        <f>IF($AG391="","",p_factor_productividad*IFERROR(INDEX('ASIGNACIONES'!$I$4:$I$339,MATCH($O391&amp;"|"&amp;$R391&amp;"|"&amp;$AE391,'ASIGNACIONES'!$J$4:$J$339,0)),0)-$AG391)</f>
        <v/>
      </c>
      <c r="AI391" s="10">
        <f>IF($A391="","",IFERROR(INDEX('2_IMPORTAR_EJECUCION'!$F$9:$F$1208,MATCH($AQ391,'2_IMPORTAR_EJECUCION'!$J$9:$J$1208,0)),0))</f>
        <v/>
      </c>
      <c r="AJ391" s="10">
        <f>IF($A391="","",MAX(0,IFERROR(INDEX('2_IMPORTAR_EJECUCION'!$H$9:$H$1208,MATCH($AQ391,'2_IMPORTAR_EJECUCION'!$J$9:$J$1208,0)),0)-$AI391))</f>
        <v/>
      </c>
      <c r="AK391" s="10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2">
        <f>IF($J392="","",TODAY()-$J392)</f>
        <v/>
      </c>
      <c r="AB392" s="12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IF($AE392="","",IF((IFERROR(INDEX('ASIGNACIONES'!$F$4:$F$339,MATCH($O392&amp;"|"&amp;$R392&amp;"|"&amp;$AE392,'ASIGNACIONES'!$J$4:$J$339,0)),""))=0,"",IFERROR(INDEX('ASIGNACIONES'!$F$4:$F$339,MATCH($O392&amp;"|"&amp;$R392&amp;"|"&amp;$AE392,'ASIGNACIONES'!$J$4:$J$339,0)),"")))</f>
        <v/>
      </c>
      <c r="AG392" s="13">
        <f>IF($AE392="","",SUMIFS('ORDENES'!$M$4:$M$1203,'ORDENES'!$AE$4:$AE$1203,$AE392,'ORDENES'!$O$4:$O$1203,$O392,'ORDENES'!$R$4:$R$1203,$R392))</f>
        <v/>
      </c>
      <c r="AH392" s="13">
        <f>IF($AG392="","",p_factor_productividad*IFERROR(INDEX('ASIGNACIONES'!$I$4:$I$339,MATCH($O392&amp;"|"&amp;$R392&amp;"|"&amp;$AE392,'ASIGNACIONES'!$J$4:$J$339,0)),0)-$AG392)</f>
        <v/>
      </c>
      <c r="AI392" s="10">
        <f>IF($A392="","",IFERROR(INDEX('2_IMPORTAR_EJECUCION'!$F$9:$F$1208,MATCH($AQ392,'2_IMPORTAR_EJECUCION'!$J$9:$J$1208,0)),0))</f>
        <v/>
      </c>
      <c r="AJ392" s="10">
        <f>IF($A392="","",MAX(0,IFERROR(INDEX('2_IMPORTAR_EJECUCION'!$H$9:$H$1208,MATCH($AQ392,'2_IMPORTAR_EJECUCION'!$J$9:$J$1208,0)),0)-$AI392))</f>
        <v/>
      </c>
      <c r="AK392" s="10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2">
        <f>IF($J393="","",TODAY()-$J393)</f>
        <v/>
      </c>
      <c r="AB393" s="12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IF($AE393="","",IF((IFERROR(INDEX('ASIGNACIONES'!$F$4:$F$339,MATCH($O393&amp;"|"&amp;$R393&amp;"|"&amp;$AE393,'ASIGNACIONES'!$J$4:$J$339,0)),""))=0,"",IFERROR(INDEX('ASIGNACIONES'!$F$4:$F$339,MATCH($O393&amp;"|"&amp;$R393&amp;"|"&amp;$AE393,'ASIGNACIONES'!$J$4:$J$339,0)),"")))</f>
        <v/>
      </c>
      <c r="AG393" s="13">
        <f>IF($AE393="","",SUMIFS('ORDENES'!$M$4:$M$1203,'ORDENES'!$AE$4:$AE$1203,$AE393,'ORDENES'!$O$4:$O$1203,$O393,'ORDENES'!$R$4:$R$1203,$R393))</f>
        <v/>
      </c>
      <c r="AH393" s="13">
        <f>IF($AG393="","",p_factor_productividad*IFERROR(INDEX('ASIGNACIONES'!$I$4:$I$339,MATCH($O393&amp;"|"&amp;$R393&amp;"|"&amp;$AE393,'ASIGNACIONES'!$J$4:$J$339,0)),0)-$AG393)</f>
        <v/>
      </c>
      <c r="AI393" s="10">
        <f>IF($A393="","",IFERROR(INDEX('2_IMPORTAR_EJECUCION'!$F$9:$F$1208,MATCH($AQ393,'2_IMPORTAR_EJECUCION'!$J$9:$J$1208,0)),0))</f>
        <v/>
      </c>
      <c r="AJ393" s="10">
        <f>IF($A393="","",MAX(0,IFERROR(INDEX('2_IMPORTAR_EJECUCION'!$H$9:$H$1208,MATCH($AQ393,'2_IMPORTAR_EJECUCION'!$J$9:$J$1208,0)),0)-$AI393))</f>
        <v/>
      </c>
      <c r="AK393" s="10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2">
        <f>IF($J394="","",TODAY()-$J394)</f>
        <v/>
      </c>
      <c r="AB394" s="12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IF($AE394="","",IF((IFERROR(INDEX('ASIGNACIONES'!$F$4:$F$339,MATCH($O394&amp;"|"&amp;$R394&amp;"|"&amp;$AE394,'ASIGNACIONES'!$J$4:$J$339,0)),""))=0,"",IFERROR(INDEX('ASIGNACIONES'!$F$4:$F$339,MATCH($O394&amp;"|"&amp;$R394&amp;"|"&amp;$AE394,'ASIGNACIONES'!$J$4:$J$339,0)),"")))</f>
        <v/>
      </c>
      <c r="AG394" s="13">
        <f>IF($AE394="","",SUMIFS('ORDENES'!$M$4:$M$1203,'ORDENES'!$AE$4:$AE$1203,$AE394,'ORDENES'!$O$4:$O$1203,$O394,'ORDENES'!$R$4:$R$1203,$R394))</f>
        <v/>
      </c>
      <c r="AH394" s="13">
        <f>IF($AG394="","",p_factor_productividad*IFERROR(INDEX('ASIGNACIONES'!$I$4:$I$339,MATCH($O394&amp;"|"&amp;$R394&amp;"|"&amp;$AE394,'ASIGNACIONES'!$J$4:$J$339,0)),0)-$AG394)</f>
        <v/>
      </c>
      <c r="AI394" s="10">
        <f>IF($A394="","",IFERROR(INDEX('2_IMPORTAR_EJECUCION'!$F$9:$F$1208,MATCH($AQ394,'2_IMPORTAR_EJECUCION'!$J$9:$J$1208,0)),0))</f>
        <v/>
      </c>
      <c r="AJ394" s="10">
        <f>IF($A394="","",MAX(0,IFERROR(INDEX('2_IMPORTAR_EJECUCION'!$H$9:$H$1208,MATCH($AQ394,'2_IMPORTAR_EJECUCION'!$J$9:$J$1208,0)),0)-$AI394))</f>
        <v/>
      </c>
      <c r="AK394" s="10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2">
        <f>IF($J395="","",TODAY()-$J395)</f>
        <v/>
      </c>
      <c r="AB395" s="12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IF($AE395="","",IF((IFERROR(INDEX('ASIGNACIONES'!$F$4:$F$339,MATCH($O395&amp;"|"&amp;$R395&amp;"|"&amp;$AE395,'ASIGNACIONES'!$J$4:$J$339,0)),""))=0,"",IFERROR(INDEX('ASIGNACIONES'!$F$4:$F$339,MATCH($O395&amp;"|"&amp;$R395&amp;"|"&amp;$AE395,'ASIGNACIONES'!$J$4:$J$339,0)),"")))</f>
        <v/>
      </c>
      <c r="AG395" s="13">
        <f>IF($AE395="","",SUMIFS('ORDENES'!$M$4:$M$1203,'ORDENES'!$AE$4:$AE$1203,$AE395,'ORDENES'!$O$4:$O$1203,$O395,'ORDENES'!$R$4:$R$1203,$R395))</f>
        <v/>
      </c>
      <c r="AH395" s="13">
        <f>IF($AG395="","",p_factor_productividad*IFERROR(INDEX('ASIGNACIONES'!$I$4:$I$339,MATCH($O395&amp;"|"&amp;$R395&amp;"|"&amp;$AE395,'ASIGNACIONES'!$J$4:$J$339,0)),0)-$AG395)</f>
        <v/>
      </c>
      <c r="AI395" s="10">
        <f>IF($A395="","",IFERROR(INDEX('2_IMPORTAR_EJECUCION'!$F$9:$F$1208,MATCH($AQ395,'2_IMPORTAR_EJECUCION'!$J$9:$J$1208,0)),0))</f>
        <v/>
      </c>
      <c r="AJ395" s="10">
        <f>IF($A395="","",MAX(0,IFERROR(INDEX('2_IMPORTAR_EJECUCION'!$H$9:$H$1208,MATCH($AQ395,'2_IMPORTAR_EJECUCION'!$J$9:$J$1208,0)),0)-$AI395))</f>
        <v/>
      </c>
      <c r="AK395" s="10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2">
        <f>IF($J396="","",TODAY()-$J396)</f>
        <v/>
      </c>
      <c r="AB396" s="12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IF($AE396="","",IF((IFERROR(INDEX('ASIGNACIONES'!$F$4:$F$339,MATCH($O396&amp;"|"&amp;$R396&amp;"|"&amp;$AE396,'ASIGNACIONES'!$J$4:$J$339,0)),""))=0,"",IFERROR(INDEX('ASIGNACIONES'!$F$4:$F$339,MATCH($O396&amp;"|"&amp;$R396&amp;"|"&amp;$AE396,'ASIGNACIONES'!$J$4:$J$339,0)),"")))</f>
        <v/>
      </c>
      <c r="AG396" s="13">
        <f>IF($AE396="","",SUMIFS('ORDENES'!$M$4:$M$1203,'ORDENES'!$AE$4:$AE$1203,$AE396,'ORDENES'!$O$4:$O$1203,$O396,'ORDENES'!$R$4:$R$1203,$R396))</f>
        <v/>
      </c>
      <c r="AH396" s="13">
        <f>IF($AG396="","",p_factor_productividad*IFERROR(INDEX('ASIGNACIONES'!$I$4:$I$339,MATCH($O396&amp;"|"&amp;$R396&amp;"|"&amp;$AE396,'ASIGNACIONES'!$J$4:$J$339,0)),0)-$AG396)</f>
        <v/>
      </c>
      <c r="AI396" s="10">
        <f>IF($A396="","",IFERROR(INDEX('2_IMPORTAR_EJECUCION'!$F$9:$F$1208,MATCH($AQ396,'2_IMPORTAR_EJECUCION'!$J$9:$J$1208,0)),0))</f>
        <v/>
      </c>
      <c r="AJ396" s="10">
        <f>IF($A396="","",MAX(0,IFERROR(INDEX('2_IMPORTAR_EJECUCION'!$H$9:$H$1208,MATCH($AQ396,'2_IMPORTAR_EJECUCION'!$J$9:$J$1208,0)),0)-$AI396))</f>
        <v/>
      </c>
      <c r="AK396" s="10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2">
        <f>IF($J397="","",TODAY()-$J397)</f>
        <v/>
      </c>
      <c r="AB397" s="12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IF($AE397="","",IF((IFERROR(INDEX('ASIGNACIONES'!$F$4:$F$339,MATCH($O397&amp;"|"&amp;$R397&amp;"|"&amp;$AE397,'ASIGNACIONES'!$J$4:$J$339,0)),""))=0,"",IFERROR(INDEX('ASIGNACIONES'!$F$4:$F$339,MATCH($O397&amp;"|"&amp;$R397&amp;"|"&amp;$AE397,'ASIGNACIONES'!$J$4:$J$339,0)),"")))</f>
        <v/>
      </c>
      <c r="AG397" s="13">
        <f>IF($AE397="","",SUMIFS('ORDENES'!$M$4:$M$1203,'ORDENES'!$AE$4:$AE$1203,$AE397,'ORDENES'!$O$4:$O$1203,$O397,'ORDENES'!$R$4:$R$1203,$R397))</f>
        <v/>
      </c>
      <c r="AH397" s="13">
        <f>IF($AG397="","",p_factor_productividad*IFERROR(INDEX('ASIGNACIONES'!$I$4:$I$339,MATCH($O397&amp;"|"&amp;$R397&amp;"|"&amp;$AE397,'ASIGNACIONES'!$J$4:$J$339,0)),0)-$AG397)</f>
        <v/>
      </c>
      <c r="AI397" s="10">
        <f>IF($A397="","",IFERROR(INDEX('2_IMPORTAR_EJECUCION'!$F$9:$F$1208,MATCH($AQ397,'2_IMPORTAR_EJECUCION'!$J$9:$J$1208,0)),0))</f>
        <v/>
      </c>
      <c r="AJ397" s="10">
        <f>IF($A397="","",MAX(0,IFERROR(INDEX('2_IMPORTAR_EJECUCION'!$H$9:$H$1208,MATCH($AQ397,'2_IMPORTAR_EJECUCION'!$J$9:$J$1208,0)),0)-$AI397))</f>
        <v/>
      </c>
      <c r="AK397" s="10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2">
        <f>IF($J398="","",TODAY()-$J398)</f>
        <v/>
      </c>
      <c r="AB398" s="12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IF($AE398="","",IF((IFERROR(INDEX('ASIGNACIONES'!$F$4:$F$339,MATCH($O398&amp;"|"&amp;$R398&amp;"|"&amp;$AE398,'ASIGNACIONES'!$J$4:$J$339,0)),""))=0,"",IFERROR(INDEX('ASIGNACIONES'!$F$4:$F$339,MATCH($O398&amp;"|"&amp;$R398&amp;"|"&amp;$AE398,'ASIGNACIONES'!$J$4:$J$339,0)),"")))</f>
        <v/>
      </c>
      <c r="AG398" s="13">
        <f>IF($AE398="","",SUMIFS('ORDENES'!$M$4:$M$1203,'ORDENES'!$AE$4:$AE$1203,$AE398,'ORDENES'!$O$4:$O$1203,$O398,'ORDENES'!$R$4:$R$1203,$R398))</f>
        <v/>
      </c>
      <c r="AH398" s="13">
        <f>IF($AG398="","",p_factor_productividad*IFERROR(INDEX('ASIGNACIONES'!$I$4:$I$339,MATCH($O398&amp;"|"&amp;$R398&amp;"|"&amp;$AE398,'ASIGNACIONES'!$J$4:$J$339,0)),0)-$AG398)</f>
        <v/>
      </c>
      <c r="AI398" s="10">
        <f>IF($A398="","",IFERROR(INDEX('2_IMPORTAR_EJECUCION'!$F$9:$F$1208,MATCH($AQ398,'2_IMPORTAR_EJECUCION'!$J$9:$J$1208,0)),0))</f>
        <v/>
      </c>
      <c r="AJ398" s="10">
        <f>IF($A398="","",MAX(0,IFERROR(INDEX('2_IMPORTAR_EJECUCION'!$H$9:$H$1208,MATCH($AQ398,'2_IMPORTAR_EJECUCION'!$J$9:$J$1208,0)),0)-$AI398))</f>
        <v/>
      </c>
      <c r="AK398" s="10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2">
        <f>IF($J399="","",TODAY()-$J399)</f>
        <v/>
      </c>
      <c r="AB399" s="12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IF($AE399="","",IF((IFERROR(INDEX('ASIGNACIONES'!$F$4:$F$339,MATCH($O399&amp;"|"&amp;$R399&amp;"|"&amp;$AE399,'ASIGNACIONES'!$J$4:$J$339,0)),""))=0,"",IFERROR(INDEX('ASIGNACIONES'!$F$4:$F$339,MATCH($O399&amp;"|"&amp;$R399&amp;"|"&amp;$AE399,'ASIGNACIONES'!$J$4:$J$339,0)),"")))</f>
        <v/>
      </c>
      <c r="AG399" s="13">
        <f>IF($AE399="","",SUMIFS('ORDENES'!$M$4:$M$1203,'ORDENES'!$AE$4:$AE$1203,$AE399,'ORDENES'!$O$4:$O$1203,$O399,'ORDENES'!$R$4:$R$1203,$R399))</f>
        <v/>
      </c>
      <c r="AH399" s="13">
        <f>IF($AG399="","",p_factor_productividad*IFERROR(INDEX('ASIGNACIONES'!$I$4:$I$339,MATCH($O399&amp;"|"&amp;$R399&amp;"|"&amp;$AE399,'ASIGNACIONES'!$J$4:$J$339,0)),0)-$AG399)</f>
        <v/>
      </c>
      <c r="AI399" s="10">
        <f>IF($A399="","",IFERROR(INDEX('2_IMPORTAR_EJECUCION'!$F$9:$F$1208,MATCH($AQ399,'2_IMPORTAR_EJECUCION'!$J$9:$J$1208,0)),0))</f>
        <v/>
      </c>
      <c r="AJ399" s="10">
        <f>IF($A399="","",MAX(0,IFERROR(INDEX('2_IMPORTAR_EJECUCION'!$H$9:$H$1208,MATCH($AQ399,'2_IMPORTAR_EJECUCION'!$J$9:$J$1208,0)),0)-$AI399))</f>
        <v/>
      </c>
      <c r="AK399" s="10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2">
        <f>IF($J400="","",TODAY()-$J400)</f>
        <v/>
      </c>
      <c r="AB400" s="12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IF($AE400="","",IF((IFERROR(INDEX('ASIGNACIONES'!$F$4:$F$339,MATCH($O400&amp;"|"&amp;$R400&amp;"|"&amp;$AE400,'ASIGNACIONES'!$J$4:$J$339,0)),""))=0,"",IFERROR(INDEX('ASIGNACIONES'!$F$4:$F$339,MATCH($O400&amp;"|"&amp;$R400&amp;"|"&amp;$AE400,'ASIGNACIONES'!$J$4:$J$339,0)),"")))</f>
        <v/>
      </c>
      <c r="AG400" s="13">
        <f>IF($AE400="","",SUMIFS('ORDENES'!$M$4:$M$1203,'ORDENES'!$AE$4:$AE$1203,$AE400,'ORDENES'!$O$4:$O$1203,$O400,'ORDENES'!$R$4:$R$1203,$R400))</f>
        <v/>
      </c>
      <c r="AH400" s="13">
        <f>IF($AG400="","",p_factor_productividad*IFERROR(INDEX('ASIGNACIONES'!$I$4:$I$339,MATCH($O400&amp;"|"&amp;$R400&amp;"|"&amp;$AE400,'ASIGNACIONES'!$J$4:$J$339,0)),0)-$AG400)</f>
        <v/>
      </c>
      <c r="AI400" s="10">
        <f>IF($A400="","",IFERROR(INDEX('2_IMPORTAR_EJECUCION'!$F$9:$F$1208,MATCH($AQ400,'2_IMPORTAR_EJECUCION'!$J$9:$J$1208,0)),0))</f>
        <v/>
      </c>
      <c r="AJ400" s="10">
        <f>IF($A400="","",MAX(0,IFERROR(INDEX('2_IMPORTAR_EJECUCION'!$H$9:$H$1208,MATCH($AQ400,'2_IMPORTAR_EJECUCION'!$J$9:$J$1208,0)),0)-$AI400))</f>
        <v/>
      </c>
      <c r="AK400" s="10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2">
        <f>IF($J401="","",TODAY()-$J401)</f>
        <v/>
      </c>
      <c r="AB401" s="12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IF($AE401="","",IF((IFERROR(INDEX('ASIGNACIONES'!$F$4:$F$339,MATCH($O401&amp;"|"&amp;$R401&amp;"|"&amp;$AE401,'ASIGNACIONES'!$J$4:$J$339,0)),""))=0,"",IFERROR(INDEX('ASIGNACIONES'!$F$4:$F$339,MATCH($O401&amp;"|"&amp;$R401&amp;"|"&amp;$AE401,'ASIGNACIONES'!$J$4:$J$339,0)),"")))</f>
        <v/>
      </c>
      <c r="AG401" s="13">
        <f>IF($AE401="","",SUMIFS('ORDENES'!$M$4:$M$1203,'ORDENES'!$AE$4:$AE$1203,$AE401,'ORDENES'!$O$4:$O$1203,$O401,'ORDENES'!$R$4:$R$1203,$R401))</f>
        <v/>
      </c>
      <c r="AH401" s="13">
        <f>IF($AG401="","",p_factor_productividad*IFERROR(INDEX('ASIGNACIONES'!$I$4:$I$339,MATCH($O401&amp;"|"&amp;$R401&amp;"|"&amp;$AE401,'ASIGNACIONES'!$J$4:$J$339,0)),0)-$AG401)</f>
        <v/>
      </c>
      <c r="AI401" s="10">
        <f>IF($A401="","",IFERROR(INDEX('2_IMPORTAR_EJECUCION'!$F$9:$F$1208,MATCH($AQ401,'2_IMPORTAR_EJECUCION'!$J$9:$J$1208,0)),0))</f>
        <v/>
      </c>
      <c r="AJ401" s="10">
        <f>IF($A401="","",MAX(0,IFERROR(INDEX('2_IMPORTAR_EJECUCION'!$H$9:$H$1208,MATCH($AQ401,'2_IMPORTAR_EJECUCION'!$J$9:$J$1208,0)),0)-$AI401))</f>
        <v/>
      </c>
      <c r="AK401" s="10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2">
        <f>IF($J402="","",TODAY()-$J402)</f>
        <v/>
      </c>
      <c r="AB402" s="12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IF($AE402="","",IF((IFERROR(INDEX('ASIGNACIONES'!$F$4:$F$339,MATCH($O402&amp;"|"&amp;$R402&amp;"|"&amp;$AE402,'ASIGNACIONES'!$J$4:$J$339,0)),""))=0,"",IFERROR(INDEX('ASIGNACIONES'!$F$4:$F$339,MATCH($O402&amp;"|"&amp;$R402&amp;"|"&amp;$AE402,'ASIGNACIONES'!$J$4:$J$339,0)),"")))</f>
        <v/>
      </c>
      <c r="AG402" s="13">
        <f>IF($AE402="","",SUMIFS('ORDENES'!$M$4:$M$1203,'ORDENES'!$AE$4:$AE$1203,$AE402,'ORDENES'!$O$4:$O$1203,$O402,'ORDENES'!$R$4:$R$1203,$R402))</f>
        <v/>
      </c>
      <c r="AH402" s="13">
        <f>IF($AG402="","",p_factor_productividad*IFERROR(INDEX('ASIGNACIONES'!$I$4:$I$339,MATCH($O402&amp;"|"&amp;$R402&amp;"|"&amp;$AE402,'ASIGNACIONES'!$J$4:$J$339,0)),0)-$AG402)</f>
        <v/>
      </c>
      <c r="AI402" s="10">
        <f>IF($A402="","",IFERROR(INDEX('2_IMPORTAR_EJECUCION'!$F$9:$F$1208,MATCH($AQ402,'2_IMPORTAR_EJECUCION'!$J$9:$J$1208,0)),0))</f>
        <v/>
      </c>
      <c r="AJ402" s="10">
        <f>IF($A402="","",MAX(0,IFERROR(INDEX('2_IMPORTAR_EJECUCION'!$H$9:$H$1208,MATCH($AQ402,'2_IMPORTAR_EJECUCION'!$J$9:$J$1208,0)),0)-$AI402))</f>
        <v/>
      </c>
      <c r="AK402" s="10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2">
        <f>IF($J403="","",TODAY()-$J403)</f>
        <v/>
      </c>
      <c r="AB403" s="12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IF($AE403="","",IF((IFERROR(INDEX('ASIGNACIONES'!$F$4:$F$339,MATCH($O403&amp;"|"&amp;$R403&amp;"|"&amp;$AE403,'ASIGNACIONES'!$J$4:$J$339,0)),""))=0,"",IFERROR(INDEX('ASIGNACIONES'!$F$4:$F$339,MATCH($O403&amp;"|"&amp;$R403&amp;"|"&amp;$AE403,'ASIGNACIONES'!$J$4:$J$339,0)),"")))</f>
        <v/>
      </c>
      <c r="AG403" s="13">
        <f>IF($AE403="","",SUMIFS('ORDENES'!$M$4:$M$1203,'ORDENES'!$AE$4:$AE$1203,$AE403,'ORDENES'!$O$4:$O$1203,$O403,'ORDENES'!$R$4:$R$1203,$R403))</f>
        <v/>
      </c>
      <c r="AH403" s="13">
        <f>IF($AG403="","",p_factor_productividad*IFERROR(INDEX('ASIGNACIONES'!$I$4:$I$339,MATCH($O403&amp;"|"&amp;$R403&amp;"|"&amp;$AE403,'ASIGNACIONES'!$J$4:$J$339,0)),0)-$AG403)</f>
        <v/>
      </c>
      <c r="AI403" s="10">
        <f>IF($A403="","",IFERROR(INDEX('2_IMPORTAR_EJECUCION'!$F$9:$F$1208,MATCH($AQ403,'2_IMPORTAR_EJECUCION'!$J$9:$J$1208,0)),0))</f>
        <v/>
      </c>
      <c r="AJ403" s="10">
        <f>IF($A403="","",MAX(0,IFERROR(INDEX('2_IMPORTAR_EJECUCION'!$H$9:$H$1208,MATCH($AQ403,'2_IMPORTAR_EJECUCION'!$J$9:$J$1208,0)),0)-$AI403))</f>
        <v/>
      </c>
      <c r="AK403" s="10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2">
        <f>IF($J404="","",TODAY()-$J404)</f>
        <v/>
      </c>
      <c r="AB404" s="12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IF($AE404="","",IF((IFERROR(INDEX('ASIGNACIONES'!$F$4:$F$339,MATCH($O404&amp;"|"&amp;$R404&amp;"|"&amp;$AE404,'ASIGNACIONES'!$J$4:$J$339,0)),""))=0,"",IFERROR(INDEX('ASIGNACIONES'!$F$4:$F$339,MATCH($O404&amp;"|"&amp;$R404&amp;"|"&amp;$AE404,'ASIGNACIONES'!$J$4:$J$339,0)),"")))</f>
        <v/>
      </c>
      <c r="AG404" s="13">
        <f>IF($AE404="","",SUMIFS('ORDENES'!$M$4:$M$1203,'ORDENES'!$AE$4:$AE$1203,$AE404,'ORDENES'!$O$4:$O$1203,$O404,'ORDENES'!$R$4:$R$1203,$R404))</f>
        <v/>
      </c>
      <c r="AH404" s="13">
        <f>IF($AG404="","",p_factor_productividad*IFERROR(INDEX('ASIGNACIONES'!$I$4:$I$339,MATCH($O404&amp;"|"&amp;$R404&amp;"|"&amp;$AE404,'ASIGNACIONES'!$J$4:$J$339,0)),0)-$AG404)</f>
        <v/>
      </c>
      <c r="AI404" s="10">
        <f>IF($A404="","",IFERROR(INDEX('2_IMPORTAR_EJECUCION'!$F$9:$F$1208,MATCH($AQ404,'2_IMPORTAR_EJECUCION'!$J$9:$J$1208,0)),0))</f>
        <v/>
      </c>
      <c r="AJ404" s="10">
        <f>IF($A404="","",MAX(0,IFERROR(INDEX('2_IMPORTAR_EJECUCION'!$H$9:$H$1208,MATCH($AQ404,'2_IMPORTAR_EJECUCION'!$J$9:$J$1208,0)),0)-$AI404))</f>
        <v/>
      </c>
      <c r="AK404" s="10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2">
        <f>IF($J405="","",TODAY()-$J405)</f>
        <v/>
      </c>
      <c r="AB405" s="12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IF($AE405="","",IF((IFERROR(INDEX('ASIGNACIONES'!$F$4:$F$339,MATCH($O405&amp;"|"&amp;$R405&amp;"|"&amp;$AE405,'ASIGNACIONES'!$J$4:$J$339,0)),""))=0,"",IFERROR(INDEX('ASIGNACIONES'!$F$4:$F$339,MATCH($O405&amp;"|"&amp;$R405&amp;"|"&amp;$AE405,'ASIGNACIONES'!$J$4:$J$339,0)),"")))</f>
        <v/>
      </c>
      <c r="AG405" s="13">
        <f>IF($AE405="","",SUMIFS('ORDENES'!$M$4:$M$1203,'ORDENES'!$AE$4:$AE$1203,$AE405,'ORDENES'!$O$4:$O$1203,$O405,'ORDENES'!$R$4:$R$1203,$R405))</f>
        <v/>
      </c>
      <c r="AH405" s="13">
        <f>IF($AG405="","",p_factor_productividad*IFERROR(INDEX('ASIGNACIONES'!$I$4:$I$339,MATCH($O405&amp;"|"&amp;$R405&amp;"|"&amp;$AE405,'ASIGNACIONES'!$J$4:$J$339,0)),0)-$AG405)</f>
        <v/>
      </c>
      <c r="AI405" s="10">
        <f>IF($A405="","",IFERROR(INDEX('2_IMPORTAR_EJECUCION'!$F$9:$F$1208,MATCH($AQ405,'2_IMPORTAR_EJECUCION'!$J$9:$J$1208,0)),0))</f>
        <v/>
      </c>
      <c r="AJ405" s="10">
        <f>IF($A405="","",MAX(0,IFERROR(INDEX('2_IMPORTAR_EJECUCION'!$H$9:$H$1208,MATCH($AQ405,'2_IMPORTAR_EJECUCION'!$J$9:$J$1208,0)),0)-$AI405))</f>
        <v/>
      </c>
      <c r="AK405" s="10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2">
        <f>IF($J406="","",TODAY()-$J406)</f>
        <v/>
      </c>
      <c r="AB406" s="12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IF($AE406="","",IF((IFERROR(INDEX('ASIGNACIONES'!$F$4:$F$339,MATCH($O406&amp;"|"&amp;$R406&amp;"|"&amp;$AE406,'ASIGNACIONES'!$J$4:$J$339,0)),""))=0,"",IFERROR(INDEX('ASIGNACIONES'!$F$4:$F$339,MATCH($O406&amp;"|"&amp;$R406&amp;"|"&amp;$AE406,'ASIGNACIONES'!$J$4:$J$339,0)),"")))</f>
        <v/>
      </c>
      <c r="AG406" s="13">
        <f>IF($AE406="","",SUMIFS('ORDENES'!$M$4:$M$1203,'ORDENES'!$AE$4:$AE$1203,$AE406,'ORDENES'!$O$4:$O$1203,$O406,'ORDENES'!$R$4:$R$1203,$R406))</f>
        <v/>
      </c>
      <c r="AH406" s="13">
        <f>IF($AG406="","",p_factor_productividad*IFERROR(INDEX('ASIGNACIONES'!$I$4:$I$339,MATCH($O406&amp;"|"&amp;$R406&amp;"|"&amp;$AE406,'ASIGNACIONES'!$J$4:$J$339,0)),0)-$AG406)</f>
        <v/>
      </c>
      <c r="AI406" s="10">
        <f>IF($A406="","",IFERROR(INDEX('2_IMPORTAR_EJECUCION'!$F$9:$F$1208,MATCH($AQ406,'2_IMPORTAR_EJECUCION'!$J$9:$J$1208,0)),0))</f>
        <v/>
      </c>
      <c r="AJ406" s="10">
        <f>IF($A406="","",MAX(0,IFERROR(INDEX('2_IMPORTAR_EJECUCION'!$H$9:$H$1208,MATCH($AQ406,'2_IMPORTAR_EJECUCION'!$J$9:$J$1208,0)),0)-$AI406))</f>
        <v/>
      </c>
      <c r="AK406" s="10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2">
        <f>IF($J407="","",TODAY()-$J407)</f>
        <v/>
      </c>
      <c r="AB407" s="12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IF($AE407="","",IF((IFERROR(INDEX('ASIGNACIONES'!$F$4:$F$339,MATCH($O407&amp;"|"&amp;$R407&amp;"|"&amp;$AE407,'ASIGNACIONES'!$J$4:$J$339,0)),""))=0,"",IFERROR(INDEX('ASIGNACIONES'!$F$4:$F$339,MATCH($O407&amp;"|"&amp;$R407&amp;"|"&amp;$AE407,'ASIGNACIONES'!$J$4:$J$339,0)),"")))</f>
        <v/>
      </c>
      <c r="AG407" s="13">
        <f>IF($AE407="","",SUMIFS('ORDENES'!$M$4:$M$1203,'ORDENES'!$AE$4:$AE$1203,$AE407,'ORDENES'!$O$4:$O$1203,$O407,'ORDENES'!$R$4:$R$1203,$R407))</f>
        <v/>
      </c>
      <c r="AH407" s="13">
        <f>IF($AG407="","",p_factor_productividad*IFERROR(INDEX('ASIGNACIONES'!$I$4:$I$339,MATCH($O407&amp;"|"&amp;$R407&amp;"|"&amp;$AE407,'ASIGNACIONES'!$J$4:$J$339,0)),0)-$AG407)</f>
        <v/>
      </c>
      <c r="AI407" s="10">
        <f>IF($A407="","",IFERROR(INDEX('2_IMPORTAR_EJECUCION'!$F$9:$F$1208,MATCH($AQ407,'2_IMPORTAR_EJECUCION'!$J$9:$J$1208,0)),0))</f>
        <v/>
      </c>
      <c r="AJ407" s="10">
        <f>IF($A407="","",MAX(0,IFERROR(INDEX('2_IMPORTAR_EJECUCION'!$H$9:$H$1208,MATCH($AQ407,'2_IMPORTAR_EJECUCION'!$J$9:$J$1208,0)),0)-$AI407))</f>
        <v/>
      </c>
      <c r="AK407" s="10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2">
        <f>IF($J408="","",TODAY()-$J408)</f>
        <v/>
      </c>
      <c r="AB408" s="12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IF($AE408="","",IF((IFERROR(INDEX('ASIGNACIONES'!$F$4:$F$339,MATCH($O408&amp;"|"&amp;$R408&amp;"|"&amp;$AE408,'ASIGNACIONES'!$J$4:$J$339,0)),""))=0,"",IFERROR(INDEX('ASIGNACIONES'!$F$4:$F$339,MATCH($O408&amp;"|"&amp;$R408&amp;"|"&amp;$AE408,'ASIGNACIONES'!$J$4:$J$339,0)),"")))</f>
        <v/>
      </c>
      <c r="AG408" s="13">
        <f>IF($AE408="","",SUMIFS('ORDENES'!$M$4:$M$1203,'ORDENES'!$AE$4:$AE$1203,$AE408,'ORDENES'!$O$4:$O$1203,$O408,'ORDENES'!$R$4:$R$1203,$R408))</f>
        <v/>
      </c>
      <c r="AH408" s="13">
        <f>IF($AG408="","",p_factor_productividad*IFERROR(INDEX('ASIGNACIONES'!$I$4:$I$339,MATCH($O408&amp;"|"&amp;$R408&amp;"|"&amp;$AE408,'ASIGNACIONES'!$J$4:$J$339,0)),0)-$AG408)</f>
        <v/>
      </c>
      <c r="AI408" s="10">
        <f>IF($A408="","",IFERROR(INDEX('2_IMPORTAR_EJECUCION'!$F$9:$F$1208,MATCH($AQ408,'2_IMPORTAR_EJECUCION'!$J$9:$J$1208,0)),0))</f>
        <v/>
      </c>
      <c r="AJ408" s="10">
        <f>IF($A408="","",MAX(0,IFERROR(INDEX('2_IMPORTAR_EJECUCION'!$H$9:$H$1208,MATCH($AQ408,'2_IMPORTAR_EJECUCION'!$J$9:$J$1208,0)),0)-$AI408))</f>
        <v/>
      </c>
      <c r="AK408" s="10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2">
        <f>IF($J409="","",TODAY()-$J409)</f>
        <v/>
      </c>
      <c r="AB409" s="12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IF($AE409="","",IF((IFERROR(INDEX('ASIGNACIONES'!$F$4:$F$339,MATCH($O409&amp;"|"&amp;$R409&amp;"|"&amp;$AE409,'ASIGNACIONES'!$J$4:$J$339,0)),""))=0,"",IFERROR(INDEX('ASIGNACIONES'!$F$4:$F$339,MATCH($O409&amp;"|"&amp;$R409&amp;"|"&amp;$AE409,'ASIGNACIONES'!$J$4:$J$339,0)),"")))</f>
        <v/>
      </c>
      <c r="AG409" s="13">
        <f>IF($AE409="","",SUMIFS('ORDENES'!$M$4:$M$1203,'ORDENES'!$AE$4:$AE$1203,$AE409,'ORDENES'!$O$4:$O$1203,$O409,'ORDENES'!$R$4:$R$1203,$R409))</f>
        <v/>
      </c>
      <c r="AH409" s="13">
        <f>IF($AG409="","",p_factor_productividad*IFERROR(INDEX('ASIGNACIONES'!$I$4:$I$339,MATCH($O409&amp;"|"&amp;$R409&amp;"|"&amp;$AE409,'ASIGNACIONES'!$J$4:$J$339,0)),0)-$AG409)</f>
        <v/>
      </c>
      <c r="AI409" s="10">
        <f>IF($A409="","",IFERROR(INDEX('2_IMPORTAR_EJECUCION'!$F$9:$F$1208,MATCH($AQ409,'2_IMPORTAR_EJECUCION'!$J$9:$J$1208,0)),0))</f>
        <v/>
      </c>
      <c r="AJ409" s="10">
        <f>IF($A409="","",MAX(0,IFERROR(INDEX('2_IMPORTAR_EJECUCION'!$H$9:$H$1208,MATCH($AQ409,'2_IMPORTAR_EJECUCION'!$J$9:$J$1208,0)),0)-$AI409))</f>
        <v/>
      </c>
      <c r="AK409" s="10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2">
        <f>IF($J410="","",TODAY()-$J410)</f>
        <v/>
      </c>
      <c r="AB410" s="12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IF($AE410="","",IF((IFERROR(INDEX('ASIGNACIONES'!$F$4:$F$339,MATCH($O410&amp;"|"&amp;$R410&amp;"|"&amp;$AE410,'ASIGNACIONES'!$J$4:$J$339,0)),""))=0,"",IFERROR(INDEX('ASIGNACIONES'!$F$4:$F$339,MATCH($O410&amp;"|"&amp;$R410&amp;"|"&amp;$AE410,'ASIGNACIONES'!$J$4:$J$339,0)),"")))</f>
        <v/>
      </c>
      <c r="AG410" s="13">
        <f>IF($AE410="","",SUMIFS('ORDENES'!$M$4:$M$1203,'ORDENES'!$AE$4:$AE$1203,$AE410,'ORDENES'!$O$4:$O$1203,$O410,'ORDENES'!$R$4:$R$1203,$R410))</f>
        <v/>
      </c>
      <c r="AH410" s="13">
        <f>IF($AG410="","",p_factor_productividad*IFERROR(INDEX('ASIGNACIONES'!$I$4:$I$339,MATCH($O410&amp;"|"&amp;$R410&amp;"|"&amp;$AE410,'ASIGNACIONES'!$J$4:$J$339,0)),0)-$AG410)</f>
        <v/>
      </c>
      <c r="AI410" s="10">
        <f>IF($A410="","",IFERROR(INDEX('2_IMPORTAR_EJECUCION'!$F$9:$F$1208,MATCH($AQ410,'2_IMPORTAR_EJECUCION'!$J$9:$J$1208,0)),0))</f>
        <v/>
      </c>
      <c r="AJ410" s="10">
        <f>IF($A410="","",MAX(0,IFERROR(INDEX('2_IMPORTAR_EJECUCION'!$H$9:$H$1208,MATCH($AQ410,'2_IMPORTAR_EJECUCION'!$J$9:$J$1208,0)),0)-$AI410))</f>
        <v/>
      </c>
      <c r="AK410" s="10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2">
        <f>IF($J411="","",TODAY()-$J411)</f>
        <v/>
      </c>
      <c r="AB411" s="12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IF($AE411="","",IF((IFERROR(INDEX('ASIGNACIONES'!$F$4:$F$339,MATCH($O411&amp;"|"&amp;$R411&amp;"|"&amp;$AE411,'ASIGNACIONES'!$J$4:$J$339,0)),""))=0,"",IFERROR(INDEX('ASIGNACIONES'!$F$4:$F$339,MATCH($O411&amp;"|"&amp;$R411&amp;"|"&amp;$AE411,'ASIGNACIONES'!$J$4:$J$339,0)),"")))</f>
        <v/>
      </c>
      <c r="AG411" s="13">
        <f>IF($AE411="","",SUMIFS('ORDENES'!$M$4:$M$1203,'ORDENES'!$AE$4:$AE$1203,$AE411,'ORDENES'!$O$4:$O$1203,$O411,'ORDENES'!$R$4:$R$1203,$R411))</f>
        <v/>
      </c>
      <c r="AH411" s="13">
        <f>IF($AG411="","",p_factor_productividad*IFERROR(INDEX('ASIGNACIONES'!$I$4:$I$339,MATCH($O411&amp;"|"&amp;$R411&amp;"|"&amp;$AE411,'ASIGNACIONES'!$J$4:$J$339,0)),0)-$AG411)</f>
        <v/>
      </c>
      <c r="AI411" s="10">
        <f>IF($A411="","",IFERROR(INDEX('2_IMPORTAR_EJECUCION'!$F$9:$F$1208,MATCH($AQ411,'2_IMPORTAR_EJECUCION'!$J$9:$J$1208,0)),0))</f>
        <v/>
      </c>
      <c r="AJ411" s="10">
        <f>IF($A411="","",MAX(0,IFERROR(INDEX('2_IMPORTAR_EJECUCION'!$H$9:$H$1208,MATCH($AQ411,'2_IMPORTAR_EJECUCION'!$J$9:$J$1208,0)),0)-$AI411))</f>
        <v/>
      </c>
      <c r="AK411" s="10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2">
        <f>IF($J412="","",TODAY()-$J412)</f>
        <v/>
      </c>
      <c r="AB412" s="12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IF($AE412="","",IF((IFERROR(INDEX('ASIGNACIONES'!$F$4:$F$339,MATCH($O412&amp;"|"&amp;$R412&amp;"|"&amp;$AE412,'ASIGNACIONES'!$J$4:$J$339,0)),""))=0,"",IFERROR(INDEX('ASIGNACIONES'!$F$4:$F$339,MATCH($O412&amp;"|"&amp;$R412&amp;"|"&amp;$AE412,'ASIGNACIONES'!$J$4:$J$339,0)),"")))</f>
        <v/>
      </c>
      <c r="AG412" s="13">
        <f>IF($AE412="","",SUMIFS('ORDENES'!$M$4:$M$1203,'ORDENES'!$AE$4:$AE$1203,$AE412,'ORDENES'!$O$4:$O$1203,$O412,'ORDENES'!$R$4:$R$1203,$R412))</f>
        <v/>
      </c>
      <c r="AH412" s="13">
        <f>IF($AG412="","",p_factor_productividad*IFERROR(INDEX('ASIGNACIONES'!$I$4:$I$339,MATCH($O412&amp;"|"&amp;$R412&amp;"|"&amp;$AE412,'ASIGNACIONES'!$J$4:$J$339,0)),0)-$AG412)</f>
        <v/>
      </c>
      <c r="AI412" s="10">
        <f>IF($A412="","",IFERROR(INDEX('2_IMPORTAR_EJECUCION'!$F$9:$F$1208,MATCH($AQ412,'2_IMPORTAR_EJECUCION'!$J$9:$J$1208,0)),0))</f>
        <v/>
      </c>
      <c r="AJ412" s="10">
        <f>IF($A412="","",MAX(0,IFERROR(INDEX('2_IMPORTAR_EJECUCION'!$H$9:$H$1208,MATCH($AQ412,'2_IMPORTAR_EJECUCION'!$J$9:$J$1208,0)),0)-$AI412))</f>
        <v/>
      </c>
      <c r="AK412" s="10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2">
        <f>IF($J413="","",TODAY()-$J413)</f>
        <v/>
      </c>
      <c r="AB413" s="12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IF($AE413="","",IF((IFERROR(INDEX('ASIGNACIONES'!$F$4:$F$339,MATCH($O413&amp;"|"&amp;$R413&amp;"|"&amp;$AE413,'ASIGNACIONES'!$J$4:$J$339,0)),""))=0,"",IFERROR(INDEX('ASIGNACIONES'!$F$4:$F$339,MATCH($O413&amp;"|"&amp;$R413&amp;"|"&amp;$AE413,'ASIGNACIONES'!$J$4:$J$339,0)),"")))</f>
        <v/>
      </c>
      <c r="AG413" s="13">
        <f>IF($AE413="","",SUMIFS('ORDENES'!$M$4:$M$1203,'ORDENES'!$AE$4:$AE$1203,$AE413,'ORDENES'!$O$4:$O$1203,$O413,'ORDENES'!$R$4:$R$1203,$R413))</f>
        <v/>
      </c>
      <c r="AH413" s="13">
        <f>IF($AG413="","",p_factor_productividad*IFERROR(INDEX('ASIGNACIONES'!$I$4:$I$339,MATCH($O413&amp;"|"&amp;$R413&amp;"|"&amp;$AE413,'ASIGNACIONES'!$J$4:$J$339,0)),0)-$AG413)</f>
        <v/>
      </c>
      <c r="AI413" s="10">
        <f>IF($A413="","",IFERROR(INDEX('2_IMPORTAR_EJECUCION'!$F$9:$F$1208,MATCH($AQ413,'2_IMPORTAR_EJECUCION'!$J$9:$J$1208,0)),0))</f>
        <v/>
      </c>
      <c r="AJ413" s="10">
        <f>IF($A413="","",MAX(0,IFERROR(INDEX('2_IMPORTAR_EJECUCION'!$H$9:$H$1208,MATCH($AQ413,'2_IMPORTAR_EJECUCION'!$J$9:$J$1208,0)),0)-$AI413))</f>
        <v/>
      </c>
      <c r="AK413" s="10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2">
        <f>IF($J414="","",TODAY()-$J414)</f>
        <v/>
      </c>
      <c r="AB414" s="12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IF($AE414="","",IF((IFERROR(INDEX('ASIGNACIONES'!$F$4:$F$339,MATCH($O414&amp;"|"&amp;$R414&amp;"|"&amp;$AE414,'ASIGNACIONES'!$J$4:$J$339,0)),""))=0,"",IFERROR(INDEX('ASIGNACIONES'!$F$4:$F$339,MATCH($O414&amp;"|"&amp;$R414&amp;"|"&amp;$AE414,'ASIGNACIONES'!$J$4:$J$339,0)),"")))</f>
        <v/>
      </c>
      <c r="AG414" s="13">
        <f>IF($AE414="","",SUMIFS('ORDENES'!$M$4:$M$1203,'ORDENES'!$AE$4:$AE$1203,$AE414,'ORDENES'!$O$4:$O$1203,$O414,'ORDENES'!$R$4:$R$1203,$R414))</f>
        <v/>
      </c>
      <c r="AH414" s="13">
        <f>IF($AG414="","",p_factor_productividad*IFERROR(INDEX('ASIGNACIONES'!$I$4:$I$339,MATCH($O414&amp;"|"&amp;$R414&amp;"|"&amp;$AE414,'ASIGNACIONES'!$J$4:$J$339,0)),0)-$AG414)</f>
        <v/>
      </c>
      <c r="AI414" s="10">
        <f>IF($A414="","",IFERROR(INDEX('2_IMPORTAR_EJECUCION'!$F$9:$F$1208,MATCH($AQ414,'2_IMPORTAR_EJECUCION'!$J$9:$J$1208,0)),0))</f>
        <v/>
      </c>
      <c r="AJ414" s="10">
        <f>IF($A414="","",MAX(0,IFERROR(INDEX('2_IMPORTAR_EJECUCION'!$H$9:$H$1208,MATCH($AQ414,'2_IMPORTAR_EJECUCION'!$J$9:$J$1208,0)),0)-$AI414))</f>
        <v/>
      </c>
      <c r="AK414" s="10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2">
        <f>IF($J415="","",TODAY()-$J415)</f>
        <v/>
      </c>
      <c r="AB415" s="12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IF($AE415="","",IF((IFERROR(INDEX('ASIGNACIONES'!$F$4:$F$339,MATCH($O415&amp;"|"&amp;$R415&amp;"|"&amp;$AE415,'ASIGNACIONES'!$J$4:$J$339,0)),""))=0,"",IFERROR(INDEX('ASIGNACIONES'!$F$4:$F$339,MATCH($O415&amp;"|"&amp;$R415&amp;"|"&amp;$AE415,'ASIGNACIONES'!$J$4:$J$339,0)),"")))</f>
        <v/>
      </c>
      <c r="AG415" s="13">
        <f>IF($AE415="","",SUMIFS('ORDENES'!$M$4:$M$1203,'ORDENES'!$AE$4:$AE$1203,$AE415,'ORDENES'!$O$4:$O$1203,$O415,'ORDENES'!$R$4:$R$1203,$R415))</f>
        <v/>
      </c>
      <c r="AH415" s="13">
        <f>IF($AG415="","",p_factor_productividad*IFERROR(INDEX('ASIGNACIONES'!$I$4:$I$339,MATCH($O415&amp;"|"&amp;$R415&amp;"|"&amp;$AE415,'ASIGNACIONES'!$J$4:$J$339,0)),0)-$AG415)</f>
        <v/>
      </c>
      <c r="AI415" s="10">
        <f>IF($A415="","",IFERROR(INDEX('2_IMPORTAR_EJECUCION'!$F$9:$F$1208,MATCH($AQ415,'2_IMPORTAR_EJECUCION'!$J$9:$J$1208,0)),0))</f>
        <v/>
      </c>
      <c r="AJ415" s="10">
        <f>IF($A415="","",MAX(0,IFERROR(INDEX('2_IMPORTAR_EJECUCION'!$H$9:$H$1208,MATCH($AQ415,'2_IMPORTAR_EJECUCION'!$J$9:$J$1208,0)),0)-$AI415))</f>
        <v/>
      </c>
      <c r="AK415" s="10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2">
        <f>IF($J416="","",TODAY()-$J416)</f>
        <v/>
      </c>
      <c r="AB416" s="12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IF($AE416="","",IF((IFERROR(INDEX('ASIGNACIONES'!$F$4:$F$339,MATCH($O416&amp;"|"&amp;$R416&amp;"|"&amp;$AE416,'ASIGNACIONES'!$J$4:$J$339,0)),""))=0,"",IFERROR(INDEX('ASIGNACIONES'!$F$4:$F$339,MATCH($O416&amp;"|"&amp;$R416&amp;"|"&amp;$AE416,'ASIGNACIONES'!$J$4:$J$339,0)),"")))</f>
        <v/>
      </c>
      <c r="AG416" s="13">
        <f>IF($AE416="","",SUMIFS('ORDENES'!$M$4:$M$1203,'ORDENES'!$AE$4:$AE$1203,$AE416,'ORDENES'!$O$4:$O$1203,$O416,'ORDENES'!$R$4:$R$1203,$R416))</f>
        <v/>
      </c>
      <c r="AH416" s="13">
        <f>IF($AG416="","",p_factor_productividad*IFERROR(INDEX('ASIGNACIONES'!$I$4:$I$339,MATCH($O416&amp;"|"&amp;$R416&amp;"|"&amp;$AE416,'ASIGNACIONES'!$J$4:$J$339,0)),0)-$AG416)</f>
        <v/>
      </c>
      <c r="AI416" s="10">
        <f>IF($A416="","",IFERROR(INDEX('2_IMPORTAR_EJECUCION'!$F$9:$F$1208,MATCH($AQ416,'2_IMPORTAR_EJECUCION'!$J$9:$J$1208,0)),0))</f>
        <v/>
      </c>
      <c r="AJ416" s="10">
        <f>IF($A416="","",MAX(0,IFERROR(INDEX('2_IMPORTAR_EJECUCION'!$H$9:$H$1208,MATCH($AQ416,'2_IMPORTAR_EJECUCION'!$J$9:$J$1208,0)),0)-$AI416))</f>
        <v/>
      </c>
      <c r="AK416" s="10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2">
        <f>IF($J417="","",TODAY()-$J417)</f>
        <v/>
      </c>
      <c r="AB417" s="12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IF($AE417="","",IF((IFERROR(INDEX('ASIGNACIONES'!$F$4:$F$339,MATCH($O417&amp;"|"&amp;$R417&amp;"|"&amp;$AE417,'ASIGNACIONES'!$J$4:$J$339,0)),""))=0,"",IFERROR(INDEX('ASIGNACIONES'!$F$4:$F$339,MATCH($O417&amp;"|"&amp;$R417&amp;"|"&amp;$AE417,'ASIGNACIONES'!$J$4:$J$339,0)),"")))</f>
        <v/>
      </c>
      <c r="AG417" s="13">
        <f>IF($AE417="","",SUMIFS('ORDENES'!$M$4:$M$1203,'ORDENES'!$AE$4:$AE$1203,$AE417,'ORDENES'!$O$4:$O$1203,$O417,'ORDENES'!$R$4:$R$1203,$R417))</f>
        <v/>
      </c>
      <c r="AH417" s="13">
        <f>IF($AG417="","",p_factor_productividad*IFERROR(INDEX('ASIGNACIONES'!$I$4:$I$339,MATCH($O417&amp;"|"&amp;$R417&amp;"|"&amp;$AE417,'ASIGNACIONES'!$J$4:$J$339,0)),0)-$AG417)</f>
        <v/>
      </c>
      <c r="AI417" s="10">
        <f>IF($A417="","",IFERROR(INDEX('2_IMPORTAR_EJECUCION'!$F$9:$F$1208,MATCH($AQ417,'2_IMPORTAR_EJECUCION'!$J$9:$J$1208,0)),0))</f>
        <v/>
      </c>
      <c r="AJ417" s="10">
        <f>IF($A417="","",MAX(0,IFERROR(INDEX('2_IMPORTAR_EJECUCION'!$H$9:$H$1208,MATCH($AQ417,'2_IMPORTAR_EJECUCION'!$J$9:$J$1208,0)),0)-$AI417))</f>
        <v/>
      </c>
      <c r="AK417" s="10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2">
        <f>IF($J418="","",TODAY()-$J418)</f>
        <v/>
      </c>
      <c r="AB418" s="12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IF($AE418="","",IF((IFERROR(INDEX('ASIGNACIONES'!$F$4:$F$339,MATCH($O418&amp;"|"&amp;$R418&amp;"|"&amp;$AE418,'ASIGNACIONES'!$J$4:$J$339,0)),""))=0,"",IFERROR(INDEX('ASIGNACIONES'!$F$4:$F$339,MATCH($O418&amp;"|"&amp;$R418&amp;"|"&amp;$AE418,'ASIGNACIONES'!$J$4:$J$339,0)),"")))</f>
        <v/>
      </c>
      <c r="AG418" s="13">
        <f>IF($AE418="","",SUMIFS('ORDENES'!$M$4:$M$1203,'ORDENES'!$AE$4:$AE$1203,$AE418,'ORDENES'!$O$4:$O$1203,$O418,'ORDENES'!$R$4:$R$1203,$R418))</f>
        <v/>
      </c>
      <c r="AH418" s="13">
        <f>IF($AG418="","",p_factor_productividad*IFERROR(INDEX('ASIGNACIONES'!$I$4:$I$339,MATCH($O418&amp;"|"&amp;$R418&amp;"|"&amp;$AE418,'ASIGNACIONES'!$J$4:$J$339,0)),0)-$AG418)</f>
        <v/>
      </c>
      <c r="AI418" s="10">
        <f>IF($A418="","",IFERROR(INDEX('2_IMPORTAR_EJECUCION'!$F$9:$F$1208,MATCH($AQ418,'2_IMPORTAR_EJECUCION'!$J$9:$J$1208,0)),0))</f>
        <v/>
      </c>
      <c r="AJ418" s="10">
        <f>IF($A418="","",MAX(0,IFERROR(INDEX('2_IMPORTAR_EJECUCION'!$H$9:$H$1208,MATCH($AQ418,'2_IMPORTAR_EJECUCION'!$J$9:$J$1208,0)),0)-$AI418))</f>
        <v/>
      </c>
      <c r="AK418" s="10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2">
        <f>IF($J419="","",TODAY()-$J419)</f>
        <v/>
      </c>
      <c r="AB419" s="12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IF($AE419="","",IF((IFERROR(INDEX('ASIGNACIONES'!$F$4:$F$339,MATCH($O419&amp;"|"&amp;$R419&amp;"|"&amp;$AE419,'ASIGNACIONES'!$J$4:$J$339,0)),""))=0,"",IFERROR(INDEX('ASIGNACIONES'!$F$4:$F$339,MATCH($O419&amp;"|"&amp;$R419&amp;"|"&amp;$AE419,'ASIGNACIONES'!$J$4:$J$339,0)),"")))</f>
        <v/>
      </c>
      <c r="AG419" s="13">
        <f>IF($AE419="","",SUMIFS('ORDENES'!$M$4:$M$1203,'ORDENES'!$AE$4:$AE$1203,$AE419,'ORDENES'!$O$4:$O$1203,$O419,'ORDENES'!$R$4:$R$1203,$R419))</f>
        <v/>
      </c>
      <c r="AH419" s="13">
        <f>IF($AG419="","",p_factor_productividad*IFERROR(INDEX('ASIGNACIONES'!$I$4:$I$339,MATCH($O419&amp;"|"&amp;$R419&amp;"|"&amp;$AE419,'ASIGNACIONES'!$J$4:$J$339,0)),0)-$AG419)</f>
        <v/>
      </c>
      <c r="AI419" s="10">
        <f>IF($A419="","",IFERROR(INDEX('2_IMPORTAR_EJECUCION'!$F$9:$F$1208,MATCH($AQ419,'2_IMPORTAR_EJECUCION'!$J$9:$J$1208,0)),0))</f>
        <v/>
      </c>
      <c r="AJ419" s="10">
        <f>IF($A419="","",MAX(0,IFERROR(INDEX('2_IMPORTAR_EJECUCION'!$H$9:$H$1208,MATCH($AQ419,'2_IMPORTAR_EJECUCION'!$J$9:$J$1208,0)),0)-$AI419))</f>
        <v/>
      </c>
      <c r="AK419" s="10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2">
        <f>IF($J420="","",TODAY()-$J420)</f>
        <v/>
      </c>
      <c r="AB420" s="12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IF($AE420="","",IF((IFERROR(INDEX('ASIGNACIONES'!$F$4:$F$339,MATCH($O420&amp;"|"&amp;$R420&amp;"|"&amp;$AE420,'ASIGNACIONES'!$J$4:$J$339,0)),""))=0,"",IFERROR(INDEX('ASIGNACIONES'!$F$4:$F$339,MATCH($O420&amp;"|"&amp;$R420&amp;"|"&amp;$AE420,'ASIGNACIONES'!$J$4:$J$339,0)),"")))</f>
        <v/>
      </c>
      <c r="AG420" s="13">
        <f>IF($AE420="","",SUMIFS('ORDENES'!$M$4:$M$1203,'ORDENES'!$AE$4:$AE$1203,$AE420,'ORDENES'!$O$4:$O$1203,$O420,'ORDENES'!$R$4:$R$1203,$R420))</f>
        <v/>
      </c>
      <c r="AH420" s="13">
        <f>IF($AG420="","",p_factor_productividad*IFERROR(INDEX('ASIGNACIONES'!$I$4:$I$339,MATCH($O420&amp;"|"&amp;$R420&amp;"|"&amp;$AE420,'ASIGNACIONES'!$J$4:$J$339,0)),0)-$AG420)</f>
        <v/>
      </c>
      <c r="AI420" s="10">
        <f>IF($A420="","",IFERROR(INDEX('2_IMPORTAR_EJECUCION'!$F$9:$F$1208,MATCH($AQ420,'2_IMPORTAR_EJECUCION'!$J$9:$J$1208,0)),0))</f>
        <v/>
      </c>
      <c r="AJ420" s="10">
        <f>IF($A420="","",MAX(0,IFERROR(INDEX('2_IMPORTAR_EJECUCION'!$H$9:$H$1208,MATCH($AQ420,'2_IMPORTAR_EJECUCION'!$J$9:$J$1208,0)),0)-$AI420))</f>
        <v/>
      </c>
      <c r="AK420" s="10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2">
        <f>IF($J421="","",TODAY()-$J421)</f>
        <v/>
      </c>
      <c r="AB421" s="12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IF($AE421="","",IF((IFERROR(INDEX('ASIGNACIONES'!$F$4:$F$339,MATCH($O421&amp;"|"&amp;$R421&amp;"|"&amp;$AE421,'ASIGNACIONES'!$J$4:$J$339,0)),""))=0,"",IFERROR(INDEX('ASIGNACIONES'!$F$4:$F$339,MATCH($O421&amp;"|"&amp;$R421&amp;"|"&amp;$AE421,'ASIGNACIONES'!$J$4:$J$339,0)),"")))</f>
        <v/>
      </c>
      <c r="AG421" s="13">
        <f>IF($AE421="","",SUMIFS('ORDENES'!$M$4:$M$1203,'ORDENES'!$AE$4:$AE$1203,$AE421,'ORDENES'!$O$4:$O$1203,$O421,'ORDENES'!$R$4:$R$1203,$R421))</f>
        <v/>
      </c>
      <c r="AH421" s="13">
        <f>IF($AG421="","",p_factor_productividad*IFERROR(INDEX('ASIGNACIONES'!$I$4:$I$339,MATCH($O421&amp;"|"&amp;$R421&amp;"|"&amp;$AE421,'ASIGNACIONES'!$J$4:$J$339,0)),0)-$AG421)</f>
        <v/>
      </c>
      <c r="AI421" s="10">
        <f>IF($A421="","",IFERROR(INDEX('2_IMPORTAR_EJECUCION'!$F$9:$F$1208,MATCH($AQ421,'2_IMPORTAR_EJECUCION'!$J$9:$J$1208,0)),0))</f>
        <v/>
      </c>
      <c r="AJ421" s="10">
        <f>IF($A421="","",MAX(0,IFERROR(INDEX('2_IMPORTAR_EJECUCION'!$H$9:$H$1208,MATCH($AQ421,'2_IMPORTAR_EJECUCION'!$J$9:$J$1208,0)),0)-$AI421))</f>
        <v/>
      </c>
      <c r="AK421" s="10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2">
        <f>IF($J422="","",TODAY()-$J422)</f>
        <v/>
      </c>
      <c r="AB422" s="12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IF($AE422="","",IF((IFERROR(INDEX('ASIGNACIONES'!$F$4:$F$339,MATCH($O422&amp;"|"&amp;$R422&amp;"|"&amp;$AE422,'ASIGNACIONES'!$J$4:$J$339,0)),""))=0,"",IFERROR(INDEX('ASIGNACIONES'!$F$4:$F$339,MATCH($O422&amp;"|"&amp;$R422&amp;"|"&amp;$AE422,'ASIGNACIONES'!$J$4:$J$339,0)),"")))</f>
        <v/>
      </c>
      <c r="AG422" s="13">
        <f>IF($AE422="","",SUMIFS('ORDENES'!$M$4:$M$1203,'ORDENES'!$AE$4:$AE$1203,$AE422,'ORDENES'!$O$4:$O$1203,$O422,'ORDENES'!$R$4:$R$1203,$R422))</f>
        <v/>
      </c>
      <c r="AH422" s="13">
        <f>IF($AG422="","",p_factor_productividad*IFERROR(INDEX('ASIGNACIONES'!$I$4:$I$339,MATCH($O422&amp;"|"&amp;$R422&amp;"|"&amp;$AE422,'ASIGNACIONES'!$J$4:$J$339,0)),0)-$AG422)</f>
        <v/>
      </c>
      <c r="AI422" s="10">
        <f>IF($A422="","",IFERROR(INDEX('2_IMPORTAR_EJECUCION'!$F$9:$F$1208,MATCH($AQ422,'2_IMPORTAR_EJECUCION'!$J$9:$J$1208,0)),0))</f>
        <v/>
      </c>
      <c r="AJ422" s="10">
        <f>IF($A422="","",MAX(0,IFERROR(INDEX('2_IMPORTAR_EJECUCION'!$H$9:$H$1208,MATCH($AQ422,'2_IMPORTAR_EJECUCION'!$J$9:$J$1208,0)),0)-$AI422))</f>
        <v/>
      </c>
      <c r="AK422" s="10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2">
        <f>IF($J423="","",TODAY()-$J423)</f>
        <v/>
      </c>
      <c r="AB423" s="12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IF($AE423="","",IF((IFERROR(INDEX('ASIGNACIONES'!$F$4:$F$339,MATCH($O423&amp;"|"&amp;$R423&amp;"|"&amp;$AE423,'ASIGNACIONES'!$J$4:$J$339,0)),""))=0,"",IFERROR(INDEX('ASIGNACIONES'!$F$4:$F$339,MATCH($O423&amp;"|"&amp;$R423&amp;"|"&amp;$AE423,'ASIGNACIONES'!$J$4:$J$339,0)),"")))</f>
        <v/>
      </c>
      <c r="AG423" s="13">
        <f>IF($AE423="","",SUMIFS('ORDENES'!$M$4:$M$1203,'ORDENES'!$AE$4:$AE$1203,$AE423,'ORDENES'!$O$4:$O$1203,$O423,'ORDENES'!$R$4:$R$1203,$R423))</f>
        <v/>
      </c>
      <c r="AH423" s="13">
        <f>IF($AG423="","",p_factor_productividad*IFERROR(INDEX('ASIGNACIONES'!$I$4:$I$339,MATCH($O423&amp;"|"&amp;$R423&amp;"|"&amp;$AE423,'ASIGNACIONES'!$J$4:$J$339,0)),0)-$AG423)</f>
        <v/>
      </c>
      <c r="AI423" s="10">
        <f>IF($A423="","",IFERROR(INDEX('2_IMPORTAR_EJECUCION'!$F$9:$F$1208,MATCH($AQ423,'2_IMPORTAR_EJECUCION'!$J$9:$J$1208,0)),0))</f>
        <v/>
      </c>
      <c r="AJ423" s="10">
        <f>IF($A423="","",MAX(0,IFERROR(INDEX('2_IMPORTAR_EJECUCION'!$H$9:$H$1208,MATCH($AQ423,'2_IMPORTAR_EJECUCION'!$J$9:$J$1208,0)),0)-$AI423))</f>
        <v/>
      </c>
      <c r="AK423" s="10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2">
        <f>IF($J424="","",TODAY()-$J424)</f>
        <v/>
      </c>
      <c r="AB424" s="12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IF($AE424="","",IF((IFERROR(INDEX('ASIGNACIONES'!$F$4:$F$339,MATCH($O424&amp;"|"&amp;$R424&amp;"|"&amp;$AE424,'ASIGNACIONES'!$J$4:$J$339,0)),""))=0,"",IFERROR(INDEX('ASIGNACIONES'!$F$4:$F$339,MATCH($O424&amp;"|"&amp;$R424&amp;"|"&amp;$AE424,'ASIGNACIONES'!$J$4:$J$339,0)),"")))</f>
        <v/>
      </c>
      <c r="AG424" s="13">
        <f>IF($AE424="","",SUMIFS('ORDENES'!$M$4:$M$1203,'ORDENES'!$AE$4:$AE$1203,$AE424,'ORDENES'!$O$4:$O$1203,$O424,'ORDENES'!$R$4:$R$1203,$R424))</f>
        <v/>
      </c>
      <c r="AH424" s="13">
        <f>IF($AG424="","",p_factor_productividad*IFERROR(INDEX('ASIGNACIONES'!$I$4:$I$339,MATCH($O424&amp;"|"&amp;$R424&amp;"|"&amp;$AE424,'ASIGNACIONES'!$J$4:$J$339,0)),0)-$AG424)</f>
        <v/>
      </c>
      <c r="AI424" s="10">
        <f>IF($A424="","",IFERROR(INDEX('2_IMPORTAR_EJECUCION'!$F$9:$F$1208,MATCH($AQ424,'2_IMPORTAR_EJECUCION'!$J$9:$J$1208,0)),0))</f>
        <v/>
      </c>
      <c r="AJ424" s="10">
        <f>IF($A424="","",MAX(0,IFERROR(INDEX('2_IMPORTAR_EJECUCION'!$H$9:$H$1208,MATCH($AQ424,'2_IMPORTAR_EJECUCION'!$J$9:$J$1208,0)),0)-$AI424))</f>
        <v/>
      </c>
      <c r="AK424" s="10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2">
        <f>IF($J425="","",TODAY()-$J425)</f>
        <v/>
      </c>
      <c r="AB425" s="12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IF($AE425="","",IF((IFERROR(INDEX('ASIGNACIONES'!$F$4:$F$339,MATCH($O425&amp;"|"&amp;$R425&amp;"|"&amp;$AE425,'ASIGNACIONES'!$J$4:$J$339,0)),""))=0,"",IFERROR(INDEX('ASIGNACIONES'!$F$4:$F$339,MATCH($O425&amp;"|"&amp;$R425&amp;"|"&amp;$AE425,'ASIGNACIONES'!$J$4:$J$339,0)),"")))</f>
        <v/>
      </c>
      <c r="AG425" s="13">
        <f>IF($AE425="","",SUMIFS('ORDENES'!$M$4:$M$1203,'ORDENES'!$AE$4:$AE$1203,$AE425,'ORDENES'!$O$4:$O$1203,$O425,'ORDENES'!$R$4:$R$1203,$R425))</f>
        <v/>
      </c>
      <c r="AH425" s="13">
        <f>IF($AG425="","",p_factor_productividad*IFERROR(INDEX('ASIGNACIONES'!$I$4:$I$339,MATCH($O425&amp;"|"&amp;$R425&amp;"|"&amp;$AE425,'ASIGNACIONES'!$J$4:$J$339,0)),0)-$AG425)</f>
        <v/>
      </c>
      <c r="AI425" s="10">
        <f>IF($A425="","",IFERROR(INDEX('2_IMPORTAR_EJECUCION'!$F$9:$F$1208,MATCH($AQ425,'2_IMPORTAR_EJECUCION'!$J$9:$J$1208,0)),0))</f>
        <v/>
      </c>
      <c r="AJ425" s="10">
        <f>IF($A425="","",MAX(0,IFERROR(INDEX('2_IMPORTAR_EJECUCION'!$H$9:$H$1208,MATCH($AQ425,'2_IMPORTAR_EJECUCION'!$J$9:$J$1208,0)),0)-$AI425))</f>
        <v/>
      </c>
      <c r="AK425" s="10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2">
        <f>IF($J426="","",TODAY()-$J426)</f>
        <v/>
      </c>
      <c r="AB426" s="12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IF($AE426="","",IF((IFERROR(INDEX('ASIGNACIONES'!$F$4:$F$339,MATCH($O426&amp;"|"&amp;$R426&amp;"|"&amp;$AE426,'ASIGNACIONES'!$J$4:$J$339,0)),""))=0,"",IFERROR(INDEX('ASIGNACIONES'!$F$4:$F$339,MATCH($O426&amp;"|"&amp;$R426&amp;"|"&amp;$AE426,'ASIGNACIONES'!$J$4:$J$339,0)),"")))</f>
        <v/>
      </c>
      <c r="AG426" s="13">
        <f>IF($AE426="","",SUMIFS('ORDENES'!$M$4:$M$1203,'ORDENES'!$AE$4:$AE$1203,$AE426,'ORDENES'!$O$4:$O$1203,$O426,'ORDENES'!$R$4:$R$1203,$R426))</f>
        <v/>
      </c>
      <c r="AH426" s="13">
        <f>IF($AG426="","",p_factor_productividad*IFERROR(INDEX('ASIGNACIONES'!$I$4:$I$339,MATCH($O426&amp;"|"&amp;$R426&amp;"|"&amp;$AE426,'ASIGNACIONES'!$J$4:$J$339,0)),0)-$AG426)</f>
        <v/>
      </c>
      <c r="AI426" s="10">
        <f>IF($A426="","",IFERROR(INDEX('2_IMPORTAR_EJECUCION'!$F$9:$F$1208,MATCH($AQ426,'2_IMPORTAR_EJECUCION'!$J$9:$J$1208,0)),0))</f>
        <v/>
      </c>
      <c r="AJ426" s="10">
        <f>IF($A426="","",MAX(0,IFERROR(INDEX('2_IMPORTAR_EJECUCION'!$H$9:$H$1208,MATCH($AQ426,'2_IMPORTAR_EJECUCION'!$J$9:$J$1208,0)),0)-$AI426))</f>
        <v/>
      </c>
      <c r="AK426" s="10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2">
        <f>IF($J427="","",TODAY()-$J427)</f>
        <v/>
      </c>
      <c r="AB427" s="12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IF($AE427="","",IF((IFERROR(INDEX('ASIGNACIONES'!$F$4:$F$339,MATCH($O427&amp;"|"&amp;$R427&amp;"|"&amp;$AE427,'ASIGNACIONES'!$J$4:$J$339,0)),""))=0,"",IFERROR(INDEX('ASIGNACIONES'!$F$4:$F$339,MATCH($O427&amp;"|"&amp;$R427&amp;"|"&amp;$AE427,'ASIGNACIONES'!$J$4:$J$339,0)),"")))</f>
        <v/>
      </c>
      <c r="AG427" s="13">
        <f>IF($AE427="","",SUMIFS('ORDENES'!$M$4:$M$1203,'ORDENES'!$AE$4:$AE$1203,$AE427,'ORDENES'!$O$4:$O$1203,$O427,'ORDENES'!$R$4:$R$1203,$R427))</f>
        <v/>
      </c>
      <c r="AH427" s="13">
        <f>IF($AG427="","",p_factor_productividad*IFERROR(INDEX('ASIGNACIONES'!$I$4:$I$339,MATCH($O427&amp;"|"&amp;$R427&amp;"|"&amp;$AE427,'ASIGNACIONES'!$J$4:$J$339,0)),0)-$AG427)</f>
        <v/>
      </c>
      <c r="AI427" s="10">
        <f>IF($A427="","",IFERROR(INDEX('2_IMPORTAR_EJECUCION'!$F$9:$F$1208,MATCH($AQ427,'2_IMPORTAR_EJECUCION'!$J$9:$J$1208,0)),0))</f>
        <v/>
      </c>
      <c r="AJ427" s="10">
        <f>IF($A427="","",MAX(0,IFERROR(INDEX('2_IMPORTAR_EJECUCION'!$H$9:$H$1208,MATCH($AQ427,'2_IMPORTAR_EJECUCION'!$J$9:$J$1208,0)),0)-$AI427))</f>
        <v/>
      </c>
      <c r="AK427" s="10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2">
        <f>IF($J428="","",TODAY()-$J428)</f>
        <v/>
      </c>
      <c r="AB428" s="12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IF($AE428="","",IF((IFERROR(INDEX('ASIGNACIONES'!$F$4:$F$339,MATCH($O428&amp;"|"&amp;$R428&amp;"|"&amp;$AE428,'ASIGNACIONES'!$J$4:$J$339,0)),""))=0,"",IFERROR(INDEX('ASIGNACIONES'!$F$4:$F$339,MATCH($O428&amp;"|"&amp;$R428&amp;"|"&amp;$AE428,'ASIGNACIONES'!$J$4:$J$339,0)),"")))</f>
        <v/>
      </c>
      <c r="AG428" s="13">
        <f>IF($AE428="","",SUMIFS('ORDENES'!$M$4:$M$1203,'ORDENES'!$AE$4:$AE$1203,$AE428,'ORDENES'!$O$4:$O$1203,$O428,'ORDENES'!$R$4:$R$1203,$R428))</f>
        <v/>
      </c>
      <c r="AH428" s="13">
        <f>IF($AG428="","",p_factor_productividad*IFERROR(INDEX('ASIGNACIONES'!$I$4:$I$339,MATCH($O428&amp;"|"&amp;$R428&amp;"|"&amp;$AE428,'ASIGNACIONES'!$J$4:$J$339,0)),0)-$AG428)</f>
        <v/>
      </c>
      <c r="AI428" s="10">
        <f>IF($A428="","",IFERROR(INDEX('2_IMPORTAR_EJECUCION'!$F$9:$F$1208,MATCH($AQ428,'2_IMPORTAR_EJECUCION'!$J$9:$J$1208,0)),0))</f>
        <v/>
      </c>
      <c r="AJ428" s="10">
        <f>IF($A428="","",MAX(0,IFERROR(INDEX('2_IMPORTAR_EJECUCION'!$H$9:$H$1208,MATCH($AQ428,'2_IMPORTAR_EJECUCION'!$J$9:$J$1208,0)),0)-$AI428))</f>
        <v/>
      </c>
      <c r="AK428" s="10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2">
        <f>IF($J429="","",TODAY()-$J429)</f>
        <v/>
      </c>
      <c r="AB429" s="12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IF($AE429="","",IF((IFERROR(INDEX('ASIGNACIONES'!$F$4:$F$339,MATCH($O429&amp;"|"&amp;$R429&amp;"|"&amp;$AE429,'ASIGNACIONES'!$J$4:$J$339,0)),""))=0,"",IFERROR(INDEX('ASIGNACIONES'!$F$4:$F$339,MATCH($O429&amp;"|"&amp;$R429&amp;"|"&amp;$AE429,'ASIGNACIONES'!$J$4:$J$339,0)),"")))</f>
        <v/>
      </c>
      <c r="AG429" s="13">
        <f>IF($AE429="","",SUMIFS('ORDENES'!$M$4:$M$1203,'ORDENES'!$AE$4:$AE$1203,$AE429,'ORDENES'!$O$4:$O$1203,$O429,'ORDENES'!$R$4:$R$1203,$R429))</f>
        <v/>
      </c>
      <c r="AH429" s="13">
        <f>IF($AG429="","",p_factor_productividad*IFERROR(INDEX('ASIGNACIONES'!$I$4:$I$339,MATCH($O429&amp;"|"&amp;$R429&amp;"|"&amp;$AE429,'ASIGNACIONES'!$J$4:$J$339,0)),0)-$AG429)</f>
        <v/>
      </c>
      <c r="AI429" s="10">
        <f>IF($A429="","",IFERROR(INDEX('2_IMPORTAR_EJECUCION'!$F$9:$F$1208,MATCH($AQ429,'2_IMPORTAR_EJECUCION'!$J$9:$J$1208,0)),0))</f>
        <v/>
      </c>
      <c r="AJ429" s="10">
        <f>IF($A429="","",MAX(0,IFERROR(INDEX('2_IMPORTAR_EJECUCION'!$H$9:$H$1208,MATCH($AQ429,'2_IMPORTAR_EJECUCION'!$J$9:$J$1208,0)),0)-$AI429))</f>
        <v/>
      </c>
      <c r="AK429" s="10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2">
        <f>IF($J430="","",TODAY()-$J430)</f>
        <v/>
      </c>
      <c r="AB430" s="12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IF($AE430="","",IF((IFERROR(INDEX('ASIGNACIONES'!$F$4:$F$339,MATCH($O430&amp;"|"&amp;$R430&amp;"|"&amp;$AE430,'ASIGNACIONES'!$J$4:$J$339,0)),""))=0,"",IFERROR(INDEX('ASIGNACIONES'!$F$4:$F$339,MATCH($O430&amp;"|"&amp;$R430&amp;"|"&amp;$AE430,'ASIGNACIONES'!$J$4:$J$339,0)),"")))</f>
        <v/>
      </c>
      <c r="AG430" s="13">
        <f>IF($AE430="","",SUMIFS('ORDENES'!$M$4:$M$1203,'ORDENES'!$AE$4:$AE$1203,$AE430,'ORDENES'!$O$4:$O$1203,$O430,'ORDENES'!$R$4:$R$1203,$R430))</f>
        <v/>
      </c>
      <c r="AH430" s="13">
        <f>IF($AG430="","",p_factor_productividad*IFERROR(INDEX('ASIGNACIONES'!$I$4:$I$339,MATCH($O430&amp;"|"&amp;$R430&amp;"|"&amp;$AE430,'ASIGNACIONES'!$J$4:$J$339,0)),0)-$AG430)</f>
        <v/>
      </c>
      <c r="AI430" s="10">
        <f>IF($A430="","",IFERROR(INDEX('2_IMPORTAR_EJECUCION'!$F$9:$F$1208,MATCH($AQ430,'2_IMPORTAR_EJECUCION'!$J$9:$J$1208,0)),0))</f>
        <v/>
      </c>
      <c r="AJ430" s="10">
        <f>IF($A430="","",MAX(0,IFERROR(INDEX('2_IMPORTAR_EJECUCION'!$H$9:$H$1208,MATCH($AQ430,'2_IMPORTAR_EJECUCION'!$J$9:$J$1208,0)),0)-$AI430))</f>
        <v/>
      </c>
      <c r="AK430" s="10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2">
        <f>IF($J431="","",TODAY()-$J431)</f>
        <v/>
      </c>
      <c r="AB431" s="12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IF($AE431="","",IF((IFERROR(INDEX('ASIGNACIONES'!$F$4:$F$339,MATCH($O431&amp;"|"&amp;$R431&amp;"|"&amp;$AE431,'ASIGNACIONES'!$J$4:$J$339,0)),""))=0,"",IFERROR(INDEX('ASIGNACIONES'!$F$4:$F$339,MATCH($O431&amp;"|"&amp;$R431&amp;"|"&amp;$AE431,'ASIGNACIONES'!$J$4:$J$339,0)),"")))</f>
        <v/>
      </c>
      <c r="AG431" s="13">
        <f>IF($AE431="","",SUMIFS('ORDENES'!$M$4:$M$1203,'ORDENES'!$AE$4:$AE$1203,$AE431,'ORDENES'!$O$4:$O$1203,$O431,'ORDENES'!$R$4:$R$1203,$R431))</f>
        <v/>
      </c>
      <c r="AH431" s="13">
        <f>IF($AG431="","",p_factor_productividad*IFERROR(INDEX('ASIGNACIONES'!$I$4:$I$339,MATCH($O431&amp;"|"&amp;$R431&amp;"|"&amp;$AE431,'ASIGNACIONES'!$J$4:$J$339,0)),0)-$AG431)</f>
        <v/>
      </c>
      <c r="AI431" s="10">
        <f>IF($A431="","",IFERROR(INDEX('2_IMPORTAR_EJECUCION'!$F$9:$F$1208,MATCH($AQ431,'2_IMPORTAR_EJECUCION'!$J$9:$J$1208,0)),0))</f>
        <v/>
      </c>
      <c r="AJ431" s="10">
        <f>IF($A431="","",MAX(0,IFERROR(INDEX('2_IMPORTAR_EJECUCION'!$H$9:$H$1208,MATCH($AQ431,'2_IMPORTAR_EJECUCION'!$J$9:$J$1208,0)),0)-$AI431))</f>
        <v/>
      </c>
      <c r="AK431" s="10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2">
        <f>IF($J432="","",TODAY()-$J432)</f>
        <v/>
      </c>
      <c r="AB432" s="12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IF($AE432="","",IF((IFERROR(INDEX('ASIGNACIONES'!$F$4:$F$339,MATCH($O432&amp;"|"&amp;$R432&amp;"|"&amp;$AE432,'ASIGNACIONES'!$J$4:$J$339,0)),""))=0,"",IFERROR(INDEX('ASIGNACIONES'!$F$4:$F$339,MATCH($O432&amp;"|"&amp;$R432&amp;"|"&amp;$AE432,'ASIGNACIONES'!$J$4:$J$339,0)),"")))</f>
        <v/>
      </c>
      <c r="AG432" s="13">
        <f>IF($AE432="","",SUMIFS('ORDENES'!$M$4:$M$1203,'ORDENES'!$AE$4:$AE$1203,$AE432,'ORDENES'!$O$4:$O$1203,$O432,'ORDENES'!$R$4:$R$1203,$R432))</f>
        <v/>
      </c>
      <c r="AH432" s="13">
        <f>IF($AG432="","",p_factor_productividad*IFERROR(INDEX('ASIGNACIONES'!$I$4:$I$339,MATCH($O432&amp;"|"&amp;$R432&amp;"|"&amp;$AE432,'ASIGNACIONES'!$J$4:$J$339,0)),0)-$AG432)</f>
        <v/>
      </c>
      <c r="AI432" s="10">
        <f>IF($A432="","",IFERROR(INDEX('2_IMPORTAR_EJECUCION'!$F$9:$F$1208,MATCH($AQ432,'2_IMPORTAR_EJECUCION'!$J$9:$J$1208,0)),0))</f>
        <v/>
      </c>
      <c r="AJ432" s="10">
        <f>IF($A432="","",MAX(0,IFERROR(INDEX('2_IMPORTAR_EJECUCION'!$H$9:$H$1208,MATCH($AQ432,'2_IMPORTAR_EJECUCION'!$J$9:$J$1208,0)),0)-$AI432))</f>
        <v/>
      </c>
      <c r="AK432" s="10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2">
        <f>IF($J433="","",TODAY()-$J433)</f>
        <v/>
      </c>
      <c r="AB433" s="12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IF($AE433="","",IF((IFERROR(INDEX('ASIGNACIONES'!$F$4:$F$339,MATCH($O433&amp;"|"&amp;$R433&amp;"|"&amp;$AE433,'ASIGNACIONES'!$J$4:$J$339,0)),""))=0,"",IFERROR(INDEX('ASIGNACIONES'!$F$4:$F$339,MATCH($O433&amp;"|"&amp;$R433&amp;"|"&amp;$AE433,'ASIGNACIONES'!$J$4:$J$339,0)),"")))</f>
        <v/>
      </c>
      <c r="AG433" s="13">
        <f>IF($AE433="","",SUMIFS('ORDENES'!$M$4:$M$1203,'ORDENES'!$AE$4:$AE$1203,$AE433,'ORDENES'!$O$4:$O$1203,$O433,'ORDENES'!$R$4:$R$1203,$R433))</f>
        <v/>
      </c>
      <c r="AH433" s="13">
        <f>IF($AG433="","",p_factor_productividad*IFERROR(INDEX('ASIGNACIONES'!$I$4:$I$339,MATCH($O433&amp;"|"&amp;$R433&amp;"|"&amp;$AE433,'ASIGNACIONES'!$J$4:$J$339,0)),0)-$AG433)</f>
        <v/>
      </c>
      <c r="AI433" s="10">
        <f>IF($A433="","",IFERROR(INDEX('2_IMPORTAR_EJECUCION'!$F$9:$F$1208,MATCH($AQ433,'2_IMPORTAR_EJECUCION'!$J$9:$J$1208,0)),0))</f>
        <v/>
      </c>
      <c r="AJ433" s="10">
        <f>IF($A433="","",MAX(0,IFERROR(INDEX('2_IMPORTAR_EJECUCION'!$H$9:$H$1208,MATCH($AQ433,'2_IMPORTAR_EJECUCION'!$J$9:$J$1208,0)),0)-$AI433))</f>
        <v/>
      </c>
      <c r="AK433" s="10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2">
        <f>IF($J434="","",TODAY()-$J434)</f>
        <v/>
      </c>
      <c r="AB434" s="12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IF($AE434="","",IF((IFERROR(INDEX('ASIGNACIONES'!$F$4:$F$339,MATCH($O434&amp;"|"&amp;$R434&amp;"|"&amp;$AE434,'ASIGNACIONES'!$J$4:$J$339,0)),""))=0,"",IFERROR(INDEX('ASIGNACIONES'!$F$4:$F$339,MATCH($O434&amp;"|"&amp;$R434&amp;"|"&amp;$AE434,'ASIGNACIONES'!$J$4:$J$339,0)),"")))</f>
        <v/>
      </c>
      <c r="AG434" s="13">
        <f>IF($AE434="","",SUMIFS('ORDENES'!$M$4:$M$1203,'ORDENES'!$AE$4:$AE$1203,$AE434,'ORDENES'!$O$4:$O$1203,$O434,'ORDENES'!$R$4:$R$1203,$R434))</f>
        <v/>
      </c>
      <c r="AH434" s="13">
        <f>IF($AG434="","",p_factor_productividad*IFERROR(INDEX('ASIGNACIONES'!$I$4:$I$339,MATCH($O434&amp;"|"&amp;$R434&amp;"|"&amp;$AE434,'ASIGNACIONES'!$J$4:$J$339,0)),0)-$AG434)</f>
        <v/>
      </c>
      <c r="AI434" s="10">
        <f>IF($A434="","",IFERROR(INDEX('2_IMPORTAR_EJECUCION'!$F$9:$F$1208,MATCH($AQ434,'2_IMPORTAR_EJECUCION'!$J$9:$J$1208,0)),0))</f>
        <v/>
      </c>
      <c r="AJ434" s="10">
        <f>IF($A434="","",MAX(0,IFERROR(INDEX('2_IMPORTAR_EJECUCION'!$H$9:$H$1208,MATCH($AQ434,'2_IMPORTAR_EJECUCION'!$J$9:$J$1208,0)),0)-$AI434))</f>
        <v/>
      </c>
      <c r="AK434" s="10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2">
        <f>IF($J435="","",TODAY()-$J435)</f>
        <v/>
      </c>
      <c r="AB435" s="12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IF($AE435="","",IF((IFERROR(INDEX('ASIGNACIONES'!$F$4:$F$339,MATCH($O435&amp;"|"&amp;$R435&amp;"|"&amp;$AE435,'ASIGNACIONES'!$J$4:$J$339,0)),""))=0,"",IFERROR(INDEX('ASIGNACIONES'!$F$4:$F$339,MATCH($O435&amp;"|"&amp;$R435&amp;"|"&amp;$AE435,'ASIGNACIONES'!$J$4:$J$339,0)),"")))</f>
        <v/>
      </c>
      <c r="AG435" s="13">
        <f>IF($AE435="","",SUMIFS('ORDENES'!$M$4:$M$1203,'ORDENES'!$AE$4:$AE$1203,$AE435,'ORDENES'!$O$4:$O$1203,$O435,'ORDENES'!$R$4:$R$1203,$R435))</f>
        <v/>
      </c>
      <c r="AH435" s="13">
        <f>IF($AG435="","",p_factor_productividad*IFERROR(INDEX('ASIGNACIONES'!$I$4:$I$339,MATCH($O435&amp;"|"&amp;$R435&amp;"|"&amp;$AE435,'ASIGNACIONES'!$J$4:$J$339,0)),0)-$AG435)</f>
        <v/>
      </c>
      <c r="AI435" s="10">
        <f>IF($A435="","",IFERROR(INDEX('2_IMPORTAR_EJECUCION'!$F$9:$F$1208,MATCH($AQ435,'2_IMPORTAR_EJECUCION'!$J$9:$J$1208,0)),0))</f>
        <v/>
      </c>
      <c r="AJ435" s="10">
        <f>IF($A435="","",MAX(0,IFERROR(INDEX('2_IMPORTAR_EJECUCION'!$H$9:$H$1208,MATCH($AQ435,'2_IMPORTAR_EJECUCION'!$J$9:$J$1208,0)),0)-$AI435))</f>
        <v/>
      </c>
      <c r="AK435" s="10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2">
        <f>IF($J436="","",TODAY()-$J436)</f>
        <v/>
      </c>
      <c r="AB436" s="12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IF($AE436="","",IF((IFERROR(INDEX('ASIGNACIONES'!$F$4:$F$339,MATCH($O436&amp;"|"&amp;$R436&amp;"|"&amp;$AE436,'ASIGNACIONES'!$J$4:$J$339,0)),""))=0,"",IFERROR(INDEX('ASIGNACIONES'!$F$4:$F$339,MATCH($O436&amp;"|"&amp;$R436&amp;"|"&amp;$AE436,'ASIGNACIONES'!$J$4:$J$339,0)),"")))</f>
        <v/>
      </c>
      <c r="AG436" s="13">
        <f>IF($AE436="","",SUMIFS('ORDENES'!$M$4:$M$1203,'ORDENES'!$AE$4:$AE$1203,$AE436,'ORDENES'!$O$4:$O$1203,$O436,'ORDENES'!$R$4:$R$1203,$R436))</f>
        <v/>
      </c>
      <c r="AH436" s="13">
        <f>IF($AG436="","",p_factor_productividad*IFERROR(INDEX('ASIGNACIONES'!$I$4:$I$339,MATCH($O436&amp;"|"&amp;$R436&amp;"|"&amp;$AE436,'ASIGNACIONES'!$J$4:$J$339,0)),0)-$AG436)</f>
        <v/>
      </c>
      <c r="AI436" s="10">
        <f>IF($A436="","",IFERROR(INDEX('2_IMPORTAR_EJECUCION'!$F$9:$F$1208,MATCH($AQ436,'2_IMPORTAR_EJECUCION'!$J$9:$J$1208,0)),0))</f>
        <v/>
      </c>
      <c r="AJ436" s="10">
        <f>IF($A436="","",MAX(0,IFERROR(INDEX('2_IMPORTAR_EJECUCION'!$H$9:$H$1208,MATCH($AQ436,'2_IMPORTAR_EJECUCION'!$J$9:$J$1208,0)),0)-$AI436))</f>
        <v/>
      </c>
      <c r="AK436" s="10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2">
        <f>IF($J437="","",TODAY()-$J437)</f>
        <v/>
      </c>
      <c r="AB437" s="12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IF($AE437="","",IF((IFERROR(INDEX('ASIGNACIONES'!$F$4:$F$339,MATCH($O437&amp;"|"&amp;$R437&amp;"|"&amp;$AE437,'ASIGNACIONES'!$J$4:$J$339,0)),""))=0,"",IFERROR(INDEX('ASIGNACIONES'!$F$4:$F$339,MATCH($O437&amp;"|"&amp;$R437&amp;"|"&amp;$AE437,'ASIGNACIONES'!$J$4:$J$339,0)),"")))</f>
        <v/>
      </c>
      <c r="AG437" s="13">
        <f>IF($AE437="","",SUMIFS('ORDENES'!$M$4:$M$1203,'ORDENES'!$AE$4:$AE$1203,$AE437,'ORDENES'!$O$4:$O$1203,$O437,'ORDENES'!$R$4:$R$1203,$R437))</f>
        <v/>
      </c>
      <c r="AH437" s="13">
        <f>IF($AG437="","",p_factor_productividad*IFERROR(INDEX('ASIGNACIONES'!$I$4:$I$339,MATCH($O437&amp;"|"&amp;$R437&amp;"|"&amp;$AE437,'ASIGNACIONES'!$J$4:$J$339,0)),0)-$AG437)</f>
        <v/>
      </c>
      <c r="AI437" s="10">
        <f>IF($A437="","",IFERROR(INDEX('2_IMPORTAR_EJECUCION'!$F$9:$F$1208,MATCH($AQ437,'2_IMPORTAR_EJECUCION'!$J$9:$J$1208,0)),0))</f>
        <v/>
      </c>
      <c r="AJ437" s="10">
        <f>IF($A437="","",MAX(0,IFERROR(INDEX('2_IMPORTAR_EJECUCION'!$H$9:$H$1208,MATCH($AQ437,'2_IMPORTAR_EJECUCION'!$J$9:$J$1208,0)),0)-$AI437))</f>
        <v/>
      </c>
      <c r="AK437" s="10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2">
        <f>IF($J438="","",TODAY()-$J438)</f>
        <v/>
      </c>
      <c r="AB438" s="12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IF($AE438="","",IF((IFERROR(INDEX('ASIGNACIONES'!$F$4:$F$339,MATCH($O438&amp;"|"&amp;$R438&amp;"|"&amp;$AE438,'ASIGNACIONES'!$J$4:$J$339,0)),""))=0,"",IFERROR(INDEX('ASIGNACIONES'!$F$4:$F$339,MATCH($O438&amp;"|"&amp;$R438&amp;"|"&amp;$AE438,'ASIGNACIONES'!$J$4:$J$339,0)),"")))</f>
        <v/>
      </c>
      <c r="AG438" s="13">
        <f>IF($AE438="","",SUMIFS('ORDENES'!$M$4:$M$1203,'ORDENES'!$AE$4:$AE$1203,$AE438,'ORDENES'!$O$4:$O$1203,$O438,'ORDENES'!$R$4:$R$1203,$R438))</f>
        <v/>
      </c>
      <c r="AH438" s="13">
        <f>IF($AG438="","",p_factor_productividad*IFERROR(INDEX('ASIGNACIONES'!$I$4:$I$339,MATCH($O438&amp;"|"&amp;$R438&amp;"|"&amp;$AE438,'ASIGNACIONES'!$J$4:$J$339,0)),0)-$AG438)</f>
        <v/>
      </c>
      <c r="AI438" s="10">
        <f>IF($A438="","",IFERROR(INDEX('2_IMPORTAR_EJECUCION'!$F$9:$F$1208,MATCH($AQ438,'2_IMPORTAR_EJECUCION'!$J$9:$J$1208,0)),0))</f>
        <v/>
      </c>
      <c r="AJ438" s="10">
        <f>IF($A438="","",MAX(0,IFERROR(INDEX('2_IMPORTAR_EJECUCION'!$H$9:$H$1208,MATCH($AQ438,'2_IMPORTAR_EJECUCION'!$J$9:$J$1208,0)),0)-$AI438))</f>
        <v/>
      </c>
      <c r="AK438" s="10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2">
        <f>IF($J439="","",TODAY()-$J439)</f>
        <v/>
      </c>
      <c r="AB439" s="12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IF($AE439="","",IF((IFERROR(INDEX('ASIGNACIONES'!$F$4:$F$339,MATCH($O439&amp;"|"&amp;$R439&amp;"|"&amp;$AE439,'ASIGNACIONES'!$J$4:$J$339,0)),""))=0,"",IFERROR(INDEX('ASIGNACIONES'!$F$4:$F$339,MATCH($O439&amp;"|"&amp;$R439&amp;"|"&amp;$AE439,'ASIGNACIONES'!$J$4:$J$339,0)),"")))</f>
        <v/>
      </c>
      <c r="AG439" s="13">
        <f>IF($AE439="","",SUMIFS('ORDENES'!$M$4:$M$1203,'ORDENES'!$AE$4:$AE$1203,$AE439,'ORDENES'!$O$4:$O$1203,$O439,'ORDENES'!$R$4:$R$1203,$R439))</f>
        <v/>
      </c>
      <c r="AH439" s="13">
        <f>IF($AG439="","",p_factor_productividad*IFERROR(INDEX('ASIGNACIONES'!$I$4:$I$339,MATCH($O439&amp;"|"&amp;$R439&amp;"|"&amp;$AE439,'ASIGNACIONES'!$J$4:$J$339,0)),0)-$AG439)</f>
        <v/>
      </c>
      <c r="AI439" s="10">
        <f>IF($A439="","",IFERROR(INDEX('2_IMPORTAR_EJECUCION'!$F$9:$F$1208,MATCH($AQ439,'2_IMPORTAR_EJECUCION'!$J$9:$J$1208,0)),0))</f>
        <v/>
      </c>
      <c r="AJ439" s="10">
        <f>IF($A439="","",MAX(0,IFERROR(INDEX('2_IMPORTAR_EJECUCION'!$H$9:$H$1208,MATCH($AQ439,'2_IMPORTAR_EJECUCION'!$J$9:$J$1208,0)),0)-$AI439))</f>
        <v/>
      </c>
      <c r="AK439" s="10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2">
        <f>IF($J440="","",TODAY()-$J440)</f>
        <v/>
      </c>
      <c r="AB440" s="12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IF($AE440="","",IF((IFERROR(INDEX('ASIGNACIONES'!$F$4:$F$339,MATCH($O440&amp;"|"&amp;$R440&amp;"|"&amp;$AE440,'ASIGNACIONES'!$J$4:$J$339,0)),""))=0,"",IFERROR(INDEX('ASIGNACIONES'!$F$4:$F$339,MATCH($O440&amp;"|"&amp;$R440&amp;"|"&amp;$AE440,'ASIGNACIONES'!$J$4:$J$339,0)),"")))</f>
        <v/>
      </c>
      <c r="AG440" s="13">
        <f>IF($AE440="","",SUMIFS('ORDENES'!$M$4:$M$1203,'ORDENES'!$AE$4:$AE$1203,$AE440,'ORDENES'!$O$4:$O$1203,$O440,'ORDENES'!$R$4:$R$1203,$R440))</f>
        <v/>
      </c>
      <c r="AH440" s="13">
        <f>IF($AG440="","",p_factor_productividad*IFERROR(INDEX('ASIGNACIONES'!$I$4:$I$339,MATCH($O440&amp;"|"&amp;$R440&amp;"|"&amp;$AE440,'ASIGNACIONES'!$J$4:$J$339,0)),0)-$AG440)</f>
        <v/>
      </c>
      <c r="AI440" s="10">
        <f>IF($A440="","",IFERROR(INDEX('2_IMPORTAR_EJECUCION'!$F$9:$F$1208,MATCH($AQ440,'2_IMPORTAR_EJECUCION'!$J$9:$J$1208,0)),0))</f>
        <v/>
      </c>
      <c r="AJ440" s="10">
        <f>IF($A440="","",MAX(0,IFERROR(INDEX('2_IMPORTAR_EJECUCION'!$H$9:$H$1208,MATCH($AQ440,'2_IMPORTAR_EJECUCION'!$J$9:$J$1208,0)),0)-$AI440))</f>
        <v/>
      </c>
      <c r="AK440" s="10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2">
        <f>IF($J441="","",TODAY()-$J441)</f>
        <v/>
      </c>
      <c r="AB441" s="12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IF($AE441="","",IF((IFERROR(INDEX('ASIGNACIONES'!$F$4:$F$339,MATCH($O441&amp;"|"&amp;$R441&amp;"|"&amp;$AE441,'ASIGNACIONES'!$J$4:$J$339,0)),""))=0,"",IFERROR(INDEX('ASIGNACIONES'!$F$4:$F$339,MATCH($O441&amp;"|"&amp;$R441&amp;"|"&amp;$AE441,'ASIGNACIONES'!$J$4:$J$339,0)),"")))</f>
        <v/>
      </c>
      <c r="AG441" s="13">
        <f>IF($AE441="","",SUMIFS('ORDENES'!$M$4:$M$1203,'ORDENES'!$AE$4:$AE$1203,$AE441,'ORDENES'!$O$4:$O$1203,$O441,'ORDENES'!$R$4:$R$1203,$R441))</f>
        <v/>
      </c>
      <c r="AH441" s="13">
        <f>IF($AG441="","",p_factor_productividad*IFERROR(INDEX('ASIGNACIONES'!$I$4:$I$339,MATCH($O441&amp;"|"&amp;$R441&amp;"|"&amp;$AE441,'ASIGNACIONES'!$J$4:$J$339,0)),0)-$AG441)</f>
        <v/>
      </c>
      <c r="AI441" s="10">
        <f>IF($A441="","",IFERROR(INDEX('2_IMPORTAR_EJECUCION'!$F$9:$F$1208,MATCH($AQ441,'2_IMPORTAR_EJECUCION'!$J$9:$J$1208,0)),0))</f>
        <v/>
      </c>
      <c r="AJ441" s="10">
        <f>IF($A441="","",MAX(0,IFERROR(INDEX('2_IMPORTAR_EJECUCION'!$H$9:$H$1208,MATCH($AQ441,'2_IMPORTAR_EJECUCION'!$J$9:$J$1208,0)),0)-$AI441))</f>
        <v/>
      </c>
      <c r="AK441" s="10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2">
        <f>IF($J442="","",TODAY()-$J442)</f>
        <v/>
      </c>
      <c r="AB442" s="12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IF($AE442="","",IF((IFERROR(INDEX('ASIGNACIONES'!$F$4:$F$339,MATCH($O442&amp;"|"&amp;$R442&amp;"|"&amp;$AE442,'ASIGNACIONES'!$J$4:$J$339,0)),""))=0,"",IFERROR(INDEX('ASIGNACIONES'!$F$4:$F$339,MATCH($O442&amp;"|"&amp;$R442&amp;"|"&amp;$AE442,'ASIGNACIONES'!$J$4:$J$339,0)),"")))</f>
        <v/>
      </c>
      <c r="AG442" s="13">
        <f>IF($AE442="","",SUMIFS('ORDENES'!$M$4:$M$1203,'ORDENES'!$AE$4:$AE$1203,$AE442,'ORDENES'!$O$4:$O$1203,$O442,'ORDENES'!$R$4:$R$1203,$R442))</f>
        <v/>
      </c>
      <c r="AH442" s="13">
        <f>IF($AG442="","",p_factor_productividad*IFERROR(INDEX('ASIGNACIONES'!$I$4:$I$339,MATCH($O442&amp;"|"&amp;$R442&amp;"|"&amp;$AE442,'ASIGNACIONES'!$J$4:$J$339,0)),0)-$AG442)</f>
        <v/>
      </c>
      <c r="AI442" s="10">
        <f>IF($A442="","",IFERROR(INDEX('2_IMPORTAR_EJECUCION'!$F$9:$F$1208,MATCH($AQ442,'2_IMPORTAR_EJECUCION'!$J$9:$J$1208,0)),0))</f>
        <v/>
      </c>
      <c r="AJ442" s="10">
        <f>IF($A442="","",MAX(0,IFERROR(INDEX('2_IMPORTAR_EJECUCION'!$H$9:$H$1208,MATCH($AQ442,'2_IMPORTAR_EJECUCION'!$J$9:$J$1208,0)),0)-$AI442))</f>
        <v/>
      </c>
      <c r="AK442" s="10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2">
        <f>IF($J443="","",TODAY()-$J443)</f>
        <v/>
      </c>
      <c r="AB443" s="12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IF($AE443="","",IF((IFERROR(INDEX('ASIGNACIONES'!$F$4:$F$339,MATCH($O443&amp;"|"&amp;$R443&amp;"|"&amp;$AE443,'ASIGNACIONES'!$J$4:$J$339,0)),""))=0,"",IFERROR(INDEX('ASIGNACIONES'!$F$4:$F$339,MATCH($O443&amp;"|"&amp;$R443&amp;"|"&amp;$AE443,'ASIGNACIONES'!$J$4:$J$339,0)),"")))</f>
        <v/>
      </c>
      <c r="AG443" s="13">
        <f>IF($AE443="","",SUMIFS('ORDENES'!$M$4:$M$1203,'ORDENES'!$AE$4:$AE$1203,$AE443,'ORDENES'!$O$4:$O$1203,$O443,'ORDENES'!$R$4:$R$1203,$R443))</f>
        <v/>
      </c>
      <c r="AH443" s="13">
        <f>IF($AG443="","",p_factor_productividad*IFERROR(INDEX('ASIGNACIONES'!$I$4:$I$339,MATCH($O443&amp;"|"&amp;$R443&amp;"|"&amp;$AE443,'ASIGNACIONES'!$J$4:$J$339,0)),0)-$AG443)</f>
        <v/>
      </c>
      <c r="AI443" s="10">
        <f>IF($A443="","",IFERROR(INDEX('2_IMPORTAR_EJECUCION'!$F$9:$F$1208,MATCH($AQ443,'2_IMPORTAR_EJECUCION'!$J$9:$J$1208,0)),0))</f>
        <v/>
      </c>
      <c r="AJ443" s="10">
        <f>IF($A443="","",MAX(0,IFERROR(INDEX('2_IMPORTAR_EJECUCION'!$H$9:$H$1208,MATCH($AQ443,'2_IMPORTAR_EJECUCION'!$J$9:$J$1208,0)),0)-$AI443))</f>
        <v/>
      </c>
      <c r="AK443" s="10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2">
        <f>IF($J444="","",TODAY()-$J444)</f>
        <v/>
      </c>
      <c r="AB444" s="12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IF($AE444="","",IF((IFERROR(INDEX('ASIGNACIONES'!$F$4:$F$339,MATCH($O444&amp;"|"&amp;$R444&amp;"|"&amp;$AE444,'ASIGNACIONES'!$J$4:$J$339,0)),""))=0,"",IFERROR(INDEX('ASIGNACIONES'!$F$4:$F$339,MATCH($O444&amp;"|"&amp;$R444&amp;"|"&amp;$AE444,'ASIGNACIONES'!$J$4:$J$339,0)),"")))</f>
        <v/>
      </c>
      <c r="AG444" s="13">
        <f>IF($AE444="","",SUMIFS('ORDENES'!$M$4:$M$1203,'ORDENES'!$AE$4:$AE$1203,$AE444,'ORDENES'!$O$4:$O$1203,$O444,'ORDENES'!$R$4:$R$1203,$R444))</f>
        <v/>
      </c>
      <c r="AH444" s="13">
        <f>IF($AG444="","",p_factor_productividad*IFERROR(INDEX('ASIGNACIONES'!$I$4:$I$339,MATCH($O444&amp;"|"&amp;$R444&amp;"|"&amp;$AE444,'ASIGNACIONES'!$J$4:$J$339,0)),0)-$AG444)</f>
        <v/>
      </c>
      <c r="AI444" s="10">
        <f>IF($A444="","",IFERROR(INDEX('2_IMPORTAR_EJECUCION'!$F$9:$F$1208,MATCH($AQ444,'2_IMPORTAR_EJECUCION'!$J$9:$J$1208,0)),0))</f>
        <v/>
      </c>
      <c r="AJ444" s="10">
        <f>IF($A444="","",MAX(0,IFERROR(INDEX('2_IMPORTAR_EJECUCION'!$H$9:$H$1208,MATCH($AQ444,'2_IMPORTAR_EJECUCION'!$J$9:$J$1208,0)),0)-$AI444))</f>
        <v/>
      </c>
      <c r="AK444" s="10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2">
        <f>IF($J445="","",TODAY()-$J445)</f>
        <v/>
      </c>
      <c r="AB445" s="12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IF($AE445="","",IF((IFERROR(INDEX('ASIGNACIONES'!$F$4:$F$339,MATCH($O445&amp;"|"&amp;$R445&amp;"|"&amp;$AE445,'ASIGNACIONES'!$J$4:$J$339,0)),""))=0,"",IFERROR(INDEX('ASIGNACIONES'!$F$4:$F$339,MATCH($O445&amp;"|"&amp;$R445&amp;"|"&amp;$AE445,'ASIGNACIONES'!$J$4:$J$339,0)),"")))</f>
        <v/>
      </c>
      <c r="AG445" s="13">
        <f>IF($AE445="","",SUMIFS('ORDENES'!$M$4:$M$1203,'ORDENES'!$AE$4:$AE$1203,$AE445,'ORDENES'!$O$4:$O$1203,$O445,'ORDENES'!$R$4:$R$1203,$R445))</f>
        <v/>
      </c>
      <c r="AH445" s="13">
        <f>IF($AG445="","",p_factor_productividad*IFERROR(INDEX('ASIGNACIONES'!$I$4:$I$339,MATCH($O445&amp;"|"&amp;$R445&amp;"|"&amp;$AE445,'ASIGNACIONES'!$J$4:$J$339,0)),0)-$AG445)</f>
        <v/>
      </c>
      <c r="AI445" s="10">
        <f>IF($A445="","",IFERROR(INDEX('2_IMPORTAR_EJECUCION'!$F$9:$F$1208,MATCH($AQ445,'2_IMPORTAR_EJECUCION'!$J$9:$J$1208,0)),0))</f>
        <v/>
      </c>
      <c r="AJ445" s="10">
        <f>IF($A445="","",MAX(0,IFERROR(INDEX('2_IMPORTAR_EJECUCION'!$H$9:$H$1208,MATCH($AQ445,'2_IMPORTAR_EJECUCION'!$J$9:$J$1208,0)),0)-$AI445))</f>
        <v/>
      </c>
      <c r="AK445" s="10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2">
        <f>IF($J446="","",TODAY()-$J446)</f>
        <v/>
      </c>
      <c r="AB446" s="12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IF($AE446="","",IF((IFERROR(INDEX('ASIGNACIONES'!$F$4:$F$339,MATCH($O446&amp;"|"&amp;$R446&amp;"|"&amp;$AE446,'ASIGNACIONES'!$J$4:$J$339,0)),""))=0,"",IFERROR(INDEX('ASIGNACIONES'!$F$4:$F$339,MATCH($O446&amp;"|"&amp;$R446&amp;"|"&amp;$AE446,'ASIGNACIONES'!$J$4:$J$339,0)),"")))</f>
        <v/>
      </c>
      <c r="AG446" s="13">
        <f>IF($AE446="","",SUMIFS('ORDENES'!$M$4:$M$1203,'ORDENES'!$AE$4:$AE$1203,$AE446,'ORDENES'!$O$4:$O$1203,$O446,'ORDENES'!$R$4:$R$1203,$R446))</f>
        <v/>
      </c>
      <c r="AH446" s="13">
        <f>IF($AG446="","",p_factor_productividad*IFERROR(INDEX('ASIGNACIONES'!$I$4:$I$339,MATCH($O446&amp;"|"&amp;$R446&amp;"|"&amp;$AE446,'ASIGNACIONES'!$J$4:$J$339,0)),0)-$AG446)</f>
        <v/>
      </c>
      <c r="AI446" s="10">
        <f>IF($A446="","",IFERROR(INDEX('2_IMPORTAR_EJECUCION'!$F$9:$F$1208,MATCH($AQ446,'2_IMPORTAR_EJECUCION'!$J$9:$J$1208,0)),0))</f>
        <v/>
      </c>
      <c r="AJ446" s="10">
        <f>IF($A446="","",MAX(0,IFERROR(INDEX('2_IMPORTAR_EJECUCION'!$H$9:$H$1208,MATCH($AQ446,'2_IMPORTAR_EJECUCION'!$J$9:$J$1208,0)),0)-$AI446))</f>
        <v/>
      </c>
      <c r="AK446" s="10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2">
        <f>IF($J447="","",TODAY()-$J447)</f>
        <v/>
      </c>
      <c r="AB447" s="12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IF($AE447="","",IF((IFERROR(INDEX('ASIGNACIONES'!$F$4:$F$339,MATCH($O447&amp;"|"&amp;$R447&amp;"|"&amp;$AE447,'ASIGNACIONES'!$J$4:$J$339,0)),""))=0,"",IFERROR(INDEX('ASIGNACIONES'!$F$4:$F$339,MATCH($O447&amp;"|"&amp;$R447&amp;"|"&amp;$AE447,'ASIGNACIONES'!$J$4:$J$339,0)),"")))</f>
        <v/>
      </c>
      <c r="AG447" s="13">
        <f>IF($AE447="","",SUMIFS('ORDENES'!$M$4:$M$1203,'ORDENES'!$AE$4:$AE$1203,$AE447,'ORDENES'!$O$4:$O$1203,$O447,'ORDENES'!$R$4:$R$1203,$R447))</f>
        <v/>
      </c>
      <c r="AH447" s="13">
        <f>IF($AG447="","",p_factor_productividad*IFERROR(INDEX('ASIGNACIONES'!$I$4:$I$339,MATCH($O447&amp;"|"&amp;$R447&amp;"|"&amp;$AE447,'ASIGNACIONES'!$J$4:$J$339,0)),0)-$AG447)</f>
        <v/>
      </c>
      <c r="AI447" s="10">
        <f>IF($A447="","",IFERROR(INDEX('2_IMPORTAR_EJECUCION'!$F$9:$F$1208,MATCH($AQ447,'2_IMPORTAR_EJECUCION'!$J$9:$J$1208,0)),0))</f>
        <v/>
      </c>
      <c r="AJ447" s="10">
        <f>IF($A447="","",MAX(0,IFERROR(INDEX('2_IMPORTAR_EJECUCION'!$H$9:$H$1208,MATCH($AQ447,'2_IMPORTAR_EJECUCION'!$J$9:$J$1208,0)),0)-$AI447))</f>
        <v/>
      </c>
      <c r="AK447" s="10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2">
        <f>IF($J448="","",TODAY()-$J448)</f>
        <v/>
      </c>
      <c r="AB448" s="12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IF($AE448="","",IF((IFERROR(INDEX('ASIGNACIONES'!$F$4:$F$339,MATCH($O448&amp;"|"&amp;$R448&amp;"|"&amp;$AE448,'ASIGNACIONES'!$J$4:$J$339,0)),""))=0,"",IFERROR(INDEX('ASIGNACIONES'!$F$4:$F$339,MATCH($O448&amp;"|"&amp;$R448&amp;"|"&amp;$AE448,'ASIGNACIONES'!$J$4:$J$339,0)),"")))</f>
        <v/>
      </c>
      <c r="AG448" s="13">
        <f>IF($AE448="","",SUMIFS('ORDENES'!$M$4:$M$1203,'ORDENES'!$AE$4:$AE$1203,$AE448,'ORDENES'!$O$4:$O$1203,$O448,'ORDENES'!$R$4:$R$1203,$R448))</f>
        <v/>
      </c>
      <c r="AH448" s="13">
        <f>IF($AG448="","",p_factor_productividad*IFERROR(INDEX('ASIGNACIONES'!$I$4:$I$339,MATCH($O448&amp;"|"&amp;$R448&amp;"|"&amp;$AE448,'ASIGNACIONES'!$J$4:$J$339,0)),0)-$AG448)</f>
        <v/>
      </c>
      <c r="AI448" s="10">
        <f>IF($A448="","",IFERROR(INDEX('2_IMPORTAR_EJECUCION'!$F$9:$F$1208,MATCH($AQ448,'2_IMPORTAR_EJECUCION'!$J$9:$J$1208,0)),0))</f>
        <v/>
      </c>
      <c r="AJ448" s="10">
        <f>IF($A448="","",MAX(0,IFERROR(INDEX('2_IMPORTAR_EJECUCION'!$H$9:$H$1208,MATCH($AQ448,'2_IMPORTAR_EJECUCION'!$J$9:$J$1208,0)),0)-$AI448))</f>
        <v/>
      </c>
      <c r="AK448" s="10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2">
        <f>IF($J449="","",TODAY()-$J449)</f>
        <v/>
      </c>
      <c r="AB449" s="12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IF($AE449="","",IF((IFERROR(INDEX('ASIGNACIONES'!$F$4:$F$339,MATCH($O449&amp;"|"&amp;$R449&amp;"|"&amp;$AE449,'ASIGNACIONES'!$J$4:$J$339,0)),""))=0,"",IFERROR(INDEX('ASIGNACIONES'!$F$4:$F$339,MATCH($O449&amp;"|"&amp;$R449&amp;"|"&amp;$AE449,'ASIGNACIONES'!$J$4:$J$339,0)),"")))</f>
        <v/>
      </c>
      <c r="AG449" s="13">
        <f>IF($AE449="","",SUMIFS('ORDENES'!$M$4:$M$1203,'ORDENES'!$AE$4:$AE$1203,$AE449,'ORDENES'!$O$4:$O$1203,$O449,'ORDENES'!$R$4:$R$1203,$R449))</f>
        <v/>
      </c>
      <c r="AH449" s="13">
        <f>IF($AG449="","",p_factor_productividad*IFERROR(INDEX('ASIGNACIONES'!$I$4:$I$339,MATCH($O449&amp;"|"&amp;$R449&amp;"|"&amp;$AE449,'ASIGNACIONES'!$J$4:$J$339,0)),0)-$AG449)</f>
        <v/>
      </c>
      <c r="AI449" s="10">
        <f>IF($A449="","",IFERROR(INDEX('2_IMPORTAR_EJECUCION'!$F$9:$F$1208,MATCH($AQ449,'2_IMPORTAR_EJECUCION'!$J$9:$J$1208,0)),0))</f>
        <v/>
      </c>
      <c r="AJ449" s="10">
        <f>IF($A449="","",MAX(0,IFERROR(INDEX('2_IMPORTAR_EJECUCION'!$H$9:$H$1208,MATCH($AQ449,'2_IMPORTAR_EJECUCION'!$J$9:$J$1208,0)),0)-$AI449))</f>
        <v/>
      </c>
      <c r="AK449" s="10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2">
        <f>IF($J450="","",TODAY()-$J450)</f>
        <v/>
      </c>
      <c r="AB450" s="12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IF($AE450="","",IF((IFERROR(INDEX('ASIGNACIONES'!$F$4:$F$339,MATCH($O450&amp;"|"&amp;$R450&amp;"|"&amp;$AE450,'ASIGNACIONES'!$J$4:$J$339,0)),""))=0,"",IFERROR(INDEX('ASIGNACIONES'!$F$4:$F$339,MATCH($O450&amp;"|"&amp;$R450&amp;"|"&amp;$AE450,'ASIGNACIONES'!$J$4:$J$339,0)),"")))</f>
        <v/>
      </c>
      <c r="AG450" s="13">
        <f>IF($AE450="","",SUMIFS('ORDENES'!$M$4:$M$1203,'ORDENES'!$AE$4:$AE$1203,$AE450,'ORDENES'!$O$4:$O$1203,$O450,'ORDENES'!$R$4:$R$1203,$R450))</f>
        <v/>
      </c>
      <c r="AH450" s="13">
        <f>IF($AG450="","",p_factor_productividad*IFERROR(INDEX('ASIGNACIONES'!$I$4:$I$339,MATCH($O450&amp;"|"&amp;$R450&amp;"|"&amp;$AE450,'ASIGNACIONES'!$J$4:$J$339,0)),0)-$AG450)</f>
        <v/>
      </c>
      <c r="AI450" s="10">
        <f>IF($A450="","",IFERROR(INDEX('2_IMPORTAR_EJECUCION'!$F$9:$F$1208,MATCH($AQ450,'2_IMPORTAR_EJECUCION'!$J$9:$J$1208,0)),0))</f>
        <v/>
      </c>
      <c r="AJ450" s="10">
        <f>IF($A450="","",MAX(0,IFERROR(INDEX('2_IMPORTAR_EJECUCION'!$H$9:$H$1208,MATCH($AQ450,'2_IMPORTAR_EJECUCION'!$J$9:$J$1208,0)),0)-$AI450))</f>
        <v/>
      </c>
      <c r="AK450" s="10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2">
        <f>IF($J451="","",TODAY()-$J451)</f>
        <v/>
      </c>
      <c r="AB451" s="12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IF($AE451="","",IF((IFERROR(INDEX('ASIGNACIONES'!$F$4:$F$339,MATCH($O451&amp;"|"&amp;$R451&amp;"|"&amp;$AE451,'ASIGNACIONES'!$J$4:$J$339,0)),""))=0,"",IFERROR(INDEX('ASIGNACIONES'!$F$4:$F$339,MATCH($O451&amp;"|"&amp;$R451&amp;"|"&amp;$AE451,'ASIGNACIONES'!$J$4:$J$339,0)),"")))</f>
        <v/>
      </c>
      <c r="AG451" s="13">
        <f>IF($AE451="","",SUMIFS('ORDENES'!$M$4:$M$1203,'ORDENES'!$AE$4:$AE$1203,$AE451,'ORDENES'!$O$4:$O$1203,$O451,'ORDENES'!$R$4:$R$1203,$R451))</f>
        <v/>
      </c>
      <c r="AH451" s="13">
        <f>IF($AG451="","",p_factor_productividad*IFERROR(INDEX('ASIGNACIONES'!$I$4:$I$339,MATCH($O451&amp;"|"&amp;$R451&amp;"|"&amp;$AE451,'ASIGNACIONES'!$J$4:$J$339,0)),0)-$AG451)</f>
        <v/>
      </c>
      <c r="AI451" s="10">
        <f>IF($A451="","",IFERROR(INDEX('2_IMPORTAR_EJECUCION'!$F$9:$F$1208,MATCH($AQ451,'2_IMPORTAR_EJECUCION'!$J$9:$J$1208,0)),0))</f>
        <v/>
      </c>
      <c r="AJ451" s="10">
        <f>IF($A451="","",MAX(0,IFERROR(INDEX('2_IMPORTAR_EJECUCION'!$H$9:$H$1208,MATCH($AQ451,'2_IMPORTAR_EJECUCION'!$J$9:$J$1208,0)),0)-$AI451))</f>
        <v/>
      </c>
      <c r="AK451" s="10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2">
        <f>IF($J452="","",TODAY()-$J452)</f>
        <v/>
      </c>
      <c r="AB452" s="12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IF($AE452="","",IF((IFERROR(INDEX('ASIGNACIONES'!$F$4:$F$339,MATCH($O452&amp;"|"&amp;$R452&amp;"|"&amp;$AE452,'ASIGNACIONES'!$J$4:$J$339,0)),""))=0,"",IFERROR(INDEX('ASIGNACIONES'!$F$4:$F$339,MATCH($O452&amp;"|"&amp;$R452&amp;"|"&amp;$AE452,'ASIGNACIONES'!$J$4:$J$339,0)),"")))</f>
        <v/>
      </c>
      <c r="AG452" s="13">
        <f>IF($AE452="","",SUMIFS('ORDENES'!$M$4:$M$1203,'ORDENES'!$AE$4:$AE$1203,$AE452,'ORDENES'!$O$4:$O$1203,$O452,'ORDENES'!$R$4:$R$1203,$R452))</f>
        <v/>
      </c>
      <c r="AH452" s="13">
        <f>IF($AG452="","",p_factor_productividad*IFERROR(INDEX('ASIGNACIONES'!$I$4:$I$339,MATCH($O452&amp;"|"&amp;$R452&amp;"|"&amp;$AE452,'ASIGNACIONES'!$J$4:$J$339,0)),0)-$AG452)</f>
        <v/>
      </c>
      <c r="AI452" s="10">
        <f>IF($A452="","",IFERROR(INDEX('2_IMPORTAR_EJECUCION'!$F$9:$F$1208,MATCH($AQ452,'2_IMPORTAR_EJECUCION'!$J$9:$J$1208,0)),0))</f>
        <v/>
      </c>
      <c r="AJ452" s="10">
        <f>IF($A452="","",MAX(0,IFERROR(INDEX('2_IMPORTAR_EJECUCION'!$H$9:$H$1208,MATCH($AQ452,'2_IMPORTAR_EJECUCION'!$J$9:$J$1208,0)),0)-$AI452))</f>
        <v/>
      </c>
      <c r="AK452" s="10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2">
        <f>IF($J453="","",TODAY()-$J453)</f>
        <v/>
      </c>
      <c r="AB453" s="12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IF($AE453="","",IF((IFERROR(INDEX('ASIGNACIONES'!$F$4:$F$339,MATCH($O453&amp;"|"&amp;$R453&amp;"|"&amp;$AE453,'ASIGNACIONES'!$J$4:$J$339,0)),""))=0,"",IFERROR(INDEX('ASIGNACIONES'!$F$4:$F$339,MATCH($O453&amp;"|"&amp;$R453&amp;"|"&amp;$AE453,'ASIGNACIONES'!$J$4:$J$339,0)),"")))</f>
        <v/>
      </c>
      <c r="AG453" s="13">
        <f>IF($AE453="","",SUMIFS('ORDENES'!$M$4:$M$1203,'ORDENES'!$AE$4:$AE$1203,$AE453,'ORDENES'!$O$4:$O$1203,$O453,'ORDENES'!$R$4:$R$1203,$R453))</f>
        <v/>
      </c>
      <c r="AH453" s="13">
        <f>IF($AG453="","",p_factor_productividad*IFERROR(INDEX('ASIGNACIONES'!$I$4:$I$339,MATCH($O453&amp;"|"&amp;$R453&amp;"|"&amp;$AE453,'ASIGNACIONES'!$J$4:$J$339,0)),0)-$AG453)</f>
        <v/>
      </c>
      <c r="AI453" s="10">
        <f>IF($A453="","",IFERROR(INDEX('2_IMPORTAR_EJECUCION'!$F$9:$F$1208,MATCH($AQ453,'2_IMPORTAR_EJECUCION'!$J$9:$J$1208,0)),0))</f>
        <v/>
      </c>
      <c r="AJ453" s="10">
        <f>IF($A453="","",MAX(0,IFERROR(INDEX('2_IMPORTAR_EJECUCION'!$H$9:$H$1208,MATCH($AQ453,'2_IMPORTAR_EJECUCION'!$J$9:$J$1208,0)),0)-$AI453))</f>
        <v/>
      </c>
      <c r="AK453" s="10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2">
        <f>IF($J454="","",TODAY()-$J454)</f>
        <v/>
      </c>
      <c r="AB454" s="12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IF($AE454="","",IF((IFERROR(INDEX('ASIGNACIONES'!$F$4:$F$339,MATCH($O454&amp;"|"&amp;$R454&amp;"|"&amp;$AE454,'ASIGNACIONES'!$J$4:$J$339,0)),""))=0,"",IFERROR(INDEX('ASIGNACIONES'!$F$4:$F$339,MATCH($O454&amp;"|"&amp;$R454&amp;"|"&amp;$AE454,'ASIGNACIONES'!$J$4:$J$339,0)),"")))</f>
        <v/>
      </c>
      <c r="AG454" s="13">
        <f>IF($AE454="","",SUMIFS('ORDENES'!$M$4:$M$1203,'ORDENES'!$AE$4:$AE$1203,$AE454,'ORDENES'!$O$4:$O$1203,$O454,'ORDENES'!$R$4:$R$1203,$R454))</f>
        <v/>
      </c>
      <c r="AH454" s="13">
        <f>IF($AG454="","",p_factor_productividad*IFERROR(INDEX('ASIGNACIONES'!$I$4:$I$339,MATCH($O454&amp;"|"&amp;$R454&amp;"|"&amp;$AE454,'ASIGNACIONES'!$J$4:$J$339,0)),0)-$AG454)</f>
        <v/>
      </c>
      <c r="AI454" s="10">
        <f>IF($A454="","",IFERROR(INDEX('2_IMPORTAR_EJECUCION'!$F$9:$F$1208,MATCH($AQ454,'2_IMPORTAR_EJECUCION'!$J$9:$J$1208,0)),0))</f>
        <v/>
      </c>
      <c r="AJ454" s="10">
        <f>IF($A454="","",MAX(0,IFERROR(INDEX('2_IMPORTAR_EJECUCION'!$H$9:$H$1208,MATCH($AQ454,'2_IMPORTAR_EJECUCION'!$J$9:$J$1208,0)),0)-$AI454))</f>
        <v/>
      </c>
      <c r="AK454" s="10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2">
        <f>IF($J455="","",TODAY()-$J455)</f>
        <v/>
      </c>
      <c r="AB455" s="12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IF($AE455="","",IF((IFERROR(INDEX('ASIGNACIONES'!$F$4:$F$339,MATCH($O455&amp;"|"&amp;$R455&amp;"|"&amp;$AE455,'ASIGNACIONES'!$J$4:$J$339,0)),""))=0,"",IFERROR(INDEX('ASIGNACIONES'!$F$4:$F$339,MATCH($O455&amp;"|"&amp;$R455&amp;"|"&amp;$AE455,'ASIGNACIONES'!$J$4:$J$339,0)),"")))</f>
        <v/>
      </c>
      <c r="AG455" s="13">
        <f>IF($AE455="","",SUMIFS('ORDENES'!$M$4:$M$1203,'ORDENES'!$AE$4:$AE$1203,$AE455,'ORDENES'!$O$4:$O$1203,$O455,'ORDENES'!$R$4:$R$1203,$R455))</f>
        <v/>
      </c>
      <c r="AH455" s="13">
        <f>IF($AG455="","",p_factor_productividad*IFERROR(INDEX('ASIGNACIONES'!$I$4:$I$339,MATCH($O455&amp;"|"&amp;$R455&amp;"|"&amp;$AE455,'ASIGNACIONES'!$J$4:$J$339,0)),0)-$AG455)</f>
        <v/>
      </c>
      <c r="AI455" s="10">
        <f>IF($A455="","",IFERROR(INDEX('2_IMPORTAR_EJECUCION'!$F$9:$F$1208,MATCH($AQ455,'2_IMPORTAR_EJECUCION'!$J$9:$J$1208,0)),0))</f>
        <v/>
      </c>
      <c r="AJ455" s="10">
        <f>IF($A455="","",MAX(0,IFERROR(INDEX('2_IMPORTAR_EJECUCION'!$H$9:$H$1208,MATCH($AQ455,'2_IMPORTAR_EJECUCION'!$J$9:$J$1208,0)),0)-$AI455))</f>
        <v/>
      </c>
      <c r="AK455" s="10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2">
        <f>IF($J456="","",TODAY()-$J456)</f>
        <v/>
      </c>
      <c r="AB456" s="12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IF($AE456="","",IF((IFERROR(INDEX('ASIGNACIONES'!$F$4:$F$339,MATCH($O456&amp;"|"&amp;$R456&amp;"|"&amp;$AE456,'ASIGNACIONES'!$J$4:$J$339,0)),""))=0,"",IFERROR(INDEX('ASIGNACIONES'!$F$4:$F$339,MATCH($O456&amp;"|"&amp;$R456&amp;"|"&amp;$AE456,'ASIGNACIONES'!$J$4:$J$339,0)),"")))</f>
        <v/>
      </c>
      <c r="AG456" s="13">
        <f>IF($AE456="","",SUMIFS('ORDENES'!$M$4:$M$1203,'ORDENES'!$AE$4:$AE$1203,$AE456,'ORDENES'!$O$4:$O$1203,$O456,'ORDENES'!$R$4:$R$1203,$R456))</f>
        <v/>
      </c>
      <c r="AH456" s="13">
        <f>IF($AG456="","",p_factor_productividad*IFERROR(INDEX('ASIGNACIONES'!$I$4:$I$339,MATCH($O456&amp;"|"&amp;$R456&amp;"|"&amp;$AE456,'ASIGNACIONES'!$J$4:$J$339,0)),0)-$AG456)</f>
        <v/>
      </c>
      <c r="AI456" s="10">
        <f>IF($A456="","",IFERROR(INDEX('2_IMPORTAR_EJECUCION'!$F$9:$F$1208,MATCH($AQ456,'2_IMPORTAR_EJECUCION'!$J$9:$J$1208,0)),0))</f>
        <v/>
      </c>
      <c r="AJ456" s="10">
        <f>IF($A456="","",MAX(0,IFERROR(INDEX('2_IMPORTAR_EJECUCION'!$H$9:$H$1208,MATCH($AQ456,'2_IMPORTAR_EJECUCION'!$J$9:$J$1208,0)),0)-$AI456))</f>
        <v/>
      </c>
      <c r="AK456" s="10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2">
        <f>IF($J457="","",TODAY()-$J457)</f>
        <v/>
      </c>
      <c r="AB457" s="12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IF($AE457="","",IF((IFERROR(INDEX('ASIGNACIONES'!$F$4:$F$339,MATCH($O457&amp;"|"&amp;$R457&amp;"|"&amp;$AE457,'ASIGNACIONES'!$J$4:$J$339,0)),""))=0,"",IFERROR(INDEX('ASIGNACIONES'!$F$4:$F$339,MATCH($O457&amp;"|"&amp;$R457&amp;"|"&amp;$AE457,'ASIGNACIONES'!$J$4:$J$339,0)),"")))</f>
        <v/>
      </c>
      <c r="AG457" s="13">
        <f>IF($AE457="","",SUMIFS('ORDENES'!$M$4:$M$1203,'ORDENES'!$AE$4:$AE$1203,$AE457,'ORDENES'!$O$4:$O$1203,$O457,'ORDENES'!$R$4:$R$1203,$R457))</f>
        <v/>
      </c>
      <c r="AH457" s="13">
        <f>IF($AG457="","",p_factor_productividad*IFERROR(INDEX('ASIGNACIONES'!$I$4:$I$339,MATCH($O457&amp;"|"&amp;$R457&amp;"|"&amp;$AE457,'ASIGNACIONES'!$J$4:$J$339,0)),0)-$AG457)</f>
        <v/>
      </c>
      <c r="AI457" s="10">
        <f>IF($A457="","",IFERROR(INDEX('2_IMPORTAR_EJECUCION'!$F$9:$F$1208,MATCH($AQ457,'2_IMPORTAR_EJECUCION'!$J$9:$J$1208,0)),0))</f>
        <v/>
      </c>
      <c r="AJ457" s="10">
        <f>IF($A457="","",MAX(0,IFERROR(INDEX('2_IMPORTAR_EJECUCION'!$H$9:$H$1208,MATCH($AQ457,'2_IMPORTAR_EJECUCION'!$J$9:$J$1208,0)),0)-$AI457))</f>
        <v/>
      </c>
      <c r="AK457" s="10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2">
        <f>IF($J458="","",TODAY()-$J458)</f>
        <v/>
      </c>
      <c r="AB458" s="12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IF($AE458="","",IF((IFERROR(INDEX('ASIGNACIONES'!$F$4:$F$339,MATCH($O458&amp;"|"&amp;$R458&amp;"|"&amp;$AE458,'ASIGNACIONES'!$J$4:$J$339,0)),""))=0,"",IFERROR(INDEX('ASIGNACIONES'!$F$4:$F$339,MATCH($O458&amp;"|"&amp;$R458&amp;"|"&amp;$AE458,'ASIGNACIONES'!$J$4:$J$339,0)),"")))</f>
        <v/>
      </c>
      <c r="AG458" s="13">
        <f>IF($AE458="","",SUMIFS('ORDENES'!$M$4:$M$1203,'ORDENES'!$AE$4:$AE$1203,$AE458,'ORDENES'!$O$4:$O$1203,$O458,'ORDENES'!$R$4:$R$1203,$R458))</f>
        <v/>
      </c>
      <c r="AH458" s="13">
        <f>IF($AG458="","",p_factor_productividad*IFERROR(INDEX('ASIGNACIONES'!$I$4:$I$339,MATCH($O458&amp;"|"&amp;$R458&amp;"|"&amp;$AE458,'ASIGNACIONES'!$J$4:$J$339,0)),0)-$AG458)</f>
        <v/>
      </c>
      <c r="AI458" s="10">
        <f>IF($A458="","",IFERROR(INDEX('2_IMPORTAR_EJECUCION'!$F$9:$F$1208,MATCH($AQ458,'2_IMPORTAR_EJECUCION'!$J$9:$J$1208,0)),0))</f>
        <v/>
      </c>
      <c r="AJ458" s="10">
        <f>IF($A458="","",MAX(0,IFERROR(INDEX('2_IMPORTAR_EJECUCION'!$H$9:$H$1208,MATCH($AQ458,'2_IMPORTAR_EJECUCION'!$J$9:$J$1208,0)),0)-$AI458))</f>
        <v/>
      </c>
      <c r="AK458" s="10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2">
        <f>IF($J459="","",TODAY()-$J459)</f>
        <v/>
      </c>
      <c r="AB459" s="12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IF($AE459="","",IF((IFERROR(INDEX('ASIGNACIONES'!$F$4:$F$339,MATCH($O459&amp;"|"&amp;$R459&amp;"|"&amp;$AE459,'ASIGNACIONES'!$J$4:$J$339,0)),""))=0,"",IFERROR(INDEX('ASIGNACIONES'!$F$4:$F$339,MATCH($O459&amp;"|"&amp;$R459&amp;"|"&amp;$AE459,'ASIGNACIONES'!$J$4:$J$339,0)),"")))</f>
        <v/>
      </c>
      <c r="AG459" s="13">
        <f>IF($AE459="","",SUMIFS('ORDENES'!$M$4:$M$1203,'ORDENES'!$AE$4:$AE$1203,$AE459,'ORDENES'!$O$4:$O$1203,$O459,'ORDENES'!$R$4:$R$1203,$R459))</f>
        <v/>
      </c>
      <c r="AH459" s="13">
        <f>IF($AG459="","",p_factor_productividad*IFERROR(INDEX('ASIGNACIONES'!$I$4:$I$339,MATCH($O459&amp;"|"&amp;$R459&amp;"|"&amp;$AE459,'ASIGNACIONES'!$J$4:$J$339,0)),0)-$AG459)</f>
        <v/>
      </c>
      <c r="AI459" s="10">
        <f>IF($A459="","",IFERROR(INDEX('2_IMPORTAR_EJECUCION'!$F$9:$F$1208,MATCH($AQ459,'2_IMPORTAR_EJECUCION'!$J$9:$J$1208,0)),0))</f>
        <v/>
      </c>
      <c r="AJ459" s="10">
        <f>IF($A459="","",MAX(0,IFERROR(INDEX('2_IMPORTAR_EJECUCION'!$H$9:$H$1208,MATCH($AQ459,'2_IMPORTAR_EJECUCION'!$J$9:$J$1208,0)),0)-$AI459))</f>
        <v/>
      </c>
      <c r="AK459" s="10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2">
        <f>IF($J460="","",TODAY()-$J460)</f>
        <v/>
      </c>
      <c r="AB460" s="12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IF($AE460="","",IF((IFERROR(INDEX('ASIGNACIONES'!$F$4:$F$339,MATCH($O460&amp;"|"&amp;$R460&amp;"|"&amp;$AE460,'ASIGNACIONES'!$J$4:$J$339,0)),""))=0,"",IFERROR(INDEX('ASIGNACIONES'!$F$4:$F$339,MATCH($O460&amp;"|"&amp;$R460&amp;"|"&amp;$AE460,'ASIGNACIONES'!$J$4:$J$339,0)),"")))</f>
        <v/>
      </c>
      <c r="AG460" s="13">
        <f>IF($AE460="","",SUMIFS('ORDENES'!$M$4:$M$1203,'ORDENES'!$AE$4:$AE$1203,$AE460,'ORDENES'!$O$4:$O$1203,$O460,'ORDENES'!$R$4:$R$1203,$R460))</f>
        <v/>
      </c>
      <c r="AH460" s="13">
        <f>IF($AG460="","",p_factor_productividad*IFERROR(INDEX('ASIGNACIONES'!$I$4:$I$339,MATCH($O460&amp;"|"&amp;$R460&amp;"|"&amp;$AE460,'ASIGNACIONES'!$J$4:$J$339,0)),0)-$AG460)</f>
        <v/>
      </c>
      <c r="AI460" s="10">
        <f>IF($A460="","",IFERROR(INDEX('2_IMPORTAR_EJECUCION'!$F$9:$F$1208,MATCH($AQ460,'2_IMPORTAR_EJECUCION'!$J$9:$J$1208,0)),0))</f>
        <v/>
      </c>
      <c r="AJ460" s="10">
        <f>IF($A460="","",MAX(0,IFERROR(INDEX('2_IMPORTAR_EJECUCION'!$H$9:$H$1208,MATCH($AQ460,'2_IMPORTAR_EJECUCION'!$J$9:$J$1208,0)),0)-$AI460))</f>
        <v/>
      </c>
      <c r="AK460" s="10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2">
        <f>IF($J461="","",TODAY()-$J461)</f>
        <v/>
      </c>
      <c r="AB461" s="12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IF($AE461="","",IF((IFERROR(INDEX('ASIGNACIONES'!$F$4:$F$339,MATCH($O461&amp;"|"&amp;$R461&amp;"|"&amp;$AE461,'ASIGNACIONES'!$J$4:$J$339,0)),""))=0,"",IFERROR(INDEX('ASIGNACIONES'!$F$4:$F$339,MATCH($O461&amp;"|"&amp;$R461&amp;"|"&amp;$AE461,'ASIGNACIONES'!$J$4:$J$339,0)),"")))</f>
        <v/>
      </c>
      <c r="AG461" s="13">
        <f>IF($AE461="","",SUMIFS('ORDENES'!$M$4:$M$1203,'ORDENES'!$AE$4:$AE$1203,$AE461,'ORDENES'!$O$4:$O$1203,$O461,'ORDENES'!$R$4:$R$1203,$R461))</f>
        <v/>
      </c>
      <c r="AH461" s="13">
        <f>IF($AG461="","",p_factor_productividad*IFERROR(INDEX('ASIGNACIONES'!$I$4:$I$339,MATCH($O461&amp;"|"&amp;$R461&amp;"|"&amp;$AE461,'ASIGNACIONES'!$J$4:$J$339,0)),0)-$AG461)</f>
        <v/>
      </c>
      <c r="AI461" s="10">
        <f>IF($A461="","",IFERROR(INDEX('2_IMPORTAR_EJECUCION'!$F$9:$F$1208,MATCH($AQ461,'2_IMPORTAR_EJECUCION'!$J$9:$J$1208,0)),0))</f>
        <v/>
      </c>
      <c r="AJ461" s="10">
        <f>IF($A461="","",MAX(0,IFERROR(INDEX('2_IMPORTAR_EJECUCION'!$H$9:$H$1208,MATCH($AQ461,'2_IMPORTAR_EJECUCION'!$J$9:$J$1208,0)),0)-$AI461))</f>
        <v/>
      </c>
      <c r="AK461" s="10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2">
        <f>IF($J462="","",TODAY()-$J462)</f>
        <v/>
      </c>
      <c r="AB462" s="12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IF($AE462="","",IF((IFERROR(INDEX('ASIGNACIONES'!$F$4:$F$339,MATCH($O462&amp;"|"&amp;$R462&amp;"|"&amp;$AE462,'ASIGNACIONES'!$J$4:$J$339,0)),""))=0,"",IFERROR(INDEX('ASIGNACIONES'!$F$4:$F$339,MATCH($O462&amp;"|"&amp;$R462&amp;"|"&amp;$AE462,'ASIGNACIONES'!$J$4:$J$339,0)),"")))</f>
        <v/>
      </c>
      <c r="AG462" s="13">
        <f>IF($AE462="","",SUMIFS('ORDENES'!$M$4:$M$1203,'ORDENES'!$AE$4:$AE$1203,$AE462,'ORDENES'!$O$4:$O$1203,$O462,'ORDENES'!$R$4:$R$1203,$R462))</f>
        <v/>
      </c>
      <c r="AH462" s="13">
        <f>IF($AG462="","",p_factor_productividad*IFERROR(INDEX('ASIGNACIONES'!$I$4:$I$339,MATCH($O462&amp;"|"&amp;$R462&amp;"|"&amp;$AE462,'ASIGNACIONES'!$J$4:$J$339,0)),0)-$AG462)</f>
        <v/>
      </c>
      <c r="AI462" s="10">
        <f>IF($A462="","",IFERROR(INDEX('2_IMPORTAR_EJECUCION'!$F$9:$F$1208,MATCH($AQ462,'2_IMPORTAR_EJECUCION'!$J$9:$J$1208,0)),0))</f>
        <v/>
      </c>
      <c r="AJ462" s="10">
        <f>IF($A462="","",MAX(0,IFERROR(INDEX('2_IMPORTAR_EJECUCION'!$H$9:$H$1208,MATCH($AQ462,'2_IMPORTAR_EJECUCION'!$J$9:$J$1208,0)),0)-$AI462))</f>
        <v/>
      </c>
      <c r="AK462" s="10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2">
        <f>IF($J463="","",TODAY()-$J463)</f>
        <v/>
      </c>
      <c r="AB463" s="12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IF($AE463="","",IF((IFERROR(INDEX('ASIGNACIONES'!$F$4:$F$339,MATCH($O463&amp;"|"&amp;$R463&amp;"|"&amp;$AE463,'ASIGNACIONES'!$J$4:$J$339,0)),""))=0,"",IFERROR(INDEX('ASIGNACIONES'!$F$4:$F$339,MATCH($O463&amp;"|"&amp;$R463&amp;"|"&amp;$AE463,'ASIGNACIONES'!$J$4:$J$339,0)),"")))</f>
        <v/>
      </c>
      <c r="AG463" s="13">
        <f>IF($AE463="","",SUMIFS('ORDENES'!$M$4:$M$1203,'ORDENES'!$AE$4:$AE$1203,$AE463,'ORDENES'!$O$4:$O$1203,$O463,'ORDENES'!$R$4:$R$1203,$R463))</f>
        <v/>
      </c>
      <c r="AH463" s="13">
        <f>IF($AG463="","",p_factor_productividad*IFERROR(INDEX('ASIGNACIONES'!$I$4:$I$339,MATCH($O463&amp;"|"&amp;$R463&amp;"|"&amp;$AE463,'ASIGNACIONES'!$J$4:$J$339,0)),0)-$AG463)</f>
        <v/>
      </c>
      <c r="AI463" s="10">
        <f>IF($A463="","",IFERROR(INDEX('2_IMPORTAR_EJECUCION'!$F$9:$F$1208,MATCH($AQ463,'2_IMPORTAR_EJECUCION'!$J$9:$J$1208,0)),0))</f>
        <v/>
      </c>
      <c r="AJ463" s="10">
        <f>IF($A463="","",MAX(0,IFERROR(INDEX('2_IMPORTAR_EJECUCION'!$H$9:$H$1208,MATCH($AQ463,'2_IMPORTAR_EJECUCION'!$J$9:$J$1208,0)),0)-$AI463))</f>
        <v/>
      </c>
      <c r="AK463" s="10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2">
        <f>IF($J464="","",TODAY()-$J464)</f>
        <v/>
      </c>
      <c r="AB464" s="12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IF($AE464="","",IF((IFERROR(INDEX('ASIGNACIONES'!$F$4:$F$339,MATCH($O464&amp;"|"&amp;$R464&amp;"|"&amp;$AE464,'ASIGNACIONES'!$J$4:$J$339,0)),""))=0,"",IFERROR(INDEX('ASIGNACIONES'!$F$4:$F$339,MATCH($O464&amp;"|"&amp;$R464&amp;"|"&amp;$AE464,'ASIGNACIONES'!$J$4:$J$339,0)),"")))</f>
        <v/>
      </c>
      <c r="AG464" s="13">
        <f>IF($AE464="","",SUMIFS('ORDENES'!$M$4:$M$1203,'ORDENES'!$AE$4:$AE$1203,$AE464,'ORDENES'!$O$4:$O$1203,$O464,'ORDENES'!$R$4:$R$1203,$R464))</f>
        <v/>
      </c>
      <c r="AH464" s="13">
        <f>IF($AG464="","",p_factor_productividad*IFERROR(INDEX('ASIGNACIONES'!$I$4:$I$339,MATCH($O464&amp;"|"&amp;$R464&amp;"|"&amp;$AE464,'ASIGNACIONES'!$J$4:$J$339,0)),0)-$AG464)</f>
        <v/>
      </c>
      <c r="AI464" s="10">
        <f>IF($A464="","",IFERROR(INDEX('2_IMPORTAR_EJECUCION'!$F$9:$F$1208,MATCH($AQ464,'2_IMPORTAR_EJECUCION'!$J$9:$J$1208,0)),0))</f>
        <v/>
      </c>
      <c r="AJ464" s="10">
        <f>IF($A464="","",MAX(0,IFERROR(INDEX('2_IMPORTAR_EJECUCION'!$H$9:$H$1208,MATCH($AQ464,'2_IMPORTAR_EJECUCION'!$J$9:$J$1208,0)),0)-$AI464))</f>
        <v/>
      </c>
      <c r="AK464" s="10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2">
        <f>IF($J465="","",TODAY()-$J465)</f>
        <v/>
      </c>
      <c r="AB465" s="12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IF($AE465="","",IF((IFERROR(INDEX('ASIGNACIONES'!$F$4:$F$339,MATCH($O465&amp;"|"&amp;$R465&amp;"|"&amp;$AE465,'ASIGNACIONES'!$J$4:$J$339,0)),""))=0,"",IFERROR(INDEX('ASIGNACIONES'!$F$4:$F$339,MATCH($O465&amp;"|"&amp;$R465&amp;"|"&amp;$AE465,'ASIGNACIONES'!$J$4:$J$339,0)),"")))</f>
        <v/>
      </c>
      <c r="AG465" s="13">
        <f>IF($AE465="","",SUMIFS('ORDENES'!$M$4:$M$1203,'ORDENES'!$AE$4:$AE$1203,$AE465,'ORDENES'!$O$4:$O$1203,$O465,'ORDENES'!$R$4:$R$1203,$R465))</f>
        <v/>
      </c>
      <c r="AH465" s="13">
        <f>IF($AG465="","",p_factor_productividad*IFERROR(INDEX('ASIGNACIONES'!$I$4:$I$339,MATCH($O465&amp;"|"&amp;$R465&amp;"|"&amp;$AE465,'ASIGNACIONES'!$J$4:$J$339,0)),0)-$AG465)</f>
        <v/>
      </c>
      <c r="AI465" s="10">
        <f>IF($A465="","",IFERROR(INDEX('2_IMPORTAR_EJECUCION'!$F$9:$F$1208,MATCH($AQ465,'2_IMPORTAR_EJECUCION'!$J$9:$J$1208,0)),0))</f>
        <v/>
      </c>
      <c r="AJ465" s="10">
        <f>IF($A465="","",MAX(0,IFERROR(INDEX('2_IMPORTAR_EJECUCION'!$H$9:$H$1208,MATCH($AQ465,'2_IMPORTAR_EJECUCION'!$J$9:$J$1208,0)),0)-$AI465))</f>
        <v/>
      </c>
      <c r="AK465" s="10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2">
        <f>IF($J466="","",TODAY()-$J466)</f>
        <v/>
      </c>
      <c r="AB466" s="12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IF($AE466="","",IF((IFERROR(INDEX('ASIGNACIONES'!$F$4:$F$339,MATCH($O466&amp;"|"&amp;$R466&amp;"|"&amp;$AE466,'ASIGNACIONES'!$J$4:$J$339,0)),""))=0,"",IFERROR(INDEX('ASIGNACIONES'!$F$4:$F$339,MATCH($O466&amp;"|"&amp;$R466&amp;"|"&amp;$AE466,'ASIGNACIONES'!$J$4:$J$339,0)),"")))</f>
        <v/>
      </c>
      <c r="AG466" s="13">
        <f>IF($AE466="","",SUMIFS('ORDENES'!$M$4:$M$1203,'ORDENES'!$AE$4:$AE$1203,$AE466,'ORDENES'!$O$4:$O$1203,$O466,'ORDENES'!$R$4:$R$1203,$R466))</f>
        <v/>
      </c>
      <c r="AH466" s="13">
        <f>IF($AG466="","",p_factor_productividad*IFERROR(INDEX('ASIGNACIONES'!$I$4:$I$339,MATCH($O466&amp;"|"&amp;$R466&amp;"|"&amp;$AE466,'ASIGNACIONES'!$J$4:$J$339,0)),0)-$AG466)</f>
        <v/>
      </c>
      <c r="AI466" s="10">
        <f>IF($A466="","",IFERROR(INDEX('2_IMPORTAR_EJECUCION'!$F$9:$F$1208,MATCH($AQ466,'2_IMPORTAR_EJECUCION'!$J$9:$J$1208,0)),0))</f>
        <v/>
      </c>
      <c r="AJ466" s="10">
        <f>IF($A466="","",MAX(0,IFERROR(INDEX('2_IMPORTAR_EJECUCION'!$H$9:$H$1208,MATCH($AQ466,'2_IMPORTAR_EJECUCION'!$J$9:$J$1208,0)),0)-$AI466))</f>
        <v/>
      </c>
      <c r="AK466" s="10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2">
        <f>IF($J467="","",TODAY()-$J467)</f>
        <v/>
      </c>
      <c r="AB467" s="12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IF($AE467="","",IF((IFERROR(INDEX('ASIGNACIONES'!$F$4:$F$339,MATCH($O467&amp;"|"&amp;$R467&amp;"|"&amp;$AE467,'ASIGNACIONES'!$J$4:$J$339,0)),""))=0,"",IFERROR(INDEX('ASIGNACIONES'!$F$4:$F$339,MATCH($O467&amp;"|"&amp;$R467&amp;"|"&amp;$AE467,'ASIGNACIONES'!$J$4:$J$339,0)),"")))</f>
        <v/>
      </c>
      <c r="AG467" s="13">
        <f>IF($AE467="","",SUMIFS('ORDENES'!$M$4:$M$1203,'ORDENES'!$AE$4:$AE$1203,$AE467,'ORDENES'!$O$4:$O$1203,$O467,'ORDENES'!$R$4:$R$1203,$R467))</f>
        <v/>
      </c>
      <c r="AH467" s="13">
        <f>IF($AG467="","",p_factor_productividad*IFERROR(INDEX('ASIGNACIONES'!$I$4:$I$339,MATCH($O467&amp;"|"&amp;$R467&amp;"|"&amp;$AE467,'ASIGNACIONES'!$J$4:$J$339,0)),0)-$AG467)</f>
        <v/>
      </c>
      <c r="AI467" s="10">
        <f>IF($A467="","",IFERROR(INDEX('2_IMPORTAR_EJECUCION'!$F$9:$F$1208,MATCH($AQ467,'2_IMPORTAR_EJECUCION'!$J$9:$J$1208,0)),0))</f>
        <v/>
      </c>
      <c r="AJ467" s="10">
        <f>IF($A467="","",MAX(0,IFERROR(INDEX('2_IMPORTAR_EJECUCION'!$H$9:$H$1208,MATCH($AQ467,'2_IMPORTAR_EJECUCION'!$J$9:$J$1208,0)),0)-$AI467))</f>
        <v/>
      </c>
      <c r="AK467" s="10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2">
        <f>IF($J468="","",TODAY()-$J468)</f>
        <v/>
      </c>
      <c r="AB468" s="12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IF($AE468="","",IF((IFERROR(INDEX('ASIGNACIONES'!$F$4:$F$339,MATCH($O468&amp;"|"&amp;$R468&amp;"|"&amp;$AE468,'ASIGNACIONES'!$J$4:$J$339,0)),""))=0,"",IFERROR(INDEX('ASIGNACIONES'!$F$4:$F$339,MATCH($O468&amp;"|"&amp;$R468&amp;"|"&amp;$AE468,'ASIGNACIONES'!$J$4:$J$339,0)),"")))</f>
        <v/>
      </c>
      <c r="AG468" s="13">
        <f>IF($AE468="","",SUMIFS('ORDENES'!$M$4:$M$1203,'ORDENES'!$AE$4:$AE$1203,$AE468,'ORDENES'!$O$4:$O$1203,$O468,'ORDENES'!$R$4:$R$1203,$R468))</f>
        <v/>
      </c>
      <c r="AH468" s="13">
        <f>IF($AG468="","",p_factor_productividad*IFERROR(INDEX('ASIGNACIONES'!$I$4:$I$339,MATCH($O468&amp;"|"&amp;$R468&amp;"|"&amp;$AE468,'ASIGNACIONES'!$J$4:$J$339,0)),0)-$AG468)</f>
        <v/>
      </c>
      <c r="AI468" s="10">
        <f>IF($A468="","",IFERROR(INDEX('2_IMPORTAR_EJECUCION'!$F$9:$F$1208,MATCH($AQ468,'2_IMPORTAR_EJECUCION'!$J$9:$J$1208,0)),0))</f>
        <v/>
      </c>
      <c r="AJ468" s="10">
        <f>IF($A468="","",MAX(0,IFERROR(INDEX('2_IMPORTAR_EJECUCION'!$H$9:$H$1208,MATCH($AQ468,'2_IMPORTAR_EJECUCION'!$J$9:$J$1208,0)),0)-$AI468))</f>
        <v/>
      </c>
      <c r="AK468" s="10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2">
        <f>IF($J469="","",TODAY()-$J469)</f>
        <v/>
      </c>
      <c r="AB469" s="12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IF($AE469="","",IF((IFERROR(INDEX('ASIGNACIONES'!$F$4:$F$339,MATCH($O469&amp;"|"&amp;$R469&amp;"|"&amp;$AE469,'ASIGNACIONES'!$J$4:$J$339,0)),""))=0,"",IFERROR(INDEX('ASIGNACIONES'!$F$4:$F$339,MATCH($O469&amp;"|"&amp;$R469&amp;"|"&amp;$AE469,'ASIGNACIONES'!$J$4:$J$339,0)),"")))</f>
        <v/>
      </c>
      <c r="AG469" s="13">
        <f>IF($AE469="","",SUMIFS('ORDENES'!$M$4:$M$1203,'ORDENES'!$AE$4:$AE$1203,$AE469,'ORDENES'!$O$4:$O$1203,$O469,'ORDENES'!$R$4:$R$1203,$R469))</f>
        <v/>
      </c>
      <c r="AH469" s="13">
        <f>IF($AG469="","",p_factor_productividad*IFERROR(INDEX('ASIGNACIONES'!$I$4:$I$339,MATCH($O469&amp;"|"&amp;$R469&amp;"|"&amp;$AE469,'ASIGNACIONES'!$J$4:$J$339,0)),0)-$AG469)</f>
        <v/>
      </c>
      <c r="AI469" s="10">
        <f>IF($A469="","",IFERROR(INDEX('2_IMPORTAR_EJECUCION'!$F$9:$F$1208,MATCH($AQ469,'2_IMPORTAR_EJECUCION'!$J$9:$J$1208,0)),0))</f>
        <v/>
      </c>
      <c r="AJ469" s="10">
        <f>IF($A469="","",MAX(0,IFERROR(INDEX('2_IMPORTAR_EJECUCION'!$H$9:$H$1208,MATCH($AQ469,'2_IMPORTAR_EJECUCION'!$J$9:$J$1208,0)),0)-$AI469))</f>
        <v/>
      </c>
      <c r="AK469" s="10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2">
        <f>IF($J470="","",TODAY()-$J470)</f>
        <v/>
      </c>
      <c r="AB470" s="12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IF($AE470="","",IF((IFERROR(INDEX('ASIGNACIONES'!$F$4:$F$339,MATCH($O470&amp;"|"&amp;$R470&amp;"|"&amp;$AE470,'ASIGNACIONES'!$J$4:$J$339,0)),""))=0,"",IFERROR(INDEX('ASIGNACIONES'!$F$4:$F$339,MATCH($O470&amp;"|"&amp;$R470&amp;"|"&amp;$AE470,'ASIGNACIONES'!$J$4:$J$339,0)),"")))</f>
        <v/>
      </c>
      <c r="AG470" s="13">
        <f>IF($AE470="","",SUMIFS('ORDENES'!$M$4:$M$1203,'ORDENES'!$AE$4:$AE$1203,$AE470,'ORDENES'!$O$4:$O$1203,$O470,'ORDENES'!$R$4:$R$1203,$R470))</f>
        <v/>
      </c>
      <c r="AH470" s="13">
        <f>IF($AG470="","",p_factor_productividad*IFERROR(INDEX('ASIGNACIONES'!$I$4:$I$339,MATCH($O470&amp;"|"&amp;$R470&amp;"|"&amp;$AE470,'ASIGNACIONES'!$J$4:$J$339,0)),0)-$AG470)</f>
        <v/>
      </c>
      <c r="AI470" s="10">
        <f>IF($A470="","",IFERROR(INDEX('2_IMPORTAR_EJECUCION'!$F$9:$F$1208,MATCH($AQ470,'2_IMPORTAR_EJECUCION'!$J$9:$J$1208,0)),0))</f>
        <v/>
      </c>
      <c r="AJ470" s="10">
        <f>IF($A470="","",MAX(0,IFERROR(INDEX('2_IMPORTAR_EJECUCION'!$H$9:$H$1208,MATCH($AQ470,'2_IMPORTAR_EJECUCION'!$J$9:$J$1208,0)),0)-$AI470))</f>
        <v/>
      </c>
      <c r="AK470" s="10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2">
        <f>IF($J471="","",TODAY()-$J471)</f>
        <v/>
      </c>
      <c r="AB471" s="12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IF($AE471="","",IF((IFERROR(INDEX('ASIGNACIONES'!$F$4:$F$339,MATCH($O471&amp;"|"&amp;$R471&amp;"|"&amp;$AE471,'ASIGNACIONES'!$J$4:$J$339,0)),""))=0,"",IFERROR(INDEX('ASIGNACIONES'!$F$4:$F$339,MATCH($O471&amp;"|"&amp;$R471&amp;"|"&amp;$AE471,'ASIGNACIONES'!$J$4:$J$339,0)),"")))</f>
        <v/>
      </c>
      <c r="AG471" s="13">
        <f>IF($AE471="","",SUMIFS('ORDENES'!$M$4:$M$1203,'ORDENES'!$AE$4:$AE$1203,$AE471,'ORDENES'!$O$4:$O$1203,$O471,'ORDENES'!$R$4:$R$1203,$R471))</f>
        <v/>
      </c>
      <c r="AH471" s="13">
        <f>IF($AG471="","",p_factor_productividad*IFERROR(INDEX('ASIGNACIONES'!$I$4:$I$339,MATCH($O471&amp;"|"&amp;$R471&amp;"|"&amp;$AE471,'ASIGNACIONES'!$J$4:$J$339,0)),0)-$AG471)</f>
        <v/>
      </c>
      <c r="AI471" s="10">
        <f>IF($A471="","",IFERROR(INDEX('2_IMPORTAR_EJECUCION'!$F$9:$F$1208,MATCH($AQ471,'2_IMPORTAR_EJECUCION'!$J$9:$J$1208,0)),0))</f>
        <v/>
      </c>
      <c r="AJ471" s="10">
        <f>IF($A471="","",MAX(0,IFERROR(INDEX('2_IMPORTAR_EJECUCION'!$H$9:$H$1208,MATCH($AQ471,'2_IMPORTAR_EJECUCION'!$J$9:$J$1208,0)),0)-$AI471))</f>
        <v/>
      </c>
      <c r="AK471" s="10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2">
        <f>IF($J472="","",TODAY()-$J472)</f>
        <v/>
      </c>
      <c r="AB472" s="12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IF($AE472="","",IF((IFERROR(INDEX('ASIGNACIONES'!$F$4:$F$339,MATCH($O472&amp;"|"&amp;$R472&amp;"|"&amp;$AE472,'ASIGNACIONES'!$J$4:$J$339,0)),""))=0,"",IFERROR(INDEX('ASIGNACIONES'!$F$4:$F$339,MATCH($O472&amp;"|"&amp;$R472&amp;"|"&amp;$AE472,'ASIGNACIONES'!$J$4:$J$339,0)),"")))</f>
        <v/>
      </c>
      <c r="AG472" s="13">
        <f>IF($AE472="","",SUMIFS('ORDENES'!$M$4:$M$1203,'ORDENES'!$AE$4:$AE$1203,$AE472,'ORDENES'!$O$4:$O$1203,$O472,'ORDENES'!$R$4:$R$1203,$R472))</f>
        <v/>
      </c>
      <c r="AH472" s="13">
        <f>IF($AG472="","",p_factor_productividad*IFERROR(INDEX('ASIGNACIONES'!$I$4:$I$339,MATCH($O472&amp;"|"&amp;$R472&amp;"|"&amp;$AE472,'ASIGNACIONES'!$J$4:$J$339,0)),0)-$AG472)</f>
        <v/>
      </c>
      <c r="AI472" s="10">
        <f>IF($A472="","",IFERROR(INDEX('2_IMPORTAR_EJECUCION'!$F$9:$F$1208,MATCH($AQ472,'2_IMPORTAR_EJECUCION'!$J$9:$J$1208,0)),0))</f>
        <v/>
      </c>
      <c r="AJ472" s="10">
        <f>IF($A472="","",MAX(0,IFERROR(INDEX('2_IMPORTAR_EJECUCION'!$H$9:$H$1208,MATCH($AQ472,'2_IMPORTAR_EJECUCION'!$J$9:$J$1208,0)),0)-$AI472))</f>
        <v/>
      </c>
      <c r="AK472" s="10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2">
        <f>IF($J473="","",TODAY()-$J473)</f>
        <v/>
      </c>
      <c r="AB473" s="12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IF($AE473="","",IF((IFERROR(INDEX('ASIGNACIONES'!$F$4:$F$339,MATCH($O473&amp;"|"&amp;$R473&amp;"|"&amp;$AE473,'ASIGNACIONES'!$J$4:$J$339,0)),""))=0,"",IFERROR(INDEX('ASIGNACIONES'!$F$4:$F$339,MATCH($O473&amp;"|"&amp;$R473&amp;"|"&amp;$AE473,'ASIGNACIONES'!$J$4:$J$339,0)),"")))</f>
        <v/>
      </c>
      <c r="AG473" s="13">
        <f>IF($AE473="","",SUMIFS('ORDENES'!$M$4:$M$1203,'ORDENES'!$AE$4:$AE$1203,$AE473,'ORDENES'!$O$4:$O$1203,$O473,'ORDENES'!$R$4:$R$1203,$R473))</f>
        <v/>
      </c>
      <c r="AH473" s="13">
        <f>IF($AG473="","",p_factor_productividad*IFERROR(INDEX('ASIGNACIONES'!$I$4:$I$339,MATCH($O473&amp;"|"&amp;$R473&amp;"|"&amp;$AE473,'ASIGNACIONES'!$J$4:$J$339,0)),0)-$AG473)</f>
        <v/>
      </c>
      <c r="AI473" s="10">
        <f>IF($A473="","",IFERROR(INDEX('2_IMPORTAR_EJECUCION'!$F$9:$F$1208,MATCH($AQ473,'2_IMPORTAR_EJECUCION'!$J$9:$J$1208,0)),0))</f>
        <v/>
      </c>
      <c r="AJ473" s="10">
        <f>IF($A473="","",MAX(0,IFERROR(INDEX('2_IMPORTAR_EJECUCION'!$H$9:$H$1208,MATCH($AQ473,'2_IMPORTAR_EJECUCION'!$J$9:$J$1208,0)),0)-$AI473))</f>
        <v/>
      </c>
      <c r="AK473" s="10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2">
        <f>IF($J474="","",TODAY()-$J474)</f>
        <v/>
      </c>
      <c r="AB474" s="12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IF($AE474="","",IF((IFERROR(INDEX('ASIGNACIONES'!$F$4:$F$339,MATCH($O474&amp;"|"&amp;$R474&amp;"|"&amp;$AE474,'ASIGNACIONES'!$J$4:$J$339,0)),""))=0,"",IFERROR(INDEX('ASIGNACIONES'!$F$4:$F$339,MATCH($O474&amp;"|"&amp;$R474&amp;"|"&amp;$AE474,'ASIGNACIONES'!$J$4:$J$339,0)),"")))</f>
        <v/>
      </c>
      <c r="AG474" s="13">
        <f>IF($AE474="","",SUMIFS('ORDENES'!$M$4:$M$1203,'ORDENES'!$AE$4:$AE$1203,$AE474,'ORDENES'!$O$4:$O$1203,$O474,'ORDENES'!$R$4:$R$1203,$R474))</f>
        <v/>
      </c>
      <c r="AH474" s="13">
        <f>IF($AG474="","",p_factor_productividad*IFERROR(INDEX('ASIGNACIONES'!$I$4:$I$339,MATCH($O474&amp;"|"&amp;$R474&amp;"|"&amp;$AE474,'ASIGNACIONES'!$J$4:$J$339,0)),0)-$AG474)</f>
        <v/>
      </c>
      <c r="AI474" s="10">
        <f>IF($A474="","",IFERROR(INDEX('2_IMPORTAR_EJECUCION'!$F$9:$F$1208,MATCH($AQ474,'2_IMPORTAR_EJECUCION'!$J$9:$J$1208,0)),0))</f>
        <v/>
      </c>
      <c r="AJ474" s="10">
        <f>IF($A474="","",MAX(0,IFERROR(INDEX('2_IMPORTAR_EJECUCION'!$H$9:$H$1208,MATCH($AQ474,'2_IMPORTAR_EJECUCION'!$J$9:$J$1208,0)),0)-$AI474))</f>
        <v/>
      </c>
      <c r="AK474" s="10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2">
        <f>IF($J475="","",TODAY()-$J475)</f>
        <v/>
      </c>
      <c r="AB475" s="12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IF($AE475="","",IF((IFERROR(INDEX('ASIGNACIONES'!$F$4:$F$339,MATCH($O475&amp;"|"&amp;$R475&amp;"|"&amp;$AE475,'ASIGNACIONES'!$J$4:$J$339,0)),""))=0,"",IFERROR(INDEX('ASIGNACIONES'!$F$4:$F$339,MATCH($O475&amp;"|"&amp;$R475&amp;"|"&amp;$AE475,'ASIGNACIONES'!$J$4:$J$339,0)),"")))</f>
        <v/>
      </c>
      <c r="AG475" s="13">
        <f>IF($AE475="","",SUMIFS('ORDENES'!$M$4:$M$1203,'ORDENES'!$AE$4:$AE$1203,$AE475,'ORDENES'!$O$4:$O$1203,$O475,'ORDENES'!$R$4:$R$1203,$R475))</f>
        <v/>
      </c>
      <c r="AH475" s="13">
        <f>IF($AG475="","",p_factor_productividad*IFERROR(INDEX('ASIGNACIONES'!$I$4:$I$339,MATCH($O475&amp;"|"&amp;$R475&amp;"|"&amp;$AE475,'ASIGNACIONES'!$J$4:$J$339,0)),0)-$AG475)</f>
        <v/>
      </c>
      <c r="AI475" s="10">
        <f>IF($A475="","",IFERROR(INDEX('2_IMPORTAR_EJECUCION'!$F$9:$F$1208,MATCH($AQ475,'2_IMPORTAR_EJECUCION'!$J$9:$J$1208,0)),0))</f>
        <v/>
      </c>
      <c r="AJ475" s="10">
        <f>IF($A475="","",MAX(0,IFERROR(INDEX('2_IMPORTAR_EJECUCION'!$H$9:$H$1208,MATCH($AQ475,'2_IMPORTAR_EJECUCION'!$J$9:$J$1208,0)),0)-$AI475))</f>
        <v/>
      </c>
      <c r="AK475" s="10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2">
        <f>IF($J476="","",TODAY()-$J476)</f>
        <v/>
      </c>
      <c r="AB476" s="12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IF($AE476="","",IF((IFERROR(INDEX('ASIGNACIONES'!$F$4:$F$339,MATCH($O476&amp;"|"&amp;$R476&amp;"|"&amp;$AE476,'ASIGNACIONES'!$J$4:$J$339,0)),""))=0,"",IFERROR(INDEX('ASIGNACIONES'!$F$4:$F$339,MATCH($O476&amp;"|"&amp;$R476&amp;"|"&amp;$AE476,'ASIGNACIONES'!$J$4:$J$339,0)),"")))</f>
        <v/>
      </c>
      <c r="AG476" s="13">
        <f>IF($AE476="","",SUMIFS('ORDENES'!$M$4:$M$1203,'ORDENES'!$AE$4:$AE$1203,$AE476,'ORDENES'!$O$4:$O$1203,$O476,'ORDENES'!$R$4:$R$1203,$R476))</f>
        <v/>
      </c>
      <c r="AH476" s="13">
        <f>IF($AG476="","",p_factor_productividad*IFERROR(INDEX('ASIGNACIONES'!$I$4:$I$339,MATCH($O476&amp;"|"&amp;$R476&amp;"|"&amp;$AE476,'ASIGNACIONES'!$J$4:$J$339,0)),0)-$AG476)</f>
        <v/>
      </c>
      <c r="AI476" s="10">
        <f>IF($A476="","",IFERROR(INDEX('2_IMPORTAR_EJECUCION'!$F$9:$F$1208,MATCH($AQ476,'2_IMPORTAR_EJECUCION'!$J$9:$J$1208,0)),0))</f>
        <v/>
      </c>
      <c r="AJ476" s="10">
        <f>IF($A476="","",MAX(0,IFERROR(INDEX('2_IMPORTAR_EJECUCION'!$H$9:$H$1208,MATCH($AQ476,'2_IMPORTAR_EJECUCION'!$J$9:$J$1208,0)),0)-$AI476))</f>
        <v/>
      </c>
      <c r="AK476" s="10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2">
        <f>IF($J477="","",TODAY()-$J477)</f>
        <v/>
      </c>
      <c r="AB477" s="12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IF($AE477="","",IF((IFERROR(INDEX('ASIGNACIONES'!$F$4:$F$339,MATCH($O477&amp;"|"&amp;$R477&amp;"|"&amp;$AE477,'ASIGNACIONES'!$J$4:$J$339,0)),""))=0,"",IFERROR(INDEX('ASIGNACIONES'!$F$4:$F$339,MATCH($O477&amp;"|"&amp;$R477&amp;"|"&amp;$AE477,'ASIGNACIONES'!$J$4:$J$339,0)),"")))</f>
        <v/>
      </c>
      <c r="AG477" s="13">
        <f>IF($AE477="","",SUMIFS('ORDENES'!$M$4:$M$1203,'ORDENES'!$AE$4:$AE$1203,$AE477,'ORDENES'!$O$4:$O$1203,$O477,'ORDENES'!$R$4:$R$1203,$R477))</f>
        <v/>
      </c>
      <c r="AH477" s="13">
        <f>IF($AG477="","",p_factor_productividad*IFERROR(INDEX('ASIGNACIONES'!$I$4:$I$339,MATCH($O477&amp;"|"&amp;$R477&amp;"|"&amp;$AE477,'ASIGNACIONES'!$J$4:$J$339,0)),0)-$AG477)</f>
        <v/>
      </c>
      <c r="AI477" s="10">
        <f>IF($A477="","",IFERROR(INDEX('2_IMPORTAR_EJECUCION'!$F$9:$F$1208,MATCH($AQ477,'2_IMPORTAR_EJECUCION'!$J$9:$J$1208,0)),0))</f>
        <v/>
      </c>
      <c r="AJ477" s="10">
        <f>IF($A477="","",MAX(0,IFERROR(INDEX('2_IMPORTAR_EJECUCION'!$H$9:$H$1208,MATCH($AQ477,'2_IMPORTAR_EJECUCION'!$J$9:$J$1208,0)),0)-$AI477))</f>
        <v/>
      </c>
      <c r="AK477" s="10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2">
        <f>IF($J478="","",TODAY()-$J478)</f>
        <v/>
      </c>
      <c r="AB478" s="12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IF($AE478="","",IF((IFERROR(INDEX('ASIGNACIONES'!$F$4:$F$339,MATCH($O478&amp;"|"&amp;$R478&amp;"|"&amp;$AE478,'ASIGNACIONES'!$J$4:$J$339,0)),""))=0,"",IFERROR(INDEX('ASIGNACIONES'!$F$4:$F$339,MATCH($O478&amp;"|"&amp;$R478&amp;"|"&amp;$AE478,'ASIGNACIONES'!$J$4:$J$339,0)),"")))</f>
        <v/>
      </c>
      <c r="AG478" s="13">
        <f>IF($AE478="","",SUMIFS('ORDENES'!$M$4:$M$1203,'ORDENES'!$AE$4:$AE$1203,$AE478,'ORDENES'!$O$4:$O$1203,$O478,'ORDENES'!$R$4:$R$1203,$R478))</f>
        <v/>
      </c>
      <c r="AH478" s="13">
        <f>IF($AG478="","",p_factor_productividad*IFERROR(INDEX('ASIGNACIONES'!$I$4:$I$339,MATCH($O478&amp;"|"&amp;$R478&amp;"|"&amp;$AE478,'ASIGNACIONES'!$J$4:$J$339,0)),0)-$AG478)</f>
        <v/>
      </c>
      <c r="AI478" s="10">
        <f>IF($A478="","",IFERROR(INDEX('2_IMPORTAR_EJECUCION'!$F$9:$F$1208,MATCH($AQ478,'2_IMPORTAR_EJECUCION'!$J$9:$J$1208,0)),0))</f>
        <v/>
      </c>
      <c r="AJ478" s="10">
        <f>IF($A478="","",MAX(0,IFERROR(INDEX('2_IMPORTAR_EJECUCION'!$H$9:$H$1208,MATCH($AQ478,'2_IMPORTAR_EJECUCION'!$J$9:$J$1208,0)),0)-$AI478))</f>
        <v/>
      </c>
      <c r="AK478" s="10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2">
        <f>IF($J479="","",TODAY()-$J479)</f>
        <v/>
      </c>
      <c r="AB479" s="12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IF($AE479="","",IF((IFERROR(INDEX('ASIGNACIONES'!$F$4:$F$339,MATCH($O479&amp;"|"&amp;$R479&amp;"|"&amp;$AE479,'ASIGNACIONES'!$J$4:$J$339,0)),""))=0,"",IFERROR(INDEX('ASIGNACIONES'!$F$4:$F$339,MATCH($O479&amp;"|"&amp;$R479&amp;"|"&amp;$AE479,'ASIGNACIONES'!$J$4:$J$339,0)),"")))</f>
        <v/>
      </c>
      <c r="AG479" s="13">
        <f>IF($AE479="","",SUMIFS('ORDENES'!$M$4:$M$1203,'ORDENES'!$AE$4:$AE$1203,$AE479,'ORDENES'!$O$4:$O$1203,$O479,'ORDENES'!$R$4:$R$1203,$R479))</f>
        <v/>
      </c>
      <c r="AH479" s="13">
        <f>IF($AG479="","",p_factor_productividad*IFERROR(INDEX('ASIGNACIONES'!$I$4:$I$339,MATCH($O479&amp;"|"&amp;$R479&amp;"|"&amp;$AE479,'ASIGNACIONES'!$J$4:$J$339,0)),0)-$AG479)</f>
        <v/>
      </c>
      <c r="AI479" s="10">
        <f>IF($A479="","",IFERROR(INDEX('2_IMPORTAR_EJECUCION'!$F$9:$F$1208,MATCH($AQ479,'2_IMPORTAR_EJECUCION'!$J$9:$J$1208,0)),0))</f>
        <v/>
      </c>
      <c r="AJ479" s="10">
        <f>IF($A479="","",MAX(0,IFERROR(INDEX('2_IMPORTAR_EJECUCION'!$H$9:$H$1208,MATCH($AQ479,'2_IMPORTAR_EJECUCION'!$J$9:$J$1208,0)),0)-$AI479))</f>
        <v/>
      </c>
      <c r="AK479" s="10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2">
        <f>IF($J480="","",TODAY()-$J480)</f>
        <v/>
      </c>
      <c r="AB480" s="12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IF($AE480="","",IF((IFERROR(INDEX('ASIGNACIONES'!$F$4:$F$339,MATCH($O480&amp;"|"&amp;$R480&amp;"|"&amp;$AE480,'ASIGNACIONES'!$J$4:$J$339,0)),""))=0,"",IFERROR(INDEX('ASIGNACIONES'!$F$4:$F$339,MATCH($O480&amp;"|"&amp;$R480&amp;"|"&amp;$AE480,'ASIGNACIONES'!$J$4:$J$339,0)),"")))</f>
        <v/>
      </c>
      <c r="AG480" s="13">
        <f>IF($AE480="","",SUMIFS('ORDENES'!$M$4:$M$1203,'ORDENES'!$AE$4:$AE$1203,$AE480,'ORDENES'!$O$4:$O$1203,$O480,'ORDENES'!$R$4:$R$1203,$R480))</f>
        <v/>
      </c>
      <c r="AH480" s="13">
        <f>IF($AG480="","",p_factor_productividad*IFERROR(INDEX('ASIGNACIONES'!$I$4:$I$339,MATCH($O480&amp;"|"&amp;$R480&amp;"|"&amp;$AE480,'ASIGNACIONES'!$J$4:$J$339,0)),0)-$AG480)</f>
        <v/>
      </c>
      <c r="AI480" s="10">
        <f>IF($A480="","",IFERROR(INDEX('2_IMPORTAR_EJECUCION'!$F$9:$F$1208,MATCH($AQ480,'2_IMPORTAR_EJECUCION'!$J$9:$J$1208,0)),0))</f>
        <v/>
      </c>
      <c r="AJ480" s="10">
        <f>IF($A480="","",MAX(0,IFERROR(INDEX('2_IMPORTAR_EJECUCION'!$H$9:$H$1208,MATCH($AQ480,'2_IMPORTAR_EJECUCION'!$J$9:$J$1208,0)),0)-$AI480))</f>
        <v/>
      </c>
      <c r="AK480" s="10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2">
        <f>IF($J481="","",TODAY()-$J481)</f>
        <v/>
      </c>
      <c r="AB481" s="12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IF($AE481="","",IF((IFERROR(INDEX('ASIGNACIONES'!$F$4:$F$339,MATCH($O481&amp;"|"&amp;$R481&amp;"|"&amp;$AE481,'ASIGNACIONES'!$J$4:$J$339,0)),""))=0,"",IFERROR(INDEX('ASIGNACIONES'!$F$4:$F$339,MATCH($O481&amp;"|"&amp;$R481&amp;"|"&amp;$AE481,'ASIGNACIONES'!$J$4:$J$339,0)),"")))</f>
        <v/>
      </c>
      <c r="AG481" s="13">
        <f>IF($AE481="","",SUMIFS('ORDENES'!$M$4:$M$1203,'ORDENES'!$AE$4:$AE$1203,$AE481,'ORDENES'!$O$4:$O$1203,$O481,'ORDENES'!$R$4:$R$1203,$R481))</f>
        <v/>
      </c>
      <c r="AH481" s="13">
        <f>IF($AG481="","",p_factor_productividad*IFERROR(INDEX('ASIGNACIONES'!$I$4:$I$339,MATCH($O481&amp;"|"&amp;$R481&amp;"|"&amp;$AE481,'ASIGNACIONES'!$J$4:$J$339,0)),0)-$AG481)</f>
        <v/>
      </c>
      <c r="AI481" s="10">
        <f>IF($A481="","",IFERROR(INDEX('2_IMPORTAR_EJECUCION'!$F$9:$F$1208,MATCH($AQ481,'2_IMPORTAR_EJECUCION'!$J$9:$J$1208,0)),0))</f>
        <v/>
      </c>
      <c r="AJ481" s="10">
        <f>IF($A481="","",MAX(0,IFERROR(INDEX('2_IMPORTAR_EJECUCION'!$H$9:$H$1208,MATCH($AQ481,'2_IMPORTAR_EJECUCION'!$J$9:$J$1208,0)),0)-$AI481))</f>
        <v/>
      </c>
      <c r="AK481" s="10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2">
        <f>IF($J482="","",TODAY()-$J482)</f>
        <v/>
      </c>
      <c r="AB482" s="12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IF($AE482="","",IF((IFERROR(INDEX('ASIGNACIONES'!$F$4:$F$339,MATCH($O482&amp;"|"&amp;$R482&amp;"|"&amp;$AE482,'ASIGNACIONES'!$J$4:$J$339,0)),""))=0,"",IFERROR(INDEX('ASIGNACIONES'!$F$4:$F$339,MATCH($O482&amp;"|"&amp;$R482&amp;"|"&amp;$AE482,'ASIGNACIONES'!$J$4:$J$339,0)),"")))</f>
        <v/>
      </c>
      <c r="AG482" s="13">
        <f>IF($AE482="","",SUMIFS('ORDENES'!$M$4:$M$1203,'ORDENES'!$AE$4:$AE$1203,$AE482,'ORDENES'!$O$4:$O$1203,$O482,'ORDENES'!$R$4:$R$1203,$R482))</f>
        <v/>
      </c>
      <c r="AH482" s="13">
        <f>IF($AG482="","",p_factor_productividad*IFERROR(INDEX('ASIGNACIONES'!$I$4:$I$339,MATCH($O482&amp;"|"&amp;$R482&amp;"|"&amp;$AE482,'ASIGNACIONES'!$J$4:$J$339,0)),0)-$AG482)</f>
        <v/>
      </c>
      <c r="AI482" s="10">
        <f>IF($A482="","",IFERROR(INDEX('2_IMPORTAR_EJECUCION'!$F$9:$F$1208,MATCH($AQ482,'2_IMPORTAR_EJECUCION'!$J$9:$J$1208,0)),0))</f>
        <v/>
      </c>
      <c r="AJ482" s="10">
        <f>IF($A482="","",MAX(0,IFERROR(INDEX('2_IMPORTAR_EJECUCION'!$H$9:$H$1208,MATCH($AQ482,'2_IMPORTAR_EJECUCION'!$J$9:$J$1208,0)),0)-$AI482))</f>
        <v/>
      </c>
      <c r="AK482" s="10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2">
        <f>IF($J483="","",TODAY()-$J483)</f>
        <v/>
      </c>
      <c r="AB483" s="12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IF($AE483="","",IF((IFERROR(INDEX('ASIGNACIONES'!$F$4:$F$339,MATCH($O483&amp;"|"&amp;$R483&amp;"|"&amp;$AE483,'ASIGNACIONES'!$J$4:$J$339,0)),""))=0,"",IFERROR(INDEX('ASIGNACIONES'!$F$4:$F$339,MATCH($O483&amp;"|"&amp;$R483&amp;"|"&amp;$AE483,'ASIGNACIONES'!$J$4:$J$339,0)),"")))</f>
        <v/>
      </c>
      <c r="AG483" s="13">
        <f>IF($AE483="","",SUMIFS('ORDENES'!$M$4:$M$1203,'ORDENES'!$AE$4:$AE$1203,$AE483,'ORDENES'!$O$4:$O$1203,$O483,'ORDENES'!$R$4:$R$1203,$R483))</f>
        <v/>
      </c>
      <c r="AH483" s="13">
        <f>IF($AG483="","",p_factor_productividad*IFERROR(INDEX('ASIGNACIONES'!$I$4:$I$339,MATCH($O483&amp;"|"&amp;$R483&amp;"|"&amp;$AE483,'ASIGNACIONES'!$J$4:$J$339,0)),0)-$AG483)</f>
        <v/>
      </c>
      <c r="AI483" s="10">
        <f>IF($A483="","",IFERROR(INDEX('2_IMPORTAR_EJECUCION'!$F$9:$F$1208,MATCH($AQ483,'2_IMPORTAR_EJECUCION'!$J$9:$J$1208,0)),0))</f>
        <v/>
      </c>
      <c r="AJ483" s="10">
        <f>IF($A483="","",MAX(0,IFERROR(INDEX('2_IMPORTAR_EJECUCION'!$H$9:$H$1208,MATCH($AQ483,'2_IMPORTAR_EJECUCION'!$J$9:$J$1208,0)),0)-$AI483))</f>
        <v/>
      </c>
      <c r="AK483" s="10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2">
        <f>IF($J484="","",TODAY()-$J484)</f>
        <v/>
      </c>
      <c r="AB484" s="12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IF($AE484="","",IF((IFERROR(INDEX('ASIGNACIONES'!$F$4:$F$339,MATCH($O484&amp;"|"&amp;$R484&amp;"|"&amp;$AE484,'ASIGNACIONES'!$J$4:$J$339,0)),""))=0,"",IFERROR(INDEX('ASIGNACIONES'!$F$4:$F$339,MATCH($O484&amp;"|"&amp;$R484&amp;"|"&amp;$AE484,'ASIGNACIONES'!$J$4:$J$339,0)),"")))</f>
        <v/>
      </c>
      <c r="AG484" s="13">
        <f>IF($AE484="","",SUMIFS('ORDENES'!$M$4:$M$1203,'ORDENES'!$AE$4:$AE$1203,$AE484,'ORDENES'!$O$4:$O$1203,$O484,'ORDENES'!$R$4:$R$1203,$R484))</f>
        <v/>
      </c>
      <c r="AH484" s="13">
        <f>IF($AG484="","",p_factor_productividad*IFERROR(INDEX('ASIGNACIONES'!$I$4:$I$339,MATCH($O484&amp;"|"&amp;$R484&amp;"|"&amp;$AE484,'ASIGNACIONES'!$J$4:$J$339,0)),0)-$AG484)</f>
        <v/>
      </c>
      <c r="AI484" s="10">
        <f>IF($A484="","",IFERROR(INDEX('2_IMPORTAR_EJECUCION'!$F$9:$F$1208,MATCH($AQ484,'2_IMPORTAR_EJECUCION'!$J$9:$J$1208,0)),0))</f>
        <v/>
      </c>
      <c r="AJ484" s="10">
        <f>IF($A484="","",MAX(0,IFERROR(INDEX('2_IMPORTAR_EJECUCION'!$H$9:$H$1208,MATCH($AQ484,'2_IMPORTAR_EJECUCION'!$J$9:$J$1208,0)),0)-$AI484))</f>
        <v/>
      </c>
      <c r="AK484" s="10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2">
        <f>IF($J485="","",TODAY()-$J485)</f>
        <v/>
      </c>
      <c r="AB485" s="12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IF($AE485="","",IF((IFERROR(INDEX('ASIGNACIONES'!$F$4:$F$339,MATCH($O485&amp;"|"&amp;$R485&amp;"|"&amp;$AE485,'ASIGNACIONES'!$J$4:$J$339,0)),""))=0,"",IFERROR(INDEX('ASIGNACIONES'!$F$4:$F$339,MATCH($O485&amp;"|"&amp;$R485&amp;"|"&amp;$AE485,'ASIGNACIONES'!$J$4:$J$339,0)),"")))</f>
        <v/>
      </c>
      <c r="AG485" s="13">
        <f>IF($AE485="","",SUMIFS('ORDENES'!$M$4:$M$1203,'ORDENES'!$AE$4:$AE$1203,$AE485,'ORDENES'!$O$4:$O$1203,$O485,'ORDENES'!$R$4:$R$1203,$R485))</f>
        <v/>
      </c>
      <c r="AH485" s="13">
        <f>IF($AG485="","",p_factor_productividad*IFERROR(INDEX('ASIGNACIONES'!$I$4:$I$339,MATCH($O485&amp;"|"&amp;$R485&amp;"|"&amp;$AE485,'ASIGNACIONES'!$J$4:$J$339,0)),0)-$AG485)</f>
        <v/>
      </c>
      <c r="AI485" s="10">
        <f>IF($A485="","",IFERROR(INDEX('2_IMPORTAR_EJECUCION'!$F$9:$F$1208,MATCH($AQ485,'2_IMPORTAR_EJECUCION'!$J$9:$J$1208,0)),0))</f>
        <v/>
      </c>
      <c r="AJ485" s="10">
        <f>IF($A485="","",MAX(0,IFERROR(INDEX('2_IMPORTAR_EJECUCION'!$H$9:$H$1208,MATCH($AQ485,'2_IMPORTAR_EJECUCION'!$J$9:$J$1208,0)),0)-$AI485))</f>
        <v/>
      </c>
      <c r="AK485" s="10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2">
        <f>IF($J486="","",TODAY()-$J486)</f>
        <v/>
      </c>
      <c r="AB486" s="12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IF($AE486="","",IF((IFERROR(INDEX('ASIGNACIONES'!$F$4:$F$339,MATCH($O486&amp;"|"&amp;$R486&amp;"|"&amp;$AE486,'ASIGNACIONES'!$J$4:$J$339,0)),""))=0,"",IFERROR(INDEX('ASIGNACIONES'!$F$4:$F$339,MATCH($O486&amp;"|"&amp;$R486&amp;"|"&amp;$AE486,'ASIGNACIONES'!$J$4:$J$339,0)),"")))</f>
        <v/>
      </c>
      <c r="AG486" s="13">
        <f>IF($AE486="","",SUMIFS('ORDENES'!$M$4:$M$1203,'ORDENES'!$AE$4:$AE$1203,$AE486,'ORDENES'!$O$4:$O$1203,$O486,'ORDENES'!$R$4:$R$1203,$R486))</f>
        <v/>
      </c>
      <c r="AH486" s="13">
        <f>IF($AG486="","",p_factor_productividad*IFERROR(INDEX('ASIGNACIONES'!$I$4:$I$339,MATCH($O486&amp;"|"&amp;$R486&amp;"|"&amp;$AE486,'ASIGNACIONES'!$J$4:$J$339,0)),0)-$AG486)</f>
        <v/>
      </c>
      <c r="AI486" s="10">
        <f>IF($A486="","",IFERROR(INDEX('2_IMPORTAR_EJECUCION'!$F$9:$F$1208,MATCH($AQ486,'2_IMPORTAR_EJECUCION'!$J$9:$J$1208,0)),0))</f>
        <v/>
      </c>
      <c r="AJ486" s="10">
        <f>IF($A486="","",MAX(0,IFERROR(INDEX('2_IMPORTAR_EJECUCION'!$H$9:$H$1208,MATCH($AQ486,'2_IMPORTAR_EJECUCION'!$J$9:$J$1208,0)),0)-$AI486))</f>
        <v/>
      </c>
      <c r="AK486" s="10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2">
        <f>IF($J487="","",TODAY()-$J487)</f>
        <v/>
      </c>
      <c r="AB487" s="12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IF($AE487="","",IF((IFERROR(INDEX('ASIGNACIONES'!$F$4:$F$339,MATCH($O487&amp;"|"&amp;$R487&amp;"|"&amp;$AE487,'ASIGNACIONES'!$J$4:$J$339,0)),""))=0,"",IFERROR(INDEX('ASIGNACIONES'!$F$4:$F$339,MATCH($O487&amp;"|"&amp;$R487&amp;"|"&amp;$AE487,'ASIGNACIONES'!$J$4:$J$339,0)),"")))</f>
        <v/>
      </c>
      <c r="AG487" s="13">
        <f>IF($AE487="","",SUMIFS('ORDENES'!$M$4:$M$1203,'ORDENES'!$AE$4:$AE$1203,$AE487,'ORDENES'!$O$4:$O$1203,$O487,'ORDENES'!$R$4:$R$1203,$R487))</f>
        <v/>
      </c>
      <c r="AH487" s="13">
        <f>IF($AG487="","",p_factor_productividad*IFERROR(INDEX('ASIGNACIONES'!$I$4:$I$339,MATCH($O487&amp;"|"&amp;$R487&amp;"|"&amp;$AE487,'ASIGNACIONES'!$J$4:$J$339,0)),0)-$AG487)</f>
        <v/>
      </c>
      <c r="AI487" s="10">
        <f>IF($A487="","",IFERROR(INDEX('2_IMPORTAR_EJECUCION'!$F$9:$F$1208,MATCH($AQ487,'2_IMPORTAR_EJECUCION'!$J$9:$J$1208,0)),0))</f>
        <v/>
      </c>
      <c r="AJ487" s="10">
        <f>IF($A487="","",MAX(0,IFERROR(INDEX('2_IMPORTAR_EJECUCION'!$H$9:$H$1208,MATCH($AQ487,'2_IMPORTAR_EJECUCION'!$J$9:$J$1208,0)),0)-$AI487))</f>
        <v/>
      </c>
      <c r="AK487" s="10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2">
        <f>IF($J488="","",TODAY()-$J488)</f>
        <v/>
      </c>
      <c r="AB488" s="12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IF($AE488="","",IF((IFERROR(INDEX('ASIGNACIONES'!$F$4:$F$339,MATCH($O488&amp;"|"&amp;$R488&amp;"|"&amp;$AE488,'ASIGNACIONES'!$J$4:$J$339,0)),""))=0,"",IFERROR(INDEX('ASIGNACIONES'!$F$4:$F$339,MATCH($O488&amp;"|"&amp;$R488&amp;"|"&amp;$AE488,'ASIGNACIONES'!$J$4:$J$339,0)),"")))</f>
        <v/>
      </c>
      <c r="AG488" s="13">
        <f>IF($AE488="","",SUMIFS('ORDENES'!$M$4:$M$1203,'ORDENES'!$AE$4:$AE$1203,$AE488,'ORDENES'!$O$4:$O$1203,$O488,'ORDENES'!$R$4:$R$1203,$R488))</f>
        <v/>
      </c>
      <c r="AH488" s="13">
        <f>IF($AG488="","",p_factor_productividad*IFERROR(INDEX('ASIGNACIONES'!$I$4:$I$339,MATCH($O488&amp;"|"&amp;$R488&amp;"|"&amp;$AE488,'ASIGNACIONES'!$J$4:$J$339,0)),0)-$AG488)</f>
        <v/>
      </c>
      <c r="AI488" s="10">
        <f>IF($A488="","",IFERROR(INDEX('2_IMPORTAR_EJECUCION'!$F$9:$F$1208,MATCH($AQ488,'2_IMPORTAR_EJECUCION'!$J$9:$J$1208,0)),0))</f>
        <v/>
      </c>
      <c r="AJ488" s="10">
        <f>IF($A488="","",MAX(0,IFERROR(INDEX('2_IMPORTAR_EJECUCION'!$H$9:$H$1208,MATCH($AQ488,'2_IMPORTAR_EJECUCION'!$J$9:$J$1208,0)),0)-$AI488))</f>
        <v/>
      </c>
      <c r="AK488" s="10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2">
        <f>IF($J489="","",TODAY()-$J489)</f>
        <v/>
      </c>
      <c r="AB489" s="12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IF($AE489="","",IF((IFERROR(INDEX('ASIGNACIONES'!$F$4:$F$339,MATCH($O489&amp;"|"&amp;$R489&amp;"|"&amp;$AE489,'ASIGNACIONES'!$J$4:$J$339,0)),""))=0,"",IFERROR(INDEX('ASIGNACIONES'!$F$4:$F$339,MATCH($O489&amp;"|"&amp;$R489&amp;"|"&amp;$AE489,'ASIGNACIONES'!$J$4:$J$339,0)),"")))</f>
        <v/>
      </c>
      <c r="AG489" s="13">
        <f>IF($AE489="","",SUMIFS('ORDENES'!$M$4:$M$1203,'ORDENES'!$AE$4:$AE$1203,$AE489,'ORDENES'!$O$4:$O$1203,$O489,'ORDENES'!$R$4:$R$1203,$R489))</f>
        <v/>
      </c>
      <c r="AH489" s="13">
        <f>IF($AG489="","",p_factor_productividad*IFERROR(INDEX('ASIGNACIONES'!$I$4:$I$339,MATCH($O489&amp;"|"&amp;$R489&amp;"|"&amp;$AE489,'ASIGNACIONES'!$J$4:$J$339,0)),0)-$AG489)</f>
        <v/>
      </c>
      <c r="AI489" s="10">
        <f>IF($A489="","",IFERROR(INDEX('2_IMPORTAR_EJECUCION'!$F$9:$F$1208,MATCH($AQ489,'2_IMPORTAR_EJECUCION'!$J$9:$J$1208,0)),0))</f>
        <v/>
      </c>
      <c r="AJ489" s="10">
        <f>IF($A489="","",MAX(0,IFERROR(INDEX('2_IMPORTAR_EJECUCION'!$H$9:$H$1208,MATCH($AQ489,'2_IMPORTAR_EJECUCION'!$J$9:$J$1208,0)),0)-$AI489))</f>
        <v/>
      </c>
      <c r="AK489" s="10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2">
        <f>IF($J490="","",TODAY()-$J490)</f>
        <v/>
      </c>
      <c r="AB490" s="12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IF($AE490="","",IF((IFERROR(INDEX('ASIGNACIONES'!$F$4:$F$339,MATCH($O490&amp;"|"&amp;$R490&amp;"|"&amp;$AE490,'ASIGNACIONES'!$J$4:$J$339,0)),""))=0,"",IFERROR(INDEX('ASIGNACIONES'!$F$4:$F$339,MATCH($O490&amp;"|"&amp;$R490&amp;"|"&amp;$AE490,'ASIGNACIONES'!$J$4:$J$339,0)),"")))</f>
        <v/>
      </c>
      <c r="AG490" s="13">
        <f>IF($AE490="","",SUMIFS('ORDENES'!$M$4:$M$1203,'ORDENES'!$AE$4:$AE$1203,$AE490,'ORDENES'!$O$4:$O$1203,$O490,'ORDENES'!$R$4:$R$1203,$R490))</f>
        <v/>
      </c>
      <c r="AH490" s="13">
        <f>IF($AG490="","",p_factor_productividad*IFERROR(INDEX('ASIGNACIONES'!$I$4:$I$339,MATCH($O490&amp;"|"&amp;$R490&amp;"|"&amp;$AE490,'ASIGNACIONES'!$J$4:$J$339,0)),0)-$AG490)</f>
        <v/>
      </c>
      <c r="AI490" s="10">
        <f>IF($A490="","",IFERROR(INDEX('2_IMPORTAR_EJECUCION'!$F$9:$F$1208,MATCH($AQ490,'2_IMPORTAR_EJECUCION'!$J$9:$J$1208,0)),0))</f>
        <v/>
      </c>
      <c r="AJ490" s="10">
        <f>IF($A490="","",MAX(0,IFERROR(INDEX('2_IMPORTAR_EJECUCION'!$H$9:$H$1208,MATCH($AQ490,'2_IMPORTAR_EJECUCION'!$J$9:$J$1208,0)),0)-$AI490))</f>
        <v/>
      </c>
      <c r="AK490" s="10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2">
        <f>IF($J491="","",TODAY()-$J491)</f>
        <v/>
      </c>
      <c r="AB491" s="12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IF($AE491="","",IF((IFERROR(INDEX('ASIGNACIONES'!$F$4:$F$339,MATCH($O491&amp;"|"&amp;$R491&amp;"|"&amp;$AE491,'ASIGNACIONES'!$J$4:$J$339,0)),""))=0,"",IFERROR(INDEX('ASIGNACIONES'!$F$4:$F$339,MATCH($O491&amp;"|"&amp;$R491&amp;"|"&amp;$AE491,'ASIGNACIONES'!$J$4:$J$339,0)),"")))</f>
        <v/>
      </c>
      <c r="AG491" s="13">
        <f>IF($AE491="","",SUMIFS('ORDENES'!$M$4:$M$1203,'ORDENES'!$AE$4:$AE$1203,$AE491,'ORDENES'!$O$4:$O$1203,$O491,'ORDENES'!$R$4:$R$1203,$R491))</f>
        <v/>
      </c>
      <c r="AH491" s="13">
        <f>IF($AG491="","",p_factor_productividad*IFERROR(INDEX('ASIGNACIONES'!$I$4:$I$339,MATCH($O491&amp;"|"&amp;$R491&amp;"|"&amp;$AE491,'ASIGNACIONES'!$J$4:$J$339,0)),0)-$AG491)</f>
        <v/>
      </c>
      <c r="AI491" s="10">
        <f>IF($A491="","",IFERROR(INDEX('2_IMPORTAR_EJECUCION'!$F$9:$F$1208,MATCH($AQ491,'2_IMPORTAR_EJECUCION'!$J$9:$J$1208,0)),0))</f>
        <v/>
      </c>
      <c r="AJ491" s="10">
        <f>IF($A491="","",MAX(0,IFERROR(INDEX('2_IMPORTAR_EJECUCION'!$H$9:$H$1208,MATCH($AQ491,'2_IMPORTAR_EJECUCION'!$J$9:$J$1208,0)),0)-$AI491))</f>
        <v/>
      </c>
      <c r="AK491" s="10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2">
        <f>IF($J492="","",TODAY()-$J492)</f>
        <v/>
      </c>
      <c r="AB492" s="12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IF($AE492="","",IF((IFERROR(INDEX('ASIGNACIONES'!$F$4:$F$339,MATCH($O492&amp;"|"&amp;$R492&amp;"|"&amp;$AE492,'ASIGNACIONES'!$J$4:$J$339,0)),""))=0,"",IFERROR(INDEX('ASIGNACIONES'!$F$4:$F$339,MATCH($O492&amp;"|"&amp;$R492&amp;"|"&amp;$AE492,'ASIGNACIONES'!$J$4:$J$339,0)),"")))</f>
        <v/>
      </c>
      <c r="AG492" s="13">
        <f>IF($AE492="","",SUMIFS('ORDENES'!$M$4:$M$1203,'ORDENES'!$AE$4:$AE$1203,$AE492,'ORDENES'!$O$4:$O$1203,$O492,'ORDENES'!$R$4:$R$1203,$R492))</f>
        <v/>
      </c>
      <c r="AH492" s="13">
        <f>IF($AG492="","",p_factor_productividad*IFERROR(INDEX('ASIGNACIONES'!$I$4:$I$339,MATCH($O492&amp;"|"&amp;$R492&amp;"|"&amp;$AE492,'ASIGNACIONES'!$J$4:$J$339,0)),0)-$AG492)</f>
        <v/>
      </c>
      <c r="AI492" s="10">
        <f>IF($A492="","",IFERROR(INDEX('2_IMPORTAR_EJECUCION'!$F$9:$F$1208,MATCH($AQ492,'2_IMPORTAR_EJECUCION'!$J$9:$J$1208,0)),0))</f>
        <v/>
      </c>
      <c r="AJ492" s="10">
        <f>IF($A492="","",MAX(0,IFERROR(INDEX('2_IMPORTAR_EJECUCION'!$H$9:$H$1208,MATCH($AQ492,'2_IMPORTAR_EJECUCION'!$J$9:$J$1208,0)),0)-$AI492))</f>
        <v/>
      </c>
      <c r="AK492" s="10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2">
        <f>IF($J493="","",TODAY()-$J493)</f>
        <v/>
      </c>
      <c r="AB493" s="12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IF($AE493="","",IF((IFERROR(INDEX('ASIGNACIONES'!$F$4:$F$339,MATCH($O493&amp;"|"&amp;$R493&amp;"|"&amp;$AE493,'ASIGNACIONES'!$J$4:$J$339,0)),""))=0,"",IFERROR(INDEX('ASIGNACIONES'!$F$4:$F$339,MATCH($O493&amp;"|"&amp;$R493&amp;"|"&amp;$AE493,'ASIGNACIONES'!$J$4:$J$339,0)),"")))</f>
        <v/>
      </c>
      <c r="AG493" s="13">
        <f>IF($AE493="","",SUMIFS('ORDENES'!$M$4:$M$1203,'ORDENES'!$AE$4:$AE$1203,$AE493,'ORDENES'!$O$4:$O$1203,$O493,'ORDENES'!$R$4:$R$1203,$R493))</f>
        <v/>
      </c>
      <c r="AH493" s="13">
        <f>IF($AG493="","",p_factor_productividad*IFERROR(INDEX('ASIGNACIONES'!$I$4:$I$339,MATCH($O493&amp;"|"&amp;$R493&amp;"|"&amp;$AE493,'ASIGNACIONES'!$J$4:$J$339,0)),0)-$AG493)</f>
        <v/>
      </c>
      <c r="AI493" s="10">
        <f>IF($A493="","",IFERROR(INDEX('2_IMPORTAR_EJECUCION'!$F$9:$F$1208,MATCH($AQ493,'2_IMPORTAR_EJECUCION'!$J$9:$J$1208,0)),0))</f>
        <v/>
      </c>
      <c r="AJ493" s="10">
        <f>IF($A493="","",MAX(0,IFERROR(INDEX('2_IMPORTAR_EJECUCION'!$H$9:$H$1208,MATCH($AQ493,'2_IMPORTAR_EJECUCION'!$J$9:$J$1208,0)),0)-$AI493))</f>
        <v/>
      </c>
      <c r="AK493" s="10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2">
        <f>IF($J494="","",TODAY()-$J494)</f>
        <v/>
      </c>
      <c r="AB494" s="12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IF($AE494="","",IF((IFERROR(INDEX('ASIGNACIONES'!$F$4:$F$339,MATCH($O494&amp;"|"&amp;$R494&amp;"|"&amp;$AE494,'ASIGNACIONES'!$J$4:$J$339,0)),""))=0,"",IFERROR(INDEX('ASIGNACIONES'!$F$4:$F$339,MATCH($O494&amp;"|"&amp;$R494&amp;"|"&amp;$AE494,'ASIGNACIONES'!$J$4:$J$339,0)),"")))</f>
        <v/>
      </c>
      <c r="AG494" s="13">
        <f>IF($AE494="","",SUMIFS('ORDENES'!$M$4:$M$1203,'ORDENES'!$AE$4:$AE$1203,$AE494,'ORDENES'!$O$4:$O$1203,$O494,'ORDENES'!$R$4:$R$1203,$R494))</f>
        <v/>
      </c>
      <c r="AH494" s="13">
        <f>IF($AG494="","",p_factor_productividad*IFERROR(INDEX('ASIGNACIONES'!$I$4:$I$339,MATCH($O494&amp;"|"&amp;$R494&amp;"|"&amp;$AE494,'ASIGNACIONES'!$J$4:$J$339,0)),0)-$AG494)</f>
        <v/>
      </c>
      <c r="AI494" s="10">
        <f>IF($A494="","",IFERROR(INDEX('2_IMPORTAR_EJECUCION'!$F$9:$F$1208,MATCH($AQ494,'2_IMPORTAR_EJECUCION'!$J$9:$J$1208,0)),0))</f>
        <v/>
      </c>
      <c r="AJ494" s="10">
        <f>IF($A494="","",MAX(0,IFERROR(INDEX('2_IMPORTAR_EJECUCION'!$H$9:$H$1208,MATCH($AQ494,'2_IMPORTAR_EJECUCION'!$J$9:$J$1208,0)),0)-$AI494))</f>
        <v/>
      </c>
      <c r="AK494" s="10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2">
        <f>IF($J495="","",TODAY()-$J495)</f>
        <v/>
      </c>
      <c r="AB495" s="12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IF($AE495="","",IF((IFERROR(INDEX('ASIGNACIONES'!$F$4:$F$339,MATCH($O495&amp;"|"&amp;$R495&amp;"|"&amp;$AE495,'ASIGNACIONES'!$J$4:$J$339,0)),""))=0,"",IFERROR(INDEX('ASIGNACIONES'!$F$4:$F$339,MATCH($O495&amp;"|"&amp;$R495&amp;"|"&amp;$AE495,'ASIGNACIONES'!$J$4:$J$339,0)),"")))</f>
        <v/>
      </c>
      <c r="AG495" s="13">
        <f>IF($AE495="","",SUMIFS('ORDENES'!$M$4:$M$1203,'ORDENES'!$AE$4:$AE$1203,$AE495,'ORDENES'!$O$4:$O$1203,$O495,'ORDENES'!$R$4:$R$1203,$R495))</f>
        <v/>
      </c>
      <c r="AH495" s="13">
        <f>IF($AG495="","",p_factor_productividad*IFERROR(INDEX('ASIGNACIONES'!$I$4:$I$339,MATCH($O495&amp;"|"&amp;$R495&amp;"|"&amp;$AE495,'ASIGNACIONES'!$J$4:$J$339,0)),0)-$AG495)</f>
        <v/>
      </c>
      <c r="AI495" s="10">
        <f>IF($A495="","",IFERROR(INDEX('2_IMPORTAR_EJECUCION'!$F$9:$F$1208,MATCH($AQ495,'2_IMPORTAR_EJECUCION'!$J$9:$J$1208,0)),0))</f>
        <v/>
      </c>
      <c r="AJ495" s="10">
        <f>IF($A495="","",MAX(0,IFERROR(INDEX('2_IMPORTAR_EJECUCION'!$H$9:$H$1208,MATCH($AQ495,'2_IMPORTAR_EJECUCION'!$J$9:$J$1208,0)),0)-$AI495))</f>
        <v/>
      </c>
      <c r="AK495" s="10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2">
        <f>IF($J496="","",TODAY()-$J496)</f>
        <v/>
      </c>
      <c r="AB496" s="12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IF($AE496="","",IF((IFERROR(INDEX('ASIGNACIONES'!$F$4:$F$339,MATCH($O496&amp;"|"&amp;$R496&amp;"|"&amp;$AE496,'ASIGNACIONES'!$J$4:$J$339,0)),""))=0,"",IFERROR(INDEX('ASIGNACIONES'!$F$4:$F$339,MATCH($O496&amp;"|"&amp;$R496&amp;"|"&amp;$AE496,'ASIGNACIONES'!$J$4:$J$339,0)),"")))</f>
        <v/>
      </c>
      <c r="AG496" s="13">
        <f>IF($AE496="","",SUMIFS('ORDENES'!$M$4:$M$1203,'ORDENES'!$AE$4:$AE$1203,$AE496,'ORDENES'!$O$4:$O$1203,$O496,'ORDENES'!$R$4:$R$1203,$R496))</f>
        <v/>
      </c>
      <c r="AH496" s="13">
        <f>IF($AG496="","",p_factor_productividad*IFERROR(INDEX('ASIGNACIONES'!$I$4:$I$339,MATCH($O496&amp;"|"&amp;$R496&amp;"|"&amp;$AE496,'ASIGNACIONES'!$J$4:$J$339,0)),0)-$AG496)</f>
        <v/>
      </c>
      <c r="AI496" s="10">
        <f>IF($A496="","",IFERROR(INDEX('2_IMPORTAR_EJECUCION'!$F$9:$F$1208,MATCH($AQ496,'2_IMPORTAR_EJECUCION'!$J$9:$J$1208,0)),0))</f>
        <v/>
      </c>
      <c r="AJ496" s="10">
        <f>IF($A496="","",MAX(0,IFERROR(INDEX('2_IMPORTAR_EJECUCION'!$H$9:$H$1208,MATCH($AQ496,'2_IMPORTAR_EJECUCION'!$J$9:$J$1208,0)),0)-$AI496))</f>
        <v/>
      </c>
      <c r="AK496" s="10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2">
        <f>IF($J497="","",TODAY()-$J497)</f>
        <v/>
      </c>
      <c r="AB497" s="12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IF($AE497="","",IF((IFERROR(INDEX('ASIGNACIONES'!$F$4:$F$339,MATCH($O497&amp;"|"&amp;$R497&amp;"|"&amp;$AE497,'ASIGNACIONES'!$J$4:$J$339,0)),""))=0,"",IFERROR(INDEX('ASIGNACIONES'!$F$4:$F$339,MATCH($O497&amp;"|"&amp;$R497&amp;"|"&amp;$AE497,'ASIGNACIONES'!$J$4:$J$339,0)),"")))</f>
        <v/>
      </c>
      <c r="AG497" s="13">
        <f>IF($AE497="","",SUMIFS('ORDENES'!$M$4:$M$1203,'ORDENES'!$AE$4:$AE$1203,$AE497,'ORDENES'!$O$4:$O$1203,$O497,'ORDENES'!$R$4:$R$1203,$R497))</f>
        <v/>
      </c>
      <c r="AH497" s="13">
        <f>IF($AG497="","",p_factor_productividad*IFERROR(INDEX('ASIGNACIONES'!$I$4:$I$339,MATCH($O497&amp;"|"&amp;$R497&amp;"|"&amp;$AE497,'ASIGNACIONES'!$J$4:$J$339,0)),0)-$AG497)</f>
        <v/>
      </c>
      <c r="AI497" s="10">
        <f>IF($A497="","",IFERROR(INDEX('2_IMPORTAR_EJECUCION'!$F$9:$F$1208,MATCH($AQ497,'2_IMPORTAR_EJECUCION'!$J$9:$J$1208,0)),0))</f>
        <v/>
      </c>
      <c r="AJ497" s="10">
        <f>IF($A497="","",MAX(0,IFERROR(INDEX('2_IMPORTAR_EJECUCION'!$H$9:$H$1208,MATCH($AQ497,'2_IMPORTAR_EJECUCION'!$J$9:$J$1208,0)),0)-$AI497))</f>
        <v/>
      </c>
      <c r="AK497" s="10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2">
        <f>IF($J498="","",TODAY()-$J498)</f>
        <v/>
      </c>
      <c r="AB498" s="12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IF($AE498="","",IF((IFERROR(INDEX('ASIGNACIONES'!$F$4:$F$339,MATCH($O498&amp;"|"&amp;$R498&amp;"|"&amp;$AE498,'ASIGNACIONES'!$J$4:$J$339,0)),""))=0,"",IFERROR(INDEX('ASIGNACIONES'!$F$4:$F$339,MATCH($O498&amp;"|"&amp;$R498&amp;"|"&amp;$AE498,'ASIGNACIONES'!$J$4:$J$339,0)),"")))</f>
        <v/>
      </c>
      <c r="AG498" s="13">
        <f>IF($AE498="","",SUMIFS('ORDENES'!$M$4:$M$1203,'ORDENES'!$AE$4:$AE$1203,$AE498,'ORDENES'!$O$4:$O$1203,$O498,'ORDENES'!$R$4:$R$1203,$R498))</f>
        <v/>
      </c>
      <c r="AH498" s="13">
        <f>IF($AG498="","",p_factor_productividad*IFERROR(INDEX('ASIGNACIONES'!$I$4:$I$339,MATCH($O498&amp;"|"&amp;$R498&amp;"|"&amp;$AE498,'ASIGNACIONES'!$J$4:$J$339,0)),0)-$AG498)</f>
        <v/>
      </c>
      <c r="AI498" s="10">
        <f>IF($A498="","",IFERROR(INDEX('2_IMPORTAR_EJECUCION'!$F$9:$F$1208,MATCH($AQ498,'2_IMPORTAR_EJECUCION'!$J$9:$J$1208,0)),0))</f>
        <v/>
      </c>
      <c r="AJ498" s="10">
        <f>IF($A498="","",MAX(0,IFERROR(INDEX('2_IMPORTAR_EJECUCION'!$H$9:$H$1208,MATCH($AQ498,'2_IMPORTAR_EJECUCION'!$J$9:$J$1208,0)),0)-$AI498))</f>
        <v/>
      </c>
      <c r="AK498" s="10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2">
        <f>IF($J499="","",TODAY()-$J499)</f>
        <v/>
      </c>
      <c r="AB499" s="12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IF($AE499="","",IF((IFERROR(INDEX('ASIGNACIONES'!$F$4:$F$339,MATCH($O499&amp;"|"&amp;$R499&amp;"|"&amp;$AE499,'ASIGNACIONES'!$J$4:$J$339,0)),""))=0,"",IFERROR(INDEX('ASIGNACIONES'!$F$4:$F$339,MATCH($O499&amp;"|"&amp;$R499&amp;"|"&amp;$AE499,'ASIGNACIONES'!$J$4:$J$339,0)),"")))</f>
        <v/>
      </c>
      <c r="AG499" s="13">
        <f>IF($AE499="","",SUMIFS('ORDENES'!$M$4:$M$1203,'ORDENES'!$AE$4:$AE$1203,$AE499,'ORDENES'!$O$4:$O$1203,$O499,'ORDENES'!$R$4:$R$1203,$R499))</f>
        <v/>
      </c>
      <c r="AH499" s="13">
        <f>IF($AG499="","",p_factor_productividad*IFERROR(INDEX('ASIGNACIONES'!$I$4:$I$339,MATCH($O499&amp;"|"&amp;$R499&amp;"|"&amp;$AE499,'ASIGNACIONES'!$J$4:$J$339,0)),0)-$AG499)</f>
        <v/>
      </c>
      <c r="AI499" s="10">
        <f>IF($A499="","",IFERROR(INDEX('2_IMPORTAR_EJECUCION'!$F$9:$F$1208,MATCH($AQ499,'2_IMPORTAR_EJECUCION'!$J$9:$J$1208,0)),0))</f>
        <v/>
      </c>
      <c r="AJ499" s="10">
        <f>IF($A499="","",MAX(0,IFERROR(INDEX('2_IMPORTAR_EJECUCION'!$H$9:$H$1208,MATCH($AQ499,'2_IMPORTAR_EJECUCION'!$J$9:$J$1208,0)),0)-$AI499))</f>
        <v/>
      </c>
      <c r="AK499" s="10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2">
        <f>IF($J500="","",TODAY()-$J500)</f>
        <v/>
      </c>
      <c r="AB500" s="12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IF($AE500="","",IF((IFERROR(INDEX('ASIGNACIONES'!$F$4:$F$339,MATCH($O500&amp;"|"&amp;$R500&amp;"|"&amp;$AE500,'ASIGNACIONES'!$J$4:$J$339,0)),""))=0,"",IFERROR(INDEX('ASIGNACIONES'!$F$4:$F$339,MATCH($O500&amp;"|"&amp;$R500&amp;"|"&amp;$AE500,'ASIGNACIONES'!$J$4:$J$339,0)),"")))</f>
        <v/>
      </c>
      <c r="AG500" s="13">
        <f>IF($AE500="","",SUMIFS('ORDENES'!$M$4:$M$1203,'ORDENES'!$AE$4:$AE$1203,$AE500,'ORDENES'!$O$4:$O$1203,$O500,'ORDENES'!$R$4:$R$1203,$R500))</f>
        <v/>
      </c>
      <c r="AH500" s="13">
        <f>IF($AG500="","",p_factor_productividad*IFERROR(INDEX('ASIGNACIONES'!$I$4:$I$339,MATCH($O500&amp;"|"&amp;$R500&amp;"|"&amp;$AE500,'ASIGNACIONES'!$J$4:$J$339,0)),0)-$AG500)</f>
        <v/>
      </c>
      <c r="AI500" s="10">
        <f>IF($A500="","",IFERROR(INDEX('2_IMPORTAR_EJECUCION'!$F$9:$F$1208,MATCH($AQ500,'2_IMPORTAR_EJECUCION'!$J$9:$J$1208,0)),0))</f>
        <v/>
      </c>
      <c r="AJ500" s="10">
        <f>IF($A500="","",MAX(0,IFERROR(INDEX('2_IMPORTAR_EJECUCION'!$H$9:$H$1208,MATCH($AQ500,'2_IMPORTAR_EJECUCION'!$J$9:$J$1208,0)),0)-$AI500))</f>
        <v/>
      </c>
      <c r="AK500" s="10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2">
        <f>IF($J501="","",TODAY()-$J501)</f>
        <v/>
      </c>
      <c r="AB501" s="12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IF($AE501="","",IF((IFERROR(INDEX('ASIGNACIONES'!$F$4:$F$339,MATCH($O501&amp;"|"&amp;$R501&amp;"|"&amp;$AE501,'ASIGNACIONES'!$J$4:$J$339,0)),""))=0,"",IFERROR(INDEX('ASIGNACIONES'!$F$4:$F$339,MATCH($O501&amp;"|"&amp;$R501&amp;"|"&amp;$AE501,'ASIGNACIONES'!$J$4:$J$339,0)),"")))</f>
        <v/>
      </c>
      <c r="AG501" s="13">
        <f>IF($AE501="","",SUMIFS('ORDENES'!$M$4:$M$1203,'ORDENES'!$AE$4:$AE$1203,$AE501,'ORDENES'!$O$4:$O$1203,$O501,'ORDENES'!$R$4:$R$1203,$R501))</f>
        <v/>
      </c>
      <c r="AH501" s="13">
        <f>IF($AG501="","",p_factor_productividad*IFERROR(INDEX('ASIGNACIONES'!$I$4:$I$339,MATCH($O501&amp;"|"&amp;$R501&amp;"|"&amp;$AE501,'ASIGNACIONES'!$J$4:$J$339,0)),0)-$AG501)</f>
        <v/>
      </c>
      <c r="AI501" s="10">
        <f>IF($A501="","",IFERROR(INDEX('2_IMPORTAR_EJECUCION'!$F$9:$F$1208,MATCH($AQ501,'2_IMPORTAR_EJECUCION'!$J$9:$J$1208,0)),0))</f>
        <v/>
      </c>
      <c r="AJ501" s="10">
        <f>IF($A501="","",MAX(0,IFERROR(INDEX('2_IMPORTAR_EJECUCION'!$H$9:$H$1208,MATCH($AQ501,'2_IMPORTAR_EJECUCION'!$J$9:$J$1208,0)),0)-$AI501))</f>
        <v/>
      </c>
      <c r="AK501" s="10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2">
        <f>IF($J502="","",TODAY()-$J502)</f>
        <v/>
      </c>
      <c r="AB502" s="12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IF($AE502="","",IF((IFERROR(INDEX('ASIGNACIONES'!$F$4:$F$339,MATCH($O502&amp;"|"&amp;$R502&amp;"|"&amp;$AE502,'ASIGNACIONES'!$J$4:$J$339,0)),""))=0,"",IFERROR(INDEX('ASIGNACIONES'!$F$4:$F$339,MATCH($O502&amp;"|"&amp;$R502&amp;"|"&amp;$AE502,'ASIGNACIONES'!$J$4:$J$339,0)),"")))</f>
        <v/>
      </c>
      <c r="AG502" s="13">
        <f>IF($AE502="","",SUMIFS('ORDENES'!$M$4:$M$1203,'ORDENES'!$AE$4:$AE$1203,$AE502,'ORDENES'!$O$4:$O$1203,$O502,'ORDENES'!$R$4:$R$1203,$R502))</f>
        <v/>
      </c>
      <c r="AH502" s="13">
        <f>IF($AG502="","",p_factor_productividad*IFERROR(INDEX('ASIGNACIONES'!$I$4:$I$339,MATCH($O502&amp;"|"&amp;$R502&amp;"|"&amp;$AE502,'ASIGNACIONES'!$J$4:$J$339,0)),0)-$AG502)</f>
        <v/>
      </c>
      <c r="AI502" s="10">
        <f>IF($A502="","",IFERROR(INDEX('2_IMPORTAR_EJECUCION'!$F$9:$F$1208,MATCH($AQ502,'2_IMPORTAR_EJECUCION'!$J$9:$J$1208,0)),0))</f>
        <v/>
      </c>
      <c r="AJ502" s="10">
        <f>IF($A502="","",MAX(0,IFERROR(INDEX('2_IMPORTAR_EJECUCION'!$H$9:$H$1208,MATCH($AQ502,'2_IMPORTAR_EJECUCION'!$J$9:$J$1208,0)),0)-$AI502))</f>
        <v/>
      </c>
      <c r="AK502" s="10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2">
        <f>IF($J503="","",TODAY()-$J503)</f>
        <v/>
      </c>
      <c r="AB503" s="12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IF($AE503="","",IF((IFERROR(INDEX('ASIGNACIONES'!$F$4:$F$339,MATCH($O503&amp;"|"&amp;$R503&amp;"|"&amp;$AE503,'ASIGNACIONES'!$J$4:$J$339,0)),""))=0,"",IFERROR(INDEX('ASIGNACIONES'!$F$4:$F$339,MATCH($O503&amp;"|"&amp;$R503&amp;"|"&amp;$AE503,'ASIGNACIONES'!$J$4:$J$339,0)),"")))</f>
        <v/>
      </c>
      <c r="AG503" s="13">
        <f>IF($AE503="","",SUMIFS('ORDENES'!$M$4:$M$1203,'ORDENES'!$AE$4:$AE$1203,$AE503,'ORDENES'!$O$4:$O$1203,$O503,'ORDENES'!$R$4:$R$1203,$R503))</f>
        <v/>
      </c>
      <c r="AH503" s="13">
        <f>IF($AG503="","",p_factor_productividad*IFERROR(INDEX('ASIGNACIONES'!$I$4:$I$339,MATCH($O503&amp;"|"&amp;$R503&amp;"|"&amp;$AE503,'ASIGNACIONES'!$J$4:$J$339,0)),0)-$AG503)</f>
        <v/>
      </c>
      <c r="AI503" s="10">
        <f>IF($A503="","",IFERROR(INDEX('2_IMPORTAR_EJECUCION'!$F$9:$F$1208,MATCH($AQ503,'2_IMPORTAR_EJECUCION'!$J$9:$J$1208,0)),0))</f>
        <v/>
      </c>
      <c r="AJ503" s="10">
        <f>IF($A503="","",MAX(0,IFERROR(INDEX('2_IMPORTAR_EJECUCION'!$H$9:$H$1208,MATCH($AQ503,'2_IMPORTAR_EJECUCION'!$J$9:$J$1208,0)),0)-$AI503))</f>
        <v/>
      </c>
      <c r="AK503" s="10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2">
        <f>IF($J504="","",TODAY()-$J504)</f>
        <v/>
      </c>
      <c r="AB504" s="12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IF($AE504="","",IF((IFERROR(INDEX('ASIGNACIONES'!$F$4:$F$339,MATCH($O504&amp;"|"&amp;$R504&amp;"|"&amp;$AE504,'ASIGNACIONES'!$J$4:$J$339,0)),""))=0,"",IFERROR(INDEX('ASIGNACIONES'!$F$4:$F$339,MATCH($O504&amp;"|"&amp;$R504&amp;"|"&amp;$AE504,'ASIGNACIONES'!$J$4:$J$339,0)),"")))</f>
        <v/>
      </c>
      <c r="AG504" s="13">
        <f>IF($AE504="","",SUMIFS('ORDENES'!$M$4:$M$1203,'ORDENES'!$AE$4:$AE$1203,$AE504,'ORDENES'!$O$4:$O$1203,$O504,'ORDENES'!$R$4:$R$1203,$R504))</f>
        <v/>
      </c>
      <c r="AH504" s="13">
        <f>IF($AG504="","",p_factor_productividad*IFERROR(INDEX('ASIGNACIONES'!$I$4:$I$339,MATCH($O504&amp;"|"&amp;$R504&amp;"|"&amp;$AE504,'ASIGNACIONES'!$J$4:$J$339,0)),0)-$AG504)</f>
        <v/>
      </c>
      <c r="AI504" s="10">
        <f>IF($A504="","",IFERROR(INDEX('2_IMPORTAR_EJECUCION'!$F$9:$F$1208,MATCH($AQ504,'2_IMPORTAR_EJECUCION'!$J$9:$J$1208,0)),0))</f>
        <v/>
      </c>
      <c r="AJ504" s="10">
        <f>IF($A504="","",MAX(0,IFERROR(INDEX('2_IMPORTAR_EJECUCION'!$H$9:$H$1208,MATCH($AQ504,'2_IMPORTAR_EJECUCION'!$J$9:$J$1208,0)),0)-$AI504))</f>
        <v/>
      </c>
      <c r="AK504" s="10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2">
        <f>IF($J505="","",TODAY()-$J505)</f>
        <v/>
      </c>
      <c r="AB505" s="12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IF($AE505="","",IF((IFERROR(INDEX('ASIGNACIONES'!$F$4:$F$339,MATCH($O505&amp;"|"&amp;$R505&amp;"|"&amp;$AE505,'ASIGNACIONES'!$J$4:$J$339,0)),""))=0,"",IFERROR(INDEX('ASIGNACIONES'!$F$4:$F$339,MATCH($O505&amp;"|"&amp;$R505&amp;"|"&amp;$AE505,'ASIGNACIONES'!$J$4:$J$339,0)),"")))</f>
        <v/>
      </c>
      <c r="AG505" s="13">
        <f>IF($AE505="","",SUMIFS('ORDENES'!$M$4:$M$1203,'ORDENES'!$AE$4:$AE$1203,$AE505,'ORDENES'!$O$4:$O$1203,$O505,'ORDENES'!$R$4:$R$1203,$R505))</f>
        <v/>
      </c>
      <c r="AH505" s="13">
        <f>IF($AG505="","",p_factor_productividad*IFERROR(INDEX('ASIGNACIONES'!$I$4:$I$339,MATCH($O505&amp;"|"&amp;$R505&amp;"|"&amp;$AE505,'ASIGNACIONES'!$J$4:$J$339,0)),0)-$AG505)</f>
        <v/>
      </c>
      <c r="AI505" s="10">
        <f>IF($A505="","",IFERROR(INDEX('2_IMPORTAR_EJECUCION'!$F$9:$F$1208,MATCH($AQ505,'2_IMPORTAR_EJECUCION'!$J$9:$J$1208,0)),0))</f>
        <v/>
      </c>
      <c r="AJ505" s="10">
        <f>IF($A505="","",MAX(0,IFERROR(INDEX('2_IMPORTAR_EJECUCION'!$H$9:$H$1208,MATCH($AQ505,'2_IMPORTAR_EJECUCION'!$J$9:$J$1208,0)),0)-$AI505))</f>
        <v/>
      </c>
      <c r="AK505" s="10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2">
        <f>IF($J506="","",TODAY()-$J506)</f>
        <v/>
      </c>
      <c r="AB506" s="12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IF($AE506="","",IF((IFERROR(INDEX('ASIGNACIONES'!$F$4:$F$339,MATCH($O506&amp;"|"&amp;$R506&amp;"|"&amp;$AE506,'ASIGNACIONES'!$J$4:$J$339,0)),""))=0,"",IFERROR(INDEX('ASIGNACIONES'!$F$4:$F$339,MATCH($O506&amp;"|"&amp;$R506&amp;"|"&amp;$AE506,'ASIGNACIONES'!$J$4:$J$339,0)),"")))</f>
        <v/>
      </c>
      <c r="AG506" s="13">
        <f>IF($AE506="","",SUMIFS('ORDENES'!$M$4:$M$1203,'ORDENES'!$AE$4:$AE$1203,$AE506,'ORDENES'!$O$4:$O$1203,$O506,'ORDENES'!$R$4:$R$1203,$R506))</f>
        <v/>
      </c>
      <c r="AH506" s="13">
        <f>IF($AG506="","",p_factor_productividad*IFERROR(INDEX('ASIGNACIONES'!$I$4:$I$339,MATCH($O506&amp;"|"&amp;$R506&amp;"|"&amp;$AE506,'ASIGNACIONES'!$J$4:$J$339,0)),0)-$AG506)</f>
        <v/>
      </c>
      <c r="AI506" s="10">
        <f>IF($A506="","",IFERROR(INDEX('2_IMPORTAR_EJECUCION'!$F$9:$F$1208,MATCH($AQ506,'2_IMPORTAR_EJECUCION'!$J$9:$J$1208,0)),0))</f>
        <v/>
      </c>
      <c r="AJ506" s="10">
        <f>IF($A506="","",MAX(0,IFERROR(INDEX('2_IMPORTAR_EJECUCION'!$H$9:$H$1208,MATCH($AQ506,'2_IMPORTAR_EJECUCION'!$J$9:$J$1208,0)),0)-$AI506))</f>
        <v/>
      </c>
      <c r="AK506" s="10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2">
        <f>IF($J507="","",TODAY()-$J507)</f>
        <v/>
      </c>
      <c r="AB507" s="12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IF($AE507="","",IF((IFERROR(INDEX('ASIGNACIONES'!$F$4:$F$339,MATCH($O507&amp;"|"&amp;$R507&amp;"|"&amp;$AE507,'ASIGNACIONES'!$J$4:$J$339,0)),""))=0,"",IFERROR(INDEX('ASIGNACIONES'!$F$4:$F$339,MATCH($O507&amp;"|"&amp;$R507&amp;"|"&amp;$AE507,'ASIGNACIONES'!$J$4:$J$339,0)),"")))</f>
        <v/>
      </c>
      <c r="AG507" s="13">
        <f>IF($AE507="","",SUMIFS('ORDENES'!$M$4:$M$1203,'ORDENES'!$AE$4:$AE$1203,$AE507,'ORDENES'!$O$4:$O$1203,$O507,'ORDENES'!$R$4:$R$1203,$R507))</f>
        <v/>
      </c>
      <c r="AH507" s="13">
        <f>IF($AG507="","",p_factor_productividad*IFERROR(INDEX('ASIGNACIONES'!$I$4:$I$339,MATCH($O507&amp;"|"&amp;$R507&amp;"|"&amp;$AE507,'ASIGNACIONES'!$J$4:$J$339,0)),0)-$AG507)</f>
        <v/>
      </c>
      <c r="AI507" s="10">
        <f>IF($A507="","",IFERROR(INDEX('2_IMPORTAR_EJECUCION'!$F$9:$F$1208,MATCH($AQ507,'2_IMPORTAR_EJECUCION'!$J$9:$J$1208,0)),0))</f>
        <v/>
      </c>
      <c r="AJ507" s="10">
        <f>IF($A507="","",MAX(0,IFERROR(INDEX('2_IMPORTAR_EJECUCION'!$H$9:$H$1208,MATCH($AQ507,'2_IMPORTAR_EJECUCION'!$J$9:$J$1208,0)),0)-$AI507))</f>
        <v/>
      </c>
      <c r="AK507" s="10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2">
        <f>IF($J508="","",TODAY()-$J508)</f>
        <v/>
      </c>
      <c r="AB508" s="12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IF($AE508="","",IF((IFERROR(INDEX('ASIGNACIONES'!$F$4:$F$339,MATCH($O508&amp;"|"&amp;$R508&amp;"|"&amp;$AE508,'ASIGNACIONES'!$J$4:$J$339,0)),""))=0,"",IFERROR(INDEX('ASIGNACIONES'!$F$4:$F$339,MATCH($O508&amp;"|"&amp;$R508&amp;"|"&amp;$AE508,'ASIGNACIONES'!$J$4:$J$339,0)),"")))</f>
        <v/>
      </c>
      <c r="AG508" s="13">
        <f>IF($AE508="","",SUMIFS('ORDENES'!$M$4:$M$1203,'ORDENES'!$AE$4:$AE$1203,$AE508,'ORDENES'!$O$4:$O$1203,$O508,'ORDENES'!$R$4:$R$1203,$R508))</f>
        <v/>
      </c>
      <c r="AH508" s="13">
        <f>IF($AG508="","",p_factor_productividad*IFERROR(INDEX('ASIGNACIONES'!$I$4:$I$339,MATCH($O508&amp;"|"&amp;$R508&amp;"|"&amp;$AE508,'ASIGNACIONES'!$J$4:$J$339,0)),0)-$AG508)</f>
        <v/>
      </c>
      <c r="AI508" s="10">
        <f>IF($A508="","",IFERROR(INDEX('2_IMPORTAR_EJECUCION'!$F$9:$F$1208,MATCH($AQ508,'2_IMPORTAR_EJECUCION'!$J$9:$J$1208,0)),0))</f>
        <v/>
      </c>
      <c r="AJ508" s="10">
        <f>IF($A508="","",MAX(0,IFERROR(INDEX('2_IMPORTAR_EJECUCION'!$H$9:$H$1208,MATCH($AQ508,'2_IMPORTAR_EJECUCION'!$J$9:$J$1208,0)),0)-$AI508))</f>
        <v/>
      </c>
      <c r="AK508" s="10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2">
        <f>IF($J509="","",TODAY()-$J509)</f>
        <v/>
      </c>
      <c r="AB509" s="12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IF($AE509="","",IF((IFERROR(INDEX('ASIGNACIONES'!$F$4:$F$339,MATCH($O509&amp;"|"&amp;$R509&amp;"|"&amp;$AE509,'ASIGNACIONES'!$J$4:$J$339,0)),""))=0,"",IFERROR(INDEX('ASIGNACIONES'!$F$4:$F$339,MATCH($O509&amp;"|"&amp;$R509&amp;"|"&amp;$AE509,'ASIGNACIONES'!$J$4:$J$339,0)),"")))</f>
        <v/>
      </c>
      <c r="AG509" s="13">
        <f>IF($AE509="","",SUMIFS('ORDENES'!$M$4:$M$1203,'ORDENES'!$AE$4:$AE$1203,$AE509,'ORDENES'!$O$4:$O$1203,$O509,'ORDENES'!$R$4:$R$1203,$R509))</f>
        <v/>
      </c>
      <c r="AH509" s="13">
        <f>IF($AG509="","",p_factor_productividad*IFERROR(INDEX('ASIGNACIONES'!$I$4:$I$339,MATCH($O509&amp;"|"&amp;$R509&amp;"|"&amp;$AE509,'ASIGNACIONES'!$J$4:$J$339,0)),0)-$AG509)</f>
        <v/>
      </c>
      <c r="AI509" s="10">
        <f>IF($A509="","",IFERROR(INDEX('2_IMPORTAR_EJECUCION'!$F$9:$F$1208,MATCH($AQ509,'2_IMPORTAR_EJECUCION'!$J$9:$J$1208,0)),0))</f>
        <v/>
      </c>
      <c r="AJ509" s="10">
        <f>IF($A509="","",MAX(0,IFERROR(INDEX('2_IMPORTAR_EJECUCION'!$H$9:$H$1208,MATCH($AQ509,'2_IMPORTAR_EJECUCION'!$J$9:$J$1208,0)),0)-$AI509))</f>
        <v/>
      </c>
      <c r="AK509" s="10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2">
        <f>IF($J510="","",TODAY()-$J510)</f>
        <v/>
      </c>
      <c r="AB510" s="12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IF($AE510="","",IF((IFERROR(INDEX('ASIGNACIONES'!$F$4:$F$339,MATCH($O510&amp;"|"&amp;$R510&amp;"|"&amp;$AE510,'ASIGNACIONES'!$J$4:$J$339,0)),""))=0,"",IFERROR(INDEX('ASIGNACIONES'!$F$4:$F$339,MATCH($O510&amp;"|"&amp;$R510&amp;"|"&amp;$AE510,'ASIGNACIONES'!$J$4:$J$339,0)),"")))</f>
        <v/>
      </c>
      <c r="AG510" s="13">
        <f>IF($AE510="","",SUMIFS('ORDENES'!$M$4:$M$1203,'ORDENES'!$AE$4:$AE$1203,$AE510,'ORDENES'!$O$4:$O$1203,$O510,'ORDENES'!$R$4:$R$1203,$R510))</f>
        <v/>
      </c>
      <c r="AH510" s="13">
        <f>IF($AG510="","",p_factor_productividad*IFERROR(INDEX('ASIGNACIONES'!$I$4:$I$339,MATCH($O510&amp;"|"&amp;$R510&amp;"|"&amp;$AE510,'ASIGNACIONES'!$J$4:$J$339,0)),0)-$AG510)</f>
        <v/>
      </c>
      <c r="AI510" s="10">
        <f>IF($A510="","",IFERROR(INDEX('2_IMPORTAR_EJECUCION'!$F$9:$F$1208,MATCH($AQ510,'2_IMPORTAR_EJECUCION'!$J$9:$J$1208,0)),0))</f>
        <v/>
      </c>
      <c r="AJ510" s="10">
        <f>IF($A510="","",MAX(0,IFERROR(INDEX('2_IMPORTAR_EJECUCION'!$H$9:$H$1208,MATCH($AQ510,'2_IMPORTAR_EJECUCION'!$J$9:$J$1208,0)),0)-$AI510))</f>
        <v/>
      </c>
      <c r="AK510" s="10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2">
        <f>IF($J511="","",TODAY()-$J511)</f>
        <v/>
      </c>
      <c r="AB511" s="12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IF($AE511="","",IF((IFERROR(INDEX('ASIGNACIONES'!$F$4:$F$339,MATCH($O511&amp;"|"&amp;$R511&amp;"|"&amp;$AE511,'ASIGNACIONES'!$J$4:$J$339,0)),""))=0,"",IFERROR(INDEX('ASIGNACIONES'!$F$4:$F$339,MATCH($O511&amp;"|"&amp;$R511&amp;"|"&amp;$AE511,'ASIGNACIONES'!$J$4:$J$339,0)),"")))</f>
        <v/>
      </c>
      <c r="AG511" s="13">
        <f>IF($AE511="","",SUMIFS('ORDENES'!$M$4:$M$1203,'ORDENES'!$AE$4:$AE$1203,$AE511,'ORDENES'!$O$4:$O$1203,$O511,'ORDENES'!$R$4:$R$1203,$R511))</f>
        <v/>
      </c>
      <c r="AH511" s="13">
        <f>IF($AG511="","",p_factor_productividad*IFERROR(INDEX('ASIGNACIONES'!$I$4:$I$339,MATCH($O511&amp;"|"&amp;$R511&amp;"|"&amp;$AE511,'ASIGNACIONES'!$J$4:$J$339,0)),0)-$AG511)</f>
        <v/>
      </c>
      <c r="AI511" s="10">
        <f>IF($A511="","",IFERROR(INDEX('2_IMPORTAR_EJECUCION'!$F$9:$F$1208,MATCH($AQ511,'2_IMPORTAR_EJECUCION'!$J$9:$J$1208,0)),0))</f>
        <v/>
      </c>
      <c r="AJ511" s="10">
        <f>IF($A511="","",MAX(0,IFERROR(INDEX('2_IMPORTAR_EJECUCION'!$H$9:$H$1208,MATCH($AQ511,'2_IMPORTAR_EJECUCION'!$J$9:$J$1208,0)),0)-$AI511))</f>
        <v/>
      </c>
      <c r="AK511" s="10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2">
        <f>IF($J512="","",TODAY()-$J512)</f>
        <v/>
      </c>
      <c r="AB512" s="12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IF($AE512="","",IF((IFERROR(INDEX('ASIGNACIONES'!$F$4:$F$339,MATCH($O512&amp;"|"&amp;$R512&amp;"|"&amp;$AE512,'ASIGNACIONES'!$J$4:$J$339,0)),""))=0,"",IFERROR(INDEX('ASIGNACIONES'!$F$4:$F$339,MATCH($O512&amp;"|"&amp;$R512&amp;"|"&amp;$AE512,'ASIGNACIONES'!$J$4:$J$339,0)),"")))</f>
        <v/>
      </c>
      <c r="AG512" s="13">
        <f>IF($AE512="","",SUMIFS('ORDENES'!$M$4:$M$1203,'ORDENES'!$AE$4:$AE$1203,$AE512,'ORDENES'!$O$4:$O$1203,$O512,'ORDENES'!$R$4:$R$1203,$R512))</f>
        <v/>
      </c>
      <c r="AH512" s="13">
        <f>IF($AG512="","",p_factor_productividad*IFERROR(INDEX('ASIGNACIONES'!$I$4:$I$339,MATCH($O512&amp;"|"&amp;$R512&amp;"|"&amp;$AE512,'ASIGNACIONES'!$J$4:$J$339,0)),0)-$AG512)</f>
        <v/>
      </c>
      <c r="AI512" s="10">
        <f>IF($A512="","",IFERROR(INDEX('2_IMPORTAR_EJECUCION'!$F$9:$F$1208,MATCH($AQ512,'2_IMPORTAR_EJECUCION'!$J$9:$J$1208,0)),0))</f>
        <v/>
      </c>
      <c r="AJ512" s="10">
        <f>IF($A512="","",MAX(0,IFERROR(INDEX('2_IMPORTAR_EJECUCION'!$H$9:$H$1208,MATCH($AQ512,'2_IMPORTAR_EJECUCION'!$J$9:$J$1208,0)),0)-$AI512))</f>
        <v/>
      </c>
      <c r="AK512" s="10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2">
        <f>IF($J513="","",TODAY()-$J513)</f>
        <v/>
      </c>
      <c r="AB513" s="12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IF($AE513="","",IF((IFERROR(INDEX('ASIGNACIONES'!$F$4:$F$339,MATCH($O513&amp;"|"&amp;$R513&amp;"|"&amp;$AE513,'ASIGNACIONES'!$J$4:$J$339,0)),""))=0,"",IFERROR(INDEX('ASIGNACIONES'!$F$4:$F$339,MATCH($O513&amp;"|"&amp;$R513&amp;"|"&amp;$AE513,'ASIGNACIONES'!$J$4:$J$339,0)),"")))</f>
        <v/>
      </c>
      <c r="AG513" s="13">
        <f>IF($AE513="","",SUMIFS('ORDENES'!$M$4:$M$1203,'ORDENES'!$AE$4:$AE$1203,$AE513,'ORDENES'!$O$4:$O$1203,$O513,'ORDENES'!$R$4:$R$1203,$R513))</f>
        <v/>
      </c>
      <c r="AH513" s="13">
        <f>IF($AG513="","",p_factor_productividad*IFERROR(INDEX('ASIGNACIONES'!$I$4:$I$339,MATCH($O513&amp;"|"&amp;$R513&amp;"|"&amp;$AE513,'ASIGNACIONES'!$J$4:$J$339,0)),0)-$AG513)</f>
        <v/>
      </c>
      <c r="AI513" s="10">
        <f>IF($A513="","",IFERROR(INDEX('2_IMPORTAR_EJECUCION'!$F$9:$F$1208,MATCH($AQ513,'2_IMPORTAR_EJECUCION'!$J$9:$J$1208,0)),0))</f>
        <v/>
      </c>
      <c r="AJ513" s="10">
        <f>IF($A513="","",MAX(0,IFERROR(INDEX('2_IMPORTAR_EJECUCION'!$H$9:$H$1208,MATCH($AQ513,'2_IMPORTAR_EJECUCION'!$J$9:$J$1208,0)),0)-$AI513))</f>
        <v/>
      </c>
      <c r="AK513" s="10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2">
        <f>IF($J514="","",TODAY()-$J514)</f>
        <v/>
      </c>
      <c r="AB514" s="12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IF($AE514="","",IF((IFERROR(INDEX('ASIGNACIONES'!$F$4:$F$339,MATCH($O514&amp;"|"&amp;$R514&amp;"|"&amp;$AE514,'ASIGNACIONES'!$J$4:$J$339,0)),""))=0,"",IFERROR(INDEX('ASIGNACIONES'!$F$4:$F$339,MATCH($O514&amp;"|"&amp;$R514&amp;"|"&amp;$AE514,'ASIGNACIONES'!$J$4:$J$339,0)),"")))</f>
        <v/>
      </c>
      <c r="AG514" s="13">
        <f>IF($AE514="","",SUMIFS('ORDENES'!$M$4:$M$1203,'ORDENES'!$AE$4:$AE$1203,$AE514,'ORDENES'!$O$4:$O$1203,$O514,'ORDENES'!$R$4:$R$1203,$R514))</f>
        <v/>
      </c>
      <c r="AH514" s="13">
        <f>IF($AG514="","",p_factor_productividad*IFERROR(INDEX('ASIGNACIONES'!$I$4:$I$339,MATCH($O514&amp;"|"&amp;$R514&amp;"|"&amp;$AE514,'ASIGNACIONES'!$J$4:$J$339,0)),0)-$AG514)</f>
        <v/>
      </c>
      <c r="AI514" s="10">
        <f>IF($A514="","",IFERROR(INDEX('2_IMPORTAR_EJECUCION'!$F$9:$F$1208,MATCH($AQ514,'2_IMPORTAR_EJECUCION'!$J$9:$J$1208,0)),0))</f>
        <v/>
      </c>
      <c r="AJ514" s="10">
        <f>IF($A514="","",MAX(0,IFERROR(INDEX('2_IMPORTAR_EJECUCION'!$H$9:$H$1208,MATCH($AQ514,'2_IMPORTAR_EJECUCION'!$J$9:$J$1208,0)),0)-$AI514))</f>
        <v/>
      </c>
      <c r="AK514" s="10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2">
        <f>IF($J515="","",TODAY()-$J515)</f>
        <v/>
      </c>
      <c r="AB515" s="12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IF($AE515="","",IF((IFERROR(INDEX('ASIGNACIONES'!$F$4:$F$339,MATCH($O515&amp;"|"&amp;$R515&amp;"|"&amp;$AE515,'ASIGNACIONES'!$J$4:$J$339,0)),""))=0,"",IFERROR(INDEX('ASIGNACIONES'!$F$4:$F$339,MATCH($O515&amp;"|"&amp;$R515&amp;"|"&amp;$AE515,'ASIGNACIONES'!$J$4:$J$339,0)),"")))</f>
        <v/>
      </c>
      <c r="AG515" s="13">
        <f>IF($AE515="","",SUMIFS('ORDENES'!$M$4:$M$1203,'ORDENES'!$AE$4:$AE$1203,$AE515,'ORDENES'!$O$4:$O$1203,$O515,'ORDENES'!$R$4:$R$1203,$R515))</f>
        <v/>
      </c>
      <c r="AH515" s="13">
        <f>IF($AG515="","",p_factor_productividad*IFERROR(INDEX('ASIGNACIONES'!$I$4:$I$339,MATCH($O515&amp;"|"&amp;$R515&amp;"|"&amp;$AE515,'ASIGNACIONES'!$J$4:$J$339,0)),0)-$AG515)</f>
        <v/>
      </c>
      <c r="AI515" s="10">
        <f>IF($A515="","",IFERROR(INDEX('2_IMPORTAR_EJECUCION'!$F$9:$F$1208,MATCH($AQ515,'2_IMPORTAR_EJECUCION'!$J$9:$J$1208,0)),0))</f>
        <v/>
      </c>
      <c r="AJ515" s="10">
        <f>IF($A515="","",MAX(0,IFERROR(INDEX('2_IMPORTAR_EJECUCION'!$H$9:$H$1208,MATCH($AQ515,'2_IMPORTAR_EJECUCION'!$J$9:$J$1208,0)),0)-$AI515))</f>
        <v/>
      </c>
      <c r="AK515" s="10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2">
        <f>IF($J516="","",TODAY()-$J516)</f>
        <v/>
      </c>
      <c r="AB516" s="12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IF($AE516="","",IF((IFERROR(INDEX('ASIGNACIONES'!$F$4:$F$339,MATCH($O516&amp;"|"&amp;$R516&amp;"|"&amp;$AE516,'ASIGNACIONES'!$J$4:$J$339,0)),""))=0,"",IFERROR(INDEX('ASIGNACIONES'!$F$4:$F$339,MATCH($O516&amp;"|"&amp;$R516&amp;"|"&amp;$AE516,'ASIGNACIONES'!$J$4:$J$339,0)),"")))</f>
        <v/>
      </c>
      <c r="AG516" s="13">
        <f>IF($AE516="","",SUMIFS('ORDENES'!$M$4:$M$1203,'ORDENES'!$AE$4:$AE$1203,$AE516,'ORDENES'!$O$4:$O$1203,$O516,'ORDENES'!$R$4:$R$1203,$R516))</f>
        <v/>
      </c>
      <c r="AH516" s="13">
        <f>IF($AG516="","",p_factor_productividad*IFERROR(INDEX('ASIGNACIONES'!$I$4:$I$339,MATCH($O516&amp;"|"&amp;$R516&amp;"|"&amp;$AE516,'ASIGNACIONES'!$J$4:$J$339,0)),0)-$AG516)</f>
        <v/>
      </c>
      <c r="AI516" s="10">
        <f>IF($A516="","",IFERROR(INDEX('2_IMPORTAR_EJECUCION'!$F$9:$F$1208,MATCH($AQ516,'2_IMPORTAR_EJECUCION'!$J$9:$J$1208,0)),0))</f>
        <v/>
      </c>
      <c r="AJ516" s="10">
        <f>IF($A516="","",MAX(0,IFERROR(INDEX('2_IMPORTAR_EJECUCION'!$H$9:$H$1208,MATCH($AQ516,'2_IMPORTAR_EJECUCION'!$J$9:$J$1208,0)),0)-$AI516))</f>
        <v/>
      </c>
      <c r="AK516" s="10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2">
        <f>IF($J517="","",TODAY()-$J517)</f>
        <v/>
      </c>
      <c r="AB517" s="12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IF($AE517="","",IF((IFERROR(INDEX('ASIGNACIONES'!$F$4:$F$339,MATCH($O517&amp;"|"&amp;$R517&amp;"|"&amp;$AE517,'ASIGNACIONES'!$J$4:$J$339,0)),""))=0,"",IFERROR(INDEX('ASIGNACIONES'!$F$4:$F$339,MATCH($O517&amp;"|"&amp;$R517&amp;"|"&amp;$AE517,'ASIGNACIONES'!$J$4:$J$339,0)),"")))</f>
        <v/>
      </c>
      <c r="AG517" s="13">
        <f>IF($AE517="","",SUMIFS('ORDENES'!$M$4:$M$1203,'ORDENES'!$AE$4:$AE$1203,$AE517,'ORDENES'!$O$4:$O$1203,$O517,'ORDENES'!$R$4:$R$1203,$R517))</f>
        <v/>
      </c>
      <c r="AH517" s="13">
        <f>IF($AG517="","",p_factor_productividad*IFERROR(INDEX('ASIGNACIONES'!$I$4:$I$339,MATCH($O517&amp;"|"&amp;$R517&amp;"|"&amp;$AE517,'ASIGNACIONES'!$J$4:$J$339,0)),0)-$AG517)</f>
        <v/>
      </c>
      <c r="AI517" s="10">
        <f>IF($A517="","",IFERROR(INDEX('2_IMPORTAR_EJECUCION'!$F$9:$F$1208,MATCH($AQ517,'2_IMPORTAR_EJECUCION'!$J$9:$J$1208,0)),0))</f>
        <v/>
      </c>
      <c r="AJ517" s="10">
        <f>IF($A517="","",MAX(0,IFERROR(INDEX('2_IMPORTAR_EJECUCION'!$H$9:$H$1208,MATCH($AQ517,'2_IMPORTAR_EJECUCION'!$J$9:$J$1208,0)),0)-$AI517))</f>
        <v/>
      </c>
      <c r="AK517" s="10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2">
        <f>IF($J518="","",TODAY()-$J518)</f>
        <v/>
      </c>
      <c r="AB518" s="12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IF($AE518="","",IF((IFERROR(INDEX('ASIGNACIONES'!$F$4:$F$339,MATCH($O518&amp;"|"&amp;$R518&amp;"|"&amp;$AE518,'ASIGNACIONES'!$J$4:$J$339,0)),""))=0,"",IFERROR(INDEX('ASIGNACIONES'!$F$4:$F$339,MATCH($O518&amp;"|"&amp;$R518&amp;"|"&amp;$AE518,'ASIGNACIONES'!$J$4:$J$339,0)),"")))</f>
        <v/>
      </c>
      <c r="AG518" s="13">
        <f>IF($AE518="","",SUMIFS('ORDENES'!$M$4:$M$1203,'ORDENES'!$AE$4:$AE$1203,$AE518,'ORDENES'!$O$4:$O$1203,$O518,'ORDENES'!$R$4:$R$1203,$R518))</f>
        <v/>
      </c>
      <c r="AH518" s="13">
        <f>IF($AG518="","",p_factor_productividad*IFERROR(INDEX('ASIGNACIONES'!$I$4:$I$339,MATCH($O518&amp;"|"&amp;$R518&amp;"|"&amp;$AE518,'ASIGNACIONES'!$J$4:$J$339,0)),0)-$AG518)</f>
        <v/>
      </c>
      <c r="AI518" s="10">
        <f>IF($A518="","",IFERROR(INDEX('2_IMPORTAR_EJECUCION'!$F$9:$F$1208,MATCH($AQ518,'2_IMPORTAR_EJECUCION'!$J$9:$J$1208,0)),0))</f>
        <v/>
      </c>
      <c r="AJ518" s="10">
        <f>IF($A518="","",MAX(0,IFERROR(INDEX('2_IMPORTAR_EJECUCION'!$H$9:$H$1208,MATCH($AQ518,'2_IMPORTAR_EJECUCION'!$J$9:$J$1208,0)),0)-$AI518))</f>
        <v/>
      </c>
      <c r="AK518" s="10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2">
        <f>IF($J519="","",TODAY()-$J519)</f>
        <v/>
      </c>
      <c r="AB519" s="12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IF($AE519="","",IF((IFERROR(INDEX('ASIGNACIONES'!$F$4:$F$339,MATCH($O519&amp;"|"&amp;$R519&amp;"|"&amp;$AE519,'ASIGNACIONES'!$J$4:$J$339,0)),""))=0,"",IFERROR(INDEX('ASIGNACIONES'!$F$4:$F$339,MATCH($O519&amp;"|"&amp;$R519&amp;"|"&amp;$AE519,'ASIGNACIONES'!$J$4:$J$339,0)),"")))</f>
        <v/>
      </c>
      <c r="AG519" s="13">
        <f>IF($AE519="","",SUMIFS('ORDENES'!$M$4:$M$1203,'ORDENES'!$AE$4:$AE$1203,$AE519,'ORDENES'!$O$4:$O$1203,$O519,'ORDENES'!$R$4:$R$1203,$R519))</f>
        <v/>
      </c>
      <c r="AH519" s="13">
        <f>IF($AG519="","",p_factor_productividad*IFERROR(INDEX('ASIGNACIONES'!$I$4:$I$339,MATCH($O519&amp;"|"&amp;$R519&amp;"|"&amp;$AE519,'ASIGNACIONES'!$J$4:$J$339,0)),0)-$AG519)</f>
        <v/>
      </c>
      <c r="AI519" s="10">
        <f>IF($A519="","",IFERROR(INDEX('2_IMPORTAR_EJECUCION'!$F$9:$F$1208,MATCH($AQ519,'2_IMPORTAR_EJECUCION'!$J$9:$J$1208,0)),0))</f>
        <v/>
      </c>
      <c r="AJ519" s="10">
        <f>IF($A519="","",MAX(0,IFERROR(INDEX('2_IMPORTAR_EJECUCION'!$H$9:$H$1208,MATCH($AQ519,'2_IMPORTAR_EJECUCION'!$J$9:$J$1208,0)),0)-$AI519))</f>
        <v/>
      </c>
      <c r="AK519" s="10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2">
        <f>IF($J520="","",TODAY()-$J520)</f>
        <v/>
      </c>
      <c r="AB520" s="12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IF($AE520="","",IF((IFERROR(INDEX('ASIGNACIONES'!$F$4:$F$339,MATCH($O520&amp;"|"&amp;$R520&amp;"|"&amp;$AE520,'ASIGNACIONES'!$J$4:$J$339,0)),""))=0,"",IFERROR(INDEX('ASIGNACIONES'!$F$4:$F$339,MATCH($O520&amp;"|"&amp;$R520&amp;"|"&amp;$AE520,'ASIGNACIONES'!$J$4:$J$339,0)),"")))</f>
        <v/>
      </c>
      <c r="AG520" s="13">
        <f>IF($AE520="","",SUMIFS('ORDENES'!$M$4:$M$1203,'ORDENES'!$AE$4:$AE$1203,$AE520,'ORDENES'!$O$4:$O$1203,$O520,'ORDENES'!$R$4:$R$1203,$R520))</f>
        <v/>
      </c>
      <c r="AH520" s="13">
        <f>IF($AG520="","",p_factor_productividad*IFERROR(INDEX('ASIGNACIONES'!$I$4:$I$339,MATCH($O520&amp;"|"&amp;$R520&amp;"|"&amp;$AE520,'ASIGNACIONES'!$J$4:$J$339,0)),0)-$AG520)</f>
        <v/>
      </c>
      <c r="AI520" s="10">
        <f>IF($A520="","",IFERROR(INDEX('2_IMPORTAR_EJECUCION'!$F$9:$F$1208,MATCH($AQ520,'2_IMPORTAR_EJECUCION'!$J$9:$J$1208,0)),0))</f>
        <v/>
      </c>
      <c r="AJ520" s="10">
        <f>IF($A520="","",MAX(0,IFERROR(INDEX('2_IMPORTAR_EJECUCION'!$H$9:$H$1208,MATCH($AQ520,'2_IMPORTAR_EJECUCION'!$J$9:$J$1208,0)),0)-$AI520))</f>
        <v/>
      </c>
      <c r="AK520" s="10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2">
        <f>IF($J521="","",TODAY()-$J521)</f>
        <v/>
      </c>
      <c r="AB521" s="12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IF($AE521="","",IF((IFERROR(INDEX('ASIGNACIONES'!$F$4:$F$339,MATCH($O521&amp;"|"&amp;$R521&amp;"|"&amp;$AE521,'ASIGNACIONES'!$J$4:$J$339,0)),""))=0,"",IFERROR(INDEX('ASIGNACIONES'!$F$4:$F$339,MATCH($O521&amp;"|"&amp;$R521&amp;"|"&amp;$AE521,'ASIGNACIONES'!$J$4:$J$339,0)),"")))</f>
        <v/>
      </c>
      <c r="AG521" s="13">
        <f>IF($AE521="","",SUMIFS('ORDENES'!$M$4:$M$1203,'ORDENES'!$AE$4:$AE$1203,$AE521,'ORDENES'!$O$4:$O$1203,$O521,'ORDENES'!$R$4:$R$1203,$R521))</f>
        <v/>
      </c>
      <c r="AH521" s="13">
        <f>IF($AG521="","",p_factor_productividad*IFERROR(INDEX('ASIGNACIONES'!$I$4:$I$339,MATCH($O521&amp;"|"&amp;$R521&amp;"|"&amp;$AE521,'ASIGNACIONES'!$J$4:$J$339,0)),0)-$AG521)</f>
        <v/>
      </c>
      <c r="AI521" s="10">
        <f>IF($A521="","",IFERROR(INDEX('2_IMPORTAR_EJECUCION'!$F$9:$F$1208,MATCH($AQ521,'2_IMPORTAR_EJECUCION'!$J$9:$J$1208,0)),0))</f>
        <v/>
      </c>
      <c r="AJ521" s="10">
        <f>IF($A521="","",MAX(0,IFERROR(INDEX('2_IMPORTAR_EJECUCION'!$H$9:$H$1208,MATCH($AQ521,'2_IMPORTAR_EJECUCION'!$J$9:$J$1208,0)),0)-$AI521))</f>
        <v/>
      </c>
      <c r="AK521" s="10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2">
        <f>IF($J522="","",TODAY()-$J522)</f>
        <v/>
      </c>
      <c r="AB522" s="12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IF($AE522="","",IF((IFERROR(INDEX('ASIGNACIONES'!$F$4:$F$339,MATCH($O522&amp;"|"&amp;$R522&amp;"|"&amp;$AE522,'ASIGNACIONES'!$J$4:$J$339,0)),""))=0,"",IFERROR(INDEX('ASIGNACIONES'!$F$4:$F$339,MATCH($O522&amp;"|"&amp;$R522&amp;"|"&amp;$AE522,'ASIGNACIONES'!$J$4:$J$339,0)),"")))</f>
        <v/>
      </c>
      <c r="AG522" s="13">
        <f>IF($AE522="","",SUMIFS('ORDENES'!$M$4:$M$1203,'ORDENES'!$AE$4:$AE$1203,$AE522,'ORDENES'!$O$4:$O$1203,$O522,'ORDENES'!$R$4:$R$1203,$R522))</f>
        <v/>
      </c>
      <c r="AH522" s="13">
        <f>IF($AG522="","",p_factor_productividad*IFERROR(INDEX('ASIGNACIONES'!$I$4:$I$339,MATCH($O522&amp;"|"&amp;$R522&amp;"|"&amp;$AE522,'ASIGNACIONES'!$J$4:$J$339,0)),0)-$AG522)</f>
        <v/>
      </c>
      <c r="AI522" s="10">
        <f>IF($A522="","",IFERROR(INDEX('2_IMPORTAR_EJECUCION'!$F$9:$F$1208,MATCH($AQ522,'2_IMPORTAR_EJECUCION'!$J$9:$J$1208,0)),0))</f>
        <v/>
      </c>
      <c r="AJ522" s="10">
        <f>IF($A522="","",MAX(0,IFERROR(INDEX('2_IMPORTAR_EJECUCION'!$H$9:$H$1208,MATCH($AQ522,'2_IMPORTAR_EJECUCION'!$J$9:$J$1208,0)),0)-$AI522))</f>
        <v/>
      </c>
      <c r="AK522" s="10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2">
        <f>IF($J523="","",TODAY()-$J523)</f>
        <v/>
      </c>
      <c r="AB523" s="12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IF($AE523="","",IF((IFERROR(INDEX('ASIGNACIONES'!$F$4:$F$339,MATCH($O523&amp;"|"&amp;$R523&amp;"|"&amp;$AE523,'ASIGNACIONES'!$J$4:$J$339,0)),""))=0,"",IFERROR(INDEX('ASIGNACIONES'!$F$4:$F$339,MATCH($O523&amp;"|"&amp;$R523&amp;"|"&amp;$AE523,'ASIGNACIONES'!$J$4:$J$339,0)),"")))</f>
        <v/>
      </c>
      <c r="AG523" s="13">
        <f>IF($AE523="","",SUMIFS('ORDENES'!$M$4:$M$1203,'ORDENES'!$AE$4:$AE$1203,$AE523,'ORDENES'!$O$4:$O$1203,$O523,'ORDENES'!$R$4:$R$1203,$R523))</f>
        <v/>
      </c>
      <c r="AH523" s="13">
        <f>IF($AG523="","",p_factor_productividad*IFERROR(INDEX('ASIGNACIONES'!$I$4:$I$339,MATCH($O523&amp;"|"&amp;$R523&amp;"|"&amp;$AE523,'ASIGNACIONES'!$J$4:$J$339,0)),0)-$AG523)</f>
        <v/>
      </c>
      <c r="AI523" s="10">
        <f>IF($A523="","",IFERROR(INDEX('2_IMPORTAR_EJECUCION'!$F$9:$F$1208,MATCH($AQ523,'2_IMPORTAR_EJECUCION'!$J$9:$J$1208,0)),0))</f>
        <v/>
      </c>
      <c r="AJ523" s="10">
        <f>IF($A523="","",MAX(0,IFERROR(INDEX('2_IMPORTAR_EJECUCION'!$H$9:$H$1208,MATCH($AQ523,'2_IMPORTAR_EJECUCION'!$J$9:$J$1208,0)),0)-$AI523))</f>
        <v/>
      </c>
      <c r="AK523" s="10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2">
        <f>IF($J524="","",TODAY()-$J524)</f>
        <v/>
      </c>
      <c r="AB524" s="12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IF($AE524="","",IF((IFERROR(INDEX('ASIGNACIONES'!$F$4:$F$339,MATCH($O524&amp;"|"&amp;$R524&amp;"|"&amp;$AE524,'ASIGNACIONES'!$J$4:$J$339,0)),""))=0,"",IFERROR(INDEX('ASIGNACIONES'!$F$4:$F$339,MATCH($O524&amp;"|"&amp;$R524&amp;"|"&amp;$AE524,'ASIGNACIONES'!$J$4:$J$339,0)),"")))</f>
        <v/>
      </c>
      <c r="AG524" s="13">
        <f>IF($AE524="","",SUMIFS('ORDENES'!$M$4:$M$1203,'ORDENES'!$AE$4:$AE$1203,$AE524,'ORDENES'!$O$4:$O$1203,$O524,'ORDENES'!$R$4:$R$1203,$R524))</f>
        <v/>
      </c>
      <c r="AH524" s="13">
        <f>IF($AG524="","",p_factor_productividad*IFERROR(INDEX('ASIGNACIONES'!$I$4:$I$339,MATCH($O524&amp;"|"&amp;$R524&amp;"|"&amp;$AE524,'ASIGNACIONES'!$J$4:$J$339,0)),0)-$AG524)</f>
        <v/>
      </c>
      <c r="AI524" s="10">
        <f>IF($A524="","",IFERROR(INDEX('2_IMPORTAR_EJECUCION'!$F$9:$F$1208,MATCH($AQ524,'2_IMPORTAR_EJECUCION'!$J$9:$J$1208,0)),0))</f>
        <v/>
      </c>
      <c r="AJ524" s="10">
        <f>IF($A524="","",MAX(0,IFERROR(INDEX('2_IMPORTAR_EJECUCION'!$H$9:$H$1208,MATCH($AQ524,'2_IMPORTAR_EJECUCION'!$J$9:$J$1208,0)),0)-$AI524))</f>
        <v/>
      </c>
      <c r="AK524" s="10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2">
        <f>IF($J525="","",TODAY()-$J525)</f>
        <v/>
      </c>
      <c r="AB525" s="12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IF($AE525="","",IF((IFERROR(INDEX('ASIGNACIONES'!$F$4:$F$339,MATCH($O525&amp;"|"&amp;$R525&amp;"|"&amp;$AE525,'ASIGNACIONES'!$J$4:$J$339,0)),""))=0,"",IFERROR(INDEX('ASIGNACIONES'!$F$4:$F$339,MATCH($O525&amp;"|"&amp;$R525&amp;"|"&amp;$AE525,'ASIGNACIONES'!$J$4:$J$339,0)),"")))</f>
        <v/>
      </c>
      <c r="AG525" s="13">
        <f>IF($AE525="","",SUMIFS('ORDENES'!$M$4:$M$1203,'ORDENES'!$AE$4:$AE$1203,$AE525,'ORDENES'!$O$4:$O$1203,$O525,'ORDENES'!$R$4:$R$1203,$R525))</f>
        <v/>
      </c>
      <c r="AH525" s="13">
        <f>IF($AG525="","",p_factor_productividad*IFERROR(INDEX('ASIGNACIONES'!$I$4:$I$339,MATCH($O525&amp;"|"&amp;$R525&amp;"|"&amp;$AE525,'ASIGNACIONES'!$J$4:$J$339,0)),0)-$AG525)</f>
        <v/>
      </c>
      <c r="AI525" s="10">
        <f>IF($A525="","",IFERROR(INDEX('2_IMPORTAR_EJECUCION'!$F$9:$F$1208,MATCH($AQ525,'2_IMPORTAR_EJECUCION'!$J$9:$J$1208,0)),0))</f>
        <v/>
      </c>
      <c r="AJ525" s="10">
        <f>IF($A525="","",MAX(0,IFERROR(INDEX('2_IMPORTAR_EJECUCION'!$H$9:$H$1208,MATCH($AQ525,'2_IMPORTAR_EJECUCION'!$J$9:$J$1208,0)),0)-$AI525))</f>
        <v/>
      </c>
      <c r="AK525" s="10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2">
        <f>IF($J526="","",TODAY()-$J526)</f>
        <v/>
      </c>
      <c r="AB526" s="12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IF($AE526="","",IF((IFERROR(INDEX('ASIGNACIONES'!$F$4:$F$339,MATCH($O526&amp;"|"&amp;$R526&amp;"|"&amp;$AE526,'ASIGNACIONES'!$J$4:$J$339,0)),""))=0,"",IFERROR(INDEX('ASIGNACIONES'!$F$4:$F$339,MATCH($O526&amp;"|"&amp;$R526&amp;"|"&amp;$AE526,'ASIGNACIONES'!$J$4:$J$339,0)),"")))</f>
        <v/>
      </c>
      <c r="AG526" s="13">
        <f>IF($AE526="","",SUMIFS('ORDENES'!$M$4:$M$1203,'ORDENES'!$AE$4:$AE$1203,$AE526,'ORDENES'!$O$4:$O$1203,$O526,'ORDENES'!$R$4:$R$1203,$R526))</f>
        <v/>
      </c>
      <c r="AH526" s="13">
        <f>IF($AG526="","",p_factor_productividad*IFERROR(INDEX('ASIGNACIONES'!$I$4:$I$339,MATCH($O526&amp;"|"&amp;$R526&amp;"|"&amp;$AE526,'ASIGNACIONES'!$J$4:$J$339,0)),0)-$AG526)</f>
        <v/>
      </c>
      <c r="AI526" s="10">
        <f>IF($A526="","",IFERROR(INDEX('2_IMPORTAR_EJECUCION'!$F$9:$F$1208,MATCH($AQ526,'2_IMPORTAR_EJECUCION'!$J$9:$J$1208,0)),0))</f>
        <v/>
      </c>
      <c r="AJ526" s="10">
        <f>IF($A526="","",MAX(0,IFERROR(INDEX('2_IMPORTAR_EJECUCION'!$H$9:$H$1208,MATCH($AQ526,'2_IMPORTAR_EJECUCION'!$J$9:$J$1208,0)),0)-$AI526))</f>
        <v/>
      </c>
      <c r="AK526" s="10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2">
        <f>IF($J527="","",TODAY()-$J527)</f>
        <v/>
      </c>
      <c r="AB527" s="12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IF($AE527="","",IF((IFERROR(INDEX('ASIGNACIONES'!$F$4:$F$339,MATCH($O527&amp;"|"&amp;$R527&amp;"|"&amp;$AE527,'ASIGNACIONES'!$J$4:$J$339,0)),""))=0,"",IFERROR(INDEX('ASIGNACIONES'!$F$4:$F$339,MATCH($O527&amp;"|"&amp;$R527&amp;"|"&amp;$AE527,'ASIGNACIONES'!$J$4:$J$339,0)),"")))</f>
        <v/>
      </c>
      <c r="AG527" s="13">
        <f>IF($AE527="","",SUMIFS('ORDENES'!$M$4:$M$1203,'ORDENES'!$AE$4:$AE$1203,$AE527,'ORDENES'!$O$4:$O$1203,$O527,'ORDENES'!$R$4:$R$1203,$R527))</f>
        <v/>
      </c>
      <c r="AH527" s="13">
        <f>IF($AG527="","",p_factor_productividad*IFERROR(INDEX('ASIGNACIONES'!$I$4:$I$339,MATCH($O527&amp;"|"&amp;$R527&amp;"|"&amp;$AE527,'ASIGNACIONES'!$J$4:$J$339,0)),0)-$AG527)</f>
        <v/>
      </c>
      <c r="AI527" s="10">
        <f>IF($A527="","",IFERROR(INDEX('2_IMPORTAR_EJECUCION'!$F$9:$F$1208,MATCH($AQ527,'2_IMPORTAR_EJECUCION'!$J$9:$J$1208,0)),0))</f>
        <v/>
      </c>
      <c r="AJ527" s="10">
        <f>IF($A527="","",MAX(0,IFERROR(INDEX('2_IMPORTAR_EJECUCION'!$H$9:$H$1208,MATCH($AQ527,'2_IMPORTAR_EJECUCION'!$J$9:$J$1208,0)),0)-$AI527))</f>
        <v/>
      </c>
      <c r="AK527" s="10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2">
        <f>IF($J528="","",TODAY()-$J528)</f>
        <v/>
      </c>
      <c r="AB528" s="12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IF($AE528="","",IF((IFERROR(INDEX('ASIGNACIONES'!$F$4:$F$339,MATCH($O528&amp;"|"&amp;$R528&amp;"|"&amp;$AE528,'ASIGNACIONES'!$J$4:$J$339,0)),""))=0,"",IFERROR(INDEX('ASIGNACIONES'!$F$4:$F$339,MATCH($O528&amp;"|"&amp;$R528&amp;"|"&amp;$AE528,'ASIGNACIONES'!$J$4:$J$339,0)),"")))</f>
        <v/>
      </c>
      <c r="AG528" s="13">
        <f>IF($AE528="","",SUMIFS('ORDENES'!$M$4:$M$1203,'ORDENES'!$AE$4:$AE$1203,$AE528,'ORDENES'!$O$4:$O$1203,$O528,'ORDENES'!$R$4:$R$1203,$R528))</f>
        <v/>
      </c>
      <c r="AH528" s="13">
        <f>IF($AG528="","",p_factor_productividad*IFERROR(INDEX('ASIGNACIONES'!$I$4:$I$339,MATCH($O528&amp;"|"&amp;$R528&amp;"|"&amp;$AE528,'ASIGNACIONES'!$J$4:$J$339,0)),0)-$AG528)</f>
        <v/>
      </c>
      <c r="AI528" s="10">
        <f>IF($A528="","",IFERROR(INDEX('2_IMPORTAR_EJECUCION'!$F$9:$F$1208,MATCH($AQ528,'2_IMPORTAR_EJECUCION'!$J$9:$J$1208,0)),0))</f>
        <v/>
      </c>
      <c r="AJ528" s="10">
        <f>IF($A528="","",MAX(0,IFERROR(INDEX('2_IMPORTAR_EJECUCION'!$H$9:$H$1208,MATCH($AQ528,'2_IMPORTAR_EJECUCION'!$J$9:$J$1208,0)),0)-$AI528))</f>
        <v/>
      </c>
      <c r="AK528" s="10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2">
        <f>IF($J529="","",TODAY()-$J529)</f>
        <v/>
      </c>
      <c r="AB529" s="12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IF($AE529="","",IF((IFERROR(INDEX('ASIGNACIONES'!$F$4:$F$339,MATCH($O529&amp;"|"&amp;$R529&amp;"|"&amp;$AE529,'ASIGNACIONES'!$J$4:$J$339,0)),""))=0,"",IFERROR(INDEX('ASIGNACIONES'!$F$4:$F$339,MATCH($O529&amp;"|"&amp;$R529&amp;"|"&amp;$AE529,'ASIGNACIONES'!$J$4:$J$339,0)),"")))</f>
        <v/>
      </c>
      <c r="AG529" s="13">
        <f>IF($AE529="","",SUMIFS('ORDENES'!$M$4:$M$1203,'ORDENES'!$AE$4:$AE$1203,$AE529,'ORDENES'!$O$4:$O$1203,$O529,'ORDENES'!$R$4:$R$1203,$R529))</f>
        <v/>
      </c>
      <c r="AH529" s="13">
        <f>IF($AG529="","",p_factor_productividad*IFERROR(INDEX('ASIGNACIONES'!$I$4:$I$339,MATCH($O529&amp;"|"&amp;$R529&amp;"|"&amp;$AE529,'ASIGNACIONES'!$J$4:$J$339,0)),0)-$AG529)</f>
        <v/>
      </c>
      <c r="AI529" s="10">
        <f>IF($A529="","",IFERROR(INDEX('2_IMPORTAR_EJECUCION'!$F$9:$F$1208,MATCH($AQ529,'2_IMPORTAR_EJECUCION'!$J$9:$J$1208,0)),0))</f>
        <v/>
      </c>
      <c r="AJ529" s="10">
        <f>IF($A529="","",MAX(0,IFERROR(INDEX('2_IMPORTAR_EJECUCION'!$H$9:$H$1208,MATCH($AQ529,'2_IMPORTAR_EJECUCION'!$J$9:$J$1208,0)),0)-$AI529))</f>
        <v/>
      </c>
      <c r="AK529" s="10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2">
        <f>IF($J530="","",TODAY()-$J530)</f>
        <v/>
      </c>
      <c r="AB530" s="12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IF($AE530="","",IF((IFERROR(INDEX('ASIGNACIONES'!$F$4:$F$339,MATCH($O530&amp;"|"&amp;$R530&amp;"|"&amp;$AE530,'ASIGNACIONES'!$J$4:$J$339,0)),""))=0,"",IFERROR(INDEX('ASIGNACIONES'!$F$4:$F$339,MATCH($O530&amp;"|"&amp;$R530&amp;"|"&amp;$AE530,'ASIGNACIONES'!$J$4:$J$339,0)),"")))</f>
        <v/>
      </c>
      <c r="AG530" s="13">
        <f>IF($AE530="","",SUMIFS('ORDENES'!$M$4:$M$1203,'ORDENES'!$AE$4:$AE$1203,$AE530,'ORDENES'!$O$4:$O$1203,$O530,'ORDENES'!$R$4:$R$1203,$R530))</f>
        <v/>
      </c>
      <c r="AH530" s="13">
        <f>IF($AG530="","",p_factor_productividad*IFERROR(INDEX('ASIGNACIONES'!$I$4:$I$339,MATCH($O530&amp;"|"&amp;$R530&amp;"|"&amp;$AE530,'ASIGNACIONES'!$J$4:$J$339,0)),0)-$AG530)</f>
        <v/>
      </c>
      <c r="AI530" s="10">
        <f>IF($A530="","",IFERROR(INDEX('2_IMPORTAR_EJECUCION'!$F$9:$F$1208,MATCH($AQ530,'2_IMPORTAR_EJECUCION'!$J$9:$J$1208,0)),0))</f>
        <v/>
      </c>
      <c r="AJ530" s="10">
        <f>IF($A530="","",MAX(0,IFERROR(INDEX('2_IMPORTAR_EJECUCION'!$H$9:$H$1208,MATCH($AQ530,'2_IMPORTAR_EJECUCION'!$J$9:$J$1208,0)),0)-$AI530))</f>
        <v/>
      </c>
      <c r="AK530" s="10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2">
        <f>IF($J531="","",TODAY()-$J531)</f>
        <v/>
      </c>
      <c r="AB531" s="12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IF($AE531="","",IF((IFERROR(INDEX('ASIGNACIONES'!$F$4:$F$339,MATCH($O531&amp;"|"&amp;$R531&amp;"|"&amp;$AE531,'ASIGNACIONES'!$J$4:$J$339,0)),""))=0,"",IFERROR(INDEX('ASIGNACIONES'!$F$4:$F$339,MATCH($O531&amp;"|"&amp;$R531&amp;"|"&amp;$AE531,'ASIGNACIONES'!$J$4:$J$339,0)),"")))</f>
        <v/>
      </c>
      <c r="AG531" s="13">
        <f>IF($AE531="","",SUMIFS('ORDENES'!$M$4:$M$1203,'ORDENES'!$AE$4:$AE$1203,$AE531,'ORDENES'!$O$4:$O$1203,$O531,'ORDENES'!$R$4:$R$1203,$R531))</f>
        <v/>
      </c>
      <c r="AH531" s="13">
        <f>IF($AG531="","",p_factor_productividad*IFERROR(INDEX('ASIGNACIONES'!$I$4:$I$339,MATCH($O531&amp;"|"&amp;$R531&amp;"|"&amp;$AE531,'ASIGNACIONES'!$J$4:$J$339,0)),0)-$AG531)</f>
        <v/>
      </c>
      <c r="AI531" s="10">
        <f>IF($A531="","",IFERROR(INDEX('2_IMPORTAR_EJECUCION'!$F$9:$F$1208,MATCH($AQ531,'2_IMPORTAR_EJECUCION'!$J$9:$J$1208,0)),0))</f>
        <v/>
      </c>
      <c r="AJ531" s="10">
        <f>IF($A531="","",MAX(0,IFERROR(INDEX('2_IMPORTAR_EJECUCION'!$H$9:$H$1208,MATCH($AQ531,'2_IMPORTAR_EJECUCION'!$J$9:$J$1208,0)),0)-$AI531))</f>
        <v/>
      </c>
      <c r="AK531" s="10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2">
        <f>IF($J532="","",TODAY()-$J532)</f>
        <v/>
      </c>
      <c r="AB532" s="12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IF($AE532="","",IF((IFERROR(INDEX('ASIGNACIONES'!$F$4:$F$339,MATCH($O532&amp;"|"&amp;$R532&amp;"|"&amp;$AE532,'ASIGNACIONES'!$J$4:$J$339,0)),""))=0,"",IFERROR(INDEX('ASIGNACIONES'!$F$4:$F$339,MATCH($O532&amp;"|"&amp;$R532&amp;"|"&amp;$AE532,'ASIGNACIONES'!$J$4:$J$339,0)),"")))</f>
        <v/>
      </c>
      <c r="AG532" s="13">
        <f>IF($AE532="","",SUMIFS('ORDENES'!$M$4:$M$1203,'ORDENES'!$AE$4:$AE$1203,$AE532,'ORDENES'!$O$4:$O$1203,$O532,'ORDENES'!$R$4:$R$1203,$R532))</f>
        <v/>
      </c>
      <c r="AH532" s="13">
        <f>IF($AG532="","",p_factor_productividad*IFERROR(INDEX('ASIGNACIONES'!$I$4:$I$339,MATCH($O532&amp;"|"&amp;$R532&amp;"|"&amp;$AE532,'ASIGNACIONES'!$J$4:$J$339,0)),0)-$AG532)</f>
        <v/>
      </c>
      <c r="AI532" s="10">
        <f>IF($A532="","",IFERROR(INDEX('2_IMPORTAR_EJECUCION'!$F$9:$F$1208,MATCH($AQ532,'2_IMPORTAR_EJECUCION'!$J$9:$J$1208,0)),0))</f>
        <v/>
      </c>
      <c r="AJ532" s="10">
        <f>IF($A532="","",MAX(0,IFERROR(INDEX('2_IMPORTAR_EJECUCION'!$H$9:$H$1208,MATCH($AQ532,'2_IMPORTAR_EJECUCION'!$J$9:$J$1208,0)),0)-$AI532))</f>
        <v/>
      </c>
      <c r="AK532" s="10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2">
        <f>IF($J533="","",TODAY()-$J533)</f>
        <v/>
      </c>
      <c r="AB533" s="12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IF($AE533="","",IF((IFERROR(INDEX('ASIGNACIONES'!$F$4:$F$339,MATCH($O533&amp;"|"&amp;$R533&amp;"|"&amp;$AE533,'ASIGNACIONES'!$J$4:$J$339,0)),""))=0,"",IFERROR(INDEX('ASIGNACIONES'!$F$4:$F$339,MATCH($O533&amp;"|"&amp;$R533&amp;"|"&amp;$AE533,'ASIGNACIONES'!$J$4:$J$339,0)),"")))</f>
        <v/>
      </c>
      <c r="AG533" s="13">
        <f>IF($AE533="","",SUMIFS('ORDENES'!$M$4:$M$1203,'ORDENES'!$AE$4:$AE$1203,$AE533,'ORDENES'!$O$4:$O$1203,$O533,'ORDENES'!$R$4:$R$1203,$R533))</f>
        <v/>
      </c>
      <c r="AH533" s="13">
        <f>IF($AG533="","",p_factor_productividad*IFERROR(INDEX('ASIGNACIONES'!$I$4:$I$339,MATCH($O533&amp;"|"&amp;$R533&amp;"|"&amp;$AE533,'ASIGNACIONES'!$J$4:$J$339,0)),0)-$AG533)</f>
        <v/>
      </c>
      <c r="AI533" s="10">
        <f>IF($A533="","",IFERROR(INDEX('2_IMPORTAR_EJECUCION'!$F$9:$F$1208,MATCH($AQ533,'2_IMPORTAR_EJECUCION'!$J$9:$J$1208,0)),0))</f>
        <v/>
      </c>
      <c r="AJ533" s="10">
        <f>IF($A533="","",MAX(0,IFERROR(INDEX('2_IMPORTAR_EJECUCION'!$H$9:$H$1208,MATCH($AQ533,'2_IMPORTAR_EJECUCION'!$J$9:$J$1208,0)),0)-$AI533))</f>
        <v/>
      </c>
      <c r="AK533" s="10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2">
        <f>IF($J534="","",TODAY()-$J534)</f>
        <v/>
      </c>
      <c r="AB534" s="12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IF($AE534="","",IF((IFERROR(INDEX('ASIGNACIONES'!$F$4:$F$339,MATCH($O534&amp;"|"&amp;$R534&amp;"|"&amp;$AE534,'ASIGNACIONES'!$J$4:$J$339,0)),""))=0,"",IFERROR(INDEX('ASIGNACIONES'!$F$4:$F$339,MATCH($O534&amp;"|"&amp;$R534&amp;"|"&amp;$AE534,'ASIGNACIONES'!$J$4:$J$339,0)),"")))</f>
        <v/>
      </c>
      <c r="AG534" s="13">
        <f>IF($AE534="","",SUMIFS('ORDENES'!$M$4:$M$1203,'ORDENES'!$AE$4:$AE$1203,$AE534,'ORDENES'!$O$4:$O$1203,$O534,'ORDENES'!$R$4:$R$1203,$R534))</f>
        <v/>
      </c>
      <c r="AH534" s="13">
        <f>IF($AG534="","",p_factor_productividad*IFERROR(INDEX('ASIGNACIONES'!$I$4:$I$339,MATCH($O534&amp;"|"&amp;$R534&amp;"|"&amp;$AE534,'ASIGNACIONES'!$J$4:$J$339,0)),0)-$AG534)</f>
        <v/>
      </c>
      <c r="AI534" s="10">
        <f>IF($A534="","",IFERROR(INDEX('2_IMPORTAR_EJECUCION'!$F$9:$F$1208,MATCH($AQ534,'2_IMPORTAR_EJECUCION'!$J$9:$J$1208,0)),0))</f>
        <v/>
      </c>
      <c r="AJ534" s="10">
        <f>IF($A534="","",MAX(0,IFERROR(INDEX('2_IMPORTAR_EJECUCION'!$H$9:$H$1208,MATCH($AQ534,'2_IMPORTAR_EJECUCION'!$J$9:$J$1208,0)),0)-$AI534))</f>
        <v/>
      </c>
      <c r="AK534" s="10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2">
        <f>IF($J535="","",TODAY()-$J535)</f>
        <v/>
      </c>
      <c r="AB535" s="12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IF($AE535="","",IF((IFERROR(INDEX('ASIGNACIONES'!$F$4:$F$339,MATCH($O535&amp;"|"&amp;$R535&amp;"|"&amp;$AE535,'ASIGNACIONES'!$J$4:$J$339,0)),""))=0,"",IFERROR(INDEX('ASIGNACIONES'!$F$4:$F$339,MATCH($O535&amp;"|"&amp;$R535&amp;"|"&amp;$AE535,'ASIGNACIONES'!$J$4:$J$339,0)),"")))</f>
        <v/>
      </c>
      <c r="AG535" s="13">
        <f>IF($AE535="","",SUMIFS('ORDENES'!$M$4:$M$1203,'ORDENES'!$AE$4:$AE$1203,$AE535,'ORDENES'!$O$4:$O$1203,$O535,'ORDENES'!$R$4:$R$1203,$R535))</f>
        <v/>
      </c>
      <c r="AH535" s="13">
        <f>IF($AG535="","",p_factor_productividad*IFERROR(INDEX('ASIGNACIONES'!$I$4:$I$339,MATCH($O535&amp;"|"&amp;$R535&amp;"|"&amp;$AE535,'ASIGNACIONES'!$J$4:$J$339,0)),0)-$AG535)</f>
        <v/>
      </c>
      <c r="AI535" s="10">
        <f>IF($A535="","",IFERROR(INDEX('2_IMPORTAR_EJECUCION'!$F$9:$F$1208,MATCH($AQ535,'2_IMPORTAR_EJECUCION'!$J$9:$J$1208,0)),0))</f>
        <v/>
      </c>
      <c r="AJ535" s="10">
        <f>IF($A535="","",MAX(0,IFERROR(INDEX('2_IMPORTAR_EJECUCION'!$H$9:$H$1208,MATCH($AQ535,'2_IMPORTAR_EJECUCION'!$J$9:$J$1208,0)),0)-$AI535))</f>
        <v/>
      </c>
      <c r="AK535" s="10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2">
        <f>IF($J536="","",TODAY()-$J536)</f>
        <v/>
      </c>
      <c r="AB536" s="12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IF($AE536="","",IF((IFERROR(INDEX('ASIGNACIONES'!$F$4:$F$339,MATCH($O536&amp;"|"&amp;$R536&amp;"|"&amp;$AE536,'ASIGNACIONES'!$J$4:$J$339,0)),""))=0,"",IFERROR(INDEX('ASIGNACIONES'!$F$4:$F$339,MATCH($O536&amp;"|"&amp;$R536&amp;"|"&amp;$AE536,'ASIGNACIONES'!$J$4:$J$339,0)),"")))</f>
        <v/>
      </c>
      <c r="AG536" s="13">
        <f>IF($AE536="","",SUMIFS('ORDENES'!$M$4:$M$1203,'ORDENES'!$AE$4:$AE$1203,$AE536,'ORDENES'!$O$4:$O$1203,$O536,'ORDENES'!$R$4:$R$1203,$R536))</f>
        <v/>
      </c>
      <c r="AH536" s="13">
        <f>IF($AG536="","",p_factor_productividad*IFERROR(INDEX('ASIGNACIONES'!$I$4:$I$339,MATCH($O536&amp;"|"&amp;$R536&amp;"|"&amp;$AE536,'ASIGNACIONES'!$J$4:$J$339,0)),0)-$AG536)</f>
        <v/>
      </c>
      <c r="AI536" s="10">
        <f>IF($A536="","",IFERROR(INDEX('2_IMPORTAR_EJECUCION'!$F$9:$F$1208,MATCH($AQ536,'2_IMPORTAR_EJECUCION'!$J$9:$J$1208,0)),0))</f>
        <v/>
      </c>
      <c r="AJ536" s="10">
        <f>IF($A536="","",MAX(0,IFERROR(INDEX('2_IMPORTAR_EJECUCION'!$H$9:$H$1208,MATCH($AQ536,'2_IMPORTAR_EJECUCION'!$J$9:$J$1208,0)),0)-$AI536))</f>
        <v/>
      </c>
      <c r="AK536" s="10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2">
        <f>IF($J537="","",TODAY()-$J537)</f>
        <v/>
      </c>
      <c r="AB537" s="12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IF($AE537="","",IF((IFERROR(INDEX('ASIGNACIONES'!$F$4:$F$339,MATCH($O537&amp;"|"&amp;$R537&amp;"|"&amp;$AE537,'ASIGNACIONES'!$J$4:$J$339,0)),""))=0,"",IFERROR(INDEX('ASIGNACIONES'!$F$4:$F$339,MATCH($O537&amp;"|"&amp;$R537&amp;"|"&amp;$AE537,'ASIGNACIONES'!$J$4:$J$339,0)),"")))</f>
        <v/>
      </c>
      <c r="AG537" s="13">
        <f>IF($AE537="","",SUMIFS('ORDENES'!$M$4:$M$1203,'ORDENES'!$AE$4:$AE$1203,$AE537,'ORDENES'!$O$4:$O$1203,$O537,'ORDENES'!$R$4:$R$1203,$R537))</f>
        <v/>
      </c>
      <c r="AH537" s="13">
        <f>IF($AG537="","",p_factor_productividad*IFERROR(INDEX('ASIGNACIONES'!$I$4:$I$339,MATCH($O537&amp;"|"&amp;$R537&amp;"|"&amp;$AE537,'ASIGNACIONES'!$J$4:$J$339,0)),0)-$AG537)</f>
        <v/>
      </c>
      <c r="AI537" s="10">
        <f>IF($A537="","",IFERROR(INDEX('2_IMPORTAR_EJECUCION'!$F$9:$F$1208,MATCH($AQ537,'2_IMPORTAR_EJECUCION'!$J$9:$J$1208,0)),0))</f>
        <v/>
      </c>
      <c r="AJ537" s="10">
        <f>IF($A537="","",MAX(0,IFERROR(INDEX('2_IMPORTAR_EJECUCION'!$H$9:$H$1208,MATCH($AQ537,'2_IMPORTAR_EJECUCION'!$J$9:$J$1208,0)),0)-$AI537))</f>
        <v/>
      </c>
      <c r="AK537" s="10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2">
        <f>IF($J538="","",TODAY()-$J538)</f>
        <v/>
      </c>
      <c r="AB538" s="12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IF($AE538="","",IF((IFERROR(INDEX('ASIGNACIONES'!$F$4:$F$339,MATCH($O538&amp;"|"&amp;$R538&amp;"|"&amp;$AE538,'ASIGNACIONES'!$J$4:$J$339,0)),""))=0,"",IFERROR(INDEX('ASIGNACIONES'!$F$4:$F$339,MATCH($O538&amp;"|"&amp;$R538&amp;"|"&amp;$AE538,'ASIGNACIONES'!$J$4:$J$339,0)),"")))</f>
        <v/>
      </c>
      <c r="AG538" s="13">
        <f>IF($AE538="","",SUMIFS('ORDENES'!$M$4:$M$1203,'ORDENES'!$AE$4:$AE$1203,$AE538,'ORDENES'!$O$4:$O$1203,$O538,'ORDENES'!$R$4:$R$1203,$R538))</f>
        <v/>
      </c>
      <c r="AH538" s="13">
        <f>IF($AG538="","",p_factor_productividad*IFERROR(INDEX('ASIGNACIONES'!$I$4:$I$339,MATCH($O538&amp;"|"&amp;$R538&amp;"|"&amp;$AE538,'ASIGNACIONES'!$J$4:$J$339,0)),0)-$AG538)</f>
        <v/>
      </c>
      <c r="AI538" s="10">
        <f>IF($A538="","",IFERROR(INDEX('2_IMPORTAR_EJECUCION'!$F$9:$F$1208,MATCH($AQ538,'2_IMPORTAR_EJECUCION'!$J$9:$J$1208,0)),0))</f>
        <v/>
      </c>
      <c r="AJ538" s="10">
        <f>IF($A538="","",MAX(0,IFERROR(INDEX('2_IMPORTAR_EJECUCION'!$H$9:$H$1208,MATCH($AQ538,'2_IMPORTAR_EJECUCION'!$J$9:$J$1208,0)),0)-$AI538))</f>
        <v/>
      </c>
      <c r="AK538" s="10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2">
        <f>IF($J539="","",TODAY()-$J539)</f>
        <v/>
      </c>
      <c r="AB539" s="12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IF($AE539="","",IF((IFERROR(INDEX('ASIGNACIONES'!$F$4:$F$339,MATCH($O539&amp;"|"&amp;$R539&amp;"|"&amp;$AE539,'ASIGNACIONES'!$J$4:$J$339,0)),""))=0,"",IFERROR(INDEX('ASIGNACIONES'!$F$4:$F$339,MATCH($O539&amp;"|"&amp;$R539&amp;"|"&amp;$AE539,'ASIGNACIONES'!$J$4:$J$339,0)),"")))</f>
        <v/>
      </c>
      <c r="AG539" s="13">
        <f>IF($AE539="","",SUMIFS('ORDENES'!$M$4:$M$1203,'ORDENES'!$AE$4:$AE$1203,$AE539,'ORDENES'!$O$4:$O$1203,$O539,'ORDENES'!$R$4:$R$1203,$R539))</f>
        <v/>
      </c>
      <c r="AH539" s="13">
        <f>IF($AG539="","",p_factor_productividad*IFERROR(INDEX('ASIGNACIONES'!$I$4:$I$339,MATCH($O539&amp;"|"&amp;$R539&amp;"|"&amp;$AE539,'ASIGNACIONES'!$J$4:$J$339,0)),0)-$AG539)</f>
        <v/>
      </c>
      <c r="AI539" s="10">
        <f>IF($A539="","",IFERROR(INDEX('2_IMPORTAR_EJECUCION'!$F$9:$F$1208,MATCH($AQ539,'2_IMPORTAR_EJECUCION'!$J$9:$J$1208,0)),0))</f>
        <v/>
      </c>
      <c r="AJ539" s="10">
        <f>IF($A539="","",MAX(0,IFERROR(INDEX('2_IMPORTAR_EJECUCION'!$H$9:$H$1208,MATCH($AQ539,'2_IMPORTAR_EJECUCION'!$J$9:$J$1208,0)),0)-$AI539))</f>
        <v/>
      </c>
      <c r="AK539" s="10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2">
        <f>IF($J540="","",TODAY()-$J540)</f>
        <v/>
      </c>
      <c r="AB540" s="12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IF($AE540="","",IF((IFERROR(INDEX('ASIGNACIONES'!$F$4:$F$339,MATCH($O540&amp;"|"&amp;$R540&amp;"|"&amp;$AE540,'ASIGNACIONES'!$J$4:$J$339,0)),""))=0,"",IFERROR(INDEX('ASIGNACIONES'!$F$4:$F$339,MATCH($O540&amp;"|"&amp;$R540&amp;"|"&amp;$AE540,'ASIGNACIONES'!$J$4:$J$339,0)),"")))</f>
        <v/>
      </c>
      <c r="AG540" s="13">
        <f>IF($AE540="","",SUMIFS('ORDENES'!$M$4:$M$1203,'ORDENES'!$AE$4:$AE$1203,$AE540,'ORDENES'!$O$4:$O$1203,$O540,'ORDENES'!$R$4:$R$1203,$R540))</f>
        <v/>
      </c>
      <c r="AH540" s="13">
        <f>IF($AG540="","",p_factor_productividad*IFERROR(INDEX('ASIGNACIONES'!$I$4:$I$339,MATCH($O540&amp;"|"&amp;$R540&amp;"|"&amp;$AE540,'ASIGNACIONES'!$J$4:$J$339,0)),0)-$AG540)</f>
        <v/>
      </c>
      <c r="AI540" s="10">
        <f>IF($A540="","",IFERROR(INDEX('2_IMPORTAR_EJECUCION'!$F$9:$F$1208,MATCH($AQ540,'2_IMPORTAR_EJECUCION'!$J$9:$J$1208,0)),0))</f>
        <v/>
      </c>
      <c r="AJ540" s="10">
        <f>IF($A540="","",MAX(0,IFERROR(INDEX('2_IMPORTAR_EJECUCION'!$H$9:$H$1208,MATCH($AQ540,'2_IMPORTAR_EJECUCION'!$J$9:$J$1208,0)),0)-$AI540))</f>
        <v/>
      </c>
      <c r="AK540" s="10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2">
        <f>IF($J541="","",TODAY()-$J541)</f>
        <v/>
      </c>
      <c r="AB541" s="12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IF($AE541="","",IF((IFERROR(INDEX('ASIGNACIONES'!$F$4:$F$339,MATCH($O541&amp;"|"&amp;$R541&amp;"|"&amp;$AE541,'ASIGNACIONES'!$J$4:$J$339,0)),""))=0,"",IFERROR(INDEX('ASIGNACIONES'!$F$4:$F$339,MATCH($O541&amp;"|"&amp;$R541&amp;"|"&amp;$AE541,'ASIGNACIONES'!$J$4:$J$339,0)),"")))</f>
        <v/>
      </c>
      <c r="AG541" s="13">
        <f>IF($AE541="","",SUMIFS('ORDENES'!$M$4:$M$1203,'ORDENES'!$AE$4:$AE$1203,$AE541,'ORDENES'!$O$4:$O$1203,$O541,'ORDENES'!$R$4:$R$1203,$R541))</f>
        <v/>
      </c>
      <c r="AH541" s="13">
        <f>IF($AG541="","",p_factor_productividad*IFERROR(INDEX('ASIGNACIONES'!$I$4:$I$339,MATCH($O541&amp;"|"&amp;$R541&amp;"|"&amp;$AE541,'ASIGNACIONES'!$J$4:$J$339,0)),0)-$AG541)</f>
        <v/>
      </c>
      <c r="AI541" s="10">
        <f>IF($A541="","",IFERROR(INDEX('2_IMPORTAR_EJECUCION'!$F$9:$F$1208,MATCH($AQ541,'2_IMPORTAR_EJECUCION'!$J$9:$J$1208,0)),0))</f>
        <v/>
      </c>
      <c r="AJ541" s="10">
        <f>IF($A541="","",MAX(0,IFERROR(INDEX('2_IMPORTAR_EJECUCION'!$H$9:$H$1208,MATCH($AQ541,'2_IMPORTAR_EJECUCION'!$J$9:$J$1208,0)),0)-$AI541))</f>
        <v/>
      </c>
      <c r="AK541" s="10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2">
        <f>IF($J542="","",TODAY()-$J542)</f>
        <v/>
      </c>
      <c r="AB542" s="12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IF($AE542="","",IF((IFERROR(INDEX('ASIGNACIONES'!$F$4:$F$339,MATCH($O542&amp;"|"&amp;$R542&amp;"|"&amp;$AE542,'ASIGNACIONES'!$J$4:$J$339,0)),""))=0,"",IFERROR(INDEX('ASIGNACIONES'!$F$4:$F$339,MATCH($O542&amp;"|"&amp;$R542&amp;"|"&amp;$AE542,'ASIGNACIONES'!$J$4:$J$339,0)),"")))</f>
        <v/>
      </c>
      <c r="AG542" s="13">
        <f>IF($AE542="","",SUMIFS('ORDENES'!$M$4:$M$1203,'ORDENES'!$AE$4:$AE$1203,$AE542,'ORDENES'!$O$4:$O$1203,$O542,'ORDENES'!$R$4:$R$1203,$R542))</f>
        <v/>
      </c>
      <c r="AH542" s="13">
        <f>IF($AG542="","",p_factor_productividad*IFERROR(INDEX('ASIGNACIONES'!$I$4:$I$339,MATCH($O542&amp;"|"&amp;$R542&amp;"|"&amp;$AE542,'ASIGNACIONES'!$J$4:$J$339,0)),0)-$AG542)</f>
        <v/>
      </c>
      <c r="AI542" s="10">
        <f>IF($A542="","",IFERROR(INDEX('2_IMPORTAR_EJECUCION'!$F$9:$F$1208,MATCH($AQ542,'2_IMPORTAR_EJECUCION'!$J$9:$J$1208,0)),0))</f>
        <v/>
      </c>
      <c r="AJ542" s="10">
        <f>IF($A542="","",MAX(0,IFERROR(INDEX('2_IMPORTAR_EJECUCION'!$H$9:$H$1208,MATCH($AQ542,'2_IMPORTAR_EJECUCION'!$J$9:$J$1208,0)),0)-$AI542))</f>
        <v/>
      </c>
      <c r="AK542" s="10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2">
        <f>IF($J543="","",TODAY()-$J543)</f>
        <v/>
      </c>
      <c r="AB543" s="12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IF($AE543="","",IF((IFERROR(INDEX('ASIGNACIONES'!$F$4:$F$339,MATCH($O543&amp;"|"&amp;$R543&amp;"|"&amp;$AE543,'ASIGNACIONES'!$J$4:$J$339,0)),""))=0,"",IFERROR(INDEX('ASIGNACIONES'!$F$4:$F$339,MATCH($O543&amp;"|"&amp;$R543&amp;"|"&amp;$AE543,'ASIGNACIONES'!$J$4:$J$339,0)),"")))</f>
        <v/>
      </c>
      <c r="AG543" s="13">
        <f>IF($AE543="","",SUMIFS('ORDENES'!$M$4:$M$1203,'ORDENES'!$AE$4:$AE$1203,$AE543,'ORDENES'!$O$4:$O$1203,$O543,'ORDENES'!$R$4:$R$1203,$R543))</f>
        <v/>
      </c>
      <c r="AH543" s="13">
        <f>IF($AG543="","",p_factor_productividad*IFERROR(INDEX('ASIGNACIONES'!$I$4:$I$339,MATCH($O543&amp;"|"&amp;$R543&amp;"|"&amp;$AE543,'ASIGNACIONES'!$J$4:$J$339,0)),0)-$AG543)</f>
        <v/>
      </c>
      <c r="AI543" s="10">
        <f>IF($A543="","",IFERROR(INDEX('2_IMPORTAR_EJECUCION'!$F$9:$F$1208,MATCH($AQ543,'2_IMPORTAR_EJECUCION'!$J$9:$J$1208,0)),0))</f>
        <v/>
      </c>
      <c r="AJ543" s="10">
        <f>IF($A543="","",MAX(0,IFERROR(INDEX('2_IMPORTAR_EJECUCION'!$H$9:$H$1208,MATCH($AQ543,'2_IMPORTAR_EJECUCION'!$J$9:$J$1208,0)),0)-$AI543))</f>
        <v/>
      </c>
      <c r="AK543" s="10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2">
        <f>IF($J544="","",TODAY()-$J544)</f>
        <v/>
      </c>
      <c r="AB544" s="12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IF($AE544="","",IF((IFERROR(INDEX('ASIGNACIONES'!$F$4:$F$339,MATCH($O544&amp;"|"&amp;$R544&amp;"|"&amp;$AE544,'ASIGNACIONES'!$J$4:$J$339,0)),""))=0,"",IFERROR(INDEX('ASIGNACIONES'!$F$4:$F$339,MATCH($O544&amp;"|"&amp;$R544&amp;"|"&amp;$AE544,'ASIGNACIONES'!$J$4:$J$339,0)),"")))</f>
        <v/>
      </c>
      <c r="AG544" s="13">
        <f>IF($AE544="","",SUMIFS('ORDENES'!$M$4:$M$1203,'ORDENES'!$AE$4:$AE$1203,$AE544,'ORDENES'!$O$4:$O$1203,$O544,'ORDENES'!$R$4:$R$1203,$R544))</f>
        <v/>
      </c>
      <c r="AH544" s="13">
        <f>IF($AG544="","",p_factor_productividad*IFERROR(INDEX('ASIGNACIONES'!$I$4:$I$339,MATCH($O544&amp;"|"&amp;$R544&amp;"|"&amp;$AE544,'ASIGNACIONES'!$J$4:$J$339,0)),0)-$AG544)</f>
        <v/>
      </c>
      <c r="AI544" s="10">
        <f>IF($A544="","",IFERROR(INDEX('2_IMPORTAR_EJECUCION'!$F$9:$F$1208,MATCH($AQ544,'2_IMPORTAR_EJECUCION'!$J$9:$J$1208,0)),0))</f>
        <v/>
      </c>
      <c r="AJ544" s="10">
        <f>IF($A544="","",MAX(0,IFERROR(INDEX('2_IMPORTAR_EJECUCION'!$H$9:$H$1208,MATCH($AQ544,'2_IMPORTAR_EJECUCION'!$J$9:$J$1208,0)),0)-$AI544))</f>
        <v/>
      </c>
      <c r="AK544" s="10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2">
        <f>IF($J545="","",TODAY()-$J545)</f>
        <v/>
      </c>
      <c r="AB545" s="12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IF($AE545="","",IF((IFERROR(INDEX('ASIGNACIONES'!$F$4:$F$339,MATCH($O545&amp;"|"&amp;$R545&amp;"|"&amp;$AE545,'ASIGNACIONES'!$J$4:$J$339,0)),""))=0,"",IFERROR(INDEX('ASIGNACIONES'!$F$4:$F$339,MATCH($O545&amp;"|"&amp;$R545&amp;"|"&amp;$AE545,'ASIGNACIONES'!$J$4:$J$339,0)),"")))</f>
        <v/>
      </c>
      <c r="AG545" s="13">
        <f>IF($AE545="","",SUMIFS('ORDENES'!$M$4:$M$1203,'ORDENES'!$AE$4:$AE$1203,$AE545,'ORDENES'!$O$4:$O$1203,$O545,'ORDENES'!$R$4:$R$1203,$R545))</f>
        <v/>
      </c>
      <c r="AH545" s="13">
        <f>IF($AG545="","",p_factor_productividad*IFERROR(INDEX('ASIGNACIONES'!$I$4:$I$339,MATCH($O545&amp;"|"&amp;$R545&amp;"|"&amp;$AE545,'ASIGNACIONES'!$J$4:$J$339,0)),0)-$AG545)</f>
        <v/>
      </c>
      <c r="AI545" s="10">
        <f>IF($A545="","",IFERROR(INDEX('2_IMPORTAR_EJECUCION'!$F$9:$F$1208,MATCH($AQ545,'2_IMPORTAR_EJECUCION'!$J$9:$J$1208,0)),0))</f>
        <v/>
      </c>
      <c r="AJ545" s="10">
        <f>IF($A545="","",MAX(0,IFERROR(INDEX('2_IMPORTAR_EJECUCION'!$H$9:$H$1208,MATCH($AQ545,'2_IMPORTAR_EJECUCION'!$J$9:$J$1208,0)),0)-$AI545))</f>
        <v/>
      </c>
      <c r="AK545" s="10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2">
        <f>IF($J546="","",TODAY()-$J546)</f>
        <v/>
      </c>
      <c r="AB546" s="12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IF($AE546="","",IF((IFERROR(INDEX('ASIGNACIONES'!$F$4:$F$339,MATCH($O546&amp;"|"&amp;$R546&amp;"|"&amp;$AE546,'ASIGNACIONES'!$J$4:$J$339,0)),""))=0,"",IFERROR(INDEX('ASIGNACIONES'!$F$4:$F$339,MATCH($O546&amp;"|"&amp;$R546&amp;"|"&amp;$AE546,'ASIGNACIONES'!$J$4:$J$339,0)),"")))</f>
        <v/>
      </c>
      <c r="AG546" s="13">
        <f>IF($AE546="","",SUMIFS('ORDENES'!$M$4:$M$1203,'ORDENES'!$AE$4:$AE$1203,$AE546,'ORDENES'!$O$4:$O$1203,$O546,'ORDENES'!$R$4:$R$1203,$R546))</f>
        <v/>
      </c>
      <c r="AH546" s="13">
        <f>IF($AG546="","",p_factor_productividad*IFERROR(INDEX('ASIGNACIONES'!$I$4:$I$339,MATCH($O546&amp;"|"&amp;$R546&amp;"|"&amp;$AE546,'ASIGNACIONES'!$J$4:$J$339,0)),0)-$AG546)</f>
        <v/>
      </c>
      <c r="AI546" s="10">
        <f>IF($A546="","",IFERROR(INDEX('2_IMPORTAR_EJECUCION'!$F$9:$F$1208,MATCH($AQ546,'2_IMPORTAR_EJECUCION'!$J$9:$J$1208,0)),0))</f>
        <v/>
      </c>
      <c r="AJ546" s="10">
        <f>IF($A546="","",MAX(0,IFERROR(INDEX('2_IMPORTAR_EJECUCION'!$H$9:$H$1208,MATCH($AQ546,'2_IMPORTAR_EJECUCION'!$J$9:$J$1208,0)),0)-$AI546))</f>
        <v/>
      </c>
      <c r="AK546" s="10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2">
        <f>IF($J547="","",TODAY()-$J547)</f>
        <v/>
      </c>
      <c r="AB547" s="12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IF($AE547="","",IF((IFERROR(INDEX('ASIGNACIONES'!$F$4:$F$339,MATCH($O547&amp;"|"&amp;$R547&amp;"|"&amp;$AE547,'ASIGNACIONES'!$J$4:$J$339,0)),""))=0,"",IFERROR(INDEX('ASIGNACIONES'!$F$4:$F$339,MATCH($O547&amp;"|"&amp;$R547&amp;"|"&amp;$AE547,'ASIGNACIONES'!$J$4:$J$339,0)),"")))</f>
        <v/>
      </c>
      <c r="AG547" s="13">
        <f>IF($AE547="","",SUMIFS('ORDENES'!$M$4:$M$1203,'ORDENES'!$AE$4:$AE$1203,$AE547,'ORDENES'!$O$4:$O$1203,$O547,'ORDENES'!$R$4:$R$1203,$R547))</f>
        <v/>
      </c>
      <c r="AH547" s="13">
        <f>IF($AG547="","",p_factor_productividad*IFERROR(INDEX('ASIGNACIONES'!$I$4:$I$339,MATCH($O547&amp;"|"&amp;$R547&amp;"|"&amp;$AE547,'ASIGNACIONES'!$J$4:$J$339,0)),0)-$AG547)</f>
        <v/>
      </c>
      <c r="AI547" s="10">
        <f>IF($A547="","",IFERROR(INDEX('2_IMPORTAR_EJECUCION'!$F$9:$F$1208,MATCH($AQ547,'2_IMPORTAR_EJECUCION'!$J$9:$J$1208,0)),0))</f>
        <v/>
      </c>
      <c r="AJ547" s="10">
        <f>IF($A547="","",MAX(0,IFERROR(INDEX('2_IMPORTAR_EJECUCION'!$H$9:$H$1208,MATCH($AQ547,'2_IMPORTAR_EJECUCION'!$J$9:$J$1208,0)),0)-$AI547))</f>
        <v/>
      </c>
      <c r="AK547" s="10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2">
        <f>IF($J548="","",TODAY()-$J548)</f>
        <v/>
      </c>
      <c r="AB548" s="12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IF($AE548="","",IF((IFERROR(INDEX('ASIGNACIONES'!$F$4:$F$339,MATCH($O548&amp;"|"&amp;$R548&amp;"|"&amp;$AE548,'ASIGNACIONES'!$J$4:$J$339,0)),""))=0,"",IFERROR(INDEX('ASIGNACIONES'!$F$4:$F$339,MATCH($O548&amp;"|"&amp;$R548&amp;"|"&amp;$AE548,'ASIGNACIONES'!$J$4:$J$339,0)),"")))</f>
        <v/>
      </c>
      <c r="AG548" s="13">
        <f>IF($AE548="","",SUMIFS('ORDENES'!$M$4:$M$1203,'ORDENES'!$AE$4:$AE$1203,$AE548,'ORDENES'!$O$4:$O$1203,$O548,'ORDENES'!$R$4:$R$1203,$R548))</f>
        <v/>
      </c>
      <c r="AH548" s="13">
        <f>IF($AG548="","",p_factor_productividad*IFERROR(INDEX('ASIGNACIONES'!$I$4:$I$339,MATCH($O548&amp;"|"&amp;$R548&amp;"|"&amp;$AE548,'ASIGNACIONES'!$J$4:$J$339,0)),0)-$AG548)</f>
        <v/>
      </c>
      <c r="AI548" s="10">
        <f>IF($A548="","",IFERROR(INDEX('2_IMPORTAR_EJECUCION'!$F$9:$F$1208,MATCH($AQ548,'2_IMPORTAR_EJECUCION'!$J$9:$J$1208,0)),0))</f>
        <v/>
      </c>
      <c r="AJ548" s="10">
        <f>IF($A548="","",MAX(0,IFERROR(INDEX('2_IMPORTAR_EJECUCION'!$H$9:$H$1208,MATCH($AQ548,'2_IMPORTAR_EJECUCION'!$J$9:$J$1208,0)),0)-$AI548))</f>
        <v/>
      </c>
      <c r="AK548" s="10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2">
        <f>IF($J549="","",TODAY()-$J549)</f>
        <v/>
      </c>
      <c r="AB549" s="12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IF($AE549="","",IF((IFERROR(INDEX('ASIGNACIONES'!$F$4:$F$339,MATCH($O549&amp;"|"&amp;$R549&amp;"|"&amp;$AE549,'ASIGNACIONES'!$J$4:$J$339,0)),""))=0,"",IFERROR(INDEX('ASIGNACIONES'!$F$4:$F$339,MATCH($O549&amp;"|"&amp;$R549&amp;"|"&amp;$AE549,'ASIGNACIONES'!$J$4:$J$339,0)),"")))</f>
        <v/>
      </c>
      <c r="AG549" s="13">
        <f>IF($AE549="","",SUMIFS('ORDENES'!$M$4:$M$1203,'ORDENES'!$AE$4:$AE$1203,$AE549,'ORDENES'!$O$4:$O$1203,$O549,'ORDENES'!$R$4:$R$1203,$R549))</f>
        <v/>
      </c>
      <c r="AH549" s="13">
        <f>IF($AG549="","",p_factor_productividad*IFERROR(INDEX('ASIGNACIONES'!$I$4:$I$339,MATCH($O549&amp;"|"&amp;$R549&amp;"|"&amp;$AE549,'ASIGNACIONES'!$J$4:$J$339,0)),0)-$AG549)</f>
        <v/>
      </c>
      <c r="AI549" s="10">
        <f>IF($A549="","",IFERROR(INDEX('2_IMPORTAR_EJECUCION'!$F$9:$F$1208,MATCH($AQ549,'2_IMPORTAR_EJECUCION'!$J$9:$J$1208,0)),0))</f>
        <v/>
      </c>
      <c r="AJ549" s="10">
        <f>IF($A549="","",MAX(0,IFERROR(INDEX('2_IMPORTAR_EJECUCION'!$H$9:$H$1208,MATCH($AQ549,'2_IMPORTAR_EJECUCION'!$J$9:$J$1208,0)),0)-$AI549))</f>
        <v/>
      </c>
      <c r="AK549" s="10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2">
        <f>IF($J550="","",TODAY()-$J550)</f>
        <v/>
      </c>
      <c r="AB550" s="12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IF($AE550="","",IF((IFERROR(INDEX('ASIGNACIONES'!$F$4:$F$339,MATCH($O550&amp;"|"&amp;$R550&amp;"|"&amp;$AE550,'ASIGNACIONES'!$J$4:$J$339,0)),""))=0,"",IFERROR(INDEX('ASIGNACIONES'!$F$4:$F$339,MATCH($O550&amp;"|"&amp;$R550&amp;"|"&amp;$AE550,'ASIGNACIONES'!$J$4:$J$339,0)),"")))</f>
        <v/>
      </c>
      <c r="AG550" s="13">
        <f>IF($AE550="","",SUMIFS('ORDENES'!$M$4:$M$1203,'ORDENES'!$AE$4:$AE$1203,$AE550,'ORDENES'!$O$4:$O$1203,$O550,'ORDENES'!$R$4:$R$1203,$R550))</f>
        <v/>
      </c>
      <c r="AH550" s="13">
        <f>IF($AG550="","",p_factor_productividad*IFERROR(INDEX('ASIGNACIONES'!$I$4:$I$339,MATCH($O550&amp;"|"&amp;$R550&amp;"|"&amp;$AE550,'ASIGNACIONES'!$J$4:$J$339,0)),0)-$AG550)</f>
        <v/>
      </c>
      <c r="AI550" s="10">
        <f>IF($A550="","",IFERROR(INDEX('2_IMPORTAR_EJECUCION'!$F$9:$F$1208,MATCH($AQ550,'2_IMPORTAR_EJECUCION'!$J$9:$J$1208,0)),0))</f>
        <v/>
      </c>
      <c r="AJ550" s="10">
        <f>IF($A550="","",MAX(0,IFERROR(INDEX('2_IMPORTAR_EJECUCION'!$H$9:$H$1208,MATCH($AQ550,'2_IMPORTAR_EJECUCION'!$J$9:$J$1208,0)),0)-$AI550))</f>
        <v/>
      </c>
      <c r="AK550" s="10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2">
        <f>IF($J551="","",TODAY()-$J551)</f>
        <v/>
      </c>
      <c r="AB551" s="12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IF($AE551="","",IF((IFERROR(INDEX('ASIGNACIONES'!$F$4:$F$339,MATCH($O551&amp;"|"&amp;$R551&amp;"|"&amp;$AE551,'ASIGNACIONES'!$J$4:$J$339,0)),""))=0,"",IFERROR(INDEX('ASIGNACIONES'!$F$4:$F$339,MATCH($O551&amp;"|"&amp;$R551&amp;"|"&amp;$AE551,'ASIGNACIONES'!$J$4:$J$339,0)),"")))</f>
        <v/>
      </c>
      <c r="AG551" s="13">
        <f>IF($AE551="","",SUMIFS('ORDENES'!$M$4:$M$1203,'ORDENES'!$AE$4:$AE$1203,$AE551,'ORDENES'!$O$4:$O$1203,$O551,'ORDENES'!$R$4:$R$1203,$R551))</f>
        <v/>
      </c>
      <c r="AH551" s="13">
        <f>IF($AG551="","",p_factor_productividad*IFERROR(INDEX('ASIGNACIONES'!$I$4:$I$339,MATCH($O551&amp;"|"&amp;$R551&amp;"|"&amp;$AE551,'ASIGNACIONES'!$J$4:$J$339,0)),0)-$AG551)</f>
        <v/>
      </c>
      <c r="AI551" s="10">
        <f>IF($A551="","",IFERROR(INDEX('2_IMPORTAR_EJECUCION'!$F$9:$F$1208,MATCH($AQ551,'2_IMPORTAR_EJECUCION'!$J$9:$J$1208,0)),0))</f>
        <v/>
      </c>
      <c r="AJ551" s="10">
        <f>IF($A551="","",MAX(0,IFERROR(INDEX('2_IMPORTAR_EJECUCION'!$H$9:$H$1208,MATCH($AQ551,'2_IMPORTAR_EJECUCION'!$J$9:$J$1208,0)),0)-$AI551))</f>
        <v/>
      </c>
      <c r="AK551" s="10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2">
        <f>IF($J552="","",TODAY()-$J552)</f>
        <v/>
      </c>
      <c r="AB552" s="12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IF($AE552="","",IF((IFERROR(INDEX('ASIGNACIONES'!$F$4:$F$339,MATCH($O552&amp;"|"&amp;$R552&amp;"|"&amp;$AE552,'ASIGNACIONES'!$J$4:$J$339,0)),""))=0,"",IFERROR(INDEX('ASIGNACIONES'!$F$4:$F$339,MATCH($O552&amp;"|"&amp;$R552&amp;"|"&amp;$AE552,'ASIGNACIONES'!$J$4:$J$339,0)),"")))</f>
        <v/>
      </c>
      <c r="AG552" s="13">
        <f>IF($AE552="","",SUMIFS('ORDENES'!$M$4:$M$1203,'ORDENES'!$AE$4:$AE$1203,$AE552,'ORDENES'!$O$4:$O$1203,$O552,'ORDENES'!$R$4:$R$1203,$R552))</f>
        <v/>
      </c>
      <c r="AH552" s="13">
        <f>IF($AG552="","",p_factor_productividad*IFERROR(INDEX('ASIGNACIONES'!$I$4:$I$339,MATCH($O552&amp;"|"&amp;$R552&amp;"|"&amp;$AE552,'ASIGNACIONES'!$J$4:$J$339,0)),0)-$AG552)</f>
        <v/>
      </c>
      <c r="AI552" s="10">
        <f>IF($A552="","",IFERROR(INDEX('2_IMPORTAR_EJECUCION'!$F$9:$F$1208,MATCH($AQ552,'2_IMPORTAR_EJECUCION'!$J$9:$J$1208,0)),0))</f>
        <v/>
      </c>
      <c r="AJ552" s="10">
        <f>IF($A552="","",MAX(0,IFERROR(INDEX('2_IMPORTAR_EJECUCION'!$H$9:$H$1208,MATCH($AQ552,'2_IMPORTAR_EJECUCION'!$J$9:$J$1208,0)),0)-$AI552))</f>
        <v/>
      </c>
      <c r="AK552" s="10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2">
        <f>IF($J553="","",TODAY()-$J553)</f>
        <v/>
      </c>
      <c r="AB553" s="12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IF($AE553="","",IF((IFERROR(INDEX('ASIGNACIONES'!$F$4:$F$339,MATCH($O553&amp;"|"&amp;$R553&amp;"|"&amp;$AE553,'ASIGNACIONES'!$J$4:$J$339,0)),""))=0,"",IFERROR(INDEX('ASIGNACIONES'!$F$4:$F$339,MATCH($O553&amp;"|"&amp;$R553&amp;"|"&amp;$AE553,'ASIGNACIONES'!$J$4:$J$339,0)),"")))</f>
        <v/>
      </c>
      <c r="AG553" s="13">
        <f>IF($AE553="","",SUMIFS('ORDENES'!$M$4:$M$1203,'ORDENES'!$AE$4:$AE$1203,$AE553,'ORDENES'!$O$4:$O$1203,$O553,'ORDENES'!$R$4:$R$1203,$R553))</f>
        <v/>
      </c>
      <c r="AH553" s="13">
        <f>IF($AG553="","",p_factor_productividad*IFERROR(INDEX('ASIGNACIONES'!$I$4:$I$339,MATCH($O553&amp;"|"&amp;$R553&amp;"|"&amp;$AE553,'ASIGNACIONES'!$J$4:$J$339,0)),0)-$AG553)</f>
        <v/>
      </c>
      <c r="AI553" s="10">
        <f>IF($A553="","",IFERROR(INDEX('2_IMPORTAR_EJECUCION'!$F$9:$F$1208,MATCH($AQ553,'2_IMPORTAR_EJECUCION'!$J$9:$J$1208,0)),0))</f>
        <v/>
      </c>
      <c r="AJ553" s="10">
        <f>IF($A553="","",MAX(0,IFERROR(INDEX('2_IMPORTAR_EJECUCION'!$H$9:$H$1208,MATCH($AQ553,'2_IMPORTAR_EJECUCION'!$J$9:$J$1208,0)),0)-$AI553))</f>
        <v/>
      </c>
      <c r="AK553" s="10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2">
        <f>IF($J554="","",TODAY()-$J554)</f>
        <v/>
      </c>
      <c r="AB554" s="12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IF($AE554="","",IF((IFERROR(INDEX('ASIGNACIONES'!$F$4:$F$339,MATCH($O554&amp;"|"&amp;$R554&amp;"|"&amp;$AE554,'ASIGNACIONES'!$J$4:$J$339,0)),""))=0,"",IFERROR(INDEX('ASIGNACIONES'!$F$4:$F$339,MATCH($O554&amp;"|"&amp;$R554&amp;"|"&amp;$AE554,'ASIGNACIONES'!$J$4:$J$339,0)),"")))</f>
        <v/>
      </c>
      <c r="AG554" s="13">
        <f>IF($AE554="","",SUMIFS('ORDENES'!$M$4:$M$1203,'ORDENES'!$AE$4:$AE$1203,$AE554,'ORDENES'!$O$4:$O$1203,$O554,'ORDENES'!$R$4:$R$1203,$R554))</f>
        <v/>
      </c>
      <c r="AH554" s="13">
        <f>IF($AG554="","",p_factor_productividad*IFERROR(INDEX('ASIGNACIONES'!$I$4:$I$339,MATCH($O554&amp;"|"&amp;$R554&amp;"|"&amp;$AE554,'ASIGNACIONES'!$J$4:$J$339,0)),0)-$AG554)</f>
        <v/>
      </c>
      <c r="AI554" s="10">
        <f>IF($A554="","",IFERROR(INDEX('2_IMPORTAR_EJECUCION'!$F$9:$F$1208,MATCH($AQ554,'2_IMPORTAR_EJECUCION'!$J$9:$J$1208,0)),0))</f>
        <v/>
      </c>
      <c r="AJ554" s="10">
        <f>IF($A554="","",MAX(0,IFERROR(INDEX('2_IMPORTAR_EJECUCION'!$H$9:$H$1208,MATCH($AQ554,'2_IMPORTAR_EJECUCION'!$J$9:$J$1208,0)),0)-$AI554))</f>
        <v/>
      </c>
      <c r="AK554" s="10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2">
        <f>IF($J555="","",TODAY()-$J555)</f>
        <v/>
      </c>
      <c r="AB555" s="12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IF($AE555="","",IF((IFERROR(INDEX('ASIGNACIONES'!$F$4:$F$339,MATCH($O555&amp;"|"&amp;$R555&amp;"|"&amp;$AE555,'ASIGNACIONES'!$J$4:$J$339,0)),""))=0,"",IFERROR(INDEX('ASIGNACIONES'!$F$4:$F$339,MATCH($O555&amp;"|"&amp;$R555&amp;"|"&amp;$AE555,'ASIGNACIONES'!$J$4:$J$339,0)),"")))</f>
        <v/>
      </c>
      <c r="AG555" s="13">
        <f>IF($AE555="","",SUMIFS('ORDENES'!$M$4:$M$1203,'ORDENES'!$AE$4:$AE$1203,$AE555,'ORDENES'!$O$4:$O$1203,$O555,'ORDENES'!$R$4:$R$1203,$R555))</f>
        <v/>
      </c>
      <c r="AH555" s="13">
        <f>IF($AG555="","",p_factor_productividad*IFERROR(INDEX('ASIGNACIONES'!$I$4:$I$339,MATCH($O555&amp;"|"&amp;$R555&amp;"|"&amp;$AE555,'ASIGNACIONES'!$J$4:$J$339,0)),0)-$AG555)</f>
        <v/>
      </c>
      <c r="AI555" s="10">
        <f>IF($A555="","",IFERROR(INDEX('2_IMPORTAR_EJECUCION'!$F$9:$F$1208,MATCH($AQ555,'2_IMPORTAR_EJECUCION'!$J$9:$J$1208,0)),0))</f>
        <v/>
      </c>
      <c r="AJ555" s="10">
        <f>IF($A555="","",MAX(0,IFERROR(INDEX('2_IMPORTAR_EJECUCION'!$H$9:$H$1208,MATCH($AQ555,'2_IMPORTAR_EJECUCION'!$J$9:$J$1208,0)),0)-$AI555))</f>
        <v/>
      </c>
      <c r="AK555" s="10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2">
        <f>IF($J556="","",TODAY()-$J556)</f>
        <v/>
      </c>
      <c r="AB556" s="12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IF($AE556="","",IF((IFERROR(INDEX('ASIGNACIONES'!$F$4:$F$339,MATCH($O556&amp;"|"&amp;$R556&amp;"|"&amp;$AE556,'ASIGNACIONES'!$J$4:$J$339,0)),""))=0,"",IFERROR(INDEX('ASIGNACIONES'!$F$4:$F$339,MATCH($O556&amp;"|"&amp;$R556&amp;"|"&amp;$AE556,'ASIGNACIONES'!$J$4:$J$339,0)),"")))</f>
        <v/>
      </c>
      <c r="AG556" s="13">
        <f>IF($AE556="","",SUMIFS('ORDENES'!$M$4:$M$1203,'ORDENES'!$AE$4:$AE$1203,$AE556,'ORDENES'!$O$4:$O$1203,$O556,'ORDENES'!$R$4:$R$1203,$R556))</f>
        <v/>
      </c>
      <c r="AH556" s="13">
        <f>IF($AG556="","",p_factor_productividad*IFERROR(INDEX('ASIGNACIONES'!$I$4:$I$339,MATCH($O556&amp;"|"&amp;$R556&amp;"|"&amp;$AE556,'ASIGNACIONES'!$J$4:$J$339,0)),0)-$AG556)</f>
        <v/>
      </c>
      <c r="AI556" s="10">
        <f>IF($A556="","",IFERROR(INDEX('2_IMPORTAR_EJECUCION'!$F$9:$F$1208,MATCH($AQ556,'2_IMPORTAR_EJECUCION'!$J$9:$J$1208,0)),0))</f>
        <v/>
      </c>
      <c r="AJ556" s="10">
        <f>IF($A556="","",MAX(0,IFERROR(INDEX('2_IMPORTAR_EJECUCION'!$H$9:$H$1208,MATCH($AQ556,'2_IMPORTAR_EJECUCION'!$J$9:$J$1208,0)),0)-$AI556))</f>
        <v/>
      </c>
      <c r="AK556" s="10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2">
        <f>IF($J557="","",TODAY()-$J557)</f>
        <v/>
      </c>
      <c r="AB557" s="12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IF($AE557="","",IF((IFERROR(INDEX('ASIGNACIONES'!$F$4:$F$339,MATCH($O557&amp;"|"&amp;$R557&amp;"|"&amp;$AE557,'ASIGNACIONES'!$J$4:$J$339,0)),""))=0,"",IFERROR(INDEX('ASIGNACIONES'!$F$4:$F$339,MATCH($O557&amp;"|"&amp;$R557&amp;"|"&amp;$AE557,'ASIGNACIONES'!$J$4:$J$339,0)),"")))</f>
        <v/>
      </c>
      <c r="AG557" s="13">
        <f>IF($AE557="","",SUMIFS('ORDENES'!$M$4:$M$1203,'ORDENES'!$AE$4:$AE$1203,$AE557,'ORDENES'!$O$4:$O$1203,$O557,'ORDENES'!$R$4:$R$1203,$R557))</f>
        <v/>
      </c>
      <c r="AH557" s="13">
        <f>IF($AG557="","",p_factor_productividad*IFERROR(INDEX('ASIGNACIONES'!$I$4:$I$339,MATCH($O557&amp;"|"&amp;$R557&amp;"|"&amp;$AE557,'ASIGNACIONES'!$J$4:$J$339,0)),0)-$AG557)</f>
        <v/>
      </c>
      <c r="AI557" s="10">
        <f>IF($A557="","",IFERROR(INDEX('2_IMPORTAR_EJECUCION'!$F$9:$F$1208,MATCH($AQ557,'2_IMPORTAR_EJECUCION'!$J$9:$J$1208,0)),0))</f>
        <v/>
      </c>
      <c r="AJ557" s="10">
        <f>IF($A557="","",MAX(0,IFERROR(INDEX('2_IMPORTAR_EJECUCION'!$H$9:$H$1208,MATCH($AQ557,'2_IMPORTAR_EJECUCION'!$J$9:$J$1208,0)),0)-$AI557))</f>
        <v/>
      </c>
      <c r="AK557" s="10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2">
        <f>IF($J558="","",TODAY()-$J558)</f>
        <v/>
      </c>
      <c r="AB558" s="12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IF($AE558="","",IF((IFERROR(INDEX('ASIGNACIONES'!$F$4:$F$339,MATCH($O558&amp;"|"&amp;$R558&amp;"|"&amp;$AE558,'ASIGNACIONES'!$J$4:$J$339,0)),""))=0,"",IFERROR(INDEX('ASIGNACIONES'!$F$4:$F$339,MATCH($O558&amp;"|"&amp;$R558&amp;"|"&amp;$AE558,'ASIGNACIONES'!$J$4:$J$339,0)),"")))</f>
        <v/>
      </c>
      <c r="AG558" s="13">
        <f>IF($AE558="","",SUMIFS('ORDENES'!$M$4:$M$1203,'ORDENES'!$AE$4:$AE$1203,$AE558,'ORDENES'!$O$4:$O$1203,$O558,'ORDENES'!$R$4:$R$1203,$R558))</f>
        <v/>
      </c>
      <c r="AH558" s="13">
        <f>IF($AG558="","",p_factor_productividad*IFERROR(INDEX('ASIGNACIONES'!$I$4:$I$339,MATCH($O558&amp;"|"&amp;$R558&amp;"|"&amp;$AE558,'ASIGNACIONES'!$J$4:$J$339,0)),0)-$AG558)</f>
        <v/>
      </c>
      <c r="AI558" s="10">
        <f>IF($A558="","",IFERROR(INDEX('2_IMPORTAR_EJECUCION'!$F$9:$F$1208,MATCH($AQ558,'2_IMPORTAR_EJECUCION'!$J$9:$J$1208,0)),0))</f>
        <v/>
      </c>
      <c r="AJ558" s="10">
        <f>IF($A558="","",MAX(0,IFERROR(INDEX('2_IMPORTAR_EJECUCION'!$H$9:$H$1208,MATCH($AQ558,'2_IMPORTAR_EJECUCION'!$J$9:$J$1208,0)),0)-$AI558))</f>
        <v/>
      </c>
      <c r="AK558" s="10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2">
        <f>IF($J559="","",TODAY()-$J559)</f>
        <v/>
      </c>
      <c r="AB559" s="12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IF($AE559="","",IF((IFERROR(INDEX('ASIGNACIONES'!$F$4:$F$339,MATCH($O559&amp;"|"&amp;$R559&amp;"|"&amp;$AE559,'ASIGNACIONES'!$J$4:$J$339,0)),""))=0,"",IFERROR(INDEX('ASIGNACIONES'!$F$4:$F$339,MATCH($O559&amp;"|"&amp;$R559&amp;"|"&amp;$AE559,'ASIGNACIONES'!$J$4:$J$339,0)),"")))</f>
        <v/>
      </c>
      <c r="AG559" s="13">
        <f>IF($AE559="","",SUMIFS('ORDENES'!$M$4:$M$1203,'ORDENES'!$AE$4:$AE$1203,$AE559,'ORDENES'!$O$4:$O$1203,$O559,'ORDENES'!$R$4:$R$1203,$R559))</f>
        <v/>
      </c>
      <c r="AH559" s="13">
        <f>IF($AG559="","",p_factor_productividad*IFERROR(INDEX('ASIGNACIONES'!$I$4:$I$339,MATCH($O559&amp;"|"&amp;$R559&amp;"|"&amp;$AE559,'ASIGNACIONES'!$J$4:$J$339,0)),0)-$AG559)</f>
        <v/>
      </c>
      <c r="AI559" s="10">
        <f>IF($A559="","",IFERROR(INDEX('2_IMPORTAR_EJECUCION'!$F$9:$F$1208,MATCH($AQ559,'2_IMPORTAR_EJECUCION'!$J$9:$J$1208,0)),0))</f>
        <v/>
      </c>
      <c r="AJ559" s="10">
        <f>IF($A559="","",MAX(0,IFERROR(INDEX('2_IMPORTAR_EJECUCION'!$H$9:$H$1208,MATCH($AQ559,'2_IMPORTAR_EJECUCION'!$J$9:$J$1208,0)),0)-$AI559))</f>
        <v/>
      </c>
      <c r="AK559" s="10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2">
        <f>IF($J560="","",TODAY()-$J560)</f>
        <v/>
      </c>
      <c r="AB560" s="12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IF($AE560="","",IF((IFERROR(INDEX('ASIGNACIONES'!$F$4:$F$339,MATCH($O560&amp;"|"&amp;$R560&amp;"|"&amp;$AE560,'ASIGNACIONES'!$J$4:$J$339,0)),""))=0,"",IFERROR(INDEX('ASIGNACIONES'!$F$4:$F$339,MATCH($O560&amp;"|"&amp;$R560&amp;"|"&amp;$AE560,'ASIGNACIONES'!$J$4:$J$339,0)),"")))</f>
        <v/>
      </c>
      <c r="AG560" s="13">
        <f>IF($AE560="","",SUMIFS('ORDENES'!$M$4:$M$1203,'ORDENES'!$AE$4:$AE$1203,$AE560,'ORDENES'!$O$4:$O$1203,$O560,'ORDENES'!$R$4:$R$1203,$R560))</f>
        <v/>
      </c>
      <c r="AH560" s="13">
        <f>IF($AG560="","",p_factor_productividad*IFERROR(INDEX('ASIGNACIONES'!$I$4:$I$339,MATCH($O560&amp;"|"&amp;$R560&amp;"|"&amp;$AE560,'ASIGNACIONES'!$J$4:$J$339,0)),0)-$AG560)</f>
        <v/>
      </c>
      <c r="AI560" s="10">
        <f>IF($A560="","",IFERROR(INDEX('2_IMPORTAR_EJECUCION'!$F$9:$F$1208,MATCH($AQ560,'2_IMPORTAR_EJECUCION'!$J$9:$J$1208,0)),0))</f>
        <v/>
      </c>
      <c r="AJ560" s="10">
        <f>IF($A560="","",MAX(0,IFERROR(INDEX('2_IMPORTAR_EJECUCION'!$H$9:$H$1208,MATCH($AQ560,'2_IMPORTAR_EJECUCION'!$J$9:$J$1208,0)),0)-$AI560))</f>
        <v/>
      </c>
      <c r="AK560" s="10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2">
        <f>IF($J561="","",TODAY()-$J561)</f>
        <v/>
      </c>
      <c r="AB561" s="12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IF($AE561="","",IF((IFERROR(INDEX('ASIGNACIONES'!$F$4:$F$339,MATCH($O561&amp;"|"&amp;$R561&amp;"|"&amp;$AE561,'ASIGNACIONES'!$J$4:$J$339,0)),""))=0,"",IFERROR(INDEX('ASIGNACIONES'!$F$4:$F$339,MATCH($O561&amp;"|"&amp;$R561&amp;"|"&amp;$AE561,'ASIGNACIONES'!$J$4:$J$339,0)),"")))</f>
        <v/>
      </c>
      <c r="AG561" s="13">
        <f>IF($AE561="","",SUMIFS('ORDENES'!$M$4:$M$1203,'ORDENES'!$AE$4:$AE$1203,$AE561,'ORDENES'!$O$4:$O$1203,$O561,'ORDENES'!$R$4:$R$1203,$R561))</f>
        <v/>
      </c>
      <c r="AH561" s="13">
        <f>IF($AG561="","",p_factor_productividad*IFERROR(INDEX('ASIGNACIONES'!$I$4:$I$339,MATCH($O561&amp;"|"&amp;$R561&amp;"|"&amp;$AE561,'ASIGNACIONES'!$J$4:$J$339,0)),0)-$AG561)</f>
        <v/>
      </c>
      <c r="AI561" s="10">
        <f>IF($A561="","",IFERROR(INDEX('2_IMPORTAR_EJECUCION'!$F$9:$F$1208,MATCH($AQ561,'2_IMPORTAR_EJECUCION'!$J$9:$J$1208,0)),0))</f>
        <v/>
      </c>
      <c r="AJ561" s="10">
        <f>IF($A561="","",MAX(0,IFERROR(INDEX('2_IMPORTAR_EJECUCION'!$H$9:$H$1208,MATCH($AQ561,'2_IMPORTAR_EJECUCION'!$J$9:$J$1208,0)),0)-$AI561))</f>
        <v/>
      </c>
      <c r="AK561" s="10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2">
        <f>IF($J562="","",TODAY()-$J562)</f>
        <v/>
      </c>
      <c r="AB562" s="12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IF($AE562="","",IF((IFERROR(INDEX('ASIGNACIONES'!$F$4:$F$339,MATCH($O562&amp;"|"&amp;$R562&amp;"|"&amp;$AE562,'ASIGNACIONES'!$J$4:$J$339,0)),""))=0,"",IFERROR(INDEX('ASIGNACIONES'!$F$4:$F$339,MATCH($O562&amp;"|"&amp;$R562&amp;"|"&amp;$AE562,'ASIGNACIONES'!$J$4:$J$339,0)),"")))</f>
        <v/>
      </c>
      <c r="AG562" s="13">
        <f>IF($AE562="","",SUMIFS('ORDENES'!$M$4:$M$1203,'ORDENES'!$AE$4:$AE$1203,$AE562,'ORDENES'!$O$4:$O$1203,$O562,'ORDENES'!$R$4:$R$1203,$R562))</f>
        <v/>
      </c>
      <c r="AH562" s="13">
        <f>IF($AG562="","",p_factor_productividad*IFERROR(INDEX('ASIGNACIONES'!$I$4:$I$339,MATCH($O562&amp;"|"&amp;$R562&amp;"|"&amp;$AE562,'ASIGNACIONES'!$J$4:$J$339,0)),0)-$AG562)</f>
        <v/>
      </c>
      <c r="AI562" s="10">
        <f>IF($A562="","",IFERROR(INDEX('2_IMPORTAR_EJECUCION'!$F$9:$F$1208,MATCH($AQ562,'2_IMPORTAR_EJECUCION'!$J$9:$J$1208,0)),0))</f>
        <v/>
      </c>
      <c r="AJ562" s="10">
        <f>IF($A562="","",MAX(0,IFERROR(INDEX('2_IMPORTAR_EJECUCION'!$H$9:$H$1208,MATCH($AQ562,'2_IMPORTAR_EJECUCION'!$J$9:$J$1208,0)),0)-$AI562))</f>
        <v/>
      </c>
      <c r="AK562" s="10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2">
        <f>IF($J563="","",TODAY()-$J563)</f>
        <v/>
      </c>
      <c r="AB563" s="12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IF($AE563="","",IF((IFERROR(INDEX('ASIGNACIONES'!$F$4:$F$339,MATCH($O563&amp;"|"&amp;$R563&amp;"|"&amp;$AE563,'ASIGNACIONES'!$J$4:$J$339,0)),""))=0,"",IFERROR(INDEX('ASIGNACIONES'!$F$4:$F$339,MATCH($O563&amp;"|"&amp;$R563&amp;"|"&amp;$AE563,'ASIGNACIONES'!$J$4:$J$339,0)),"")))</f>
        <v/>
      </c>
      <c r="AG563" s="13">
        <f>IF($AE563="","",SUMIFS('ORDENES'!$M$4:$M$1203,'ORDENES'!$AE$4:$AE$1203,$AE563,'ORDENES'!$O$4:$O$1203,$O563,'ORDENES'!$R$4:$R$1203,$R563))</f>
        <v/>
      </c>
      <c r="AH563" s="13">
        <f>IF($AG563="","",p_factor_productividad*IFERROR(INDEX('ASIGNACIONES'!$I$4:$I$339,MATCH($O563&amp;"|"&amp;$R563&amp;"|"&amp;$AE563,'ASIGNACIONES'!$J$4:$J$339,0)),0)-$AG563)</f>
        <v/>
      </c>
      <c r="AI563" s="10">
        <f>IF($A563="","",IFERROR(INDEX('2_IMPORTAR_EJECUCION'!$F$9:$F$1208,MATCH($AQ563,'2_IMPORTAR_EJECUCION'!$J$9:$J$1208,0)),0))</f>
        <v/>
      </c>
      <c r="AJ563" s="10">
        <f>IF($A563="","",MAX(0,IFERROR(INDEX('2_IMPORTAR_EJECUCION'!$H$9:$H$1208,MATCH($AQ563,'2_IMPORTAR_EJECUCION'!$J$9:$J$1208,0)),0)-$AI563))</f>
        <v/>
      </c>
      <c r="AK563" s="10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2">
        <f>IF($J564="","",TODAY()-$J564)</f>
        <v/>
      </c>
      <c r="AB564" s="12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IF($AE564="","",IF((IFERROR(INDEX('ASIGNACIONES'!$F$4:$F$339,MATCH($O564&amp;"|"&amp;$R564&amp;"|"&amp;$AE564,'ASIGNACIONES'!$J$4:$J$339,0)),""))=0,"",IFERROR(INDEX('ASIGNACIONES'!$F$4:$F$339,MATCH($O564&amp;"|"&amp;$R564&amp;"|"&amp;$AE564,'ASIGNACIONES'!$J$4:$J$339,0)),"")))</f>
        <v/>
      </c>
      <c r="AG564" s="13">
        <f>IF($AE564="","",SUMIFS('ORDENES'!$M$4:$M$1203,'ORDENES'!$AE$4:$AE$1203,$AE564,'ORDENES'!$O$4:$O$1203,$O564,'ORDENES'!$R$4:$R$1203,$R564))</f>
        <v/>
      </c>
      <c r="AH564" s="13">
        <f>IF($AG564="","",p_factor_productividad*IFERROR(INDEX('ASIGNACIONES'!$I$4:$I$339,MATCH($O564&amp;"|"&amp;$R564&amp;"|"&amp;$AE564,'ASIGNACIONES'!$J$4:$J$339,0)),0)-$AG564)</f>
        <v/>
      </c>
      <c r="AI564" s="10">
        <f>IF($A564="","",IFERROR(INDEX('2_IMPORTAR_EJECUCION'!$F$9:$F$1208,MATCH($AQ564,'2_IMPORTAR_EJECUCION'!$J$9:$J$1208,0)),0))</f>
        <v/>
      </c>
      <c r="AJ564" s="10">
        <f>IF($A564="","",MAX(0,IFERROR(INDEX('2_IMPORTAR_EJECUCION'!$H$9:$H$1208,MATCH($AQ564,'2_IMPORTAR_EJECUCION'!$J$9:$J$1208,0)),0)-$AI564))</f>
        <v/>
      </c>
      <c r="AK564" s="10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2">
        <f>IF($J565="","",TODAY()-$J565)</f>
        <v/>
      </c>
      <c r="AB565" s="12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IF($AE565="","",IF((IFERROR(INDEX('ASIGNACIONES'!$F$4:$F$339,MATCH($O565&amp;"|"&amp;$R565&amp;"|"&amp;$AE565,'ASIGNACIONES'!$J$4:$J$339,0)),""))=0,"",IFERROR(INDEX('ASIGNACIONES'!$F$4:$F$339,MATCH($O565&amp;"|"&amp;$R565&amp;"|"&amp;$AE565,'ASIGNACIONES'!$J$4:$J$339,0)),"")))</f>
        <v/>
      </c>
      <c r="AG565" s="13">
        <f>IF($AE565="","",SUMIFS('ORDENES'!$M$4:$M$1203,'ORDENES'!$AE$4:$AE$1203,$AE565,'ORDENES'!$O$4:$O$1203,$O565,'ORDENES'!$R$4:$R$1203,$R565))</f>
        <v/>
      </c>
      <c r="AH565" s="13">
        <f>IF($AG565="","",p_factor_productividad*IFERROR(INDEX('ASIGNACIONES'!$I$4:$I$339,MATCH($O565&amp;"|"&amp;$R565&amp;"|"&amp;$AE565,'ASIGNACIONES'!$J$4:$J$339,0)),0)-$AG565)</f>
        <v/>
      </c>
      <c r="AI565" s="10">
        <f>IF($A565="","",IFERROR(INDEX('2_IMPORTAR_EJECUCION'!$F$9:$F$1208,MATCH($AQ565,'2_IMPORTAR_EJECUCION'!$J$9:$J$1208,0)),0))</f>
        <v/>
      </c>
      <c r="AJ565" s="10">
        <f>IF($A565="","",MAX(0,IFERROR(INDEX('2_IMPORTAR_EJECUCION'!$H$9:$H$1208,MATCH($AQ565,'2_IMPORTAR_EJECUCION'!$J$9:$J$1208,0)),0)-$AI565))</f>
        <v/>
      </c>
      <c r="AK565" s="10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2">
        <f>IF($J566="","",TODAY()-$J566)</f>
        <v/>
      </c>
      <c r="AB566" s="12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IF($AE566="","",IF((IFERROR(INDEX('ASIGNACIONES'!$F$4:$F$339,MATCH($O566&amp;"|"&amp;$R566&amp;"|"&amp;$AE566,'ASIGNACIONES'!$J$4:$J$339,0)),""))=0,"",IFERROR(INDEX('ASIGNACIONES'!$F$4:$F$339,MATCH($O566&amp;"|"&amp;$R566&amp;"|"&amp;$AE566,'ASIGNACIONES'!$J$4:$J$339,0)),"")))</f>
        <v/>
      </c>
      <c r="AG566" s="13">
        <f>IF($AE566="","",SUMIFS('ORDENES'!$M$4:$M$1203,'ORDENES'!$AE$4:$AE$1203,$AE566,'ORDENES'!$O$4:$O$1203,$O566,'ORDENES'!$R$4:$R$1203,$R566))</f>
        <v/>
      </c>
      <c r="AH566" s="13">
        <f>IF($AG566="","",p_factor_productividad*IFERROR(INDEX('ASIGNACIONES'!$I$4:$I$339,MATCH($O566&amp;"|"&amp;$R566&amp;"|"&amp;$AE566,'ASIGNACIONES'!$J$4:$J$339,0)),0)-$AG566)</f>
        <v/>
      </c>
      <c r="AI566" s="10">
        <f>IF($A566="","",IFERROR(INDEX('2_IMPORTAR_EJECUCION'!$F$9:$F$1208,MATCH($AQ566,'2_IMPORTAR_EJECUCION'!$J$9:$J$1208,0)),0))</f>
        <v/>
      </c>
      <c r="AJ566" s="10">
        <f>IF($A566="","",MAX(0,IFERROR(INDEX('2_IMPORTAR_EJECUCION'!$H$9:$H$1208,MATCH($AQ566,'2_IMPORTAR_EJECUCION'!$J$9:$J$1208,0)),0)-$AI566))</f>
        <v/>
      </c>
      <c r="AK566" s="10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2">
        <f>IF($J567="","",TODAY()-$J567)</f>
        <v/>
      </c>
      <c r="AB567" s="12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IF($AE567="","",IF((IFERROR(INDEX('ASIGNACIONES'!$F$4:$F$339,MATCH($O567&amp;"|"&amp;$R567&amp;"|"&amp;$AE567,'ASIGNACIONES'!$J$4:$J$339,0)),""))=0,"",IFERROR(INDEX('ASIGNACIONES'!$F$4:$F$339,MATCH($O567&amp;"|"&amp;$R567&amp;"|"&amp;$AE567,'ASIGNACIONES'!$J$4:$J$339,0)),"")))</f>
        <v/>
      </c>
      <c r="AG567" s="13">
        <f>IF($AE567="","",SUMIFS('ORDENES'!$M$4:$M$1203,'ORDENES'!$AE$4:$AE$1203,$AE567,'ORDENES'!$O$4:$O$1203,$O567,'ORDENES'!$R$4:$R$1203,$R567))</f>
        <v/>
      </c>
      <c r="AH567" s="13">
        <f>IF($AG567="","",p_factor_productividad*IFERROR(INDEX('ASIGNACIONES'!$I$4:$I$339,MATCH($O567&amp;"|"&amp;$R567&amp;"|"&amp;$AE567,'ASIGNACIONES'!$J$4:$J$339,0)),0)-$AG567)</f>
        <v/>
      </c>
      <c r="AI567" s="10">
        <f>IF($A567="","",IFERROR(INDEX('2_IMPORTAR_EJECUCION'!$F$9:$F$1208,MATCH($AQ567,'2_IMPORTAR_EJECUCION'!$J$9:$J$1208,0)),0))</f>
        <v/>
      </c>
      <c r="AJ567" s="10">
        <f>IF($A567="","",MAX(0,IFERROR(INDEX('2_IMPORTAR_EJECUCION'!$H$9:$H$1208,MATCH($AQ567,'2_IMPORTAR_EJECUCION'!$J$9:$J$1208,0)),0)-$AI567))</f>
        <v/>
      </c>
      <c r="AK567" s="10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2">
        <f>IF($J568="","",TODAY()-$J568)</f>
        <v/>
      </c>
      <c r="AB568" s="12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IF($AE568="","",IF((IFERROR(INDEX('ASIGNACIONES'!$F$4:$F$339,MATCH($O568&amp;"|"&amp;$R568&amp;"|"&amp;$AE568,'ASIGNACIONES'!$J$4:$J$339,0)),""))=0,"",IFERROR(INDEX('ASIGNACIONES'!$F$4:$F$339,MATCH($O568&amp;"|"&amp;$R568&amp;"|"&amp;$AE568,'ASIGNACIONES'!$J$4:$J$339,0)),"")))</f>
        <v/>
      </c>
      <c r="AG568" s="13">
        <f>IF($AE568="","",SUMIFS('ORDENES'!$M$4:$M$1203,'ORDENES'!$AE$4:$AE$1203,$AE568,'ORDENES'!$O$4:$O$1203,$O568,'ORDENES'!$R$4:$R$1203,$R568))</f>
        <v/>
      </c>
      <c r="AH568" s="13">
        <f>IF($AG568="","",p_factor_productividad*IFERROR(INDEX('ASIGNACIONES'!$I$4:$I$339,MATCH($O568&amp;"|"&amp;$R568&amp;"|"&amp;$AE568,'ASIGNACIONES'!$J$4:$J$339,0)),0)-$AG568)</f>
        <v/>
      </c>
      <c r="AI568" s="10">
        <f>IF($A568="","",IFERROR(INDEX('2_IMPORTAR_EJECUCION'!$F$9:$F$1208,MATCH($AQ568,'2_IMPORTAR_EJECUCION'!$J$9:$J$1208,0)),0))</f>
        <v/>
      </c>
      <c r="AJ568" s="10">
        <f>IF($A568="","",MAX(0,IFERROR(INDEX('2_IMPORTAR_EJECUCION'!$H$9:$H$1208,MATCH($AQ568,'2_IMPORTAR_EJECUCION'!$J$9:$J$1208,0)),0)-$AI568))</f>
        <v/>
      </c>
      <c r="AK568" s="10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2">
        <f>IF($J569="","",TODAY()-$J569)</f>
        <v/>
      </c>
      <c r="AB569" s="12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IF($AE569="","",IF((IFERROR(INDEX('ASIGNACIONES'!$F$4:$F$339,MATCH($O569&amp;"|"&amp;$R569&amp;"|"&amp;$AE569,'ASIGNACIONES'!$J$4:$J$339,0)),""))=0,"",IFERROR(INDEX('ASIGNACIONES'!$F$4:$F$339,MATCH($O569&amp;"|"&amp;$R569&amp;"|"&amp;$AE569,'ASIGNACIONES'!$J$4:$J$339,0)),"")))</f>
        <v/>
      </c>
      <c r="AG569" s="13">
        <f>IF($AE569="","",SUMIFS('ORDENES'!$M$4:$M$1203,'ORDENES'!$AE$4:$AE$1203,$AE569,'ORDENES'!$O$4:$O$1203,$O569,'ORDENES'!$R$4:$R$1203,$R569))</f>
        <v/>
      </c>
      <c r="AH569" s="13">
        <f>IF($AG569="","",p_factor_productividad*IFERROR(INDEX('ASIGNACIONES'!$I$4:$I$339,MATCH($O569&amp;"|"&amp;$R569&amp;"|"&amp;$AE569,'ASIGNACIONES'!$J$4:$J$339,0)),0)-$AG569)</f>
        <v/>
      </c>
      <c r="AI569" s="10">
        <f>IF($A569="","",IFERROR(INDEX('2_IMPORTAR_EJECUCION'!$F$9:$F$1208,MATCH($AQ569,'2_IMPORTAR_EJECUCION'!$J$9:$J$1208,0)),0))</f>
        <v/>
      </c>
      <c r="AJ569" s="10">
        <f>IF($A569="","",MAX(0,IFERROR(INDEX('2_IMPORTAR_EJECUCION'!$H$9:$H$1208,MATCH($AQ569,'2_IMPORTAR_EJECUCION'!$J$9:$J$1208,0)),0)-$AI569))</f>
        <v/>
      </c>
      <c r="AK569" s="10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2">
        <f>IF($J570="","",TODAY()-$J570)</f>
        <v/>
      </c>
      <c r="AB570" s="12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IF($AE570="","",IF((IFERROR(INDEX('ASIGNACIONES'!$F$4:$F$339,MATCH($O570&amp;"|"&amp;$R570&amp;"|"&amp;$AE570,'ASIGNACIONES'!$J$4:$J$339,0)),""))=0,"",IFERROR(INDEX('ASIGNACIONES'!$F$4:$F$339,MATCH($O570&amp;"|"&amp;$R570&amp;"|"&amp;$AE570,'ASIGNACIONES'!$J$4:$J$339,0)),"")))</f>
        <v/>
      </c>
      <c r="AG570" s="13">
        <f>IF($AE570="","",SUMIFS('ORDENES'!$M$4:$M$1203,'ORDENES'!$AE$4:$AE$1203,$AE570,'ORDENES'!$O$4:$O$1203,$O570,'ORDENES'!$R$4:$R$1203,$R570))</f>
        <v/>
      </c>
      <c r="AH570" s="13">
        <f>IF($AG570="","",p_factor_productividad*IFERROR(INDEX('ASIGNACIONES'!$I$4:$I$339,MATCH($O570&amp;"|"&amp;$R570&amp;"|"&amp;$AE570,'ASIGNACIONES'!$J$4:$J$339,0)),0)-$AG570)</f>
        <v/>
      </c>
      <c r="AI570" s="10">
        <f>IF($A570="","",IFERROR(INDEX('2_IMPORTAR_EJECUCION'!$F$9:$F$1208,MATCH($AQ570,'2_IMPORTAR_EJECUCION'!$J$9:$J$1208,0)),0))</f>
        <v/>
      </c>
      <c r="AJ570" s="10">
        <f>IF($A570="","",MAX(0,IFERROR(INDEX('2_IMPORTAR_EJECUCION'!$H$9:$H$1208,MATCH($AQ570,'2_IMPORTAR_EJECUCION'!$J$9:$J$1208,0)),0)-$AI570))</f>
        <v/>
      </c>
      <c r="AK570" s="10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2">
        <f>IF($J571="","",TODAY()-$J571)</f>
        <v/>
      </c>
      <c r="AB571" s="12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IF($AE571="","",IF((IFERROR(INDEX('ASIGNACIONES'!$F$4:$F$339,MATCH($O571&amp;"|"&amp;$R571&amp;"|"&amp;$AE571,'ASIGNACIONES'!$J$4:$J$339,0)),""))=0,"",IFERROR(INDEX('ASIGNACIONES'!$F$4:$F$339,MATCH($O571&amp;"|"&amp;$R571&amp;"|"&amp;$AE571,'ASIGNACIONES'!$J$4:$J$339,0)),"")))</f>
        <v/>
      </c>
      <c r="AG571" s="13">
        <f>IF($AE571="","",SUMIFS('ORDENES'!$M$4:$M$1203,'ORDENES'!$AE$4:$AE$1203,$AE571,'ORDENES'!$O$4:$O$1203,$O571,'ORDENES'!$R$4:$R$1203,$R571))</f>
        <v/>
      </c>
      <c r="AH571" s="13">
        <f>IF($AG571="","",p_factor_productividad*IFERROR(INDEX('ASIGNACIONES'!$I$4:$I$339,MATCH($O571&amp;"|"&amp;$R571&amp;"|"&amp;$AE571,'ASIGNACIONES'!$J$4:$J$339,0)),0)-$AG571)</f>
        <v/>
      </c>
      <c r="AI571" s="10">
        <f>IF($A571="","",IFERROR(INDEX('2_IMPORTAR_EJECUCION'!$F$9:$F$1208,MATCH($AQ571,'2_IMPORTAR_EJECUCION'!$J$9:$J$1208,0)),0))</f>
        <v/>
      </c>
      <c r="AJ571" s="10">
        <f>IF($A571="","",MAX(0,IFERROR(INDEX('2_IMPORTAR_EJECUCION'!$H$9:$H$1208,MATCH($AQ571,'2_IMPORTAR_EJECUCION'!$J$9:$J$1208,0)),0)-$AI571))</f>
        <v/>
      </c>
      <c r="AK571" s="10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2">
        <f>IF($J572="","",TODAY()-$J572)</f>
        <v/>
      </c>
      <c r="AB572" s="12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IF($AE572="","",IF((IFERROR(INDEX('ASIGNACIONES'!$F$4:$F$339,MATCH($O572&amp;"|"&amp;$R572&amp;"|"&amp;$AE572,'ASIGNACIONES'!$J$4:$J$339,0)),""))=0,"",IFERROR(INDEX('ASIGNACIONES'!$F$4:$F$339,MATCH($O572&amp;"|"&amp;$R572&amp;"|"&amp;$AE572,'ASIGNACIONES'!$J$4:$J$339,0)),"")))</f>
        <v/>
      </c>
      <c r="AG572" s="13">
        <f>IF($AE572="","",SUMIFS('ORDENES'!$M$4:$M$1203,'ORDENES'!$AE$4:$AE$1203,$AE572,'ORDENES'!$O$4:$O$1203,$O572,'ORDENES'!$R$4:$R$1203,$R572))</f>
        <v/>
      </c>
      <c r="AH572" s="13">
        <f>IF($AG572="","",p_factor_productividad*IFERROR(INDEX('ASIGNACIONES'!$I$4:$I$339,MATCH($O572&amp;"|"&amp;$R572&amp;"|"&amp;$AE572,'ASIGNACIONES'!$J$4:$J$339,0)),0)-$AG572)</f>
        <v/>
      </c>
      <c r="AI572" s="10">
        <f>IF($A572="","",IFERROR(INDEX('2_IMPORTAR_EJECUCION'!$F$9:$F$1208,MATCH($AQ572,'2_IMPORTAR_EJECUCION'!$J$9:$J$1208,0)),0))</f>
        <v/>
      </c>
      <c r="AJ572" s="10">
        <f>IF($A572="","",MAX(0,IFERROR(INDEX('2_IMPORTAR_EJECUCION'!$H$9:$H$1208,MATCH($AQ572,'2_IMPORTAR_EJECUCION'!$J$9:$J$1208,0)),0)-$AI572))</f>
        <v/>
      </c>
      <c r="AK572" s="10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2">
        <f>IF($J573="","",TODAY()-$J573)</f>
        <v/>
      </c>
      <c r="AB573" s="12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IF($AE573="","",IF((IFERROR(INDEX('ASIGNACIONES'!$F$4:$F$339,MATCH($O573&amp;"|"&amp;$R573&amp;"|"&amp;$AE573,'ASIGNACIONES'!$J$4:$J$339,0)),""))=0,"",IFERROR(INDEX('ASIGNACIONES'!$F$4:$F$339,MATCH($O573&amp;"|"&amp;$R573&amp;"|"&amp;$AE573,'ASIGNACIONES'!$J$4:$J$339,0)),"")))</f>
        <v/>
      </c>
      <c r="AG573" s="13">
        <f>IF($AE573="","",SUMIFS('ORDENES'!$M$4:$M$1203,'ORDENES'!$AE$4:$AE$1203,$AE573,'ORDENES'!$O$4:$O$1203,$O573,'ORDENES'!$R$4:$R$1203,$R573))</f>
        <v/>
      </c>
      <c r="AH573" s="13">
        <f>IF($AG573="","",p_factor_productividad*IFERROR(INDEX('ASIGNACIONES'!$I$4:$I$339,MATCH($O573&amp;"|"&amp;$R573&amp;"|"&amp;$AE573,'ASIGNACIONES'!$J$4:$J$339,0)),0)-$AG573)</f>
        <v/>
      </c>
      <c r="AI573" s="10">
        <f>IF($A573="","",IFERROR(INDEX('2_IMPORTAR_EJECUCION'!$F$9:$F$1208,MATCH($AQ573,'2_IMPORTAR_EJECUCION'!$J$9:$J$1208,0)),0))</f>
        <v/>
      </c>
      <c r="AJ573" s="10">
        <f>IF($A573="","",MAX(0,IFERROR(INDEX('2_IMPORTAR_EJECUCION'!$H$9:$H$1208,MATCH($AQ573,'2_IMPORTAR_EJECUCION'!$J$9:$J$1208,0)),0)-$AI573))</f>
        <v/>
      </c>
      <c r="AK573" s="10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2">
        <f>IF($J574="","",TODAY()-$J574)</f>
        <v/>
      </c>
      <c r="AB574" s="12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IF($AE574="","",IF((IFERROR(INDEX('ASIGNACIONES'!$F$4:$F$339,MATCH($O574&amp;"|"&amp;$R574&amp;"|"&amp;$AE574,'ASIGNACIONES'!$J$4:$J$339,0)),""))=0,"",IFERROR(INDEX('ASIGNACIONES'!$F$4:$F$339,MATCH($O574&amp;"|"&amp;$R574&amp;"|"&amp;$AE574,'ASIGNACIONES'!$J$4:$J$339,0)),"")))</f>
        <v/>
      </c>
      <c r="AG574" s="13">
        <f>IF($AE574="","",SUMIFS('ORDENES'!$M$4:$M$1203,'ORDENES'!$AE$4:$AE$1203,$AE574,'ORDENES'!$O$4:$O$1203,$O574,'ORDENES'!$R$4:$R$1203,$R574))</f>
        <v/>
      </c>
      <c r="AH574" s="13">
        <f>IF($AG574="","",p_factor_productividad*IFERROR(INDEX('ASIGNACIONES'!$I$4:$I$339,MATCH($O574&amp;"|"&amp;$R574&amp;"|"&amp;$AE574,'ASIGNACIONES'!$J$4:$J$339,0)),0)-$AG574)</f>
        <v/>
      </c>
      <c r="AI574" s="10">
        <f>IF($A574="","",IFERROR(INDEX('2_IMPORTAR_EJECUCION'!$F$9:$F$1208,MATCH($AQ574,'2_IMPORTAR_EJECUCION'!$J$9:$J$1208,0)),0))</f>
        <v/>
      </c>
      <c r="AJ574" s="10">
        <f>IF($A574="","",MAX(0,IFERROR(INDEX('2_IMPORTAR_EJECUCION'!$H$9:$H$1208,MATCH($AQ574,'2_IMPORTAR_EJECUCION'!$J$9:$J$1208,0)),0)-$AI574))</f>
        <v/>
      </c>
      <c r="AK574" s="10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2">
        <f>IF($J575="","",TODAY()-$J575)</f>
        <v/>
      </c>
      <c r="AB575" s="12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IF($AE575="","",IF((IFERROR(INDEX('ASIGNACIONES'!$F$4:$F$339,MATCH($O575&amp;"|"&amp;$R575&amp;"|"&amp;$AE575,'ASIGNACIONES'!$J$4:$J$339,0)),""))=0,"",IFERROR(INDEX('ASIGNACIONES'!$F$4:$F$339,MATCH($O575&amp;"|"&amp;$R575&amp;"|"&amp;$AE575,'ASIGNACIONES'!$J$4:$J$339,0)),"")))</f>
        <v/>
      </c>
      <c r="AG575" s="13">
        <f>IF($AE575="","",SUMIFS('ORDENES'!$M$4:$M$1203,'ORDENES'!$AE$4:$AE$1203,$AE575,'ORDENES'!$O$4:$O$1203,$O575,'ORDENES'!$R$4:$R$1203,$R575))</f>
        <v/>
      </c>
      <c r="AH575" s="13">
        <f>IF($AG575="","",p_factor_productividad*IFERROR(INDEX('ASIGNACIONES'!$I$4:$I$339,MATCH($O575&amp;"|"&amp;$R575&amp;"|"&amp;$AE575,'ASIGNACIONES'!$J$4:$J$339,0)),0)-$AG575)</f>
        <v/>
      </c>
      <c r="AI575" s="10">
        <f>IF($A575="","",IFERROR(INDEX('2_IMPORTAR_EJECUCION'!$F$9:$F$1208,MATCH($AQ575,'2_IMPORTAR_EJECUCION'!$J$9:$J$1208,0)),0))</f>
        <v/>
      </c>
      <c r="AJ575" s="10">
        <f>IF($A575="","",MAX(0,IFERROR(INDEX('2_IMPORTAR_EJECUCION'!$H$9:$H$1208,MATCH($AQ575,'2_IMPORTAR_EJECUCION'!$J$9:$J$1208,0)),0)-$AI575))</f>
        <v/>
      </c>
      <c r="AK575" s="10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2">
        <f>IF($J576="","",TODAY()-$J576)</f>
        <v/>
      </c>
      <c r="AB576" s="12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IF($AE576="","",IF((IFERROR(INDEX('ASIGNACIONES'!$F$4:$F$339,MATCH($O576&amp;"|"&amp;$R576&amp;"|"&amp;$AE576,'ASIGNACIONES'!$J$4:$J$339,0)),""))=0,"",IFERROR(INDEX('ASIGNACIONES'!$F$4:$F$339,MATCH($O576&amp;"|"&amp;$R576&amp;"|"&amp;$AE576,'ASIGNACIONES'!$J$4:$J$339,0)),"")))</f>
        <v/>
      </c>
      <c r="AG576" s="13">
        <f>IF($AE576="","",SUMIFS('ORDENES'!$M$4:$M$1203,'ORDENES'!$AE$4:$AE$1203,$AE576,'ORDENES'!$O$4:$O$1203,$O576,'ORDENES'!$R$4:$R$1203,$R576))</f>
        <v/>
      </c>
      <c r="AH576" s="13">
        <f>IF($AG576="","",p_factor_productividad*IFERROR(INDEX('ASIGNACIONES'!$I$4:$I$339,MATCH($O576&amp;"|"&amp;$R576&amp;"|"&amp;$AE576,'ASIGNACIONES'!$J$4:$J$339,0)),0)-$AG576)</f>
        <v/>
      </c>
      <c r="AI576" s="10">
        <f>IF($A576="","",IFERROR(INDEX('2_IMPORTAR_EJECUCION'!$F$9:$F$1208,MATCH($AQ576,'2_IMPORTAR_EJECUCION'!$J$9:$J$1208,0)),0))</f>
        <v/>
      </c>
      <c r="AJ576" s="10">
        <f>IF($A576="","",MAX(0,IFERROR(INDEX('2_IMPORTAR_EJECUCION'!$H$9:$H$1208,MATCH($AQ576,'2_IMPORTAR_EJECUCION'!$J$9:$J$1208,0)),0)-$AI576))</f>
        <v/>
      </c>
      <c r="AK576" s="10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2">
        <f>IF($J577="","",TODAY()-$J577)</f>
        <v/>
      </c>
      <c r="AB577" s="12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IF($AE577="","",IF((IFERROR(INDEX('ASIGNACIONES'!$F$4:$F$339,MATCH($O577&amp;"|"&amp;$R577&amp;"|"&amp;$AE577,'ASIGNACIONES'!$J$4:$J$339,0)),""))=0,"",IFERROR(INDEX('ASIGNACIONES'!$F$4:$F$339,MATCH($O577&amp;"|"&amp;$R577&amp;"|"&amp;$AE577,'ASIGNACIONES'!$J$4:$J$339,0)),"")))</f>
        <v/>
      </c>
      <c r="AG577" s="13">
        <f>IF($AE577="","",SUMIFS('ORDENES'!$M$4:$M$1203,'ORDENES'!$AE$4:$AE$1203,$AE577,'ORDENES'!$O$4:$O$1203,$O577,'ORDENES'!$R$4:$R$1203,$R577))</f>
        <v/>
      </c>
      <c r="AH577" s="13">
        <f>IF($AG577="","",p_factor_productividad*IFERROR(INDEX('ASIGNACIONES'!$I$4:$I$339,MATCH($O577&amp;"|"&amp;$R577&amp;"|"&amp;$AE577,'ASIGNACIONES'!$J$4:$J$339,0)),0)-$AG577)</f>
        <v/>
      </c>
      <c r="AI577" s="10">
        <f>IF($A577="","",IFERROR(INDEX('2_IMPORTAR_EJECUCION'!$F$9:$F$1208,MATCH($AQ577,'2_IMPORTAR_EJECUCION'!$J$9:$J$1208,0)),0))</f>
        <v/>
      </c>
      <c r="AJ577" s="10">
        <f>IF($A577="","",MAX(0,IFERROR(INDEX('2_IMPORTAR_EJECUCION'!$H$9:$H$1208,MATCH($AQ577,'2_IMPORTAR_EJECUCION'!$J$9:$J$1208,0)),0)-$AI577))</f>
        <v/>
      </c>
      <c r="AK577" s="10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2">
        <f>IF($J578="","",TODAY()-$J578)</f>
        <v/>
      </c>
      <c r="AB578" s="12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IF($AE578="","",IF((IFERROR(INDEX('ASIGNACIONES'!$F$4:$F$339,MATCH($O578&amp;"|"&amp;$R578&amp;"|"&amp;$AE578,'ASIGNACIONES'!$J$4:$J$339,0)),""))=0,"",IFERROR(INDEX('ASIGNACIONES'!$F$4:$F$339,MATCH($O578&amp;"|"&amp;$R578&amp;"|"&amp;$AE578,'ASIGNACIONES'!$J$4:$J$339,0)),"")))</f>
        <v/>
      </c>
      <c r="AG578" s="13">
        <f>IF($AE578="","",SUMIFS('ORDENES'!$M$4:$M$1203,'ORDENES'!$AE$4:$AE$1203,$AE578,'ORDENES'!$O$4:$O$1203,$O578,'ORDENES'!$R$4:$R$1203,$R578))</f>
        <v/>
      </c>
      <c r="AH578" s="13">
        <f>IF($AG578="","",p_factor_productividad*IFERROR(INDEX('ASIGNACIONES'!$I$4:$I$339,MATCH($O578&amp;"|"&amp;$R578&amp;"|"&amp;$AE578,'ASIGNACIONES'!$J$4:$J$339,0)),0)-$AG578)</f>
        <v/>
      </c>
      <c r="AI578" s="10">
        <f>IF($A578="","",IFERROR(INDEX('2_IMPORTAR_EJECUCION'!$F$9:$F$1208,MATCH($AQ578,'2_IMPORTAR_EJECUCION'!$J$9:$J$1208,0)),0))</f>
        <v/>
      </c>
      <c r="AJ578" s="10">
        <f>IF($A578="","",MAX(0,IFERROR(INDEX('2_IMPORTAR_EJECUCION'!$H$9:$H$1208,MATCH($AQ578,'2_IMPORTAR_EJECUCION'!$J$9:$J$1208,0)),0)-$AI578))</f>
        <v/>
      </c>
      <c r="AK578" s="10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2">
        <f>IF($J579="","",TODAY()-$J579)</f>
        <v/>
      </c>
      <c r="AB579" s="12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IF($AE579="","",IF((IFERROR(INDEX('ASIGNACIONES'!$F$4:$F$339,MATCH($O579&amp;"|"&amp;$R579&amp;"|"&amp;$AE579,'ASIGNACIONES'!$J$4:$J$339,0)),""))=0,"",IFERROR(INDEX('ASIGNACIONES'!$F$4:$F$339,MATCH($O579&amp;"|"&amp;$R579&amp;"|"&amp;$AE579,'ASIGNACIONES'!$J$4:$J$339,0)),"")))</f>
        <v/>
      </c>
      <c r="AG579" s="13">
        <f>IF($AE579="","",SUMIFS('ORDENES'!$M$4:$M$1203,'ORDENES'!$AE$4:$AE$1203,$AE579,'ORDENES'!$O$4:$O$1203,$O579,'ORDENES'!$R$4:$R$1203,$R579))</f>
        <v/>
      </c>
      <c r="AH579" s="13">
        <f>IF($AG579="","",p_factor_productividad*IFERROR(INDEX('ASIGNACIONES'!$I$4:$I$339,MATCH($O579&amp;"|"&amp;$R579&amp;"|"&amp;$AE579,'ASIGNACIONES'!$J$4:$J$339,0)),0)-$AG579)</f>
        <v/>
      </c>
      <c r="AI579" s="10">
        <f>IF($A579="","",IFERROR(INDEX('2_IMPORTAR_EJECUCION'!$F$9:$F$1208,MATCH($AQ579,'2_IMPORTAR_EJECUCION'!$J$9:$J$1208,0)),0))</f>
        <v/>
      </c>
      <c r="AJ579" s="10">
        <f>IF($A579="","",MAX(0,IFERROR(INDEX('2_IMPORTAR_EJECUCION'!$H$9:$H$1208,MATCH($AQ579,'2_IMPORTAR_EJECUCION'!$J$9:$J$1208,0)),0)-$AI579))</f>
        <v/>
      </c>
      <c r="AK579" s="10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2">
        <f>IF($J580="","",TODAY()-$J580)</f>
        <v/>
      </c>
      <c r="AB580" s="12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IF($AE580="","",IF((IFERROR(INDEX('ASIGNACIONES'!$F$4:$F$339,MATCH($O580&amp;"|"&amp;$R580&amp;"|"&amp;$AE580,'ASIGNACIONES'!$J$4:$J$339,0)),""))=0,"",IFERROR(INDEX('ASIGNACIONES'!$F$4:$F$339,MATCH($O580&amp;"|"&amp;$R580&amp;"|"&amp;$AE580,'ASIGNACIONES'!$J$4:$J$339,0)),"")))</f>
        <v/>
      </c>
      <c r="AG580" s="13">
        <f>IF($AE580="","",SUMIFS('ORDENES'!$M$4:$M$1203,'ORDENES'!$AE$4:$AE$1203,$AE580,'ORDENES'!$O$4:$O$1203,$O580,'ORDENES'!$R$4:$R$1203,$R580))</f>
        <v/>
      </c>
      <c r="AH580" s="13">
        <f>IF($AG580="","",p_factor_productividad*IFERROR(INDEX('ASIGNACIONES'!$I$4:$I$339,MATCH($O580&amp;"|"&amp;$R580&amp;"|"&amp;$AE580,'ASIGNACIONES'!$J$4:$J$339,0)),0)-$AG580)</f>
        <v/>
      </c>
      <c r="AI580" s="10">
        <f>IF($A580="","",IFERROR(INDEX('2_IMPORTAR_EJECUCION'!$F$9:$F$1208,MATCH($AQ580,'2_IMPORTAR_EJECUCION'!$J$9:$J$1208,0)),0))</f>
        <v/>
      </c>
      <c r="AJ580" s="10">
        <f>IF($A580="","",MAX(0,IFERROR(INDEX('2_IMPORTAR_EJECUCION'!$H$9:$H$1208,MATCH($AQ580,'2_IMPORTAR_EJECUCION'!$J$9:$J$1208,0)),0)-$AI580))</f>
        <v/>
      </c>
      <c r="AK580" s="10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2">
        <f>IF($J581="","",TODAY()-$J581)</f>
        <v/>
      </c>
      <c r="AB581" s="12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IF($AE581="","",IF((IFERROR(INDEX('ASIGNACIONES'!$F$4:$F$339,MATCH($O581&amp;"|"&amp;$R581&amp;"|"&amp;$AE581,'ASIGNACIONES'!$J$4:$J$339,0)),""))=0,"",IFERROR(INDEX('ASIGNACIONES'!$F$4:$F$339,MATCH($O581&amp;"|"&amp;$R581&amp;"|"&amp;$AE581,'ASIGNACIONES'!$J$4:$J$339,0)),"")))</f>
        <v/>
      </c>
      <c r="AG581" s="13">
        <f>IF($AE581="","",SUMIFS('ORDENES'!$M$4:$M$1203,'ORDENES'!$AE$4:$AE$1203,$AE581,'ORDENES'!$O$4:$O$1203,$O581,'ORDENES'!$R$4:$R$1203,$R581))</f>
        <v/>
      </c>
      <c r="AH581" s="13">
        <f>IF($AG581="","",p_factor_productividad*IFERROR(INDEX('ASIGNACIONES'!$I$4:$I$339,MATCH($O581&amp;"|"&amp;$R581&amp;"|"&amp;$AE581,'ASIGNACIONES'!$J$4:$J$339,0)),0)-$AG581)</f>
        <v/>
      </c>
      <c r="AI581" s="10">
        <f>IF($A581="","",IFERROR(INDEX('2_IMPORTAR_EJECUCION'!$F$9:$F$1208,MATCH($AQ581,'2_IMPORTAR_EJECUCION'!$J$9:$J$1208,0)),0))</f>
        <v/>
      </c>
      <c r="AJ581" s="10">
        <f>IF($A581="","",MAX(0,IFERROR(INDEX('2_IMPORTAR_EJECUCION'!$H$9:$H$1208,MATCH($AQ581,'2_IMPORTAR_EJECUCION'!$J$9:$J$1208,0)),0)-$AI581))</f>
        <v/>
      </c>
      <c r="AK581" s="10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2">
        <f>IF($J582="","",TODAY()-$J582)</f>
        <v/>
      </c>
      <c r="AB582" s="12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IF($AE582="","",IF((IFERROR(INDEX('ASIGNACIONES'!$F$4:$F$339,MATCH($O582&amp;"|"&amp;$R582&amp;"|"&amp;$AE582,'ASIGNACIONES'!$J$4:$J$339,0)),""))=0,"",IFERROR(INDEX('ASIGNACIONES'!$F$4:$F$339,MATCH($O582&amp;"|"&amp;$R582&amp;"|"&amp;$AE582,'ASIGNACIONES'!$J$4:$J$339,0)),"")))</f>
        <v/>
      </c>
      <c r="AG582" s="13">
        <f>IF($AE582="","",SUMIFS('ORDENES'!$M$4:$M$1203,'ORDENES'!$AE$4:$AE$1203,$AE582,'ORDENES'!$O$4:$O$1203,$O582,'ORDENES'!$R$4:$R$1203,$R582))</f>
        <v/>
      </c>
      <c r="AH582" s="13">
        <f>IF($AG582="","",p_factor_productividad*IFERROR(INDEX('ASIGNACIONES'!$I$4:$I$339,MATCH($O582&amp;"|"&amp;$R582&amp;"|"&amp;$AE582,'ASIGNACIONES'!$J$4:$J$339,0)),0)-$AG582)</f>
        <v/>
      </c>
      <c r="AI582" s="10">
        <f>IF($A582="","",IFERROR(INDEX('2_IMPORTAR_EJECUCION'!$F$9:$F$1208,MATCH($AQ582,'2_IMPORTAR_EJECUCION'!$J$9:$J$1208,0)),0))</f>
        <v/>
      </c>
      <c r="AJ582" s="10">
        <f>IF($A582="","",MAX(0,IFERROR(INDEX('2_IMPORTAR_EJECUCION'!$H$9:$H$1208,MATCH($AQ582,'2_IMPORTAR_EJECUCION'!$J$9:$J$1208,0)),0)-$AI582))</f>
        <v/>
      </c>
      <c r="AK582" s="10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2">
        <f>IF($J583="","",TODAY()-$J583)</f>
        <v/>
      </c>
      <c r="AB583" s="12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IF($AE583="","",IF((IFERROR(INDEX('ASIGNACIONES'!$F$4:$F$339,MATCH($O583&amp;"|"&amp;$R583&amp;"|"&amp;$AE583,'ASIGNACIONES'!$J$4:$J$339,0)),""))=0,"",IFERROR(INDEX('ASIGNACIONES'!$F$4:$F$339,MATCH($O583&amp;"|"&amp;$R583&amp;"|"&amp;$AE583,'ASIGNACIONES'!$J$4:$J$339,0)),"")))</f>
        <v/>
      </c>
      <c r="AG583" s="13">
        <f>IF($AE583="","",SUMIFS('ORDENES'!$M$4:$M$1203,'ORDENES'!$AE$4:$AE$1203,$AE583,'ORDENES'!$O$4:$O$1203,$O583,'ORDENES'!$R$4:$R$1203,$R583))</f>
        <v/>
      </c>
      <c r="AH583" s="13">
        <f>IF($AG583="","",p_factor_productividad*IFERROR(INDEX('ASIGNACIONES'!$I$4:$I$339,MATCH($O583&amp;"|"&amp;$R583&amp;"|"&amp;$AE583,'ASIGNACIONES'!$J$4:$J$339,0)),0)-$AG583)</f>
        <v/>
      </c>
      <c r="AI583" s="10">
        <f>IF($A583="","",IFERROR(INDEX('2_IMPORTAR_EJECUCION'!$F$9:$F$1208,MATCH($AQ583,'2_IMPORTAR_EJECUCION'!$J$9:$J$1208,0)),0))</f>
        <v/>
      </c>
      <c r="AJ583" s="10">
        <f>IF($A583="","",MAX(0,IFERROR(INDEX('2_IMPORTAR_EJECUCION'!$H$9:$H$1208,MATCH($AQ583,'2_IMPORTAR_EJECUCION'!$J$9:$J$1208,0)),0)-$AI583))</f>
        <v/>
      </c>
      <c r="AK583" s="10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2">
        <f>IF($J584="","",TODAY()-$J584)</f>
        <v/>
      </c>
      <c r="AB584" s="12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IF($AE584="","",IF((IFERROR(INDEX('ASIGNACIONES'!$F$4:$F$339,MATCH($O584&amp;"|"&amp;$R584&amp;"|"&amp;$AE584,'ASIGNACIONES'!$J$4:$J$339,0)),""))=0,"",IFERROR(INDEX('ASIGNACIONES'!$F$4:$F$339,MATCH($O584&amp;"|"&amp;$R584&amp;"|"&amp;$AE584,'ASIGNACIONES'!$J$4:$J$339,0)),"")))</f>
        <v/>
      </c>
      <c r="AG584" s="13">
        <f>IF($AE584="","",SUMIFS('ORDENES'!$M$4:$M$1203,'ORDENES'!$AE$4:$AE$1203,$AE584,'ORDENES'!$O$4:$O$1203,$O584,'ORDENES'!$R$4:$R$1203,$R584))</f>
        <v/>
      </c>
      <c r="AH584" s="13">
        <f>IF($AG584="","",p_factor_productividad*IFERROR(INDEX('ASIGNACIONES'!$I$4:$I$339,MATCH($O584&amp;"|"&amp;$R584&amp;"|"&amp;$AE584,'ASIGNACIONES'!$J$4:$J$339,0)),0)-$AG584)</f>
        <v/>
      </c>
      <c r="AI584" s="10">
        <f>IF($A584="","",IFERROR(INDEX('2_IMPORTAR_EJECUCION'!$F$9:$F$1208,MATCH($AQ584,'2_IMPORTAR_EJECUCION'!$J$9:$J$1208,0)),0))</f>
        <v/>
      </c>
      <c r="AJ584" s="10">
        <f>IF($A584="","",MAX(0,IFERROR(INDEX('2_IMPORTAR_EJECUCION'!$H$9:$H$1208,MATCH($AQ584,'2_IMPORTAR_EJECUCION'!$J$9:$J$1208,0)),0)-$AI584))</f>
        <v/>
      </c>
      <c r="AK584" s="10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2">
        <f>IF($J585="","",TODAY()-$J585)</f>
        <v/>
      </c>
      <c r="AB585" s="12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IF($AE585="","",IF((IFERROR(INDEX('ASIGNACIONES'!$F$4:$F$339,MATCH($O585&amp;"|"&amp;$R585&amp;"|"&amp;$AE585,'ASIGNACIONES'!$J$4:$J$339,0)),""))=0,"",IFERROR(INDEX('ASIGNACIONES'!$F$4:$F$339,MATCH($O585&amp;"|"&amp;$R585&amp;"|"&amp;$AE585,'ASIGNACIONES'!$J$4:$J$339,0)),"")))</f>
        <v/>
      </c>
      <c r="AG585" s="13">
        <f>IF($AE585="","",SUMIFS('ORDENES'!$M$4:$M$1203,'ORDENES'!$AE$4:$AE$1203,$AE585,'ORDENES'!$O$4:$O$1203,$O585,'ORDENES'!$R$4:$R$1203,$R585))</f>
        <v/>
      </c>
      <c r="AH585" s="13">
        <f>IF($AG585="","",p_factor_productividad*IFERROR(INDEX('ASIGNACIONES'!$I$4:$I$339,MATCH($O585&amp;"|"&amp;$R585&amp;"|"&amp;$AE585,'ASIGNACIONES'!$J$4:$J$339,0)),0)-$AG585)</f>
        <v/>
      </c>
      <c r="AI585" s="10">
        <f>IF($A585="","",IFERROR(INDEX('2_IMPORTAR_EJECUCION'!$F$9:$F$1208,MATCH($AQ585,'2_IMPORTAR_EJECUCION'!$J$9:$J$1208,0)),0))</f>
        <v/>
      </c>
      <c r="AJ585" s="10">
        <f>IF($A585="","",MAX(0,IFERROR(INDEX('2_IMPORTAR_EJECUCION'!$H$9:$H$1208,MATCH($AQ585,'2_IMPORTAR_EJECUCION'!$J$9:$J$1208,0)),0)-$AI585))</f>
        <v/>
      </c>
      <c r="AK585" s="10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2">
        <f>IF($J586="","",TODAY()-$J586)</f>
        <v/>
      </c>
      <c r="AB586" s="12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IF($AE586="","",IF((IFERROR(INDEX('ASIGNACIONES'!$F$4:$F$339,MATCH($O586&amp;"|"&amp;$R586&amp;"|"&amp;$AE586,'ASIGNACIONES'!$J$4:$J$339,0)),""))=0,"",IFERROR(INDEX('ASIGNACIONES'!$F$4:$F$339,MATCH($O586&amp;"|"&amp;$R586&amp;"|"&amp;$AE586,'ASIGNACIONES'!$J$4:$J$339,0)),"")))</f>
        <v/>
      </c>
      <c r="AG586" s="13">
        <f>IF($AE586="","",SUMIFS('ORDENES'!$M$4:$M$1203,'ORDENES'!$AE$4:$AE$1203,$AE586,'ORDENES'!$O$4:$O$1203,$O586,'ORDENES'!$R$4:$R$1203,$R586))</f>
        <v/>
      </c>
      <c r="AH586" s="13">
        <f>IF($AG586="","",p_factor_productividad*IFERROR(INDEX('ASIGNACIONES'!$I$4:$I$339,MATCH($O586&amp;"|"&amp;$R586&amp;"|"&amp;$AE586,'ASIGNACIONES'!$J$4:$J$339,0)),0)-$AG586)</f>
        <v/>
      </c>
      <c r="AI586" s="10">
        <f>IF($A586="","",IFERROR(INDEX('2_IMPORTAR_EJECUCION'!$F$9:$F$1208,MATCH($AQ586,'2_IMPORTAR_EJECUCION'!$J$9:$J$1208,0)),0))</f>
        <v/>
      </c>
      <c r="AJ586" s="10">
        <f>IF($A586="","",MAX(0,IFERROR(INDEX('2_IMPORTAR_EJECUCION'!$H$9:$H$1208,MATCH($AQ586,'2_IMPORTAR_EJECUCION'!$J$9:$J$1208,0)),0)-$AI586))</f>
        <v/>
      </c>
      <c r="AK586" s="10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2">
        <f>IF($J587="","",TODAY()-$J587)</f>
        <v/>
      </c>
      <c r="AB587" s="12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IF($AE587="","",IF((IFERROR(INDEX('ASIGNACIONES'!$F$4:$F$339,MATCH($O587&amp;"|"&amp;$R587&amp;"|"&amp;$AE587,'ASIGNACIONES'!$J$4:$J$339,0)),""))=0,"",IFERROR(INDEX('ASIGNACIONES'!$F$4:$F$339,MATCH($O587&amp;"|"&amp;$R587&amp;"|"&amp;$AE587,'ASIGNACIONES'!$J$4:$J$339,0)),"")))</f>
        <v/>
      </c>
      <c r="AG587" s="13">
        <f>IF($AE587="","",SUMIFS('ORDENES'!$M$4:$M$1203,'ORDENES'!$AE$4:$AE$1203,$AE587,'ORDENES'!$O$4:$O$1203,$O587,'ORDENES'!$R$4:$R$1203,$R587))</f>
        <v/>
      </c>
      <c r="AH587" s="13">
        <f>IF($AG587="","",p_factor_productividad*IFERROR(INDEX('ASIGNACIONES'!$I$4:$I$339,MATCH($O587&amp;"|"&amp;$R587&amp;"|"&amp;$AE587,'ASIGNACIONES'!$J$4:$J$339,0)),0)-$AG587)</f>
        <v/>
      </c>
      <c r="AI587" s="10">
        <f>IF($A587="","",IFERROR(INDEX('2_IMPORTAR_EJECUCION'!$F$9:$F$1208,MATCH($AQ587,'2_IMPORTAR_EJECUCION'!$J$9:$J$1208,0)),0))</f>
        <v/>
      </c>
      <c r="AJ587" s="10">
        <f>IF($A587="","",MAX(0,IFERROR(INDEX('2_IMPORTAR_EJECUCION'!$H$9:$H$1208,MATCH($AQ587,'2_IMPORTAR_EJECUCION'!$J$9:$J$1208,0)),0)-$AI587))</f>
        <v/>
      </c>
      <c r="AK587" s="10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2">
        <f>IF($J588="","",TODAY()-$J588)</f>
        <v/>
      </c>
      <c r="AB588" s="12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IF($AE588="","",IF((IFERROR(INDEX('ASIGNACIONES'!$F$4:$F$339,MATCH($O588&amp;"|"&amp;$R588&amp;"|"&amp;$AE588,'ASIGNACIONES'!$J$4:$J$339,0)),""))=0,"",IFERROR(INDEX('ASIGNACIONES'!$F$4:$F$339,MATCH($O588&amp;"|"&amp;$R588&amp;"|"&amp;$AE588,'ASIGNACIONES'!$J$4:$J$339,0)),"")))</f>
        <v/>
      </c>
      <c r="AG588" s="13">
        <f>IF($AE588="","",SUMIFS('ORDENES'!$M$4:$M$1203,'ORDENES'!$AE$4:$AE$1203,$AE588,'ORDENES'!$O$4:$O$1203,$O588,'ORDENES'!$R$4:$R$1203,$R588))</f>
        <v/>
      </c>
      <c r="AH588" s="13">
        <f>IF($AG588="","",p_factor_productividad*IFERROR(INDEX('ASIGNACIONES'!$I$4:$I$339,MATCH($O588&amp;"|"&amp;$R588&amp;"|"&amp;$AE588,'ASIGNACIONES'!$J$4:$J$339,0)),0)-$AG588)</f>
        <v/>
      </c>
      <c r="AI588" s="10">
        <f>IF($A588="","",IFERROR(INDEX('2_IMPORTAR_EJECUCION'!$F$9:$F$1208,MATCH($AQ588,'2_IMPORTAR_EJECUCION'!$J$9:$J$1208,0)),0))</f>
        <v/>
      </c>
      <c r="AJ588" s="10">
        <f>IF($A588="","",MAX(0,IFERROR(INDEX('2_IMPORTAR_EJECUCION'!$H$9:$H$1208,MATCH($AQ588,'2_IMPORTAR_EJECUCION'!$J$9:$J$1208,0)),0)-$AI588))</f>
        <v/>
      </c>
      <c r="AK588" s="10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2">
        <f>IF($J589="","",TODAY()-$J589)</f>
        <v/>
      </c>
      <c r="AB589" s="12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IF($AE589="","",IF((IFERROR(INDEX('ASIGNACIONES'!$F$4:$F$339,MATCH($O589&amp;"|"&amp;$R589&amp;"|"&amp;$AE589,'ASIGNACIONES'!$J$4:$J$339,0)),""))=0,"",IFERROR(INDEX('ASIGNACIONES'!$F$4:$F$339,MATCH($O589&amp;"|"&amp;$R589&amp;"|"&amp;$AE589,'ASIGNACIONES'!$J$4:$J$339,0)),"")))</f>
        <v/>
      </c>
      <c r="AG589" s="13">
        <f>IF($AE589="","",SUMIFS('ORDENES'!$M$4:$M$1203,'ORDENES'!$AE$4:$AE$1203,$AE589,'ORDENES'!$O$4:$O$1203,$O589,'ORDENES'!$R$4:$R$1203,$R589))</f>
        <v/>
      </c>
      <c r="AH589" s="13">
        <f>IF($AG589="","",p_factor_productividad*IFERROR(INDEX('ASIGNACIONES'!$I$4:$I$339,MATCH($O589&amp;"|"&amp;$R589&amp;"|"&amp;$AE589,'ASIGNACIONES'!$J$4:$J$339,0)),0)-$AG589)</f>
        <v/>
      </c>
      <c r="AI589" s="10">
        <f>IF($A589="","",IFERROR(INDEX('2_IMPORTAR_EJECUCION'!$F$9:$F$1208,MATCH($AQ589,'2_IMPORTAR_EJECUCION'!$J$9:$J$1208,0)),0))</f>
        <v/>
      </c>
      <c r="AJ589" s="10">
        <f>IF($A589="","",MAX(0,IFERROR(INDEX('2_IMPORTAR_EJECUCION'!$H$9:$H$1208,MATCH($AQ589,'2_IMPORTAR_EJECUCION'!$J$9:$J$1208,0)),0)-$AI589))</f>
        <v/>
      </c>
      <c r="AK589" s="10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2">
        <f>IF($J590="","",TODAY()-$J590)</f>
        <v/>
      </c>
      <c r="AB590" s="12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IF($AE590="","",IF((IFERROR(INDEX('ASIGNACIONES'!$F$4:$F$339,MATCH($O590&amp;"|"&amp;$R590&amp;"|"&amp;$AE590,'ASIGNACIONES'!$J$4:$J$339,0)),""))=0,"",IFERROR(INDEX('ASIGNACIONES'!$F$4:$F$339,MATCH($O590&amp;"|"&amp;$R590&amp;"|"&amp;$AE590,'ASIGNACIONES'!$J$4:$J$339,0)),"")))</f>
        <v/>
      </c>
      <c r="AG590" s="13">
        <f>IF($AE590="","",SUMIFS('ORDENES'!$M$4:$M$1203,'ORDENES'!$AE$4:$AE$1203,$AE590,'ORDENES'!$O$4:$O$1203,$O590,'ORDENES'!$R$4:$R$1203,$R590))</f>
        <v/>
      </c>
      <c r="AH590" s="13">
        <f>IF($AG590="","",p_factor_productividad*IFERROR(INDEX('ASIGNACIONES'!$I$4:$I$339,MATCH($O590&amp;"|"&amp;$R590&amp;"|"&amp;$AE590,'ASIGNACIONES'!$J$4:$J$339,0)),0)-$AG590)</f>
        <v/>
      </c>
      <c r="AI590" s="10">
        <f>IF($A590="","",IFERROR(INDEX('2_IMPORTAR_EJECUCION'!$F$9:$F$1208,MATCH($AQ590,'2_IMPORTAR_EJECUCION'!$J$9:$J$1208,0)),0))</f>
        <v/>
      </c>
      <c r="AJ590" s="10">
        <f>IF($A590="","",MAX(0,IFERROR(INDEX('2_IMPORTAR_EJECUCION'!$H$9:$H$1208,MATCH($AQ590,'2_IMPORTAR_EJECUCION'!$J$9:$J$1208,0)),0)-$AI590))</f>
        <v/>
      </c>
      <c r="AK590" s="10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2">
        <f>IF($J591="","",TODAY()-$J591)</f>
        <v/>
      </c>
      <c r="AB591" s="12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IF($AE591="","",IF((IFERROR(INDEX('ASIGNACIONES'!$F$4:$F$339,MATCH($O591&amp;"|"&amp;$R591&amp;"|"&amp;$AE591,'ASIGNACIONES'!$J$4:$J$339,0)),""))=0,"",IFERROR(INDEX('ASIGNACIONES'!$F$4:$F$339,MATCH($O591&amp;"|"&amp;$R591&amp;"|"&amp;$AE591,'ASIGNACIONES'!$J$4:$J$339,0)),"")))</f>
        <v/>
      </c>
      <c r="AG591" s="13">
        <f>IF($AE591="","",SUMIFS('ORDENES'!$M$4:$M$1203,'ORDENES'!$AE$4:$AE$1203,$AE591,'ORDENES'!$O$4:$O$1203,$O591,'ORDENES'!$R$4:$R$1203,$R591))</f>
        <v/>
      </c>
      <c r="AH591" s="13">
        <f>IF($AG591="","",p_factor_productividad*IFERROR(INDEX('ASIGNACIONES'!$I$4:$I$339,MATCH($O591&amp;"|"&amp;$R591&amp;"|"&amp;$AE591,'ASIGNACIONES'!$J$4:$J$339,0)),0)-$AG591)</f>
        <v/>
      </c>
      <c r="AI591" s="10">
        <f>IF($A591="","",IFERROR(INDEX('2_IMPORTAR_EJECUCION'!$F$9:$F$1208,MATCH($AQ591,'2_IMPORTAR_EJECUCION'!$J$9:$J$1208,0)),0))</f>
        <v/>
      </c>
      <c r="AJ591" s="10">
        <f>IF($A591="","",MAX(0,IFERROR(INDEX('2_IMPORTAR_EJECUCION'!$H$9:$H$1208,MATCH($AQ591,'2_IMPORTAR_EJECUCION'!$J$9:$J$1208,0)),0)-$AI591))</f>
        <v/>
      </c>
      <c r="AK591" s="10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2">
        <f>IF($J592="","",TODAY()-$J592)</f>
        <v/>
      </c>
      <c r="AB592" s="12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IF($AE592="","",IF((IFERROR(INDEX('ASIGNACIONES'!$F$4:$F$339,MATCH($O592&amp;"|"&amp;$R592&amp;"|"&amp;$AE592,'ASIGNACIONES'!$J$4:$J$339,0)),""))=0,"",IFERROR(INDEX('ASIGNACIONES'!$F$4:$F$339,MATCH($O592&amp;"|"&amp;$R592&amp;"|"&amp;$AE592,'ASIGNACIONES'!$J$4:$J$339,0)),"")))</f>
        <v/>
      </c>
      <c r="AG592" s="13">
        <f>IF($AE592="","",SUMIFS('ORDENES'!$M$4:$M$1203,'ORDENES'!$AE$4:$AE$1203,$AE592,'ORDENES'!$O$4:$O$1203,$O592,'ORDENES'!$R$4:$R$1203,$R592))</f>
        <v/>
      </c>
      <c r="AH592" s="13">
        <f>IF($AG592="","",p_factor_productividad*IFERROR(INDEX('ASIGNACIONES'!$I$4:$I$339,MATCH($O592&amp;"|"&amp;$R592&amp;"|"&amp;$AE592,'ASIGNACIONES'!$J$4:$J$339,0)),0)-$AG592)</f>
        <v/>
      </c>
      <c r="AI592" s="10">
        <f>IF($A592="","",IFERROR(INDEX('2_IMPORTAR_EJECUCION'!$F$9:$F$1208,MATCH($AQ592,'2_IMPORTAR_EJECUCION'!$J$9:$J$1208,0)),0))</f>
        <v/>
      </c>
      <c r="AJ592" s="10">
        <f>IF($A592="","",MAX(0,IFERROR(INDEX('2_IMPORTAR_EJECUCION'!$H$9:$H$1208,MATCH($AQ592,'2_IMPORTAR_EJECUCION'!$J$9:$J$1208,0)),0)-$AI592))</f>
        <v/>
      </c>
      <c r="AK592" s="10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2">
        <f>IF($J593="","",TODAY()-$J593)</f>
        <v/>
      </c>
      <c r="AB593" s="12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IF($AE593="","",IF((IFERROR(INDEX('ASIGNACIONES'!$F$4:$F$339,MATCH($O593&amp;"|"&amp;$R593&amp;"|"&amp;$AE593,'ASIGNACIONES'!$J$4:$J$339,0)),""))=0,"",IFERROR(INDEX('ASIGNACIONES'!$F$4:$F$339,MATCH($O593&amp;"|"&amp;$R593&amp;"|"&amp;$AE593,'ASIGNACIONES'!$J$4:$J$339,0)),"")))</f>
        <v/>
      </c>
      <c r="AG593" s="13">
        <f>IF($AE593="","",SUMIFS('ORDENES'!$M$4:$M$1203,'ORDENES'!$AE$4:$AE$1203,$AE593,'ORDENES'!$O$4:$O$1203,$O593,'ORDENES'!$R$4:$R$1203,$R593))</f>
        <v/>
      </c>
      <c r="AH593" s="13">
        <f>IF($AG593="","",p_factor_productividad*IFERROR(INDEX('ASIGNACIONES'!$I$4:$I$339,MATCH($O593&amp;"|"&amp;$R593&amp;"|"&amp;$AE593,'ASIGNACIONES'!$J$4:$J$339,0)),0)-$AG593)</f>
        <v/>
      </c>
      <c r="AI593" s="10">
        <f>IF($A593="","",IFERROR(INDEX('2_IMPORTAR_EJECUCION'!$F$9:$F$1208,MATCH($AQ593,'2_IMPORTAR_EJECUCION'!$J$9:$J$1208,0)),0))</f>
        <v/>
      </c>
      <c r="AJ593" s="10">
        <f>IF($A593="","",MAX(0,IFERROR(INDEX('2_IMPORTAR_EJECUCION'!$H$9:$H$1208,MATCH($AQ593,'2_IMPORTAR_EJECUCION'!$J$9:$J$1208,0)),0)-$AI593))</f>
        <v/>
      </c>
      <c r="AK593" s="10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2">
        <f>IF($J594="","",TODAY()-$J594)</f>
        <v/>
      </c>
      <c r="AB594" s="12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IF($AE594="","",IF((IFERROR(INDEX('ASIGNACIONES'!$F$4:$F$339,MATCH($O594&amp;"|"&amp;$R594&amp;"|"&amp;$AE594,'ASIGNACIONES'!$J$4:$J$339,0)),""))=0,"",IFERROR(INDEX('ASIGNACIONES'!$F$4:$F$339,MATCH($O594&amp;"|"&amp;$R594&amp;"|"&amp;$AE594,'ASIGNACIONES'!$J$4:$J$339,0)),"")))</f>
        <v/>
      </c>
      <c r="AG594" s="13">
        <f>IF($AE594="","",SUMIFS('ORDENES'!$M$4:$M$1203,'ORDENES'!$AE$4:$AE$1203,$AE594,'ORDENES'!$O$4:$O$1203,$O594,'ORDENES'!$R$4:$R$1203,$R594))</f>
        <v/>
      </c>
      <c r="AH594" s="13">
        <f>IF($AG594="","",p_factor_productividad*IFERROR(INDEX('ASIGNACIONES'!$I$4:$I$339,MATCH($O594&amp;"|"&amp;$R594&amp;"|"&amp;$AE594,'ASIGNACIONES'!$J$4:$J$339,0)),0)-$AG594)</f>
        <v/>
      </c>
      <c r="AI594" s="10">
        <f>IF($A594="","",IFERROR(INDEX('2_IMPORTAR_EJECUCION'!$F$9:$F$1208,MATCH($AQ594,'2_IMPORTAR_EJECUCION'!$J$9:$J$1208,0)),0))</f>
        <v/>
      </c>
      <c r="AJ594" s="10">
        <f>IF($A594="","",MAX(0,IFERROR(INDEX('2_IMPORTAR_EJECUCION'!$H$9:$H$1208,MATCH($AQ594,'2_IMPORTAR_EJECUCION'!$J$9:$J$1208,0)),0)-$AI594))</f>
        <v/>
      </c>
      <c r="AK594" s="10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2">
        <f>IF($J595="","",TODAY()-$J595)</f>
        <v/>
      </c>
      <c r="AB595" s="12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IF($AE595="","",IF((IFERROR(INDEX('ASIGNACIONES'!$F$4:$F$339,MATCH($O595&amp;"|"&amp;$R595&amp;"|"&amp;$AE595,'ASIGNACIONES'!$J$4:$J$339,0)),""))=0,"",IFERROR(INDEX('ASIGNACIONES'!$F$4:$F$339,MATCH($O595&amp;"|"&amp;$R595&amp;"|"&amp;$AE595,'ASIGNACIONES'!$J$4:$J$339,0)),"")))</f>
        <v/>
      </c>
      <c r="AG595" s="13">
        <f>IF($AE595="","",SUMIFS('ORDENES'!$M$4:$M$1203,'ORDENES'!$AE$4:$AE$1203,$AE595,'ORDENES'!$O$4:$O$1203,$O595,'ORDENES'!$R$4:$R$1203,$R595))</f>
        <v/>
      </c>
      <c r="AH595" s="13">
        <f>IF($AG595="","",p_factor_productividad*IFERROR(INDEX('ASIGNACIONES'!$I$4:$I$339,MATCH($O595&amp;"|"&amp;$R595&amp;"|"&amp;$AE595,'ASIGNACIONES'!$J$4:$J$339,0)),0)-$AG595)</f>
        <v/>
      </c>
      <c r="AI595" s="10">
        <f>IF($A595="","",IFERROR(INDEX('2_IMPORTAR_EJECUCION'!$F$9:$F$1208,MATCH($AQ595,'2_IMPORTAR_EJECUCION'!$J$9:$J$1208,0)),0))</f>
        <v/>
      </c>
      <c r="AJ595" s="10">
        <f>IF($A595="","",MAX(0,IFERROR(INDEX('2_IMPORTAR_EJECUCION'!$H$9:$H$1208,MATCH($AQ595,'2_IMPORTAR_EJECUCION'!$J$9:$J$1208,0)),0)-$AI595))</f>
        <v/>
      </c>
      <c r="AK595" s="10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2">
        <f>IF($J596="","",TODAY()-$J596)</f>
        <v/>
      </c>
      <c r="AB596" s="12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IF($AE596="","",IF((IFERROR(INDEX('ASIGNACIONES'!$F$4:$F$339,MATCH($O596&amp;"|"&amp;$R596&amp;"|"&amp;$AE596,'ASIGNACIONES'!$J$4:$J$339,0)),""))=0,"",IFERROR(INDEX('ASIGNACIONES'!$F$4:$F$339,MATCH($O596&amp;"|"&amp;$R596&amp;"|"&amp;$AE596,'ASIGNACIONES'!$J$4:$J$339,0)),"")))</f>
        <v/>
      </c>
      <c r="AG596" s="13">
        <f>IF($AE596="","",SUMIFS('ORDENES'!$M$4:$M$1203,'ORDENES'!$AE$4:$AE$1203,$AE596,'ORDENES'!$O$4:$O$1203,$O596,'ORDENES'!$R$4:$R$1203,$R596))</f>
        <v/>
      </c>
      <c r="AH596" s="13">
        <f>IF($AG596="","",p_factor_productividad*IFERROR(INDEX('ASIGNACIONES'!$I$4:$I$339,MATCH($O596&amp;"|"&amp;$R596&amp;"|"&amp;$AE596,'ASIGNACIONES'!$J$4:$J$339,0)),0)-$AG596)</f>
        <v/>
      </c>
      <c r="AI596" s="10">
        <f>IF($A596="","",IFERROR(INDEX('2_IMPORTAR_EJECUCION'!$F$9:$F$1208,MATCH($AQ596,'2_IMPORTAR_EJECUCION'!$J$9:$J$1208,0)),0))</f>
        <v/>
      </c>
      <c r="AJ596" s="10">
        <f>IF($A596="","",MAX(0,IFERROR(INDEX('2_IMPORTAR_EJECUCION'!$H$9:$H$1208,MATCH($AQ596,'2_IMPORTAR_EJECUCION'!$J$9:$J$1208,0)),0)-$AI596))</f>
        <v/>
      </c>
      <c r="AK596" s="10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2">
        <f>IF($J597="","",TODAY()-$J597)</f>
        <v/>
      </c>
      <c r="AB597" s="12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IF($AE597="","",IF((IFERROR(INDEX('ASIGNACIONES'!$F$4:$F$339,MATCH($O597&amp;"|"&amp;$R597&amp;"|"&amp;$AE597,'ASIGNACIONES'!$J$4:$J$339,0)),""))=0,"",IFERROR(INDEX('ASIGNACIONES'!$F$4:$F$339,MATCH($O597&amp;"|"&amp;$R597&amp;"|"&amp;$AE597,'ASIGNACIONES'!$J$4:$J$339,0)),"")))</f>
        <v/>
      </c>
      <c r="AG597" s="13">
        <f>IF($AE597="","",SUMIFS('ORDENES'!$M$4:$M$1203,'ORDENES'!$AE$4:$AE$1203,$AE597,'ORDENES'!$O$4:$O$1203,$O597,'ORDENES'!$R$4:$R$1203,$R597))</f>
        <v/>
      </c>
      <c r="AH597" s="13">
        <f>IF($AG597="","",p_factor_productividad*IFERROR(INDEX('ASIGNACIONES'!$I$4:$I$339,MATCH($O597&amp;"|"&amp;$R597&amp;"|"&amp;$AE597,'ASIGNACIONES'!$J$4:$J$339,0)),0)-$AG597)</f>
        <v/>
      </c>
      <c r="AI597" s="10">
        <f>IF($A597="","",IFERROR(INDEX('2_IMPORTAR_EJECUCION'!$F$9:$F$1208,MATCH($AQ597,'2_IMPORTAR_EJECUCION'!$J$9:$J$1208,0)),0))</f>
        <v/>
      </c>
      <c r="AJ597" s="10">
        <f>IF($A597="","",MAX(0,IFERROR(INDEX('2_IMPORTAR_EJECUCION'!$H$9:$H$1208,MATCH($AQ597,'2_IMPORTAR_EJECUCION'!$J$9:$J$1208,0)),0)-$AI597))</f>
        <v/>
      </c>
      <c r="AK597" s="10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2">
        <f>IF($J598="","",TODAY()-$J598)</f>
        <v/>
      </c>
      <c r="AB598" s="12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IF($AE598="","",IF((IFERROR(INDEX('ASIGNACIONES'!$F$4:$F$339,MATCH($O598&amp;"|"&amp;$R598&amp;"|"&amp;$AE598,'ASIGNACIONES'!$J$4:$J$339,0)),""))=0,"",IFERROR(INDEX('ASIGNACIONES'!$F$4:$F$339,MATCH($O598&amp;"|"&amp;$R598&amp;"|"&amp;$AE598,'ASIGNACIONES'!$J$4:$J$339,0)),"")))</f>
        <v/>
      </c>
      <c r="AG598" s="13">
        <f>IF($AE598="","",SUMIFS('ORDENES'!$M$4:$M$1203,'ORDENES'!$AE$4:$AE$1203,$AE598,'ORDENES'!$O$4:$O$1203,$O598,'ORDENES'!$R$4:$R$1203,$R598))</f>
        <v/>
      </c>
      <c r="AH598" s="13">
        <f>IF($AG598="","",p_factor_productividad*IFERROR(INDEX('ASIGNACIONES'!$I$4:$I$339,MATCH($O598&amp;"|"&amp;$R598&amp;"|"&amp;$AE598,'ASIGNACIONES'!$J$4:$J$339,0)),0)-$AG598)</f>
        <v/>
      </c>
      <c r="AI598" s="10">
        <f>IF($A598="","",IFERROR(INDEX('2_IMPORTAR_EJECUCION'!$F$9:$F$1208,MATCH($AQ598,'2_IMPORTAR_EJECUCION'!$J$9:$J$1208,0)),0))</f>
        <v/>
      </c>
      <c r="AJ598" s="10">
        <f>IF($A598="","",MAX(0,IFERROR(INDEX('2_IMPORTAR_EJECUCION'!$H$9:$H$1208,MATCH($AQ598,'2_IMPORTAR_EJECUCION'!$J$9:$J$1208,0)),0)-$AI598))</f>
        <v/>
      </c>
      <c r="AK598" s="10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2">
        <f>IF($J599="","",TODAY()-$J599)</f>
        <v/>
      </c>
      <c r="AB599" s="12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IF($AE599="","",IF((IFERROR(INDEX('ASIGNACIONES'!$F$4:$F$339,MATCH($O599&amp;"|"&amp;$R599&amp;"|"&amp;$AE599,'ASIGNACIONES'!$J$4:$J$339,0)),""))=0,"",IFERROR(INDEX('ASIGNACIONES'!$F$4:$F$339,MATCH($O599&amp;"|"&amp;$R599&amp;"|"&amp;$AE599,'ASIGNACIONES'!$J$4:$J$339,0)),"")))</f>
        <v/>
      </c>
      <c r="AG599" s="13">
        <f>IF($AE599="","",SUMIFS('ORDENES'!$M$4:$M$1203,'ORDENES'!$AE$4:$AE$1203,$AE599,'ORDENES'!$O$4:$O$1203,$O599,'ORDENES'!$R$4:$R$1203,$R599))</f>
        <v/>
      </c>
      <c r="AH599" s="13">
        <f>IF($AG599="","",p_factor_productividad*IFERROR(INDEX('ASIGNACIONES'!$I$4:$I$339,MATCH($O599&amp;"|"&amp;$R599&amp;"|"&amp;$AE599,'ASIGNACIONES'!$J$4:$J$339,0)),0)-$AG599)</f>
        <v/>
      </c>
      <c r="AI599" s="10">
        <f>IF($A599="","",IFERROR(INDEX('2_IMPORTAR_EJECUCION'!$F$9:$F$1208,MATCH($AQ599,'2_IMPORTAR_EJECUCION'!$J$9:$J$1208,0)),0))</f>
        <v/>
      </c>
      <c r="AJ599" s="10">
        <f>IF($A599="","",MAX(0,IFERROR(INDEX('2_IMPORTAR_EJECUCION'!$H$9:$H$1208,MATCH($AQ599,'2_IMPORTAR_EJECUCION'!$J$9:$J$1208,0)),0)-$AI599))</f>
        <v/>
      </c>
      <c r="AK599" s="10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2">
        <f>IF($J600="","",TODAY()-$J600)</f>
        <v/>
      </c>
      <c r="AB600" s="12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IF($AE600="","",IF((IFERROR(INDEX('ASIGNACIONES'!$F$4:$F$339,MATCH($O600&amp;"|"&amp;$R600&amp;"|"&amp;$AE600,'ASIGNACIONES'!$J$4:$J$339,0)),""))=0,"",IFERROR(INDEX('ASIGNACIONES'!$F$4:$F$339,MATCH($O600&amp;"|"&amp;$R600&amp;"|"&amp;$AE600,'ASIGNACIONES'!$J$4:$J$339,0)),"")))</f>
        <v/>
      </c>
      <c r="AG600" s="13">
        <f>IF($AE600="","",SUMIFS('ORDENES'!$M$4:$M$1203,'ORDENES'!$AE$4:$AE$1203,$AE600,'ORDENES'!$O$4:$O$1203,$O600,'ORDENES'!$R$4:$R$1203,$R600))</f>
        <v/>
      </c>
      <c r="AH600" s="13">
        <f>IF($AG600="","",p_factor_productividad*IFERROR(INDEX('ASIGNACIONES'!$I$4:$I$339,MATCH($O600&amp;"|"&amp;$R600&amp;"|"&amp;$AE600,'ASIGNACIONES'!$J$4:$J$339,0)),0)-$AG600)</f>
        <v/>
      </c>
      <c r="AI600" s="10">
        <f>IF($A600="","",IFERROR(INDEX('2_IMPORTAR_EJECUCION'!$F$9:$F$1208,MATCH($AQ600,'2_IMPORTAR_EJECUCION'!$J$9:$J$1208,0)),0))</f>
        <v/>
      </c>
      <c r="AJ600" s="10">
        <f>IF($A600="","",MAX(0,IFERROR(INDEX('2_IMPORTAR_EJECUCION'!$H$9:$H$1208,MATCH($AQ600,'2_IMPORTAR_EJECUCION'!$J$9:$J$1208,0)),0)-$AI600))</f>
        <v/>
      </c>
      <c r="AK600" s="10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2">
        <f>IF($J601="","",TODAY()-$J601)</f>
        <v/>
      </c>
      <c r="AB601" s="12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IF($AE601="","",IF((IFERROR(INDEX('ASIGNACIONES'!$F$4:$F$339,MATCH($O601&amp;"|"&amp;$R601&amp;"|"&amp;$AE601,'ASIGNACIONES'!$J$4:$J$339,0)),""))=0,"",IFERROR(INDEX('ASIGNACIONES'!$F$4:$F$339,MATCH($O601&amp;"|"&amp;$R601&amp;"|"&amp;$AE601,'ASIGNACIONES'!$J$4:$J$339,0)),"")))</f>
        <v/>
      </c>
      <c r="AG601" s="13">
        <f>IF($AE601="","",SUMIFS('ORDENES'!$M$4:$M$1203,'ORDENES'!$AE$4:$AE$1203,$AE601,'ORDENES'!$O$4:$O$1203,$O601,'ORDENES'!$R$4:$R$1203,$R601))</f>
        <v/>
      </c>
      <c r="AH601" s="13">
        <f>IF($AG601="","",p_factor_productividad*IFERROR(INDEX('ASIGNACIONES'!$I$4:$I$339,MATCH($O601&amp;"|"&amp;$R601&amp;"|"&amp;$AE601,'ASIGNACIONES'!$J$4:$J$339,0)),0)-$AG601)</f>
        <v/>
      </c>
      <c r="AI601" s="10">
        <f>IF($A601="","",IFERROR(INDEX('2_IMPORTAR_EJECUCION'!$F$9:$F$1208,MATCH($AQ601,'2_IMPORTAR_EJECUCION'!$J$9:$J$1208,0)),0))</f>
        <v/>
      </c>
      <c r="AJ601" s="10">
        <f>IF($A601="","",MAX(0,IFERROR(INDEX('2_IMPORTAR_EJECUCION'!$H$9:$H$1208,MATCH($AQ601,'2_IMPORTAR_EJECUCION'!$J$9:$J$1208,0)),0)-$AI601))</f>
        <v/>
      </c>
      <c r="AK601" s="10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2">
        <f>IF($J602="","",TODAY()-$J602)</f>
        <v/>
      </c>
      <c r="AB602" s="12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IF($AE602="","",IF((IFERROR(INDEX('ASIGNACIONES'!$F$4:$F$339,MATCH($O602&amp;"|"&amp;$R602&amp;"|"&amp;$AE602,'ASIGNACIONES'!$J$4:$J$339,0)),""))=0,"",IFERROR(INDEX('ASIGNACIONES'!$F$4:$F$339,MATCH($O602&amp;"|"&amp;$R602&amp;"|"&amp;$AE602,'ASIGNACIONES'!$J$4:$J$339,0)),"")))</f>
        <v/>
      </c>
      <c r="AG602" s="13">
        <f>IF($AE602="","",SUMIFS('ORDENES'!$M$4:$M$1203,'ORDENES'!$AE$4:$AE$1203,$AE602,'ORDENES'!$O$4:$O$1203,$O602,'ORDENES'!$R$4:$R$1203,$R602))</f>
        <v/>
      </c>
      <c r="AH602" s="13">
        <f>IF($AG602="","",p_factor_productividad*IFERROR(INDEX('ASIGNACIONES'!$I$4:$I$339,MATCH($O602&amp;"|"&amp;$R602&amp;"|"&amp;$AE602,'ASIGNACIONES'!$J$4:$J$339,0)),0)-$AG602)</f>
        <v/>
      </c>
      <c r="AI602" s="10">
        <f>IF($A602="","",IFERROR(INDEX('2_IMPORTAR_EJECUCION'!$F$9:$F$1208,MATCH($AQ602,'2_IMPORTAR_EJECUCION'!$J$9:$J$1208,0)),0))</f>
        <v/>
      </c>
      <c r="AJ602" s="10">
        <f>IF($A602="","",MAX(0,IFERROR(INDEX('2_IMPORTAR_EJECUCION'!$H$9:$H$1208,MATCH($AQ602,'2_IMPORTAR_EJECUCION'!$J$9:$J$1208,0)),0)-$AI602))</f>
        <v/>
      </c>
      <c r="AK602" s="10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2">
        <f>IF($J603="","",TODAY()-$J603)</f>
        <v/>
      </c>
      <c r="AB603" s="12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IF($AE603="","",IF((IFERROR(INDEX('ASIGNACIONES'!$F$4:$F$339,MATCH($O603&amp;"|"&amp;$R603&amp;"|"&amp;$AE603,'ASIGNACIONES'!$J$4:$J$339,0)),""))=0,"",IFERROR(INDEX('ASIGNACIONES'!$F$4:$F$339,MATCH($O603&amp;"|"&amp;$R603&amp;"|"&amp;$AE603,'ASIGNACIONES'!$J$4:$J$339,0)),"")))</f>
        <v/>
      </c>
      <c r="AG603" s="13">
        <f>IF($AE603="","",SUMIFS('ORDENES'!$M$4:$M$1203,'ORDENES'!$AE$4:$AE$1203,$AE603,'ORDENES'!$O$4:$O$1203,$O603,'ORDENES'!$R$4:$R$1203,$R603))</f>
        <v/>
      </c>
      <c r="AH603" s="13">
        <f>IF($AG603="","",p_factor_productividad*IFERROR(INDEX('ASIGNACIONES'!$I$4:$I$339,MATCH($O603&amp;"|"&amp;$R603&amp;"|"&amp;$AE603,'ASIGNACIONES'!$J$4:$J$339,0)),0)-$AG603)</f>
        <v/>
      </c>
      <c r="AI603" s="10">
        <f>IF($A603="","",IFERROR(INDEX('2_IMPORTAR_EJECUCION'!$F$9:$F$1208,MATCH($AQ603,'2_IMPORTAR_EJECUCION'!$J$9:$J$1208,0)),0))</f>
        <v/>
      </c>
      <c r="AJ603" s="10">
        <f>IF($A603="","",MAX(0,IFERROR(INDEX('2_IMPORTAR_EJECUCION'!$H$9:$H$1208,MATCH($AQ603,'2_IMPORTAR_EJECUCION'!$J$9:$J$1208,0)),0)-$AI603))</f>
        <v/>
      </c>
      <c r="AK603" s="10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2">
        <f>IF($J604="","",TODAY()-$J604)</f>
        <v/>
      </c>
      <c r="AB604" s="12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IF($AE604="","",IF((IFERROR(INDEX('ASIGNACIONES'!$F$4:$F$339,MATCH($O604&amp;"|"&amp;$R604&amp;"|"&amp;$AE604,'ASIGNACIONES'!$J$4:$J$339,0)),""))=0,"",IFERROR(INDEX('ASIGNACIONES'!$F$4:$F$339,MATCH($O604&amp;"|"&amp;$R604&amp;"|"&amp;$AE604,'ASIGNACIONES'!$J$4:$J$339,0)),"")))</f>
        <v/>
      </c>
      <c r="AG604" s="13">
        <f>IF($AE604="","",SUMIFS('ORDENES'!$M$4:$M$1203,'ORDENES'!$AE$4:$AE$1203,$AE604,'ORDENES'!$O$4:$O$1203,$O604,'ORDENES'!$R$4:$R$1203,$R604))</f>
        <v/>
      </c>
      <c r="AH604" s="13">
        <f>IF($AG604="","",p_factor_productividad*IFERROR(INDEX('ASIGNACIONES'!$I$4:$I$339,MATCH($O604&amp;"|"&amp;$R604&amp;"|"&amp;$AE604,'ASIGNACIONES'!$J$4:$J$339,0)),0)-$AG604)</f>
        <v/>
      </c>
      <c r="AI604" s="10">
        <f>IF($A604="","",IFERROR(INDEX('2_IMPORTAR_EJECUCION'!$F$9:$F$1208,MATCH($AQ604,'2_IMPORTAR_EJECUCION'!$J$9:$J$1208,0)),0))</f>
        <v/>
      </c>
      <c r="AJ604" s="10">
        <f>IF($A604="","",MAX(0,IFERROR(INDEX('2_IMPORTAR_EJECUCION'!$H$9:$H$1208,MATCH($AQ604,'2_IMPORTAR_EJECUCION'!$J$9:$J$1208,0)),0)-$AI604))</f>
        <v/>
      </c>
      <c r="AK604" s="10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2">
        <f>IF($J605="","",TODAY()-$J605)</f>
        <v/>
      </c>
      <c r="AB605" s="12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IF($AE605="","",IF((IFERROR(INDEX('ASIGNACIONES'!$F$4:$F$339,MATCH($O605&amp;"|"&amp;$R605&amp;"|"&amp;$AE605,'ASIGNACIONES'!$J$4:$J$339,0)),""))=0,"",IFERROR(INDEX('ASIGNACIONES'!$F$4:$F$339,MATCH($O605&amp;"|"&amp;$R605&amp;"|"&amp;$AE605,'ASIGNACIONES'!$J$4:$J$339,0)),"")))</f>
        <v/>
      </c>
      <c r="AG605" s="13">
        <f>IF($AE605="","",SUMIFS('ORDENES'!$M$4:$M$1203,'ORDENES'!$AE$4:$AE$1203,$AE605,'ORDENES'!$O$4:$O$1203,$O605,'ORDENES'!$R$4:$R$1203,$R605))</f>
        <v/>
      </c>
      <c r="AH605" s="13">
        <f>IF($AG605="","",p_factor_productividad*IFERROR(INDEX('ASIGNACIONES'!$I$4:$I$339,MATCH($O605&amp;"|"&amp;$R605&amp;"|"&amp;$AE605,'ASIGNACIONES'!$J$4:$J$339,0)),0)-$AG605)</f>
        <v/>
      </c>
      <c r="AI605" s="10">
        <f>IF($A605="","",IFERROR(INDEX('2_IMPORTAR_EJECUCION'!$F$9:$F$1208,MATCH($AQ605,'2_IMPORTAR_EJECUCION'!$J$9:$J$1208,0)),0))</f>
        <v/>
      </c>
      <c r="AJ605" s="10">
        <f>IF($A605="","",MAX(0,IFERROR(INDEX('2_IMPORTAR_EJECUCION'!$H$9:$H$1208,MATCH($AQ605,'2_IMPORTAR_EJECUCION'!$J$9:$J$1208,0)),0)-$AI605))</f>
        <v/>
      </c>
      <c r="AK605" s="10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2">
        <f>IF($J606="","",TODAY()-$J606)</f>
        <v/>
      </c>
      <c r="AB606" s="12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IF($AE606="","",IF((IFERROR(INDEX('ASIGNACIONES'!$F$4:$F$339,MATCH($O606&amp;"|"&amp;$R606&amp;"|"&amp;$AE606,'ASIGNACIONES'!$J$4:$J$339,0)),""))=0,"",IFERROR(INDEX('ASIGNACIONES'!$F$4:$F$339,MATCH($O606&amp;"|"&amp;$R606&amp;"|"&amp;$AE606,'ASIGNACIONES'!$J$4:$J$339,0)),"")))</f>
        <v/>
      </c>
      <c r="AG606" s="13">
        <f>IF($AE606="","",SUMIFS('ORDENES'!$M$4:$M$1203,'ORDENES'!$AE$4:$AE$1203,$AE606,'ORDENES'!$O$4:$O$1203,$O606,'ORDENES'!$R$4:$R$1203,$R606))</f>
        <v/>
      </c>
      <c r="AH606" s="13">
        <f>IF($AG606="","",p_factor_productividad*IFERROR(INDEX('ASIGNACIONES'!$I$4:$I$339,MATCH($O606&amp;"|"&amp;$R606&amp;"|"&amp;$AE606,'ASIGNACIONES'!$J$4:$J$339,0)),0)-$AG606)</f>
        <v/>
      </c>
      <c r="AI606" s="10">
        <f>IF($A606="","",IFERROR(INDEX('2_IMPORTAR_EJECUCION'!$F$9:$F$1208,MATCH($AQ606,'2_IMPORTAR_EJECUCION'!$J$9:$J$1208,0)),0))</f>
        <v/>
      </c>
      <c r="AJ606" s="10">
        <f>IF($A606="","",MAX(0,IFERROR(INDEX('2_IMPORTAR_EJECUCION'!$H$9:$H$1208,MATCH($AQ606,'2_IMPORTAR_EJECUCION'!$J$9:$J$1208,0)),0)-$AI606))</f>
        <v/>
      </c>
      <c r="AK606" s="10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2">
        <f>IF($J607="","",TODAY()-$J607)</f>
        <v/>
      </c>
      <c r="AB607" s="12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IF($AE607="","",IF((IFERROR(INDEX('ASIGNACIONES'!$F$4:$F$339,MATCH($O607&amp;"|"&amp;$R607&amp;"|"&amp;$AE607,'ASIGNACIONES'!$J$4:$J$339,0)),""))=0,"",IFERROR(INDEX('ASIGNACIONES'!$F$4:$F$339,MATCH($O607&amp;"|"&amp;$R607&amp;"|"&amp;$AE607,'ASIGNACIONES'!$J$4:$J$339,0)),"")))</f>
        <v/>
      </c>
      <c r="AG607" s="13">
        <f>IF($AE607="","",SUMIFS('ORDENES'!$M$4:$M$1203,'ORDENES'!$AE$4:$AE$1203,$AE607,'ORDENES'!$O$4:$O$1203,$O607,'ORDENES'!$R$4:$R$1203,$R607))</f>
        <v/>
      </c>
      <c r="AH607" s="13">
        <f>IF($AG607="","",p_factor_productividad*IFERROR(INDEX('ASIGNACIONES'!$I$4:$I$339,MATCH($O607&amp;"|"&amp;$R607&amp;"|"&amp;$AE607,'ASIGNACIONES'!$J$4:$J$339,0)),0)-$AG607)</f>
        <v/>
      </c>
      <c r="AI607" s="10">
        <f>IF($A607="","",IFERROR(INDEX('2_IMPORTAR_EJECUCION'!$F$9:$F$1208,MATCH($AQ607,'2_IMPORTAR_EJECUCION'!$J$9:$J$1208,0)),0))</f>
        <v/>
      </c>
      <c r="AJ607" s="10">
        <f>IF($A607="","",MAX(0,IFERROR(INDEX('2_IMPORTAR_EJECUCION'!$H$9:$H$1208,MATCH($AQ607,'2_IMPORTAR_EJECUCION'!$J$9:$J$1208,0)),0)-$AI607))</f>
        <v/>
      </c>
      <c r="AK607" s="10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2">
        <f>IF($J608="","",TODAY()-$J608)</f>
        <v/>
      </c>
      <c r="AB608" s="12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IF($AE608="","",IF((IFERROR(INDEX('ASIGNACIONES'!$F$4:$F$339,MATCH($O608&amp;"|"&amp;$R608&amp;"|"&amp;$AE608,'ASIGNACIONES'!$J$4:$J$339,0)),""))=0,"",IFERROR(INDEX('ASIGNACIONES'!$F$4:$F$339,MATCH($O608&amp;"|"&amp;$R608&amp;"|"&amp;$AE608,'ASIGNACIONES'!$J$4:$J$339,0)),"")))</f>
        <v/>
      </c>
      <c r="AG608" s="13">
        <f>IF($AE608="","",SUMIFS('ORDENES'!$M$4:$M$1203,'ORDENES'!$AE$4:$AE$1203,$AE608,'ORDENES'!$O$4:$O$1203,$O608,'ORDENES'!$R$4:$R$1203,$R608))</f>
        <v/>
      </c>
      <c r="AH608" s="13">
        <f>IF($AG608="","",p_factor_productividad*IFERROR(INDEX('ASIGNACIONES'!$I$4:$I$339,MATCH($O608&amp;"|"&amp;$R608&amp;"|"&amp;$AE608,'ASIGNACIONES'!$J$4:$J$339,0)),0)-$AG608)</f>
        <v/>
      </c>
      <c r="AI608" s="10">
        <f>IF($A608="","",IFERROR(INDEX('2_IMPORTAR_EJECUCION'!$F$9:$F$1208,MATCH($AQ608,'2_IMPORTAR_EJECUCION'!$J$9:$J$1208,0)),0))</f>
        <v/>
      </c>
      <c r="AJ608" s="10">
        <f>IF($A608="","",MAX(0,IFERROR(INDEX('2_IMPORTAR_EJECUCION'!$H$9:$H$1208,MATCH($AQ608,'2_IMPORTAR_EJECUCION'!$J$9:$J$1208,0)),0)-$AI608))</f>
        <v/>
      </c>
      <c r="AK608" s="10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2">
        <f>IF($J609="","",TODAY()-$J609)</f>
        <v/>
      </c>
      <c r="AB609" s="12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IF($AE609="","",IF((IFERROR(INDEX('ASIGNACIONES'!$F$4:$F$339,MATCH($O609&amp;"|"&amp;$R609&amp;"|"&amp;$AE609,'ASIGNACIONES'!$J$4:$J$339,0)),""))=0,"",IFERROR(INDEX('ASIGNACIONES'!$F$4:$F$339,MATCH($O609&amp;"|"&amp;$R609&amp;"|"&amp;$AE609,'ASIGNACIONES'!$J$4:$J$339,0)),"")))</f>
        <v/>
      </c>
      <c r="AG609" s="13">
        <f>IF($AE609="","",SUMIFS('ORDENES'!$M$4:$M$1203,'ORDENES'!$AE$4:$AE$1203,$AE609,'ORDENES'!$O$4:$O$1203,$O609,'ORDENES'!$R$4:$R$1203,$R609))</f>
        <v/>
      </c>
      <c r="AH609" s="13">
        <f>IF($AG609="","",p_factor_productividad*IFERROR(INDEX('ASIGNACIONES'!$I$4:$I$339,MATCH($O609&amp;"|"&amp;$R609&amp;"|"&amp;$AE609,'ASIGNACIONES'!$J$4:$J$339,0)),0)-$AG609)</f>
        <v/>
      </c>
      <c r="AI609" s="10">
        <f>IF($A609="","",IFERROR(INDEX('2_IMPORTAR_EJECUCION'!$F$9:$F$1208,MATCH($AQ609,'2_IMPORTAR_EJECUCION'!$J$9:$J$1208,0)),0))</f>
        <v/>
      </c>
      <c r="AJ609" s="10">
        <f>IF($A609="","",MAX(0,IFERROR(INDEX('2_IMPORTAR_EJECUCION'!$H$9:$H$1208,MATCH($AQ609,'2_IMPORTAR_EJECUCION'!$J$9:$J$1208,0)),0)-$AI609))</f>
        <v/>
      </c>
      <c r="AK609" s="10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2">
        <f>IF($J610="","",TODAY()-$J610)</f>
        <v/>
      </c>
      <c r="AB610" s="12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IF($AE610="","",IF((IFERROR(INDEX('ASIGNACIONES'!$F$4:$F$339,MATCH($O610&amp;"|"&amp;$R610&amp;"|"&amp;$AE610,'ASIGNACIONES'!$J$4:$J$339,0)),""))=0,"",IFERROR(INDEX('ASIGNACIONES'!$F$4:$F$339,MATCH($O610&amp;"|"&amp;$R610&amp;"|"&amp;$AE610,'ASIGNACIONES'!$J$4:$J$339,0)),"")))</f>
        <v/>
      </c>
      <c r="AG610" s="13">
        <f>IF($AE610="","",SUMIFS('ORDENES'!$M$4:$M$1203,'ORDENES'!$AE$4:$AE$1203,$AE610,'ORDENES'!$O$4:$O$1203,$O610,'ORDENES'!$R$4:$R$1203,$R610))</f>
        <v/>
      </c>
      <c r="AH610" s="13">
        <f>IF($AG610="","",p_factor_productividad*IFERROR(INDEX('ASIGNACIONES'!$I$4:$I$339,MATCH($O610&amp;"|"&amp;$R610&amp;"|"&amp;$AE610,'ASIGNACIONES'!$J$4:$J$339,0)),0)-$AG610)</f>
        <v/>
      </c>
      <c r="AI610" s="10">
        <f>IF($A610="","",IFERROR(INDEX('2_IMPORTAR_EJECUCION'!$F$9:$F$1208,MATCH($AQ610,'2_IMPORTAR_EJECUCION'!$J$9:$J$1208,0)),0))</f>
        <v/>
      </c>
      <c r="AJ610" s="10">
        <f>IF($A610="","",MAX(0,IFERROR(INDEX('2_IMPORTAR_EJECUCION'!$H$9:$H$1208,MATCH($AQ610,'2_IMPORTAR_EJECUCION'!$J$9:$J$1208,0)),0)-$AI610))</f>
        <v/>
      </c>
      <c r="AK610" s="10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2">
        <f>IF($J611="","",TODAY()-$J611)</f>
        <v/>
      </c>
      <c r="AB611" s="12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IF($AE611="","",IF((IFERROR(INDEX('ASIGNACIONES'!$F$4:$F$339,MATCH($O611&amp;"|"&amp;$R611&amp;"|"&amp;$AE611,'ASIGNACIONES'!$J$4:$J$339,0)),""))=0,"",IFERROR(INDEX('ASIGNACIONES'!$F$4:$F$339,MATCH($O611&amp;"|"&amp;$R611&amp;"|"&amp;$AE611,'ASIGNACIONES'!$J$4:$J$339,0)),"")))</f>
        <v/>
      </c>
      <c r="AG611" s="13">
        <f>IF($AE611="","",SUMIFS('ORDENES'!$M$4:$M$1203,'ORDENES'!$AE$4:$AE$1203,$AE611,'ORDENES'!$O$4:$O$1203,$O611,'ORDENES'!$R$4:$R$1203,$R611))</f>
        <v/>
      </c>
      <c r="AH611" s="13">
        <f>IF($AG611="","",p_factor_productividad*IFERROR(INDEX('ASIGNACIONES'!$I$4:$I$339,MATCH($O611&amp;"|"&amp;$R611&amp;"|"&amp;$AE611,'ASIGNACIONES'!$J$4:$J$339,0)),0)-$AG611)</f>
        <v/>
      </c>
      <c r="AI611" s="10">
        <f>IF($A611="","",IFERROR(INDEX('2_IMPORTAR_EJECUCION'!$F$9:$F$1208,MATCH($AQ611,'2_IMPORTAR_EJECUCION'!$J$9:$J$1208,0)),0))</f>
        <v/>
      </c>
      <c r="AJ611" s="10">
        <f>IF($A611="","",MAX(0,IFERROR(INDEX('2_IMPORTAR_EJECUCION'!$H$9:$H$1208,MATCH($AQ611,'2_IMPORTAR_EJECUCION'!$J$9:$J$1208,0)),0)-$AI611))</f>
        <v/>
      </c>
      <c r="AK611" s="10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2">
        <f>IF($J612="","",TODAY()-$J612)</f>
        <v/>
      </c>
      <c r="AB612" s="12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IF($AE612="","",IF((IFERROR(INDEX('ASIGNACIONES'!$F$4:$F$339,MATCH($O612&amp;"|"&amp;$R612&amp;"|"&amp;$AE612,'ASIGNACIONES'!$J$4:$J$339,0)),""))=0,"",IFERROR(INDEX('ASIGNACIONES'!$F$4:$F$339,MATCH($O612&amp;"|"&amp;$R612&amp;"|"&amp;$AE612,'ASIGNACIONES'!$J$4:$J$339,0)),"")))</f>
        <v/>
      </c>
      <c r="AG612" s="13">
        <f>IF($AE612="","",SUMIFS('ORDENES'!$M$4:$M$1203,'ORDENES'!$AE$4:$AE$1203,$AE612,'ORDENES'!$O$4:$O$1203,$O612,'ORDENES'!$R$4:$R$1203,$R612))</f>
        <v/>
      </c>
      <c r="AH612" s="13">
        <f>IF($AG612="","",p_factor_productividad*IFERROR(INDEX('ASIGNACIONES'!$I$4:$I$339,MATCH($O612&amp;"|"&amp;$R612&amp;"|"&amp;$AE612,'ASIGNACIONES'!$J$4:$J$339,0)),0)-$AG612)</f>
        <v/>
      </c>
      <c r="AI612" s="10">
        <f>IF($A612="","",IFERROR(INDEX('2_IMPORTAR_EJECUCION'!$F$9:$F$1208,MATCH($AQ612,'2_IMPORTAR_EJECUCION'!$J$9:$J$1208,0)),0))</f>
        <v/>
      </c>
      <c r="AJ612" s="10">
        <f>IF($A612="","",MAX(0,IFERROR(INDEX('2_IMPORTAR_EJECUCION'!$H$9:$H$1208,MATCH($AQ612,'2_IMPORTAR_EJECUCION'!$J$9:$J$1208,0)),0)-$AI612))</f>
        <v/>
      </c>
      <c r="AK612" s="10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2">
        <f>IF($J613="","",TODAY()-$J613)</f>
        <v/>
      </c>
      <c r="AB613" s="12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IF($AE613="","",IF((IFERROR(INDEX('ASIGNACIONES'!$F$4:$F$339,MATCH($O613&amp;"|"&amp;$R613&amp;"|"&amp;$AE613,'ASIGNACIONES'!$J$4:$J$339,0)),""))=0,"",IFERROR(INDEX('ASIGNACIONES'!$F$4:$F$339,MATCH($O613&amp;"|"&amp;$R613&amp;"|"&amp;$AE613,'ASIGNACIONES'!$J$4:$J$339,0)),"")))</f>
        <v/>
      </c>
      <c r="AG613" s="13">
        <f>IF($AE613="","",SUMIFS('ORDENES'!$M$4:$M$1203,'ORDENES'!$AE$4:$AE$1203,$AE613,'ORDENES'!$O$4:$O$1203,$O613,'ORDENES'!$R$4:$R$1203,$R613))</f>
        <v/>
      </c>
      <c r="AH613" s="13">
        <f>IF($AG613="","",p_factor_productividad*IFERROR(INDEX('ASIGNACIONES'!$I$4:$I$339,MATCH($O613&amp;"|"&amp;$R613&amp;"|"&amp;$AE613,'ASIGNACIONES'!$J$4:$J$339,0)),0)-$AG613)</f>
        <v/>
      </c>
      <c r="AI613" s="10">
        <f>IF($A613="","",IFERROR(INDEX('2_IMPORTAR_EJECUCION'!$F$9:$F$1208,MATCH($AQ613,'2_IMPORTAR_EJECUCION'!$J$9:$J$1208,0)),0))</f>
        <v/>
      </c>
      <c r="AJ613" s="10">
        <f>IF($A613="","",MAX(0,IFERROR(INDEX('2_IMPORTAR_EJECUCION'!$H$9:$H$1208,MATCH($AQ613,'2_IMPORTAR_EJECUCION'!$J$9:$J$1208,0)),0)-$AI613))</f>
        <v/>
      </c>
      <c r="AK613" s="10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2">
        <f>IF($J614="","",TODAY()-$J614)</f>
        <v/>
      </c>
      <c r="AB614" s="12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IF($AE614="","",IF((IFERROR(INDEX('ASIGNACIONES'!$F$4:$F$339,MATCH($O614&amp;"|"&amp;$R614&amp;"|"&amp;$AE614,'ASIGNACIONES'!$J$4:$J$339,0)),""))=0,"",IFERROR(INDEX('ASIGNACIONES'!$F$4:$F$339,MATCH($O614&amp;"|"&amp;$R614&amp;"|"&amp;$AE614,'ASIGNACIONES'!$J$4:$J$339,0)),"")))</f>
        <v/>
      </c>
      <c r="AG614" s="13">
        <f>IF($AE614="","",SUMIFS('ORDENES'!$M$4:$M$1203,'ORDENES'!$AE$4:$AE$1203,$AE614,'ORDENES'!$O$4:$O$1203,$O614,'ORDENES'!$R$4:$R$1203,$R614))</f>
        <v/>
      </c>
      <c r="AH614" s="13">
        <f>IF($AG614="","",p_factor_productividad*IFERROR(INDEX('ASIGNACIONES'!$I$4:$I$339,MATCH($O614&amp;"|"&amp;$R614&amp;"|"&amp;$AE614,'ASIGNACIONES'!$J$4:$J$339,0)),0)-$AG614)</f>
        <v/>
      </c>
      <c r="AI614" s="10">
        <f>IF($A614="","",IFERROR(INDEX('2_IMPORTAR_EJECUCION'!$F$9:$F$1208,MATCH($AQ614,'2_IMPORTAR_EJECUCION'!$J$9:$J$1208,0)),0))</f>
        <v/>
      </c>
      <c r="AJ614" s="10">
        <f>IF($A614="","",MAX(0,IFERROR(INDEX('2_IMPORTAR_EJECUCION'!$H$9:$H$1208,MATCH($AQ614,'2_IMPORTAR_EJECUCION'!$J$9:$J$1208,0)),0)-$AI614))</f>
        <v/>
      </c>
      <c r="AK614" s="10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2">
        <f>IF($J615="","",TODAY()-$J615)</f>
        <v/>
      </c>
      <c r="AB615" s="12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IF($AE615="","",IF((IFERROR(INDEX('ASIGNACIONES'!$F$4:$F$339,MATCH($O615&amp;"|"&amp;$R615&amp;"|"&amp;$AE615,'ASIGNACIONES'!$J$4:$J$339,0)),""))=0,"",IFERROR(INDEX('ASIGNACIONES'!$F$4:$F$339,MATCH($O615&amp;"|"&amp;$R615&amp;"|"&amp;$AE615,'ASIGNACIONES'!$J$4:$J$339,0)),"")))</f>
        <v/>
      </c>
      <c r="AG615" s="13">
        <f>IF($AE615="","",SUMIFS('ORDENES'!$M$4:$M$1203,'ORDENES'!$AE$4:$AE$1203,$AE615,'ORDENES'!$O$4:$O$1203,$O615,'ORDENES'!$R$4:$R$1203,$R615))</f>
        <v/>
      </c>
      <c r="AH615" s="13">
        <f>IF($AG615="","",p_factor_productividad*IFERROR(INDEX('ASIGNACIONES'!$I$4:$I$339,MATCH($O615&amp;"|"&amp;$R615&amp;"|"&amp;$AE615,'ASIGNACIONES'!$J$4:$J$339,0)),0)-$AG615)</f>
        <v/>
      </c>
      <c r="AI615" s="10">
        <f>IF($A615="","",IFERROR(INDEX('2_IMPORTAR_EJECUCION'!$F$9:$F$1208,MATCH($AQ615,'2_IMPORTAR_EJECUCION'!$J$9:$J$1208,0)),0))</f>
        <v/>
      </c>
      <c r="AJ615" s="10">
        <f>IF($A615="","",MAX(0,IFERROR(INDEX('2_IMPORTAR_EJECUCION'!$H$9:$H$1208,MATCH($AQ615,'2_IMPORTAR_EJECUCION'!$J$9:$J$1208,0)),0)-$AI615))</f>
        <v/>
      </c>
      <c r="AK615" s="10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2">
        <f>IF($J616="","",TODAY()-$J616)</f>
        <v/>
      </c>
      <c r="AB616" s="12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IF($AE616="","",IF((IFERROR(INDEX('ASIGNACIONES'!$F$4:$F$339,MATCH($O616&amp;"|"&amp;$R616&amp;"|"&amp;$AE616,'ASIGNACIONES'!$J$4:$J$339,0)),""))=0,"",IFERROR(INDEX('ASIGNACIONES'!$F$4:$F$339,MATCH($O616&amp;"|"&amp;$R616&amp;"|"&amp;$AE616,'ASIGNACIONES'!$J$4:$J$339,0)),"")))</f>
        <v/>
      </c>
      <c r="AG616" s="13">
        <f>IF($AE616="","",SUMIFS('ORDENES'!$M$4:$M$1203,'ORDENES'!$AE$4:$AE$1203,$AE616,'ORDENES'!$O$4:$O$1203,$O616,'ORDENES'!$R$4:$R$1203,$R616))</f>
        <v/>
      </c>
      <c r="AH616" s="13">
        <f>IF($AG616="","",p_factor_productividad*IFERROR(INDEX('ASIGNACIONES'!$I$4:$I$339,MATCH($O616&amp;"|"&amp;$R616&amp;"|"&amp;$AE616,'ASIGNACIONES'!$J$4:$J$339,0)),0)-$AG616)</f>
        <v/>
      </c>
      <c r="AI616" s="10">
        <f>IF($A616="","",IFERROR(INDEX('2_IMPORTAR_EJECUCION'!$F$9:$F$1208,MATCH($AQ616,'2_IMPORTAR_EJECUCION'!$J$9:$J$1208,0)),0))</f>
        <v/>
      </c>
      <c r="AJ616" s="10">
        <f>IF($A616="","",MAX(0,IFERROR(INDEX('2_IMPORTAR_EJECUCION'!$H$9:$H$1208,MATCH($AQ616,'2_IMPORTAR_EJECUCION'!$J$9:$J$1208,0)),0)-$AI616))</f>
        <v/>
      </c>
      <c r="AK616" s="10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2">
        <f>IF($J617="","",TODAY()-$J617)</f>
        <v/>
      </c>
      <c r="AB617" s="12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IF($AE617="","",IF((IFERROR(INDEX('ASIGNACIONES'!$F$4:$F$339,MATCH($O617&amp;"|"&amp;$R617&amp;"|"&amp;$AE617,'ASIGNACIONES'!$J$4:$J$339,0)),""))=0,"",IFERROR(INDEX('ASIGNACIONES'!$F$4:$F$339,MATCH($O617&amp;"|"&amp;$R617&amp;"|"&amp;$AE617,'ASIGNACIONES'!$J$4:$J$339,0)),"")))</f>
        <v/>
      </c>
      <c r="AG617" s="13">
        <f>IF($AE617="","",SUMIFS('ORDENES'!$M$4:$M$1203,'ORDENES'!$AE$4:$AE$1203,$AE617,'ORDENES'!$O$4:$O$1203,$O617,'ORDENES'!$R$4:$R$1203,$R617))</f>
        <v/>
      </c>
      <c r="AH617" s="13">
        <f>IF($AG617="","",p_factor_productividad*IFERROR(INDEX('ASIGNACIONES'!$I$4:$I$339,MATCH($O617&amp;"|"&amp;$R617&amp;"|"&amp;$AE617,'ASIGNACIONES'!$J$4:$J$339,0)),0)-$AG617)</f>
        <v/>
      </c>
      <c r="AI617" s="10">
        <f>IF($A617="","",IFERROR(INDEX('2_IMPORTAR_EJECUCION'!$F$9:$F$1208,MATCH($AQ617,'2_IMPORTAR_EJECUCION'!$J$9:$J$1208,0)),0))</f>
        <v/>
      </c>
      <c r="AJ617" s="10">
        <f>IF($A617="","",MAX(0,IFERROR(INDEX('2_IMPORTAR_EJECUCION'!$H$9:$H$1208,MATCH($AQ617,'2_IMPORTAR_EJECUCION'!$J$9:$J$1208,0)),0)-$AI617))</f>
        <v/>
      </c>
      <c r="AK617" s="10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2">
        <f>IF($J618="","",TODAY()-$J618)</f>
        <v/>
      </c>
      <c r="AB618" s="12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IF($AE618="","",IF((IFERROR(INDEX('ASIGNACIONES'!$F$4:$F$339,MATCH($O618&amp;"|"&amp;$R618&amp;"|"&amp;$AE618,'ASIGNACIONES'!$J$4:$J$339,0)),""))=0,"",IFERROR(INDEX('ASIGNACIONES'!$F$4:$F$339,MATCH($O618&amp;"|"&amp;$R618&amp;"|"&amp;$AE618,'ASIGNACIONES'!$J$4:$J$339,0)),"")))</f>
        <v/>
      </c>
      <c r="AG618" s="13">
        <f>IF($AE618="","",SUMIFS('ORDENES'!$M$4:$M$1203,'ORDENES'!$AE$4:$AE$1203,$AE618,'ORDENES'!$O$4:$O$1203,$O618,'ORDENES'!$R$4:$R$1203,$R618))</f>
        <v/>
      </c>
      <c r="AH618" s="13">
        <f>IF($AG618="","",p_factor_productividad*IFERROR(INDEX('ASIGNACIONES'!$I$4:$I$339,MATCH($O618&amp;"|"&amp;$R618&amp;"|"&amp;$AE618,'ASIGNACIONES'!$J$4:$J$339,0)),0)-$AG618)</f>
        <v/>
      </c>
      <c r="AI618" s="10">
        <f>IF($A618="","",IFERROR(INDEX('2_IMPORTAR_EJECUCION'!$F$9:$F$1208,MATCH($AQ618,'2_IMPORTAR_EJECUCION'!$J$9:$J$1208,0)),0))</f>
        <v/>
      </c>
      <c r="AJ618" s="10">
        <f>IF($A618="","",MAX(0,IFERROR(INDEX('2_IMPORTAR_EJECUCION'!$H$9:$H$1208,MATCH($AQ618,'2_IMPORTAR_EJECUCION'!$J$9:$J$1208,0)),0)-$AI618))</f>
        <v/>
      </c>
      <c r="AK618" s="10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2">
        <f>IF($J619="","",TODAY()-$J619)</f>
        <v/>
      </c>
      <c r="AB619" s="12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IF($AE619="","",IF((IFERROR(INDEX('ASIGNACIONES'!$F$4:$F$339,MATCH($O619&amp;"|"&amp;$R619&amp;"|"&amp;$AE619,'ASIGNACIONES'!$J$4:$J$339,0)),""))=0,"",IFERROR(INDEX('ASIGNACIONES'!$F$4:$F$339,MATCH($O619&amp;"|"&amp;$R619&amp;"|"&amp;$AE619,'ASIGNACIONES'!$J$4:$J$339,0)),"")))</f>
        <v/>
      </c>
      <c r="AG619" s="13">
        <f>IF($AE619="","",SUMIFS('ORDENES'!$M$4:$M$1203,'ORDENES'!$AE$4:$AE$1203,$AE619,'ORDENES'!$O$4:$O$1203,$O619,'ORDENES'!$R$4:$R$1203,$R619))</f>
        <v/>
      </c>
      <c r="AH619" s="13">
        <f>IF($AG619="","",p_factor_productividad*IFERROR(INDEX('ASIGNACIONES'!$I$4:$I$339,MATCH($O619&amp;"|"&amp;$R619&amp;"|"&amp;$AE619,'ASIGNACIONES'!$J$4:$J$339,0)),0)-$AG619)</f>
        <v/>
      </c>
      <c r="AI619" s="10">
        <f>IF($A619="","",IFERROR(INDEX('2_IMPORTAR_EJECUCION'!$F$9:$F$1208,MATCH($AQ619,'2_IMPORTAR_EJECUCION'!$J$9:$J$1208,0)),0))</f>
        <v/>
      </c>
      <c r="AJ619" s="10">
        <f>IF($A619="","",MAX(0,IFERROR(INDEX('2_IMPORTAR_EJECUCION'!$H$9:$H$1208,MATCH($AQ619,'2_IMPORTAR_EJECUCION'!$J$9:$J$1208,0)),0)-$AI619))</f>
        <v/>
      </c>
      <c r="AK619" s="10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2">
        <f>IF($J620="","",TODAY()-$J620)</f>
        <v/>
      </c>
      <c r="AB620" s="12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IF($AE620="","",IF((IFERROR(INDEX('ASIGNACIONES'!$F$4:$F$339,MATCH($O620&amp;"|"&amp;$R620&amp;"|"&amp;$AE620,'ASIGNACIONES'!$J$4:$J$339,0)),""))=0,"",IFERROR(INDEX('ASIGNACIONES'!$F$4:$F$339,MATCH($O620&amp;"|"&amp;$R620&amp;"|"&amp;$AE620,'ASIGNACIONES'!$J$4:$J$339,0)),"")))</f>
        <v/>
      </c>
      <c r="AG620" s="13">
        <f>IF($AE620="","",SUMIFS('ORDENES'!$M$4:$M$1203,'ORDENES'!$AE$4:$AE$1203,$AE620,'ORDENES'!$O$4:$O$1203,$O620,'ORDENES'!$R$4:$R$1203,$R620))</f>
        <v/>
      </c>
      <c r="AH620" s="13">
        <f>IF($AG620="","",p_factor_productividad*IFERROR(INDEX('ASIGNACIONES'!$I$4:$I$339,MATCH($O620&amp;"|"&amp;$R620&amp;"|"&amp;$AE620,'ASIGNACIONES'!$J$4:$J$339,0)),0)-$AG620)</f>
        <v/>
      </c>
      <c r="AI620" s="10">
        <f>IF($A620="","",IFERROR(INDEX('2_IMPORTAR_EJECUCION'!$F$9:$F$1208,MATCH($AQ620,'2_IMPORTAR_EJECUCION'!$J$9:$J$1208,0)),0))</f>
        <v/>
      </c>
      <c r="AJ620" s="10">
        <f>IF($A620="","",MAX(0,IFERROR(INDEX('2_IMPORTAR_EJECUCION'!$H$9:$H$1208,MATCH($AQ620,'2_IMPORTAR_EJECUCION'!$J$9:$J$1208,0)),0)-$AI620))</f>
        <v/>
      </c>
      <c r="AK620" s="10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2">
        <f>IF($J621="","",TODAY()-$J621)</f>
        <v/>
      </c>
      <c r="AB621" s="12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IF($AE621="","",IF((IFERROR(INDEX('ASIGNACIONES'!$F$4:$F$339,MATCH($O621&amp;"|"&amp;$R621&amp;"|"&amp;$AE621,'ASIGNACIONES'!$J$4:$J$339,0)),""))=0,"",IFERROR(INDEX('ASIGNACIONES'!$F$4:$F$339,MATCH($O621&amp;"|"&amp;$R621&amp;"|"&amp;$AE621,'ASIGNACIONES'!$J$4:$J$339,0)),"")))</f>
        <v/>
      </c>
      <c r="AG621" s="13">
        <f>IF($AE621="","",SUMIFS('ORDENES'!$M$4:$M$1203,'ORDENES'!$AE$4:$AE$1203,$AE621,'ORDENES'!$O$4:$O$1203,$O621,'ORDENES'!$R$4:$R$1203,$R621))</f>
        <v/>
      </c>
      <c r="AH621" s="13">
        <f>IF($AG621="","",p_factor_productividad*IFERROR(INDEX('ASIGNACIONES'!$I$4:$I$339,MATCH($O621&amp;"|"&amp;$R621&amp;"|"&amp;$AE621,'ASIGNACIONES'!$J$4:$J$339,0)),0)-$AG621)</f>
        <v/>
      </c>
      <c r="AI621" s="10">
        <f>IF($A621="","",IFERROR(INDEX('2_IMPORTAR_EJECUCION'!$F$9:$F$1208,MATCH($AQ621,'2_IMPORTAR_EJECUCION'!$J$9:$J$1208,0)),0))</f>
        <v/>
      </c>
      <c r="AJ621" s="10">
        <f>IF($A621="","",MAX(0,IFERROR(INDEX('2_IMPORTAR_EJECUCION'!$H$9:$H$1208,MATCH($AQ621,'2_IMPORTAR_EJECUCION'!$J$9:$J$1208,0)),0)-$AI621))</f>
        <v/>
      </c>
      <c r="AK621" s="10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2">
        <f>IF($J622="","",TODAY()-$J622)</f>
        <v/>
      </c>
      <c r="AB622" s="12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IF($AE622="","",IF((IFERROR(INDEX('ASIGNACIONES'!$F$4:$F$339,MATCH($O622&amp;"|"&amp;$R622&amp;"|"&amp;$AE622,'ASIGNACIONES'!$J$4:$J$339,0)),""))=0,"",IFERROR(INDEX('ASIGNACIONES'!$F$4:$F$339,MATCH($O622&amp;"|"&amp;$R622&amp;"|"&amp;$AE622,'ASIGNACIONES'!$J$4:$J$339,0)),"")))</f>
        <v/>
      </c>
      <c r="AG622" s="13">
        <f>IF($AE622="","",SUMIFS('ORDENES'!$M$4:$M$1203,'ORDENES'!$AE$4:$AE$1203,$AE622,'ORDENES'!$O$4:$O$1203,$O622,'ORDENES'!$R$4:$R$1203,$R622))</f>
        <v/>
      </c>
      <c r="AH622" s="13">
        <f>IF($AG622="","",p_factor_productividad*IFERROR(INDEX('ASIGNACIONES'!$I$4:$I$339,MATCH($O622&amp;"|"&amp;$R622&amp;"|"&amp;$AE622,'ASIGNACIONES'!$J$4:$J$339,0)),0)-$AG622)</f>
        <v/>
      </c>
      <c r="AI622" s="10">
        <f>IF($A622="","",IFERROR(INDEX('2_IMPORTAR_EJECUCION'!$F$9:$F$1208,MATCH($AQ622,'2_IMPORTAR_EJECUCION'!$J$9:$J$1208,0)),0))</f>
        <v/>
      </c>
      <c r="AJ622" s="10">
        <f>IF($A622="","",MAX(0,IFERROR(INDEX('2_IMPORTAR_EJECUCION'!$H$9:$H$1208,MATCH($AQ622,'2_IMPORTAR_EJECUCION'!$J$9:$J$1208,0)),0)-$AI622))</f>
        <v/>
      </c>
      <c r="AK622" s="10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2">
        <f>IF($J623="","",TODAY()-$J623)</f>
        <v/>
      </c>
      <c r="AB623" s="12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IF($AE623="","",IF((IFERROR(INDEX('ASIGNACIONES'!$F$4:$F$339,MATCH($O623&amp;"|"&amp;$R623&amp;"|"&amp;$AE623,'ASIGNACIONES'!$J$4:$J$339,0)),""))=0,"",IFERROR(INDEX('ASIGNACIONES'!$F$4:$F$339,MATCH($O623&amp;"|"&amp;$R623&amp;"|"&amp;$AE623,'ASIGNACIONES'!$J$4:$J$339,0)),"")))</f>
        <v/>
      </c>
      <c r="AG623" s="13">
        <f>IF($AE623="","",SUMIFS('ORDENES'!$M$4:$M$1203,'ORDENES'!$AE$4:$AE$1203,$AE623,'ORDENES'!$O$4:$O$1203,$O623,'ORDENES'!$R$4:$R$1203,$R623))</f>
        <v/>
      </c>
      <c r="AH623" s="13">
        <f>IF($AG623="","",p_factor_productividad*IFERROR(INDEX('ASIGNACIONES'!$I$4:$I$339,MATCH($O623&amp;"|"&amp;$R623&amp;"|"&amp;$AE623,'ASIGNACIONES'!$J$4:$J$339,0)),0)-$AG623)</f>
        <v/>
      </c>
      <c r="AI623" s="10">
        <f>IF($A623="","",IFERROR(INDEX('2_IMPORTAR_EJECUCION'!$F$9:$F$1208,MATCH($AQ623,'2_IMPORTAR_EJECUCION'!$J$9:$J$1208,0)),0))</f>
        <v/>
      </c>
      <c r="AJ623" s="10">
        <f>IF($A623="","",MAX(0,IFERROR(INDEX('2_IMPORTAR_EJECUCION'!$H$9:$H$1208,MATCH($AQ623,'2_IMPORTAR_EJECUCION'!$J$9:$J$1208,0)),0)-$AI623))</f>
        <v/>
      </c>
      <c r="AK623" s="10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2">
        <f>IF($J624="","",TODAY()-$J624)</f>
        <v/>
      </c>
      <c r="AB624" s="12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IF($AE624="","",IF((IFERROR(INDEX('ASIGNACIONES'!$F$4:$F$339,MATCH($O624&amp;"|"&amp;$R624&amp;"|"&amp;$AE624,'ASIGNACIONES'!$J$4:$J$339,0)),""))=0,"",IFERROR(INDEX('ASIGNACIONES'!$F$4:$F$339,MATCH($O624&amp;"|"&amp;$R624&amp;"|"&amp;$AE624,'ASIGNACIONES'!$J$4:$J$339,0)),"")))</f>
        <v/>
      </c>
      <c r="AG624" s="13">
        <f>IF($AE624="","",SUMIFS('ORDENES'!$M$4:$M$1203,'ORDENES'!$AE$4:$AE$1203,$AE624,'ORDENES'!$O$4:$O$1203,$O624,'ORDENES'!$R$4:$R$1203,$R624))</f>
        <v/>
      </c>
      <c r="AH624" s="13">
        <f>IF($AG624="","",p_factor_productividad*IFERROR(INDEX('ASIGNACIONES'!$I$4:$I$339,MATCH($O624&amp;"|"&amp;$R624&amp;"|"&amp;$AE624,'ASIGNACIONES'!$J$4:$J$339,0)),0)-$AG624)</f>
        <v/>
      </c>
      <c r="AI624" s="10">
        <f>IF($A624="","",IFERROR(INDEX('2_IMPORTAR_EJECUCION'!$F$9:$F$1208,MATCH($AQ624,'2_IMPORTAR_EJECUCION'!$J$9:$J$1208,0)),0))</f>
        <v/>
      </c>
      <c r="AJ624" s="10">
        <f>IF($A624="","",MAX(0,IFERROR(INDEX('2_IMPORTAR_EJECUCION'!$H$9:$H$1208,MATCH($AQ624,'2_IMPORTAR_EJECUCION'!$J$9:$J$1208,0)),0)-$AI624))</f>
        <v/>
      </c>
      <c r="AK624" s="10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2">
        <f>IF($J625="","",TODAY()-$J625)</f>
        <v/>
      </c>
      <c r="AB625" s="12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IF($AE625="","",IF((IFERROR(INDEX('ASIGNACIONES'!$F$4:$F$339,MATCH($O625&amp;"|"&amp;$R625&amp;"|"&amp;$AE625,'ASIGNACIONES'!$J$4:$J$339,0)),""))=0,"",IFERROR(INDEX('ASIGNACIONES'!$F$4:$F$339,MATCH($O625&amp;"|"&amp;$R625&amp;"|"&amp;$AE625,'ASIGNACIONES'!$J$4:$J$339,0)),"")))</f>
        <v/>
      </c>
      <c r="AG625" s="13">
        <f>IF($AE625="","",SUMIFS('ORDENES'!$M$4:$M$1203,'ORDENES'!$AE$4:$AE$1203,$AE625,'ORDENES'!$O$4:$O$1203,$O625,'ORDENES'!$R$4:$R$1203,$R625))</f>
        <v/>
      </c>
      <c r="AH625" s="13">
        <f>IF($AG625="","",p_factor_productividad*IFERROR(INDEX('ASIGNACIONES'!$I$4:$I$339,MATCH($O625&amp;"|"&amp;$R625&amp;"|"&amp;$AE625,'ASIGNACIONES'!$J$4:$J$339,0)),0)-$AG625)</f>
        <v/>
      </c>
      <c r="AI625" s="10">
        <f>IF($A625="","",IFERROR(INDEX('2_IMPORTAR_EJECUCION'!$F$9:$F$1208,MATCH($AQ625,'2_IMPORTAR_EJECUCION'!$J$9:$J$1208,0)),0))</f>
        <v/>
      </c>
      <c r="AJ625" s="10">
        <f>IF($A625="","",MAX(0,IFERROR(INDEX('2_IMPORTAR_EJECUCION'!$H$9:$H$1208,MATCH($AQ625,'2_IMPORTAR_EJECUCION'!$J$9:$J$1208,0)),0)-$AI625))</f>
        <v/>
      </c>
      <c r="AK625" s="10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2">
        <f>IF($J626="","",TODAY()-$J626)</f>
        <v/>
      </c>
      <c r="AB626" s="12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IF($AE626="","",IF((IFERROR(INDEX('ASIGNACIONES'!$F$4:$F$339,MATCH($O626&amp;"|"&amp;$R626&amp;"|"&amp;$AE626,'ASIGNACIONES'!$J$4:$J$339,0)),""))=0,"",IFERROR(INDEX('ASIGNACIONES'!$F$4:$F$339,MATCH($O626&amp;"|"&amp;$R626&amp;"|"&amp;$AE626,'ASIGNACIONES'!$J$4:$J$339,0)),"")))</f>
        <v/>
      </c>
      <c r="AG626" s="13">
        <f>IF($AE626="","",SUMIFS('ORDENES'!$M$4:$M$1203,'ORDENES'!$AE$4:$AE$1203,$AE626,'ORDENES'!$O$4:$O$1203,$O626,'ORDENES'!$R$4:$R$1203,$R626))</f>
        <v/>
      </c>
      <c r="AH626" s="13">
        <f>IF($AG626="","",p_factor_productividad*IFERROR(INDEX('ASIGNACIONES'!$I$4:$I$339,MATCH($O626&amp;"|"&amp;$R626&amp;"|"&amp;$AE626,'ASIGNACIONES'!$J$4:$J$339,0)),0)-$AG626)</f>
        <v/>
      </c>
      <c r="AI626" s="10">
        <f>IF($A626="","",IFERROR(INDEX('2_IMPORTAR_EJECUCION'!$F$9:$F$1208,MATCH($AQ626,'2_IMPORTAR_EJECUCION'!$J$9:$J$1208,0)),0))</f>
        <v/>
      </c>
      <c r="AJ626" s="10">
        <f>IF($A626="","",MAX(0,IFERROR(INDEX('2_IMPORTAR_EJECUCION'!$H$9:$H$1208,MATCH($AQ626,'2_IMPORTAR_EJECUCION'!$J$9:$J$1208,0)),0)-$AI626))</f>
        <v/>
      </c>
      <c r="AK626" s="10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2">
        <f>IF($J627="","",TODAY()-$J627)</f>
        <v/>
      </c>
      <c r="AB627" s="12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IF($AE627="","",IF((IFERROR(INDEX('ASIGNACIONES'!$F$4:$F$339,MATCH($O627&amp;"|"&amp;$R627&amp;"|"&amp;$AE627,'ASIGNACIONES'!$J$4:$J$339,0)),""))=0,"",IFERROR(INDEX('ASIGNACIONES'!$F$4:$F$339,MATCH($O627&amp;"|"&amp;$R627&amp;"|"&amp;$AE627,'ASIGNACIONES'!$J$4:$J$339,0)),"")))</f>
        <v/>
      </c>
      <c r="AG627" s="13">
        <f>IF($AE627="","",SUMIFS('ORDENES'!$M$4:$M$1203,'ORDENES'!$AE$4:$AE$1203,$AE627,'ORDENES'!$O$4:$O$1203,$O627,'ORDENES'!$R$4:$R$1203,$R627))</f>
        <v/>
      </c>
      <c r="AH627" s="13">
        <f>IF($AG627="","",p_factor_productividad*IFERROR(INDEX('ASIGNACIONES'!$I$4:$I$339,MATCH($O627&amp;"|"&amp;$R627&amp;"|"&amp;$AE627,'ASIGNACIONES'!$J$4:$J$339,0)),0)-$AG627)</f>
        <v/>
      </c>
      <c r="AI627" s="10">
        <f>IF($A627="","",IFERROR(INDEX('2_IMPORTAR_EJECUCION'!$F$9:$F$1208,MATCH($AQ627,'2_IMPORTAR_EJECUCION'!$J$9:$J$1208,0)),0))</f>
        <v/>
      </c>
      <c r="AJ627" s="10">
        <f>IF($A627="","",MAX(0,IFERROR(INDEX('2_IMPORTAR_EJECUCION'!$H$9:$H$1208,MATCH($AQ627,'2_IMPORTAR_EJECUCION'!$J$9:$J$1208,0)),0)-$AI627))</f>
        <v/>
      </c>
      <c r="AK627" s="10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2">
        <f>IF($J628="","",TODAY()-$J628)</f>
        <v/>
      </c>
      <c r="AB628" s="12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IF($AE628="","",IF((IFERROR(INDEX('ASIGNACIONES'!$F$4:$F$339,MATCH($O628&amp;"|"&amp;$R628&amp;"|"&amp;$AE628,'ASIGNACIONES'!$J$4:$J$339,0)),""))=0,"",IFERROR(INDEX('ASIGNACIONES'!$F$4:$F$339,MATCH($O628&amp;"|"&amp;$R628&amp;"|"&amp;$AE628,'ASIGNACIONES'!$J$4:$J$339,0)),"")))</f>
        <v/>
      </c>
      <c r="AG628" s="13">
        <f>IF($AE628="","",SUMIFS('ORDENES'!$M$4:$M$1203,'ORDENES'!$AE$4:$AE$1203,$AE628,'ORDENES'!$O$4:$O$1203,$O628,'ORDENES'!$R$4:$R$1203,$R628))</f>
        <v/>
      </c>
      <c r="AH628" s="13">
        <f>IF($AG628="","",p_factor_productividad*IFERROR(INDEX('ASIGNACIONES'!$I$4:$I$339,MATCH($O628&amp;"|"&amp;$R628&amp;"|"&amp;$AE628,'ASIGNACIONES'!$J$4:$J$339,0)),0)-$AG628)</f>
        <v/>
      </c>
      <c r="AI628" s="10">
        <f>IF($A628="","",IFERROR(INDEX('2_IMPORTAR_EJECUCION'!$F$9:$F$1208,MATCH($AQ628,'2_IMPORTAR_EJECUCION'!$J$9:$J$1208,0)),0))</f>
        <v/>
      </c>
      <c r="AJ628" s="10">
        <f>IF($A628="","",MAX(0,IFERROR(INDEX('2_IMPORTAR_EJECUCION'!$H$9:$H$1208,MATCH($AQ628,'2_IMPORTAR_EJECUCION'!$J$9:$J$1208,0)),0)-$AI628))</f>
        <v/>
      </c>
      <c r="AK628" s="10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2">
        <f>IF($J629="","",TODAY()-$J629)</f>
        <v/>
      </c>
      <c r="AB629" s="12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IF($AE629="","",IF((IFERROR(INDEX('ASIGNACIONES'!$F$4:$F$339,MATCH($O629&amp;"|"&amp;$R629&amp;"|"&amp;$AE629,'ASIGNACIONES'!$J$4:$J$339,0)),""))=0,"",IFERROR(INDEX('ASIGNACIONES'!$F$4:$F$339,MATCH($O629&amp;"|"&amp;$R629&amp;"|"&amp;$AE629,'ASIGNACIONES'!$J$4:$J$339,0)),"")))</f>
        <v/>
      </c>
      <c r="AG629" s="13">
        <f>IF($AE629="","",SUMIFS('ORDENES'!$M$4:$M$1203,'ORDENES'!$AE$4:$AE$1203,$AE629,'ORDENES'!$O$4:$O$1203,$O629,'ORDENES'!$R$4:$R$1203,$R629))</f>
        <v/>
      </c>
      <c r="AH629" s="13">
        <f>IF($AG629="","",p_factor_productividad*IFERROR(INDEX('ASIGNACIONES'!$I$4:$I$339,MATCH($O629&amp;"|"&amp;$R629&amp;"|"&amp;$AE629,'ASIGNACIONES'!$J$4:$J$339,0)),0)-$AG629)</f>
        <v/>
      </c>
      <c r="AI629" s="10">
        <f>IF($A629="","",IFERROR(INDEX('2_IMPORTAR_EJECUCION'!$F$9:$F$1208,MATCH($AQ629,'2_IMPORTAR_EJECUCION'!$J$9:$J$1208,0)),0))</f>
        <v/>
      </c>
      <c r="AJ629" s="10">
        <f>IF($A629="","",MAX(0,IFERROR(INDEX('2_IMPORTAR_EJECUCION'!$H$9:$H$1208,MATCH($AQ629,'2_IMPORTAR_EJECUCION'!$J$9:$J$1208,0)),0)-$AI629))</f>
        <v/>
      </c>
      <c r="AK629" s="10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2">
        <f>IF($J630="","",TODAY()-$J630)</f>
        <v/>
      </c>
      <c r="AB630" s="12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IF($AE630="","",IF((IFERROR(INDEX('ASIGNACIONES'!$F$4:$F$339,MATCH($O630&amp;"|"&amp;$R630&amp;"|"&amp;$AE630,'ASIGNACIONES'!$J$4:$J$339,0)),""))=0,"",IFERROR(INDEX('ASIGNACIONES'!$F$4:$F$339,MATCH($O630&amp;"|"&amp;$R630&amp;"|"&amp;$AE630,'ASIGNACIONES'!$J$4:$J$339,0)),"")))</f>
        <v/>
      </c>
      <c r="AG630" s="13">
        <f>IF($AE630="","",SUMIFS('ORDENES'!$M$4:$M$1203,'ORDENES'!$AE$4:$AE$1203,$AE630,'ORDENES'!$O$4:$O$1203,$O630,'ORDENES'!$R$4:$R$1203,$R630))</f>
        <v/>
      </c>
      <c r="AH630" s="13">
        <f>IF($AG630="","",p_factor_productividad*IFERROR(INDEX('ASIGNACIONES'!$I$4:$I$339,MATCH($O630&amp;"|"&amp;$R630&amp;"|"&amp;$AE630,'ASIGNACIONES'!$J$4:$J$339,0)),0)-$AG630)</f>
        <v/>
      </c>
      <c r="AI630" s="10">
        <f>IF($A630="","",IFERROR(INDEX('2_IMPORTAR_EJECUCION'!$F$9:$F$1208,MATCH($AQ630,'2_IMPORTAR_EJECUCION'!$J$9:$J$1208,0)),0))</f>
        <v/>
      </c>
      <c r="AJ630" s="10">
        <f>IF($A630="","",MAX(0,IFERROR(INDEX('2_IMPORTAR_EJECUCION'!$H$9:$H$1208,MATCH($AQ630,'2_IMPORTAR_EJECUCION'!$J$9:$J$1208,0)),0)-$AI630))</f>
        <v/>
      </c>
      <c r="AK630" s="10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2">
        <f>IF($J631="","",TODAY()-$J631)</f>
        <v/>
      </c>
      <c r="AB631" s="12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IF($AE631="","",IF((IFERROR(INDEX('ASIGNACIONES'!$F$4:$F$339,MATCH($O631&amp;"|"&amp;$R631&amp;"|"&amp;$AE631,'ASIGNACIONES'!$J$4:$J$339,0)),""))=0,"",IFERROR(INDEX('ASIGNACIONES'!$F$4:$F$339,MATCH($O631&amp;"|"&amp;$R631&amp;"|"&amp;$AE631,'ASIGNACIONES'!$J$4:$J$339,0)),"")))</f>
        <v/>
      </c>
      <c r="AG631" s="13">
        <f>IF($AE631="","",SUMIFS('ORDENES'!$M$4:$M$1203,'ORDENES'!$AE$4:$AE$1203,$AE631,'ORDENES'!$O$4:$O$1203,$O631,'ORDENES'!$R$4:$R$1203,$R631))</f>
        <v/>
      </c>
      <c r="AH631" s="13">
        <f>IF($AG631="","",p_factor_productividad*IFERROR(INDEX('ASIGNACIONES'!$I$4:$I$339,MATCH($O631&amp;"|"&amp;$R631&amp;"|"&amp;$AE631,'ASIGNACIONES'!$J$4:$J$339,0)),0)-$AG631)</f>
        <v/>
      </c>
      <c r="AI631" s="10">
        <f>IF($A631="","",IFERROR(INDEX('2_IMPORTAR_EJECUCION'!$F$9:$F$1208,MATCH($AQ631,'2_IMPORTAR_EJECUCION'!$J$9:$J$1208,0)),0))</f>
        <v/>
      </c>
      <c r="AJ631" s="10">
        <f>IF($A631="","",MAX(0,IFERROR(INDEX('2_IMPORTAR_EJECUCION'!$H$9:$H$1208,MATCH($AQ631,'2_IMPORTAR_EJECUCION'!$J$9:$J$1208,0)),0)-$AI631))</f>
        <v/>
      </c>
      <c r="AK631" s="10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2">
        <f>IF($J632="","",TODAY()-$J632)</f>
        <v/>
      </c>
      <c r="AB632" s="12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IF($AE632="","",IF((IFERROR(INDEX('ASIGNACIONES'!$F$4:$F$339,MATCH($O632&amp;"|"&amp;$R632&amp;"|"&amp;$AE632,'ASIGNACIONES'!$J$4:$J$339,0)),""))=0,"",IFERROR(INDEX('ASIGNACIONES'!$F$4:$F$339,MATCH($O632&amp;"|"&amp;$R632&amp;"|"&amp;$AE632,'ASIGNACIONES'!$J$4:$J$339,0)),"")))</f>
        <v/>
      </c>
      <c r="AG632" s="13">
        <f>IF($AE632="","",SUMIFS('ORDENES'!$M$4:$M$1203,'ORDENES'!$AE$4:$AE$1203,$AE632,'ORDENES'!$O$4:$O$1203,$O632,'ORDENES'!$R$4:$R$1203,$R632))</f>
        <v/>
      </c>
      <c r="AH632" s="13">
        <f>IF($AG632="","",p_factor_productividad*IFERROR(INDEX('ASIGNACIONES'!$I$4:$I$339,MATCH($O632&amp;"|"&amp;$R632&amp;"|"&amp;$AE632,'ASIGNACIONES'!$J$4:$J$339,0)),0)-$AG632)</f>
        <v/>
      </c>
      <c r="AI632" s="10">
        <f>IF($A632="","",IFERROR(INDEX('2_IMPORTAR_EJECUCION'!$F$9:$F$1208,MATCH($AQ632,'2_IMPORTAR_EJECUCION'!$J$9:$J$1208,0)),0))</f>
        <v/>
      </c>
      <c r="AJ632" s="10">
        <f>IF($A632="","",MAX(0,IFERROR(INDEX('2_IMPORTAR_EJECUCION'!$H$9:$H$1208,MATCH($AQ632,'2_IMPORTAR_EJECUCION'!$J$9:$J$1208,0)),0)-$AI632))</f>
        <v/>
      </c>
      <c r="AK632" s="10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2">
        <f>IF($J633="","",TODAY()-$J633)</f>
        <v/>
      </c>
      <c r="AB633" s="12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IF($AE633="","",IF((IFERROR(INDEX('ASIGNACIONES'!$F$4:$F$339,MATCH($O633&amp;"|"&amp;$R633&amp;"|"&amp;$AE633,'ASIGNACIONES'!$J$4:$J$339,0)),""))=0,"",IFERROR(INDEX('ASIGNACIONES'!$F$4:$F$339,MATCH($O633&amp;"|"&amp;$R633&amp;"|"&amp;$AE633,'ASIGNACIONES'!$J$4:$J$339,0)),"")))</f>
        <v/>
      </c>
      <c r="AG633" s="13">
        <f>IF($AE633="","",SUMIFS('ORDENES'!$M$4:$M$1203,'ORDENES'!$AE$4:$AE$1203,$AE633,'ORDENES'!$O$4:$O$1203,$O633,'ORDENES'!$R$4:$R$1203,$R633))</f>
        <v/>
      </c>
      <c r="AH633" s="13">
        <f>IF($AG633="","",p_factor_productividad*IFERROR(INDEX('ASIGNACIONES'!$I$4:$I$339,MATCH($O633&amp;"|"&amp;$R633&amp;"|"&amp;$AE633,'ASIGNACIONES'!$J$4:$J$339,0)),0)-$AG633)</f>
        <v/>
      </c>
      <c r="AI633" s="10">
        <f>IF($A633="","",IFERROR(INDEX('2_IMPORTAR_EJECUCION'!$F$9:$F$1208,MATCH($AQ633,'2_IMPORTAR_EJECUCION'!$J$9:$J$1208,0)),0))</f>
        <v/>
      </c>
      <c r="AJ633" s="10">
        <f>IF($A633="","",MAX(0,IFERROR(INDEX('2_IMPORTAR_EJECUCION'!$H$9:$H$1208,MATCH($AQ633,'2_IMPORTAR_EJECUCION'!$J$9:$J$1208,0)),0)-$AI633))</f>
        <v/>
      </c>
      <c r="AK633" s="10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2">
        <f>IF($J634="","",TODAY()-$J634)</f>
        <v/>
      </c>
      <c r="AB634" s="12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IF($AE634="","",IF((IFERROR(INDEX('ASIGNACIONES'!$F$4:$F$339,MATCH($O634&amp;"|"&amp;$R634&amp;"|"&amp;$AE634,'ASIGNACIONES'!$J$4:$J$339,0)),""))=0,"",IFERROR(INDEX('ASIGNACIONES'!$F$4:$F$339,MATCH($O634&amp;"|"&amp;$R634&amp;"|"&amp;$AE634,'ASIGNACIONES'!$J$4:$J$339,0)),"")))</f>
        <v/>
      </c>
      <c r="AG634" s="13">
        <f>IF($AE634="","",SUMIFS('ORDENES'!$M$4:$M$1203,'ORDENES'!$AE$4:$AE$1203,$AE634,'ORDENES'!$O$4:$O$1203,$O634,'ORDENES'!$R$4:$R$1203,$R634))</f>
        <v/>
      </c>
      <c r="AH634" s="13">
        <f>IF($AG634="","",p_factor_productividad*IFERROR(INDEX('ASIGNACIONES'!$I$4:$I$339,MATCH($O634&amp;"|"&amp;$R634&amp;"|"&amp;$AE634,'ASIGNACIONES'!$J$4:$J$339,0)),0)-$AG634)</f>
        <v/>
      </c>
      <c r="AI634" s="10">
        <f>IF($A634="","",IFERROR(INDEX('2_IMPORTAR_EJECUCION'!$F$9:$F$1208,MATCH($AQ634,'2_IMPORTAR_EJECUCION'!$J$9:$J$1208,0)),0))</f>
        <v/>
      </c>
      <c r="AJ634" s="10">
        <f>IF($A634="","",MAX(0,IFERROR(INDEX('2_IMPORTAR_EJECUCION'!$H$9:$H$1208,MATCH($AQ634,'2_IMPORTAR_EJECUCION'!$J$9:$J$1208,0)),0)-$AI634))</f>
        <v/>
      </c>
      <c r="AK634" s="10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2">
        <f>IF($J635="","",TODAY()-$J635)</f>
        <v/>
      </c>
      <c r="AB635" s="12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IF($AE635="","",IF((IFERROR(INDEX('ASIGNACIONES'!$F$4:$F$339,MATCH($O635&amp;"|"&amp;$R635&amp;"|"&amp;$AE635,'ASIGNACIONES'!$J$4:$J$339,0)),""))=0,"",IFERROR(INDEX('ASIGNACIONES'!$F$4:$F$339,MATCH($O635&amp;"|"&amp;$R635&amp;"|"&amp;$AE635,'ASIGNACIONES'!$J$4:$J$339,0)),"")))</f>
        <v/>
      </c>
      <c r="AG635" s="13">
        <f>IF($AE635="","",SUMIFS('ORDENES'!$M$4:$M$1203,'ORDENES'!$AE$4:$AE$1203,$AE635,'ORDENES'!$O$4:$O$1203,$O635,'ORDENES'!$R$4:$R$1203,$R635))</f>
        <v/>
      </c>
      <c r="AH635" s="13">
        <f>IF($AG635="","",p_factor_productividad*IFERROR(INDEX('ASIGNACIONES'!$I$4:$I$339,MATCH($O635&amp;"|"&amp;$R635&amp;"|"&amp;$AE635,'ASIGNACIONES'!$J$4:$J$339,0)),0)-$AG635)</f>
        <v/>
      </c>
      <c r="AI635" s="10">
        <f>IF($A635="","",IFERROR(INDEX('2_IMPORTAR_EJECUCION'!$F$9:$F$1208,MATCH($AQ635,'2_IMPORTAR_EJECUCION'!$J$9:$J$1208,0)),0))</f>
        <v/>
      </c>
      <c r="AJ635" s="10">
        <f>IF($A635="","",MAX(0,IFERROR(INDEX('2_IMPORTAR_EJECUCION'!$H$9:$H$1208,MATCH($AQ635,'2_IMPORTAR_EJECUCION'!$J$9:$J$1208,0)),0)-$AI635))</f>
        <v/>
      </c>
      <c r="AK635" s="10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2">
        <f>IF($J636="","",TODAY()-$J636)</f>
        <v/>
      </c>
      <c r="AB636" s="12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IF($AE636="","",IF((IFERROR(INDEX('ASIGNACIONES'!$F$4:$F$339,MATCH($O636&amp;"|"&amp;$R636&amp;"|"&amp;$AE636,'ASIGNACIONES'!$J$4:$J$339,0)),""))=0,"",IFERROR(INDEX('ASIGNACIONES'!$F$4:$F$339,MATCH($O636&amp;"|"&amp;$R636&amp;"|"&amp;$AE636,'ASIGNACIONES'!$J$4:$J$339,0)),"")))</f>
        <v/>
      </c>
      <c r="AG636" s="13">
        <f>IF($AE636="","",SUMIFS('ORDENES'!$M$4:$M$1203,'ORDENES'!$AE$4:$AE$1203,$AE636,'ORDENES'!$O$4:$O$1203,$O636,'ORDENES'!$R$4:$R$1203,$R636))</f>
        <v/>
      </c>
      <c r="AH636" s="13">
        <f>IF($AG636="","",p_factor_productividad*IFERROR(INDEX('ASIGNACIONES'!$I$4:$I$339,MATCH($O636&amp;"|"&amp;$R636&amp;"|"&amp;$AE636,'ASIGNACIONES'!$J$4:$J$339,0)),0)-$AG636)</f>
        <v/>
      </c>
      <c r="AI636" s="10">
        <f>IF($A636="","",IFERROR(INDEX('2_IMPORTAR_EJECUCION'!$F$9:$F$1208,MATCH($AQ636,'2_IMPORTAR_EJECUCION'!$J$9:$J$1208,0)),0))</f>
        <v/>
      </c>
      <c r="AJ636" s="10">
        <f>IF($A636="","",MAX(0,IFERROR(INDEX('2_IMPORTAR_EJECUCION'!$H$9:$H$1208,MATCH($AQ636,'2_IMPORTAR_EJECUCION'!$J$9:$J$1208,0)),0)-$AI636))</f>
        <v/>
      </c>
      <c r="AK636" s="10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2">
        <f>IF($J637="","",TODAY()-$J637)</f>
        <v/>
      </c>
      <c r="AB637" s="12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IF($AE637="","",IF((IFERROR(INDEX('ASIGNACIONES'!$F$4:$F$339,MATCH($O637&amp;"|"&amp;$R637&amp;"|"&amp;$AE637,'ASIGNACIONES'!$J$4:$J$339,0)),""))=0,"",IFERROR(INDEX('ASIGNACIONES'!$F$4:$F$339,MATCH($O637&amp;"|"&amp;$R637&amp;"|"&amp;$AE637,'ASIGNACIONES'!$J$4:$J$339,0)),"")))</f>
        <v/>
      </c>
      <c r="AG637" s="13">
        <f>IF($AE637="","",SUMIFS('ORDENES'!$M$4:$M$1203,'ORDENES'!$AE$4:$AE$1203,$AE637,'ORDENES'!$O$4:$O$1203,$O637,'ORDENES'!$R$4:$R$1203,$R637))</f>
        <v/>
      </c>
      <c r="AH637" s="13">
        <f>IF($AG637="","",p_factor_productividad*IFERROR(INDEX('ASIGNACIONES'!$I$4:$I$339,MATCH($O637&amp;"|"&amp;$R637&amp;"|"&amp;$AE637,'ASIGNACIONES'!$J$4:$J$339,0)),0)-$AG637)</f>
        <v/>
      </c>
      <c r="AI637" s="10">
        <f>IF($A637="","",IFERROR(INDEX('2_IMPORTAR_EJECUCION'!$F$9:$F$1208,MATCH($AQ637,'2_IMPORTAR_EJECUCION'!$J$9:$J$1208,0)),0))</f>
        <v/>
      </c>
      <c r="AJ637" s="10">
        <f>IF($A637="","",MAX(0,IFERROR(INDEX('2_IMPORTAR_EJECUCION'!$H$9:$H$1208,MATCH($AQ637,'2_IMPORTAR_EJECUCION'!$J$9:$J$1208,0)),0)-$AI637))</f>
        <v/>
      </c>
      <c r="AK637" s="10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2">
        <f>IF($J638="","",TODAY()-$J638)</f>
        <v/>
      </c>
      <c r="AB638" s="12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IF($AE638="","",IF((IFERROR(INDEX('ASIGNACIONES'!$F$4:$F$339,MATCH($O638&amp;"|"&amp;$R638&amp;"|"&amp;$AE638,'ASIGNACIONES'!$J$4:$J$339,0)),""))=0,"",IFERROR(INDEX('ASIGNACIONES'!$F$4:$F$339,MATCH($O638&amp;"|"&amp;$R638&amp;"|"&amp;$AE638,'ASIGNACIONES'!$J$4:$J$339,0)),"")))</f>
        <v/>
      </c>
      <c r="AG638" s="13">
        <f>IF($AE638="","",SUMIFS('ORDENES'!$M$4:$M$1203,'ORDENES'!$AE$4:$AE$1203,$AE638,'ORDENES'!$O$4:$O$1203,$O638,'ORDENES'!$R$4:$R$1203,$R638))</f>
        <v/>
      </c>
      <c r="AH638" s="13">
        <f>IF($AG638="","",p_factor_productividad*IFERROR(INDEX('ASIGNACIONES'!$I$4:$I$339,MATCH($O638&amp;"|"&amp;$R638&amp;"|"&amp;$AE638,'ASIGNACIONES'!$J$4:$J$339,0)),0)-$AG638)</f>
        <v/>
      </c>
      <c r="AI638" s="10">
        <f>IF($A638="","",IFERROR(INDEX('2_IMPORTAR_EJECUCION'!$F$9:$F$1208,MATCH($AQ638,'2_IMPORTAR_EJECUCION'!$J$9:$J$1208,0)),0))</f>
        <v/>
      </c>
      <c r="AJ638" s="10">
        <f>IF($A638="","",MAX(0,IFERROR(INDEX('2_IMPORTAR_EJECUCION'!$H$9:$H$1208,MATCH($AQ638,'2_IMPORTAR_EJECUCION'!$J$9:$J$1208,0)),0)-$AI638))</f>
        <v/>
      </c>
      <c r="AK638" s="10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2">
        <f>IF($J639="","",TODAY()-$J639)</f>
        <v/>
      </c>
      <c r="AB639" s="12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IF($AE639="","",IF((IFERROR(INDEX('ASIGNACIONES'!$F$4:$F$339,MATCH($O639&amp;"|"&amp;$R639&amp;"|"&amp;$AE639,'ASIGNACIONES'!$J$4:$J$339,0)),""))=0,"",IFERROR(INDEX('ASIGNACIONES'!$F$4:$F$339,MATCH($O639&amp;"|"&amp;$R639&amp;"|"&amp;$AE639,'ASIGNACIONES'!$J$4:$J$339,0)),"")))</f>
        <v/>
      </c>
      <c r="AG639" s="13">
        <f>IF($AE639="","",SUMIFS('ORDENES'!$M$4:$M$1203,'ORDENES'!$AE$4:$AE$1203,$AE639,'ORDENES'!$O$4:$O$1203,$O639,'ORDENES'!$R$4:$R$1203,$R639))</f>
        <v/>
      </c>
      <c r="AH639" s="13">
        <f>IF($AG639="","",p_factor_productividad*IFERROR(INDEX('ASIGNACIONES'!$I$4:$I$339,MATCH($O639&amp;"|"&amp;$R639&amp;"|"&amp;$AE639,'ASIGNACIONES'!$J$4:$J$339,0)),0)-$AG639)</f>
        <v/>
      </c>
      <c r="AI639" s="10">
        <f>IF($A639="","",IFERROR(INDEX('2_IMPORTAR_EJECUCION'!$F$9:$F$1208,MATCH($AQ639,'2_IMPORTAR_EJECUCION'!$J$9:$J$1208,0)),0))</f>
        <v/>
      </c>
      <c r="AJ639" s="10">
        <f>IF($A639="","",MAX(0,IFERROR(INDEX('2_IMPORTAR_EJECUCION'!$H$9:$H$1208,MATCH($AQ639,'2_IMPORTAR_EJECUCION'!$J$9:$J$1208,0)),0)-$AI639))</f>
        <v/>
      </c>
      <c r="AK639" s="10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2">
        <f>IF($J640="","",TODAY()-$J640)</f>
        <v/>
      </c>
      <c r="AB640" s="12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IF($AE640="","",IF((IFERROR(INDEX('ASIGNACIONES'!$F$4:$F$339,MATCH($O640&amp;"|"&amp;$R640&amp;"|"&amp;$AE640,'ASIGNACIONES'!$J$4:$J$339,0)),""))=0,"",IFERROR(INDEX('ASIGNACIONES'!$F$4:$F$339,MATCH($O640&amp;"|"&amp;$R640&amp;"|"&amp;$AE640,'ASIGNACIONES'!$J$4:$J$339,0)),"")))</f>
        <v/>
      </c>
      <c r="AG640" s="13">
        <f>IF($AE640="","",SUMIFS('ORDENES'!$M$4:$M$1203,'ORDENES'!$AE$4:$AE$1203,$AE640,'ORDENES'!$O$4:$O$1203,$O640,'ORDENES'!$R$4:$R$1203,$R640))</f>
        <v/>
      </c>
      <c r="AH640" s="13">
        <f>IF($AG640="","",p_factor_productividad*IFERROR(INDEX('ASIGNACIONES'!$I$4:$I$339,MATCH($O640&amp;"|"&amp;$R640&amp;"|"&amp;$AE640,'ASIGNACIONES'!$J$4:$J$339,0)),0)-$AG640)</f>
        <v/>
      </c>
      <c r="AI640" s="10">
        <f>IF($A640="","",IFERROR(INDEX('2_IMPORTAR_EJECUCION'!$F$9:$F$1208,MATCH($AQ640,'2_IMPORTAR_EJECUCION'!$J$9:$J$1208,0)),0))</f>
        <v/>
      </c>
      <c r="AJ640" s="10">
        <f>IF($A640="","",MAX(0,IFERROR(INDEX('2_IMPORTAR_EJECUCION'!$H$9:$H$1208,MATCH($AQ640,'2_IMPORTAR_EJECUCION'!$J$9:$J$1208,0)),0)-$AI640))</f>
        <v/>
      </c>
      <c r="AK640" s="10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2">
        <f>IF($J641="","",TODAY()-$J641)</f>
        <v/>
      </c>
      <c r="AB641" s="12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IF($AE641="","",IF((IFERROR(INDEX('ASIGNACIONES'!$F$4:$F$339,MATCH($O641&amp;"|"&amp;$R641&amp;"|"&amp;$AE641,'ASIGNACIONES'!$J$4:$J$339,0)),""))=0,"",IFERROR(INDEX('ASIGNACIONES'!$F$4:$F$339,MATCH($O641&amp;"|"&amp;$R641&amp;"|"&amp;$AE641,'ASIGNACIONES'!$J$4:$J$339,0)),"")))</f>
        <v/>
      </c>
      <c r="AG641" s="13">
        <f>IF($AE641="","",SUMIFS('ORDENES'!$M$4:$M$1203,'ORDENES'!$AE$4:$AE$1203,$AE641,'ORDENES'!$O$4:$O$1203,$O641,'ORDENES'!$R$4:$R$1203,$R641))</f>
        <v/>
      </c>
      <c r="AH641" s="13">
        <f>IF($AG641="","",p_factor_productividad*IFERROR(INDEX('ASIGNACIONES'!$I$4:$I$339,MATCH($O641&amp;"|"&amp;$R641&amp;"|"&amp;$AE641,'ASIGNACIONES'!$J$4:$J$339,0)),0)-$AG641)</f>
        <v/>
      </c>
      <c r="AI641" s="10">
        <f>IF($A641="","",IFERROR(INDEX('2_IMPORTAR_EJECUCION'!$F$9:$F$1208,MATCH($AQ641,'2_IMPORTAR_EJECUCION'!$J$9:$J$1208,0)),0))</f>
        <v/>
      </c>
      <c r="AJ641" s="10">
        <f>IF($A641="","",MAX(0,IFERROR(INDEX('2_IMPORTAR_EJECUCION'!$H$9:$H$1208,MATCH($AQ641,'2_IMPORTAR_EJECUCION'!$J$9:$J$1208,0)),0)-$AI641))</f>
        <v/>
      </c>
      <c r="AK641" s="10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2">
        <f>IF($J642="","",TODAY()-$J642)</f>
        <v/>
      </c>
      <c r="AB642" s="12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IF($AE642="","",IF((IFERROR(INDEX('ASIGNACIONES'!$F$4:$F$339,MATCH($O642&amp;"|"&amp;$R642&amp;"|"&amp;$AE642,'ASIGNACIONES'!$J$4:$J$339,0)),""))=0,"",IFERROR(INDEX('ASIGNACIONES'!$F$4:$F$339,MATCH($O642&amp;"|"&amp;$R642&amp;"|"&amp;$AE642,'ASIGNACIONES'!$J$4:$J$339,0)),"")))</f>
        <v/>
      </c>
      <c r="AG642" s="13">
        <f>IF($AE642="","",SUMIFS('ORDENES'!$M$4:$M$1203,'ORDENES'!$AE$4:$AE$1203,$AE642,'ORDENES'!$O$4:$O$1203,$O642,'ORDENES'!$R$4:$R$1203,$R642))</f>
        <v/>
      </c>
      <c r="AH642" s="13">
        <f>IF($AG642="","",p_factor_productividad*IFERROR(INDEX('ASIGNACIONES'!$I$4:$I$339,MATCH($O642&amp;"|"&amp;$R642&amp;"|"&amp;$AE642,'ASIGNACIONES'!$J$4:$J$339,0)),0)-$AG642)</f>
        <v/>
      </c>
      <c r="AI642" s="10">
        <f>IF($A642="","",IFERROR(INDEX('2_IMPORTAR_EJECUCION'!$F$9:$F$1208,MATCH($AQ642,'2_IMPORTAR_EJECUCION'!$J$9:$J$1208,0)),0))</f>
        <v/>
      </c>
      <c r="AJ642" s="10">
        <f>IF($A642="","",MAX(0,IFERROR(INDEX('2_IMPORTAR_EJECUCION'!$H$9:$H$1208,MATCH($AQ642,'2_IMPORTAR_EJECUCION'!$J$9:$J$1208,0)),0)-$AI642))</f>
        <v/>
      </c>
      <c r="AK642" s="10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2">
        <f>IF($J643="","",TODAY()-$J643)</f>
        <v/>
      </c>
      <c r="AB643" s="12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IF($AE643="","",IF((IFERROR(INDEX('ASIGNACIONES'!$F$4:$F$339,MATCH($O643&amp;"|"&amp;$R643&amp;"|"&amp;$AE643,'ASIGNACIONES'!$J$4:$J$339,0)),""))=0,"",IFERROR(INDEX('ASIGNACIONES'!$F$4:$F$339,MATCH($O643&amp;"|"&amp;$R643&amp;"|"&amp;$AE643,'ASIGNACIONES'!$J$4:$J$339,0)),"")))</f>
        <v/>
      </c>
      <c r="AG643" s="13">
        <f>IF($AE643="","",SUMIFS('ORDENES'!$M$4:$M$1203,'ORDENES'!$AE$4:$AE$1203,$AE643,'ORDENES'!$O$4:$O$1203,$O643,'ORDENES'!$R$4:$R$1203,$R643))</f>
        <v/>
      </c>
      <c r="AH643" s="13">
        <f>IF($AG643="","",p_factor_productividad*IFERROR(INDEX('ASIGNACIONES'!$I$4:$I$339,MATCH($O643&amp;"|"&amp;$R643&amp;"|"&amp;$AE643,'ASIGNACIONES'!$J$4:$J$339,0)),0)-$AG643)</f>
        <v/>
      </c>
      <c r="AI643" s="10">
        <f>IF($A643="","",IFERROR(INDEX('2_IMPORTAR_EJECUCION'!$F$9:$F$1208,MATCH($AQ643,'2_IMPORTAR_EJECUCION'!$J$9:$J$1208,0)),0))</f>
        <v/>
      </c>
      <c r="AJ643" s="10">
        <f>IF($A643="","",MAX(0,IFERROR(INDEX('2_IMPORTAR_EJECUCION'!$H$9:$H$1208,MATCH($AQ643,'2_IMPORTAR_EJECUCION'!$J$9:$J$1208,0)),0)-$AI643))</f>
        <v/>
      </c>
      <c r="AK643" s="10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2">
        <f>IF($J644="","",TODAY()-$J644)</f>
        <v/>
      </c>
      <c r="AB644" s="12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IF($AE644="","",IF((IFERROR(INDEX('ASIGNACIONES'!$F$4:$F$339,MATCH($O644&amp;"|"&amp;$R644&amp;"|"&amp;$AE644,'ASIGNACIONES'!$J$4:$J$339,0)),""))=0,"",IFERROR(INDEX('ASIGNACIONES'!$F$4:$F$339,MATCH($O644&amp;"|"&amp;$R644&amp;"|"&amp;$AE644,'ASIGNACIONES'!$J$4:$J$339,0)),"")))</f>
        <v/>
      </c>
      <c r="AG644" s="13">
        <f>IF($AE644="","",SUMIFS('ORDENES'!$M$4:$M$1203,'ORDENES'!$AE$4:$AE$1203,$AE644,'ORDENES'!$O$4:$O$1203,$O644,'ORDENES'!$R$4:$R$1203,$R644))</f>
        <v/>
      </c>
      <c r="AH644" s="13">
        <f>IF($AG644="","",p_factor_productividad*IFERROR(INDEX('ASIGNACIONES'!$I$4:$I$339,MATCH($O644&amp;"|"&amp;$R644&amp;"|"&amp;$AE644,'ASIGNACIONES'!$J$4:$J$339,0)),0)-$AG644)</f>
        <v/>
      </c>
      <c r="AI644" s="10">
        <f>IF($A644="","",IFERROR(INDEX('2_IMPORTAR_EJECUCION'!$F$9:$F$1208,MATCH($AQ644,'2_IMPORTAR_EJECUCION'!$J$9:$J$1208,0)),0))</f>
        <v/>
      </c>
      <c r="AJ644" s="10">
        <f>IF($A644="","",MAX(0,IFERROR(INDEX('2_IMPORTAR_EJECUCION'!$H$9:$H$1208,MATCH($AQ644,'2_IMPORTAR_EJECUCION'!$J$9:$J$1208,0)),0)-$AI644))</f>
        <v/>
      </c>
      <c r="AK644" s="10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2">
        <f>IF($J645="","",TODAY()-$J645)</f>
        <v/>
      </c>
      <c r="AB645" s="12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IF($AE645="","",IF((IFERROR(INDEX('ASIGNACIONES'!$F$4:$F$339,MATCH($O645&amp;"|"&amp;$R645&amp;"|"&amp;$AE645,'ASIGNACIONES'!$J$4:$J$339,0)),""))=0,"",IFERROR(INDEX('ASIGNACIONES'!$F$4:$F$339,MATCH($O645&amp;"|"&amp;$R645&amp;"|"&amp;$AE645,'ASIGNACIONES'!$J$4:$J$339,0)),"")))</f>
        <v/>
      </c>
      <c r="AG645" s="13">
        <f>IF($AE645="","",SUMIFS('ORDENES'!$M$4:$M$1203,'ORDENES'!$AE$4:$AE$1203,$AE645,'ORDENES'!$O$4:$O$1203,$O645,'ORDENES'!$R$4:$R$1203,$R645))</f>
        <v/>
      </c>
      <c r="AH645" s="13">
        <f>IF($AG645="","",p_factor_productividad*IFERROR(INDEX('ASIGNACIONES'!$I$4:$I$339,MATCH($O645&amp;"|"&amp;$R645&amp;"|"&amp;$AE645,'ASIGNACIONES'!$J$4:$J$339,0)),0)-$AG645)</f>
        <v/>
      </c>
      <c r="AI645" s="10">
        <f>IF($A645="","",IFERROR(INDEX('2_IMPORTAR_EJECUCION'!$F$9:$F$1208,MATCH($AQ645,'2_IMPORTAR_EJECUCION'!$J$9:$J$1208,0)),0))</f>
        <v/>
      </c>
      <c r="AJ645" s="10">
        <f>IF($A645="","",MAX(0,IFERROR(INDEX('2_IMPORTAR_EJECUCION'!$H$9:$H$1208,MATCH($AQ645,'2_IMPORTAR_EJECUCION'!$J$9:$J$1208,0)),0)-$AI645))</f>
        <v/>
      </c>
      <c r="AK645" s="10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2">
        <f>IF($J646="","",TODAY()-$J646)</f>
        <v/>
      </c>
      <c r="AB646" s="12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IF($AE646="","",IF((IFERROR(INDEX('ASIGNACIONES'!$F$4:$F$339,MATCH($O646&amp;"|"&amp;$R646&amp;"|"&amp;$AE646,'ASIGNACIONES'!$J$4:$J$339,0)),""))=0,"",IFERROR(INDEX('ASIGNACIONES'!$F$4:$F$339,MATCH($O646&amp;"|"&amp;$R646&amp;"|"&amp;$AE646,'ASIGNACIONES'!$J$4:$J$339,0)),"")))</f>
        <v/>
      </c>
      <c r="AG646" s="13">
        <f>IF($AE646="","",SUMIFS('ORDENES'!$M$4:$M$1203,'ORDENES'!$AE$4:$AE$1203,$AE646,'ORDENES'!$O$4:$O$1203,$O646,'ORDENES'!$R$4:$R$1203,$R646))</f>
        <v/>
      </c>
      <c r="AH646" s="13">
        <f>IF($AG646="","",p_factor_productividad*IFERROR(INDEX('ASIGNACIONES'!$I$4:$I$339,MATCH($O646&amp;"|"&amp;$R646&amp;"|"&amp;$AE646,'ASIGNACIONES'!$J$4:$J$339,0)),0)-$AG646)</f>
        <v/>
      </c>
      <c r="AI646" s="10">
        <f>IF($A646="","",IFERROR(INDEX('2_IMPORTAR_EJECUCION'!$F$9:$F$1208,MATCH($AQ646,'2_IMPORTAR_EJECUCION'!$J$9:$J$1208,0)),0))</f>
        <v/>
      </c>
      <c r="AJ646" s="10">
        <f>IF($A646="","",MAX(0,IFERROR(INDEX('2_IMPORTAR_EJECUCION'!$H$9:$H$1208,MATCH($AQ646,'2_IMPORTAR_EJECUCION'!$J$9:$J$1208,0)),0)-$AI646))</f>
        <v/>
      </c>
      <c r="AK646" s="10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2">
        <f>IF($J647="","",TODAY()-$J647)</f>
        <v/>
      </c>
      <c r="AB647" s="12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IF($AE647="","",IF((IFERROR(INDEX('ASIGNACIONES'!$F$4:$F$339,MATCH($O647&amp;"|"&amp;$R647&amp;"|"&amp;$AE647,'ASIGNACIONES'!$J$4:$J$339,0)),""))=0,"",IFERROR(INDEX('ASIGNACIONES'!$F$4:$F$339,MATCH($O647&amp;"|"&amp;$R647&amp;"|"&amp;$AE647,'ASIGNACIONES'!$J$4:$J$339,0)),"")))</f>
        <v/>
      </c>
      <c r="AG647" s="13">
        <f>IF($AE647="","",SUMIFS('ORDENES'!$M$4:$M$1203,'ORDENES'!$AE$4:$AE$1203,$AE647,'ORDENES'!$O$4:$O$1203,$O647,'ORDENES'!$R$4:$R$1203,$R647))</f>
        <v/>
      </c>
      <c r="AH647" s="13">
        <f>IF($AG647="","",p_factor_productividad*IFERROR(INDEX('ASIGNACIONES'!$I$4:$I$339,MATCH($O647&amp;"|"&amp;$R647&amp;"|"&amp;$AE647,'ASIGNACIONES'!$J$4:$J$339,0)),0)-$AG647)</f>
        <v/>
      </c>
      <c r="AI647" s="10">
        <f>IF($A647="","",IFERROR(INDEX('2_IMPORTAR_EJECUCION'!$F$9:$F$1208,MATCH($AQ647,'2_IMPORTAR_EJECUCION'!$J$9:$J$1208,0)),0))</f>
        <v/>
      </c>
      <c r="AJ647" s="10">
        <f>IF($A647="","",MAX(0,IFERROR(INDEX('2_IMPORTAR_EJECUCION'!$H$9:$H$1208,MATCH($AQ647,'2_IMPORTAR_EJECUCION'!$J$9:$J$1208,0)),0)-$AI647))</f>
        <v/>
      </c>
      <c r="AK647" s="10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2">
        <f>IF($J648="","",TODAY()-$J648)</f>
        <v/>
      </c>
      <c r="AB648" s="12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IF($AE648="","",IF((IFERROR(INDEX('ASIGNACIONES'!$F$4:$F$339,MATCH($O648&amp;"|"&amp;$R648&amp;"|"&amp;$AE648,'ASIGNACIONES'!$J$4:$J$339,0)),""))=0,"",IFERROR(INDEX('ASIGNACIONES'!$F$4:$F$339,MATCH($O648&amp;"|"&amp;$R648&amp;"|"&amp;$AE648,'ASIGNACIONES'!$J$4:$J$339,0)),"")))</f>
        <v/>
      </c>
      <c r="AG648" s="13">
        <f>IF($AE648="","",SUMIFS('ORDENES'!$M$4:$M$1203,'ORDENES'!$AE$4:$AE$1203,$AE648,'ORDENES'!$O$4:$O$1203,$O648,'ORDENES'!$R$4:$R$1203,$R648))</f>
        <v/>
      </c>
      <c r="AH648" s="13">
        <f>IF($AG648="","",p_factor_productividad*IFERROR(INDEX('ASIGNACIONES'!$I$4:$I$339,MATCH($O648&amp;"|"&amp;$R648&amp;"|"&amp;$AE648,'ASIGNACIONES'!$J$4:$J$339,0)),0)-$AG648)</f>
        <v/>
      </c>
      <c r="AI648" s="10">
        <f>IF($A648="","",IFERROR(INDEX('2_IMPORTAR_EJECUCION'!$F$9:$F$1208,MATCH($AQ648,'2_IMPORTAR_EJECUCION'!$J$9:$J$1208,0)),0))</f>
        <v/>
      </c>
      <c r="AJ648" s="10">
        <f>IF($A648="","",MAX(0,IFERROR(INDEX('2_IMPORTAR_EJECUCION'!$H$9:$H$1208,MATCH($AQ648,'2_IMPORTAR_EJECUCION'!$J$9:$J$1208,0)),0)-$AI648))</f>
        <v/>
      </c>
      <c r="AK648" s="10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2">
        <f>IF($J649="","",TODAY()-$J649)</f>
        <v/>
      </c>
      <c r="AB649" s="12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IF($AE649="","",IF((IFERROR(INDEX('ASIGNACIONES'!$F$4:$F$339,MATCH($O649&amp;"|"&amp;$R649&amp;"|"&amp;$AE649,'ASIGNACIONES'!$J$4:$J$339,0)),""))=0,"",IFERROR(INDEX('ASIGNACIONES'!$F$4:$F$339,MATCH($O649&amp;"|"&amp;$R649&amp;"|"&amp;$AE649,'ASIGNACIONES'!$J$4:$J$339,0)),"")))</f>
        <v/>
      </c>
      <c r="AG649" s="13">
        <f>IF($AE649="","",SUMIFS('ORDENES'!$M$4:$M$1203,'ORDENES'!$AE$4:$AE$1203,$AE649,'ORDENES'!$O$4:$O$1203,$O649,'ORDENES'!$R$4:$R$1203,$R649))</f>
        <v/>
      </c>
      <c r="AH649" s="13">
        <f>IF($AG649="","",p_factor_productividad*IFERROR(INDEX('ASIGNACIONES'!$I$4:$I$339,MATCH($O649&amp;"|"&amp;$R649&amp;"|"&amp;$AE649,'ASIGNACIONES'!$J$4:$J$339,0)),0)-$AG649)</f>
        <v/>
      </c>
      <c r="AI649" s="10">
        <f>IF($A649="","",IFERROR(INDEX('2_IMPORTAR_EJECUCION'!$F$9:$F$1208,MATCH($AQ649,'2_IMPORTAR_EJECUCION'!$J$9:$J$1208,0)),0))</f>
        <v/>
      </c>
      <c r="AJ649" s="10">
        <f>IF($A649="","",MAX(0,IFERROR(INDEX('2_IMPORTAR_EJECUCION'!$H$9:$H$1208,MATCH($AQ649,'2_IMPORTAR_EJECUCION'!$J$9:$J$1208,0)),0)-$AI649))</f>
        <v/>
      </c>
      <c r="AK649" s="10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2">
        <f>IF($J650="","",TODAY()-$J650)</f>
        <v/>
      </c>
      <c r="AB650" s="12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IF($AE650="","",IF((IFERROR(INDEX('ASIGNACIONES'!$F$4:$F$339,MATCH($O650&amp;"|"&amp;$R650&amp;"|"&amp;$AE650,'ASIGNACIONES'!$J$4:$J$339,0)),""))=0,"",IFERROR(INDEX('ASIGNACIONES'!$F$4:$F$339,MATCH($O650&amp;"|"&amp;$R650&amp;"|"&amp;$AE650,'ASIGNACIONES'!$J$4:$J$339,0)),"")))</f>
        <v/>
      </c>
      <c r="AG650" s="13">
        <f>IF($AE650="","",SUMIFS('ORDENES'!$M$4:$M$1203,'ORDENES'!$AE$4:$AE$1203,$AE650,'ORDENES'!$O$4:$O$1203,$O650,'ORDENES'!$R$4:$R$1203,$R650))</f>
        <v/>
      </c>
      <c r="AH650" s="13">
        <f>IF($AG650="","",p_factor_productividad*IFERROR(INDEX('ASIGNACIONES'!$I$4:$I$339,MATCH($O650&amp;"|"&amp;$R650&amp;"|"&amp;$AE650,'ASIGNACIONES'!$J$4:$J$339,0)),0)-$AG650)</f>
        <v/>
      </c>
      <c r="AI650" s="10">
        <f>IF($A650="","",IFERROR(INDEX('2_IMPORTAR_EJECUCION'!$F$9:$F$1208,MATCH($AQ650,'2_IMPORTAR_EJECUCION'!$J$9:$J$1208,0)),0))</f>
        <v/>
      </c>
      <c r="AJ650" s="10">
        <f>IF($A650="","",MAX(0,IFERROR(INDEX('2_IMPORTAR_EJECUCION'!$H$9:$H$1208,MATCH($AQ650,'2_IMPORTAR_EJECUCION'!$J$9:$J$1208,0)),0)-$AI650))</f>
        <v/>
      </c>
      <c r="AK650" s="10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2">
        <f>IF($J651="","",TODAY()-$J651)</f>
        <v/>
      </c>
      <c r="AB651" s="12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IF($AE651="","",IF((IFERROR(INDEX('ASIGNACIONES'!$F$4:$F$339,MATCH($O651&amp;"|"&amp;$R651&amp;"|"&amp;$AE651,'ASIGNACIONES'!$J$4:$J$339,0)),""))=0,"",IFERROR(INDEX('ASIGNACIONES'!$F$4:$F$339,MATCH($O651&amp;"|"&amp;$R651&amp;"|"&amp;$AE651,'ASIGNACIONES'!$J$4:$J$339,0)),"")))</f>
        <v/>
      </c>
      <c r="AG651" s="13">
        <f>IF($AE651="","",SUMIFS('ORDENES'!$M$4:$M$1203,'ORDENES'!$AE$4:$AE$1203,$AE651,'ORDENES'!$O$4:$O$1203,$O651,'ORDENES'!$R$4:$R$1203,$R651))</f>
        <v/>
      </c>
      <c r="AH651" s="13">
        <f>IF($AG651="","",p_factor_productividad*IFERROR(INDEX('ASIGNACIONES'!$I$4:$I$339,MATCH($O651&amp;"|"&amp;$R651&amp;"|"&amp;$AE651,'ASIGNACIONES'!$J$4:$J$339,0)),0)-$AG651)</f>
        <v/>
      </c>
      <c r="AI651" s="10">
        <f>IF($A651="","",IFERROR(INDEX('2_IMPORTAR_EJECUCION'!$F$9:$F$1208,MATCH($AQ651,'2_IMPORTAR_EJECUCION'!$J$9:$J$1208,0)),0))</f>
        <v/>
      </c>
      <c r="AJ651" s="10">
        <f>IF($A651="","",MAX(0,IFERROR(INDEX('2_IMPORTAR_EJECUCION'!$H$9:$H$1208,MATCH($AQ651,'2_IMPORTAR_EJECUCION'!$J$9:$J$1208,0)),0)-$AI651))</f>
        <v/>
      </c>
      <c r="AK651" s="10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2">
        <f>IF($J652="","",TODAY()-$J652)</f>
        <v/>
      </c>
      <c r="AB652" s="12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IF($AE652="","",IF((IFERROR(INDEX('ASIGNACIONES'!$F$4:$F$339,MATCH($O652&amp;"|"&amp;$R652&amp;"|"&amp;$AE652,'ASIGNACIONES'!$J$4:$J$339,0)),""))=0,"",IFERROR(INDEX('ASIGNACIONES'!$F$4:$F$339,MATCH($O652&amp;"|"&amp;$R652&amp;"|"&amp;$AE652,'ASIGNACIONES'!$J$4:$J$339,0)),"")))</f>
        <v/>
      </c>
      <c r="AG652" s="13">
        <f>IF($AE652="","",SUMIFS('ORDENES'!$M$4:$M$1203,'ORDENES'!$AE$4:$AE$1203,$AE652,'ORDENES'!$O$4:$O$1203,$O652,'ORDENES'!$R$4:$R$1203,$R652))</f>
        <v/>
      </c>
      <c r="AH652" s="13">
        <f>IF($AG652="","",p_factor_productividad*IFERROR(INDEX('ASIGNACIONES'!$I$4:$I$339,MATCH($O652&amp;"|"&amp;$R652&amp;"|"&amp;$AE652,'ASIGNACIONES'!$J$4:$J$339,0)),0)-$AG652)</f>
        <v/>
      </c>
      <c r="AI652" s="10">
        <f>IF($A652="","",IFERROR(INDEX('2_IMPORTAR_EJECUCION'!$F$9:$F$1208,MATCH($AQ652,'2_IMPORTAR_EJECUCION'!$J$9:$J$1208,0)),0))</f>
        <v/>
      </c>
      <c r="AJ652" s="10">
        <f>IF($A652="","",MAX(0,IFERROR(INDEX('2_IMPORTAR_EJECUCION'!$H$9:$H$1208,MATCH($AQ652,'2_IMPORTAR_EJECUCION'!$J$9:$J$1208,0)),0)-$AI652))</f>
        <v/>
      </c>
      <c r="AK652" s="10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2">
        <f>IF($J653="","",TODAY()-$J653)</f>
        <v/>
      </c>
      <c r="AB653" s="12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IF($AE653="","",IF((IFERROR(INDEX('ASIGNACIONES'!$F$4:$F$339,MATCH($O653&amp;"|"&amp;$R653&amp;"|"&amp;$AE653,'ASIGNACIONES'!$J$4:$J$339,0)),""))=0,"",IFERROR(INDEX('ASIGNACIONES'!$F$4:$F$339,MATCH($O653&amp;"|"&amp;$R653&amp;"|"&amp;$AE653,'ASIGNACIONES'!$J$4:$J$339,0)),"")))</f>
        <v/>
      </c>
      <c r="AG653" s="13">
        <f>IF($AE653="","",SUMIFS('ORDENES'!$M$4:$M$1203,'ORDENES'!$AE$4:$AE$1203,$AE653,'ORDENES'!$O$4:$O$1203,$O653,'ORDENES'!$R$4:$R$1203,$R653))</f>
        <v/>
      </c>
      <c r="AH653" s="13">
        <f>IF($AG653="","",p_factor_productividad*IFERROR(INDEX('ASIGNACIONES'!$I$4:$I$339,MATCH($O653&amp;"|"&amp;$R653&amp;"|"&amp;$AE653,'ASIGNACIONES'!$J$4:$J$339,0)),0)-$AG653)</f>
        <v/>
      </c>
      <c r="AI653" s="10">
        <f>IF($A653="","",IFERROR(INDEX('2_IMPORTAR_EJECUCION'!$F$9:$F$1208,MATCH($AQ653,'2_IMPORTAR_EJECUCION'!$J$9:$J$1208,0)),0))</f>
        <v/>
      </c>
      <c r="AJ653" s="10">
        <f>IF($A653="","",MAX(0,IFERROR(INDEX('2_IMPORTAR_EJECUCION'!$H$9:$H$1208,MATCH($AQ653,'2_IMPORTAR_EJECUCION'!$J$9:$J$1208,0)),0)-$AI653))</f>
        <v/>
      </c>
      <c r="AK653" s="10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2">
        <f>IF($J654="","",TODAY()-$J654)</f>
        <v/>
      </c>
      <c r="AB654" s="12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IF($AE654="","",IF((IFERROR(INDEX('ASIGNACIONES'!$F$4:$F$339,MATCH($O654&amp;"|"&amp;$R654&amp;"|"&amp;$AE654,'ASIGNACIONES'!$J$4:$J$339,0)),""))=0,"",IFERROR(INDEX('ASIGNACIONES'!$F$4:$F$339,MATCH($O654&amp;"|"&amp;$R654&amp;"|"&amp;$AE654,'ASIGNACIONES'!$J$4:$J$339,0)),"")))</f>
        <v/>
      </c>
      <c r="AG654" s="13">
        <f>IF($AE654="","",SUMIFS('ORDENES'!$M$4:$M$1203,'ORDENES'!$AE$4:$AE$1203,$AE654,'ORDENES'!$O$4:$O$1203,$O654,'ORDENES'!$R$4:$R$1203,$R654))</f>
        <v/>
      </c>
      <c r="AH654" s="13">
        <f>IF($AG654="","",p_factor_productividad*IFERROR(INDEX('ASIGNACIONES'!$I$4:$I$339,MATCH($O654&amp;"|"&amp;$R654&amp;"|"&amp;$AE654,'ASIGNACIONES'!$J$4:$J$339,0)),0)-$AG654)</f>
        <v/>
      </c>
      <c r="AI654" s="10">
        <f>IF($A654="","",IFERROR(INDEX('2_IMPORTAR_EJECUCION'!$F$9:$F$1208,MATCH($AQ654,'2_IMPORTAR_EJECUCION'!$J$9:$J$1208,0)),0))</f>
        <v/>
      </c>
      <c r="AJ654" s="10">
        <f>IF($A654="","",MAX(0,IFERROR(INDEX('2_IMPORTAR_EJECUCION'!$H$9:$H$1208,MATCH($AQ654,'2_IMPORTAR_EJECUCION'!$J$9:$J$1208,0)),0)-$AI654))</f>
        <v/>
      </c>
      <c r="AK654" s="10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2">
        <f>IF($J655="","",TODAY()-$J655)</f>
        <v/>
      </c>
      <c r="AB655" s="12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IF($AE655="","",IF((IFERROR(INDEX('ASIGNACIONES'!$F$4:$F$339,MATCH($O655&amp;"|"&amp;$R655&amp;"|"&amp;$AE655,'ASIGNACIONES'!$J$4:$J$339,0)),""))=0,"",IFERROR(INDEX('ASIGNACIONES'!$F$4:$F$339,MATCH($O655&amp;"|"&amp;$R655&amp;"|"&amp;$AE655,'ASIGNACIONES'!$J$4:$J$339,0)),"")))</f>
        <v/>
      </c>
      <c r="AG655" s="13">
        <f>IF($AE655="","",SUMIFS('ORDENES'!$M$4:$M$1203,'ORDENES'!$AE$4:$AE$1203,$AE655,'ORDENES'!$O$4:$O$1203,$O655,'ORDENES'!$R$4:$R$1203,$R655))</f>
        <v/>
      </c>
      <c r="AH655" s="13">
        <f>IF($AG655="","",p_factor_productividad*IFERROR(INDEX('ASIGNACIONES'!$I$4:$I$339,MATCH($O655&amp;"|"&amp;$R655&amp;"|"&amp;$AE655,'ASIGNACIONES'!$J$4:$J$339,0)),0)-$AG655)</f>
        <v/>
      </c>
      <c r="AI655" s="10">
        <f>IF($A655="","",IFERROR(INDEX('2_IMPORTAR_EJECUCION'!$F$9:$F$1208,MATCH($AQ655,'2_IMPORTAR_EJECUCION'!$J$9:$J$1208,0)),0))</f>
        <v/>
      </c>
      <c r="AJ655" s="10">
        <f>IF($A655="","",MAX(0,IFERROR(INDEX('2_IMPORTAR_EJECUCION'!$H$9:$H$1208,MATCH($AQ655,'2_IMPORTAR_EJECUCION'!$J$9:$J$1208,0)),0)-$AI655))</f>
        <v/>
      </c>
      <c r="AK655" s="10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2">
        <f>IF($J656="","",TODAY()-$J656)</f>
        <v/>
      </c>
      <c r="AB656" s="12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IF($AE656="","",IF((IFERROR(INDEX('ASIGNACIONES'!$F$4:$F$339,MATCH($O656&amp;"|"&amp;$R656&amp;"|"&amp;$AE656,'ASIGNACIONES'!$J$4:$J$339,0)),""))=0,"",IFERROR(INDEX('ASIGNACIONES'!$F$4:$F$339,MATCH($O656&amp;"|"&amp;$R656&amp;"|"&amp;$AE656,'ASIGNACIONES'!$J$4:$J$339,0)),"")))</f>
        <v/>
      </c>
      <c r="AG656" s="13">
        <f>IF($AE656="","",SUMIFS('ORDENES'!$M$4:$M$1203,'ORDENES'!$AE$4:$AE$1203,$AE656,'ORDENES'!$O$4:$O$1203,$O656,'ORDENES'!$R$4:$R$1203,$R656))</f>
        <v/>
      </c>
      <c r="AH656" s="13">
        <f>IF($AG656="","",p_factor_productividad*IFERROR(INDEX('ASIGNACIONES'!$I$4:$I$339,MATCH($O656&amp;"|"&amp;$R656&amp;"|"&amp;$AE656,'ASIGNACIONES'!$J$4:$J$339,0)),0)-$AG656)</f>
        <v/>
      </c>
      <c r="AI656" s="10">
        <f>IF($A656="","",IFERROR(INDEX('2_IMPORTAR_EJECUCION'!$F$9:$F$1208,MATCH($AQ656,'2_IMPORTAR_EJECUCION'!$J$9:$J$1208,0)),0))</f>
        <v/>
      </c>
      <c r="AJ656" s="10">
        <f>IF($A656="","",MAX(0,IFERROR(INDEX('2_IMPORTAR_EJECUCION'!$H$9:$H$1208,MATCH($AQ656,'2_IMPORTAR_EJECUCION'!$J$9:$J$1208,0)),0)-$AI656))</f>
        <v/>
      </c>
      <c r="AK656" s="10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2">
        <f>IF($J657="","",TODAY()-$J657)</f>
        <v/>
      </c>
      <c r="AB657" s="12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IF($AE657="","",IF((IFERROR(INDEX('ASIGNACIONES'!$F$4:$F$339,MATCH($O657&amp;"|"&amp;$R657&amp;"|"&amp;$AE657,'ASIGNACIONES'!$J$4:$J$339,0)),""))=0,"",IFERROR(INDEX('ASIGNACIONES'!$F$4:$F$339,MATCH($O657&amp;"|"&amp;$R657&amp;"|"&amp;$AE657,'ASIGNACIONES'!$J$4:$J$339,0)),"")))</f>
        <v/>
      </c>
      <c r="AG657" s="13">
        <f>IF($AE657="","",SUMIFS('ORDENES'!$M$4:$M$1203,'ORDENES'!$AE$4:$AE$1203,$AE657,'ORDENES'!$O$4:$O$1203,$O657,'ORDENES'!$R$4:$R$1203,$R657))</f>
        <v/>
      </c>
      <c r="AH657" s="13">
        <f>IF($AG657="","",p_factor_productividad*IFERROR(INDEX('ASIGNACIONES'!$I$4:$I$339,MATCH($O657&amp;"|"&amp;$R657&amp;"|"&amp;$AE657,'ASIGNACIONES'!$J$4:$J$339,0)),0)-$AG657)</f>
        <v/>
      </c>
      <c r="AI657" s="10">
        <f>IF($A657="","",IFERROR(INDEX('2_IMPORTAR_EJECUCION'!$F$9:$F$1208,MATCH($AQ657,'2_IMPORTAR_EJECUCION'!$J$9:$J$1208,0)),0))</f>
        <v/>
      </c>
      <c r="AJ657" s="10">
        <f>IF($A657="","",MAX(0,IFERROR(INDEX('2_IMPORTAR_EJECUCION'!$H$9:$H$1208,MATCH($AQ657,'2_IMPORTAR_EJECUCION'!$J$9:$J$1208,0)),0)-$AI657))</f>
        <v/>
      </c>
      <c r="AK657" s="10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2">
        <f>IF($J658="","",TODAY()-$J658)</f>
        <v/>
      </c>
      <c r="AB658" s="12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IF($AE658="","",IF((IFERROR(INDEX('ASIGNACIONES'!$F$4:$F$339,MATCH($O658&amp;"|"&amp;$R658&amp;"|"&amp;$AE658,'ASIGNACIONES'!$J$4:$J$339,0)),""))=0,"",IFERROR(INDEX('ASIGNACIONES'!$F$4:$F$339,MATCH($O658&amp;"|"&amp;$R658&amp;"|"&amp;$AE658,'ASIGNACIONES'!$J$4:$J$339,0)),"")))</f>
        <v/>
      </c>
      <c r="AG658" s="13">
        <f>IF($AE658="","",SUMIFS('ORDENES'!$M$4:$M$1203,'ORDENES'!$AE$4:$AE$1203,$AE658,'ORDENES'!$O$4:$O$1203,$O658,'ORDENES'!$R$4:$R$1203,$R658))</f>
        <v/>
      </c>
      <c r="AH658" s="13">
        <f>IF($AG658="","",p_factor_productividad*IFERROR(INDEX('ASIGNACIONES'!$I$4:$I$339,MATCH($O658&amp;"|"&amp;$R658&amp;"|"&amp;$AE658,'ASIGNACIONES'!$J$4:$J$339,0)),0)-$AG658)</f>
        <v/>
      </c>
      <c r="AI658" s="10">
        <f>IF($A658="","",IFERROR(INDEX('2_IMPORTAR_EJECUCION'!$F$9:$F$1208,MATCH($AQ658,'2_IMPORTAR_EJECUCION'!$J$9:$J$1208,0)),0))</f>
        <v/>
      </c>
      <c r="AJ658" s="10">
        <f>IF($A658="","",MAX(0,IFERROR(INDEX('2_IMPORTAR_EJECUCION'!$H$9:$H$1208,MATCH($AQ658,'2_IMPORTAR_EJECUCION'!$J$9:$J$1208,0)),0)-$AI658))</f>
        <v/>
      </c>
      <c r="AK658" s="10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2">
        <f>IF($J659="","",TODAY()-$J659)</f>
        <v/>
      </c>
      <c r="AB659" s="12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IF($AE659="","",IF((IFERROR(INDEX('ASIGNACIONES'!$F$4:$F$339,MATCH($O659&amp;"|"&amp;$R659&amp;"|"&amp;$AE659,'ASIGNACIONES'!$J$4:$J$339,0)),""))=0,"",IFERROR(INDEX('ASIGNACIONES'!$F$4:$F$339,MATCH($O659&amp;"|"&amp;$R659&amp;"|"&amp;$AE659,'ASIGNACIONES'!$J$4:$J$339,0)),"")))</f>
        <v/>
      </c>
      <c r="AG659" s="13">
        <f>IF($AE659="","",SUMIFS('ORDENES'!$M$4:$M$1203,'ORDENES'!$AE$4:$AE$1203,$AE659,'ORDENES'!$O$4:$O$1203,$O659,'ORDENES'!$R$4:$R$1203,$R659))</f>
        <v/>
      </c>
      <c r="AH659" s="13">
        <f>IF($AG659="","",p_factor_productividad*IFERROR(INDEX('ASIGNACIONES'!$I$4:$I$339,MATCH($O659&amp;"|"&amp;$R659&amp;"|"&amp;$AE659,'ASIGNACIONES'!$J$4:$J$339,0)),0)-$AG659)</f>
        <v/>
      </c>
      <c r="AI659" s="10">
        <f>IF($A659="","",IFERROR(INDEX('2_IMPORTAR_EJECUCION'!$F$9:$F$1208,MATCH($AQ659,'2_IMPORTAR_EJECUCION'!$J$9:$J$1208,0)),0))</f>
        <v/>
      </c>
      <c r="AJ659" s="10">
        <f>IF($A659="","",MAX(0,IFERROR(INDEX('2_IMPORTAR_EJECUCION'!$H$9:$H$1208,MATCH($AQ659,'2_IMPORTAR_EJECUCION'!$J$9:$J$1208,0)),0)-$AI659))</f>
        <v/>
      </c>
      <c r="AK659" s="10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2">
        <f>IF($J660="","",TODAY()-$J660)</f>
        <v/>
      </c>
      <c r="AB660" s="12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IF($AE660="","",IF((IFERROR(INDEX('ASIGNACIONES'!$F$4:$F$339,MATCH($O660&amp;"|"&amp;$R660&amp;"|"&amp;$AE660,'ASIGNACIONES'!$J$4:$J$339,0)),""))=0,"",IFERROR(INDEX('ASIGNACIONES'!$F$4:$F$339,MATCH($O660&amp;"|"&amp;$R660&amp;"|"&amp;$AE660,'ASIGNACIONES'!$J$4:$J$339,0)),"")))</f>
        <v/>
      </c>
      <c r="AG660" s="13">
        <f>IF($AE660="","",SUMIFS('ORDENES'!$M$4:$M$1203,'ORDENES'!$AE$4:$AE$1203,$AE660,'ORDENES'!$O$4:$O$1203,$O660,'ORDENES'!$R$4:$R$1203,$R660))</f>
        <v/>
      </c>
      <c r="AH660" s="13">
        <f>IF($AG660="","",p_factor_productividad*IFERROR(INDEX('ASIGNACIONES'!$I$4:$I$339,MATCH($O660&amp;"|"&amp;$R660&amp;"|"&amp;$AE660,'ASIGNACIONES'!$J$4:$J$339,0)),0)-$AG660)</f>
        <v/>
      </c>
      <c r="AI660" s="10">
        <f>IF($A660="","",IFERROR(INDEX('2_IMPORTAR_EJECUCION'!$F$9:$F$1208,MATCH($AQ660,'2_IMPORTAR_EJECUCION'!$J$9:$J$1208,0)),0))</f>
        <v/>
      </c>
      <c r="AJ660" s="10">
        <f>IF($A660="","",MAX(0,IFERROR(INDEX('2_IMPORTAR_EJECUCION'!$H$9:$H$1208,MATCH($AQ660,'2_IMPORTAR_EJECUCION'!$J$9:$J$1208,0)),0)-$AI660))</f>
        <v/>
      </c>
      <c r="AK660" s="10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2">
        <f>IF($J661="","",TODAY()-$J661)</f>
        <v/>
      </c>
      <c r="AB661" s="12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IF($AE661="","",IF((IFERROR(INDEX('ASIGNACIONES'!$F$4:$F$339,MATCH($O661&amp;"|"&amp;$R661&amp;"|"&amp;$AE661,'ASIGNACIONES'!$J$4:$J$339,0)),""))=0,"",IFERROR(INDEX('ASIGNACIONES'!$F$4:$F$339,MATCH($O661&amp;"|"&amp;$R661&amp;"|"&amp;$AE661,'ASIGNACIONES'!$J$4:$J$339,0)),"")))</f>
        <v/>
      </c>
      <c r="AG661" s="13">
        <f>IF($AE661="","",SUMIFS('ORDENES'!$M$4:$M$1203,'ORDENES'!$AE$4:$AE$1203,$AE661,'ORDENES'!$O$4:$O$1203,$O661,'ORDENES'!$R$4:$R$1203,$R661))</f>
        <v/>
      </c>
      <c r="AH661" s="13">
        <f>IF($AG661="","",p_factor_productividad*IFERROR(INDEX('ASIGNACIONES'!$I$4:$I$339,MATCH($O661&amp;"|"&amp;$R661&amp;"|"&amp;$AE661,'ASIGNACIONES'!$J$4:$J$339,0)),0)-$AG661)</f>
        <v/>
      </c>
      <c r="AI661" s="10">
        <f>IF($A661="","",IFERROR(INDEX('2_IMPORTAR_EJECUCION'!$F$9:$F$1208,MATCH($AQ661,'2_IMPORTAR_EJECUCION'!$J$9:$J$1208,0)),0))</f>
        <v/>
      </c>
      <c r="AJ661" s="10">
        <f>IF($A661="","",MAX(0,IFERROR(INDEX('2_IMPORTAR_EJECUCION'!$H$9:$H$1208,MATCH($AQ661,'2_IMPORTAR_EJECUCION'!$J$9:$J$1208,0)),0)-$AI661))</f>
        <v/>
      </c>
      <c r="AK661" s="10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2">
        <f>IF($J662="","",TODAY()-$J662)</f>
        <v/>
      </c>
      <c r="AB662" s="12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IF($AE662="","",IF((IFERROR(INDEX('ASIGNACIONES'!$F$4:$F$339,MATCH($O662&amp;"|"&amp;$R662&amp;"|"&amp;$AE662,'ASIGNACIONES'!$J$4:$J$339,0)),""))=0,"",IFERROR(INDEX('ASIGNACIONES'!$F$4:$F$339,MATCH($O662&amp;"|"&amp;$R662&amp;"|"&amp;$AE662,'ASIGNACIONES'!$J$4:$J$339,0)),"")))</f>
        <v/>
      </c>
      <c r="AG662" s="13">
        <f>IF($AE662="","",SUMIFS('ORDENES'!$M$4:$M$1203,'ORDENES'!$AE$4:$AE$1203,$AE662,'ORDENES'!$O$4:$O$1203,$O662,'ORDENES'!$R$4:$R$1203,$R662))</f>
        <v/>
      </c>
      <c r="AH662" s="13">
        <f>IF($AG662="","",p_factor_productividad*IFERROR(INDEX('ASIGNACIONES'!$I$4:$I$339,MATCH($O662&amp;"|"&amp;$R662&amp;"|"&amp;$AE662,'ASIGNACIONES'!$J$4:$J$339,0)),0)-$AG662)</f>
        <v/>
      </c>
      <c r="AI662" s="10">
        <f>IF($A662="","",IFERROR(INDEX('2_IMPORTAR_EJECUCION'!$F$9:$F$1208,MATCH($AQ662,'2_IMPORTAR_EJECUCION'!$J$9:$J$1208,0)),0))</f>
        <v/>
      </c>
      <c r="AJ662" s="10">
        <f>IF($A662="","",MAX(0,IFERROR(INDEX('2_IMPORTAR_EJECUCION'!$H$9:$H$1208,MATCH($AQ662,'2_IMPORTAR_EJECUCION'!$J$9:$J$1208,0)),0)-$AI662))</f>
        <v/>
      </c>
      <c r="AK662" s="10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2">
        <f>IF($J663="","",TODAY()-$J663)</f>
        <v/>
      </c>
      <c r="AB663" s="12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IF($AE663="","",IF((IFERROR(INDEX('ASIGNACIONES'!$F$4:$F$339,MATCH($O663&amp;"|"&amp;$R663&amp;"|"&amp;$AE663,'ASIGNACIONES'!$J$4:$J$339,0)),""))=0,"",IFERROR(INDEX('ASIGNACIONES'!$F$4:$F$339,MATCH($O663&amp;"|"&amp;$R663&amp;"|"&amp;$AE663,'ASIGNACIONES'!$J$4:$J$339,0)),"")))</f>
        <v/>
      </c>
      <c r="AG663" s="13">
        <f>IF($AE663="","",SUMIFS('ORDENES'!$M$4:$M$1203,'ORDENES'!$AE$4:$AE$1203,$AE663,'ORDENES'!$O$4:$O$1203,$O663,'ORDENES'!$R$4:$R$1203,$R663))</f>
        <v/>
      </c>
      <c r="AH663" s="13">
        <f>IF($AG663="","",p_factor_productividad*IFERROR(INDEX('ASIGNACIONES'!$I$4:$I$339,MATCH($O663&amp;"|"&amp;$R663&amp;"|"&amp;$AE663,'ASIGNACIONES'!$J$4:$J$339,0)),0)-$AG663)</f>
        <v/>
      </c>
      <c r="AI663" s="10">
        <f>IF($A663="","",IFERROR(INDEX('2_IMPORTAR_EJECUCION'!$F$9:$F$1208,MATCH($AQ663,'2_IMPORTAR_EJECUCION'!$J$9:$J$1208,0)),0))</f>
        <v/>
      </c>
      <c r="AJ663" s="10">
        <f>IF($A663="","",MAX(0,IFERROR(INDEX('2_IMPORTAR_EJECUCION'!$H$9:$H$1208,MATCH($AQ663,'2_IMPORTAR_EJECUCION'!$J$9:$J$1208,0)),0)-$AI663))</f>
        <v/>
      </c>
      <c r="AK663" s="10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2">
        <f>IF($J664="","",TODAY()-$J664)</f>
        <v/>
      </c>
      <c r="AB664" s="12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IF($AE664="","",IF((IFERROR(INDEX('ASIGNACIONES'!$F$4:$F$339,MATCH($O664&amp;"|"&amp;$R664&amp;"|"&amp;$AE664,'ASIGNACIONES'!$J$4:$J$339,0)),""))=0,"",IFERROR(INDEX('ASIGNACIONES'!$F$4:$F$339,MATCH($O664&amp;"|"&amp;$R664&amp;"|"&amp;$AE664,'ASIGNACIONES'!$J$4:$J$339,0)),"")))</f>
        <v/>
      </c>
      <c r="AG664" s="13">
        <f>IF($AE664="","",SUMIFS('ORDENES'!$M$4:$M$1203,'ORDENES'!$AE$4:$AE$1203,$AE664,'ORDENES'!$O$4:$O$1203,$O664,'ORDENES'!$R$4:$R$1203,$R664))</f>
        <v/>
      </c>
      <c r="AH664" s="13">
        <f>IF($AG664="","",p_factor_productividad*IFERROR(INDEX('ASIGNACIONES'!$I$4:$I$339,MATCH($O664&amp;"|"&amp;$R664&amp;"|"&amp;$AE664,'ASIGNACIONES'!$J$4:$J$339,0)),0)-$AG664)</f>
        <v/>
      </c>
      <c r="AI664" s="10">
        <f>IF($A664="","",IFERROR(INDEX('2_IMPORTAR_EJECUCION'!$F$9:$F$1208,MATCH($AQ664,'2_IMPORTAR_EJECUCION'!$J$9:$J$1208,0)),0))</f>
        <v/>
      </c>
      <c r="AJ664" s="10">
        <f>IF($A664="","",MAX(0,IFERROR(INDEX('2_IMPORTAR_EJECUCION'!$H$9:$H$1208,MATCH($AQ664,'2_IMPORTAR_EJECUCION'!$J$9:$J$1208,0)),0)-$AI664))</f>
        <v/>
      </c>
      <c r="AK664" s="10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2">
        <f>IF($J665="","",TODAY()-$J665)</f>
        <v/>
      </c>
      <c r="AB665" s="12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IF($AE665="","",IF((IFERROR(INDEX('ASIGNACIONES'!$F$4:$F$339,MATCH($O665&amp;"|"&amp;$R665&amp;"|"&amp;$AE665,'ASIGNACIONES'!$J$4:$J$339,0)),""))=0,"",IFERROR(INDEX('ASIGNACIONES'!$F$4:$F$339,MATCH($O665&amp;"|"&amp;$R665&amp;"|"&amp;$AE665,'ASIGNACIONES'!$J$4:$J$339,0)),"")))</f>
        <v/>
      </c>
      <c r="AG665" s="13">
        <f>IF($AE665="","",SUMIFS('ORDENES'!$M$4:$M$1203,'ORDENES'!$AE$4:$AE$1203,$AE665,'ORDENES'!$O$4:$O$1203,$O665,'ORDENES'!$R$4:$R$1203,$R665))</f>
        <v/>
      </c>
      <c r="AH665" s="13">
        <f>IF($AG665="","",p_factor_productividad*IFERROR(INDEX('ASIGNACIONES'!$I$4:$I$339,MATCH($O665&amp;"|"&amp;$R665&amp;"|"&amp;$AE665,'ASIGNACIONES'!$J$4:$J$339,0)),0)-$AG665)</f>
        <v/>
      </c>
      <c r="AI665" s="10">
        <f>IF($A665="","",IFERROR(INDEX('2_IMPORTAR_EJECUCION'!$F$9:$F$1208,MATCH($AQ665,'2_IMPORTAR_EJECUCION'!$J$9:$J$1208,0)),0))</f>
        <v/>
      </c>
      <c r="AJ665" s="10">
        <f>IF($A665="","",MAX(0,IFERROR(INDEX('2_IMPORTAR_EJECUCION'!$H$9:$H$1208,MATCH($AQ665,'2_IMPORTAR_EJECUCION'!$J$9:$J$1208,0)),0)-$AI665))</f>
        <v/>
      </c>
      <c r="AK665" s="10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2">
        <f>IF($J666="","",TODAY()-$J666)</f>
        <v/>
      </c>
      <c r="AB666" s="12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IF($AE666="","",IF((IFERROR(INDEX('ASIGNACIONES'!$F$4:$F$339,MATCH($O666&amp;"|"&amp;$R666&amp;"|"&amp;$AE666,'ASIGNACIONES'!$J$4:$J$339,0)),""))=0,"",IFERROR(INDEX('ASIGNACIONES'!$F$4:$F$339,MATCH($O666&amp;"|"&amp;$R666&amp;"|"&amp;$AE666,'ASIGNACIONES'!$J$4:$J$339,0)),"")))</f>
        <v/>
      </c>
      <c r="AG666" s="13">
        <f>IF($AE666="","",SUMIFS('ORDENES'!$M$4:$M$1203,'ORDENES'!$AE$4:$AE$1203,$AE666,'ORDENES'!$O$4:$O$1203,$O666,'ORDENES'!$R$4:$R$1203,$R666))</f>
        <v/>
      </c>
      <c r="AH666" s="13">
        <f>IF($AG666="","",p_factor_productividad*IFERROR(INDEX('ASIGNACIONES'!$I$4:$I$339,MATCH($O666&amp;"|"&amp;$R666&amp;"|"&amp;$AE666,'ASIGNACIONES'!$J$4:$J$339,0)),0)-$AG666)</f>
        <v/>
      </c>
      <c r="AI666" s="10">
        <f>IF($A666="","",IFERROR(INDEX('2_IMPORTAR_EJECUCION'!$F$9:$F$1208,MATCH($AQ666,'2_IMPORTAR_EJECUCION'!$J$9:$J$1208,0)),0))</f>
        <v/>
      </c>
      <c r="AJ666" s="10">
        <f>IF($A666="","",MAX(0,IFERROR(INDEX('2_IMPORTAR_EJECUCION'!$H$9:$H$1208,MATCH($AQ666,'2_IMPORTAR_EJECUCION'!$J$9:$J$1208,0)),0)-$AI666))</f>
        <v/>
      </c>
      <c r="AK666" s="10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2">
        <f>IF($J667="","",TODAY()-$J667)</f>
        <v/>
      </c>
      <c r="AB667" s="12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IF($AE667="","",IF((IFERROR(INDEX('ASIGNACIONES'!$F$4:$F$339,MATCH($O667&amp;"|"&amp;$R667&amp;"|"&amp;$AE667,'ASIGNACIONES'!$J$4:$J$339,0)),""))=0,"",IFERROR(INDEX('ASIGNACIONES'!$F$4:$F$339,MATCH($O667&amp;"|"&amp;$R667&amp;"|"&amp;$AE667,'ASIGNACIONES'!$J$4:$J$339,0)),"")))</f>
        <v/>
      </c>
      <c r="AG667" s="13">
        <f>IF($AE667="","",SUMIFS('ORDENES'!$M$4:$M$1203,'ORDENES'!$AE$4:$AE$1203,$AE667,'ORDENES'!$O$4:$O$1203,$O667,'ORDENES'!$R$4:$R$1203,$R667))</f>
        <v/>
      </c>
      <c r="AH667" s="13">
        <f>IF($AG667="","",p_factor_productividad*IFERROR(INDEX('ASIGNACIONES'!$I$4:$I$339,MATCH($O667&amp;"|"&amp;$R667&amp;"|"&amp;$AE667,'ASIGNACIONES'!$J$4:$J$339,0)),0)-$AG667)</f>
        <v/>
      </c>
      <c r="AI667" s="10">
        <f>IF($A667="","",IFERROR(INDEX('2_IMPORTAR_EJECUCION'!$F$9:$F$1208,MATCH($AQ667,'2_IMPORTAR_EJECUCION'!$J$9:$J$1208,0)),0))</f>
        <v/>
      </c>
      <c r="AJ667" s="10">
        <f>IF($A667="","",MAX(0,IFERROR(INDEX('2_IMPORTAR_EJECUCION'!$H$9:$H$1208,MATCH($AQ667,'2_IMPORTAR_EJECUCION'!$J$9:$J$1208,0)),0)-$AI667))</f>
        <v/>
      </c>
      <c r="AK667" s="10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2">
        <f>IF($J668="","",TODAY()-$J668)</f>
        <v/>
      </c>
      <c r="AB668" s="12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IF($AE668="","",IF((IFERROR(INDEX('ASIGNACIONES'!$F$4:$F$339,MATCH($O668&amp;"|"&amp;$R668&amp;"|"&amp;$AE668,'ASIGNACIONES'!$J$4:$J$339,0)),""))=0,"",IFERROR(INDEX('ASIGNACIONES'!$F$4:$F$339,MATCH($O668&amp;"|"&amp;$R668&amp;"|"&amp;$AE668,'ASIGNACIONES'!$J$4:$J$339,0)),"")))</f>
        <v/>
      </c>
      <c r="AG668" s="13">
        <f>IF($AE668="","",SUMIFS('ORDENES'!$M$4:$M$1203,'ORDENES'!$AE$4:$AE$1203,$AE668,'ORDENES'!$O$4:$O$1203,$O668,'ORDENES'!$R$4:$R$1203,$R668))</f>
        <v/>
      </c>
      <c r="AH668" s="13">
        <f>IF($AG668="","",p_factor_productividad*IFERROR(INDEX('ASIGNACIONES'!$I$4:$I$339,MATCH($O668&amp;"|"&amp;$R668&amp;"|"&amp;$AE668,'ASIGNACIONES'!$J$4:$J$339,0)),0)-$AG668)</f>
        <v/>
      </c>
      <c r="AI668" s="10">
        <f>IF($A668="","",IFERROR(INDEX('2_IMPORTAR_EJECUCION'!$F$9:$F$1208,MATCH($AQ668,'2_IMPORTAR_EJECUCION'!$J$9:$J$1208,0)),0))</f>
        <v/>
      </c>
      <c r="AJ668" s="10">
        <f>IF($A668="","",MAX(0,IFERROR(INDEX('2_IMPORTAR_EJECUCION'!$H$9:$H$1208,MATCH($AQ668,'2_IMPORTAR_EJECUCION'!$J$9:$J$1208,0)),0)-$AI668))</f>
        <v/>
      </c>
      <c r="AK668" s="10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2">
        <f>IF($J669="","",TODAY()-$J669)</f>
        <v/>
      </c>
      <c r="AB669" s="12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IF($AE669="","",IF((IFERROR(INDEX('ASIGNACIONES'!$F$4:$F$339,MATCH($O669&amp;"|"&amp;$R669&amp;"|"&amp;$AE669,'ASIGNACIONES'!$J$4:$J$339,0)),""))=0,"",IFERROR(INDEX('ASIGNACIONES'!$F$4:$F$339,MATCH($O669&amp;"|"&amp;$R669&amp;"|"&amp;$AE669,'ASIGNACIONES'!$J$4:$J$339,0)),"")))</f>
        <v/>
      </c>
      <c r="AG669" s="13">
        <f>IF($AE669="","",SUMIFS('ORDENES'!$M$4:$M$1203,'ORDENES'!$AE$4:$AE$1203,$AE669,'ORDENES'!$O$4:$O$1203,$O669,'ORDENES'!$R$4:$R$1203,$R669))</f>
        <v/>
      </c>
      <c r="AH669" s="13">
        <f>IF($AG669="","",p_factor_productividad*IFERROR(INDEX('ASIGNACIONES'!$I$4:$I$339,MATCH($O669&amp;"|"&amp;$R669&amp;"|"&amp;$AE669,'ASIGNACIONES'!$J$4:$J$339,0)),0)-$AG669)</f>
        <v/>
      </c>
      <c r="AI669" s="10">
        <f>IF($A669="","",IFERROR(INDEX('2_IMPORTAR_EJECUCION'!$F$9:$F$1208,MATCH($AQ669,'2_IMPORTAR_EJECUCION'!$J$9:$J$1208,0)),0))</f>
        <v/>
      </c>
      <c r="AJ669" s="10">
        <f>IF($A669="","",MAX(0,IFERROR(INDEX('2_IMPORTAR_EJECUCION'!$H$9:$H$1208,MATCH($AQ669,'2_IMPORTAR_EJECUCION'!$J$9:$J$1208,0)),0)-$AI669))</f>
        <v/>
      </c>
      <c r="AK669" s="10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2">
        <f>IF($J670="","",TODAY()-$J670)</f>
        <v/>
      </c>
      <c r="AB670" s="12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IF($AE670="","",IF((IFERROR(INDEX('ASIGNACIONES'!$F$4:$F$339,MATCH($O670&amp;"|"&amp;$R670&amp;"|"&amp;$AE670,'ASIGNACIONES'!$J$4:$J$339,0)),""))=0,"",IFERROR(INDEX('ASIGNACIONES'!$F$4:$F$339,MATCH($O670&amp;"|"&amp;$R670&amp;"|"&amp;$AE670,'ASIGNACIONES'!$J$4:$J$339,0)),"")))</f>
        <v/>
      </c>
      <c r="AG670" s="13">
        <f>IF($AE670="","",SUMIFS('ORDENES'!$M$4:$M$1203,'ORDENES'!$AE$4:$AE$1203,$AE670,'ORDENES'!$O$4:$O$1203,$O670,'ORDENES'!$R$4:$R$1203,$R670))</f>
        <v/>
      </c>
      <c r="AH670" s="13">
        <f>IF($AG670="","",p_factor_productividad*IFERROR(INDEX('ASIGNACIONES'!$I$4:$I$339,MATCH($O670&amp;"|"&amp;$R670&amp;"|"&amp;$AE670,'ASIGNACIONES'!$J$4:$J$339,0)),0)-$AG670)</f>
        <v/>
      </c>
      <c r="AI670" s="10">
        <f>IF($A670="","",IFERROR(INDEX('2_IMPORTAR_EJECUCION'!$F$9:$F$1208,MATCH($AQ670,'2_IMPORTAR_EJECUCION'!$J$9:$J$1208,0)),0))</f>
        <v/>
      </c>
      <c r="AJ670" s="10">
        <f>IF($A670="","",MAX(0,IFERROR(INDEX('2_IMPORTAR_EJECUCION'!$H$9:$H$1208,MATCH($AQ670,'2_IMPORTAR_EJECUCION'!$J$9:$J$1208,0)),0)-$AI670))</f>
        <v/>
      </c>
      <c r="AK670" s="10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2">
        <f>IF($J671="","",TODAY()-$J671)</f>
        <v/>
      </c>
      <c r="AB671" s="12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IF($AE671="","",IF((IFERROR(INDEX('ASIGNACIONES'!$F$4:$F$339,MATCH($O671&amp;"|"&amp;$R671&amp;"|"&amp;$AE671,'ASIGNACIONES'!$J$4:$J$339,0)),""))=0,"",IFERROR(INDEX('ASIGNACIONES'!$F$4:$F$339,MATCH($O671&amp;"|"&amp;$R671&amp;"|"&amp;$AE671,'ASIGNACIONES'!$J$4:$J$339,0)),"")))</f>
        <v/>
      </c>
      <c r="AG671" s="13">
        <f>IF($AE671="","",SUMIFS('ORDENES'!$M$4:$M$1203,'ORDENES'!$AE$4:$AE$1203,$AE671,'ORDENES'!$O$4:$O$1203,$O671,'ORDENES'!$R$4:$R$1203,$R671))</f>
        <v/>
      </c>
      <c r="AH671" s="13">
        <f>IF($AG671="","",p_factor_productividad*IFERROR(INDEX('ASIGNACIONES'!$I$4:$I$339,MATCH($O671&amp;"|"&amp;$R671&amp;"|"&amp;$AE671,'ASIGNACIONES'!$J$4:$J$339,0)),0)-$AG671)</f>
        <v/>
      </c>
      <c r="AI671" s="10">
        <f>IF($A671="","",IFERROR(INDEX('2_IMPORTAR_EJECUCION'!$F$9:$F$1208,MATCH($AQ671,'2_IMPORTAR_EJECUCION'!$J$9:$J$1208,0)),0))</f>
        <v/>
      </c>
      <c r="AJ671" s="10">
        <f>IF($A671="","",MAX(0,IFERROR(INDEX('2_IMPORTAR_EJECUCION'!$H$9:$H$1208,MATCH($AQ671,'2_IMPORTAR_EJECUCION'!$J$9:$J$1208,0)),0)-$AI671))</f>
        <v/>
      </c>
      <c r="AK671" s="10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2">
        <f>IF($J672="","",TODAY()-$J672)</f>
        <v/>
      </c>
      <c r="AB672" s="12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IF($AE672="","",IF((IFERROR(INDEX('ASIGNACIONES'!$F$4:$F$339,MATCH($O672&amp;"|"&amp;$R672&amp;"|"&amp;$AE672,'ASIGNACIONES'!$J$4:$J$339,0)),""))=0,"",IFERROR(INDEX('ASIGNACIONES'!$F$4:$F$339,MATCH($O672&amp;"|"&amp;$R672&amp;"|"&amp;$AE672,'ASIGNACIONES'!$J$4:$J$339,0)),"")))</f>
        <v/>
      </c>
      <c r="AG672" s="13">
        <f>IF($AE672="","",SUMIFS('ORDENES'!$M$4:$M$1203,'ORDENES'!$AE$4:$AE$1203,$AE672,'ORDENES'!$O$4:$O$1203,$O672,'ORDENES'!$R$4:$R$1203,$R672))</f>
        <v/>
      </c>
      <c r="AH672" s="13">
        <f>IF($AG672="","",p_factor_productividad*IFERROR(INDEX('ASIGNACIONES'!$I$4:$I$339,MATCH($O672&amp;"|"&amp;$R672&amp;"|"&amp;$AE672,'ASIGNACIONES'!$J$4:$J$339,0)),0)-$AG672)</f>
        <v/>
      </c>
      <c r="AI672" s="10">
        <f>IF($A672="","",IFERROR(INDEX('2_IMPORTAR_EJECUCION'!$F$9:$F$1208,MATCH($AQ672,'2_IMPORTAR_EJECUCION'!$J$9:$J$1208,0)),0))</f>
        <v/>
      </c>
      <c r="AJ672" s="10">
        <f>IF($A672="","",MAX(0,IFERROR(INDEX('2_IMPORTAR_EJECUCION'!$H$9:$H$1208,MATCH($AQ672,'2_IMPORTAR_EJECUCION'!$J$9:$J$1208,0)),0)-$AI672))</f>
        <v/>
      </c>
      <c r="AK672" s="10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2">
        <f>IF($J673="","",TODAY()-$J673)</f>
        <v/>
      </c>
      <c r="AB673" s="12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IF($AE673="","",IF((IFERROR(INDEX('ASIGNACIONES'!$F$4:$F$339,MATCH($O673&amp;"|"&amp;$R673&amp;"|"&amp;$AE673,'ASIGNACIONES'!$J$4:$J$339,0)),""))=0,"",IFERROR(INDEX('ASIGNACIONES'!$F$4:$F$339,MATCH($O673&amp;"|"&amp;$R673&amp;"|"&amp;$AE673,'ASIGNACIONES'!$J$4:$J$339,0)),"")))</f>
        <v/>
      </c>
      <c r="AG673" s="13">
        <f>IF($AE673="","",SUMIFS('ORDENES'!$M$4:$M$1203,'ORDENES'!$AE$4:$AE$1203,$AE673,'ORDENES'!$O$4:$O$1203,$O673,'ORDENES'!$R$4:$R$1203,$R673))</f>
        <v/>
      </c>
      <c r="AH673" s="13">
        <f>IF($AG673="","",p_factor_productividad*IFERROR(INDEX('ASIGNACIONES'!$I$4:$I$339,MATCH($O673&amp;"|"&amp;$R673&amp;"|"&amp;$AE673,'ASIGNACIONES'!$J$4:$J$339,0)),0)-$AG673)</f>
        <v/>
      </c>
      <c r="AI673" s="10">
        <f>IF($A673="","",IFERROR(INDEX('2_IMPORTAR_EJECUCION'!$F$9:$F$1208,MATCH($AQ673,'2_IMPORTAR_EJECUCION'!$J$9:$J$1208,0)),0))</f>
        <v/>
      </c>
      <c r="AJ673" s="10">
        <f>IF($A673="","",MAX(0,IFERROR(INDEX('2_IMPORTAR_EJECUCION'!$H$9:$H$1208,MATCH($AQ673,'2_IMPORTAR_EJECUCION'!$J$9:$J$1208,0)),0)-$AI673))</f>
        <v/>
      </c>
      <c r="AK673" s="10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2">
        <f>IF($J674="","",TODAY()-$J674)</f>
        <v/>
      </c>
      <c r="AB674" s="12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IF($AE674="","",IF((IFERROR(INDEX('ASIGNACIONES'!$F$4:$F$339,MATCH($O674&amp;"|"&amp;$R674&amp;"|"&amp;$AE674,'ASIGNACIONES'!$J$4:$J$339,0)),""))=0,"",IFERROR(INDEX('ASIGNACIONES'!$F$4:$F$339,MATCH($O674&amp;"|"&amp;$R674&amp;"|"&amp;$AE674,'ASIGNACIONES'!$J$4:$J$339,0)),"")))</f>
        <v/>
      </c>
      <c r="AG674" s="13">
        <f>IF($AE674="","",SUMIFS('ORDENES'!$M$4:$M$1203,'ORDENES'!$AE$4:$AE$1203,$AE674,'ORDENES'!$O$4:$O$1203,$O674,'ORDENES'!$R$4:$R$1203,$R674))</f>
        <v/>
      </c>
      <c r="AH674" s="13">
        <f>IF($AG674="","",p_factor_productividad*IFERROR(INDEX('ASIGNACIONES'!$I$4:$I$339,MATCH($O674&amp;"|"&amp;$R674&amp;"|"&amp;$AE674,'ASIGNACIONES'!$J$4:$J$339,0)),0)-$AG674)</f>
        <v/>
      </c>
      <c r="AI674" s="10">
        <f>IF($A674="","",IFERROR(INDEX('2_IMPORTAR_EJECUCION'!$F$9:$F$1208,MATCH($AQ674,'2_IMPORTAR_EJECUCION'!$J$9:$J$1208,0)),0))</f>
        <v/>
      </c>
      <c r="AJ674" s="10">
        <f>IF($A674="","",MAX(0,IFERROR(INDEX('2_IMPORTAR_EJECUCION'!$H$9:$H$1208,MATCH($AQ674,'2_IMPORTAR_EJECUCION'!$J$9:$J$1208,0)),0)-$AI674))</f>
        <v/>
      </c>
      <c r="AK674" s="10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2">
        <f>IF($J675="","",TODAY()-$J675)</f>
        <v/>
      </c>
      <c r="AB675" s="12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IF($AE675="","",IF((IFERROR(INDEX('ASIGNACIONES'!$F$4:$F$339,MATCH($O675&amp;"|"&amp;$R675&amp;"|"&amp;$AE675,'ASIGNACIONES'!$J$4:$J$339,0)),""))=0,"",IFERROR(INDEX('ASIGNACIONES'!$F$4:$F$339,MATCH($O675&amp;"|"&amp;$R675&amp;"|"&amp;$AE675,'ASIGNACIONES'!$J$4:$J$339,0)),"")))</f>
        <v/>
      </c>
      <c r="AG675" s="13">
        <f>IF($AE675="","",SUMIFS('ORDENES'!$M$4:$M$1203,'ORDENES'!$AE$4:$AE$1203,$AE675,'ORDENES'!$O$4:$O$1203,$O675,'ORDENES'!$R$4:$R$1203,$R675))</f>
        <v/>
      </c>
      <c r="AH675" s="13">
        <f>IF($AG675="","",p_factor_productividad*IFERROR(INDEX('ASIGNACIONES'!$I$4:$I$339,MATCH($O675&amp;"|"&amp;$R675&amp;"|"&amp;$AE675,'ASIGNACIONES'!$J$4:$J$339,0)),0)-$AG675)</f>
        <v/>
      </c>
      <c r="AI675" s="10">
        <f>IF($A675="","",IFERROR(INDEX('2_IMPORTAR_EJECUCION'!$F$9:$F$1208,MATCH($AQ675,'2_IMPORTAR_EJECUCION'!$J$9:$J$1208,0)),0))</f>
        <v/>
      </c>
      <c r="AJ675" s="10">
        <f>IF($A675="","",MAX(0,IFERROR(INDEX('2_IMPORTAR_EJECUCION'!$H$9:$H$1208,MATCH($AQ675,'2_IMPORTAR_EJECUCION'!$J$9:$J$1208,0)),0)-$AI675))</f>
        <v/>
      </c>
      <c r="AK675" s="10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2">
        <f>IF($J676="","",TODAY()-$J676)</f>
        <v/>
      </c>
      <c r="AB676" s="12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IF($AE676="","",IF((IFERROR(INDEX('ASIGNACIONES'!$F$4:$F$339,MATCH($O676&amp;"|"&amp;$R676&amp;"|"&amp;$AE676,'ASIGNACIONES'!$J$4:$J$339,0)),""))=0,"",IFERROR(INDEX('ASIGNACIONES'!$F$4:$F$339,MATCH($O676&amp;"|"&amp;$R676&amp;"|"&amp;$AE676,'ASIGNACIONES'!$J$4:$J$339,0)),"")))</f>
        <v/>
      </c>
      <c r="AG676" s="13">
        <f>IF($AE676="","",SUMIFS('ORDENES'!$M$4:$M$1203,'ORDENES'!$AE$4:$AE$1203,$AE676,'ORDENES'!$O$4:$O$1203,$O676,'ORDENES'!$R$4:$R$1203,$R676))</f>
        <v/>
      </c>
      <c r="AH676" s="13">
        <f>IF($AG676="","",p_factor_productividad*IFERROR(INDEX('ASIGNACIONES'!$I$4:$I$339,MATCH($O676&amp;"|"&amp;$R676&amp;"|"&amp;$AE676,'ASIGNACIONES'!$J$4:$J$339,0)),0)-$AG676)</f>
        <v/>
      </c>
      <c r="AI676" s="10">
        <f>IF($A676="","",IFERROR(INDEX('2_IMPORTAR_EJECUCION'!$F$9:$F$1208,MATCH($AQ676,'2_IMPORTAR_EJECUCION'!$J$9:$J$1208,0)),0))</f>
        <v/>
      </c>
      <c r="AJ676" s="10">
        <f>IF($A676="","",MAX(0,IFERROR(INDEX('2_IMPORTAR_EJECUCION'!$H$9:$H$1208,MATCH($AQ676,'2_IMPORTAR_EJECUCION'!$J$9:$J$1208,0)),0)-$AI676))</f>
        <v/>
      </c>
      <c r="AK676" s="10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2">
        <f>IF($J677="","",TODAY()-$J677)</f>
        <v/>
      </c>
      <c r="AB677" s="12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IF($AE677="","",IF((IFERROR(INDEX('ASIGNACIONES'!$F$4:$F$339,MATCH($O677&amp;"|"&amp;$R677&amp;"|"&amp;$AE677,'ASIGNACIONES'!$J$4:$J$339,0)),""))=0,"",IFERROR(INDEX('ASIGNACIONES'!$F$4:$F$339,MATCH($O677&amp;"|"&amp;$R677&amp;"|"&amp;$AE677,'ASIGNACIONES'!$J$4:$J$339,0)),"")))</f>
        <v/>
      </c>
      <c r="AG677" s="13">
        <f>IF($AE677="","",SUMIFS('ORDENES'!$M$4:$M$1203,'ORDENES'!$AE$4:$AE$1203,$AE677,'ORDENES'!$O$4:$O$1203,$O677,'ORDENES'!$R$4:$R$1203,$R677))</f>
        <v/>
      </c>
      <c r="AH677" s="13">
        <f>IF($AG677="","",p_factor_productividad*IFERROR(INDEX('ASIGNACIONES'!$I$4:$I$339,MATCH($O677&amp;"|"&amp;$R677&amp;"|"&amp;$AE677,'ASIGNACIONES'!$J$4:$J$339,0)),0)-$AG677)</f>
        <v/>
      </c>
      <c r="AI677" s="10">
        <f>IF($A677="","",IFERROR(INDEX('2_IMPORTAR_EJECUCION'!$F$9:$F$1208,MATCH($AQ677,'2_IMPORTAR_EJECUCION'!$J$9:$J$1208,0)),0))</f>
        <v/>
      </c>
      <c r="AJ677" s="10">
        <f>IF($A677="","",MAX(0,IFERROR(INDEX('2_IMPORTAR_EJECUCION'!$H$9:$H$1208,MATCH($AQ677,'2_IMPORTAR_EJECUCION'!$J$9:$J$1208,0)),0)-$AI677))</f>
        <v/>
      </c>
      <c r="AK677" s="10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2">
        <f>IF($J678="","",TODAY()-$J678)</f>
        <v/>
      </c>
      <c r="AB678" s="12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IF($AE678="","",IF((IFERROR(INDEX('ASIGNACIONES'!$F$4:$F$339,MATCH($O678&amp;"|"&amp;$R678&amp;"|"&amp;$AE678,'ASIGNACIONES'!$J$4:$J$339,0)),""))=0,"",IFERROR(INDEX('ASIGNACIONES'!$F$4:$F$339,MATCH($O678&amp;"|"&amp;$R678&amp;"|"&amp;$AE678,'ASIGNACIONES'!$J$4:$J$339,0)),"")))</f>
        <v/>
      </c>
      <c r="AG678" s="13">
        <f>IF($AE678="","",SUMIFS('ORDENES'!$M$4:$M$1203,'ORDENES'!$AE$4:$AE$1203,$AE678,'ORDENES'!$O$4:$O$1203,$O678,'ORDENES'!$R$4:$R$1203,$R678))</f>
        <v/>
      </c>
      <c r="AH678" s="13">
        <f>IF($AG678="","",p_factor_productividad*IFERROR(INDEX('ASIGNACIONES'!$I$4:$I$339,MATCH($O678&amp;"|"&amp;$R678&amp;"|"&amp;$AE678,'ASIGNACIONES'!$J$4:$J$339,0)),0)-$AG678)</f>
        <v/>
      </c>
      <c r="AI678" s="10">
        <f>IF($A678="","",IFERROR(INDEX('2_IMPORTAR_EJECUCION'!$F$9:$F$1208,MATCH($AQ678,'2_IMPORTAR_EJECUCION'!$J$9:$J$1208,0)),0))</f>
        <v/>
      </c>
      <c r="AJ678" s="10">
        <f>IF($A678="","",MAX(0,IFERROR(INDEX('2_IMPORTAR_EJECUCION'!$H$9:$H$1208,MATCH($AQ678,'2_IMPORTAR_EJECUCION'!$J$9:$J$1208,0)),0)-$AI678))</f>
        <v/>
      </c>
      <c r="AK678" s="10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2">
        <f>IF($J679="","",TODAY()-$J679)</f>
        <v/>
      </c>
      <c r="AB679" s="12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IF($AE679="","",IF((IFERROR(INDEX('ASIGNACIONES'!$F$4:$F$339,MATCH($O679&amp;"|"&amp;$R679&amp;"|"&amp;$AE679,'ASIGNACIONES'!$J$4:$J$339,0)),""))=0,"",IFERROR(INDEX('ASIGNACIONES'!$F$4:$F$339,MATCH($O679&amp;"|"&amp;$R679&amp;"|"&amp;$AE679,'ASIGNACIONES'!$J$4:$J$339,0)),"")))</f>
        <v/>
      </c>
      <c r="AG679" s="13">
        <f>IF($AE679="","",SUMIFS('ORDENES'!$M$4:$M$1203,'ORDENES'!$AE$4:$AE$1203,$AE679,'ORDENES'!$O$4:$O$1203,$O679,'ORDENES'!$R$4:$R$1203,$R679))</f>
        <v/>
      </c>
      <c r="AH679" s="13">
        <f>IF($AG679="","",p_factor_productividad*IFERROR(INDEX('ASIGNACIONES'!$I$4:$I$339,MATCH($O679&amp;"|"&amp;$R679&amp;"|"&amp;$AE679,'ASIGNACIONES'!$J$4:$J$339,0)),0)-$AG679)</f>
        <v/>
      </c>
      <c r="AI679" s="10">
        <f>IF($A679="","",IFERROR(INDEX('2_IMPORTAR_EJECUCION'!$F$9:$F$1208,MATCH($AQ679,'2_IMPORTAR_EJECUCION'!$J$9:$J$1208,0)),0))</f>
        <v/>
      </c>
      <c r="AJ679" s="10">
        <f>IF($A679="","",MAX(0,IFERROR(INDEX('2_IMPORTAR_EJECUCION'!$H$9:$H$1208,MATCH($AQ679,'2_IMPORTAR_EJECUCION'!$J$9:$J$1208,0)),0)-$AI679))</f>
        <v/>
      </c>
      <c r="AK679" s="10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2">
        <f>IF($J680="","",TODAY()-$J680)</f>
        <v/>
      </c>
      <c r="AB680" s="12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IF($AE680="","",IF((IFERROR(INDEX('ASIGNACIONES'!$F$4:$F$339,MATCH($O680&amp;"|"&amp;$R680&amp;"|"&amp;$AE680,'ASIGNACIONES'!$J$4:$J$339,0)),""))=0,"",IFERROR(INDEX('ASIGNACIONES'!$F$4:$F$339,MATCH($O680&amp;"|"&amp;$R680&amp;"|"&amp;$AE680,'ASIGNACIONES'!$J$4:$J$339,0)),"")))</f>
        <v/>
      </c>
      <c r="AG680" s="13">
        <f>IF($AE680="","",SUMIFS('ORDENES'!$M$4:$M$1203,'ORDENES'!$AE$4:$AE$1203,$AE680,'ORDENES'!$O$4:$O$1203,$O680,'ORDENES'!$R$4:$R$1203,$R680))</f>
        <v/>
      </c>
      <c r="AH680" s="13">
        <f>IF($AG680="","",p_factor_productividad*IFERROR(INDEX('ASIGNACIONES'!$I$4:$I$339,MATCH($O680&amp;"|"&amp;$R680&amp;"|"&amp;$AE680,'ASIGNACIONES'!$J$4:$J$339,0)),0)-$AG680)</f>
        <v/>
      </c>
      <c r="AI680" s="10">
        <f>IF($A680="","",IFERROR(INDEX('2_IMPORTAR_EJECUCION'!$F$9:$F$1208,MATCH($AQ680,'2_IMPORTAR_EJECUCION'!$J$9:$J$1208,0)),0))</f>
        <v/>
      </c>
      <c r="AJ680" s="10">
        <f>IF($A680="","",MAX(0,IFERROR(INDEX('2_IMPORTAR_EJECUCION'!$H$9:$H$1208,MATCH($AQ680,'2_IMPORTAR_EJECUCION'!$J$9:$J$1208,0)),0)-$AI680))</f>
        <v/>
      </c>
      <c r="AK680" s="10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2">
        <f>IF($J681="","",TODAY()-$J681)</f>
        <v/>
      </c>
      <c r="AB681" s="12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IF($AE681="","",IF((IFERROR(INDEX('ASIGNACIONES'!$F$4:$F$339,MATCH($O681&amp;"|"&amp;$R681&amp;"|"&amp;$AE681,'ASIGNACIONES'!$J$4:$J$339,0)),""))=0,"",IFERROR(INDEX('ASIGNACIONES'!$F$4:$F$339,MATCH($O681&amp;"|"&amp;$R681&amp;"|"&amp;$AE681,'ASIGNACIONES'!$J$4:$J$339,0)),"")))</f>
        <v/>
      </c>
      <c r="AG681" s="13">
        <f>IF($AE681="","",SUMIFS('ORDENES'!$M$4:$M$1203,'ORDENES'!$AE$4:$AE$1203,$AE681,'ORDENES'!$O$4:$O$1203,$O681,'ORDENES'!$R$4:$R$1203,$R681))</f>
        <v/>
      </c>
      <c r="AH681" s="13">
        <f>IF($AG681="","",p_factor_productividad*IFERROR(INDEX('ASIGNACIONES'!$I$4:$I$339,MATCH($O681&amp;"|"&amp;$R681&amp;"|"&amp;$AE681,'ASIGNACIONES'!$J$4:$J$339,0)),0)-$AG681)</f>
        <v/>
      </c>
      <c r="AI681" s="10">
        <f>IF($A681="","",IFERROR(INDEX('2_IMPORTAR_EJECUCION'!$F$9:$F$1208,MATCH($AQ681,'2_IMPORTAR_EJECUCION'!$J$9:$J$1208,0)),0))</f>
        <v/>
      </c>
      <c r="AJ681" s="10">
        <f>IF($A681="","",MAX(0,IFERROR(INDEX('2_IMPORTAR_EJECUCION'!$H$9:$H$1208,MATCH($AQ681,'2_IMPORTAR_EJECUCION'!$J$9:$J$1208,0)),0)-$AI681))</f>
        <v/>
      </c>
      <c r="AK681" s="10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2">
        <f>IF($J682="","",TODAY()-$J682)</f>
        <v/>
      </c>
      <c r="AB682" s="12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IF($AE682="","",IF((IFERROR(INDEX('ASIGNACIONES'!$F$4:$F$339,MATCH($O682&amp;"|"&amp;$R682&amp;"|"&amp;$AE682,'ASIGNACIONES'!$J$4:$J$339,0)),""))=0,"",IFERROR(INDEX('ASIGNACIONES'!$F$4:$F$339,MATCH($O682&amp;"|"&amp;$R682&amp;"|"&amp;$AE682,'ASIGNACIONES'!$J$4:$J$339,0)),"")))</f>
        <v/>
      </c>
      <c r="AG682" s="13">
        <f>IF($AE682="","",SUMIFS('ORDENES'!$M$4:$M$1203,'ORDENES'!$AE$4:$AE$1203,$AE682,'ORDENES'!$O$4:$O$1203,$O682,'ORDENES'!$R$4:$R$1203,$R682))</f>
        <v/>
      </c>
      <c r="AH682" s="13">
        <f>IF($AG682="","",p_factor_productividad*IFERROR(INDEX('ASIGNACIONES'!$I$4:$I$339,MATCH($O682&amp;"|"&amp;$R682&amp;"|"&amp;$AE682,'ASIGNACIONES'!$J$4:$J$339,0)),0)-$AG682)</f>
        <v/>
      </c>
      <c r="AI682" s="10">
        <f>IF($A682="","",IFERROR(INDEX('2_IMPORTAR_EJECUCION'!$F$9:$F$1208,MATCH($AQ682,'2_IMPORTAR_EJECUCION'!$J$9:$J$1208,0)),0))</f>
        <v/>
      </c>
      <c r="AJ682" s="10">
        <f>IF($A682="","",MAX(0,IFERROR(INDEX('2_IMPORTAR_EJECUCION'!$H$9:$H$1208,MATCH($AQ682,'2_IMPORTAR_EJECUCION'!$J$9:$J$1208,0)),0)-$AI682))</f>
        <v/>
      </c>
      <c r="AK682" s="10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2">
        <f>IF($J683="","",TODAY()-$J683)</f>
        <v/>
      </c>
      <c r="AB683" s="12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IF($AE683="","",IF((IFERROR(INDEX('ASIGNACIONES'!$F$4:$F$339,MATCH($O683&amp;"|"&amp;$R683&amp;"|"&amp;$AE683,'ASIGNACIONES'!$J$4:$J$339,0)),""))=0,"",IFERROR(INDEX('ASIGNACIONES'!$F$4:$F$339,MATCH($O683&amp;"|"&amp;$R683&amp;"|"&amp;$AE683,'ASIGNACIONES'!$J$4:$J$339,0)),"")))</f>
        <v/>
      </c>
      <c r="AG683" s="13">
        <f>IF($AE683="","",SUMIFS('ORDENES'!$M$4:$M$1203,'ORDENES'!$AE$4:$AE$1203,$AE683,'ORDENES'!$O$4:$O$1203,$O683,'ORDENES'!$R$4:$R$1203,$R683))</f>
        <v/>
      </c>
      <c r="AH683" s="13">
        <f>IF($AG683="","",p_factor_productividad*IFERROR(INDEX('ASIGNACIONES'!$I$4:$I$339,MATCH($O683&amp;"|"&amp;$R683&amp;"|"&amp;$AE683,'ASIGNACIONES'!$J$4:$J$339,0)),0)-$AG683)</f>
        <v/>
      </c>
      <c r="AI683" s="10">
        <f>IF($A683="","",IFERROR(INDEX('2_IMPORTAR_EJECUCION'!$F$9:$F$1208,MATCH($AQ683,'2_IMPORTAR_EJECUCION'!$J$9:$J$1208,0)),0))</f>
        <v/>
      </c>
      <c r="AJ683" s="10">
        <f>IF($A683="","",MAX(0,IFERROR(INDEX('2_IMPORTAR_EJECUCION'!$H$9:$H$1208,MATCH($AQ683,'2_IMPORTAR_EJECUCION'!$J$9:$J$1208,0)),0)-$AI683))</f>
        <v/>
      </c>
      <c r="AK683" s="10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2">
        <f>IF($J684="","",TODAY()-$J684)</f>
        <v/>
      </c>
      <c r="AB684" s="12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IF($AE684="","",IF((IFERROR(INDEX('ASIGNACIONES'!$F$4:$F$339,MATCH($O684&amp;"|"&amp;$R684&amp;"|"&amp;$AE684,'ASIGNACIONES'!$J$4:$J$339,0)),""))=0,"",IFERROR(INDEX('ASIGNACIONES'!$F$4:$F$339,MATCH($O684&amp;"|"&amp;$R684&amp;"|"&amp;$AE684,'ASIGNACIONES'!$J$4:$J$339,0)),"")))</f>
        <v/>
      </c>
      <c r="AG684" s="13">
        <f>IF($AE684="","",SUMIFS('ORDENES'!$M$4:$M$1203,'ORDENES'!$AE$4:$AE$1203,$AE684,'ORDENES'!$O$4:$O$1203,$O684,'ORDENES'!$R$4:$R$1203,$R684))</f>
        <v/>
      </c>
      <c r="AH684" s="13">
        <f>IF($AG684="","",p_factor_productividad*IFERROR(INDEX('ASIGNACIONES'!$I$4:$I$339,MATCH($O684&amp;"|"&amp;$R684&amp;"|"&amp;$AE684,'ASIGNACIONES'!$J$4:$J$339,0)),0)-$AG684)</f>
        <v/>
      </c>
      <c r="AI684" s="10">
        <f>IF($A684="","",IFERROR(INDEX('2_IMPORTAR_EJECUCION'!$F$9:$F$1208,MATCH($AQ684,'2_IMPORTAR_EJECUCION'!$J$9:$J$1208,0)),0))</f>
        <v/>
      </c>
      <c r="AJ684" s="10">
        <f>IF($A684="","",MAX(0,IFERROR(INDEX('2_IMPORTAR_EJECUCION'!$H$9:$H$1208,MATCH($AQ684,'2_IMPORTAR_EJECUCION'!$J$9:$J$1208,0)),0)-$AI684))</f>
        <v/>
      </c>
      <c r="AK684" s="10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2">
        <f>IF($J685="","",TODAY()-$J685)</f>
        <v/>
      </c>
      <c r="AB685" s="12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IF($AE685="","",IF((IFERROR(INDEX('ASIGNACIONES'!$F$4:$F$339,MATCH($O685&amp;"|"&amp;$R685&amp;"|"&amp;$AE685,'ASIGNACIONES'!$J$4:$J$339,0)),""))=0,"",IFERROR(INDEX('ASIGNACIONES'!$F$4:$F$339,MATCH($O685&amp;"|"&amp;$R685&amp;"|"&amp;$AE685,'ASIGNACIONES'!$J$4:$J$339,0)),"")))</f>
        <v/>
      </c>
      <c r="AG685" s="13">
        <f>IF($AE685="","",SUMIFS('ORDENES'!$M$4:$M$1203,'ORDENES'!$AE$4:$AE$1203,$AE685,'ORDENES'!$O$4:$O$1203,$O685,'ORDENES'!$R$4:$R$1203,$R685))</f>
        <v/>
      </c>
      <c r="AH685" s="13">
        <f>IF($AG685="","",p_factor_productividad*IFERROR(INDEX('ASIGNACIONES'!$I$4:$I$339,MATCH($O685&amp;"|"&amp;$R685&amp;"|"&amp;$AE685,'ASIGNACIONES'!$J$4:$J$339,0)),0)-$AG685)</f>
        <v/>
      </c>
      <c r="AI685" s="10">
        <f>IF($A685="","",IFERROR(INDEX('2_IMPORTAR_EJECUCION'!$F$9:$F$1208,MATCH($AQ685,'2_IMPORTAR_EJECUCION'!$J$9:$J$1208,0)),0))</f>
        <v/>
      </c>
      <c r="AJ685" s="10">
        <f>IF($A685="","",MAX(0,IFERROR(INDEX('2_IMPORTAR_EJECUCION'!$H$9:$H$1208,MATCH($AQ685,'2_IMPORTAR_EJECUCION'!$J$9:$J$1208,0)),0)-$AI685))</f>
        <v/>
      </c>
      <c r="AK685" s="10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2">
        <f>IF($J686="","",TODAY()-$J686)</f>
        <v/>
      </c>
      <c r="AB686" s="12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IF($AE686="","",IF((IFERROR(INDEX('ASIGNACIONES'!$F$4:$F$339,MATCH($O686&amp;"|"&amp;$R686&amp;"|"&amp;$AE686,'ASIGNACIONES'!$J$4:$J$339,0)),""))=0,"",IFERROR(INDEX('ASIGNACIONES'!$F$4:$F$339,MATCH($O686&amp;"|"&amp;$R686&amp;"|"&amp;$AE686,'ASIGNACIONES'!$J$4:$J$339,0)),"")))</f>
        <v/>
      </c>
      <c r="AG686" s="13">
        <f>IF($AE686="","",SUMIFS('ORDENES'!$M$4:$M$1203,'ORDENES'!$AE$4:$AE$1203,$AE686,'ORDENES'!$O$4:$O$1203,$O686,'ORDENES'!$R$4:$R$1203,$R686))</f>
        <v/>
      </c>
      <c r="AH686" s="13">
        <f>IF($AG686="","",p_factor_productividad*IFERROR(INDEX('ASIGNACIONES'!$I$4:$I$339,MATCH($O686&amp;"|"&amp;$R686&amp;"|"&amp;$AE686,'ASIGNACIONES'!$J$4:$J$339,0)),0)-$AG686)</f>
        <v/>
      </c>
      <c r="AI686" s="10">
        <f>IF($A686="","",IFERROR(INDEX('2_IMPORTAR_EJECUCION'!$F$9:$F$1208,MATCH($AQ686,'2_IMPORTAR_EJECUCION'!$J$9:$J$1208,0)),0))</f>
        <v/>
      </c>
      <c r="AJ686" s="10">
        <f>IF($A686="","",MAX(0,IFERROR(INDEX('2_IMPORTAR_EJECUCION'!$H$9:$H$1208,MATCH($AQ686,'2_IMPORTAR_EJECUCION'!$J$9:$J$1208,0)),0)-$AI686))</f>
        <v/>
      </c>
      <c r="AK686" s="10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2">
        <f>IF($J687="","",TODAY()-$J687)</f>
        <v/>
      </c>
      <c r="AB687" s="12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IF($AE687="","",IF((IFERROR(INDEX('ASIGNACIONES'!$F$4:$F$339,MATCH($O687&amp;"|"&amp;$R687&amp;"|"&amp;$AE687,'ASIGNACIONES'!$J$4:$J$339,0)),""))=0,"",IFERROR(INDEX('ASIGNACIONES'!$F$4:$F$339,MATCH($O687&amp;"|"&amp;$R687&amp;"|"&amp;$AE687,'ASIGNACIONES'!$J$4:$J$339,0)),"")))</f>
        <v/>
      </c>
      <c r="AG687" s="13">
        <f>IF($AE687="","",SUMIFS('ORDENES'!$M$4:$M$1203,'ORDENES'!$AE$4:$AE$1203,$AE687,'ORDENES'!$O$4:$O$1203,$O687,'ORDENES'!$R$4:$R$1203,$R687))</f>
        <v/>
      </c>
      <c r="AH687" s="13">
        <f>IF($AG687="","",p_factor_productividad*IFERROR(INDEX('ASIGNACIONES'!$I$4:$I$339,MATCH($O687&amp;"|"&amp;$R687&amp;"|"&amp;$AE687,'ASIGNACIONES'!$J$4:$J$339,0)),0)-$AG687)</f>
        <v/>
      </c>
      <c r="AI687" s="10">
        <f>IF($A687="","",IFERROR(INDEX('2_IMPORTAR_EJECUCION'!$F$9:$F$1208,MATCH($AQ687,'2_IMPORTAR_EJECUCION'!$J$9:$J$1208,0)),0))</f>
        <v/>
      </c>
      <c r="AJ687" s="10">
        <f>IF($A687="","",MAX(0,IFERROR(INDEX('2_IMPORTAR_EJECUCION'!$H$9:$H$1208,MATCH($AQ687,'2_IMPORTAR_EJECUCION'!$J$9:$J$1208,0)),0)-$AI687))</f>
        <v/>
      </c>
      <c r="AK687" s="10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2">
        <f>IF($J688="","",TODAY()-$J688)</f>
        <v/>
      </c>
      <c r="AB688" s="12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IF($AE688="","",IF((IFERROR(INDEX('ASIGNACIONES'!$F$4:$F$339,MATCH($O688&amp;"|"&amp;$R688&amp;"|"&amp;$AE688,'ASIGNACIONES'!$J$4:$J$339,0)),""))=0,"",IFERROR(INDEX('ASIGNACIONES'!$F$4:$F$339,MATCH($O688&amp;"|"&amp;$R688&amp;"|"&amp;$AE688,'ASIGNACIONES'!$J$4:$J$339,0)),"")))</f>
        <v/>
      </c>
      <c r="AG688" s="13">
        <f>IF($AE688="","",SUMIFS('ORDENES'!$M$4:$M$1203,'ORDENES'!$AE$4:$AE$1203,$AE688,'ORDENES'!$O$4:$O$1203,$O688,'ORDENES'!$R$4:$R$1203,$R688))</f>
        <v/>
      </c>
      <c r="AH688" s="13">
        <f>IF($AG688="","",p_factor_productividad*IFERROR(INDEX('ASIGNACIONES'!$I$4:$I$339,MATCH($O688&amp;"|"&amp;$R688&amp;"|"&amp;$AE688,'ASIGNACIONES'!$J$4:$J$339,0)),0)-$AG688)</f>
        <v/>
      </c>
      <c r="AI688" s="10">
        <f>IF($A688="","",IFERROR(INDEX('2_IMPORTAR_EJECUCION'!$F$9:$F$1208,MATCH($AQ688,'2_IMPORTAR_EJECUCION'!$J$9:$J$1208,0)),0))</f>
        <v/>
      </c>
      <c r="AJ688" s="10">
        <f>IF($A688="","",MAX(0,IFERROR(INDEX('2_IMPORTAR_EJECUCION'!$H$9:$H$1208,MATCH($AQ688,'2_IMPORTAR_EJECUCION'!$J$9:$J$1208,0)),0)-$AI688))</f>
        <v/>
      </c>
      <c r="AK688" s="10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2">
        <f>IF($J689="","",TODAY()-$J689)</f>
        <v/>
      </c>
      <c r="AB689" s="12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IF($AE689="","",IF((IFERROR(INDEX('ASIGNACIONES'!$F$4:$F$339,MATCH($O689&amp;"|"&amp;$R689&amp;"|"&amp;$AE689,'ASIGNACIONES'!$J$4:$J$339,0)),""))=0,"",IFERROR(INDEX('ASIGNACIONES'!$F$4:$F$339,MATCH($O689&amp;"|"&amp;$R689&amp;"|"&amp;$AE689,'ASIGNACIONES'!$J$4:$J$339,0)),"")))</f>
        <v/>
      </c>
      <c r="AG689" s="13">
        <f>IF($AE689="","",SUMIFS('ORDENES'!$M$4:$M$1203,'ORDENES'!$AE$4:$AE$1203,$AE689,'ORDENES'!$O$4:$O$1203,$O689,'ORDENES'!$R$4:$R$1203,$R689))</f>
        <v/>
      </c>
      <c r="AH689" s="13">
        <f>IF($AG689="","",p_factor_productividad*IFERROR(INDEX('ASIGNACIONES'!$I$4:$I$339,MATCH($O689&amp;"|"&amp;$R689&amp;"|"&amp;$AE689,'ASIGNACIONES'!$J$4:$J$339,0)),0)-$AG689)</f>
        <v/>
      </c>
      <c r="AI689" s="10">
        <f>IF($A689="","",IFERROR(INDEX('2_IMPORTAR_EJECUCION'!$F$9:$F$1208,MATCH($AQ689,'2_IMPORTAR_EJECUCION'!$J$9:$J$1208,0)),0))</f>
        <v/>
      </c>
      <c r="AJ689" s="10">
        <f>IF($A689="","",MAX(0,IFERROR(INDEX('2_IMPORTAR_EJECUCION'!$H$9:$H$1208,MATCH($AQ689,'2_IMPORTAR_EJECUCION'!$J$9:$J$1208,0)),0)-$AI689))</f>
        <v/>
      </c>
      <c r="AK689" s="10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2">
        <f>IF($J690="","",TODAY()-$J690)</f>
        <v/>
      </c>
      <c r="AB690" s="12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IF($AE690="","",IF((IFERROR(INDEX('ASIGNACIONES'!$F$4:$F$339,MATCH($O690&amp;"|"&amp;$R690&amp;"|"&amp;$AE690,'ASIGNACIONES'!$J$4:$J$339,0)),""))=0,"",IFERROR(INDEX('ASIGNACIONES'!$F$4:$F$339,MATCH($O690&amp;"|"&amp;$R690&amp;"|"&amp;$AE690,'ASIGNACIONES'!$J$4:$J$339,0)),"")))</f>
        <v/>
      </c>
      <c r="AG690" s="13">
        <f>IF($AE690="","",SUMIFS('ORDENES'!$M$4:$M$1203,'ORDENES'!$AE$4:$AE$1203,$AE690,'ORDENES'!$O$4:$O$1203,$O690,'ORDENES'!$R$4:$R$1203,$R690))</f>
        <v/>
      </c>
      <c r="AH690" s="13">
        <f>IF($AG690="","",p_factor_productividad*IFERROR(INDEX('ASIGNACIONES'!$I$4:$I$339,MATCH($O690&amp;"|"&amp;$R690&amp;"|"&amp;$AE690,'ASIGNACIONES'!$J$4:$J$339,0)),0)-$AG690)</f>
        <v/>
      </c>
      <c r="AI690" s="10">
        <f>IF($A690="","",IFERROR(INDEX('2_IMPORTAR_EJECUCION'!$F$9:$F$1208,MATCH($AQ690,'2_IMPORTAR_EJECUCION'!$J$9:$J$1208,0)),0))</f>
        <v/>
      </c>
      <c r="AJ690" s="10">
        <f>IF($A690="","",MAX(0,IFERROR(INDEX('2_IMPORTAR_EJECUCION'!$H$9:$H$1208,MATCH($AQ690,'2_IMPORTAR_EJECUCION'!$J$9:$J$1208,0)),0)-$AI690))</f>
        <v/>
      </c>
      <c r="AK690" s="10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2">
        <f>IF($J691="","",TODAY()-$J691)</f>
        <v/>
      </c>
      <c r="AB691" s="12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IF($AE691="","",IF((IFERROR(INDEX('ASIGNACIONES'!$F$4:$F$339,MATCH($O691&amp;"|"&amp;$R691&amp;"|"&amp;$AE691,'ASIGNACIONES'!$J$4:$J$339,0)),""))=0,"",IFERROR(INDEX('ASIGNACIONES'!$F$4:$F$339,MATCH($O691&amp;"|"&amp;$R691&amp;"|"&amp;$AE691,'ASIGNACIONES'!$J$4:$J$339,0)),"")))</f>
        <v/>
      </c>
      <c r="AG691" s="13">
        <f>IF($AE691="","",SUMIFS('ORDENES'!$M$4:$M$1203,'ORDENES'!$AE$4:$AE$1203,$AE691,'ORDENES'!$O$4:$O$1203,$O691,'ORDENES'!$R$4:$R$1203,$R691))</f>
        <v/>
      </c>
      <c r="AH691" s="13">
        <f>IF($AG691="","",p_factor_productividad*IFERROR(INDEX('ASIGNACIONES'!$I$4:$I$339,MATCH($O691&amp;"|"&amp;$R691&amp;"|"&amp;$AE691,'ASIGNACIONES'!$J$4:$J$339,0)),0)-$AG691)</f>
        <v/>
      </c>
      <c r="AI691" s="10">
        <f>IF($A691="","",IFERROR(INDEX('2_IMPORTAR_EJECUCION'!$F$9:$F$1208,MATCH($AQ691,'2_IMPORTAR_EJECUCION'!$J$9:$J$1208,0)),0))</f>
        <v/>
      </c>
      <c r="AJ691" s="10">
        <f>IF($A691="","",MAX(0,IFERROR(INDEX('2_IMPORTAR_EJECUCION'!$H$9:$H$1208,MATCH($AQ691,'2_IMPORTAR_EJECUCION'!$J$9:$J$1208,0)),0)-$AI691))</f>
        <v/>
      </c>
      <c r="AK691" s="10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2">
        <f>IF($J692="","",TODAY()-$J692)</f>
        <v/>
      </c>
      <c r="AB692" s="12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IF($AE692="","",IF((IFERROR(INDEX('ASIGNACIONES'!$F$4:$F$339,MATCH($O692&amp;"|"&amp;$R692&amp;"|"&amp;$AE692,'ASIGNACIONES'!$J$4:$J$339,0)),""))=0,"",IFERROR(INDEX('ASIGNACIONES'!$F$4:$F$339,MATCH($O692&amp;"|"&amp;$R692&amp;"|"&amp;$AE692,'ASIGNACIONES'!$J$4:$J$339,0)),"")))</f>
        <v/>
      </c>
      <c r="AG692" s="13">
        <f>IF($AE692="","",SUMIFS('ORDENES'!$M$4:$M$1203,'ORDENES'!$AE$4:$AE$1203,$AE692,'ORDENES'!$O$4:$O$1203,$O692,'ORDENES'!$R$4:$R$1203,$R692))</f>
        <v/>
      </c>
      <c r="AH692" s="13">
        <f>IF($AG692="","",p_factor_productividad*IFERROR(INDEX('ASIGNACIONES'!$I$4:$I$339,MATCH($O692&amp;"|"&amp;$R692&amp;"|"&amp;$AE692,'ASIGNACIONES'!$J$4:$J$339,0)),0)-$AG692)</f>
        <v/>
      </c>
      <c r="AI692" s="10">
        <f>IF($A692="","",IFERROR(INDEX('2_IMPORTAR_EJECUCION'!$F$9:$F$1208,MATCH($AQ692,'2_IMPORTAR_EJECUCION'!$J$9:$J$1208,0)),0))</f>
        <v/>
      </c>
      <c r="AJ692" s="10">
        <f>IF($A692="","",MAX(0,IFERROR(INDEX('2_IMPORTAR_EJECUCION'!$H$9:$H$1208,MATCH($AQ692,'2_IMPORTAR_EJECUCION'!$J$9:$J$1208,0)),0)-$AI692))</f>
        <v/>
      </c>
      <c r="AK692" s="10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2">
        <f>IF($J693="","",TODAY()-$J693)</f>
        <v/>
      </c>
      <c r="AB693" s="12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IF($AE693="","",IF((IFERROR(INDEX('ASIGNACIONES'!$F$4:$F$339,MATCH($O693&amp;"|"&amp;$R693&amp;"|"&amp;$AE693,'ASIGNACIONES'!$J$4:$J$339,0)),""))=0,"",IFERROR(INDEX('ASIGNACIONES'!$F$4:$F$339,MATCH($O693&amp;"|"&amp;$R693&amp;"|"&amp;$AE693,'ASIGNACIONES'!$J$4:$J$339,0)),"")))</f>
        <v/>
      </c>
      <c r="AG693" s="13">
        <f>IF($AE693="","",SUMIFS('ORDENES'!$M$4:$M$1203,'ORDENES'!$AE$4:$AE$1203,$AE693,'ORDENES'!$O$4:$O$1203,$O693,'ORDENES'!$R$4:$R$1203,$R693))</f>
        <v/>
      </c>
      <c r="AH693" s="13">
        <f>IF($AG693="","",p_factor_productividad*IFERROR(INDEX('ASIGNACIONES'!$I$4:$I$339,MATCH($O693&amp;"|"&amp;$R693&amp;"|"&amp;$AE693,'ASIGNACIONES'!$J$4:$J$339,0)),0)-$AG693)</f>
        <v/>
      </c>
      <c r="AI693" s="10">
        <f>IF($A693="","",IFERROR(INDEX('2_IMPORTAR_EJECUCION'!$F$9:$F$1208,MATCH($AQ693,'2_IMPORTAR_EJECUCION'!$J$9:$J$1208,0)),0))</f>
        <v/>
      </c>
      <c r="AJ693" s="10">
        <f>IF($A693="","",MAX(0,IFERROR(INDEX('2_IMPORTAR_EJECUCION'!$H$9:$H$1208,MATCH($AQ693,'2_IMPORTAR_EJECUCION'!$J$9:$J$1208,0)),0)-$AI693))</f>
        <v/>
      </c>
      <c r="AK693" s="10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2">
        <f>IF($J694="","",TODAY()-$J694)</f>
        <v/>
      </c>
      <c r="AB694" s="12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IF($AE694="","",IF((IFERROR(INDEX('ASIGNACIONES'!$F$4:$F$339,MATCH($O694&amp;"|"&amp;$R694&amp;"|"&amp;$AE694,'ASIGNACIONES'!$J$4:$J$339,0)),""))=0,"",IFERROR(INDEX('ASIGNACIONES'!$F$4:$F$339,MATCH($O694&amp;"|"&amp;$R694&amp;"|"&amp;$AE694,'ASIGNACIONES'!$J$4:$J$339,0)),"")))</f>
        <v/>
      </c>
      <c r="AG694" s="13">
        <f>IF($AE694="","",SUMIFS('ORDENES'!$M$4:$M$1203,'ORDENES'!$AE$4:$AE$1203,$AE694,'ORDENES'!$O$4:$O$1203,$O694,'ORDENES'!$R$4:$R$1203,$R694))</f>
        <v/>
      </c>
      <c r="AH694" s="13">
        <f>IF($AG694="","",p_factor_productividad*IFERROR(INDEX('ASIGNACIONES'!$I$4:$I$339,MATCH($O694&amp;"|"&amp;$R694&amp;"|"&amp;$AE694,'ASIGNACIONES'!$J$4:$J$339,0)),0)-$AG694)</f>
        <v/>
      </c>
      <c r="AI694" s="10">
        <f>IF($A694="","",IFERROR(INDEX('2_IMPORTAR_EJECUCION'!$F$9:$F$1208,MATCH($AQ694,'2_IMPORTAR_EJECUCION'!$J$9:$J$1208,0)),0))</f>
        <v/>
      </c>
      <c r="AJ694" s="10">
        <f>IF($A694="","",MAX(0,IFERROR(INDEX('2_IMPORTAR_EJECUCION'!$H$9:$H$1208,MATCH($AQ694,'2_IMPORTAR_EJECUCION'!$J$9:$J$1208,0)),0)-$AI694))</f>
        <v/>
      </c>
      <c r="AK694" s="10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2">
        <f>IF($J695="","",TODAY()-$J695)</f>
        <v/>
      </c>
      <c r="AB695" s="12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IF($AE695="","",IF((IFERROR(INDEX('ASIGNACIONES'!$F$4:$F$339,MATCH($O695&amp;"|"&amp;$R695&amp;"|"&amp;$AE695,'ASIGNACIONES'!$J$4:$J$339,0)),""))=0,"",IFERROR(INDEX('ASIGNACIONES'!$F$4:$F$339,MATCH($O695&amp;"|"&amp;$R695&amp;"|"&amp;$AE695,'ASIGNACIONES'!$J$4:$J$339,0)),"")))</f>
        <v/>
      </c>
      <c r="AG695" s="13">
        <f>IF($AE695="","",SUMIFS('ORDENES'!$M$4:$M$1203,'ORDENES'!$AE$4:$AE$1203,$AE695,'ORDENES'!$O$4:$O$1203,$O695,'ORDENES'!$R$4:$R$1203,$R695))</f>
        <v/>
      </c>
      <c r="AH695" s="13">
        <f>IF($AG695="","",p_factor_productividad*IFERROR(INDEX('ASIGNACIONES'!$I$4:$I$339,MATCH($O695&amp;"|"&amp;$R695&amp;"|"&amp;$AE695,'ASIGNACIONES'!$J$4:$J$339,0)),0)-$AG695)</f>
        <v/>
      </c>
      <c r="AI695" s="10">
        <f>IF($A695="","",IFERROR(INDEX('2_IMPORTAR_EJECUCION'!$F$9:$F$1208,MATCH($AQ695,'2_IMPORTAR_EJECUCION'!$J$9:$J$1208,0)),0))</f>
        <v/>
      </c>
      <c r="AJ695" s="10">
        <f>IF($A695="","",MAX(0,IFERROR(INDEX('2_IMPORTAR_EJECUCION'!$H$9:$H$1208,MATCH($AQ695,'2_IMPORTAR_EJECUCION'!$J$9:$J$1208,0)),0)-$AI695))</f>
        <v/>
      </c>
      <c r="AK695" s="10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2">
        <f>IF($J696="","",TODAY()-$J696)</f>
        <v/>
      </c>
      <c r="AB696" s="12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IF($AE696="","",IF((IFERROR(INDEX('ASIGNACIONES'!$F$4:$F$339,MATCH($O696&amp;"|"&amp;$R696&amp;"|"&amp;$AE696,'ASIGNACIONES'!$J$4:$J$339,0)),""))=0,"",IFERROR(INDEX('ASIGNACIONES'!$F$4:$F$339,MATCH($O696&amp;"|"&amp;$R696&amp;"|"&amp;$AE696,'ASIGNACIONES'!$J$4:$J$339,0)),"")))</f>
        <v/>
      </c>
      <c r="AG696" s="13">
        <f>IF($AE696="","",SUMIFS('ORDENES'!$M$4:$M$1203,'ORDENES'!$AE$4:$AE$1203,$AE696,'ORDENES'!$O$4:$O$1203,$O696,'ORDENES'!$R$4:$R$1203,$R696))</f>
        <v/>
      </c>
      <c r="AH696" s="13">
        <f>IF($AG696="","",p_factor_productividad*IFERROR(INDEX('ASIGNACIONES'!$I$4:$I$339,MATCH($O696&amp;"|"&amp;$R696&amp;"|"&amp;$AE696,'ASIGNACIONES'!$J$4:$J$339,0)),0)-$AG696)</f>
        <v/>
      </c>
      <c r="AI696" s="10">
        <f>IF($A696="","",IFERROR(INDEX('2_IMPORTAR_EJECUCION'!$F$9:$F$1208,MATCH($AQ696,'2_IMPORTAR_EJECUCION'!$J$9:$J$1208,0)),0))</f>
        <v/>
      </c>
      <c r="AJ696" s="10">
        <f>IF($A696="","",MAX(0,IFERROR(INDEX('2_IMPORTAR_EJECUCION'!$H$9:$H$1208,MATCH($AQ696,'2_IMPORTAR_EJECUCION'!$J$9:$J$1208,0)),0)-$AI696))</f>
        <v/>
      </c>
      <c r="AK696" s="10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2">
        <f>IF($J697="","",TODAY()-$J697)</f>
        <v/>
      </c>
      <c r="AB697" s="12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IF($AE697="","",IF((IFERROR(INDEX('ASIGNACIONES'!$F$4:$F$339,MATCH($O697&amp;"|"&amp;$R697&amp;"|"&amp;$AE697,'ASIGNACIONES'!$J$4:$J$339,0)),""))=0,"",IFERROR(INDEX('ASIGNACIONES'!$F$4:$F$339,MATCH($O697&amp;"|"&amp;$R697&amp;"|"&amp;$AE697,'ASIGNACIONES'!$J$4:$J$339,0)),"")))</f>
        <v/>
      </c>
      <c r="AG697" s="13">
        <f>IF($AE697="","",SUMIFS('ORDENES'!$M$4:$M$1203,'ORDENES'!$AE$4:$AE$1203,$AE697,'ORDENES'!$O$4:$O$1203,$O697,'ORDENES'!$R$4:$R$1203,$R697))</f>
        <v/>
      </c>
      <c r="AH697" s="13">
        <f>IF($AG697="","",p_factor_productividad*IFERROR(INDEX('ASIGNACIONES'!$I$4:$I$339,MATCH($O697&amp;"|"&amp;$R697&amp;"|"&amp;$AE697,'ASIGNACIONES'!$J$4:$J$339,0)),0)-$AG697)</f>
        <v/>
      </c>
      <c r="AI697" s="10">
        <f>IF($A697="","",IFERROR(INDEX('2_IMPORTAR_EJECUCION'!$F$9:$F$1208,MATCH($AQ697,'2_IMPORTAR_EJECUCION'!$J$9:$J$1208,0)),0))</f>
        <v/>
      </c>
      <c r="AJ697" s="10">
        <f>IF($A697="","",MAX(0,IFERROR(INDEX('2_IMPORTAR_EJECUCION'!$H$9:$H$1208,MATCH($AQ697,'2_IMPORTAR_EJECUCION'!$J$9:$J$1208,0)),0)-$AI697))</f>
        <v/>
      </c>
      <c r="AK697" s="10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2">
        <f>IF($J698="","",TODAY()-$J698)</f>
        <v/>
      </c>
      <c r="AB698" s="12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IF($AE698="","",IF((IFERROR(INDEX('ASIGNACIONES'!$F$4:$F$339,MATCH($O698&amp;"|"&amp;$R698&amp;"|"&amp;$AE698,'ASIGNACIONES'!$J$4:$J$339,0)),""))=0,"",IFERROR(INDEX('ASIGNACIONES'!$F$4:$F$339,MATCH($O698&amp;"|"&amp;$R698&amp;"|"&amp;$AE698,'ASIGNACIONES'!$J$4:$J$339,0)),"")))</f>
        <v/>
      </c>
      <c r="AG698" s="13">
        <f>IF($AE698="","",SUMIFS('ORDENES'!$M$4:$M$1203,'ORDENES'!$AE$4:$AE$1203,$AE698,'ORDENES'!$O$4:$O$1203,$O698,'ORDENES'!$R$4:$R$1203,$R698))</f>
        <v/>
      </c>
      <c r="AH698" s="13">
        <f>IF($AG698="","",p_factor_productividad*IFERROR(INDEX('ASIGNACIONES'!$I$4:$I$339,MATCH($O698&amp;"|"&amp;$R698&amp;"|"&amp;$AE698,'ASIGNACIONES'!$J$4:$J$339,0)),0)-$AG698)</f>
        <v/>
      </c>
      <c r="AI698" s="10">
        <f>IF($A698="","",IFERROR(INDEX('2_IMPORTAR_EJECUCION'!$F$9:$F$1208,MATCH($AQ698,'2_IMPORTAR_EJECUCION'!$J$9:$J$1208,0)),0))</f>
        <v/>
      </c>
      <c r="AJ698" s="10">
        <f>IF($A698="","",MAX(0,IFERROR(INDEX('2_IMPORTAR_EJECUCION'!$H$9:$H$1208,MATCH($AQ698,'2_IMPORTAR_EJECUCION'!$J$9:$J$1208,0)),0)-$AI698))</f>
        <v/>
      </c>
      <c r="AK698" s="10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2">
        <f>IF($J699="","",TODAY()-$J699)</f>
        <v/>
      </c>
      <c r="AB699" s="12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IF($AE699="","",IF((IFERROR(INDEX('ASIGNACIONES'!$F$4:$F$339,MATCH($O699&amp;"|"&amp;$R699&amp;"|"&amp;$AE699,'ASIGNACIONES'!$J$4:$J$339,0)),""))=0,"",IFERROR(INDEX('ASIGNACIONES'!$F$4:$F$339,MATCH($O699&amp;"|"&amp;$R699&amp;"|"&amp;$AE699,'ASIGNACIONES'!$J$4:$J$339,0)),"")))</f>
        <v/>
      </c>
      <c r="AG699" s="13">
        <f>IF($AE699="","",SUMIFS('ORDENES'!$M$4:$M$1203,'ORDENES'!$AE$4:$AE$1203,$AE699,'ORDENES'!$O$4:$O$1203,$O699,'ORDENES'!$R$4:$R$1203,$R699))</f>
        <v/>
      </c>
      <c r="AH699" s="13">
        <f>IF($AG699="","",p_factor_productividad*IFERROR(INDEX('ASIGNACIONES'!$I$4:$I$339,MATCH($O699&amp;"|"&amp;$R699&amp;"|"&amp;$AE699,'ASIGNACIONES'!$J$4:$J$339,0)),0)-$AG699)</f>
        <v/>
      </c>
      <c r="AI699" s="10">
        <f>IF($A699="","",IFERROR(INDEX('2_IMPORTAR_EJECUCION'!$F$9:$F$1208,MATCH($AQ699,'2_IMPORTAR_EJECUCION'!$J$9:$J$1208,0)),0))</f>
        <v/>
      </c>
      <c r="AJ699" s="10">
        <f>IF($A699="","",MAX(0,IFERROR(INDEX('2_IMPORTAR_EJECUCION'!$H$9:$H$1208,MATCH($AQ699,'2_IMPORTAR_EJECUCION'!$J$9:$J$1208,0)),0)-$AI699))</f>
        <v/>
      </c>
      <c r="AK699" s="10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2">
        <f>IF($J700="","",TODAY()-$J700)</f>
        <v/>
      </c>
      <c r="AB700" s="12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IF($AE700="","",IF((IFERROR(INDEX('ASIGNACIONES'!$F$4:$F$339,MATCH($O700&amp;"|"&amp;$R700&amp;"|"&amp;$AE700,'ASIGNACIONES'!$J$4:$J$339,0)),""))=0,"",IFERROR(INDEX('ASIGNACIONES'!$F$4:$F$339,MATCH($O700&amp;"|"&amp;$R700&amp;"|"&amp;$AE700,'ASIGNACIONES'!$J$4:$J$339,0)),"")))</f>
        <v/>
      </c>
      <c r="AG700" s="13">
        <f>IF($AE700="","",SUMIFS('ORDENES'!$M$4:$M$1203,'ORDENES'!$AE$4:$AE$1203,$AE700,'ORDENES'!$O$4:$O$1203,$O700,'ORDENES'!$R$4:$R$1203,$R700))</f>
        <v/>
      </c>
      <c r="AH700" s="13">
        <f>IF($AG700="","",p_factor_productividad*IFERROR(INDEX('ASIGNACIONES'!$I$4:$I$339,MATCH($O700&amp;"|"&amp;$R700&amp;"|"&amp;$AE700,'ASIGNACIONES'!$J$4:$J$339,0)),0)-$AG700)</f>
        <v/>
      </c>
      <c r="AI700" s="10">
        <f>IF($A700="","",IFERROR(INDEX('2_IMPORTAR_EJECUCION'!$F$9:$F$1208,MATCH($AQ700,'2_IMPORTAR_EJECUCION'!$J$9:$J$1208,0)),0))</f>
        <v/>
      </c>
      <c r="AJ700" s="10">
        <f>IF($A700="","",MAX(0,IFERROR(INDEX('2_IMPORTAR_EJECUCION'!$H$9:$H$1208,MATCH($AQ700,'2_IMPORTAR_EJECUCION'!$J$9:$J$1208,0)),0)-$AI700))</f>
        <v/>
      </c>
      <c r="AK700" s="10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2">
        <f>IF($J701="","",TODAY()-$J701)</f>
        <v/>
      </c>
      <c r="AB701" s="12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IF($AE701="","",IF((IFERROR(INDEX('ASIGNACIONES'!$F$4:$F$339,MATCH($O701&amp;"|"&amp;$R701&amp;"|"&amp;$AE701,'ASIGNACIONES'!$J$4:$J$339,0)),""))=0,"",IFERROR(INDEX('ASIGNACIONES'!$F$4:$F$339,MATCH($O701&amp;"|"&amp;$R701&amp;"|"&amp;$AE701,'ASIGNACIONES'!$J$4:$J$339,0)),"")))</f>
        <v/>
      </c>
      <c r="AG701" s="13">
        <f>IF($AE701="","",SUMIFS('ORDENES'!$M$4:$M$1203,'ORDENES'!$AE$4:$AE$1203,$AE701,'ORDENES'!$O$4:$O$1203,$O701,'ORDENES'!$R$4:$R$1203,$R701))</f>
        <v/>
      </c>
      <c r="AH701" s="13">
        <f>IF($AG701="","",p_factor_productividad*IFERROR(INDEX('ASIGNACIONES'!$I$4:$I$339,MATCH($O701&amp;"|"&amp;$R701&amp;"|"&amp;$AE701,'ASIGNACIONES'!$J$4:$J$339,0)),0)-$AG701)</f>
        <v/>
      </c>
      <c r="AI701" s="10">
        <f>IF($A701="","",IFERROR(INDEX('2_IMPORTAR_EJECUCION'!$F$9:$F$1208,MATCH($AQ701,'2_IMPORTAR_EJECUCION'!$J$9:$J$1208,0)),0))</f>
        <v/>
      </c>
      <c r="AJ701" s="10">
        <f>IF($A701="","",MAX(0,IFERROR(INDEX('2_IMPORTAR_EJECUCION'!$H$9:$H$1208,MATCH($AQ701,'2_IMPORTAR_EJECUCION'!$J$9:$J$1208,0)),0)-$AI701))</f>
        <v/>
      </c>
      <c r="AK701" s="10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2">
        <f>IF($J702="","",TODAY()-$J702)</f>
        <v/>
      </c>
      <c r="AB702" s="12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IF($AE702="","",IF((IFERROR(INDEX('ASIGNACIONES'!$F$4:$F$339,MATCH($O702&amp;"|"&amp;$R702&amp;"|"&amp;$AE702,'ASIGNACIONES'!$J$4:$J$339,0)),""))=0,"",IFERROR(INDEX('ASIGNACIONES'!$F$4:$F$339,MATCH($O702&amp;"|"&amp;$R702&amp;"|"&amp;$AE702,'ASIGNACIONES'!$J$4:$J$339,0)),"")))</f>
        <v/>
      </c>
      <c r="AG702" s="13">
        <f>IF($AE702="","",SUMIFS('ORDENES'!$M$4:$M$1203,'ORDENES'!$AE$4:$AE$1203,$AE702,'ORDENES'!$O$4:$O$1203,$O702,'ORDENES'!$R$4:$R$1203,$R702))</f>
        <v/>
      </c>
      <c r="AH702" s="13">
        <f>IF($AG702="","",p_factor_productividad*IFERROR(INDEX('ASIGNACIONES'!$I$4:$I$339,MATCH($O702&amp;"|"&amp;$R702&amp;"|"&amp;$AE702,'ASIGNACIONES'!$J$4:$J$339,0)),0)-$AG702)</f>
        <v/>
      </c>
      <c r="AI702" s="10">
        <f>IF($A702="","",IFERROR(INDEX('2_IMPORTAR_EJECUCION'!$F$9:$F$1208,MATCH($AQ702,'2_IMPORTAR_EJECUCION'!$J$9:$J$1208,0)),0))</f>
        <v/>
      </c>
      <c r="AJ702" s="10">
        <f>IF($A702="","",MAX(0,IFERROR(INDEX('2_IMPORTAR_EJECUCION'!$H$9:$H$1208,MATCH($AQ702,'2_IMPORTAR_EJECUCION'!$J$9:$J$1208,0)),0)-$AI702))</f>
        <v/>
      </c>
      <c r="AK702" s="10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2">
        <f>IF($J703="","",TODAY()-$J703)</f>
        <v/>
      </c>
      <c r="AB703" s="12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IF($AE703="","",IF((IFERROR(INDEX('ASIGNACIONES'!$F$4:$F$339,MATCH($O703&amp;"|"&amp;$R703&amp;"|"&amp;$AE703,'ASIGNACIONES'!$J$4:$J$339,0)),""))=0,"",IFERROR(INDEX('ASIGNACIONES'!$F$4:$F$339,MATCH($O703&amp;"|"&amp;$R703&amp;"|"&amp;$AE703,'ASIGNACIONES'!$J$4:$J$339,0)),"")))</f>
        <v/>
      </c>
      <c r="AG703" s="13">
        <f>IF($AE703="","",SUMIFS('ORDENES'!$M$4:$M$1203,'ORDENES'!$AE$4:$AE$1203,$AE703,'ORDENES'!$O$4:$O$1203,$O703,'ORDENES'!$R$4:$R$1203,$R703))</f>
        <v/>
      </c>
      <c r="AH703" s="13">
        <f>IF($AG703="","",p_factor_productividad*IFERROR(INDEX('ASIGNACIONES'!$I$4:$I$339,MATCH($O703&amp;"|"&amp;$R703&amp;"|"&amp;$AE703,'ASIGNACIONES'!$J$4:$J$339,0)),0)-$AG703)</f>
        <v/>
      </c>
      <c r="AI703" s="10">
        <f>IF($A703="","",IFERROR(INDEX('2_IMPORTAR_EJECUCION'!$F$9:$F$1208,MATCH($AQ703,'2_IMPORTAR_EJECUCION'!$J$9:$J$1208,0)),0))</f>
        <v/>
      </c>
      <c r="AJ703" s="10">
        <f>IF($A703="","",MAX(0,IFERROR(INDEX('2_IMPORTAR_EJECUCION'!$H$9:$H$1208,MATCH($AQ703,'2_IMPORTAR_EJECUCION'!$J$9:$J$1208,0)),0)-$AI703))</f>
        <v/>
      </c>
      <c r="AK703" s="10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2">
        <f>IF($J704="","",TODAY()-$J704)</f>
        <v/>
      </c>
      <c r="AB704" s="12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IF($AE704="","",IF((IFERROR(INDEX('ASIGNACIONES'!$F$4:$F$339,MATCH($O704&amp;"|"&amp;$R704&amp;"|"&amp;$AE704,'ASIGNACIONES'!$J$4:$J$339,0)),""))=0,"",IFERROR(INDEX('ASIGNACIONES'!$F$4:$F$339,MATCH($O704&amp;"|"&amp;$R704&amp;"|"&amp;$AE704,'ASIGNACIONES'!$J$4:$J$339,0)),"")))</f>
        <v/>
      </c>
      <c r="AG704" s="13">
        <f>IF($AE704="","",SUMIFS('ORDENES'!$M$4:$M$1203,'ORDENES'!$AE$4:$AE$1203,$AE704,'ORDENES'!$O$4:$O$1203,$O704,'ORDENES'!$R$4:$R$1203,$R704))</f>
        <v/>
      </c>
      <c r="AH704" s="13">
        <f>IF($AG704="","",p_factor_productividad*IFERROR(INDEX('ASIGNACIONES'!$I$4:$I$339,MATCH($O704&amp;"|"&amp;$R704&amp;"|"&amp;$AE704,'ASIGNACIONES'!$J$4:$J$339,0)),0)-$AG704)</f>
        <v/>
      </c>
      <c r="AI704" s="10">
        <f>IF($A704="","",IFERROR(INDEX('2_IMPORTAR_EJECUCION'!$F$9:$F$1208,MATCH($AQ704,'2_IMPORTAR_EJECUCION'!$J$9:$J$1208,0)),0))</f>
        <v/>
      </c>
      <c r="AJ704" s="10">
        <f>IF($A704="","",MAX(0,IFERROR(INDEX('2_IMPORTAR_EJECUCION'!$H$9:$H$1208,MATCH($AQ704,'2_IMPORTAR_EJECUCION'!$J$9:$J$1208,0)),0)-$AI704))</f>
        <v/>
      </c>
      <c r="AK704" s="10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2">
        <f>IF($J705="","",TODAY()-$J705)</f>
        <v/>
      </c>
      <c r="AB705" s="12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IF($AE705="","",IF((IFERROR(INDEX('ASIGNACIONES'!$F$4:$F$339,MATCH($O705&amp;"|"&amp;$R705&amp;"|"&amp;$AE705,'ASIGNACIONES'!$J$4:$J$339,0)),""))=0,"",IFERROR(INDEX('ASIGNACIONES'!$F$4:$F$339,MATCH($O705&amp;"|"&amp;$R705&amp;"|"&amp;$AE705,'ASIGNACIONES'!$J$4:$J$339,0)),"")))</f>
        <v/>
      </c>
      <c r="AG705" s="13">
        <f>IF($AE705="","",SUMIFS('ORDENES'!$M$4:$M$1203,'ORDENES'!$AE$4:$AE$1203,$AE705,'ORDENES'!$O$4:$O$1203,$O705,'ORDENES'!$R$4:$R$1203,$R705))</f>
        <v/>
      </c>
      <c r="AH705" s="13">
        <f>IF($AG705="","",p_factor_productividad*IFERROR(INDEX('ASIGNACIONES'!$I$4:$I$339,MATCH($O705&amp;"|"&amp;$R705&amp;"|"&amp;$AE705,'ASIGNACIONES'!$J$4:$J$339,0)),0)-$AG705)</f>
        <v/>
      </c>
      <c r="AI705" s="10">
        <f>IF($A705="","",IFERROR(INDEX('2_IMPORTAR_EJECUCION'!$F$9:$F$1208,MATCH($AQ705,'2_IMPORTAR_EJECUCION'!$J$9:$J$1208,0)),0))</f>
        <v/>
      </c>
      <c r="AJ705" s="10">
        <f>IF($A705="","",MAX(0,IFERROR(INDEX('2_IMPORTAR_EJECUCION'!$H$9:$H$1208,MATCH($AQ705,'2_IMPORTAR_EJECUCION'!$J$9:$J$1208,0)),0)-$AI705))</f>
        <v/>
      </c>
      <c r="AK705" s="10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2">
        <f>IF($J706="","",TODAY()-$J706)</f>
        <v/>
      </c>
      <c r="AB706" s="12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IF($AE706="","",IF((IFERROR(INDEX('ASIGNACIONES'!$F$4:$F$339,MATCH($O706&amp;"|"&amp;$R706&amp;"|"&amp;$AE706,'ASIGNACIONES'!$J$4:$J$339,0)),""))=0,"",IFERROR(INDEX('ASIGNACIONES'!$F$4:$F$339,MATCH($O706&amp;"|"&amp;$R706&amp;"|"&amp;$AE706,'ASIGNACIONES'!$J$4:$J$339,0)),"")))</f>
        <v/>
      </c>
      <c r="AG706" s="13">
        <f>IF($AE706="","",SUMIFS('ORDENES'!$M$4:$M$1203,'ORDENES'!$AE$4:$AE$1203,$AE706,'ORDENES'!$O$4:$O$1203,$O706,'ORDENES'!$R$4:$R$1203,$R706))</f>
        <v/>
      </c>
      <c r="AH706" s="13">
        <f>IF($AG706="","",p_factor_productividad*IFERROR(INDEX('ASIGNACIONES'!$I$4:$I$339,MATCH($O706&amp;"|"&amp;$R706&amp;"|"&amp;$AE706,'ASIGNACIONES'!$J$4:$J$339,0)),0)-$AG706)</f>
        <v/>
      </c>
      <c r="AI706" s="10">
        <f>IF($A706="","",IFERROR(INDEX('2_IMPORTAR_EJECUCION'!$F$9:$F$1208,MATCH($AQ706,'2_IMPORTAR_EJECUCION'!$J$9:$J$1208,0)),0))</f>
        <v/>
      </c>
      <c r="AJ706" s="10">
        <f>IF($A706="","",MAX(0,IFERROR(INDEX('2_IMPORTAR_EJECUCION'!$H$9:$H$1208,MATCH($AQ706,'2_IMPORTAR_EJECUCION'!$J$9:$J$1208,0)),0)-$AI706))</f>
        <v/>
      </c>
      <c r="AK706" s="10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2">
        <f>IF($J707="","",TODAY()-$J707)</f>
        <v/>
      </c>
      <c r="AB707" s="12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IF($AE707="","",IF((IFERROR(INDEX('ASIGNACIONES'!$F$4:$F$339,MATCH($O707&amp;"|"&amp;$R707&amp;"|"&amp;$AE707,'ASIGNACIONES'!$J$4:$J$339,0)),""))=0,"",IFERROR(INDEX('ASIGNACIONES'!$F$4:$F$339,MATCH($O707&amp;"|"&amp;$R707&amp;"|"&amp;$AE707,'ASIGNACIONES'!$J$4:$J$339,0)),"")))</f>
        <v/>
      </c>
      <c r="AG707" s="13">
        <f>IF($AE707="","",SUMIFS('ORDENES'!$M$4:$M$1203,'ORDENES'!$AE$4:$AE$1203,$AE707,'ORDENES'!$O$4:$O$1203,$O707,'ORDENES'!$R$4:$R$1203,$R707))</f>
        <v/>
      </c>
      <c r="AH707" s="13">
        <f>IF($AG707="","",p_factor_productividad*IFERROR(INDEX('ASIGNACIONES'!$I$4:$I$339,MATCH($O707&amp;"|"&amp;$R707&amp;"|"&amp;$AE707,'ASIGNACIONES'!$J$4:$J$339,0)),0)-$AG707)</f>
        <v/>
      </c>
      <c r="AI707" s="10">
        <f>IF($A707="","",IFERROR(INDEX('2_IMPORTAR_EJECUCION'!$F$9:$F$1208,MATCH($AQ707,'2_IMPORTAR_EJECUCION'!$J$9:$J$1208,0)),0))</f>
        <v/>
      </c>
      <c r="AJ707" s="10">
        <f>IF($A707="","",MAX(0,IFERROR(INDEX('2_IMPORTAR_EJECUCION'!$H$9:$H$1208,MATCH($AQ707,'2_IMPORTAR_EJECUCION'!$J$9:$J$1208,0)),0)-$AI707))</f>
        <v/>
      </c>
      <c r="AK707" s="10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2">
        <f>IF($J708="","",TODAY()-$J708)</f>
        <v/>
      </c>
      <c r="AB708" s="12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IF($AE708="","",IF((IFERROR(INDEX('ASIGNACIONES'!$F$4:$F$339,MATCH($O708&amp;"|"&amp;$R708&amp;"|"&amp;$AE708,'ASIGNACIONES'!$J$4:$J$339,0)),""))=0,"",IFERROR(INDEX('ASIGNACIONES'!$F$4:$F$339,MATCH($O708&amp;"|"&amp;$R708&amp;"|"&amp;$AE708,'ASIGNACIONES'!$J$4:$J$339,0)),"")))</f>
        <v/>
      </c>
      <c r="AG708" s="13">
        <f>IF($AE708="","",SUMIFS('ORDENES'!$M$4:$M$1203,'ORDENES'!$AE$4:$AE$1203,$AE708,'ORDENES'!$O$4:$O$1203,$O708,'ORDENES'!$R$4:$R$1203,$R708))</f>
        <v/>
      </c>
      <c r="AH708" s="13">
        <f>IF($AG708="","",p_factor_productividad*IFERROR(INDEX('ASIGNACIONES'!$I$4:$I$339,MATCH($O708&amp;"|"&amp;$R708&amp;"|"&amp;$AE708,'ASIGNACIONES'!$J$4:$J$339,0)),0)-$AG708)</f>
        <v/>
      </c>
      <c r="AI708" s="10">
        <f>IF($A708="","",IFERROR(INDEX('2_IMPORTAR_EJECUCION'!$F$9:$F$1208,MATCH($AQ708,'2_IMPORTAR_EJECUCION'!$J$9:$J$1208,0)),0))</f>
        <v/>
      </c>
      <c r="AJ708" s="10">
        <f>IF($A708="","",MAX(0,IFERROR(INDEX('2_IMPORTAR_EJECUCION'!$H$9:$H$1208,MATCH($AQ708,'2_IMPORTAR_EJECUCION'!$J$9:$J$1208,0)),0)-$AI708))</f>
        <v/>
      </c>
      <c r="AK708" s="10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2">
        <f>IF($J709="","",TODAY()-$J709)</f>
        <v/>
      </c>
      <c r="AB709" s="12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IF($AE709="","",IF((IFERROR(INDEX('ASIGNACIONES'!$F$4:$F$339,MATCH($O709&amp;"|"&amp;$R709&amp;"|"&amp;$AE709,'ASIGNACIONES'!$J$4:$J$339,0)),""))=0,"",IFERROR(INDEX('ASIGNACIONES'!$F$4:$F$339,MATCH($O709&amp;"|"&amp;$R709&amp;"|"&amp;$AE709,'ASIGNACIONES'!$J$4:$J$339,0)),"")))</f>
        <v/>
      </c>
      <c r="AG709" s="13">
        <f>IF($AE709="","",SUMIFS('ORDENES'!$M$4:$M$1203,'ORDENES'!$AE$4:$AE$1203,$AE709,'ORDENES'!$O$4:$O$1203,$O709,'ORDENES'!$R$4:$R$1203,$R709))</f>
        <v/>
      </c>
      <c r="AH709" s="13">
        <f>IF($AG709="","",p_factor_productividad*IFERROR(INDEX('ASIGNACIONES'!$I$4:$I$339,MATCH($O709&amp;"|"&amp;$R709&amp;"|"&amp;$AE709,'ASIGNACIONES'!$J$4:$J$339,0)),0)-$AG709)</f>
        <v/>
      </c>
      <c r="AI709" s="10">
        <f>IF($A709="","",IFERROR(INDEX('2_IMPORTAR_EJECUCION'!$F$9:$F$1208,MATCH($AQ709,'2_IMPORTAR_EJECUCION'!$J$9:$J$1208,0)),0))</f>
        <v/>
      </c>
      <c r="AJ709" s="10">
        <f>IF($A709="","",MAX(0,IFERROR(INDEX('2_IMPORTAR_EJECUCION'!$H$9:$H$1208,MATCH($AQ709,'2_IMPORTAR_EJECUCION'!$J$9:$J$1208,0)),0)-$AI709))</f>
        <v/>
      </c>
      <c r="AK709" s="10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2">
        <f>IF($J710="","",TODAY()-$J710)</f>
        <v/>
      </c>
      <c r="AB710" s="12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IF($AE710="","",IF((IFERROR(INDEX('ASIGNACIONES'!$F$4:$F$339,MATCH($O710&amp;"|"&amp;$R710&amp;"|"&amp;$AE710,'ASIGNACIONES'!$J$4:$J$339,0)),""))=0,"",IFERROR(INDEX('ASIGNACIONES'!$F$4:$F$339,MATCH($O710&amp;"|"&amp;$R710&amp;"|"&amp;$AE710,'ASIGNACIONES'!$J$4:$J$339,0)),"")))</f>
        <v/>
      </c>
      <c r="AG710" s="13">
        <f>IF($AE710="","",SUMIFS('ORDENES'!$M$4:$M$1203,'ORDENES'!$AE$4:$AE$1203,$AE710,'ORDENES'!$O$4:$O$1203,$O710,'ORDENES'!$R$4:$R$1203,$R710))</f>
        <v/>
      </c>
      <c r="AH710" s="13">
        <f>IF($AG710="","",p_factor_productividad*IFERROR(INDEX('ASIGNACIONES'!$I$4:$I$339,MATCH($O710&amp;"|"&amp;$R710&amp;"|"&amp;$AE710,'ASIGNACIONES'!$J$4:$J$339,0)),0)-$AG710)</f>
        <v/>
      </c>
      <c r="AI710" s="10">
        <f>IF($A710="","",IFERROR(INDEX('2_IMPORTAR_EJECUCION'!$F$9:$F$1208,MATCH($AQ710,'2_IMPORTAR_EJECUCION'!$J$9:$J$1208,0)),0))</f>
        <v/>
      </c>
      <c r="AJ710" s="10">
        <f>IF($A710="","",MAX(0,IFERROR(INDEX('2_IMPORTAR_EJECUCION'!$H$9:$H$1208,MATCH($AQ710,'2_IMPORTAR_EJECUCION'!$J$9:$J$1208,0)),0)-$AI710))</f>
        <v/>
      </c>
      <c r="AK710" s="10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2">
        <f>IF($J711="","",TODAY()-$J711)</f>
        <v/>
      </c>
      <c r="AB711" s="12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IF($AE711="","",IF((IFERROR(INDEX('ASIGNACIONES'!$F$4:$F$339,MATCH($O711&amp;"|"&amp;$R711&amp;"|"&amp;$AE711,'ASIGNACIONES'!$J$4:$J$339,0)),""))=0,"",IFERROR(INDEX('ASIGNACIONES'!$F$4:$F$339,MATCH($O711&amp;"|"&amp;$R711&amp;"|"&amp;$AE711,'ASIGNACIONES'!$J$4:$J$339,0)),"")))</f>
        <v/>
      </c>
      <c r="AG711" s="13">
        <f>IF($AE711="","",SUMIFS('ORDENES'!$M$4:$M$1203,'ORDENES'!$AE$4:$AE$1203,$AE711,'ORDENES'!$O$4:$O$1203,$O711,'ORDENES'!$R$4:$R$1203,$R711))</f>
        <v/>
      </c>
      <c r="AH711" s="13">
        <f>IF($AG711="","",p_factor_productividad*IFERROR(INDEX('ASIGNACIONES'!$I$4:$I$339,MATCH($O711&amp;"|"&amp;$R711&amp;"|"&amp;$AE711,'ASIGNACIONES'!$J$4:$J$339,0)),0)-$AG711)</f>
        <v/>
      </c>
      <c r="AI711" s="10">
        <f>IF($A711="","",IFERROR(INDEX('2_IMPORTAR_EJECUCION'!$F$9:$F$1208,MATCH($AQ711,'2_IMPORTAR_EJECUCION'!$J$9:$J$1208,0)),0))</f>
        <v/>
      </c>
      <c r="AJ711" s="10">
        <f>IF($A711="","",MAX(0,IFERROR(INDEX('2_IMPORTAR_EJECUCION'!$H$9:$H$1208,MATCH($AQ711,'2_IMPORTAR_EJECUCION'!$J$9:$J$1208,0)),0)-$AI711))</f>
        <v/>
      </c>
      <c r="AK711" s="10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2">
        <f>IF($J712="","",TODAY()-$J712)</f>
        <v/>
      </c>
      <c r="AB712" s="12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IF($AE712="","",IF((IFERROR(INDEX('ASIGNACIONES'!$F$4:$F$339,MATCH($O712&amp;"|"&amp;$R712&amp;"|"&amp;$AE712,'ASIGNACIONES'!$J$4:$J$339,0)),""))=0,"",IFERROR(INDEX('ASIGNACIONES'!$F$4:$F$339,MATCH($O712&amp;"|"&amp;$R712&amp;"|"&amp;$AE712,'ASIGNACIONES'!$J$4:$J$339,0)),"")))</f>
        <v/>
      </c>
      <c r="AG712" s="13">
        <f>IF($AE712="","",SUMIFS('ORDENES'!$M$4:$M$1203,'ORDENES'!$AE$4:$AE$1203,$AE712,'ORDENES'!$O$4:$O$1203,$O712,'ORDENES'!$R$4:$R$1203,$R712))</f>
        <v/>
      </c>
      <c r="AH712" s="13">
        <f>IF($AG712="","",p_factor_productividad*IFERROR(INDEX('ASIGNACIONES'!$I$4:$I$339,MATCH($O712&amp;"|"&amp;$R712&amp;"|"&amp;$AE712,'ASIGNACIONES'!$J$4:$J$339,0)),0)-$AG712)</f>
        <v/>
      </c>
      <c r="AI712" s="10">
        <f>IF($A712="","",IFERROR(INDEX('2_IMPORTAR_EJECUCION'!$F$9:$F$1208,MATCH($AQ712,'2_IMPORTAR_EJECUCION'!$J$9:$J$1208,0)),0))</f>
        <v/>
      </c>
      <c r="AJ712" s="10">
        <f>IF($A712="","",MAX(0,IFERROR(INDEX('2_IMPORTAR_EJECUCION'!$H$9:$H$1208,MATCH($AQ712,'2_IMPORTAR_EJECUCION'!$J$9:$J$1208,0)),0)-$AI712))</f>
        <v/>
      </c>
      <c r="AK712" s="10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2">
        <f>IF($J713="","",TODAY()-$J713)</f>
        <v/>
      </c>
      <c r="AB713" s="12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IF($AE713="","",IF((IFERROR(INDEX('ASIGNACIONES'!$F$4:$F$339,MATCH($O713&amp;"|"&amp;$R713&amp;"|"&amp;$AE713,'ASIGNACIONES'!$J$4:$J$339,0)),""))=0,"",IFERROR(INDEX('ASIGNACIONES'!$F$4:$F$339,MATCH($O713&amp;"|"&amp;$R713&amp;"|"&amp;$AE713,'ASIGNACIONES'!$J$4:$J$339,0)),"")))</f>
        <v/>
      </c>
      <c r="AG713" s="13">
        <f>IF($AE713="","",SUMIFS('ORDENES'!$M$4:$M$1203,'ORDENES'!$AE$4:$AE$1203,$AE713,'ORDENES'!$O$4:$O$1203,$O713,'ORDENES'!$R$4:$R$1203,$R713))</f>
        <v/>
      </c>
      <c r="AH713" s="13">
        <f>IF($AG713="","",p_factor_productividad*IFERROR(INDEX('ASIGNACIONES'!$I$4:$I$339,MATCH($O713&amp;"|"&amp;$R713&amp;"|"&amp;$AE713,'ASIGNACIONES'!$J$4:$J$339,0)),0)-$AG713)</f>
        <v/>
      </c>
      <c r="AI713" s="10">
        <f>IF($A713="","",IFERROR(INDEX('2_IMPORTAR_EJECUCION'!$F$9:$F$1208,MATCH($AQ713,'2_IMPORTAR_EJECUCION'!$J$9:$J$1208,0)),0))</f>
        <v/>
      </c>
      <c r="AJ713" s="10">
        <f>IF($A713="","",MAX(0,IFERROR(INDEX('2_IMPORTAR_EJECUCION'!$H$9:$H$1208,MATCH($AQ713,'2_IMPORTAR_EJECUCION'!$J$9:$J$1208,0)),0)-$AI713))</f>
        <v/>
      </c>
      <c r="AK713" s="10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2">
        <f>IF($J714="","",TODAY()-$J714)</f>
        <v/>
      </c>
      <c r="AB714" s="12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IF($AE714="","",IF((IFERROR(INDEX('ASIGNACIONES'!$F$4:$F$339,MATCH($O714&amp;"|"&amp;$R714&amp;"|"&amp;$AE714,'ASIGNACIONES'!$J$4:$J$339,0)),""))=0,"",IFERROR(INDEX('ASIGNACIONES'!$F$4:$F$339,MATCH($O714&amp;"|"&amp;$R714&amp;"|"&amp;$AE714,'ASIGNACIONES'!$J$4:$J$339,0)),"")))</f>
        <v/>
      </c>
      <c r="AG714" s="13">
        <f>IF($AE714="","",SUMIFS('ORDENES'!$M$4:$M$1203,'ORDENES'!$AE$4:$AE$1203,$AE714,'ORDENES'!$O$4:$O$1203,$O714,'ORDENES'!$R$4:$R$1203,$R714))</f>
        <v/>
      </c>
      <c r="AH714" s="13">
        <f>IF($AG714="","",p_factor_productividad*IFERROR(INDEX('ASIGNACIONES'!$I$4:$I$339,MATCH($O714&amp;"|"&amp;$R714&amp;"|"&amp;$AE714,'ASIGNACIONES'!$J$4:$J$339,0)),0)-$AG714)</f>
        <v/>
      </c>
      <c r="AI714" s="10">
        <f>IF($A714="","",IFERROR(INDEX('2_IMPORTAR_EJECUCION'!$F$9:$F$1208,MATCH($AQ714,'2_IMPORTAR_EJECUCION'!$J$9:$J$1208,0)),0))</f>
        <v/>
      </c>
      <c r="AJ714" s="10">
        <f>IF($A714="","",MAX(0,IFERROR(INDEX('2_IMPORTAR_EJECUCION'!$H$9:$H$1208,MATCH($AQ714,'2_IMPORTAR_EJECUCION'!$J$9:$J$1208,0)),0)-$AI714))</f>
        <v/>
      </c>
      <c r="AK714" s="10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2">
        <f>IF($J715="","",TODAY()-$J715)</f>
        <v/>
      </c>
      <c r="AB715" s="12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IF($AE715="","",IF((IFERROR(INDEX('ASIGNACIONES'!$F$4:$F$339,MATCH($O715&amp;"|"&amp;$R715&amp;"|"&amp;$AE715,'ASIGNACIONES'!$J$4:$J$339,0)),""))=0,"",IFERROR(INDEX('ASIGNACIONES'!$F$4:$F$339,MATCH($O715&amp;"|"&amp;$R715&amp;"|"&amp;$AE715,'ASIGNACIONES'!$J$4:$J$339,0)),"")))</f>
        <v/>
      </c>
      <c r="AG715" s="13">
        <f>IF($AE715="","",SUMIFS('ORDENES'!$M$4:$M$1203,'ORDENES'!$AE$4:$AE$1203,$AE715,'ORDENES'!$O$4:$O$1203,$O715,'ORDENES'!$R$4:$R$1203,$R715))</f>
        <v/>
      </c>
      <c r="AH715" s="13">
        <f>IF($AG715="","",p_factor_productividad*IFERROR(INDEX('ASIGNACIONES'!$I$4:$I$339,MATCH($O715&amp;"|"&amp;$R715&amp;"|"&amp;$AE715,'ASIGNACIONES'!$J$4:$J$339,0)),0)-$AG715)</f>
        <v/>
      </c>
      <c r="AI715" s="10">
        <f>IF($A715="","",IFERROR(INDEX('2_IMPORTAR_EJECUCION'!$F$9:$F$1208,MATCH($AQ715,'2_IMPORTAR_EJECUCION'!$J$9:$J$1208,0)),0))</f>
        <v/>
      </c>
      <c r="AJ715" s="10">
        <f>IF($A715="","",MAX(0,IFERROR(INDEX('2_IMPORTAR_EJECUCION'!$H$9:$H$1208,MATCH($AQ715,'2_IMPORTAR_EJECUCION'!$J$9:$J$1208,0)),0)-$AI715))</f>
        <v/>
      </c>
      <c r="AK715" s="10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2">
        <f>IF($J716="","",TODAY()-$J716)</f>
        <v/>
      </c>
      <c r="AB716" s="12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IF($AE716="","",IF((IFERROR(INDEX('ASIGNACIONES'!$F$4:$F$339,MATCH($O716&amp;"|"&amp;$R716&amp;"|"&amp;$AE716,'ASIGNACIONES'!$J$4:$J$339,0)),""))=0,"",IFERROR(INDEX('ASIGNACIONES'!$F$4:$F$339,MATCH($O716&amp;"|"&amp;$R716&amp;"|"&amp;$AE716,'ASIGNACIONES'!$J$4:$J$339,0)),"")))</f>
        <v/>
      </c>
      <c r="AG716" s="13">
        <f>IF($AE716="","",SUMIFS('ORDENES'!$M$4:$M$1203,'ORDENES'!$AE$4:$AE$1203,$AE716,'ORDENES'!$O$4:$O$1203,$O716,'ORDENES'!$R$4:$R$1203,$R716))</f>
        <v/>
      </c>
      <c r="AH716" s="13">
        <f>IF($AG716="","",p_factor_productividad*IFERROR(INDEX('ASIGNACIONES'!$I$4:$I$339,MATCH($O716&amp;"|"&amp;$R716&amp;"|"&amp;$AE716,'ASIGNACIONES'!$J$4:$J$339,0)),0)-$AG716)</f>
        <v/>
      </c>
      <c r="AI716" s="10">
        <f>IF($A716="","",IFERROR(INDEX('2_IMPORTAR_EJECUCION'!$F$9:$F$1208,MATCH($AQ716,'2_IMPORTAR_EJECUCION'!$J$9:$J$1208,0)),0))</f>
        <v/>
      </c>
      <c r="AJ716" s="10">
        <f>IF($A716="","",MAX(0,IFERROR(INDEX('2_IMPORTAR_EJECUCION'!$H$9:$H$1208,MATCH($AQ716,'2_IMPORTAR_EJECUCION'!$J$9:$J$1208,0)),0)-$AI716))</f>
        <v/>
      </c>
      <c r="AK716" s="10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2">
        <f>IF($J717="","",TODAY()-$J717)</f>
        <v/>
      </c>
      <c r="AB717" s="12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IF($AE717="","",IF((IFERROR(INDEX('ASIGNACIONES'!$F$4:$F$339,MATCH($O717&amp;"|"&amp;$R717&amp;"|"&amp;$AE717,'ASIGNACIONES'!$J$4:$J$339,0)),""))=0,"",IFERROR(INDEX('ASIGNACIONES'!$F$4:$F$339,MATCH($O717&amp;"|"&amp;$R717&amp;"|"&amp;$AE717,'ASIGNACIONES'!$J$4:$J$339,0)),"")))</f>
        <v/>
      </c>
      <c r="AG717" s="13">
        <f>IF($AE717="","",SUMIFS('ORDENES'!$M$4:$M$1203,'ORDENES'!$AE$4:$AE$1203,$AE717,'ORDENES'!$O$4:$O$1203,$O717,'ORDENES'!$R$4:$R$1203,$R717))</f>
        <v/>
      </c>
      <c r="AH717" s="13">
        <f>IF($AG717="","",p_factor_productividad*IFERROR(INDEX('ASIGNACIONES'!$I$4:$I$339,MATCH($O717&amp;"|"&amp;$R717&amp;"|"&amp;$AE717,'ASIGNACIONES'!$J$4:$J$339,0)),0)-$AG717)</f>
        <v/>
      </c>
      <c r="AI717" s="10">
        <f>IF($A717="","",IFERROR(INDEX('2_IMPORTAR_EJECUCION'!$F$9:$F$1208,MATCH($AQ717,'2_IMPORTAR_EJECUCION'!$J$9:$J$1208,0)),0))</f>
        <v/>
      </c>
      <c r="AJ717" s="10">
        <f>IF($A717="","",MAX(0,IFERROR(INDEX('2_IMPORTAR_EJECUCION'!$H$9:$H$1208,MATCH($AQ717,'2_IMPORTAR_EJECUCION'!$J$9:$J$1208,0)),0)-$AI717))</f>
        <v/>
      </c>
      <c r="AK717" s="10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2">
        <f>IF($J718="","",TODAY()-$J718)</f>
        <v/>
      </c>
      <c r="AB718" s="12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IF($AE718="","",IF((IFERROR(INDEX('ASIGNACIONES'!$F$4:$F$339,MATCH($O718&amp;"|"&amp;$R718&amp;"|"&amp;$AE718,'ASIGNACIONES'!$J$4:$J$339,0)),""))=0,"",IFERROR(INDEX('ASIGNACIONES'!$F$4:$F$339,MATCH($O718&amp;"|"&amp;$R718&amp;"|"&amp;$AE718,'ASIGNACIONES'!$J$4:$J$339,0)),"")))</f>
        <v/>
      </c>
      <c r="AG718" s="13">
        <f>IF($AE718="","",SUMIFS('ORDENES'!$M$4:$M$1203,'ORDENES'!$AE$4:$AE$1203,$AE718,'ORDENES'!$O$4:$O$1203,$O718,'ORDENES'!$R$4:$R$1203,$R718))</f>
        <v/>
      </c>
      <c r="AH718" s="13">
        <f>IF($AG718="","",p_factor_productividad*IFERROR(INDEX('ASIGNACIONES'!$I$4:$I$339,MATCH($O718&amp;"|"&amp;$R718&amp;"|"&amp;$AE718,'ASIGNACIONES'!$J$4:$J$339,0)),0)-$AG718)</f>
        <v/>
      </c>
      <c r="AI718" s="10">
        <f>IF($A718="","",IFERROR(INDEX('2_IMPORTAR_EJECUCION'!$F$9:$F$1208,MATCH($AQ718,'2_IMPORTAR_EJECUCION'!$J$9:$J$1208,0)),0))</f>
        <v/>
      </c>
      <c r="AJ718" s="10">
        <f>IF($A718="","",MAX(0,IFERROR(INDEX('2_IMPORTAR_EJECUCION'!$H$9:$H$1208,MATCH($AQ718,'2_IMPORTAR_EJECUCION'!$J$9:$J$1208,0)),0)-$AI718))</f>
        <v/>
      </c>
      <c r="AK718" s="10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2">
        <f>IF($J719="","",TODAY()-$J719)</f>
        <v/>
      </c>
      <c r="AB719" s="12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IF($AE719="","",IF((IFERROR(INDEX('ASIGNACIONES'!$F$4:$F$339,MATCH($O719&amp;"|"&amp;$R719&amp;"|"&amp;$AE719,'ASIGNACIONES'!$J$4:$J$339,0)),""))=0,"",IFERROR(INDEX('ASIGNACIONES'!$F$4:$F$339,MATCH($O719&amp;"|"&amp;$R719&amp;"|"&amp;$AE719,'ASIGNACIONES'!$J$4:$J$339,0)),"")))</f>
        <v/>
      </c>
      <c r="AG719" s="13">
        <f>IF($AE719="","",SUMIFS('ORDENES'!$M$4:$M$1203,'ORDENES'!$AE$4:$AE$1203,$AE719,'ORDENES'!$O$4:$O$1203,$O719,'ORDENES'!$R$4:$R$1203,$R719))</f>
        <v/>
      </c>
      <c r="AH719" s="13">
        <f>IF($AG719="","",p_factor_productividad*IFERROR(INDEX('ASIGNACIONES'!$I$4:$I$339,MATCH($O719&amp;"|"&amp;$R719&amp;"|"&amp;$AE719,'ASIGNACIONES'!$J$4:$J$339,0)),0)-$AG719)</f>
        <v/>
      </c>
      <c r="AI719" s="10">
        <f>IF($A719="","",IFERROR(INDEX('2_IMPORTAR_EJECUCION'!$F$9:$F$1208,MATCH($AQ719,'2_IMPORTAR_EJECUCION'!$J$9:$J$1208,0)),0))</f>
        <v/>
      </c>
      <c r="AJ719" s="10">
        <f>IF($A719="","",MAX(0,IFERROR(INDEX('2_IMPORTAR_EJECUCION'!$H$9:$H$1208,MATCH($AQ719,'2_IMPORTAR_EJECUCION'!$J$9:$J$1208,0)),0)-$AI719))</f>
        <v/>
      </c>
      <c r="AK719" s="10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2">
        <f>IF($J720="","",TODAY()-$J720)</f>
        <v/>
      </c>
      <c r="AB720" s="12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IF($AE720="","",IF((IFERROR(INDEX('ASIGNACIONES'!$F$4:$F$339,MATCH($O720&amp;"|"&amp;$R720&amp;"|"&amp;$AE720,'ASIGNACIONES'!$J$4:$J$339,0)),""))=0,"",IFERROR(INDEX('ASIGNACIONES'!$F$4:$F$339,MATCH($O720&amp;"|"&amp;$R720&amp;"|"&amp;$AE720,'ASIGNACIONES'!$J$4:$J$339,0)),"")))</f>
        <v/>
      </c>
      <c r="AG720" s="13">
        <f>IF($AE720="","",SUMIFS('ORDENES'!$M$4:$M$1203,'ORDENES'!$AE$4:$AE$1203,$AE720,'ORDENES'!$O$4:$O$1203,$O720,'ORDENES'!$R$4:$R$1203,$R720))</f>
        <v/>
      </c>
      <c r="AH720" s="13">
        <f>IF($AG720="","",p_factor_productividad*IFERROR(INDEX('ASIGNACIONES'!$I$4:$I$339,MATCH($O720&amp;"|"&amp;$R720&amp;"|"&amp;$AE720,'ASIGNACIONES'!$J$4:$J$339,0)),0)-$AG720)</f>
        <v/>
      </c>
      <c r="AI720" s="10">
        <f>IF($A720="","",IFERROR(INDEX('2_IMPORTAR_EJECUCION'!$F$9:$F$1208,MATCH($AQ720,'2_IMPORTAR_EJECUCION'!$J$9:$J$1208,0)),0))</f>
        <v/>
      </c>
      <c r="AJ720" s="10">
        <f>IF($A720="","",MAX(0,IFERROR(INDEX('2_IMPORTAR_EJECUCION'!$H$9:$H$1208,MATCH($AQ720,'2_IMPORTAR_EJECUCION'!$J$9:$J$1208,0)),0)-$AI720))</f>
        <v/>
      </c>
      <c r="AK720" s="10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2">
        <f>IF($J721="","",TODAY()-$J721)</f>
        <v/>
      </c>
      <c r="AB721" s="12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IF($AE721="","",IF((IFERROR(INDEX('ASIGNACIONES'!$F$4:$F$339,MATCH($O721&amp;"|"&amp;$R721&amp;"|"&amp;$AE721,'ASIGNACIONES'!$J$4:$J$339,0)),""))=0,"",IFERROR(INDEX('ASIGNACIONES'!$F$4:$F$339,MATCH($O721&amp;"|"&amp;$R721&amp;"|"&amp;$AE721,'ASIGNACIONES'!$J$4:$J$339,0)),"")))</f>
        <v/>
      </c>
      <c r="AG721" s="13">
        <f>IF($AE721="","",SUMIFS('ORDENES'!$M$4:$M$1203,'ORDENES'!$AE$4:$AE$1203,$AE721,'ORDENES'!$O$4:$O$1203,$O721,'ORDENES'!$R$4:$R$1203,$R721))</f>
        <v/>
      </c>
      <c r="AH721" s="13">
        <f>IF($AG721="","",p_factor_productividad*IFERROR(INDEX('ASIGNACIONES'!$I$4:$I$339,MATCH($O721&amp;"|"&amp;$R721&amp;"|"&amp;$AE721,'ASIGNACIONES'!$J$4:$J$339,0)),0)-$AG721)</f>
        <v/>
      </c>
      <c r="AI721" s="10">
        <f>IF($A721="","",IFERROR(INDEX('2_IMPORTAR_EJECUCION'!$F$9:$F$1208,MATCH($AQ721,'2_IMPORTAR_EJECUCION'!$J$9:$J$1208,0)),0))</f>
        <v/>
      </c>
      <c r="AJ721" s="10">
        <f>IF($A721="","",MAX(0,IFERROR(INDEX('2_IMPORTAR_EJECUCION'!$H$9:$H$1208,MATCH($AQ721,'2_IMPORTAR_EJECUCION'!$J$9:$J$1208,0)),0)-$AI721))</f>
        <v/>
      </c>
      <c r="AK721" s="10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2">
        <f>IF($J722="","",TODAY()-$J722)</f>
        <v/>
      </c>
      <c r="AB722" s="12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IF($AE722="","",IF((IFERROR(INDEX('ASIGNACIONES'!$F$4:$F$339,MATCH($O722&amp;"|"&amp;$R722&amp;"|"&amp;$AE722,'ASIGNACIONES'!$J$4:$J$339,0)),""))=0,"",IFERROR(INDEX('ASIGNACIONES'!$F$4:$F$339,MATCH($O722&amp;"|"&amp;$R722&amp;"|"&amp;$AE722,'ASIGNACIONES'!$J$4:$J$339,0)),"")))</f>
        <v/>
      </c>
      <c r="AG722" s="13">
        <f>IF($AE722="","",SUMIFS('ORDENES'!$M$4:$M$1203,'ORDENES'!$AE$4:$AE$1203,$AE722,'ORDENES'!$O$4:$O$1203,$O722,'ORDENES'!$R$4:$R$1203,$R722))</f>
        <v/>
      </c>
      <c r="AH722" s="13">
        <f>IF($AG722="","",p_factor_productividad*IFERROR(INDEX('ASIGNACIONES'!$I$4:$I$339,MATCH($O722&amp;"|"&amp;$R722&amp;"|"&amp;$AE722,'ASIGNACIONES'!$J$4:$J$339,0)),0)-$AG722)</f>
        <v/>
      </c>
      <c r="AI722" s="10">
        <f>IF($A722="","",IFERROR(INDEX('2_IMPORTAR_EJECUCION'!$F$9:$F$1208,MATCH($AQ722,'2_IMPORTAR_EJECUCION'!$J$9:$J$1208,0)),0))</f>
        <v/>
      </c>
      <c r="AJ722" s="10">
        <f>IF($A722="","",MAX(0,IFERROR(INDEX('2_IMPORTAR_EJECUCION'!$H$9:$H$1208,MATCH($AQ722,'2_IMPORTAR_EJECUCION'!$J$9:$J$1208,0)),0)-$AI722))</f>
        <v/>
      </c>
      <c r="AK722" s="10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2">
        <f>IF($J723="","",TODAY()-$J723)</f>
        <v/>
      </c>
      <c r="AB723" s="12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IF($AE723="","",IF((IFERROR(INDEX('ASIGNACIONES'!$F$4:$F$339,MATCH($O723&amp;"|"&amp;$R723&amp;"|"&amp;$AE723,'ASIGNACIONES'!$J$4:$J$339,0)),""))=0,"",IFERROR(INDEX('ASIGNACIONES'!$F$4:$F$339,MATCH($O723&amp;"|"&amp;$R723&amp;"|"&amp;$AE723,'ASIGNACIONES'!$J$4:$J$339,0)),"")))</f>
        <v/>
      </c>
      <c r="AG723" s="13">
        <f>IF($AE723="","",SUMIFS('ORDENES'!$M$4:$M$1203,'ORDENES'!$AE$4:$AE$1203,$AE723,'ORDENES'!$O$4:$O$1203,$O723,'ORDENES'!$R$4:$R$1203,$R723))</f>
        <v/>
      </c>
      <c r="AH723" s="13">
        <f>IF($AG723="","",p_factor_productividad*IFERROR(INDEX('ASIGNACIONES'!$I$4:$I$339,MATCH($O723&amp;"|"&amp;$R723&amp;"|"&amp;$AE723,'ASIGNACIONES'!$J$4:$J$339,0)),0)-$AG723)</f>
        <v/>
      </c>
      <c r="AI723" s="10">
        <f>IF($A723="","",IFERROR(INDEX('2_IMPORTAR_EJECUCION'!$F$9:$F$1208,MATCH($AQ723,'2_IMPORTAR_EJECUCION'!$J$9:$J$1208,0)),0))</f>
        <v/>
      </c>
      <c r="AJ723" s="10">
        <f>IF($A723="","",MAX(0,IFERROR(INDEX('2_IMPORTAR_EJECUCION'!$H$9:$H$1208,MATCH($AQ723,'2_IMPORTAR_EJECUCION'!$J$9:$J$1208,0)),0)-$AI723))</f>
        <v/>
      </c>
      <c r="AK723" s="10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2">
        <f>IF($J724="","",TODAY()-$J724)</f>
        <v/>
      </c>
      <c r="AB724" s="12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IF($AE724="","",IF((IFERROR(INDEX('ASIGNACIONES'!$F$4:$F$339,MATCH($O724&amp;"|"&amp;$R724&amp;"|"&amp;$AE724,'ASIGNACIONES'!$J$4:$J$339,0)),""))=0,"",IFERROR(INDEX('ASIGNACIONES'!$F$4:$F$339,MATCH($O724&amp;"|"&amp;$R724&amp;"|"&amp;$AE724,'ASIGNACIONES'!$J$4:$J$339,0)),"")))</f>
        <v/>
      </c>
      <c r="AG724" s="13">
        <f>IF($AE724="","",SUMIFS('ORDENES'!$M$4:$M$1203,'ORDENES'!$AE$4:$AE$1203,$AE724,'ORDENES'!$O$4:$O$1203,$O724,'ORDENES'!$R$4:$R$1203,$R724))</f>
        <v/>
      </c>
      <c r="AH724" s="13">
        <f>IF($AG724="","",p_factor_productividad*IFERROR(INDEX('ASIGNACIONES'!$I$4:$I$339,MATCH($O724&amp;"|"&amp;$R724&amp;"|"&amp;$AE724,'ASIGNACIONES'!$J$4:$J$339,0)),0)-$AG724)</f>
        <v/>
      </c>
      <c r="AI724" s="10">
        <f>IF($A724="","",IFERROR(INDEX('2_IMPORTAR_EJECUCION'!$F$9:$F$1208,MATCH($AQ724,'2_IMPORTAR_EJECUCION'!$J$9:$J$1208,0)),0))</f>
        <v/>
      </c>
      <c r="AJ724" s="10">
        <f>IF($A724="","",MAX(0,IFERROR(INDEX('2_IMPORTAR_EJECUCION'!$H$9:$H$1208,MATCH($AQ724,'2_IMPORTAR_EJECUCION'!$J$9:$J$1208,0)),0)-$AI724))</f>
        <v/>
      </c>
      <c r="AK724" s="10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2">
        <f>IF($J725="","",TODAY()-$J725)</f>
        <v/>
      </c>
      <c r="AB725" s="12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IF($AE725="","",IF((IFERROR(INDEX('ASIGNACIONES'!$F$4:$F$339,MATCH($O725&amp;"|"&amp;$R725&amp;"|"&amp;$AE725,'ASIGNACIONES'!$J$4:$J$339,0)),""))=0,"",IFERROR(INDEX('ASIGNACIONES'!$F$4:$F$339,MATCH($O725&amp;"|"&amp;$R725&amp;"|"&amp;$AE725,'ASIGNACIONES'!$J$4:$J$339,0)),"")))</f>
        <v/>
      </c>
      <c r="AG725" s="13">
        <f>IF($AE725="","",SUMIFS('ORDENES'!$M$4:$M$1203,'ORDENES'!$AE$4:$AE$1203,$AE725,'ORDENES'!$O$4:$O$1203,$O725,'ORDENES'!$R$4:$R$1203,$R725))</f>
        <v/>
      </c>
      <c r="AH725" s="13">
        <f>IF($AG725="","",p_factor_productividad*IFERROR(INDEX('ASIGNACIONES'!$I$4:$I$339,MATCH($O725&amp;"|"&amp;$R725&amp;"|"&amp;$AE725,'ASIGNACIONES'!$J$4:$J$339,0)),0)-$AG725)</f>
        <v/>
      </c>
      <c r="AI725" s="10">
        <f>IF($A725="","",IFERROR(INDEX('2_IMPORTAR_EJECUCION'!$F$9:$F$1208,MATCH($AQ725,'2_IMPORTAR_EJECUCION'!$J$9:$J$1208,0)),0))</f>
        <v/>
      </c>
      <c r="AJ725" s="10">
        <f>IF($A725="","",MAX(0,IFERROR(INDEX('2_IMPORTAR_EJECUCION'!$H$9:$H$1208,MATCH($AQ725,'2_IMPORTAR_EJECUCION'!$J$9:$J$1208,0)),0)-$AI725))</f>
        <v/>
      </c>
      <c r="AK725" s="10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2">
        <f>IF($J726="","",TODAY()-$J726)</f>
        <v/>
      </c>
      <c r="AB726" s="12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IF($AE726="","",IF((IFERROR(INDEX('ASIGNACIONES'!$F$4:$F$339,MATCH($O726&amp;"|"&amp;$R726&amp;"|"&amp;$AE726,'ASIGNACIONES'!$J$4:$J$339,0)),""))=0,"",IFERROR(INDEX('ASIGNACIONES'!$F$4:$F$339,MATCH($O726&amp;"|"&amp;$R726&amp;"|"&amp;$AE726,'ASIGNACIONES'!$J$4:$J$339,0)),"")))</f>
        <v/>
      </c>
      <c r="AG726" s="13">
        <f>IF($AE726="","",SUMIFS('ORDENES'!$M$4:$M$1203,'ORDENES'!$AE$4:$AE$1203,$AE726,'ORDENES'!$O$4:$O$1203,$O726,'ORDENES'!$R$4:$R$1203,$R726))</f>
        <v/>
      </c>
      <c r="AH726" s="13">
        <f>IF($AG726="","",p_factor_productividad*IFERROR(INDEX('ASIGNACIONES'!$I$4:$I$339,MATCH($O726&amp;"|"&amp;$R726&amp;"|"&amp;$AE726,'ASIGNACIONES'!$J$4:$J$339,0)),0)-$AG726)</f>
        <v/>
      </c>
      <c r="AI726" s="10">
        <f>IF($A726="","",IFERROR(INDEX('2_IMPORTAR_EJECUCION'!$F$9:$F$1208,MATCH($AQ726,'2_IMPORTAR_EJECUCION'!$J$9:$J$1208,0)),0))</f>
        <v/>
      </c>
      <c r="AJ726" s="10">
        <f>IF($A726="","",MAX(0,IFERROR(INDEX('2_IMPORTAR_EJECUCION'!$H$9:$H$1208,MATCH($AQ726,'2_IMPORTAR_EJECUCION'!$J$9:$J$1208,0)),0)-$AI726))</f>
        <v/>
      </c>
      <c r="AK726" s="10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2">
        <f>IF($J727="","",TODAY()-$J727)</f>
        <v/>
      </c>
      <c r="AB727" s="12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IF($AE727="","",IF((IFERROR(INDEX('ASIGNACIONES'!$F$4:$F$339,MATCH($O727&amp;"|"&amp;$R727&amp;"|"&amp;$AE727,'ASIGNACIONES'!$J$4:$J$339,0)),""))=0,"",IFERROR(INDEX('ASIGNACIONES'!$F$4:$F$339,MATCH($O727&amp;"|"&amp;$R727&amp;"|"&amp;$AE727,'ASIGNACIONES'!$J$4:$J$339,0)),"")))</f>
        <v/>
      </c>
      <c r="AG727" s="13">
        <f>IF($AE727="","",SUMIFS('ORDENES'!$M$4:$M$1203,'ORDENES'!$AE$4:$AE$1203,$AE727,'ORDENES'!$O$4:$O$1203,$O727,'ORDENES'!$R$4:$R$1203,$R727))</f>
        <v/>
      </c>
      <c r="AH727" s="13">
        <f>IF($AG727="","",p_factor_productividad*IFERROR(INDEX('ASIGNACIONES'!$I$4:$I$339,MATCH($O727&amp;"|"&amp;$R727&amp;"|"&amp;$AE727,'ASIGNACIONES'!$J$4:$J$339,0)),0)-$AG727)</f>
        <v/>
      </c>
      <c r="AI727" s="10">
        <f>IF($A727="","",IFERROR(INDEX('2_IMPORTAR_EJECUCION'!$F$9:$F$1208,MATCH($AQ727,'2_IMPORTAR_EJECUCION'!$J$9:$J$1208,0)),0))</f>
        <v/>
      </c>
      <c r="AJ727" s="10">
        <f>IF($A727="","",MAX(0,IFERROR(INDEX('2_IMPORTAR_EJECUCION'!$H$9:$H$1208,MATCH($AQ727,'2_IMPORTAR_EJECUCION'!$J$9:$J$1208,0)),0)-$AI727))</f>
        <v/>
      </c>
      <c r="AK727" s="10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2">
        <f>IF($J728="","",TODAY()-$J728)</f>
        <v/>
      </c>
      <c r="AB728" s="12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IF($AE728="","",IF((IFERROR(INDEX('ASIGNACIONES'!$F$4:$F$339,MATCH($O728&amp;"|"&amp;$R728&amp;"|"&amp;$AE728,'ASIGNACIONES'!$J$4:$J$339,0)),""))=0,"",IFERROR(INDEX('ASIGNACIONES'!$F$4:$F$339,MATCH($O728&amp;"|"&amp;$R728&amp;"|"&amp;$AE728,'ASIGNACIONES'!$J$4:$J$339,0)),"")))</f>
        <v/>
      </c>
      <c r="AG728" s="13">
        <f>IF($AE728="","",SUMIFS('ORDENES'!$M$4:$M$1203,'ORDENES'!$AE$4:$AE$1203,$AE728,'ORDENES'!$O$4:$O$1203,$O728,'ORDENES'!$R$4:$R$1203,$R728))</f>
        <v/>
      </c>
      <c r="AH728" s="13">
        <f>IF($AG728="","",p_factor_productividad*IFERROR(INDEX('ASIGNACIONES'!$I$4:$I$339,MATCH($O728&amp;"|"&amp;$R728&amp;"|"&amp;$AE728,'ASIGNACIONES'!$J$4:$J$339,0)),0)-$AG728)</f>
        <v/>
      </c>
      <c r="AI728" s="10">
        <f>IF($A728="","",IFERROR(INDEX('2_IMPORTAR_EJECUCION'!$F$9:$F$1208,MATCH($AQ728,'2_IMPORTAR_EJECUCION'!$J$9:$J$1208,0)),0))</f>
        <v/>
      </c>
      <c r="AJ728" s="10">
        <f>IF($A728="","",MAX(0,IFERROR(INDEX('2_IMPORTAR_EJECUCION'!$H$9:$H$1208,MATCH($AQ728,'2_IMPORTAR_EJECUCION'!$J$9:$J$1208,0)),0)-$AI728))</f>
        <v/>
      </c>
      <c r="AK728" s="10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2">
        <f>IF($J729="","",TODAY()-$J729)</f>
        <v/>
      </c>
      <c r="AB729" s="12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IF($AE729="","",IF((IFERROR(INDEX('ASIGNACIONES'!$F$4:$F$339,MATCH($O729&amp;"|"&amp;$R729&amp;"|"&amp;$AE729,'ASIGNACIONES'!$J$4:$J$339,0)),""))=0,"",IFERROR(INDEX('ASIGNACIONES'!$F$4:$F$339,MATCH($O729&amp;"|"&amp;$R729&amp;"|"&amp;$AE729,'ASIGNACIONES'!$J$4:$J$339,0)),"")))</f>
        <v/>
      </c>
      <c r="AG729" s="13">
        <f>IF($AE729="","",SUMIFS('ORDENES'!$M$4:$M$1203,'ORDENES'!$AE$4:$AE$1203,$AE729,'ORDENES'!$O$4:$O$1203,$O729,'ORDENES'!$R$4:$R$1203,$R729))</f>
        <v/>
      </c>
      <c r="AH729" s="13">
        <f>IF($AG729="","",p_factor_productividad*IFERROR(INDEX('ASIGNACIONES'!$I$4:$I$339,MATCH($O729&amp;"|"&amp;$R729&amp;"|"&amp;$AE729,'ASIGNACIONES'!$J$4:$J$339,0)),0)-$AG729)</f>
        <v/>
      </c>
      <c r="AI729" s="10">
        <f>IF($A729="","",IFERROR(INDEX('2_IMPORTAR_EJECUCION'!$F$9:$F$1208,MATCH($AQ729,'2_IMPORTAR_EJECUCION'!$J$9:$J$1208,0)),0))</f>
        <v/>
      </c>
      <c r="AJ729" s="10">
        <f>IF($A729="","",MAX(0,IFERROR(INDEX('2_IMPORTAR_EJECUCION'!$H$9:$H$1208,MATCH($AQ729,'2_IMPORTAR_EJECUCION'!$J$9:$J$1208,0)),0)-$AI729))</f>
        <v/>
      </c>
      <c r="AK729" s="10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2">
        <f>IF($J730="","",TODAY()-$J730)</f>
        <v/>
      </c>
      <c r="AB730" s="12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IF($AE730="","",IF((IFERROR(INDEX('ASIGNACIONES'!$F$4:$F$339,MATCH($O730&amp;"|"&amp;$R730&amp;"|"&amp;$AE730,'ASIGNACIONES'!$J$4:$J$339,0)),""))=0,"",IFERROR(INDEX('ASIGNACIONES'!$F$4:$F$339,MATCH($O730&amp;"|"&amp;$R730&amp;"|"&amp;$AE730,'ASIGNACIONES'!$J$4:$J$339,0)),"")))</f>
        <v/>
      </c>
      <c r="AG730" s="13">
        <f>IF($AE730="","",SUMIFS('ORDENES'!$M$4:$M$1203,'ORDENES'!$AE$4:$AE$1203,$AE730,'ORDENES'!$O$4:$O$1203,$O730,'ORDENES'!$R$4:$R$1203,$R730))</f>
        <v/>
      </c>
      <c r="AH730" s="13">
        <f>IF($AG730="","",p_factor_productividad*IFERROR(INDEX('ASIGNACIONES'!$I$4:$I$339,MATCH($O730&amp;"|"&amp;$R730&amp;"|"&amp;$AE730,'ASIGNACIONES'!$J$4:$J$339,0)),0)-$AG730)</f>
        <v/>
      </c>
      <c r="AI730" s="10">
        <f>IF($A730="","",IFERROR(INDEX('2_IMPORTAR_EJECUCION'!$F$9:$F$1208,MATCH($AQ730,'2_IMPORTAR_EJECUCION'!$J$9:$J$1208,0)),0))</f>
        <v/>
      </c>
      <c r="AJ730" s="10">
        <f>IF($A730="","",MAX(0,IFERROR(INDEX('2_IMPORTAR_EJECUCION'!$H$9:$H$1208,MATCH($AQ730,'2_IMPORTAR_EJECUCION'!$J$9:$J$1208,0)),0)-$AI730))</f>
        <v/>
      </c>
      <c r="AK730" s="10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2">
        <f>IF($J731="","",TODAY()-$J731)</f>
        <v/>
      </c>
      <c r="AB731" s="12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IF($AE731="","",IF((IFERROR(INDEX('ASIGNACIONES'!$F$4:$F$339,MATCH($O731&amp;"|"&amp;$R731&amp;"|"&amp;$AE731,'ASIGNACIONES'!$J$4:$J$339,0)),""))=0,"",IFERROR(INDEX('ASIGNACIONES'!$F$4:$F$339,MATCH($O731&amp;"|"&amp;$R731&amp;"|"&amp;$AE731,'ASIGNACIONES'!$J$4:$J$339,0)),"")))</f>
        <v/>
      </c>
      <c r="AG731" s="13">
        <f>IF($AE731="","",SUMIFS('ORDENES'!$M$4:$M$1203,'ORDENES'!$AE$4:$AE$1203,$AE731,'ORDENES'!$O$4:$O$1203,$O731,'ORDENES'!$R$4:$R$1203,$R731))</f>
        <v/>
      </c>
      <c r="AH731" s="13">
        <f>IF($AG731="","",p_factor_productividad*IFERROR(INDEX('ASIGNACIONES'!$I$4:$I$339,MATCH($O731&amp;"|"&amp;$R731&amp;"|"&amp;$AE731,'ASIGNACIONES'!$J$4:$J$339,0)),0)-$AG731)</f>
        <v/>
      </c>
      <c r="AI731" s="10">
        <f>IF($A731="","",IFERROR(INDEX('2_IMPORTAR_EJECUCION'!$F$9:$F$1208,MATCH($AQ731,'2_IMPORTAR_EJECUCION'!$J$9:$J$1208,0)),0))</f>
        <v/>
      </c>
      <c r="AJ731" s="10">
        <f>IF($A731="","",MAX(0,IFERROR(INDEX('2_IMPORTAR_EJECUCION'!$H$9:$H$1208,MATCH($AQ731,'2_IMPORTAR_EJECUCION'!$J$9:$J$1208,0)),0)-$AI731))</f>
        <v/>
      </c>
      <c r="AK731" s="10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2">
        <f>IF($J732="","",TODAY()-$J732)</f>
        <v/>
      </c>
      <c r="AB732" s="12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IF($AE732="","",IF((IFERROR(INDEX('ASIGNACIONES'!$F$4:$F$339,MATCH($O732&amp;"|"&amp;$R732&amp;"|"&amp;$AE732,'ASIGNACIONES'!$J$4:$J$339,0)),""))=0,"",IFERROR(INDEX('ASIGNACIONES'!$F$4:$F$339,MATCH($O732&amp;"|"&amp;$R732&amp;"|"&amp;$AE732,'ASIGNACIONES'!$J$4:$J$339,0)),"")))</f>
        <v/>
      </c>
      <c r="AG732" s="13">
        <f>IF($AE732="","",SUMIFS('ORDENES'!$M$4:$M$1203,'ORDENES'!$AE$4:$AE$1203,$AE732,'ORDENES'!$O$4:$O$1203,$O732,'ORDENES'!$R$4:$R$1203,$R732))</f>
        <v/>
      </c>
      <c r="AH732" s="13">
        <f>IF($AG732="","",p_factor_productividad*IFERROR(INDEX('ASIGNACIONES'!$I$4:$I$339,MATCH($O732&amp;"|"&amp;$R732&amp;"|"&amp;$AE732,'ASIGNACIONES'!$J$4:$J$339,0)),0)-$AG732)</f>
        <v/>
      </c>
      <c r="AI732" s="10">
        <f>IF($A732="","",IFERROR(INDEX('2_IMPORTAR_EJECUCION'!$F$9:$F$1208,MATCH($AQ732,'2_IMPORTAR_EJECUCION'!$J$9:$J$1208,0)),0))</f>
        <v/>
      </c>
      <c r="AJ732" s="10">
        <f>IF($A732="","",MAX(0,IFERROR(INDEX('2_IMPORTAR_EJECUCION'!$H$9:$H$1208,MATCH($AQ732,'2_IMPORTAR_EJECUCION'!$J$9:$J$1208,0)),0)-$AI732))</f>
        <v/>
      </c>
      <c r="AK732" s="10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2">
        <f>IF($J733="","",TODAY()-$J733)</f>
        <v/>
      </c>
      <c r="AB733" s="12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IF($AE733="","",IF((IFERROR(INDEX('ASIGNACIONES'!$F$4:$F$339,MATCH($O733&amp;"|"&amp;$R733&amp;"|"&amp;$AE733,'ASIGNACIONES'!$J$4:$J$339,0)),""))=0,"",IFERROR(INDEX('ASIGNACIONES'!$F$4:$F$339,MATCH($O733&amp;"|"&amp;$R733&amp;"|"&amp;$AE733,'ASIGNACIONES'!$J$4:$J$339,0)),"")))</f>
        <v/>
      </c>
      <c r="AG733" s="13">
        <f>IF($AE733="","",SUMIFS('ORDENES'!$M$4:$M$1203,'ORDENES'!$AE$4:$AE$1203,$AE733,'ORDENES'!$O$4:$O$1203,$O733,'ORDENES'!$R$4:$R$1203,$R733))</f>
        <v/>
      </c>
      <c r="AH733" s="13">
        <f>IF($AG733="","",p_factor_productividad*IFERROR(INDEX('ASIGNACIONES'!$I$4:$I$339,MATCH($O733&amp;"|"&amp;$R733&amp;"|"&amp;$AE733,'ASIGNACIONES'!$J$4:$J$339,0)),0)-$AG733)</f>
        <v/>
      </c>
      <c r="AI733" s="10">
        <f>IF($A733="","",IFERROR(INDEX('2_IMPORTAR_EJECUCION'!$F$9:$F$1208,MATCH($AQ733,'2_IMPORTAR_EJECUCION'!$J$9:$J$1208,0)),0))</f>
        <v/>
      </c>
      <c r="AJ733" s="10">
        <f>IF($A733="","",MAX(0,IFERROR(INDEX('2_IMPORTAR_EJECUCION'!$H$9:$H$1208,MATCH($AQ733,'2_IMPORTAR_EJECUCION'!$J$9:$J$1208,0)),0)-$AI733))</f>
        <v/>
      </c>
      <c r="AK733" s="10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2">
        <f>IF($J734="","",TODAY()-$J734)</f>
        <v/>
      </c>
      <c r="AB734" s="12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IF($AE734="","",IF((IFERROR(INDEX('ASIGNACIONES'!$F$4:$F$339,MATCH($O734&amp;"|"&amp;$R734&amp;"|"&amp;$AE734,'ASIGNACIONES'!$J$4:$J$339,0)),""))=0,"",IFERROR(INDEX('ASIGNACIONES'!$F$4:$F$339,MATCH($O734&amp;"|"&amp;$R734&amp;"|"&amp;$AE734,'ASIGNACIONES'!$J$4:$J$339,0)),"")))</f>
        <v/>
      </c>
      <c r="AG734" s="13">
        <f>IF($AE734="","",SUMIFS('ORDENES'!$M$4:$M$1203,'ORDENES'!$AE$4:$AE$1203,$AE734,'ORDENES'!$O$4:$O$1203,$O734,'ORDENES'!$R$4:$R$1203,$R734))</f>
        <v/>
      </c>
      <c r="AH734" s="13">
        <f>IF($AG734="","",p_factor_productividad*IFERROR(INDEX('ASIGNACIONES'!$I$4:$I$339,MATCH($O734&amp;"|"&amp;$R734&amp;"|"&amp;$AE734,'ASIGNACIONES'!$J$4:$J$339,0)),0)-$AG734)</f>
        <v/>
      </c>
      <c r="AI734" s="10">
        <f>IF($A734="","",IFERROR(INDEX('2_IMPORTAR_EJECUCION'!$F$9:$F$1208,MATCH($AQ734,'2_IMPORTAR_EJECUCION'!$J$9:$J$1208,0)),0))</f>
        <v/>
      </c>
      <c r="AJ734" s="10">
        <f>IF($A734="","",MAX(0,IFERROR(INDEX('2_IMPORTAR_EJECUCION'!$H$9:$H$1208,MATCH($AQ734,'2_IMPORTAR_EJECUCION'!$J$9:$J$1208,0)),0)-$AI734))</f>
        <v/>
      </c>
      <c r="AK734" s="10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2">
        <f>IF($J735="","",TODAY()-$J735)</f>
        <v/>
      </c>
      <c r="AB735" s="12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IF($AE735="","",IF((IFERROR(INDEX('ASIGNACIONES'!$F$4:$F$339,MATCH($O735&amp;"|"&amp;$R735&amp;"|"&amp;$AE735,'ASIGNACIONES'!$J$4:$J$339,0)),""))=0,"",IFERROR(INDEX('ASIGNACIONES'!$F$4:$F$339,MATCH($O735&amp;"|"&amp;$R735&amp;"|"&amp;$AE735,'ASIGNACIONES'!$J$4:$J$339,0)),"")))</f>
        <v/>
      </c>
      <c r="AG735" s="13">
        <f>IF($AE735="","",SUMIFS('ORDENES'!$M$4:$M$1203,'ORDENES'!$AE$4:$AE$1203,$AE735,'ORDENES'!$O$4:$O$1203,$O735,'ORDENES'!$R$4:$R$1203,$R735))</f>
        <v/>
      </c>
      <c r="AH735" s="13">
        <f>IF($AG735="","",p_factor_productividad*IFERROR(INDEX('ASIGNACIONES'!$I$4:$I$339,MATCH($O735&amp;"|"&amp;$R735&amp;"|"&amp;$AE735,'ASIGNACIONES'!$J$4:$J$339,0)),0)-$AG735)</f>
        <v/>
      </c>
      <c r="AI735" s="10">
        <f>IF($A735="","",IFERROR(INDEX('2_IMPORTAR_EJECUCION'!$F$9:$F$1208,MATCH($AQ735,'2_IMPORTAR_EJECUCION'!$J$9:$J$1208,0)),0))</f>
        <v/>
      </c>
      <c r="AJ735" s="10">
        <f>IF($A735="","",MAX(0,IFERROR(INDEX('2_IMPORTAR_EJECUCION'!$H$9:$H$1208,MATCH($AQ735,'2_IMPORTAR_EJECUCION'!$J$9:$J$1208,0)),0)-$AI735))</f>
        <v/>
      </c>
      <c r="AK735" s="10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2">
        <f>IF($J736="","",TODAY()-$J736)</f>
        <v/>
      </c>
      <c r="AB736" s="12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IF($AE736="","",IF((IFERROR(INDEX('ASIGNACIONES'!$F$4:$F$339,MATCH($O736&amp;"|"&amp;$R736&amp;"|"&amp;$AE736,'ASIGNACIONES'!$J$4:$J$339,0)),""))=0,"",IFERROR(INDEX('ASIGNACIONES'!$F$4:$F$339,MATCH($O736&amp;"|"&amp;$R736&amp;"|"&amp;$AE736,'ASIGNACIONES'!$J$4:$J$339,0)),"")))</f>
        <v/>
      </c>
      <c r="AG736" s="13">
        <f>IF($AE736="","",SUMIFS('ORDENES'!$M$4:$M$1203,'ORDENES'!$AE$4:$AE$1203,$AE736,'ORDENES'!$O$4:$O$1203,$O736,'ORDENES'!$R$4:$R$1203,$R736))</f>
        <v/>
      </c>
      <c r="AH736" s="13">
        <f>IF($AG736="","",p_factor_productividad*IFERROR(INDEX('ASIGNACIONES'!$I$4:$I$339,MATCH($O736&amp;"|"&amp;$R736&amp;"|"&amp;$AE736,'ASIGNACIONES'!$J$4:$J$339,0)),0)-$AG736)</f>
        <v/>
      </c>
      <c r="AI736" s="10">
        <f>IF($A736="","",IFERROR(INDEX('2_IMPORTAR_EJECUCION'!$F$9:$F$1208,MATCH($AQ736,'2_IMPORTAR_EJECUCION'!$J$9:$J$1208,0)),0))</f>
        <v/>
      </c>
      <c r="AJ736" s="10">
        <f>IF($A736="","",MAX(0,IFERROR(INDEX('2_IMPORTAR_EJECUCION'!$H$9:$H$1208,MATCH($AQ736,'2_IMPORTAR_EJECUCION'!$J$9:$J$1208,0)),0)-$AI736))</f>
        <v/>
      </c>
      <c r="AK736" s="10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2">
        <f>IF($J737="","",TODAY()-$J737)</f>
        <v/>
      </c>
      <c r="AB737" s="12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IF($AE737="","",IF((IFERROR(INDEX('ASIGNACIONES'!$F$4:$F$339,MATCH($O737&amp;"|"&amp;$R737&amp;"|"&amp;$AE737,'ASIGNACIONES'!$J$4:$J$339,0)),""))=0,"",IFERROR(INDEX('ASIGNACIONES'!$F$4:$F$339,MATCH($O737&amp;"|"&amp;$R737&amp;"|"&amp;$AE737,'ASIGNACIONES'!$J$4:$J$339,0)),"")))</f>
        <v/>
      </c>
      <c r="AG737" s="13">
        <f>IF($AE737="","",SUMIFS('ORDENES'!$M$4:$M$1203,'ORDENES'!$AE$4:$AE$1203,$AE737,'ORDENES'!$O$4:$O$1203,$O737,'ORDENES'!$R$4:$R$1203,$R737))</f>
        <v/>
      </c>
      <c r="AH737" s="13">
        <f>IF($AG737="","",p_factor_productividad*IFERROR(INDEX('ASIGNACIONES'!$I$4:$I$339,MATCH($O737&amp;"|"&amp;$R737&amp;"|"&amp;$AE737,'ASIGNACIONES'!$J$4:$J$339,0)),0)-$AG737)</f>
        <v/>
      </c>
      <c r="AI737" s="10">
        <f>IF($A737="","",IFERROR(INDEX('2_IMPORTAR_EJECUCION'!$F$9:$F$1208,MATCH($AQ737,'2_IMPORTAR_EJECUCION'!$J$9:$J$1208,0)),0))</f>
        <v/>
      </c>
      <c r="AJ737" s="10">
        <f>IF($A737="","",MAX(0,IFERROR(INDEX('2_IMPORTAR_EJECUCION'!$H$9:$H$1208,MATCH($AQ737,'2_IMPORTAR_EJECUCION'!$J$9:$J$1208,0)),0)-$AI737))</f>
        <v/>
      </c>
      <c r="AK737" s="10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2">
        <f>IF($J738="","",TODAY()-$J738)</f>
        <v/>
      </c>
      <c r="AB738" s="12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IF($AE738="","",IF((IFERROR(INDEX('ASIGNACIONES'!$F$4:$F$339,MATCH($O738&amp;"|"&amp;$R738&amp;"|"&amp;$AE738,'ASIGNACIONES'!$J$4:$J$339,0)),""))=0,"",IFERROR(INDEX('ASIGNACIONES'!$F$4:$F$339,MATCH($O738&amp;"|"&amp;$R738&amp;"|"&amp;$AE738,'ASIGNACIONES'!$J$4:$J$339,0)),"")))</f>
        <v/>
      </c>
      <c r="AG738" s="13">
        <f>IF($AE738="","",SUMIFS('ORDENES'!$M$4:$M$1203,'ORDENES'!$AE$4:$AE$1203,$AE738,'ORDENES'!$O$4:$O$1203,$O738,'ORDENES'!$R$4:$R$1203,$R738))</f>
        <v/>
      </c>
      <c r="AH738" s="13">
        <f>IF($AG738="","",p_factor_productividad*IFERROR(INDEX('ASIGNACIONES'!$I$4:$I$339,MATCH($O738&amp;"|"&amp;$R738&amp;"|"&amp;$AE738,'ASIGNACIONES'!$J$4:$J$339,0)),0)-$AG738)</f>
        <v/>
      </c>
      <c r="AI738" s="10">
        <f>IF($A738="","",IFERROR(INDEX('2_IMPORTAR_EJECUCION'!$F$9:$F$1208,MATCH($AQ738,'2_IMPORTAR_EJECUCION'!$J$9:$J$1208,0)),0))</f>
        <v/>
      </c>
      <c r="AJ738" s="10">
        <f>IF($A738="","",MAX(0,IFERROR(INDEX('2_IMPORTAR_EJECUCION'!$H$9:$H$1208,MATCH($AQ738,'2_IMPORTAR_EJECUCION'!$J$9:$J$1208,0)),0)-$AI738))</f>
        <v/>
      </c>
      <c r="AK738" s="10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2">
        <f>IF($J739="","",TODAY()-$J739)</f>
        <v/>
      </c>
      <c r="AB739" s="12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IF($AE739="","",IF((IFERROR(INDEX('ASIGNACIONES'!$F$4:$F$339,MATCH($O739&amp;"|"&amp;$R739&amp;"|"&amp;$AE739,'ASIGNACIONES'!$J$4:$J$339,0)),""))=0,"",IFERROR(INDEX('ASIGNACIONES'!$F$4:$F$339,MATCH($O739&amp;"|"&amp;$R739&amp;"|"&amp;$AE739,'ASIGNACIONES'!$J$4:$J$339,0)),"")))</f>
        <v/>
      </c>
      <c r="AG739" s="13">
        <f>IF($AE739="","",SUMIFS('ORDENES'!$M$4:$M$1203,'ORDENES'!$AE$4:$AE$1203,$AE739,'ORDENES'!$O$4:$O$1203,$O739,'ORDENES'!$R$4:$R$1203,$R739))</f>
        <v/>
      </c>
      <c r="AH739" s="13">
        <f>IF($AG739="","",p_factor_productividad*IFERROR(INDEX('ASIGNACIONES'!$I$4:$I$339,MATCH($O739&amp;"|"&amp;$R739&amp;"|"&amp;$AE739,'ASIGNACIONES'!$J$4:$J$339,0)),0)-$AG739)</f>
        <v/>
      </c>
      <c r="AI739" s="10">
        <f>IF($A739="","",IFERROR(INDEX('2_IMPORTAR_EJECUCION'!$F$9:$F$1208,MATCH($AQ739,'2_IMPORTAR_EJECUCION'!$J$9:$J$1208,0)),0))</f>
        <v/>
      </c>
      <c r="AJ739" s="10">
        <f>IF($A739="","",MAX(0,IFERROR(INDEX('2_IMPORTAR_EJECUCION'!$H$9:$H$1208,MATCH($AQ739,'2_IMPORTAR_EJECUCION'!$J$9:$J$1208,0)),0)-$AI739))</f>
        <v/>
      </c>
      <c r="AK739" s="10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2">
        <f>IF($J740="","",TODAY()-$J740)</f>
        <v/>
      </c>
      <c r="AB740" s="12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IF($AE740="","",IF((IFERROR(INDEX('ASIGNACIONES'!$F$4:$F$339,MATCH($O740&amp;"|"&amp;$R740&amp;"|"&amp;$AE740,'ASIGNACIONES'!$J$4:$J$339,0)),""))=0,"",IFERROR(INDEX('ASIGNACIONES'!$F$4:$F$339,MATCH($O740&amp;"|"&amp;$R740&amp;"|"&amp;$AE740,'ASIGNACIONES'!$J$4:$J$339,0)),"")))</f>
        <v/>
      </c>
      <c r="AG740" s="13">
        <f>IF($AE740="","",SUMIFS('ORDENES'!$M$4:$M$1203,'ORDENES'!$AE$4:$AE$1203,$AE740,'ORDENES'!$O$4:$O$1203,$O740,'ORDENES'!$R$4:$R$1203,$R740))</f>
        <v/>
      </c>
      <c r="AH740" s="13">
        <f>IF($AG740="","",p_factor_productividad*IFERROR(INDEX('ASIGNACIONES'!$I$4:$I$339,MATCH($O740&amp;"|"&amp;$R740&amp;"|"&amp;$AE740,'ASIGNACIONES'!$J$4:$J$339,0)),0)-$AG740)</f>
        <v/>
      </c>
      <c r="AI740" s="10">
        <f>IF($A740="","",IFERROR(INDEX('2_IMPORTAR_EJECUCION'!$F$9:$F$1208,MATCH($AQ740,'2_IMPORTAR_EJECUCION'!$J$9:$J$1208,0)),0))</f>
        <v/>
      </c>
      <c r="AJ740" s="10">
        <f>IF($A740="","",MAX(0,IFERROR(INDEX('2_IMPORTAR_EJECUCION'!$H$9:$H$1208,MATCH($AQ740,'2_IMPORTAR_EJECUCION'!$J$9:$J$1208,0)),0)-$AI740))</f>
        <v/>
      </c>
      <c r="AK740" s="10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2">
        <f>IF($J741="","",TODAY()-$J741)</f>
        <v/>
      </c>
      <c r="AB741" s="12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IF($AE741="","",IF((IFERROR(INDEX('ASIGNACIONES'!$F$4:$F$339,MATCH($O741&amp;"|"&amp;$R741&amp;"|"&amp;$AE741,'ASIGNACIONES'!$J$4:$J$339,0)),""))=0,"",IFERROR(INDEX('ASIGNACIONES'!$F$4:$F$339,MATCH($O741&amp;"|"&amp;$R741&amp;"|"&amp;$AE741,'ASIGNACIONES'!$J$4:$J$339,0)),"")))</f>
        <v/>
      </c>
      <c r="AG741" s="13">
        <f>IF($AE741="","",SUMIFS('ORDENES'!$M$4:$M$1203,'ORDENES'!$AE$4:$AE$1203,$AE741,'ORDENES'!$O$4:$O$1203,$O741,'ORDENES'!$R$4:$R$1203,$R741))</f>
        <v/>
      </c>
      <c r="AH741" s="13">
        <f>IF($AG741="","",p_factor_productividad*IFERROR(INDEX('ASIGNACIONES'!$I$4:$I$339,MATCH($O741&amp;"|"&amp;$R741&amp;"|"&amp;$AE741,'ASIGNACIONES'!$J$4:$J$339,0)),0)-$AG741)</f>
        <v/>
      </c>
      <c r="AI741" s="10">
        <f>IF($A741="","",IFERROR(INDEX('2_IMPORTAR_EJECUCION'!$F$9:$F$1208,MATCH($AQ741,'2_IMPORTAR_EJECUCION'!$J$9:$J$1208,0)),0))</f>
        <v/>
      </c>
      <c r="AJ741" s="10">
        <f>IF($A741="","",MAX(0,IFERROR(INDEX('2_IMPORTAR_EJECUCION'!$H$9:$H$1208,MATCH($AQ741,'2_IMPORTAR_EJECUCION'!$J$9:$J$1208,0)),0)-$AI741))</f>
        <v/>
      </c>
      <c r="AK741" s="10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2">
        <f>IF($J742="","",TODAY()-$J742)</f>
        <v/>
      </c>
      <c r="AB742" s="12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IF($AE742="","",IF((IFERROR(INDEX('ASIGNACIONES'!$F$4:$F$339,MATCH($O742&amp;"|"&amp;$R742&amp;"|"&amp;$AE742,'ASIGNACIONES'!$J$4:$J$339,0)),""))=0,"",IFERROR(INDEX('ASIGNACIONES'!$F$4:$F$339,MATCH($O742&amp;"|"&amp;$R742&amp;"|"&amp;$AE742,'ASIGNACIONES'!$J$4:$J$339,0)),"")))</f>
        <v/>
      </c>
      <c r="AG742" s="13">
        <f>IF($AE742="","",SUMIFS('ORDENES'!$M$4:$M$1203,'ORDENES'!$AE$4:$AE$1203,$AE742,'ORDENES'!$O$4:$O$1203,$O742,'ORDENES'!$R$4:$R$1203,$R742))</f>
        <v/>
      </c>
      <c r="AH742" s="13">
        <f>IF($AG742="","",p_factor_productividad*IFERROR(INDEX('ASIGNACIONES'!$I$4:$I$339,MATCH($O742&amp;"|"&amp;$R742&amp;"|"&amp;$AE742,'ASIGNACIONES'!$J$4:$J$339,0)),0)-$AG742)</f>
        <v/>
      </c>
      <c r="AI742" s="10">
        <f>IF($A742="","",IFERROR(INDEX('2_IMPORTAR_EJECUCION'!$F$9:$F$1208,MATCH($AQ742,'2_IMPORTAR_EJECUCION'!$J$9:$J$1208,0)),0))</f>
        <v/>
      </c>
      <c r="AJ742" s="10">
        <f>IF($A742="","",MAX(0,IFERROR(INDEX('2_IMPORTAR_EJECUCION'!$H$9:$H$1208,MATCH($AQ742,'2_IMPORTAR_EJECUCION'!$J$9:$J$1208,0)),0)-$AI742))</f>
        <v/>
      </c>
      <c r="AK742" s="10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2">
        <f>IF($J743="","",TODAY()-$J743)</f>
        <v/>
      </c>
      <c r="AB743" s="12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IF($AE743="","",IF((IFERROR(INDEX('ASIGNACIONES'!$F$4:$F$339,MATCH($O743&amp;"|"&amp;$R743&amp;"|"&amp;$AE743,'ASIGNACIONES'!$J$4:$J$339,0)),""))=0,"",IFERROR(INDEX('ASIGNACIONES'!$F$4:$F$339,MATCH($O743&amp;"|"&amp;$R743&amp;"|"&amp;$AE743,'ASIGNACIONES'!$J$4:$J$339,0)),"")))</f>
        <v/>
      </c>
      <c r="AG743" s="13">
        <f>IF($AE743="","",SUMIFS('ORDENES'!$M$4:$M$1203,'ORDENES'!$AE$4:$AE$1203,$AE743,'ORDENES'!$O$4:$O$1203,$O743,'ORDENES'!$R$4:$R$1203,$R743))</f>
        <v/>
      </c>
      <c r="AH743" s="13">
        <f>IF($AG743="","",p_factor_productividad*IFERROR(INDEX('ASIGNACIONES'!$I$4:$I$339,MATCH($O743&amp;"|"&amp;$R743&amp;"|"&amp;$AE743,'ASIGNACIONES'!$J$4:$J$339,0)),0)-$AG743)</f>
        <v/>
      </c>
      <c r="AI743" s="10">
        <f>IF($A743="","",IFERROR(INDEX('2_IMPORTAR_EJECUCION'!$F$9:$F$1208,MATCH($AQ743,'2_IMPORTAR_EJECUCION'!$J$9:$J$1208,0)),0))</f>
        <v/>
      </c>
      <c r="AJ743" s="10">
        <f>IF($A743="","",MAX(0,IFERROR(INDEX('2_IMPORTAR_EJECUCION'!$H$9:$H$1208,MATCH($AQ743,'2_IMPORTAR_EJECUCION'!$J$9:$J$1208,0)),0)-$AI743))</f>
        <v/>
      </c>
      <c r="AK743" s="10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2">
        <f>IF($J744="","",TODAY()-$J744)</f>
        <v/>
      </c>
      <c r="AB744" s="12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IF($AE744="","",IF((IFERROR(INDEX('ASIGNACIONES'!$F$4:$F$339,MATCH($O744&amp;"|"&amp;$R744&amp;"|"&amp;$AE744,'ASIGNACIONES'!$J$4:$J$339,0)),""))=0,"",IFERROR(INDEX('ASIGNACIONES'!$F$4:$F$339,MATCH($O744&amp;"|"&amp;$R744&amp;"|"&amp;$AE744,'ASIGNACIONES'!$J$4:$J$339,0)),"")))</f>
        <v/>
      </c>
      <c r="AG744" s="13">
        <f>IF($AE744="","",SUMIFS('ORDENES'!$M$4:$M$1203,'ORDENES'!$AE$4:$AE$1203,$AE744,'ORDENES'!$O$4:$O$1203,$O744,'ORDENES'!$R$4:$R$1203,$R744))</f>
        <v/>
      </c>
      <c r="AH744" s="13">
        <f>IF($AG744="","",p_factor_productividad*IFERROR(INDEX('ASIGNACIONES'!$I$4:$I$339,MATCH($O744&amp;"|"&amp;$R744&amp;"|"&amp;$AE744,'ASIGNACIONES'!$J$4:$J$339,0)),0)-$AG744)</f>
        <v/>
      </c>
      <c r="AI744" s="10">
        <f>IF($A744="","",IFERROR(INDEX('2_IMPORTAR_EJECUCION'!$F$9:$F$1208,MATCH($AQ744,'2_IMPORTAR_EJECUCION'!$J$9:$J$1208,0)),0))</f>
        <v/>
      </c>
      <c r="AJ744" s="10">
        <f>IF($A744="","",MAX(0,IFERROR(INDEX('2_IMPORTAR_EJECUCION'!$H$9:$H$1208,MATCH($AQ744,'2_IMPORTAR_EJECUCION'!$J$9:$J$1208,0)),0)-$AI744))</f>
        <v/>
      </c>
      <c r="AK744" s="10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2">
        <f>IF($J745="","",TODAY()-$J745)</f>
        <v/>
      </c>
      <c r="AB745" s="12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IF($AE745="","",IF((IFERROR(INDEX('ASIGNACIONES'!$F$4:$F$339,MATCH($O745&amp;"|"&amp;$R745&amp;"|"&amp;$AE745,'ASIGNACIONES'!$J$4:$J$339,0)),""))=0,"",IFERROR(INDEX('ASIGNACIONES'!$F$4:$F$339,MATCH($O745&amp;"|"&amp;$R745&amp;"|"&amp;$AE745,'ASIGNACIONES'!$J$4:$J$339,0)),"")))</f>
        <v/>
      </c>
      <c r="AG745" s="13">
        <f>IF($AE745="","",SUMIFS('ORDENES'!$M$4:$M$1203,'ORDENES'!$AE$4:$AE$1203,$AE745,'ORDENES'!$O$4:$O$1203,$O745,'ORDENES'!$R$4:$R$1203,$R745))</f>
        <v/>
      </c>
      <c r="AH745" s="13">
        <f>IF($AG745="","",p_factor_productividad*IFERROR(INDEX('ASIGNACIONES'!$I$4:$I$339,MATCH($O745&amp;"|"&amp;$R745&amp;"|"&amp;$AE745,'ASIGNACIONES'!$J$4:$J$339,0)),0)-$AG745)</f>
        <v/>
      </c>
      <c r="AI745" s="10">
        <f>IF($A745="","",IFERROR(INDEX('2_IMPORTAR_EJECUCION'!$F$9:$F$1208,MATCH($AQ745,'2_IMPORTAR_EJECUCION'!$J$9:$J$1208,0)),0))</f>
        <v/>
      </c>
      <c r="AJ745" s="10">
        <f>IF($A745="","",MAX(0,IFERROR(INDEX('2_IMPORTAR_EJECUCION'!$H$9:$H$1208,MATCH($AQ745,'2_IMPORTAR_EJECUCION'!$J$9:$J$1208,0)),0)-$AI745))</f>
        <v/>
      </c>
      <c r="AK745" s="10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2">
        <f>IF($J746="","",TODAY()-$J746)</f>
        <v/>
      </c>
      <c r="AB746" s="12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IF($AE746="","",IF((IFERROR(INDEX('ASIGNACIONES'!$F$4:$F$339,MATCH($O746&amp;"|"&amp;$R746&amp;"|"&amp;$AE746,'ASIGNACIONES'!$J$4:$J$339,0)),""))=0,"",IFERROR(INDEX('ASIGNACIONES'!$F$4:$F$339,MATCH($O746&amp;"|"&amp;$R746&amp;"|"&amp;$AE746,'ASIGNACIONES'!$J$4:$J$339,0)),"")))</f>
        <v/>
      </c>
      <c r="AG746" s="13">
        <f>IF($AE746="","",SUMIFS('ORDENES'!$M$4:$M$1203,'ORDENES'!$AE$4:$AE$1203,$AE746,'ORDENES'!$O$4:$O$1203,$O746,'ORDENES'!$R$4:$R$1203,$R746))</f>
        <v/>
      </c>
      <c r="AH746" s="13">
        <f>IF($AG746="","",p_factor_productividad*IFERROR(INDEX('ASIGNACIONES'!$I$4:$I$339,MATCH($O746&amp;"|"&amp;$R746&amp;"|"&amp;$AE746,'ASIGNACIONES'!$J$4:$J$339,0)),0)-$AG746)</f>
        <v/>
      </c>
      <c r="AI746" s="10">
        <f>IF($A746="","",IFERROR(INDEX('2_IMPORTAR_EJECUCION'!$F$9:$F$1208,MATCH($AQ746,'2_IMPORTAR_EJECUCION'!$J$9:$J$1208,0)),0))</f>
        <v/>
      </c>
      <c r="AJ746" s="10">
        <f>IF($A746="","",MAX(0,IFERROR(INDEX('2_IMPORTAR_EJECUCION'!$H$9:$H$1208,MATCH($AQ746,'2_IMPORTAR_EJECUCION'!$J$9:$J$1208,0)),0)-$AI746))</f>
        <v/>
      </c>
      <c r="AK746" s="10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2">
        <f>IF($J747="","",TODAY()-$J747)</f>
        <v/>
      </c>
      <c r="AB747" s="12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IF($AE747="","",IF((IFERROR(INDEX('ASIGNACIONES'!$F$4:$F$339,MATCH($O747&amp;"|"&amp;$R747&amp;"|"&amp;$AE747,'ASIGNACIONES'!$J$4:$J$339,0)),""))=0,"",IFERROR(INDEX('ASIGNACIONES'!$F$4:$F$339,MATCH($O747&amp;"|"&amp;$R747&amp;"|"&amp;$AE747,'ASIGNACIONES'!$J$4:$J$339,0)),"")))</f>
        <v/>
      </c>
      <c r="AG747" s="13">
        <f>IF($AE747="","",SUMIFS('ORDENES'!$M$4:$M$1203,'ORDENES'!$AE$4:$AE$1203,$AE747,'ORDENES'!$O$4:$O$1203,$O747,'ORDENES'!$R$4:$R$1203,$R747))</f>
        <v/>
      </c>
      <c r="AH747" s="13">
        <f>IF($AG747="","",p_factor_productividad*IFERROR(INDEX('ASIGNACIONES'!$I$4:$I$339,MATCH($O747&amp;"|"&amp;$R747&amp;"|"&amp;$AE747,'ASIGNACIONES'!$J$4:$J$339,0)),0)-$AG747)</f>
        <v/>
      </c>
      <c r="AI747" s="10">
        <f>IF($A747="","",IFERROR(INDEX('2_IMPORTAR_EJECUCION'!$F$9:$F$1208,MATCH($AQ747,'2_IMPORTAR_EJECUCION'!$J$9:$J$1208,0)),0))</f>
        <v/>
      </c>
      <c r="AJ747" s="10">
        <f>IF($A747="","",MAX(0,IFERROR(INDEX('2_IMPORTAR_EJECUCION'!$H$9:$H$1208,MATCH($AQ747,'2_IMPORTAR_EJECUCION'!$J$9:$J$1208,0)),0)-$AI747))</f>
        <v/>
      </c>
      <c r="AK747" s="10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2">
        <f>IF($J748="","",TODAY()-$J748)</f>
        <v/>
      </c>
      <c r="AB748" s="12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IF($AE748="","",IF((IFERROR(INDEX('ASIGNACIONES'!$F$4:$F$339,MATCH($O748&amp;"|"&amp;$R748&amp;"|"&amp;$AE748,'ASIGNACIONES'!$J$4:$J$339,0)),""))=0,"",IFERROR(INDEX('ASIGNACIONES'!$F$4:$F$339,MATCH($O748&amp;"|"&amp;$R748&amp;"|"&amp;$AE748,'ASIGNACIONES'!$J$4:$J$339,0)),"")))</f>
        <v/>
      </c>
      <c r="AG748" s="13">
        <f>IF($AE748="","",SUMIFS('ORDENES'!$M$4:$M$1203,'ORDENES'!$AE$4:$AE$1203,$AE748,'ORDENES'!$O$4:$O$1203,$O748,'ORDENES'!$R$4:$R$1203,$R748))</f>
        <v/>
      </c>
      <c r="AH748" s="13">
        <f>IF($AG748="","",p_factor_productividad*IFERROR(INDEX('ASIGNACIONES'!$I$4:$I$339,MATCH($O748&amp;"|"&amp;$R748&amp;"|"&amp;$AE748,'ASIGNACIONES'!$J$4:$J$339,0)),0)-$AG748)</f>
        <v/>
      </c>
      <c r="AI748" s="10">
        <f>IF($A748="","",IFERROR(INDEX('2_IMPORTAR_EJECUCION'!$F$9:$F$1208,MATCH($AQ748,'2_IMPORTAR_EJECUCION'!$J$9:$J$1208,0)),0))</f>
        <v/>
      </c>
      <c r="AJ748" s="10">
        <f>IF($A748="","",MAX(0,IFERROR(INDEX('2_IMPORTAR_EJECUCION'!$H$9:$H$1208,MATCH($AQ748,'2_IMPORTAR_EJECUCION'!$J$9:$J$1208,0)),0)-$AI748))</f>
        <v/>
      </c>
      <c r="AK748" s="10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2">
        <f>IF($J749="","",TODAY()-$J749)</f>
        <v/>
      </c>
      <c r="AB749" s="12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IF($AE749="","",IF((IFERROR(INDEX('ASIGNACIONES'!$F$4:$F$339,MATCH($O749&amp;"|"&amp;$R749&amp;"|"&amp;$AE749,'ASIGNACIONES'!$J$4:$J$339,0)),""))=0,"",IFERROR(INDEX('ASIGNACIONES'!$F$4:$F$339,MATCH($O749&amp;"|"&amp;$R749&amp;"|"&amp;$AE749,'ASIGNACIONES'!$J$4:$J$339,0)),"")))</f>
        <v/>
      </c>
      <c r="AG749" s="13">
        <f>IF($AE749="","",SUMIFS('ORDENES'!$M$4:$M$1203,'ORDENES'!$AE$4:$AE$1203,$AE749,'ORDENES'!$O$4:$O$1203,$O749,'ORDENES'!$R$4:$R$1203,$R749))</f>
        <v/>
      </c>
      <c r="AH749" s="13">
        <f>IF($AG749="","",p_factor_productividad*IFERROR(INDEX('ASIGNACIONES'!$I$4:$I$339,MATCH($O749&amp;"|"&amp;$R749&amp;"|"&amp;$AE749,'ASIGNACIONES'!$J$4:$J$339,0)),0)-$AG749)</f>
        <v/>
      </c>
      <c r="AI749" s="10">
        <f>IF($A749="","",IFERROR(INDEX('2_IMPORTAR_EJECUCION'!$F$9:$F$1208,MATCH($AQ749,'2_IMPORTAR_EJECUCION'!$J$9:$J$1208,0)),0))</f>
        <v/>
      </c>
      <c r="AJ749" s="10">
        <f>IF($A749="","",MAX(0,IFERROR(INDEX('2_IMPORTAR_EJECUCION'!$H$9:$H$1208,MATCH($AQ749,'2_IMPORTAR_EJECUCION'!$J$9:$J$1208,0)),0)-$AI749))</f>
        <v/>
      </c>
      <c r="AK749" s="10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2">
        <f>IF($J750="","",TODAY()-$J750)</f>
        <v/>
      </c>
      <c r="AB750" s="12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IF($AE750="","",IF((IFERROR(INDEX('ASIGNACIONES'!$F$4:$F$339,MATCH($O750&amp;"|"&amp;$R750&amp;"|"&amp;$AE750,'ASIGNACIONES'!$J$4:$J$339,0)),""))=0,"",IFERROR(INDEX('ASIGNACIONES'!$F$4:$F$339,MATCH($O750&amp;"|"&amp;$R750&amp;"|"&amp;$AE750,'ASIGNACIONES'!$J$4:$J$339,0)),"")))</f>
        <v/>
      </c>
      <c r="AG750" s="13">
        <f>IF($AE750="","",SUMIFS('ORDENES'!$M$4:$M$1203,'ORDENES'!$AE$4:$AE$1203,$AE750,'ORDENES'!$O$4:$O$1203,$O750,'ORDENES'!$R$4:$R$1203,$R750))</f>
        <v/>
      </c>
      <c r="AH750" s="13">
        <f>IF($AG750="","",p_factor_productividad*IFERROR(INDEX('ASIGNACIONES'!$I$4:$I$339,MATCH($O750&amp;"|"&amp;$R750&amp;"|"&amp;$AE750,'ASIGNACIONES'!$J$4:$J$339,0)),0)-$AG750)</f>
        <v/>
      </c>
      <c r="AI750" s="10">
        <f>IF($A750="","",IFERROR(INDEX('2_IMPORTAR_EJECUCION'!$F$9:$F$1208,MATCH($AQ750,'2_IMPORTAR_EJECUCION'!$J$9:$J$1208,0)),0))</f>
        <v/>
      </c>
      <c r="AJ750" s="10">
        <f>IF($A750="","",MAX(0,IFERROR(INDEX('2_IMPORTAR_EJECUCION'!$H$9:$H$1208,MATCH($AQ750,'2_IMPORTAR_EJECUCION'!$J$9:$J$1208,0)),0)-$AI750))</f>
        <v/>
      </c>
      <c r="AK750" s="10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2">
        <f>IF($J751="","",TODAY()-$J751)</f>
        <v/>
      </c>
      <c r="AB751" s="12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IF($AE751="","",IF((IFERROR(INDEX('ASIGNACIONES'!$F$4:$F$339,MATCH($O751&amp;"|"&amp;$R751&amp;"|"&amp;$AE751,'ASIGNACIONES'!$J$4:$J$339,0)),""))=0,"",IFERROR(INDEX('ASIGNACIONES'!$F$4:$F$339,MATCH($O751&amp;"|"&amp;$R751&amp;"|"&amp;$AE751,'ASIGNACIONES'!$J$4:$J$339,0)),"")))</f>
        <v/>
      </c>
      <c r="AG751" s="13">
        <f>IF($AE751="","",SUMIFS('ORDENES'!$M$4:$M$1203,'ORDENES'!$AE$4:$AE$1203,$AE751,'ORDENES'!$O$4:$O$1203,$O751,'ORDENES'!$R$4:$R$1203,$R751))</f>
        <v/>
      </c>
      <c r="AH751" s="13">
        <f>IF($AG751="","",p_factor_productividad*IFERROR(INDEX('ASIGNACIONES'!$I$4:$I$339,MATCH($O751&amp;"|"&amp;$R751&amp;"|"&amp;$AE751,'ASIGNACIONES'!$J$4:$J$339,0)),0)-$AG751)</f>
        <v/>
      </c>
      <c r="AI751" s="10">
        <f>IF($A751="","",IFERROR(INDEX('2_IMPORTAR_EJECUCION'!$F$9:$F$1208,MATCH($AQ751,'2_IMPORTAR_EJECUCION'!$J$9:$J$1208,0)),0))</f>
        <v/>
      </c>
      <c r="AJ751" s="10">
        <f>IF($A751="","",MAX(0,IFERROR(INDEX('2_IMPORTAR_EJECUCION'!$H$9:$H$1208,MATCH($AQ751,'2_IMPORTAR_EJECUCION'!$J$9:$J$1208,0)),0)-$AI751))</f>
        <v/>
      </c>
      <c r="AK751" s="10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2">
        <f>IF($J752="","",TODAY()-$J752)</f>
        <v/>
      </c>
      <c r="AB752" s="12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IF($AE752="","",IF((IFERROR(INDEX('ASIGNACIONES'!$F$4:$F$339,MATCH($O752&amp;"|"&amp;$R752&amp;"|"&amp;$AE752,'ASIGNACIONES'!$J$4:$J$339,0)),""))=0,"",IFERROR(INDEX('ASIGNACIONES'!$F$4:$F$339,MATCH($O752&amp;"|"&amp;$R752&amp;"|"&amp;$AE752,'ASIGNACIONES'!$J$4:$J$339,0)),"")))</f>
        <v/>
      </c>
      <c r="AG752" s="13">
        <f>IF($AE752="","",SUMIFS('ORDENES'!$M$4:$M$1203,'ORDENES'!$AE$4:$AE$1203,$AE752,'ORDENES'!$O$4:$O$1203,$O752,'ORDENES'!$R$4:$R$1203,$R752))</f>
        <v/>
      </c>
      <c r="AH752" s="13">
        <f>IF($AG752="","",p_factor_productividad*IFERROR(INDEX('ASIGNACIONES'!$I$4:$I$339,MATCH($O752&amp;"|"&amp;$R752&amp;"|"&amp;$AE752,'ASIGNACIONES'!$J$4:$J$339,0)),0)-$AG752)</f>
        <v/>
      </c>
      <c r="AI752" s="10">
        <f>IF($A752="","",IFERROR(INDEX('2_IMPORTAR_EJECUCION'!$F$9:$F$1208,MATCH($AQ752,'2_IMPORTAR_EJECUCION'!$J$9:$J$1208,0)),0))</f>
        <v/>
      </c>
      <c r="AJ752" s="10">
        <f>IF($A752="","",MAX(0,IFERROR(INDEX('2_IMPORTAR_EJECUCION'!$H$9:$H$1208,MATCH($AQ752,'2_IMPORTAR_EJECUCION'!$J$9:$J$1208,0)),0)-$AI752))</f>
        <v/>
      </c>
      <c r="AK752" s="10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2">
        <f>IF($J753="","",TODAY()-$J753)</f>
        <v/>
      </c>
      <c r="AB753" s="12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IF($AE753="","",IF((IFERROR(INDEX('ASIGNACIONES'!$F$4:$F$339,MATCH($O753&amp;"|"&amp;$R753&amp;"|"&amp;$AE753,'ASIGNACIONES'!$J$4:$J$339,0)),""))=0,"",IFERROR(INDEX('ASIGNACIONES'!$F$4:$F$339,MATCH($O753&amp;"|"&amp;$R753&amp;"|"&amp;$AE753,'ASIGNACIONES'!$J$4:$J$339,0)),"")))</f>
        <v/>
      </c>
      <c r="AG753" s="13">
        <f>IF($AE753="","",SUMIFS('ORDENES'!$M$4:$M$1203,'ORDENES'!$AE$4:$AE$1203,$AE753,'ORDENES'!$O$4:$O$1203,$O753,'ORDENES'!$R$4:$R$1203,$R753))</f>
        <v/>
      </c>
      <c r="AH753" s="13">
        <f>IF($AG753="","",p_factor_productividad*IFERROR(INDEX('ASIGNACIONES'!$I$4:$I$339,MATCH($O753&amp;"|"&amp;$R753&amp;"|"&amp;$AE753,'ASIGNACIONES'!$J$4:$J$339,0)),0)-$AG753)</f>
        <v/>
      </c>
      <c r="AI753" s="10">
        <f>IF($A753="","",IFERROR(INDEX('2_IMPORTAR_EJECUCION'!$F$9:$F$1208,MATCH($AQ753,'2_IMPORTAR_EJECUCION'!$J$9:$J$1208,0)),0))</f>
        <v/>
      </c>
      <c r="AJ753" s="10">
        <f>IF($A753="","",MAX(0,IFERROR(INDEX('2_IMPORTAR_EJECUCION'!$H$9:$H$1208,MATCH($AQ753,'2_IMPORTAR_EJECUCION'!$J$9:$J$1208,0)),0)-$AI753))</f>
        <v/>
      </c>
      <c r="AK753" s="10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2">
        <f>IF($J754="","",TODAY()-$J754)</f>
        <v/>
      </c>
      <c r="AB754" s="12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IF($AE754="","",IF((IFERROR(INDEX('ASIGNACIONES'!$F$4:$F$339,MATCH($O754&amp;"|"&amp;$R754&amp;"|"&amp;$AE754,'ASIGNACIONES'!$J$4:$J$339,0)),""))=0,"",IFERROR(INDEX('ASIGNACIONES'!$F$4:$F$339,MATCH($O754&amp;"|"&amp;$R754&amp;"|"&amp;$AE754,'ASIGNACIONES'!$J$4:$J$339,0)),"")))</f>
        <v/>
      </c>
      <c r="AG754" s="13">
        <f>IF($AE754="","",SUMIFS('ORDENES'!$M$4:$M$1203,'ORDENES'!$AE$4:$AE$1203,$AE754,'ORDENES'!$O$4:$O$1203,$O754,'ORDENES'!$R$4:$R$1203,$R754))</f>
        <v/>
      </c>
      <c r="AH754" s="13">
        <f>IF($AG754="","",p_factor_productividad*IFERROR(INDEX('ASIGNACIONES'!$I$4:$I$339,MATCH($O754&amp;"|"&amp;$R754&amp;"|"&amp;$AE754,'ASIGNACIONES'!$J$4:$J$339,0)),0)-$AG754)</f>
        <v/>
      </c>
      <c r="AI754" s="10">
        <f>IF($A754="","",IFERROR(INDEX('2_IMPORTAR_EJECUCION'!$F$9:$F$1208,MATCH($AQ754,'2_IMPORTAR_EJECUCION'!$J$9:$J$1208,0)),0))</f>
        <v/>
      </c>
      <c r="AJ754" s="10">
        <f>IF($A754="","",MAX(0,IFERROR(INDEX('2_IMPORTAR_EJECUCION'!$H$9:$H$1208,MATCH($AQ754,'2_IMPORTAR_EJECUCION'!$J$9:$J$1208,0)),0)-$AI754))</f>
        <v/>
      </c>
      <c r="AK754" s="10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2">
        <f>IF($J755="","",TODAY()-$J755)</f>
        <v/>
      </c>
      <c r="AB755" s="12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IF($AE755="","",IF((IFERROR(INDEX('ASIGNACIONES'!$F$4:$F$339,MATCH($O755&amp;"|"&amp;$R755&amp;"|"&amp;$AE755,'ASIGNACIONES'!$J$4:$J$339,0)),""))=0,"",IFERROR(INDEX('ASIGNACIONES'!$F$4:$F$339,MATCH($O755&amp;"|"&amp;$R755&amp;"|"&amp;$AE755,'ASIGNACIONES'!$J$4:$J$339,0)),"")))</f>
        <v/>
      </c>
      <c r="AG755" s="13">
        <f>IF($AE755="","",SUMIFS('ORDENES'!$M$4:$M$1203,'ORDENES'!$AE$4:$AE$1203,$AE755,'ORDENES'!$O$4:$O$1203,$O755,'ORDENES'!$R$4:$R$1203,$R755))</f>
        <v/>
      </c>
      <c r="AH755" s="13">
        <f>IF($AG755="","",p_factor_productividad*IFERROR(INDEX('ASIGNACIONES'!$I$4:$I$339,MATCH($O755&amp;"|"&amp;$R755&amp;"|"&amp;$AE755,'ASIGNACIONES'!$J$4:$J$339,0)),0)-$AG755)</f>
        <v/>
      </c>
      <c r="AI755" s="10">
        <f>IF($A755="","",IFERROR(INDEX('2_IMPORTAR_EJECUCION'!$F$9:$F$1208,MATCH($AQ755,'2_IMPORTAR_EJECUCION'!$J$9:$J$1208,0)),0))</f>
        <v/>
      </c>
      <c r="AJ755" s="10">
        <f>IF($A755="","",MAX(0,IFERROR(INDEX('2_IMPORTAR_EJECUCION'!$H$9:$H$1208,MATCH($AQ755,'2_IMPORTAR_EJECUCION'!$J$9:$J$1208,0)),0)-$AI755))</f>
        <v/>
      </c>
      <c r="AK755" s="10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2">
        <f>IF($J756="","",TODAY()-$J756)</f>
        <v/>
      </c>
      <c r="AB756" s="12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IF($AE756="","",IF((IFERROR(INDEX('ASIGNACIONES'!$F$4:$F$339,MATCH($O756&amp;"|"&amp;$R756&amp;"|"&amp;$AE756,'ASIGNACIONES'!$J$4:$J$339,0)),""))=0,"",IFERROR(INDEX('ASIGNACIONES'!$F$4:$F$339,MATCH($O756&amp;"|"&amp;$R756&amp;"|"&amp;$AE756,'ASIGNACIONES'!$J$4:$J$339,0)),"")))</f>
        <v/>
      </c>
      <c r="AG756" s="13">
        <f>IF($AE756="","",SUMIFS('ORDENES'!$M$4:$M$1203,'ORDENES'!$AE$4:$AE$1203,$AE756,'ORDENES'!$O$4:$O$1203,$O756,'ORDENES'!$R$4:$R$1203,$R756))</f>
        <v/>
      </c>
      <c r="AH756" s="13">
        <f>IF($AG756="","",p_factor_productividad*IFERROR(INDEX('ASIGNACIONES'!$I$4:$I$339,MATCH($O756&amp;"|"&amp;$R756&amp;"|"&amp;$AE756,'ASIGNACIONES'!$J$4:$J$339,0)),0)-$AG756)</f>
        <v/>
      </c>
      <c r="AI756" s="10">
        <f>IF($A756="","",IFERROR(INDEX('2_IMPORTAR_EJECUCION'!$F$9:$F$1208,MATCH($AQ756,'2_IMPORTAR_EJECUCION'!$J$9:$J$1208,0)),0))</f>
        <v/>
      </c>
      <c r="AJ756" s="10">
        <f>IF($A756="","",MAX(0,IFERROR(INDEX('2_IMPORTAR_EJECUCION'!$H$9:$H$1208,MATCH($AQ756,'2_IMPORTAR_EJECUCION'!$J$9:$J$1208,0)),0)-$AI756))</f>
        <v/>
      </c>
      <c r="AK756" s="10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2">
        <f>IF($J757="","",TODAY()-$J757)</f>
        <v/>
      </c>
      <c r="AB757" s="12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IF($AE757="","",IF((IFERROR(INDEX('ASIGNACIONES'!$F$4:$F$339,MATCH($O757&amp;"|"&amp;$R757&amp;"|"&amp;$AE757,'ASIGNACIONES'!$J$4:$J$339,0)),""))=0,"",IFERROR(INDEX('ASIGNACIONES'!$F$4:$F$339,MATCH($O757&amp;"|"&amp;$R757&amp;"|"&amp;$AE757,'ASIGNACIONES'!$J$4:$J$339,0)),"")))</f>
        <v/>
      </c>
      <c r="AG757" s="13">
        <f>IF($AE757="","",SUMIFS('ORDENES'!$M$4:$M$1203,'ORDENES'!$AE$4:$AE$1203,$AE757,'ORDENES'!$O$4:$O$1203,$O757,'ORDENES'!$R$4:$R$1203,$R757))</f>
        <v/>
      </c>
      <c r="AH757" s="13">
        <f>IF($AG757="","",p_factor_productividad*IFERROR(INDEX('ASIGNACIONES'!$I$4:$I$339,MATCH($O757&amp;"|"&amp;$R757&amp;"|"&amp;$AE757,'ASIGNACIONES'!$J$4:$J$339,0)),0)-$AG757)</f>
        <v/>
      </c>
      <c r="AI757" s="10">
        <f>IF($A757="","",IFERROR(INDEX('2_IMPORTAR_EJECUCION'!$F$9:$F$1208,MATCH($AQ757,'2_IMPORTAR_EJECUCION'!$J$9:$J$1208,0)),0))</f>
        <v/>
      </c>
      <c r="AJ757" s="10">
        <f>IF($A757="","",MAX(0,IFERROR(INDEX('2_IMPORTAR_EJECUCION'!$H$9:$H$1208,MATCH($AQ757,'2_IMPORTAR_EJECUCION'!$J$9:$J$1208,0)),0)-$AI757))</f>
        <v/>
      </c>
      <c r="AK757" s="10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2">
        <f>IF($J758="","",TODAY()-$J758)</f>
        <v/>
      </c>
      <c r="AB758" s="12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IF($AE758="","",IF((IFERROR(INDEX('ASIGNACIONES'!$F$4:$F$339,MATCH($O758&amp;"|"&amp;$R758&amp;"|"&amp;$AE758,'ASIGNACIONES'!$J$4:$J$339,0)),""))=0,"",IFERROR(INDEX('ASIGNACIONES'!$F$4:$F$339,MATCH($O758&amp;"|"&amp;$R758&amp;"|"&amp;$AE758,'ASIGNACIONES'!$J$4:$J$339,0)),"")))</f>
        <v/>
      </c>
      <c r="AG758" s="13">
        <f>IF($AE758="","",SUMIFS('ORDENES'!$M$4:$M$1203,'ORDENES'!$AE$4:$AE$1203,$AE758,'ORDENES'!$O$4:$O$1203,$O758,'ORDENES'!$R$4:$R$1203,$R758))</f>
        <v/>
      </c>
      <c r="AH758" s="13">
        <f>IF($AG758="","",p_factor_productividad*IFERROR(INDEX('ASIGNACIONES'!$I$4:$I$339,MATCH($O758&amp;"|"&amp;$R758&amp;"|"&amp;$AE758,'ASIGNACIONES'!$J$4:$J$339,0)),0)-$AG758)</f>
        <v/>
      </c>
      <c r="AI758" s="10">
        <f>IF($A758="","",IFERROR(INDEX('2_IMPORTAR_EJECUCION'!$F$9:$F$1208,MATCH($AQ758,'2_IMPORTAR_EJECUCION'!$J$9:$J$1208,0)),0))</f>
        <v/>
      </c>
      <c r="AJ758" s="10">
        <f>IF($A758="","",MAX(0,IFERROR(INDEX('2_IMPORTAR_EJECUCION'!$H$9:$H$1208,MATCH($AQ758,'2_IMPORTAR_EJECUCION'!$J$9:$J$1208,0)),0)-$AI758))</f>
        <v/>
      </c>
      <c r="AK758" s="10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2">
        <f>IF($J759="","",TODAY()-$J759)</f>
        <v/>
      </c>
      <c r="AB759" s="12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IF($AE759="","",IF((IFERROR(INDEX('ASIGNACIONES'!$F$4:$F$339,MATCH($O759&amp;"|"&amp;$R759&amp;"|"&amp;$AE759,'ASIGNACIONES'!$J$4:$J$339,0)),""))=0,"",IFERROR(INDEX('ASIGNACIONES'!$F$4:$F$339,MATCH($O759&amp;"|"&amp;$R759&amp;"|"&amp;$AE759,'ASIGNACIONES'!$J$4:$J$339,0)),"")))</f>
        <v/>
      </c>
      <c r="AG759" s="13">
        <f>IF($AE759="","",SUMIFS('ORDENES'!$M$4:$M$1203,'ORDENES'!$AE$4:$AE$1203,$AE759,'ORDENES'!$O$4:$O$1203,$O759,'ORDENES'!$R$4:$R$1203,$R759))</f>
        <v/>
      </c>
      <c r="AH759" s="13">
        <f>IF($AG759="","",p_factor_productividad*IFERROR(INDEX('ASIGNACIONES'!$I$4:$I$339,MATCH($O759&amp;"|"&amp;$R759&amp;"|"&amp;$AE759,'ASIGNACIONES'!$J$4:$J$339,0)),0)-$AG759)</f>
        <v/>
      </c>
      <c r="AI759" s="10">
        <f>IF($A759="","",IFERROR(INDEX('2_IMPORTAR_EJECUCION'!$F$9:$F$1208,MATCH($AQ759,'2_IMPORTAR_EJECUCION'!$J$9:$J$1208,0)),0))</f>
        <v/>
      </c>
      <c r="AJ759" s="10">
        <f>IF($A759="","",MAX(0,IFERROR(INDEX('2_IMPORTAR_EJECUCION'!$H$9:$H$1208,MATCH($AQ759,'2_IMPORTAR_EJECUCION'!$J$9:$J$1208,0)),0)-$AI759))</f>
        <v/>
      </c>
      <c r="AK759" s="10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2">
        <f>IF($J760="","",TODAY()-$J760)</f>
        <v/>
      </c>
      <c r="AB760" s="12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IF($AE760="","",IF((IFERROR(INDEX('ASIGNACIONES'!$F$4:$F$339,MATCH($O760&amp;"|"&amp;$R760&amp;"|"&amp;$AE760,'ASIGNACIONES'!$J$4:$J$339,0)),""))=0,"",IFERROR(INDEX('ASIGNACIONES'!$F$4:$F$339,MATCH($O760&amp;"|"&amp;$R760&amp;"|"&amp;$AE760,'ASIGNACIONES'!$J$4:$J$339,0)),"")))</f>
        <v/>
      </c>
      <c r="AG760" s="13">
        <f>IF($AE760="","",SUMIFS('ORDENES'!$M$4:$M$1203,'ORDENES'!$AE$4:$AE$1203,$AE760,'ORDENES'!$O$4:$O$1203,$O760,'ORDENES'!$R$4:$R$1203,$R760))</f>
        <v/>
      </c>
      <c r="AH760" s="13">
        <f>IF($AG760="","",p_factor_productividad*IFERROR(INDEX('ASIGNACIONES'!$I$4:$I$339,MATCH($O760&amp;"|"&amp;$R760&amp;"|"&amp;$AE760,'ASIGNACIONES'!$J$4:$J$339,0)),0)-$AG760)</f>
        <v/>
      </c>
      <c r="AI760" s="10">
        <f>IF($A760="","",IFERROR(INDEX('2_IMPORTAR_EJECUCION'!$F$9:$F$1208,MATCH($AQ760,'2_IMPORTAR_EJECUCION'!$J$9:$J$1208,0)),0))</f>
        <v/>
      </c>
      <c r="AJ760" s="10">
        <f>IF($A760="","",MAX(0,IFERROR(INDEX('2_IMPORTAR_EJECUCION'!$H$9:$H$1208,MATCH($AQ760,'2_IMPORTAR_EJECUCION'!$J$9:$J$1208,0)),0)-$AI760))</f>
        <v/>
      </c>
      <c r="AK760" s="10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2">
        <f>IF($J761="","",TODAY()-$J761)</f>
        <v/>
      </c>
      <c r="AB761" s="12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IF($AE761="","",IF((IFERROR(INDEX('ASIGNACIONES'!$F$4:$F$339,MATCH($O761&amp;"|"&amp;$R761&amp;"|"&amp;$AE761,'ASIGNACIONES'!$J$4:$J$339,0)),""))=0,"",IFERROR(INDEX('ASIGNACIONES'!$F$4:$F$339,MATCH($O761&amp;"|"&amp;$R761&amp;"|"&amp;$AE761,'ASIGNACIONES'!$J$4:$J$339,0)),"")))</f>
        <v/>
      </c>
      <c r="AG761" s="13">
        <f>IF($AE761="","",SUMIFS('ORDENES'!$M$4:$M$1203,'ORDENES'!$AE$4:$AE$1203,$AE761,'ORDENES'!$O$4:$O$1203,$O761,'ORDENES'!$R$4:$R$1203,$R761))</f>
        <v/>
      </c>
      <c r="AH761" s="13">
        <f>IF($AG761="","",p_factor_productividad*IFERROR(INDEX('ASIGNACIONES'!$I$4:$I$339,MATCH($O761&amp;"|"&amp;$R761&amp;"|"&amp;$AE761,'ASIGNACIONES'!$J$4:$J$339,0)),0)-$AG761)</f>
        <v/>
      </c>
      <c r="AI761" s="10">
        <f>IF($A761="","",IFERROR(INDEX('2_IMPORTAR_EJECUCION'!$F$9:$F$1208,MATCH($AQ761,'2_IMPORTAR_EJECUCION'!$J$9:$J$1208,0)),0))</f>
        <v/>
      </c>
      <c r="AJ761" s="10">
        <f>IF($A761="","",MAX(0,IFERROR(INDEX('2_IMPORTAR_EJECUCION'!$H$9:$H$1208,MATCH($AQ761,'2_IMPORTAR_EJECUCION'!$J$9:$J$1208,0)),0)-$AI761))</f>
        <v/>
      </c>
      <c r="AK761" s="10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2">
        <f>IF($J762="","",TODAY()-$J762)</f>
        <v/>
      </c>
      <c r="AB762" s="12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IF($AE762="","",IF((IFERROR(INDEX('ASIGNACIONES'!$F$4:$F$339,MATCH($O762&amp;"|"&amp;$R762&amp;"|"&amp;$AE762,'ASIGNACIONES'!$J$4:$J$339,0)),""))=0,"",IFERROR(INDEX('ASIGNACIONES'!$F$4:$F$339,MATCH($O762&amp;"|"&amp;$R762&amp;"|"&amp;$AE762,'ASIGNACIONES'!$J$4:$J$339,0)),"")))</f>
        <v/>
      </c>
      <c r="AG762" s="13">
        <f>IF($AE762="","",SUMIFS('ORDENES'!$M$4:$M$1203,'ORDENES'!$AE$4:$AE$1203,$AE762,'ORDENES'!$O$4:$O$1203,$O762,'ORDENES'!$R$4:$R$1203,$R762))</f>
        <v/>
      </c>
      <c r="AH762" s="13">
        <f>IF($AG762="","",p_factor_productividad*IFERROR(INDEX('ASIGNACIONES'!$I$4:$I$339,MATCH($O762&amp;"|"&amp;$R762&amp;"|"&amp;$AE762,'ASIGNACIONES'!$J$4:$J$339,0)),0)-$AG762)</f>
        <v/>
      </c>
      <c r="AI762" s="10">
        <f>IF($A762="","",IFERROR(INDEX('2_IMPORTAR_EJECUCION'!$F$9:$F$1208,MATCH($AQ762,'2_IMPORTAR_EJECUCION'!$J$9:$J$1208,0)),0))</f>
        <v/>
      </c>
      <c r="AJ762" s="10">
        <f>IF($A762="","",MAX(0,IFERROR(INDEX('2_IMPORTAR_EJECUCION'!$H$9:$H$1208,MATCH($AQ762,'2_IMPORTAR_EJECUCION'!$J$9:$J$1208,0)),0)-$AI762))</f>
        <v/>
      </c>
      <c r="AK762" s="10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2">
        <f>IF($J763="","",TODAY()-$J763)</f>
        <v/>
      </c>
      <c r="AB763" s="12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IF($AE763="","",IF((IFERROR(INDEX('ASIGNACIONES'!$F$4:$F$339,MATCH($O763&amp;"|"&amp;$R763&amp;"|"&amp;$AE763,'ASIGNACIONES'!$J$4:$J$339,0)),""))=0,"",IFERROR(INDEX('ASIGNACIONES'!$F$4:$F$339,MATCH($O763&amp;"|"&amp;$R763&amp;"|"&amp;$AE763,'ASIGNACIONES'!$J$4:$J$339,0)),"")))</f>
        <v/>
      </c>
      <c r="AG763" s="13">
        <f>IF($AE763="","",SUMIFS('ORDENES'!$M$4:$M$1203,'ORDENES'!$AE$4:$AE$1203,$AE763,'ORDENES'!$O$4:$O$1203,$O763,'ORDENES'!$R$4:$R$1203,$R763))</f>
        <v/>
      </c>
      <c r="AH763" s="13">
        <f>IF($AG763="","",p_factor_productividad*IFERROR(INDEX('ASIGNACIONES'!$I$4:$I$339,MATCH($O763&amp;"|"&amp;$R763&amp;"|"&amp;$AE763,'ASIGNACIONES'!$J$4:$J$339,0)),0)-$AG763)</f>
        <v/>
      </c>
      <c r="AI763" s="10">
        <f>IF($A763="","",IFERROR(INDEX('2_IMPORTAR_EJECUCION'!$F$9:$F$1208,MATCH($AQ763,'2_IMPORTAR_EJECUCION'!$J$9:$J$1208,0)),0))</f>
        <v/>
      </c>
      <c r="AJ763" s="10">
        <f>IF($A763="","",MAX(0,IFERROR(INDEX('2_IMPORTAR_EJECUCION'!$H$9:$H$1208,MATCH($AQ763,'2_IMPORTAR_EJECUCION'!$J$9:$J$1208,0)),0)-$AI763))</f>
        <v/>
      </c>
      <c r="AK763" s="10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2">
        <f>IF($J764="","",TODAY()-$J764)</f>
        <v/>
      </c>
      <c r="AB764" s="12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IF($AE764="","",IF((IFERROR(INDEX('ASIGNACIONES'!$F$4:$F$339,MATCH($O764&amp;"|"&amp;$R764&amp;"|"&amp;$AE764,'ASIGNACIONES'!$J$4:$J$339,0)),""))=0,"",IFERROR(INDEX('ASIGNACIONES'!$F$4:$F$339,MATCH($O764&amp;"|"&amp;$R764&amp;"|"&amp;$AE764,'ASIGNACIONES'!$J$4:$J$339,0)),"")))</f>
        <v/>
      </c>
      <c r="AG764" s="13">
        <f>IF($AE764="","",SUMIFS('ORDENES'!$M$4:$M$1203,'ORDENES'!$AE$4:$AE$1203,$AE764,'ORDENES'!$O$4:$O$1203,$O764,'ORDENES'!$R$4:$R$1203,$R764))</f>
        <v/>
      </c>
      <c r="AH764" s="13">
        <f>IF($AG764="","",p_factor_productividad*IFERROR(INDEX('ASIGNACIONES'!$I$4:$I$339,MATCH($O764&amp;"|"&amp;$R764&amp;"|"&amp;$AE764,'ASIGNACIONES'!$J$4:$J$339,0)),0)-$AG764)</f>
        <v/>
      </c>
      <c r="AI764" s="10">
        <f>IF($A764="","",IFERROR(INDEX('2_IMPORTAR_EJECUCION'!$F$9:$F$1208,MATCH($AQ764,'2_IMPORTAR_EJECUCION'!$J$9:$J$1208,0)),0))</f>
        <v/>
      </c>
      <c r="AJ764" s="10">
        <f>IF($A764="","",MAX(0,IFERROR(INDEX('2_IMPORTAR_EJECUCION'!$H$9:$H$1208,MATCH($AQ764,'2_IMPORTAR_EJECUCION'!$J$9:$J$1208,0)),0)-$AI764))</f>
        <v/>
      </c>
      <c r="AK764" s="10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2">
        <f>IF($J765="","",TODAY()-$J765)</f>
        <v/>
      </c>
      <c r="AB765" s="12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IF($AE765="","",IF((IFERROR(INDEX('ASIGNACIONES'!$F$4:$F$339,MATCH($O765&amp;"|"&amp;$R765&amp;"|"&amp;$AE765,'ASIGNACIONES'!$J$4:$J$339,0)),""))=0,"",IFERROR(INDEX('ASIGNACIONES'!$F$4:$F$339,MATCH($O765&amp;"|"&amp;$R765&amp;"|"&amp;$AE765,'ASIGNACIONES'!$J$4:$J$339,0)),"")))</f>
        <v/>
      </c>
      <c r="AG765" s="13">
        <f>IF($AE765="","",SUMIFS('ORDENES'!$M$4:$M$1203,'ORDENES'!$AE$4:$AE$1203,$AE765,'ORDENES'!$O$4:$O$1203,$O765,'ORDENES'!$R$4:$R$1203,$R765))</f>
        <v/>
      </c>
      <c r="AH765" s="13">
        <f>IF($AG765="","",p_factor_productividad*IFERROR(INDEX('ASIGNACIONES'!$I$4:$I$339,MATCH($O765&amp;"|"&amp;$R765&amp;"|"&amp;$AE765,'ASIGNACIONES'!$J$4:$J$339,0)),0)-$AG765)</f>
        <v/>
      </c>
      <c r="AI765" s="10">
        <f>IF($A765="","",IFERROR(INDEX('2_IMPORTAR_EJECUCION'!$F$9:$F$1208,MATCH($AQ765,'2_IMPORTAR_EJECUCION'!$J$9:$J$1208,0)),0))</f>
        <v/>
      </c>
      <c r="AJ765" s="10">
        <f>IF($A765="","",MAX(0,IFERROR(INDEX('2_IMPORTAR_EJECUCION'!$H$9:$H$1208,MATCH($AQ765,'2_IMPORTAR_EJECUCION'!$J$9:$J$1208,0)),0)-$AI765))</f>
        <v/>
      </c>
      <c r="AK765" s="10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2">
        <f>IF($J766="","",TODAY()-$J766)</f>
        <v/>
      </c>
      <c r="AB766" s="12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IF($AE766="","",IF((IFERROR(INDEX('ASIGNACIONES'!$F$4:$F$339,MATCH($O766&amp;"|"&amp;$R766&amp;"|"&amp;$AE766,'ASIGNACIONES'!$J$4:$J$339,0)),""))=0,"",IFERROR(INDEX('ASIGNACIONES'!$F$4:$F$339,MATCH($O766&amp;"|"&amp;$R766&amp;"|"&amp;$AE766,'ASIGNACIONES'!$J$4:$J$339,0)),"")))</f>
        <v/>
      </c>
      <c r="AG766" s="13">
        <f>IF($AE766="","",SUMIFS('ORDENES'!$M$4:$M$1203,'ORDENES'!$AE$4:$AE$1203,$AE766,'ORDENES'!$O$4:$O$1203,$O766,'ORDENES'!$R$4:$R$1203,$R766))</f>
        <v/>
      </c>
      <c r="AH766" s="13">
        <f>IF($AG766="","",p_factor_productividad*IFERROR(INDEX('ASIGNACIONES'!$I$4:$I$339,MATCH($O766&amp;"|"&amp;$R766&amp;"|"&amp;$AE766,'ASIGNACIONES'!$J$4:$J$339,0)),0)-$AG766)</f>
        <v/>
      </c>
      <c r="AI766" s="10">
        <f>IF($A766="","",IFERROR(INDEX('2_IMPORTAR_EJECUCION'!$F$9:$F$1208,MATCH($AQ766,'2_IMPORTAR_EJECUCION'!$J$9:$J$1208,0)),0))</f>
        <v/>
      </c>
      <c r="AJ766" s="10">
        <f>IF($A766="","",MAX(0,IFERROR(INDEX('2_IMPORTAR_EJECUCION'!$H$9:$H$1208,MATCH($AQ766,'2_IMPORTAR_EJECUCION'!$J$9:$J$1208,0)),0)-$AI766))</f>
        <v/>
      </c>
      <c r="AK766" s="10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2">
        <f>IF($J767="","",TODAY()-$J767)</f>
        <v/>
      </c>
      <c r="AB767" s="12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IF($AE767="","",IF((IFERROR(INDEX('ASIGNACIONES'!$F$4:$F$339,MATCH($O767&amp;"|"&amp;$R767&amp;"|"&amp;$AE767,'ASIGNACIONES'!$J$4:$J$339,0)),""))=0,"",IFERROR(INDEX('ASIGNACIONES'!$F$4:$F$339,MATCH($O767&amp;"|"&amp;$R767&amp;"|"&amp;$AE767,'ASIGNACIONES'!$J$4:$J$339,0)),"")))</f>
        <v/>
      </c>
      <c r="AG767" s="13">
        <f>IF($AE767="","",SUMIFS('ORDENES'!$M$4:$M$1203,'ORDENES'!$AE$4:$AE$1203,$AE767,'ORDENES'!$O$4:$O$1203,$O767,'ORDENES'!$R$4:$R$1203,$R767))</f>
        <v/>
      </c>
      <c r="AH767" s="13">
        <f>IF($AG767="","",p_factor_productividad*IFERROR(INDEX('ASIGNACIONES'!$I$4:$I$339,MATCH($O767&amp;"|"&amp;$R767&amp;"|"&amp;$AE767,'ASIGNACIONES'!$J$4:$J$339,0)),0)-$AG767)</f>
        <v/>
      </c>
      <c r="AI767" s="10">
        <f>IF($A767="","",IFERROR(INDEX('2_IMPORTAR_EJECUCION'!$F$9:$F$1208,MATCH($AQ767,'2_IMPORTAR_EJECUCION'!$J$9:$J$1208,0)),0))</f>
        <v/>
      </c>
      <c r="AJ767" s="10">
        <f>IF($A767="","",MAX(0,IFERROR(INDEX('2_IMPORTAR_EJECUCION'!$H$9:$H$1208,MATCH($AQ767,'2_IMPORTAR_EJECUCION'!$J$9:$J$1208,0)),0)-$AI767))</f>
        <v/>
      </c>
      <c r="AK767" s="10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2">
        <f>IF($J768="","",TODAY()-$J768)</f>
        <v/>
      </c>
      <c r="AB768" s="12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IF($AE768="","",IF((IFERROR(INDEX('ASIGNACIONES'!$F$4:$F$339,MATCH($O768&amp;"|"&amp;$R768&amp;"|"&amp;$AE768,'ASIGNACIONES'!$J$4:$J$339,0)),""))=0,"",IFERROR(INDEX('ASIGNACIONES'!$F$4:$F$339,MATCH($O768&amp;"|"&amp;$R768&amp;"|"&amp;$AE768,'ASIGNACIONES'!$J$4:$J$339,0)),"")))</f>
        <v/>
      </c>
      <c r="AG768" s="13">
        <f>IF($AE768="","",SUMIFS('ORDENES'!$M$4:$M$1203,'ORDENES'!$AE$4:$AE$1203,$AE768,'ORDENES'!$O$4:$O$1203,$O768,'ORDENES'!$R$4:$R$1203,$R768))</f>
        <v/>
      </c>
      <c r="AH768" s="13">
        <f>IF($AG768="","",p_factor_productividad*IFERROR(INDEX('ASIGNACIONES'!$I$4:$I$339,MATCH($O768&amp;"|"&amp;$R768&amp;"|"&amp;$AE768,'ASIGNACIONES'!$J$4:$J$339,0)),0)-$AG768)</f>
        <v/>
      </c>
      <c r="AI768" s="10">
        <f>IF($A768="","",IFERROR(INDEX('2_IMPORTAR_EJECUCION'!$F$9:$F$1208,MATCH($AQ768,'2_IMPORTAR_EJECUCION'!$J$9:$J$1208,0)),0))</f>
        <v/>
      </c>
      <c r="AJ768" s="10">
        <f>IF($A768="","",MAX(0,IFERROR(INDEX('2_IMPORTAR_EJECUCION'!$H$9:$H$1208,MATCH($AQ768,'2_IMPORTAR_EJECUCION'!$J$9:$J$1208,0)),0)-$AI768))</f>
        <v/>
      </c>
      <c r="AK768" s="10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2">
        <f>IF($J769="","",TODAY()-$J769)</f>
        <v/>
      </c>
      <c r="AB769" s="12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IF($AE769="","",IF((IFERROR(INDEX('ASIGNACIONES'!$F$4:$F$339,MATCH($O769&amp;"|"&amp;$R769&amp;"|"&amp;$AE769,'ASIGNACIONES'!$J$4:$J$339,0)),""))=0,"",IFERROR(INDEX('ASIGNACIONES'!$F$4:$F$339,MATCH($O769&amp;"|"&amp;$R769&amp;"|"&amp;$AE769,'ASIGNACIONES'!$J$4:$J$339,0)),"")))</f>
        <v/>
      </c>
      <c r="AG769" s="13">
        <f>IF($AE769="","",SUMIFS('ORDENES'!$M$4:$M$1203,'ORDENES'!$AE$4:$AE$1203,$AE769,'ORDENES'!$O$4:$O$1203,$O769,'ORDENES'!$R$4:$R$1203,$R769))</f>
        <v/>
      </c>
      <c r="AH769" s="13">
        <f>IF($AG769="","",p_factor_productividad*IFERROR(INDEX('ASIGNACIONES'!$I$4:$I$339,MATCH($O769&amp;"|"&amp;$R769&amp;"|"&amp;$AE769,'ASIGNACIONES'!$J$4:$J$339,0)),0)-$AG769)</f>
        <v/>
      </c>
      <c r="AI769" s="10">
        <f>IF($A769="","",IFERROR(INDEX('2_IMPORTAR_EJECUCION'!$F$9:$F$1208,MATCH($AQ769,'2_IMPORTAR_EJECUCION'!$J$9:$J$1208,0)),0))</f>
        <v/>
      </c>
      <c r="AJ769" s="10">
        <f>IF($A769="","",MAX(0,IFERROR(INDEX('2_IMPORTAR_EJECUCION'!$H$9:$H$1208,MATCH($AQ769,'2_IMPORTAR_EJECUCION'!$J$9:$J$1208,0)),0)-$AI769))</f>
        <v/>
      </c>
      <c r="AK769" s="10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2">
        <f>IF($J770="","",TODAY()-$J770)</f>
        <v/>
      </c>
      <c r="AB770" s="12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IF($AE770="","",IF((IFERROR(INDEX('ASIGNACIONES'!$F$4:$F$339,MATCH($O770&amp;"|"&amp;$R770&amp;"|"&amp;$AE770,'ASIGNACIONES'!$J$4:$J$339,0)),""))=0,"",IFERROR(INDEX('ASIGNACIONES'!$F$4:$F$339,MATCH($O770&amp;"|"&amp;$R770&amp;"|"&amp;$AE770,'ASIGNACIONES'!$J$4:$J$339,0)),"")))</f>
        <v/>
      </c>
      <c r="AG770" s="13">
        <f>IF($AE770="","",SUMIFS('ORDENES'!$M$4:$M$1203,'ORDENES'!$AE$4:$AE$1203,$AE770,'ORDENES'!$O$4:$O$1203,$O770,'ORDENES'!$R$4:$R$1203,$R770))</f>
        <v/>
      </c>
      <c r="AH770" s="13">
        <f>IF($AG770="","",p_factor_productividad*IFERROR(INDEX('ASIGNACIONES'!$I$4:$I$339,MATCH($O770&amp;"|"&amp;$R770&amp;"|"&amp;$AE770,'ASIGNACIONES'!$J$4:$J$339,0)),0)-$AG770)</f>
        <v/>
      </c>
      <c r="AI770" s="10">
        <f>IF($A770="","",IFERROR(INDEX('2_IMPORTAR_EJECUCION'!$F$9:$F$1208,MATCH($AQ770,'2_IMPORTAR_EJECUCION'!$J$9:$J$1208,0)),0))</f>
        <v/>
      </c>
      <c r="AJ770" s="10">
        <f>IF($A770="","",MAX(0,IFERROR(INDEX('2_IMPORTAR_EJECUCION'!$H$9:$H$1208,MATCH($AQ770,'2_IMPORTAR_EJECUCION'!$J$9:$J$1208,0)),0)-$AI770))</f>
        <v/>
      </c>
      <c r="AK770" s="10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2">
        <f>IF($J771="","",TODAY()-$J771)</f>
        <v/>
      </c>
      <c r="AB771" s="12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IF($AE771="","",IF((IFERROR(INDEX('ASIGNACIONES'!$F$4:$F$339,MATCH($O771&amp;"|"&amp;$R771&amp;"|"&amp;$AE771,'ASIGNACIONES'!$J$4:$J$339,0)),""))=0,"",IFERROR(INDEX('ASIGNACIONES'!$F$4:$F$339,MATCH($O771&amp;"|"&amp;$R771&amp;"|"&amp;$AE771,'ASIGNACIONES'!$J$4:$J$339,0)),"")))</f>
        <v/>
      </c>
      <c r="AG771" s="13">
        <f>IF($AE771="","",SUMIFS('ORDENES'!$M$4:$M$1203,'ORDENES'!$AE$4:$AE$1203,$AE771,'ORDENES'!$O$4:$O$1203,$O771,'ORDENES'!$R$4:$R$1203,$R771))</f>
        <v/>
      </c>
      <c r="AH771" s="13">
        <f>IF($AG771="","",p_factor_productividad*IFERROR(INDEX('ASIGNACIONES'!$I$4:$I$339,MATCH($O771&amp;"|"&amp;$R771&amp;"|"&amp;$AE771,'ASIGNACIONES'!$J$4:$J$339,0)),0)-$AG771)</f>
        <v/>
      </c>
      <c r="AI771" s="10">
        <f>IF($A771="","",IFERROR(INDEX('2_IMPORTAR_EJECUCION'!$F$9:$F$1208,MATCH($AQ771,'2_IMPORTAR_EJECUCION'!$J$9:$J$1208,0)),0))</f>
        <v/>
      </c>
      <c r="AJ771" s="10">
        <f>IF($A771="","",MAX(0,IFERROR(INDEX('2_IMPORTAR_EJECUCION'!$H$9:$H$1208,MATCH($AQ771,'2_IMPORTAR_EJECUCION'!$J$9:$J$1208,0)),0)-$AI771))</f>
        <v/>
      </c>
      <c r="AK771" s="10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2">
        <f>IF($J772="","",TODAY()-$J772)</f>
        <v/>
      </c>
      <c r="AB772" s="12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IF($AE772="","",IF((IFERROR(INDEX('ASIGNACIONES'!$F$4:$F$339,MATCH($O772&amp;"|"&amp;$R772&amp;"|"&amp;$AE772,'ASIGNACIONES'!$J$4:$J$339,0)),""))=0,"",IFERROR(INDEX('ASIGNACIONES'!$F$4:$F$339,MATCH($O772&amp;"|"&amp;$R772&amp;"|"&amp;$AE772,'ASIGNACIONES'!$J$4:$J$339,0)),"")))</f>
        <v/>
      </c>
      <c r="AG772" s="13">
        <f>IF($AE772="","",SUMIFS('ORDENES'!$M$4:$M$1203,'ORDENES'!$AE$4:$AE$1203,$AE772,'ORDENES'!$O$4:$O$1203,$O772,'ORDENES'!$R$4:$R$1203,$R772))</f>
        <v/>
      </c>
      <c r="AH772" s="13">
        <f>IF($AG772="","",p_factor_productividad*IFERROR(INDEX('ASIGNACIONES'!$I$4:$I$339,MATCH($O772&amp;"|"&amp;$R772&amp;"|"&amp;$AE772,'ASIGNACIONES'!$J$4:$J$339,0)),0)-$AG772)</f>
        <v/>
      </c>
      <c r="AI772" s="10">
        <f>IF($A772="","",IFERROR(INDEX('2_IMPORTAR_EJECUCION'!$F$9:$F$1208,MATCH($AQ772,'2_IMPORTAR_EJECUCION'!$J$9:$J$1208,0)),0))</f>
        <v/>
      </c>
      <c r="AJ772" s="10">
        <f>IF($A772="","",MAX(0,IFERROR(INDEX('2_IMPORTAR_EJECUCION'!$H$9:$H$1208,MATCH($AQ772,'2_IMPORTAR_EJECUCION'!$J$9:$J$1208,0)),0)-$AI772))</f>
        <v/>
      </c>
      <c r="AK772" s="10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2">
        <f>IF($J773="","",TODAY()-$J773)</f>
        <v/>
      </c>
      <c r="AB773" s="12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IF($AE773="","",IF((IFERROR(INDEX('ASIGNACIONES'!$F$4:$F$339,MATCH($O773&amp;"|"&amp;$R773&amp;"|"&amp;$AE773,'ASIGNACIONES'!$J$4:$J$339,0)),""))=0,"",IFERROR(INDEX('ASIGNACIONES'!$F$4:$F$339,MATCH($O773&amp;"|"&amp;$R773&amp;"|"&amp;$AE773,'ASIGNACIONES'!$J$4:$J$339,0)),"")))</f>
        <v/>
      </c>
      <c r="AG773" s="13">
        <f>IF($AE773="","",SUMIFS('ORDENES'!$M$4:$M$1203,'ORDENES'!$AE$4:$AE$1203,$AE773,'ORDENES'!$O$4:$O$1203,$O773,'ORDENES'!$R$4:$R$1203,$R773))</f>
        <v/>
      </c>
      <c r="AH773" s="13">
        <f>IF($AG773="","",p_factor_productividad*IFERROR(INDEX('ASIGNACIONES'!$I$4:$I$339,MATCH($O773&amp;"|"&amp;$R773&amp;"|"&amp;$AE773,'ASIGNACIONES'!$J$4:$J$339,0)),0)-$AG773)</f>
        <v/>
      </c>
      <c r="AI773" s="10">
        <f>IF($A773="","",IFERROR(INDEX('2_IMPORTAR_EJECUCION'!$F$9:$F$1208,MATCH($AQ773,'2_IMPORTAR_EJECUCION'!$J$9:$J$1208,0)),0))</f>
        <v/>
      </c>
      <c r="AJ773" s="10">
        <f>IF($A773="","",MAX(0,IFERROR(INDEX('2_IMPORTAR_EJECUCION'!$H$9:$H$1208,MATCH($AQ773,'2_IMPORTAR_EJECUCION'!$J$9:$J$1208,0)),0)-$AI773))</f>
        <v/>
      </c>
      <c r="AK773" s="10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2">
        <f>IF($J774="","",TODAY()-$J774)</f>
        <v/>
      </c>
      <c r="AB774" s="12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IF($AE774="","",IF((IFERROR(INDEX('ASIGNACIONES'!$F$4:$F$339,MATCH($O774&amp;"|"&amp;$R774&amp;"|"&amp;$AE774,'ASIGNACIONES'!$J$4:$J$339,0)),""))=0,"",IFERROR(INDEX('ASIGNACIONES'!$F$4:$F$339,MATCH($O774&amp;"|"&amp;$R774&amp;"|"&amp;$AE774,'ASIGNACIONES'!$J$4:$J$339,0)),"")))</f>
        <v/>
      </c>
      <c r="AG774" s="13">
        <f>IF($AE774="","",SUMIFS('ORDENES'!$M$4:$M$1203,'ORDENES'!$AE$4:$AE$1203,$AE774,'ORDENES'!$O$4:$O$1203,$O774,'ORDENES'!$R$4:$R$1203,$R774))</f>
        <v/>
      </c>
      <c r="AH774" s="13">
        <f>IF($AG774="","",p_factor_productividad*IFERROR(INDEX('ASIGNACIONES'!$I$4:$I$339,MATCH($O774&amp;"|"&amp;$R774&amp;"|"&amp;$AE774,'ASIGNACIONES'!$J$4:$J$339,0)),0)-$AG774)</f>
        <v/>
      </c>
      <c r="AI774" s="10">
        <f>IF($A774="","",IFERROR(INDEX('2_IMPORTAR_EJECUCION'!$F$9:$F$1208,MATCH($AQ774,'2_IMPORTAR_EJECUCION'!$J$9:$J$1208,0)),0))</f>
        <v/>
      </c>
      <c r="AJ774" s="10">
        <f>IF($A774="","",MAX(0,IFERROR(INDEX('2_IMPORTAR_EJECUCION'!$H$9:$H$1208,MATCH($AQ774,'2_IMPORTAR_EJECUCION'!$J$9:$J$1208,0)),0)-$AI774))</f>
        <v/>
      </c>
      <c r="AK774" s="10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2">
        <f>IF($J775="","",TODAY()-$J775)</f>
        <v/>
      </c>
      <c r="AB775" s="12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IF($AE775="","",IF((IFERROR(INDEX('ASIGNACIONES'!$F$4:$F$339,MATCH($O775&amp;"|"&amp;$R775&amp;"|"&amp;$AE775,'ASIGNACIONES'!$J$4:$J$339,0)),""))=0,"",IFERROR(INDEX('ASIGNACIONES'!$F$4:$F$339,MATCH($O775&amp;"|"&amp;$R775&amp;"|"&amp;$AE775,'ASIGNACIONES'!$J$4:$J$339,0)),"")))</f>
        <v/>
      </c>
      <c r="AG775" s="13">
        <f>IF($AE775="","",SUMIFS('ORDENES'!$M$4:$M$1203,'ORDENES'!$AE$4:$AE$1203,$AE775,'ORDENES'!$O$4:$O$1203,$O775,'ORDENES'!$R$4:$R$1203,$R775))</f>
        <v/>
      </c>
      <c r="AH775" s="13">
        <f>IF($AG775="","",p_factor_productividad*IFERROR(INDEX('ASIGNACIONES'!$I$4:$I$339,MATCH($O775&amp;"|"&amp;$R775&amp;"|"&amp;$AE775,'ASIGNACIONES'!$J$4:$J$339,0)),0)-$AG775)</f>
        <v/>
      </c>
      <c r="AI775" s="10">
        <f>IF($A775="","",IFERROR(INDEX('2_IMPORTAR_EJECUCION'!$F$9:$F$1208,MATCH($AQ775,'2_IMPORTAR_EJECUCION'!$J$9:$J$1208,0)),0))</f>
        <v/>
      </c>
      <c r="AJ775" s="10">
        <f>IF($A775="","",MAX(0,IFERROR(INDEX('2_IMPORTAR_EJECUCION'!$H$9:$H$1208,MATCH($AQ775,'2_IMPORTAR_EJECUCION'!$J$9:$J$1208,0)),0)-$AI775))</f>
        <v/>
      </c>
      <c r="AK775" s="10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2">
        <f>IF($J776="","",TODAY()-$J776)</f>
        <v/>
      </c>
      <c r="AB776" s="12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IF($AE776="","",IF((IFERROR(INDEX('ASIGNACIONES'!$F$4:$F$339,MATCH($O776&amp;"|"&amp;$R776&amp;"|"&amp;$AE776,'ASIGNACIONES'!$J$4:$J$339,0)),""))=0,"",IFERROR(INDEX('ASIGNACIONES'!$F$4:$F$339,MATCH($O776&amp;"|"&amp;$R776&amp;"|"&amp;$AE776,'ASIGNACIONES'!$J$4:$J$339,0)),"")))</f>
        <v/>
      </c>
      <c r="AG776" s="13">
        <f>IF($AE776="","",SUMIFS('ORDENES'!$M$4:$M$1203,'ORDENES'!$AE$4:$AE$1203,$AE776,'ORDENES'!$O$4:$O$1203,$O776,'ORDENES'!$R$4:$R$1203,$R776))</f>
        <v/>
      </c>
      <c r="AH776" s="13">
        <f>IF($AG776="","",p_factor_productividad*IFERROR(INDEX('ASIGNACIONES'!$I$4:$I$339,MATCH($O776&amp;"|"&amp;$R776&amp;"|"&amp;$AE776,'ASIGNACIONES'!$J$4:$J$339,0)),0)-$AG776)</f>
        <v/>
      </c>
      <c r="AI776" s="10">
        <f>IF($A776="","",IFERROR(INDEX('2_IMPORTAR_EJECUCION'!$F$9:$F$1208,MATCH($AQ776,'2_IMPORTAR_EJECUCION'!$J$9:$J$1208,0)),0))</f>
        <v/>
      </c>
      <c r="AJ776" s="10">
        <f>IF($A776="","",MAX(0,IFERROR(INDEX('2_IMPORTAR_EJECUCION'!$H$9:$H$1208,MATCH($AQ776,'2_IMPORTAR_EJECUCION'!$J$9:$J$1208,0)),0)-$AI776))</f>
        <v/>
      </c>
      <c r="AK776" s="10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2">
        <f>IF($J777="","",TODAY()-$J777)</f>
        <v/>
      </c>
      <c r="AB777" s="12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IF($AE777="","",IF((IFERROR(INDEX('ASIGNACIONES'!$F$4:$F$339,MATCH($O777&amp;"|"&amp;$R777&amp;"|"&amp;$AE777,'ASIGNACIONES'!$J$4:$J$339,0)),""))=0,"",IFERROR(INDEX('ASIGNACIONES'!$F$4:$F$339,MATCH($O777&amp;"|"&amp;$R777&amp;"|"&amp;$AE777,'ASIGNACIONES'!$J$4:$J$339,0)),"")))</f>
        <v/>
      </c>
      <c r="AG777" s="13">
        <f>IF($AE777="","",SUMIFS('ORDENES'!$M$4:$M$1203,'ORDENES'!$AE$4:$AE$1203,$AE777,'ORDENES'!$O$4:$O$1203,$O777,'ORDENES'!$R$4:$R$1203,$R777))</f>
        <v/>
      </c>
      <c r="AH777" s="13">
        <f>IF($AG777="","",p_factor_productividad*IFERROR(INDEX('ASIGNACIONES'!$I$4:$I$339,MATCH($O777&amp;"|"&amp;$R777&amp;"|"&amp;$AE777,'ASIGNACIONES'!$J$4:$J$339,0)),0)-$AG777)</f>
        <v/>
      </c>
      <c r="AI777" s="10">
        <f>IF($A777="","",IFERROR(INDEX('2_IMPORTAR_EJECUCION'!$F$9:$F$1208,MATCH($AQ777,'2_IMPORTAR_EJECUCION'!$J$9:$J$1208,0)),0))</f>
        <v/>
      </c>
      <c r="AJ777" s="10">
        <f>IF($A777="","",MAX(0,IFERROR(INDEX('2_IMPORTAR_EJECUCION'!$H$9:$H$1208,MATCH($AQ777,'2_IMPORTAR_EJECUCION'!$J$9:$J$1208,0)),0)-$AI777))</f>
        <v/>
      </c>
      <c r="AK777" s="10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2">
        <f>IF($J778="","",TODAY()-$J778)</f>
        <v/>
      </c>
      <c r="AB778" s="12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IF($AE778="","",IF((IFERROR(INDEX('ASIGNACIONES'!$F$4:$F$339,MATCH($O778&amp;"|"&amp;$R778&amp;"|"&amp;$AE778,'ASIGNACIONES'!$J$4:$J$339,0)),""))=0,"",IFERROR(INDEX('ASIGNACIONES'!$F$4:$F$339,MATCH($O778&amp;"|"&amp;$R778&amp;"|"&amp;$AE778,'ASIGNACIONES'!$J$4:$J$339,0)),"")))</f>
        <v/>
      </c>
      <c r="AG778" s="13">
        <f>IF($AE778="","",SUMIFS('ORDENES'!$M$4:$M$1203,'ORDENES'!$AE$4:$AE$1203,$AE778,'ORDENES'!$O$4:$O$1203,$O778,'ORDENES'!$R$4:$R$1203,$R778))</f>
        <v/>
      </c>
      <c r="AH778" s="13">
        <f>IF($AG778="","",p_factor_productividad*IFERROR(INDEX('ASIGNACIONES'!$I$4:$I$339,MATCH($O778&amp;"|"&amp;$R778&amp;"|"&amp;$AE778,'ASIGNACIONES'!$J$4:$J$339,0)),0)-$AG778)</f>
        <v/>
      </c>
      <c r="AI778" s="10">
        <f>IF($A778="","",IFERROR(INDEX('2_IMPORTAR_EJECUCION'!$F$9:$F$1208,MATCH($AQ778,'2_IMPORTAR_EJECUCION'!$J$9:$J$1208,0)),0))</f>
        <v/>
      </c>
      <c r="AJ778" s="10">
        <f>IF($A778="","",MAX(0,IFERROR(INDEX('2_IMPORTAR_EJECUCION'!$H$9:$H$1208,MATCH($AQ778,'2_IMPORTAR_EJECUCION'!$J$9:$J$1208,0)),0)-$AI778))</f>
        <v/>
      </c>
      <c r="AK778" s="10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2">
        <f>IF($J779="","",TODAY()-$J779)</f>
        <v/>
      </c>
      <c r="AB779" s="12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IF($AE779="","",IF((IFERROR(INDEX('ASIGNACIONES'!$F$4:$F$339,MATCH($O779&amp;"|"&amp;$R779&amp;"|"&amp;$AE779,'ASIGNACIONES'!$J$4:$J$339,0)),""))=0,"",IFERROR(INDEX('ASIGNACIONES'!$F$4:$F$339,MATCH($O779&amp;"|"&amp;$R779&amp;"|"&amp;$AE779,'ASIGNACIONES'!$J$4:$J$339,0)),"")))</f>
        <v/>
      </c>
      <c r="AG779" s="13">
        <f>IF($AE779="","",SUMIFS('ORDENES'!$M$4:$M$1203,'ORDENES'!$AE$4:$AE$1203,$AE779,'ORDENES'!$O$4:$O$1203,$O779,'ORDENES'!$R$4:$R$1203,$R779))</f>
        <v/>
      </c>
      <c r="AH779" s="13">
        <f>IF($AG779="","",p_factor_productividad*IFERROR(INDEX('ASIGNACIONES'!$I$4:$I$339,MATCH($O779&amp;"|"&amp;$R779&amp;"|"&amp;$AE779,'ASIGNACIONES'!$J$4:$J$339,0)),0)-$AG779)</f>
        <v/>
      </c>
      <c r="AI779" s="10">
        <f>IF($A779="","",IFERROR(INDEX('2_IMPORTAR_EJECUCION'!$F$9:$F$1208,MATCH($AQ779,'2_IMPORTAR_EJECUCION'!$J$9:$J$1208,0)),0))</f>
        <v/>
      </c>
      <c r="AJ779" s="10">
        <f>IF($A779="","",MAX(0,IFERROR(INDEX('2_IMPORTAR_EJECUCION'!$H$9:$H$1208,MATCH($AQ779,'2_IMPORTAR_EJECUCION'!$J$9:$J$1208,0)),0)-$AI779))</f>
        <v/>
      </c>
      <c r="AK779" s="10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2">
        <f>IF($J780="","",TODAY()-$J780)</f>
        <v/>
      </c>
      <c r="AB780" s="12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IF($AE780="","",IF((IFERROR(INDEX('ASIGNACIONES'!$F$4:$F$339,MATCH($O780&amp;"|"&amp;$R780&amp;"|"&amp;$AE780,'ASIGNACIONES'!$J$4:$J$339,0)),""))=0,"",IFERROR(INDEX('ASIGNACIONES'!$F$4:$F$339,MATCH($O780&amp;"|"&amp;$R780&amp;"|"&amp;$AE780,'ASIGNACIONES'!$J$4:$J$339,0)),"")))</f>
        <v/>
      </c>
      <c r="AG780" s="13">
        <f>IF($AE780="","",SUMIFS('ORDENES'!$M$4:$M$1203,'ORDENES'!$AE$4:$AE$1203,$AE780,'ORDENES'!$O$4:$O$1203,$O780,'ORDENES'!$R$4:$R$1203,$R780))</f>
        <v/>
      </c>
      <c r="AH780" s="13">
        <f>IF($AG780="","",p_factor_productividad*IFERROR(INDEX('ASIGNACIONES'!$I$4:$I$339,MATCH($O780&amp;"|"&amp;$R780&amp;"|"&amp;$AE780,'ASIGNACIONES'!$J$4:$J$339,0)),0)-$AG780)</f>
        <v/>
      </c>
      <c r="AI780" s="10">
        <f>IF($A780="","",IFERROR(INDEX('2_IMPORTAR_EJECUCION'!$F$9:$F$1208,MATCH($AQ780,'2_IMPORTAR_EJECUCION'!$J$9:$J$1208,0)),0))</f>
        <v/>
      </c>
      <c r="AJ780" s="10">
        <f>IF($A780="","",MAX(0,IFERROR(INDEX('2_IMPORTAR_EJECUCION'!$H$9:$H$1208,MATCH($AQ780,'2_IMPORTAR_EJECUCION'!$J$9:$J$1208,0)),0)-$AI780))</f>
        <v/>
      </c>
      <c r="AK780" s="10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2">
        <f>IF($J781="","",TODAY()-$J781)</f>
        <v/>
      </c>
      <c r="AB781" s="12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IF($AE781="","",IF((IFERROR(INDEX('ASIGNACIONES'!$F$4:$F$339,MATCH($O781&amp;"|"&amp;$R781&amp;"|"&amp;$AE781,'ASIGNACIONES'!$J$4:$J$339,0)),""))=0,"",IFERROR(INDEX('ASIGNACIONES'!$F$4:$F$339,MATCH($O781&amp;"|"&amp;$R781&amp;"|"&amp;$AE781,'ASIGNACIONES'!$J$4:$J$339,0)),"")))</f>
        <v/>
      </c>
      <c r="AG781" s="13">
        <f>IF($AE781="","",SUMIFS('ORDENES'!$M$4:$M$1203,'ORDENES'!$AE$4:$AE$1203,$AE781,'ORDENES'!$O$4:$O$1203,$O781,'ORDENES'!$R$4:$R$1203,$R781))</f>
        <v/>
      </c>
      <c r="AH781" s="13">
        <f>IF($AG781="","",p_factor_productividad*IFERROR(INDEX('ASIGNACIONES'!$I$4:$I$339,MATCH($O781&amp;"|"&amp;$R781&amp;"|"&amp;$AE781,'ASIGNACIONES'!$J$4:$J$339,0)),0)-$AG781)</f>
        <v/>
      </c>
      <c r="AI781" s="10">
        <f>IF($A781="","",IFERROR(INDEX('2_IMPORTAR_EJECUCION'!$F$9:$F$1208,MATCH($AQ781,'2_IMPORTAR_EJECUCION'!$J$9:$J$1208,0)),0))</f>
        <v/>
      </c>
      <c r="AJ781" s="10">
        <f>IF($A781="","",MAX(0,IFERROR(INDEX('2_IMPORTAR_EJECUCION'!$H$9:$H$1208,MATCH($AQ781,'2_IMPORTAR_EJECUCION'!$J$9:$J$1208,0)),0)-$AI781))</f>
        <v/>
      </c>
      <c r="AK781" s="10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2">
        <f>IF($J782="","",TODAY()-$J782)</f>
        <v/>
      </c>
      <c r="AB782" s="12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IF($AE782="","",IF((IFERROR(INDEX('ASIGNACIONES'!$F$4:$F$339,MATCH($O782&amp;"|"&amp;$R782&amp;"|"&amp;$AE782,'ASIGNACIONES'!$J$4:$J$339,0)),""))=0,"",IFERROR(INDEX('ASIGNACIONES'!$F$4:$F$339,MATCH($O782&amp;"|"&amp;$R782&amp;"|"&amp;$AE782,'ASIGNACIONES'!$J$4:$J$339,0)),"")))</f>
        <v/>
      </c>
      <c r="AG782" s="13">
        <f>IF($AE782="","",SUMIFS('ORDENES'!$M$4:$M$1203,'ORDENES'!$AE$4:$AE$1203,$AE782,'ORDENES'!$O$4:$O$1203,$O782,'ORDENES'!$R$4:$R$1203,$R782))</f>
        <v/>
      </c>
      <c r="AH782" s="13">
        <f>IF($AG782="","",p_factor_productividad*IFERROR(INDEX('ASIGNACIONES'!$I$4:$I$339,MATCH($O782&amp;"|"&amp;$R782&amp;"|"&amp;$AE782,'ASIGNACIONES'!$J$4:$J$339,0)),0)-$AG782)</f>
        <v/>
      </c>
      <c r="AI782" s="10">
        <f>IF($A782="","",IFERROR(INDEX('2_IMPORTAR_EJECUCION'!$F$9:$F$1208,MATCH($AQ782,'2_IMPORTAR_EJECUCION'!$J$9:$J$1208,0)),0))</f>
        <v/>
      </c>
      <c r="AJ782" s="10">
        <f>IF($A782="","",MAX(0,IFERROR(INDEX('2_IMPORTAR_EJECUCION'!$H$9:$H$1208,MATCH($AQ782,'2_IMPORTAR_EJECUCION'!$J$9:$J$1208,0)),0)-$AI782))</f>
        <v/>
      </c>
      <c r="AK782" s="10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2">
        <f>IF($J783="","",TODAY()-$J783)</f>
        <v/>
      </c>
      <c r="AB783" s="12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IF($AE783="","",IF((IFERROR(INDEX('ASIGNACIONES'!$F$4:$F$339,MATCH($O783&amp;"|"&amp;$R783&amp;"|"&amp;$AE783,'ASIGNACIONES'!$J$4:$J$339,0)),""))=0,"",IFERROR(INDEX('ASIGNACIONES'!$F$4:$F$339,MATCH($O783&amp;"|"&amp;$R783&amp;"|"&amp;$AE783,'ASIGNACIONES'!$J$4:$J$339,0)),"")))</f>
        <v/>
      </c>
      <c r="AG783" s="13">
        <f>IF($AE783="","",SUMIFS('ORDENES'!$M$4:$M$1203,'ORDENES'!$AE$4:$AE$1203,$AE783,'ORDENES'!$O$4:$O$1203,$O783,'ORDENES'!$R$4:$R$1203,$R783))</f>
        <v/>
      </c>
      <c r="AH783" s="13">
        <f>IF($AG783="","",p_factor_productividad*IFERROR(INDEX('ASIGNACIONES'!$I$4:$I$339,MATCH($O783&amp;"|"&amp;$R783&amp;"|"&amp;$AE783,'ASIGNACIONES'!$J$4:$J$339,0)),0)-$AG783)</f>
        <v/>
      </c>
      <c r="AI783" s="10">
        <f>IF($A783="","",IFERROR(INDEX('2_IMPORTAR_EJECUCION'!$F$9:$F$1208,MATCH($AQ783,'2_IMPORTAR_EJECUCION'!$J$9:$J$1208,0)),0))</f>
        <v/>
      </c>
      <c r="AJ783" s="10">
        <f>IF($A783="","",MAX(0,IFERROR(INDEX('2_IMPORTAR_EJECUCION'!$H$9:$H$1208,MATCH($AQ783,'2_IMPORTAR_EJECUCION'!$J$9:$J$1208,0)),0)-$AI783))</f>
        <v/>
      </c>
      <c r="AK783" s="10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2">
        <f>IF($J784="","",TODAY()-$J784)</f>
        <v/>
      </c>
      <c r="AB784" s="12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IF($AE784="","",IF((IFERROR(INDEX('ASIGNACIONES'!$F$4:$F$339,MATCH($O784&amp;"|"&amp;$R784&amp;"|"&amp;$AE784,'ASIGNACIONES'!$J$4:$J$339,0)),""))=0,"",IFERROR(INDEX('ASIGNACIONES'!$F$4:$F$339,MATCH($O784&amp;"|"&amp;$R784&amp;"|"&amp;$AE784,'ASIGNACIONES'!$J$4:$J$339,0)),"")))</f>
        <v/>
      </c>
      <c r="AG784" s="13">
        <f>IF($AE784="","",SUMIFS('ORDENES'!$M$4:$M$1203,'ORDENES'!$AE$4:$AE$1203,$AE784,'ORDENES'!$O$4:$O$1203,$O784,'ORDENES'!$R$4:$R$1203,$R784))</f>
        <v/>
      </c>
      <c r="AH784" s="13">
        <f>IF($AG784="","",p_factor_productividad*IFERROR(INDEX('ASIGNACIONES'!$I$4:$I$339,MATCH($O784&amp;"|"&amp;$R784&amp;"|"&amp;$AE784,'ASIGNACIONES'!$J$4:$J$339,0)),0)-$AG784)</f>
        <v/>
      </c>
      <c r="AI784" s="10">
        <f>IF($A784="","",IFERROR(INDEX('2_IMPORTAR_EJECUCION'!$F$9:$F$1208,MATCH($AQ784,'2_IMPORTAR_EJECUCION'!$J$9:$J$1208,0)),0))</f>
        <v/>
      </c>
      <c r="AJ784" s="10">
        <f>IF($A784="","",MAX(0,IFERROR(INDEX('2_IMPORTAR_EJECUCION'!$H$9:$H$1208,MATCH($AQ784,'2_IMPORTAR_EJECUCION'!$J$9:$J$1208,0)),0)-$AI784))</f>
        <v/>
      </c>
      <c r="AK784" s="10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2">
        <f>IF($J785="","",TODAY()-$J785)</f>
        <v/>
      </c>
      <c r="AB785" s="12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IF($AE785="","",IF((IFERROR(INDEX('ASIGNACIONES'!$F$4:$F$339,MATCH($O785&amp;"|"&amp;$R785&amp;"|"&amp;$AE785,'ASIGNACIONES'!$J$4:$J$339,0)),""))=0,"",IFERROR(INDEX('ASIGNACIONES'!$F$4:$F$339,MATCH($O785&amp;"|"&amp;$R785&amp;"|"&amp;$AE785,'ASIGNACIONES'!$J$4:$J$339,0)),"")))</f>
        <v/>
      </c>
      <c r="AG785" s="13">
        <f>IF($AE785="","",SUMIFS('ORDENES'!$M$4:$M$1203,'ORDENES'!$AE$4:$AE$1203,$AE785,'ORDENES'!$O$4:$O$1203,$O785,'ORDENES'!$R$4:$R$1203,$R785))</f>
        <v/>
      </c>
      <c r="AH785" s="13">
        <f>IF($AG785="","",p_factor_productividad*IFERROR(INDEX('ASIGNACIONES'!$I$4:$I$339,MATCH($O785&amp;"|"&amp;$R785&amp;"|"&amp;$AE785,'ASIGNACIONES'!$J$4:$J$339,0)),0)-$AG785)</f>
        <v/>
      </c>
      <c r="AI785" s="10">
        <f>IF($A785="","",IFERROR(INDEX('2_IMPORTAR_EJECUCION'!$F$9:$F$1208,MATCH($AQ785,'2_IMPORTAR_EJECUCION'!$J$9:$J$1208,0)),0))</f>
        <v/>
      </c>
      <c r="AJ785" s="10">
        <f>IF($A785="","",MAX(0,IFERROR(INDEX('2_IMPORTAR_EJECUCION'!$H$9:$H$1208,MATCH($AQ785,'2_IMPORTAR_EJECUCION'!$J$9:$J$1208,0)),0)-$AI785))</f>
        <v/>
      </c>
      <c r="AK785" s="10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2">
        <f>IF($J786="","",TODAY()-$J786)</f>
        <v/>
      </c>
      <c r="AB786" s="12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IF($AE786="","",IF((IFERROR(INDEX('ASIGNACIONES'!$F$4:$F$339,MATCH($O786&amp;"|"&amp;$R786&amp;"|"&amp;$AE786,'ASIGNACIONES'!$J$4:$J$339,0)),""))=0,"",IFERROR(INDEX('ASIGNACIONES'!$F$4:$F$339,MATCH($O786&amp;"|"&amp;$R786&amp;"|"&amp;$AE786,'ASIGNACIONES'!$J$4:$J$339,0)),"")))</f>
        <v/>
      </c>
      <c r="AG786" s="13">
        <f>IF($AE786="","",SUMIFS('ORDENES'!$M$4:$M$1203,'ORDENES'!$AE$4:$AE$1203,$AE786,'ORDENES'!$O$4:$O$1203,$O786,'ORDENES'!$R$4:$R$1203,$R786))</f>
        <v/>
      </c>
      <c r="AH786" s="13">
        <f>IF($AG786="","",p_factor_productividad*IFERROR(INDEX('ASIGNACIONES'!$I$4:$I$339,MATCH($O786&amp;"|"&amp;$R786&amp;"|"&amp;$AE786,'ASIGNACIONES'!$J$4:$J$339,0)),0)-$AG786)</f>
        <v/>
      </c>
      <c r="AI786" s="10">
        <f>IF($A786="","",IFERROR(INDEX('2_IMPORTAR_EJECUCION'!$F$9:$F$1208,MATCH($AQ786,'2_IMPORTAR_EJECUCION'!$J$9:$J$1208,0)),0))</f>
        <v/>
      </c>
      <c r="AJ786" s="10">
        <f>IF($A786="","",MAX(0,IFERROR(INDEX('2_IMPORTAR_EJECUCION'!$H$9:$H$1208,MATCH($AQ786,'2_IMPORTAR_EJECUCION'!$J$9:$J$1208,0)),0)-$AI786))</f>
        <v/>
      </c>
      <c r="AK786" s="10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2">
        <f>IF($J787="","",TODAY()-$J787)</f>
        <v/>
      </c>
      <c r="AB787" s="12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IF($AE787="","",IF((IFERROR(INDEX('ASIGNACIONES'!$F$4:$F$339,MATCH($O787&amp;"|"&amp;$R787&amp;"|"&amp;$AE787,'ASIGNACIONES'!$J$4:$J$339,0)),""))=0,"",IFERROR(INDEX('ASIGNACIONES'!$F$4:$F$339,MATCH($O787&amp;"|"&amp;$R787&amp;"|"&amp;$AE787,'ASIGNACIONES'!$J$4:$J$339,0)),"")))</f>
        <v/>
      </c>
      <c r="AG787" s="13">
        <f>IF($AE787="","",SUMIFS('ORDENES'!$M$4:$M$1203,'ORDENES'!$AE$4:$AE$1203,$AE787,'ORDENES'!$O$4:$O$1203,$O787,'ORDENES'!$R$4:$R$1203,$R787))</f>
        <v/>
      </c>
      <c r="AH787" s="13">
        <f>IF($AG787="","",p_factor_productividad*IFERROR(INDEX('ASIGNACIONES'!$I$4:$I$339,MATCH($O787&amp;"|"&amp;$R787&amp;"|"&amp;$AE787,'ASIGNACIONES'!$J$4:$J$339,0)),0)-$AG787)</f>
        <v/>
      </c>
      <c r="AI787" s="10">
        <f>IF($A787="","",IFERROR(INDEX('2_IMPORTAR_EJECUCION'!$F$9:$F$1208,MATCH($AQ787,'2_IMPORTAR_EJECUCION'!$J$9:$J$1208,0)),0))</f>
        <v/>
      </c>
      <c r="AJ787" s="10">
        <f>IF($A787="","",MAX(0,IFERROR(INDEX('2_IMPORTAR_EJECUCION'!$H$9:$H$1208,MATCH($AQ787,'2_IMPORTAR_EJECUCION'!$J$9:$J$1208,0)),0)-$AI787))</f>
        <v/>
      </c>
      <c r="AK787" s="10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2">
        <f>IF($J788="","",TODAY()-$J788)</f>
        <v/>
      </c>
      <c r="AB788" s="12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IF($AE788="","",IF((IFERROR(INDEX('ASIGNACIONES'!$F$4:$F$339,MATCH($O788&amp;"|"&amp;$R788&amp;"|"&amp;$AE788,'ASIGNACIONES'!$J$4:$J$339,0)),""))=0,"",IFERROR(INDEX('ASIGNACIONES'!$F$4:$F$339,MATCH($O788&amp;"|"&amp;$R788&amp;"|"&amp;$AE788,'ASIGNACIONES'!$J$4:$J$339,0)),"")))</f>
        <v/>
      </c>
      <c r="AG788" s="13">
        <f>IF($AE788="","",SUMIFS('ORDENES'!$M$4:$M$1203,'ORDENES'!$AE$4:$AE$1203,$AE788,'ORDENES'!$O$4:$O$1203,$O788,'ORDENES'!$R$4:$R$1203,$R788))</f>
        <v/>
      </c>
      <c r="AH788" s="13">
        <f>IF($AG788="","",p_factor_productividad*IFERROR(INDEX('ASIGNACIONES'!$I$4:$I$339,MATCH($O788&amp;"|"&amp;$R788&amp;"|"&amp;$AE788,'ASIGNACIONES'!$J$4:$J$339,0)),0)-$AG788)</f>
        <v/>
      </c>
      <c r="AI788" s="10">
        <f>IF($A788="","",IFERROR(INDEX('2_IMPORTAR_EJECUCION'!$F$9:$F$1208,MATCH($AQ788,'2_IMPORTAR_EJECUCION'!$J$9:$J$1208,0)),0))</f>
        <v/>
      </c>
      <c r="AJ788" s="10">
        <f>IF($A788="","",MAX(0,IFERROR(INDEX('2_IMPORTAR_EJECUCION'!$H$9:$H$1208,MATCH($AQ788,'2_IMPORTAR_EJECUCION'!$J$9:$J$1208,0)),0)-$AI788))</f>
        <v/>
      </c>
      <c r="AK788" s="10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2">
        <f>IF($J789="","",TODAY()-$J789)</f>
        <v/>
      </c>
      <c r="AB789" s="12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IF($AE789="","",IF((IFERROR(INDEX('ASIGNACIONES'!$F$4:$F$339,MATCH($O789&amp;"|"&amp;$R789&amp;"|"&amp;$AE789,'ASIGNACIONES'!$J$4:$J$339,0)),""))=0,"",IFERROR(INDEX('ASIGNACIONES'!$F$4:$F$339,MATCH($O789&amp;"|"&amp;$R789&amp;"|"&amp;$AE789,'ASIGNACIONES'!$J$4:$J$339,0)),"")))</f>
        <v/>
      </c>
      <c r="AG789" s="13">
        <f>IF($AE789="","",SUMIFS('ORDENES'!$M$4:$M$1203,'ORDENES'!$AE$4:$AE$1203,$AE789,'ORDENES'!$O$4:$O$1203,$O789,'ORDENES'!$R$4:$R$1203,$R789))</f>
        <v/>
      </c>
      <c r="AH789" s="13">
        <f>IF($AG789="","",p_factor_productividad*IFERROR(INDEX('ASIGNACIONES'!$I$4:$I$339,MATCH($O789&amp;"|"&amp;$R789&amp;"|"&amp;$AE789,'ASIGNACIONES'!$J$4:$J$339,0)),0)-$AG789)</f>
        <v/>
      </c>
      <c r="AI789" s="10">
        <f>IF($A789="","",IFERROR(INDEX('2_IMPORTAR_EJECUCION'!$F$9:$F$1208,MATCH($AQ789,'2_IMPORTAR_EJECUCION'!$J$9:$J$1208,0)),0))</f>
        <v/>
      </c>
      <c r="AJ789" s="10">
        <f>IF($A789="","",MAX(0,IFERROR(INDEX('2_IMPORTAR_EJECUCION'!$H$9:$H$1208,MATCH($AQ789,'2_IMPORTAR_EJECUCION'!$J$9:$J$1208,0)),0)-$AI789))</f>
        <v/>
      </c>
      <c r="AK789" s="10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2">
        <f>IF($J790="","",TODAY()-$J790)</f>
        <v/>
      </c>
      <c r="AB790" s="12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IF($AE790="","",IF((IFERROR(INDEX('ASIGNACIONES'!$F$4:$F$339,MATCH($O790&amp;"|"&amp;$R790&amp;"|"&amp;$AE790,'ASIGNACIONES'!$J$4:$J$339,0)),""))=0,"",IFERROR(INDEX('ASIGNACIONES'!$F$4:$F$339,MATCH($O790&amp;"|"&amp;$R790&amp;"|"&amp;$AE790,'ASIGNACIONES'!$J$4:$J$339,0)),"")))</f>
        <v/>
      </c>
      <c r="AG790" s="13">
        <f>IF($AE790="","",SUMIFS('ORDENES'!$M$4:$M$1203,'ORDENES'!$AE$4:$AE$1203,$AE790,'ORDENES'!$O$4:$O$1203,$O790,'ORDENES'!$R$4:$R$1203,$R790))</f>
        <v/>
      </c>
      <c r="AH790" s="13">
        <f>IF($AG790="","",p_factor_productividad*IFERROR(INDEX('ASIGNACIONES'!$I$4:$I$339,MATCH($O790&amp;"|"&amp;$R790&amp;"|"&amp;$AE790,'ASIGNACIONES'!$J$4:$J$339,0)),0)-$AG790)</f>
        <v/>
      </c>
      <c r="AI790" s="10">
        <f>IF($A790="","",IFERROR(INDEX('2_IMPORTAR_EJECUCION'!$F$9:$F$1208,MATCH($AQ790,'2_IMPORTAR_EJECUCION'!$J$9:$J$1208,0)),0))</f>
        <v/>
      </c>
      <c r="AJ790" s="10">
        <f>IF($A790="","",MAX(0,IFERROR(INDEX('2_IMPORTAR_EJECUCION'!$H$9:$H$1208,MATCH($AQ790,'2_IMPORTAR_EJECUCION'!$J$9:$J$1208,0)),0)-$AI790))</f>
        <v/>
      </c>
      <c r="AK790" s="10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2">
        <f>IF($J791="","",TODAY()-$J791)</f>
        <v/>
      </c>
      <c r="AB791" s="12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IF($AE791="","",IF((IFERROR(INDEX('ASIGNACIONES'!$F$4:$F$339,MATCH($O791&amp;"|"&amp;$R791&amp;"|"&amp;$AE791,'ASIGNACIONES'!$J$4:$J$339,0)),""))=0,"",IFERROR(INDEX('ASIGNACIONES'!$F$4:$F$339,MATCH($O791&amp;"|"&amp;$R791&amp;"|"&amp;$AE791,'ASIGNACIONES'!$J$4:$J$339,0)),"")))</f>
        <v/>
      </c>
      <c r="AG791" s="13">
        <f>IF($AE791="","",SUMIFS('ORDENES'!$M$4:$M$1203,'ORDENES'!$AE$4:$AE$1203,$AE791,'ORDENES'!$O$4:$O$1203,$O791,'ORDENES'!$R$4:$R$1203,$R791))</f>
        <v/>
      </c>
      <c r="AH791" s="13">
        <f>IF($AG791="","",p_factor_productividad*IFERROR(INDEX('ASIGNACIONES'!$I$4:$I$339,MATCH($O791&amp;"|"&amp;$R791&amp;"|"&amp;$AE791,'ASIGNACIONES'!$J$4:$J$339,0)),0)-$AG791)</f>
        <v/>
      </c>
      <c r="AI791" s="10">
        <f>IF($A791="","",IFERROR(INDEX('2_IMPORTAR_EJECUCION'!$F$9:$F$1208,MATCH($AQ791,'2_IMPORTAR_EJECUCION'!$J$9:$J$1208,0)),0))</f>
        <v/>
      </c>
      <c r="AJ791" s="10">
        <f>IF($A791="","",MAX(0,IFERROR(INDEX('2_IMPORTAR_EJECUCION'!$H$9:$H$1208,MATCH($AQ791,'2_IMPORTAR_EJECUCION'!$J$9:$J$1208,0)),0)-$AI791))</f>
        <v/>
      </c>
      <c r="AK791" s="10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2">
        <f>IF($J792="","",TODAY()-$J792)</f>
        <v/>
      </c>
      <c r="AB792" s="12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IF($AE792="","",IF((IFERROR(INDEX('ASIGNACIONES'!$F$4:$F$339,MATCH($O792&amp;"|"&amp;$R792&amp;"|"&amp;$AE792,'ASIGNACIONES'!$J$4:$J$339,0)),""))=0,"",IFERROR(INDEX('ASIGNACIONES'!$F$4:$F$339,MATCH($O792&amp;"|"&amp;$R792&amp;"|"&amp;$AE792,'ASIGNACIONES'!$J$4:$J$339,0)),"")))</f>
        <v/>
      </c>
      <c r="AG792" s="13">
        <f>IF($AE792="","",SUMIFS('ORDENES'!$M$4:$M$1203,'ORDENES'!$AE$4:$AE$1203,$AE792,'ORDENES'!$O$4:$O$1203,$O792,'ORDENES'!$R$4:$R$1203,$R792))</f>
        <v/>
      </c>
      <c r="AH792" s="13">
        <f>IF($AG792="","",p_factor_productividad*IFERROR(INDEX('ASIGNACIONES'!$I$4:$I$339,MATCH($O792&amp;"|"&amp;$R792&amp;"|"&amp;$AE792,'ASIGNACIONES'!$J$4:$J$339,0)),0)-$AG792)</f>
        <v/>
      </c>
      <c r="AI792" s="10">
        <f>IF($A792="","",IFERROR(INDEX('2_IMPORTAR_EJECUCION'!$F$9:$F$1208,MATCH($AQ792,'2_IMPORTAR_EJECUCION'!$J$9:$J$1208,0)),0))</f>
        <v/>
      </c>
      <c r="AJ792" s="10">
        <f>IF($A792="","",MAX(0,IFERROR(INDEX('2_IMPORTAR_EJECUCION'!$H$9:$H$1208,MATCH($AQ792,'2_IMPORTAR_EJECUCION'!$J$9:$J$1208,0)),0)-$AI792))</f>
        <v/>
      </c>
      <c r="AK792" s="10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2">
        <f>IF($J793="","",TODAY()-$J793)</f>
        <v/>
      </c>
      <c r="AB793" s="12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IF($AE793="","",IF((IFERROR(INDEX('ASIGNACIONES'!$F$4:$F$339,MATCH($O793&amp;"|"&amp;$R793&amp;"|"&amp;$AE793,'ASIGNACIONES'!$J$4:$J$339,0)),""))=0,"",IFERROR(INDEX('ASIGNACIONES'!$F$4:$F$339,MATCH($O793&amp;"|"&amp;$R793&amp;"|"&amp;$AE793,'ASIGNACIONES'!$J$4:$J$339,0)),"")))</f>
        <v/>
      </c>
      <c r="AG793" s="13">
        <f>IF($AE793="","",SUMIFS('ORDENES'!$M$4:$M$1203,'ORDENES'!$AE$4:$AE$1203,$AE793,'ORDENES'!$O$4:$O$1203,$O793,'ORDENES'!$R$4:$R$1203,$R793))</f>
        <v/>
      </c>
      <c r="AH793" s="13">
        <f>IF($AG793="","",p_factor_productividad*IFERROR(INDEX('ASIGNACIONES'!$I$4:$I$339,MATCH($O793&amp;"|"&amp;$R793&amp;"|"&amp;$AE793,'ASIGNACIONES'!$J$4:$J$339,0)),0)-$AG793)</f>
        <v/>
      </c>
      <c r="AI793" s="10">
        <f>IF($A793="","",IFERROR(INDEX('2_IMPORTAR_EJECUCION'!$F$9:$F$1208,MATCH($AQ793,'2_IMPORTAR_EJECUCION'!$J$9:$J$1208,0)),0))</f>
        <v/>
      </c>
      <c r="AJ793" s="10">
        <f>IF($A793="","",MAX(0,IFERROR(INDEX('2_IMPORTAR_EJECUCION'!$H$9:$H$1208,MATCH($AQ793,'2_IMPORTAR_EJECUCION'!$J$9:$J$1208,0)),0)-$AI793))</f>
        <v/>
      </c>
      <c r="AK793" s="10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2">
        <f>IF($J794="","",TODAY()-$J794)</f>
        <v/>
      </c>
      <c r="AB794" s="12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IF($AE794="","",IF((IFERROR(INDEX('ASIGNACIONES'!$F$4:$F$339,MATCH($O794&amp;"|"&amp;$R794&amp;"|"&amp;$AE794,'ASIGNACIONES'!$J$4:$J$339,0)),""))=0,"",IFERROR(INDEX('ASIGNACIONES'!$F$4:$F$339,MATCH($O794&amp;"|"&amp;$R794&amp;"|"&amp;$AE794,'ASIGNACIONES'!$J$4:$J$339,0)),"")))</f>
        <v/>
      </c>
      <c r="AG794" s="13">
        <f>IF($AE794="","",SUMIFS('ORDENES'!$M$4:$M$1203,'ORDENES'!$AE$4:$AE$1203,$AE794,'ORDENES'!$O$4:$O$1203,$O794,'ORDENES'!$R$4:$R$1203,$R794))</f>
        <v/>
      </c>
      <c r="AH794" s="13">
        <f>IF($AG794="","",p_factor_productividad*IFERROR(INDEX('ASIGNACIONES'!$I$4:$I$339,MATCH($O794&amp;"|"&amp;$R794&amp;"|"&amp;$AE794,'ASIGNACIONES'!$J$4:$J$339,0)),0)-$AG794)</f>
        <v/>
      </c>
      <c r="AI794" s="10">
        <f>IF($A794="","",IFERROR(INDEX('2_IMPORTAR_EJECUCION'!$F$9:$F$1208,MATCH($AQ794,'2_IMPORTAR_EJECUCION'!$J$9:$J$1208,0)),0))</f>
        <v/>
      </c>
      <c r="AJ794" s="10">
        <f>IF($A794="","",MAX(0,IFERROR(INDEX('2_IMPORTAR_EJECUCION'!$H$9:$H$1208,MATCH($AQ794,'2_IMPORTAR_EJECUCION'!$J$9:$J$1208,0)),0)-$AI794))</f>
        <v/>
      </c>
      <c r="AK794" s="10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2">
        <f>IF($J795="","",TODAY()-$J795)</f>
        <v/>
      </c>
      <c r="AB795" s="12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IF($AE795="","",IF((IFERROR(INDEX('ASIGNACIONES'!$F$4:$F$339,MATCH($O795&amp;"|"&amp;$R795&amp;"|"&amp;$AE795,'ASIGNACIONES'!$J$4:$J$339,0)),""))=0,"",IFERROR(INDEX('ASIGNACIONES'!$F$4:$F$339,MATCH($O795&amp;"|"&amp;$R795&amp;"|"&amp;$AE795,'ASIGNACIONES'!$J$4:$J$339,0)),"")))</f>
        <v/>
      </c>
      <c r="AG795" s="13">
        <f>IF($AE795="","",SUMIFS('ORDENES'!$M$4:$M$1203,'ORDENES'!$AE$4:$AE$1203,$AE795,'ORDENES'!$O$4:$O$1203,$O795,'ORDENES'!$R$4:$R$1203,$R795))</f>
        <v/>
      </c>
      <c r="AH795" s="13">
        <f>IF($AG795="","",p_factor_productividad*IFERROR(INDEX('ASIGNACIONES'!$I$4:$I$339,MATCH($O795&amp;"|"&amp;$R795&amp;"|"&amp;$AE795,'ASIGNACIONES'!$J$4:$J$339,0)),0)-$AG795)</f>
        <v/>
      </c>
      <c r="AI795" s="10">
        <f>IF($A795="","",IFERROR(INDEX('2_IMPORTAR_EJECUCION'!$F$9:$F$1208,MATCH($AQ795,'2_IMPORTAR_EJECUCION'!$J$9:$J$1208,0)),0))</f>
        <v/>
      </c>
      <c r="AJ795" s="10">
        <f>IF($A795="","",MAX(0,IFERROR(INDEX('2_IMPORTAR_EJECUCION'!$H$9:$H$1208,MATCH($AQ795,'2_IMPORTAR_EJECUCION'!$J$9:$J$1208,0)),0)-$AI795))</f>
        <v/>
      </c>
      <c r="AK795" s="10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2">
        <f>IF($J796="","",TODAY()-$J796)</f>
        <v/>
      </c>
      <c r="AB796" s="12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IF($AE796="","",IF((IFERROR(INDEX('ASIGNACIONES'!$F$4:$F$339,MATCH($O796&amp;"|"&amp;$R796&amp;"|"&amp;$AE796,'ASIGNACIONES'!$J$4:$J$339,0)),""))=0,"",IFERROR(INDEX('ASIGNACIONES'!$F$4:$F$339,MATCH($O796&amp;"|"&amp;$R796&amp;"|"&amp;$AE796,'ASIGNACIONES'!$J$4:$J$339,0)),"")))</f>
        <v/>
      </c>
      <c r="AG796" s="13">
        <f>IF($AE796="","",SUMIFS('ORDENES'!$M$4:$M$1203,'ORDENES'!$AE$4:$AE$1203,$AE796,'ORDENES'!$O$4:$O$1203,$O796,'ORDENES'!$R$4:$R$1203,$R796))</f>
        <v/>
      </c>
      <c r="AH796" s="13">
        <f>IF($AG796="","",p_factor_productividad*IFERROR(INDEX('ASIGNACIONES'!$I$4:$I$339,MATCH($O796&amp;"|"&amp;$R796&amp;"|"&amp;$AE796,'ASIGNACIONES'!$J$4:$J$339,0)),0)-$AG796)</f>
        <v/>
      </c>
      <c r="AI796" s="10">
        <f>IF($A796="","",IFERROR(INDEX('2_IMPORTAR_EJECUCION'!$F$9:$F$1208,MATCH($AQ796,'2_IMPORTAR_EJECUCION'!$J$9:$J$1208,0)),0))</f>
        <v/>
      </c>
      <c r="AJ796" s="10">
        <f>IF($A796="","",MAX(0,IFERROR(INDEX('2_IMPORTAR_EJECUCION'!$H$9:$H$1208,MATCH($AQ796,'2_IMPORTAR_EJECUCION'!$J$9:$J$1208,0)),0)-$AI796))</f>
        <v/>
      </c>
      <c r="AK796" s="10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2">
        <f>IF($J797="","",TODAY()-$J797)</f>
        <v/>
      </c>
      <c r="AB797" s="12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IF($AE797="","",IF((IFERROR(INDEX('ASIGNACIONES'!$F$4:$F$339,MATCH($O797&amp;"|"&amp;$R797&amp;"|"&amp;$AE797,'ASIGNACIONES'!$J$4:$J$339,0)),""))=0,"",IFERROR(INDEX('ASIGNACIONES'!$F$4:$F$339,MATCH($O797&amp;"|"&amp;$R797&amp;"|"&amp;$AE797,'ASIGNACIONES'!$J$4:$J$339,0)),"")))</f>
        <v/>
      </c>
      <c r="AG797" s="13">
        <f>IF($AE797="","",SUMIFS('ORDENES'!$M$4:$M$1203,'ORDENES'!$AE$4:$AE$1203,$AE797,'ORDENES'!$O$4:$O$1203,$O797,'ORDENES'!$R$4:$R$1203,$R797))</f>
        <v/>
      </c>
      <c r="AH797" s="13">
        <f>IF($AG797="","",p_factor_productividad*IFERROR(INDEX('ASIGNACIONES'!$I$4:$I$339,MATCH($O797&amp;"|"&amp;$R797&amp;"|"&amp;$AE797,'ASIGNACIONES'!$J$4:$J$339,0)),0)-$AG797)</f>
        <v/>
      </c>
      <c r="AI797" s="10">
        <f>IF($A797="","",IFERROR(INDEX('2_IMPORTAR_EJECUCION'!$F$9:$F$1208,MATCH($AQ797,'2_IMPORTAR_EJECUCION'!$J$9:$J$1208,0)),0))</f>
        <v/>
      </c>
      <c r="AJ797" s="10">
        <f>IF($A797="","",MAX(0,IFERROR(INDEX('2_IMPORTAR_EJECUCION'!$H$9:$H$1208,MATCH($AQ797,'2_IMPORTAR_EJECUCION'!$J$9:$J$1208,0)),0)-$AI797))</f>
        <v/>
      </c>
      <c r="AK797" s="10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2">
        <f>IF($J798="","",TODAY()-$J798)</f>
        <v/>
      </c>
      <c r="AB798" s="12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IF($AE798="","",IF((IFERROR(INDEX('ASIGNACIONES'!$F$4:$F$339,MATCH($O798&amp;"|"&amp;$R798&amp;"|"&amp;$AE798,'ASIGNACIONES'!$J$4:$J$339,0)),""))=0,"",IFERROR(INDEX('ASIGNACIONES'!$F$4:$F$339,MATCH($O798&amp;"|"&amp;$R798&amp;"|"&amp;$AE798,'ASIGNACIONES'!$J$4:$J$339,0)),"")))</f>
        <v/>
      </c>
      <c r="AG798" s="13">
        <f>IF($AE798="","",SUMIFS('ORDENES'!$M$4:$M$1203,'ORDENES'!$AE$4:$AE$1203,$AE798,'ORDENES'!$O$4:$O$1203,$O798,'ORDENES'!$R$4:$R$1203,$R798))</f>
        <v/>
      </c>
      <c r="AH798" s="13">
        <f>IF($AG798="","",p_factor_productividad*IFERROR(INDEX('ASIGNACIONES'!$I$4:$I$339,MATCH($O798&amp;"|"&amp;$R798&amp;"|"&amp;$AE798,'ASIGNACIONES'!$J$4:$J$339,0)),0)-$AG798)</f>
        <v/>
      </c>
      <c r="AI798" s="10">
        <f>IF($A798="","",IFERROR(INDEX('2_IMPORTAR_EJECUCION'!$F$9:$F$1208,MATCH($AQ798,'2_IMPORTAR_EJECUCION'!$J$9:$J$1208,0)),0))</f>
        <v/>
      </c>
      <c r="AJ798" s="10">
        <f>IF($A798="","",MAX(0,IFERROR(INDEX('2_IMPORTAR_EJECUCION'!$H$9:$H$1208,MATCH($AQ798,'2_IMPORTAR_EJECUCION'!$J$9:$J$1208,0)),0)-$AI798))</f>
        <v/>
      </c>
      <c r="AK798" s="10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2">
        <f>IF($J799="","",TODAY()-$J799)</f>
        <v/>
      </c>
      <c r="AB799" s="12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IF($AE799="","",IF((IFERROR(INDEX('ASIGNACIONES'!$F$4:$F$339,MATCH($O799&amp;"|"&amp;$R799&amp;"|"&amp;$AE799,'ASIGNACIONES'!$J$4:$J$339,0)),""))=0,"",IFERROR(INDEX('ASIGNACIONES'!$F$4:$F$339,MATCH($O799&amp;"|"&amp;$R799&amp;"|"&amp;$AE799,'ASIGNACIONES'!$J$4:$J$339,0)),"")))</f>
        <v/>
      </c>
      <c r="AG799" s="13">
        <f>IF($AE799="","",SUMIFS('ORDENES'!$M$4:$M$1203,'ORDENES'!$AE$4:$AE$1203,$AE799,'ORDENES'!$O$4:$O$1203,$O799,'ORDENES'!$R$4:$R$1203,$R799))</f>
        <v/>
      </c>
      <c r="AH799" s="13">
        <f>IF($AG799="","",p_factor_productividad*IFERROR(INDEX('ASIGNACIONES'!$I$4:$I$339,MATCH($O799&amp;"|"&amp;$R799&amp;"|"&amp;$AE799,'ASIGNACIONES'!$J$4:$J$339,0)),0)-$AG799)</f>
        <v/>
      </c>
      <c r="AI799" s="10">
        <f>IF($A799="","",IFERROR(INDEX('2_IMPORTAR_EJECUCION'!$F$9:$F$1208,MATCH($AQ799,'2_IMPORTAR_EJECUCION'!$J$9:$J$1208,0)),0))</f>
        <v/>
      </c>
      <c r="AJ799" s="10">
        <f>IF($A799="","",MAX(0,IFERROR(INDEX('2_IMPORTAR_EJECUCION'!$H$9:$H$1208,MATCH($AQ799,'2_IMPORTAR_EJECUCION'!$J$9:$J$1208,0)),0)-$AI799))</f>
        <v/>
      </c>
      <c r="AK799" s="10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2">
        <f>IF($J800="","",TODAY()-$J800)</f>
        <v/>
      </c>
      <c r="AB800" s="12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IF($AE800="","",IF((IFERROR(INDEX('ASIGNACIONES'!$F$4:$F$339,MATCH($O800&amp;"|"&amp;$R800&amp;"|"&amp;$AE800,'ASIGNACIONES'!$J$4:$J$339,0)),""))=0,"",IFERROR(INDEX('ASIGNACIONES'!$F$4:$F$339,MATCH($O800&amp;"|"&amp;$R800&amp;"|"&amp;$AE800,'ASIGNACIONES'!$J$4:$J$339,0)),"")))</f>
        <v/>
      </c>
      <c r="AG800" s="13">
        <f>IF($AE800="","",SUMIFS('ORDENES'!$M$4:$M$1203,'ORDENES'!$AE$4:$AE$1203,$AE800,'ORDENES'!$O$4:$O$1203,$O800,'ORDENES'!$R$4:$R$1203,$R800))</f>
        <v/>
      </c>
      <c r="AH800" s="13">
        <f>IF($AG800="","",p_factor_productividad*IFERROR(INDEX('ASIGNACIONES'!$I$4:$I$339,MATCH($O800&amp;"|"&amp;$R800&amp;"|"&amp;$AE800,'ASIGNACIONES'!$J$4:$J$339,0)),0)-$AG800)</f>
        <v/>
      </c>
      <c r="AI800" s="10">
        <f>IF($A800="","",IFERROR(INDEX('2_IMPORTAR_EJECUCION'!$F$9:$F$1208,MATCH($AQ800,'2_IMPORTAR_EJECUCION'!$J$9:$J$1208,0)),0))</f>
        <v/>
      </c>
      <c r="AJ800" s="10">
        <f>IF($A800="","",MAX(0,IFERROR(INDEX('2_IMPORTAR_EJECUCION'!$H$9:$H$1208,MATCH($AQ800,'2_IMPORTAR_EJECUCION'!$J$9:$J$1208,0)),0)-$AI800))</f>
        <v/>
      </c>
      <c r="AK800" s="10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2">
        <f>IF($J801="","",TODAY()-$J801)</f>
        <v/>
      </c>
      <c r="AB801" s="12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IF($AE801="","",IF((IFERROR(INDEX('ASIGNACIONES'!$F$4:$F$339,MATCH($O801&amp;"|"&amp;$R801&amp;"|"&amp;$AE801,'ASIGNACIONES'!$J$4:$J$339,0)),""))=0,"",IFERROR(INDEX('ASIGNACIONES'!$F$4:$F$339,MATCH($O801&amp;"|"&amp;$R801&amp;"|"&amp;$AE801,'ASIGNACIONES'!$J$4:$J$339,0)),"")))</f>
        <v/>
      </c>
      <c r="AG801" s="13">
        <f>IF($AE801="","",SUMIFS('ORDENES'!$M$4:$M$1203,'ORDENES'!$AE$4:$AE$1203,$AE801,'ORDENES'!$O$4:$O$1203,$O801,'ORDENES'!$R$4:$R$1203,$R801))</f>
        <v/>
      </c>
      <c r="AH801" s="13">
        <f>IF($AG801="","",p_factor_productividad*IFERROR(INDEX('ASIGNACIONES'!$I$4:$I$339,MATCH($O801&amp;"|"&amp;$R801&amp;"|"&amp;$AE801,'ASIGNACIONES'!$J$4:$J$339,0)),0)-$AG801)</f>
        <v/>
      </c>
      <c r="AI801" s="10">
        <f>IF($A801="","",IFERROR(INDEX('2_IMPORTAR_EJECUCION'!$F$9:$F$1208,MATCH($AQ801,'2_IMPORTAR_EJECUCION'!$J$9:$J$1208,0)),0))</f>
        <v/>
      </c>
      <c r="AJ801" s="10">
        <f>IF($A801="","",MAX(0,IFERROR(INDEX('2_IMPORTAR_EJECUCION'!$H$9:$H$1208,MATCH($AQ801,'2_IMPORTAR_EJECUCION'!$J$9:$J$1208,0)),0)-$AI801))</f>
        <v/>
      </c>
      <c r="AK801" s="10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2">
        <f>IF($J802="","",TODAY()-$J802)</f>
        <v/>
      </c>
      <c r="AB802" s="12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IF($AE802="","",IF((IFERROR(INDEX('ASIGNACIONES'!$F$4:$F$339,MATCH($O802&amp;"|"&amp;$R802&amp;"|"&amp;$AE802,'ASIGNACIONES'!$J$4:$J$339,0)),""))=0,"",IFERROR(INDEX('ASIGNACIONES'!$F$4:$F$339,MATCH($O802&amp;"|"&amp;$R802&amp;"|"&amp;$AE802,'ASIGNACIONES'!$J$4:$J$339,0)),"")))</f>
        <v/>
      </c>
      <c r="AG802" s="13">
        <f>IF($AE802="","",SUMIFS('ORDENES'!$M$4:$M$1203,'ORDENES'!$AE$4:$AE$1203,$AE802,'ORDENES'!$O$4:$O$1203,$O802,'ORDENES'!$R$4:$R$1203,$R802))</f>
        <v/>
      </c>
      <c r="AH802" s="13">
        <f>IF($AG802="","",p_factor_productividad*IFERROR(INDEX('ASIGNACIONES'!$I$4:$I$339,MATCH($O802&amp;"|"&amp;$R802&amp;"|"&amp;$AE802,'ASIGNACIONES'!$J$4:$J$339,0)),0)-$AG802)</f>
        <v/>
      </c>
      <c r="AI802" s="10">
        <f>IF($A802="","",IFERROR(INDEX('2_IMPORTAR_EJECUCION'!$F$9:$F$1208,MATCH($AQ802,'2_IMPORTAR_EJECUCION'!$J$9:$J$1208,0)),0))</f>
        <v/>
      </c>
      <c r="AJ802" s="10">
        <f>IF($A802="","",MAX(0,IFERROR(INDEX('2_IMPORTAR_EJECUCION'!$H$9:$H$1208,MATCH($AQ802,'2_IMPORTAR_EJECUCION'!$J$9:$J$1208,0)),0)-$AI802))</f>
        <v/>
      </c>
      <c r="AK802" s="10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2">
        <f>IF($J803="","",TODAY()-$J803)</f>
        <v/>
      </c>
      <c r="AB803" s="12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IF($AE803="","",IF((IFERROR(INDEX('ASIGNACIONES'!$F$4:$F$339,MATCH($O803&amp;"|"&amp;$R803&amp;"|"&amp;$AE803,'ASIGNACIONES'!$J$4:$J$339,0)),""))=0,"",IFERROR(INDEX('ASIGNACIONES'!$F$4:$F$339,MATCH($O803&amp;"|"&amp;$R803&amp;"|"&amp;$AE803,'ASIGNACIONES'!$J$4:$J$339,0)),"")))</f>
        <v/>
      </c>
      <c r="AG803" s="13">
        <f>IF($AE803="","",SUMIFS('ORDENES'!$M$4:$M$1203,'ORDENES'!$AE$4:$AE$1203,$AE803,'ORDENES'!$O$4:$O$1203,$O803,'ORDENES'!$R$4:$R$1203,$R803))</f>
        <v/>
      </c>
      <c r="AH803" s="13">
        <f>IF($AG803="","",p_factor_productividad*IFERROR(INDEX('ASIGNACIONES'!$I$4:$I$339,MATCH($O803&amp;"|"&amp;$R803&amp;"|"&amp;$AE803,'ASIGNACIONES'!$J$4:$J$339,0)),0)-$AG803)</f>
        <v/>
      </c>
      <c r="AI803" s="10">
        <f>IF($A803="","",IFERROR(INDEX('2_IMPORTAR_EJECUCION'!$F$9:$F$1208,MATCH($AQ803,'2_IMPORTAR_EJECUCION'!$J$9:$J$1208,0)),0))</f>
        <v/>
      </c>
      <c r="AJ803" s="10">
        <f>IF($A803="","",MAX(0,IFERROR(INDEX('2_IMPORTAR_EJECUCION'!$H$9:$H$1208,MATCH($AQ803,'2_IMPORTAR_EJECUCION'!$J$9:$J$1208,0)),0)-$AI803))</f>
        <v/>
      </c>
      <c r="AK803" s="10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2">
        <f>IF($J804="","",TODAY()-$J804)</f>
        <v/>
      </c>
      <c r="AB804" s="12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IF($AE804="","",IF((IFERROR(INDEX('ASIGNACIONES'!$F$4:$F$339,MATCH($O804&amp;"|"&amp;$R804&amp;"|"&amp;$AE804,'ASIGNACIONES'!$J$4:$J$339,0)),""))=0,"",IFERROR(INDEX('ASIGNACIONES'!$F$4:$F$339,MATCH($O804&amp;"|"&amp;$R804&amp;"|"&amp;$AE804,'ASIGNACIONES'!$J$4:$J$339,0)),"")))</f>
        <v/>
      </c>
      <c r="AG804" s="13">
        <f>IF($AE804="","",SUMIFS('ORDENES'!$M$4:$M$1203,'ORDENES'!$AE$4:$AE$1203,$AE804,'ORDENES'!$O$4:$O$1203,$O804,'ORDENES'!$R$4:$R$1203,$R804))</f>
        <v/>
      </c>
      <c r="AH804" s="13">
        <f>IF($AG804="","",p_factor_productividad*IFERROR(INDEX('ASIGNACIONES'!$I$4:$I$339,MATCH($O804&amp;"|"&amp;$R804&amp;"|"&amp;$AE804,'ASIGNACIONES'!$J$4:$J$339,0)),0)-$AG804)</f>
        <v/>
      </c>
      <c r="AI804" s="10">
        <f>IF($A804="","",IFERROR(INDEX('2_IMPORTAR_EJECUCION'!$F$9:$F$1208,MATCH($AQ804,'2_IMPORTAR_EJECUCION'!$J$9:$J$1208,0)),0))</f>
        <v/>
      </c>
      <c r="AJ804" s="10">
        <f>IF($A804="","",MAX(0,IFERROR(INDEX('2_IMPORTAR_EJECUCION'!$H$9:$H$1208,MATCH($AQ804,'2_IMPORTAR_EJECUCION'!$J$9:$J$1208,0)),0)-$AI804))</f>
        <v/>
      </c>
      <c r="AK804" s="10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2">
        <f>IF($J805="","",TODAY()-$J805)</f>
        <v/>
      </c>
      <c r="AB805" s="12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IF($AE805="","",IF((IFERROR(INDEX('ASIGNACIONES'!$F$4:$F$339,MATCH($O805&amp;"|"&amp;$R805&amp;"|"&amp;$AE805,'ASIGNACIONES'!$J$4:$J$339,0)),""))=0,"",IFERROR(INDEX('ASIGNACIONES'!$F$4:$F$339,MATCH($O805&amp;"|"&amp;$R805&amp;"|"&amp;$AE805,'ASIGNACIONES'!$J$4:$J$339,0)),"")))</f>
        <v/>
      </c>
      <c r="AG805" s="13">
        <f>IF($AE805="","",SUMIFS('ORDENES'!$M$4:$M$1203,'ORDENES'!$AE$4:$AE$1203,$AE805,'ORDENES'!$O$4:$O$1203,$O805,'ORDENES'!$R$4:$R$1203,$R805))</f>
        <v/>
      </c>
      <c r="AH805" s="13">
        <f>IF($AG805="","",p_factor_productividad*IFERROR(INDEX('ASIGNACIONES'!$I$4:$I$339,MATCH($O805&amp;"|"&amp;$R805&amp;"|"&amp;$AE805,'ASIGNACIONES'!$J$4:$J$339,0)),0)-$AG805)</f>
        <v/>
      </c>
      <c r="AI805" s="10">
        <f>IF($A805="","",IFERROR(INDEX('2_IMPORTAR_EJECUCION'!$F$9:$F$1208,MATCH($AQ805,'2_IMPORTAR_EJECUCION'!$J$9:$J$1208,0)),0))</f>
        <v/>
      </c>
      <c r="AJ805" s="10">
        <f>IF($A805="","",MAX(0,IFERROR(INDEX('2_IMPORTAR_EJECUCION'!$H$9:$H$1208,MATCH($AQ805,'2_IMPORTAR_EJECUCION'!$J$9:$J$1208,0)),0)-$AI805))</f>
        <v/>
      </c>
      <c r="AK805" s="10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2">
        <f>IF($J806="","",TODAY()-$J806)</f>
        <v/>
      </c>
      <c r="AB806" s="12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IF($AE806="","",IF((IFERROR(INDEX('ASIGNACIONES'!$F$4:$F$339,MATCH($O806&amp;"|"&amp;$R806&amp;"|"&amp;$AE806,'ASIGNACIONES'!$J$4:$J$339,0)),""))=0,"",IFERROR(INDEX('ASIGNACIONES'!$F$4:$F$339,MATCH($O806&amp;"|"&amp;$R806&amp;"|"&amp;$AE806,'ASIGNACIONES'!$J$4:$J$339,0)),"")))</f>
        <v/>
      </c>
      <c r="AG806" s="13">
        <f>IF($AE806="","",SUMIFS('ORDENES'!$M$4:$M$1203,'ORDENES'!$AE$4:$AE$1203,$AE806,'ORDENES'!$O$4:$O$1203,$O806,'ORDENES'!$R$4:$R$1203,$R806))</f>
        <v/>
      </c>
      <c r="AH806" s="13">
        <f>IF($AG806="","",p_factor_productividad*IFERROR(INDEX('ASIGNACIONES'!$I$4:$I$339,MATCH($O806&amp;"|"&amp;$R806&amp;"|"&amp;$AE806,'ASIGNACIONES'!$J$4:$J$339,0)),0)-$AG806)</f>
        <v/>
      </c>
      <c r="AI806" s="10">
        <f>IF($A806="","",IFERROR(INDEX('2_IMPORTAR_EJECUCION'!$F$9:$F$1208,MATCH($AQ806,'2_IMPORTAR_EJECUCION'!$J$9:$J$1208,0)),0))</f>
        <v/>
      </c>
      <c r="AJ806" s="10">
        <f>IF($A806="","",MAX(0,IFERROR(INDEX('2_IMPORTAR_EJECUCION'!$H$9:$H$1208,MATCH($AQ806,'2_IMPORTAR_EJECUCION'!$J$9:$J$1208,0)),0)-$AI806))</f>
        <v/>
      </c>
      <c r="AK806" s="10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2">
        <f>IF($J807="","",TODAY()-$J807)</f>
        <v/>
      </c>
      <c r="AB807" s="12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IF($AE807="","",IF((IFERROR(INDEX('ASIGNACIONES'!$F$4:$F$339,MATCH($O807&amp;"|"&amp;$R807&amp;"|"&amp;$AE807,'ASIGNACIONES'!$J$4:$J$339,0)),""))=0,"",IFERROR(INDEX('ASIGNACIONES'!$F$4:$F$339,MATCH($O807&amp;"|"&amp;$R807&amp;"|"&amp;$AE807,'ASIGNACIONES'!$J$4:$J$339,0)),"")))</f>
        <v/>
      </c>
      <c r="AG807" s="13">
        <f>IF($AE807="","",SUMIFS('ORDENES'!$M$4:$M$1203,'ORDENES'!$AE$4:$AE$1203,$AE807,'ORDENES'!$O$4:$O$1203,$O807,'ORDENES'!$R$4:$R$1203,$R807))</f>
        <v/>
      </c>
      <c r="AH807" s="13">
        <f>IF($AG807="","",p_factor_productividad*IFERROR(INDEX('ASIGNACIONES'!$I$4:$I$339,MATCH($O807&amp;"|"&amp;$R807&amp;"|"&amp;$AE807,'ASIGNACIONES'!$J$4:$J$339,0)),0)-$AG807)</f>
        <v/>
      </c>
      <c r="AI807" s="10">
        <f>IF($A807="","",IFERROR(INDEX('2_IMPORTAR_EJECUCION'!$F$9:$F$1208,MATCH($AQ807,'2_IMPORTAR_EJECUCION'!$J$9:$J$1208,0)),0))</f>
        <v/>
      </c>
      <c r="AJ807" s="10">
        <f>IF($A807="","",MAX(0,IFERROR(INDEX('2_IMPORTAR_EJECUCION'!$H$9:$H$1208,MATCH($AQ807,'2_IMPORTAR_EJECUCION'!$J$9:$J$1208,0)),0)-$AI807))</f>
        <v/>
      </c>
      <c r="AK807" s="10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2">
        <f>IF($J808="","",TODAY()-$J808)</f>
        <v/>
      </c>
      <c r="AB808" s="12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IF($AE808="","",IF((IFERROR(INDEX('ASIGNACIONES'!$F$4:$F$339,MATCH($O808&amp;"|"&amp;$R808&amp;"|"&amp;$AE808,'ASIGNACIONES'!$J$4:$J$339,0)),""))=0,"",IFERROR(INDEX('ASIGNACIONES'!$F$4:$F$339,MATCH($O808&amp;"|"&amp;$R808&amp;"|"&amp;$AE808,'ASIGNACIONES'!$J$4:$J$339,0)),"")))</f>
        <v/>
      </c>
      <c r="AG808" s="13">
        <f>IF($AE808="","",SUMIFS('ORDENES'!$M$4:$M$1203,'ORDENES'!$AE$4:$AE$1203,$AE808,'ORDENES'!$O$4:$O$1203,$O808,'ORDENES'!$R$4:$R$1203,$R808))</f>
        <v/>
      </c>
      <c r="AH808" s="13">
        <f>IF($AG808="","",p_factor_productividad*IFERROR(INDEX('ASIGNACIONES'!$I$4:$I$339,MATCH($O808&amp;"|"&amp;$R808&amp;"|"&amp;$AE808,'ASIGNACIONES'!$J$4:$J$339,0)),0)-$AG808)</f>
        <v/>
      </c>
      <c r="AI808" s="10">
        <f>IF($A808="","",IFERROR(INDEX('2_IMPORTAR_EJECUCION'!$F$9:$F$1208,MATCH($AQ808,'2_IMPORTAR_EJECUCION'!$J$9:$J$1208,0)),0))</f>
        <v/>
      </c>
      <c r="AJ808" s="10">
        <f>IF($A808="","",MAX(0,IFERROR(INDEX('2_IMPORTAR_EJECUCION'!$H$9:$H$1208,MATCH($AQ808,'2_IMPORTAR_EJECUCION'!$J$9:$J$1208,0)),0)-$AI808))</f>
        <v/>
      </c>
      <c r="AK808" s="10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2">
        <f>IF($J809="","",TODAY()-$J809)</f>
        <v/>
      </c>
      <c r="AB809" s="12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IF($AE809="","",IF((IFERROR(INDEX('ASIGNACIONES'!$F$4:$F$339,MATCH($O809&amp;"|"&amp;$R809&amp;"|"&amp;$AE809,'ASIGNACIONES'!$J$4:$J$339,0)),""))=0,"",IFERROR(INDEX('ASIGNACIONES'!$F$4:$F$339,MATCH($O809&amp;"|"&amp;$R809&amp;"|"&amp;$AE809,'ASIGNACIONES'!$J$4:$J$339,0)),"")))</f>
        <v/>
      </c>
      <c r="AG809" s="13">
        <f>IF($AE809="","",SUMIFS('ORDENES'!$M$4:$M$1203,'ORDENES'!$AE$4:$AE$1203,$AE809,'ORDENES'!$O$4:$O$1203,$O809,'ORDENES'!$R$4:$R$1203,$R809))</f>
        <v/>
      </c>
      <c r="AH809" s="13">
        <f>IF($AG809="","",p_factor_productividad*IFERROR(INDEX('ASIGNACIONES'!$I$4:$I$339,MATCH($O809&amp;"|"&amp;$R809&amp;"|"&amp;$AE809,'ASIGNACIONES'!$J$4:$J$339,0)),0)-$AG809)</f>
        <v/>
      </c>
      <c r="AI809" s="10">
        <f>IF($A809="","",IFERROR(INDEX('2_IMPORTAR_EJECUCION'!$F$9:$F$1208,MATCH($AQ809,'2_IMPORTAR_EJECUCION'!$J$9:$J$1208,0)),0))</f>
        <v/>
      </c>
      <c r="AJ809" s="10">
        <f>IF($A809="","",MAX(0,IFERROR(INDEX('2_IMPORTAR_EJECUCION'!$H$9:$H$1208,MATCH($AQ809,'2_IMPORTAR_EJECUCION'!$J$9:$J$1208,0)),0)-$AI809))</f>
        <v/>
      </c>
      <c r="AK809" s="10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2">
        <f>IF($J810="","",TODAY()-$J810)</f>
        <v/>
      </c>
      <c r="AB810" s="12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IF($AE810="","",IF((IFERROR(INDEX('ASIGNACIONES'!$F$4:$F$339,MATCH($O810&amp;"|"&amp;$R810&amp;"|"&amp;$AE810,'ASIGNACIONES'!$J$4:$J$339,0)),""))=0,"",IFERROR(INDEX('ASIGNACIONES'!$F$4:$F$339,MATCH($O810&amp;"|"&amp;$R810&amp;"|"&amp;$AE810,'ASIGNACIONES'!$J$4:$J$339,0)),"")))</f>
        <v/>
      </c>
      <c r="AG810" s="13">
        <f>IF($AE810="","",SUMIFS('ORDENES'!$M$4:$M$1203,'ORDENES'!$AE$4:$AE$1203,$AE810,'ORDENES'!$O$4:$O$1203,$O810,'ORDENES'!$R$4:$R$1203,$R810))</f>
        <v/>
      </c>
      <c r="AH810" s="13">
        <f>IF($AG810="","",p_factor_productividad*IFERROR(INDEX('ASIGNACIONES'!$I$4:$I$339,MATCH($O810&amp;"|"&amp;$R810&amp;"|"&amp;$AE810,'ASIGNACIONES'!$J$4:$J$339,0)),0)-$AG810)</f>
        <v/>
      </c>
      <c r="AI810" s="10">
        <f>IF($A810="","",IFERROR(INDEX('2_IMPORTAR_EJECUCION'!$F$9:$F$1208,MATCH($AQ810,'2_IMPORTAR_EJECUCION'!$J$9:$J$1208,0)),0))</f>
        <v/>
      </c>
      <c r="AJ810" s="10">
        <f>IF($A810="","",MAX(0,IFERROR(INDEX('2_IMPORTAR_EJECUCION'!$H$9:$H$1208,MATCH($AQ810,'2_IMPORTAR_EJECUCION'!$J$9:$J$1208,0)),0)-$AI810))</f>
        <v/>
      </c>
      <c r="AK810" s="10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2">
        <f>IF($J811="","",TODAY()-$J811)</f>
        <v/>
      </c>
      <c r="AB811" s="12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IF($AE811="","",IF((IFERROR(INDEX('ASIGNACIONES'!$F$4:$F$339,MATCH($O811&amp;"|"&amp;$R811&amp;"|"&amp;$AE811,'ASIGNACIONES'!$J$4:$J$339,0)),""))=0,"",IFERROR(INDEX('ASIGNACIONES'!$F$4:$F$339,MATCH($O811&amp;"|"&amp;$R811&amp;"|"&amp;$AE811,'ASIGNACIONES'!$J$4:$J$339,0)),"")))</f>
        <v/>
      </c>
      <c r="AG811" s="13">
        <f>IF($AE811="","",SUMIFS('ORDENES'!$M$4:$M$1203,'ORDENES'!$AE$4:$AE$1203,$AE811,'ORDENES'!$O$4:$O$1203,$O811,'ORDENES'!$R$4:$R$1203,$R811))</f>
        <v/>
      </c>
      <c r="AH811" s="13">
        <f>IF($AG811="","",p_factor_productividad*IFERROR(INDEX('ASIGNACIONES'!$I$4:$I$339,MATCH($O811&amp;"|"&amp;$R811&amp;"|"&amp;$AE811,'ASIGNACIONES'!$J$4:$J$339,0)),0)-$AG811)</f>
        <v/>
      </c>
      <c r="AI811" s="10">
        <f>IF($A811="","",IFERROR(INDEX('2_IMPORTAR_EJECUCION'!$F$9:$F$1208,MATCH($AQ811,'2_IMPORTAR_EJECUCION'!$J$9:$J$1208,0)),0))</f>
        <v/>
      </c>
      <c r="AJ811" s="10">
        <f>IF($A811="","",MAX(0,IFERROR(INDEX('2_IMPORTAR_EJECUCION'!$H$9:$H$1208,MATCH($AQ811,'2_IMPORTAR_EJECUCION'!$J$9:$J$1208,0)),0)-$AI811))</f>
        <v/>
      </c>
      <c r="AK811" s="10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2">
        <f>IF($J812="","",TODAY()-$J812)</f>
        <v/>
      </c>
      <c r="AB812" s="12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IF($AE812="","",IF((IFERROR(INDEX('ASIGNACIONES'!$F$4:$F$339,MATCH($O812&amp;"|"&amp;$R812&amp;"|"&amp;$AE812,'ASIGNACIONES'!$J$4:$J$339,0)),""))=0,"",IFERROR(INDEX('ASIGNACIONES'!$F$4:$F$339,MATCH($O812&amp;"|"&amp;$R812&amp;"|"&amp;$AE812,'ASIGNACIONES'!$J$4:$J$339,0)),"")))</f>
        <v/>
      </c>
      <c r="AG812" s="13">
        <f>IF($AE812="","",SUMIFS('ORDENES'!$M$4:$M$1203,'ORDENES'!$AE$4:$AE$1203,$AE812,'ORDENES'!$O$4:$O$1203,$O812,'ORDENES'!$R$4:$R$1203,$R812))</f>
        <v/>
      </c>
      <c r="AH812" s="13">
        <f>IF($AG812="","",p_factor_productividad*IFERROR(INDEX('ASIGNACIONES'!$I$4:$I$339,MATCH($O812&amp;"|"&amp;$R812&amp;"|"&amp;$AE812,'ASIGNACIONES'!$J$4:$J$339,0)),0)-$AG812)</f>
        <v/>
      </c>
      <c r="AI812" s="10">
        <f>IF($A812="","",IFERROR(INDEX('2_IMPORTAR_EJECUCION'!$F$9:$F$1208,MATCH($AQ812,'2_IMPORTAR_EJECUCION'!$J$9:$J$1208,0)),0))</f>
        <v/>
      </c>
      <c r="AJ812" s="10">
        <f>IF($A812="","",MAX(0,IFERROR(INDEX('2_IMPORTAR_EJECUCION'!$H$9:$H$1208,MATCH($AQ812,'2_IMPORTAR_EJECUCION'!$J$9:$J$1208,0)),0)-$AI812))</f>
        <v/>
      </c>
      <c r="AK812" s="10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2">
        <f>IF($J813="","",TODAY()-$J813)</f>
        <v/>
      </c>
      <c r="AB813" s="12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IF($AE813="","",IF((IFERROR(INDEX('ASIGNACIONES'!$F$4:$F$339,MATCH($O813&amp;"|"&amp;$R813&amp;"|"&amp;$AE813,'ASIGNACIONES'!$J$4:$J$339,0)),""))=0,"",IFERROR(INDEX('ASIGNACIONES'!$F$4:$F$339,MATCH($O813&amp;"|"&amp;$R813&amp;"|"&amp;$AE813,'ASIGNACIONES'!$J$4:$J$339,0)),"")))</f>
        <v/>
      </c>
      <c r="AG813" s="13">
        <f>IF($AE813="","",SUMIFS('ORDENES'!$M$4:$M$1203,'ORDENES'!$AE$4:$AE$1203,$AE813,'ORDENES'!$O$4:$O$1203,$O813,'ORDENES'!$R$4:$R$1203,$R813))</f>
        <v/>
      </c>
      <c r="AH813" s="13">
        <f>IF($AG813="","",p_factor_productividad*IFERROR(INDEX('ASIGNACIONES'!$I$4:$I$339,MATCH($O813&amp;"|"&amp;$R813&amp;"|"&amp;$AE813,'ASIGNACIONES'!$J$4:$J$339,0)),0)-$AG813)</f>
        <v/>
      </c>
      <c r="AI813" s="10">
        <f>IF($A813="","",IFERROR(INDEX('2_IMPORTAR_EJECUCION'!$F$9:$F$1208,MATCH($AQ813,'2_IMPORTAR_EJECUCION'!$J$9:$J$1208,0)),0))</f>
        <v/>
      </c>
      <c r="AJ813" s="10">
        <f>IF($A813="","",MAX(0,IFERROR(INDEX('2_IMPORTAR_EJECUCION'!$H$9:$H$1208,MATCH($AQ813,'2_IMPORTAR_EJECUCION'!$J$9:$J$1208,0)),0)-$AI813))</f>
        <v/>
      </c>
      <c r="AK813" s="10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2">
        <f>IF($J814="","",TODAY()-$J814)</f>
        <v/>
      </c>
      <c r="AB814" s="12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IF($AE814="","",IF((IFERROR(INDEX('ASIGNACIONES'!$F$4:$F$339,MATCH($O814&amp;"|"&amp;$R814&amp;"|"&amp;$AE814,'ASIGNACIONES'!$J$4:$J$339,0)),""))=0,"",IFERROR(INDEX('ASIGNACIONES'!$F$4:$F$339,MATCH($O814&amp;"|"&amp;$R814&amp;"|"&amp;$AE814,'ASIGNACIONES'!$J$4:$J$339,0)),"")))</f>
        <v/>
      </c>
      <c r="AG814" s="13">
        <f>IF($AE814="","",SUMIFS('ORDENES'!$M$4:$M$1203,'ORDENES'!$AE$4:$AE$1203,$AE814,'ORDENES'!$O$4:$O$1203,$O814,'ORDENES'!$R$4:$R$1203,$R814))</f>
        <v/>
      </c>
      <c r="AH814" s="13">
        <f>IF($AG814="","",p_factor_productividad*IFERROR(INDEX('ASIGNACIONES'!$I$4:$I$339,MATCH($O814&amp;"|"&amp;$R814&amp;"|"&amp;$AE814,'ASIGNACIONES'!$J$4:$J$339,0)),0)-$AG814)</f>
        <v/>
      </c>
      <c r="AI814" s="10">
        <f>IF($A814="","",IFERROR(INDEX('2_IMPORTAR_EJECUCION'!$F$9:$F$1208,MATCH($AQ814,'2_IMPORTAR_EJECUCION'!$J$9:$J$1208,0)),0))</f>
        <v/>
      </c>
      <c r="AJ814" s="10">
        <f>IF($A814="","",MAX(0,IFERROR(INDEX('2_IMPORTAR_EJECUCION'!$H$9:$H$1208,MATCH($AQ814,'2_IMPORTAR_EJECUCION'!$J$9:$J$1208,0)),0)-$AI814))</f>
        <v/>
      </c>
      <c r="AK814" s="10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2">
        <f>IF($J815="","",TODAY()-$J815)</f>
        <v/>
      </c>
      <c r="AB815" s="12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IF($AE815="","",IF((IFERROR(INDEX('ASIGNACIONES'!$F$4:$F$339,MATCH($O815&amp;"|"&amp;$R815&amp;"|"&amp;$AE815,'ASIGNACIONES'!$J$4:$J$339,0)),""))=0,"",IFERROR(INDEX('ASIGNACIONES'!$F$4:$F$339,MATCH($O815&amp;"|"&amp;$R815&amp;"|"&amp;$AE815,'ASIGNACIONES'!$J$4:$J$339,0)),"")))</f>
        <v/>
      </c>
      <c r="AG815" s="13">
        <f>IF($AE815="","",SUMIFS('ORDENES'!$M$4:$M$1203,'ORDENES'!$AE$4:$AE$1203,$AE815,'ORDENES'!$O$4:$O$1203,$O815,'ORDENES'!$R$4:$R$1203,$R815))</f>
        <v/>
      </c>
      <c r="AH815" s="13">
        <f>IF($AG815="","",p_factor_productividad*IFERROR(INDEX('ASIGNACIONES'!$I$4:$I$339,MATCH($O815&amp;"|"&amp;$R815&amp;"|"&amp;$AE815,'ASIGNACIONES'!$J$4:$J$339,0)),0)-$AG815)</f>
        <v/>
      </c>
      <c r="AI815" s="10">
        <f>IF($A815="","",IFERROR(INDEX('2_IMPORTAR_EJECUCION'!$F$9:$F$1208,MATCH($AQ815,'2_IMPORTAR_EJECUCION'!$J$9:$J$1208,0)),0))</f>
        <v/>
      </c>
      <c r="AJ815" s="10">
        <f>IF($A815="","",MAX(0,IFERROR(INDEX('2_IMPORTAR_EJECUCION'!$H$9:$H$1208,MATCH($AQ815,'2_IMPORTAR_EJECUCION'!$J$9:$J$1208,0)),0)-$AI815))</f>
        <v/>
      </c>
      <c r="AK815" s="10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2">
        <f>IF($J816="","",TODAY()-$J816)</f>
        <v/>
      </c>
      <c r="AB816" s="12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IF($AE816="","",IF((IFERROR(INDEX('ASIGNACIONES'!$F$4:$F$339,MATCH($O816&amp;"|"&amp;$R816&amp;"|"&amp;$AE816,'ASIGNACIONES'!$J$4:$J$339,0)),""))=0,"",IFERROR(INDEX('ASIGNACIONES'!$F$4:$F$339,MATCH($O816&amp;"|"&amp;$R816&amp;"|"&amp;$AE816,'ASIGNACIONES'!$J$4:$J$339,0)),"")))</f>
        <v/>
      </c>
      <c r="AG816" s="13">
        <f>IF($AE816="","",SUMIFS('ORDENES'!$M$4:$M$1203,'ORDENES'!$AE$4:$AE$1203,$AE816,'ORDENES'!$O$4:$O$1203,$O816,'ORDENES'!$R$4:$R$1203,$R816))</f>
        <v/>
      </c>
      <c r="AH816" s="13">
        <f>IF($AG816="","",p_factor_productividad*IFERROR(INDEX('ASIGNACIONES'!$I$4:$I$339,MATCH($O816&amp;"|"&amp;$R816&amp;"|"&amp;$AE816,'ASIGNACIONES'!$J$4:$J$339,0)),0)-$AG816)</f>
        <v/>
      </c>
      <c r="AI816" s="10">
        <f>IF($A816="","",IFERROR(INDEX('2_IMPORTAR_EJECUCION'!$F$9:$F$1208,MATCH($AQ816,'2_IMPORTAR_EJECUCION'!$J$9:$J$1208,0)),0))</f>
        <v/>
      </c>
      <c r="AJ816" s="10">
        <f>IF($A816="","",MAX(0,IFERROR(INDEX('2_IMPORTAR_EJECUCION'!$H$9:$H$1208,MATCH($AQ816,'2_IMPORTAR_EJECUCION'!$J$9:$J$1208,0)),0)-$AI816))</f>
        <v/>
      </c>
      <c r="AK816" s="10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2">
        <f>IF($J817="","",TODAY()-$J817)</f>
        <v/>
      </c>
      <c r="AB817" s="12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IF($AE817="","",IF((IFERROR(INDEX('ASIGNACIONES'!$F$4:$F$339,MATCH($O817&amp;"|"&amp;$R817&amp;"|"&amp;$AE817,'ASIGNACIONES'!$J$4:$J$339,0)),""))=0,"",IFERROR(INDEX('ASIGNACIONES'!$F$4:$F$339,MATCH($O817&amp;"|"&amp;$R817&amp;"|"&amp;$AE817,'ASIGNACIONES'!$J$4:$J$339,0)),"")))</f>
        <v/>
      </c>
      <c r="AG817" s="13">
        <f>IF($AE817="","",SUMIFS('ORDENES'!$M$4:$M$1203,'ORDENES'!$AE$4:$AE$1203,$AE817,'ORDENES'!$O$4:$O$1203,$O817,'ORDENES'!$R$4:$R$1203,$R817))</f>
        <v/>
      </c>
      <c r="AH817" s="13">
        <f>IF($AG817="","",p_factor_productividad*IFERROR(INDEX('ASIGNACIONES'!$I$4:$I$339,MATCH($O817&amp;"|"&amp;$R817&amp;"|"&amp;$AE817,'ASIGNACIONES'!$J$4:$J$339,0)),0)-$AG817)</f>
        <v/>
      </c>
      <c r="AI817" s="10">
        <f>IF($A817="","",IFERROR(INDEX('2_IMPORTAR_EJECUCION'!$F$9:$F$1208,MATCH($AQ817,'2_IMPORTAR_EJECUCION'!$J$9:$J$1208,0)),0))</f>
        <v/>
      </c>
      <c r="AJ817" s="10">
        <f>IF($A817="","",MAX(0,IFERROR(INDEX('2_IMPORTAR_EJECUCION'!$H$9:$H$1208,MATCH($AQ817,'2_IMPORTAR_EJECUCION'!$J$9:$J$1208,0)),0)-$AI817))</f>
        <v/>
      </c>
      <c r="AK817" s="10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2">
        <f>IF($J818="","",TODAY()-$J818)</f>
        <v/>
      </c>
      <c r="AB818" s="12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IF($AE818="","",IF((IFERROR(INDEX('ASIGNACIONES'!$F$4:$F$339,MATCH($O818&amp;"|"&amp;$R818&amp;"|"&amp;$AE818,'ASIGNACIONES'!$J$4:$J$339,0)),""))=0,"",IFERROR(INDEX('ASIGNACIONES'!$F$4:$F$339,MATCH($O818&amp;"|"&amp;$R818&amp;"|"&amp;$AE818,'ASIGNACIONES'!$J$4:$J$339,0)),"")))</f>
        <v/>
      </c>
      <c r="AG818" s="13">
        <f>IF($AE818="","",SUMIFS('ORDENES'!$M$4:$M$1203,'ORDENES'!$AE$4:$AE$1203,$AE818,'ORDENES'!$O$4:$O$1203,$O818,'ORDENES'!$R$4:$R$1203,$R818))</f>
        <v/>
      </c>
      <c r="AH818" s="13">
        <f>IF($AG818="","",p_factor_productividad*IFERROR(INDEX('ASIGNACIONES'!$I$4:$I$339,MATCH($O818&amp;"|"&amp;$R818&amp;"|"&amp;$AE818,'ASIGNACIONES'!$J$4:$J$339,0)),0)-$AG818)</f>
        <v/>
      </c>
      <c r="AI818" s="10">
        <f>IF($A818="","",IFERROR(INDEX('2_IMPORTAR_EJECUCION'!$F$9:$F$1208,MATCH($AQ818,'2_IMPORTAR_EJECUCION'!$J$9:$J$1208,0)),0))</f>
        <v/>
      </c>
      <c r="AJ818" s="10">
        <f>IF($A818="","",MAX(0,IFERROR(INDEX('2_IMPORTAR_EJECUCION'!$H$9:$H$1208,MATCH($AQ818,'2_IMPORTAR_EJECUCION'!$J$9:$J$1208,0)),0)-$AI818))</f>
        <v/>
      </c>
      <c r="AK818" s="10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2">
        <f>IF($J819="","",TODAY()-$J819)</f>
        <v/>
      </c>
      <c r="AB819" s="12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IF($AE819="","",IF((IFERROR(INDEX('ASIGNACIONES'!$F$4:$F$339,MATCH($O819&amp;"|"&amp;$R819&amp;"|"&amp;$AE819,'ASIGNACIONES'!$J$4:$J$339,0)),""))=0,"",IFERROR(INDEX('ASIGNACIONES'!$F$4:$F$339,MATCH($O819&amp;"|"&amp;$R819&amp;"|"&amp;$AE819,'ASIGNACIONES'!$J$4:$J$339,0)),"")))</f>
        <v/>
      </c>
      <c r="AG819" s="13">
        <f>IF($AE819="","",SUMIFS('ORDENES'!$M$4:$M$1203,'ORDENES'!$AE$4:$AE$1203,$AE819,'ORDENES'!$O$4:$O$1203,$O819,'ORDENES'!$R$4:$R$1203,$R819))</f>
        <v/>
      </c>
      <c r="AH819" s="13">
        <f>IF($AG819="","",p_factor_productividad*IFERROR(INDEX('ASIGNACIONES'!$I$4:$I$339,MATCH($O819&amp;"|"&amp;$R819&amp;"|"&amp;$AE819,'ASIGNACIONES'!$J$4:$J$339,0)),0)-$AG819)</f>
        <v/>
      </c>
      <c r="AI819" s="10">
        <f>IF($A819="","",IFERROR(INDEX('2_IMPORTAR_EJECUCION'!$F$9:$F$1208,MATCH($AQ819,'2_IMPORTAR_EJECUCION'!$J$9:$J$1208,0)),0))</f>
        <v/>
      </c>
      <c r="AJ819" s="10">
        <f>IF($A819="","",MAX(0,IFERROR(INDEX('2_IMPORTAR_EJECUCION'!$H$9:$H$1208,MATCH($AQ819,'2_IMPORTAR_EJECUCION'!$J$9:$J$1208,0)),0)-$AI819))</f>
        <v/>
      </c>
      <c r="AK819" s="10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2">
        <f>IF($J820="","",TODAY()-$J820)</f>
        <v/>
      </c>
      <c r="AB820" s="12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IF($AE820="","",IF((IFERROR(INDEX('ASIGNACIONES'!$F$4:$F$339,MATCH($O820&amp;"|"&amp;$R820&amp;"|"&amp;$AE820,'ASIGNACIONES'!$J$4:$J$339,0)),""))=0,"",IFERROR(INDEX('ASIGNACIONES'!$F$4:$F$339,MATCH($O820&amp;"|"&amp;$R820&amp;"|"&amp;$AE820,'ASIGNACIONES'!$J$4:$J$339,0)),"")))</f>
        <v/>
      </c>
      <c r="AG820" s="13">
        <f>IF($AE820="","",SUMIFS('ORDENES'!$M$4:$M$1203,'ORDENES'!$AE$4:$AE$1203,$AE820,'ORDENES'!$O$4:$O$1203,$O820,'ORDENES'!$R$4:$R$1203,$R820))</f>
        <v/>
      </c>
      <c r="AH820" s="13">
        <f>IF($AG820="","",p_factor_productividad*IFERROR(INDEX('ASIGNACIONES'!$I$4:$I$339,MATCH($O820&amp;"|"&amp;$R820&amp;"|"&amp;$AE820,'ASIGNACIONES'!$J$4:$J$339,0)),0)-$AG820)</f>
        <v/>
      </c>
      <c r="AI820" s="10">
        <f>IF($A820="","",IFERROR(INDEX('2_IMPORTAR_EJECUCION'!$F$9:$F$1208,MATCH($AQ820,'2_IMPORTAR_EJECUCION'!$J$9:$J$1208,0)),0))</f>
        <v/>
      </c>
      <c r="AJ820" s="10">
        <f>IF($A820="","",MAX(0,IFERROR(INDEX('2_IMPORTAR_EJECUCION'!$H$9:$H$1208,MATCH($AQ820,'2_IMPORTAR_EJECUCION'!$J$9:$J$1208,0)),0)-$AI820))</f>
        <v/>
      </c>
      <c r="AK820" s="10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2">
        <f>IF($J821="","",TODAY()-$J821)</f>
        <v/>
      </c>
      <c r="AB821" s="12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IF($AE821="","",IF((IFERROR(INDEX('ASIGNACIONES'!$F$4:$F$339,MATCH($O821&amp;"|"&amp;$R821&amp;"|"&amp;$AE821,'ASIGNACIONES'!$J$4:$J$339,0)),""))=0,"",IFERROR(INDEX('ASIGNACIONES'!$F$4:$F$339,MATCH($O821&amp;"|"&amp;$R821&amp;"|"&amp;$AE821,'ASIGNACIONES'!$J$4:$J$339,0)),"")))</f>
        <v/>
      </c>
      <c r="AG821" s="13">
        <f>IF($AE821="","",SUMIFS('ORDENES'!$M$4:$M$1203,'ORDENES'!$AE$4:$AE$1203,$AE821,'ORDENES'!$O$4:$O$1203,$O821,'ORDENES'!$R$4:$R$1203,$R821))</f>
        <v/>
      </c>
      <c r="AH821" s="13">
        <f>IF($AG821="","",p_factor_productividad*IFERROR(INDEX('ASIGNACIONES'!$I$4:$I$339,MATCH($O821&amp;"|"&amp;$R821&amp;"|"&amp;$AE821,'ASIGNACIONES'!$J$4:$J$339,0)),0)-$AG821)</f>
        <v/>
      </c>
      <c r="AI821" s="10">
        <f>IF($A821="","",IFERROR(INDEX('2_IMPORTAR_EJECUCION'!$F$9:$F$1208,MATCH($AQ821,'2_IMPORTAR_EJECUCION'!$J$9:$J$1208,0)),0))</f>
        <v/>
      </c>
      <c r="AJ821" s="10">
        <f>IF($A821="","",MAX(0,IFERROR(INDEX('2_IMPORTAR_EJECUCION'!$H$9:$H$1208,MATCH($AQ821,'2_IMPORTAR_EJECUCION'!$J$9:$J$1208,0)),0)-$AI821))</f>
        <v/>
      </c>
      <c r="AK821" s="10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2">
        <f>IF($J822="","",TODAY()-$J822)</f>
        <v/>
      </c>
      <c r="AB822" s="12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IF($AE822="","",IF((IFERROR(INDEX('ASIGNACIONES'!$F$4:$F$339,MATCH($O822&amp;"|"&amp;$R822&amp;"|"&amp;$AE822,'ASIGNACIONES'!$J$4:$J$339,0)),""))=0,"",IFERROR(INDEX('ASIGNACIONES'!$F$4:$F$339,MATCH($O822&amp;"|"&amp;$R822&amp;"|"&amp;$AE822,'ASIGNACIONES'!$J$4:$J$339,0)),"")))</f>
        <v/>
      </c>
      <c r="AG822" s="13">
        <f>IF($AE822="","",SUMIFS('ORDENES'!$M$4:$M$1203,'ORDENES'!$AE$4:$AE$1203,$AE822,'ORDENES'!$O$4:$O$1203,$O822,'ORDENES'!$R$4:$R$1203,$R822))</f>
        <v/>
      </c>
      <c r="AH822" s="13">
        <f>IF($AG822="","",p_factor_productividad*IFERROR(INDEX('ASIGNACIONES'!$I$4:$I$339,MATCH($O822&amp;"|"&amp;$R822&amp;"|"&amp;$AE822,'ASIGNACIONES'!$J$4:$J$339,0)),0)-$AG822)</f>
        <v/>
      </c>
      <c r="AI822" s="10">
        <f>IF($A822="","",IFERROR(INDEX('2_IMPORTAR_EJECUCION'!$F$9:$F$1208,MATCH($AQ822,'2_IMPORTAR_EJECUCION'!$J$9:$J$1208,0)),0))</f>
        <v/>
      </c>
      <c r="AJ822" s="10">
        <f>IF($A822="","",MAX(0,IFERROR(INDEX('2_IMPORTAR_EJECUCION'!$H$9:$H$1208,MATCH($AQ822,'2_IMPORTAR_EJECUCION'!$J$9:$J$1208,0)),0)-$AI822))</f>
        <v/>
      </c>
      <c r="AK822" s="10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2">
        <f>IF($J823="","",TODAY()-$J823)</f>
        <v/>
      </c>
      <c r="AB823" s="12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IF($AE823="","",IF((IFERROR(INDEX('ASIGNACIONES'!$F$4:$F$339,MATCH($O823&amp;"|"&amp;$R823&amp;"|"&amp;$AE823,'ASIGNACIONES'!$J$4:$J$339,0)),""))=0,"",IFERROR(INDEX('ASIGNACIONES'!$F$4:$F$339,MATCH($O823&amp;"|"&amp;$R823&amp;"|"&amp;$AE823,'ASIGNACIONES'!$J$4:$J$339,0)),"")))</f>
        <v/>
      </c>
      <c r="AG823" s="13">
        <f>IF($AE823="","",SUMIFS('ORDENES'!$M$4:$M$1203,'ORDENES'!$AE$4:$AE$1203,$AE823,'ORDENES'!$O$4:$O$1203,$O823,'ORDENES'!$R$4:$R$1203,$R823))</f>
        <v/>
      </c>
      <c r="AH823" s="13">
        <f>IF($AG823="","",p_factor_productividad*IFERROR(INDEX('ASIGNACIONES'!$I$4:$I$339,MATCH($O823&amp;"|"&amp;$R823&amp;"|"&amp;$AE823,'ASIGNACIONES'!$J$4:$J$339,0)),0)-$AG823)</f>
        <v/>
      </c>
      <c r="AI823" s="10">
        <f>IF($A823="","",IFERROR(INDEX('2_IMPORTAR_EJECUCION'!$F$9:$F$1208,MATCH($AQ823,'2_IMPORTAR_EJECUCION'!$J$9:$J$1208,0)),0))</f>
        <v/>
      </c>
      <c r="AJ823" s="10">
        <f>IF($A823="","",MAX(0,IFERROR(INDEX('2_IMPORTAR_EJECUCION'!$H$9:$H$1208,MATCH($AQ823,'2_IMPORTAR_EJECUCION'!$J$9:$J$1208,0)),0)-$AI823))</f>
        <v/>
      </c>
      <c r="AK823" s="10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2">
        <f>IF($J824="","",TODAY()-$J824)</f>
        <v/>
      </c>
      <c r="AB824" s="12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IF($AE824="","",IF((IFERROR(INDEX('ASIGNACIONES'!$F$4:$F$339,MATCH($O824&amp;"|"&amp;$R824&amp;"|"&amp;$AE824,'ASIGNACIONES'!$J$4:$J$339,0)),""))=0,"",IFERROR(INDEX('ASIGNACIONES'!$F$4:$F$339,MATCH($O824&amp;"|"&amp;$R824&amp;"|"&amp;$AE824,'ASIGNACIONES'!$J$4:$J$339,0)),"")))</f>
        <v/>
      </c>
      <c r="AG824" s="13">
        <f>IF($AE824="","",SUMIFS('ORDENES'!$M$4:$M$1203,'ORDENES'!$AE$4:$AE$1203,$AE824,'ORDENES'!$O$4:$O$1203,$O824,'ORDENES'!$R$4:$R$1203,$R824))</f>
        <v/>
      </c>
      <c r="AH824" s="13">
        <f>IF($AG824="","",p_factor_productividad*IFERROR(INDEX('ASIGNACIONES'!$I$4:$I$339,MATCH($O824&amp;"|"&amp;$R824&amp;"|"&amp;$AE824,'ASIGNACIONES'!$J$4:$J$339,0)),0)-$AG824)</f>
        <v/>
      </c>
      <c r="AI824" s="10">
        <f>IF($A824="","",IFERROR(INDEX('2_IMPORTAR_EJECUCION'!$F$9:$F$1208,MATCH($AQ824,'2_IMPORTAR_EJECUCION'!$J$9:$J$1208,0)),0))</f>
        <v/>
      </c>
      <c r="AJ824" s="10">
        <f>IF($A824="","",MAX(0,IFERROR(INDEX('2_IMPORTAR_EJECUCION'!$H$9:$H$1208,MATCH($AQ824,'2_IMPORTAR_EJECUCION'!$J$9:$J$1208,0)),0)-$AI824))</f>
        <v/>
      </c>
      <c r="AK824" s="10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2">
        <f>IF($J825="","",TODAY()-$J825)</f>
        <v/>
      </c>
      <c r="AB825" s="12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IF($AE825="","",IF((IFERROR(INDEX('ASIGNACIONES'!$F$4:$F$339,MATCH($O825&amp;"|"&amp;$R825&amp;"|"&amp;$AE825,'ASIGNACIONES'!$J$4:$J$339,0)),""))=0,"",IFERROR(INDEX('ASIGNACIONES'!$F$4:$F$339,MATCH($O825&amp;"|"&amp;$R825&amp;"|"&amp;$AE825,'ASIGNACIONES'!$J$4:$J$339,0)),"")))</f>
        <v/>
      </c>
      <c r="AG825" s="13">
        <f>IF($AE825="","",SUMIFS('ORDENES'!$M$4:$M$1203,'ORDENES'!$AE$4:$AE$1203,$AE825,'ORDENES'!$O$4:$O$1203,$O825,'ORDENES'!$R$4:$R$1203,$R825))</f>
        <v/>
      </c>
      <c r="AH825" s="13">
        <f>IF($AG825="","",p_factor_productividad*IFERROR(INDEX('ASIGNACIONES'!$I$4:$I$339,MATCH($O825&amp;"|"&amp;$R825&amp;"|"&amp;$AE825,'ASIGNACIONES'!$J$4:$J$339,0)),0)-$AG825)</f>
        <v/>
      </c>
      <c r="AI825" s="10">
        <f>IF($A825="","",IFERROR(INDEX('2_IMPORTAR_EJECUCION'!$F$9:$F$1208,MATCH($AQ825,'2_IMPORTAR_EJECUCION'!$J$9:$J$1208,0)),0))</f>
        <v/>
      </c>
      <c r="AJ825" s="10">
        <f>IF($A825="","",MAX(0,IFERROR(INDEX('2_IMPORTAR_EJECUCION'!$H$9:$H$1208,MATCH($AQ825,'2_IMPORTAR_EJECUCION'!$J$9:$J$1208,0)),0)-$AI825))</f>
        <v/>
      </c>
      <c r="AK825" s="10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2">
        <f>IF($J826="","",TODAY()-$J826)</f>
        <v/>
      </c>
      <c r="AB826" s="12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IF($AE826="","",IF((IFERROR(INDEX('ASIGNACIONES'!$F$4:$F$339,MATCH($O826&amp;"|"&amp;$R826&amp;"|"&amp;$AE826,'ASIGNACIONES'!$J$4:$J$339,0)),""))=0,"",IFERROR(INDEX('ASIGNACIONES'!$F$4:$F$339,MATCH($O826&amp;"|"&amp;$R826&amp;"|"&amp;$AE826,'ASIGNACIONES'!$J$4:$J$339,0)),"")))</f>
        <v/>
      </c>
      <c r="AG826" s="13">
        <f>IF($AE826="","",SUMIFS('ORDENES'!$M$4:$M$1203,'ORDENES'!$AE$4:$AE$1203,$AE826,'ORDENES'!$O$4:$O$1203,$O826,'ORDENES'!$R$4:$R$1203,$R826))</f>
        <v/>
      </c>
      <c r="AH826" s="13">
        <f>IF($AG826="","",p_factor_productividad*IFERROR(INDEX('ASIGNACIONES'!$I$4:$I$339,MATCH($O826&amp;"|"&amp;$R826&amp;"|"&amp;$AE826,'ASIGNACIONES'!$J$4:$J$339,0)),0)-$AG826)</f>
        <v/>
      </c>
      <c r="AI826" s="10">
        <f>IF($A826="","",IFERROR(INDEX('2_IMPORTAR_EJECUCION'!$F$9:$F$1208,MATCH($AQ826,'2_IMPORTAR_EJECUCION'!$J$9:$J$1208,0)),0))</f>
        <v/>
      </c>
      <c r="AJ826" s="10">
        <f>IF($A826="","",MAX(0,IFERROR(INDEX('2_IMPORTAR_EJECUCION'!$H$9:$H$1208,MATCH($AQ826,'2_IMPORTAR_EJECUCION'!$J$9:$J$1208,0)),0)-$AI826))</f>
        <v/>
      </c>
      <c r="AK826" s="10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2">
        <f>IF($J827="","",TODAY()-$J827)</f>
        <v/>
      </c>
      <c r="AB827" s="12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IF($AE827="","",IF((IFERROR(INDEX('ASIGNACIONES'!$F$4:$F$339,MATCH($O827&amp;"|"&amp;$R827&amp;"|"&amp;$AE827,'ASIGNACIONES'!$J$4:$J$339,0)),""))=0,"",IFERROR(INDEX('ASIGNACIONES'!$F$4:$F$339,MATCH($O827&amp;"|"&amp;$R827&amp;"|"&amp;$AE827,'ASIGNACIONES'!$J$4:$J$339,0)),"")))</f>
        <v/>
      </c>
      <c r="AG827" s="13">
        <f>IF($AE827="","",SUMIFS('ORDENES'!$M$4:$M$1203,'ORDENES'!$AE$4:$AE$1203,$AE827,'ORDENES'!$O$4:$O$1203,$O827,'ORDENES'!$R$4:$R$1203,$R827))</f>
        <v/>
      </c>
      <c r="AH827" s="13">
        <f>IF($AG827="","",p_factor_productividad*IFERROR(INDEX('ASIGNACIONES'!$I$4:$I$339,MATCH($O827&amp;"|"&amp;$R827&amp;"|"&amp;$AE827,'ASIGNACIONES'!$J$4:$J$339,0)),0)-$AG827)</f>
        <v/>
      </c>
      <c r="AI827" s="10">
        <f>IF($A827="","",IFERROR(INDEX('2_IMPORTAR_EJECUCION'!$F$9:$F$1208,MATCH($AQ827,'2_IMPORTAR_EJECUCION'!$J$9:$J$1208,0)),0))</f>
        <v/>
      </c>
      <c r="AJ827" s="10">
        <f>IF($A827="","",MAX(0,IFERROR(INDEX('2_IMPORTAR_EJECUCION'!$H$9:$H$1208,MATCH($AQ827,'2_IMPORTAR_EJECUCION'!$J$9:$J$1208,0)),0)-$AI827))</f>
        <v/>
      </c>
      <c r="AK827" s="10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2">
        <f>IF($J828="","",TODAY()-$J828)</f>
        <v/>
      </c>
      <c r="AB828" s="12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IF($AE828="","",IF((IFERROR(INDEX('ASIGNACIONES'!$F$4:$F$339,MATCH($O828&amp;"|"&amp;$R828&amp;"|"&amp;$AE828,'ASIGNACIONES'!$J$4:$J$339,0)),""))=0,"",IFERROR(INDEX('ASIGNACIONES'!$F$4:$F$339,MATCH($O828&amp;"|"&amp;$R828&amp;"|"&amp;$AE828,'ASIGNACIONES'!$J$4:$J$339,0)),"")))</f>
        <v/>
      </c>
      <c r="AG828" s="13">
        <f>IF($AE828="","",SUMIFS('ORDENES'!$M$4:$M$1203,'ORDENES'!$AE$4:$AE$1203,$AE828,'ORDENES'!$O$4:$O$1203,$O828,'ORDENES'!$R$4:$R$1203,$R828))</f>
        <v/>
      </c>
      <c r="AH828" s="13">
        <f>IF($AG828="","",p_factor_productividad*IFERROR(INDEX('ASIGNACIONES'!$I$4:$I$339,MATCH($O828&amp;"|"&amp;$R828&amp;"|"&amp;$AE828,'ASIGNACIONES'!$J$4:$J$339,0)),0)-$AG828)</f>
        <v/>
      </c>
      <c r="AI828" s="10">
        <f>IF($A828="","",IFERROR(INDEX('2_IMPORTAR_EJECUCION'!$F$9:$F$1208,MATCH($AQ828,'2_IMPORTAR_EJECUCION'!$J$9:$J$1208,0)),0))</f>
        <v/>
      </c>
      <c r="AJ828" s="10">
        <f>IF($A828="","",MAX(0,IFERROR(INDEX('2_IMPORTAR_EJECUCION'!$H$9:$H$1208,MATCH($AQ828,'2_IMPORTAR_EJECUCION'!$J$9:$J$1208,0)),0)-$AI828))</f>
        <v/>
      </c>
      <c r="AK828" s="10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2">
        <f>IF($J829="","",TODAY()-$J829)</f>
        <v/>
      </c>
      <c r="AB829" s="12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IF($AE829="","",IF((IFERROR(INDEX('ASIGNACIONES'!$F$4:$F$339,MATCH($O829&amp;"|"&amp;$R829&amp;"|"&amp;$AE829,'ASIGNACIONES'!$J$4:$J$339,0)),""))=0,"",IFERROR(INDEX('ASIGNACIONES'!$F$4:$F$339,MATCH($O829&amp;"|"&amp;$R829&amp;"|"&amp;$AE829,'ASIGNACIONES'!$J$4:$J$339,0)),"")))</f>
        <v/>
      </c>
      <c r="AG829" s="13">
        <f>IF($AE829="","",SUMIFS('ORDENES'!$M$4:$M$1203,'ORDENES'!$AE$4:$AE$1203,$AE829,'ORDENES'!$O$4:$O$1203,$O829,'ORDENES'!$R$4:$R$1203,$R829))</f>
        <v/>
      </c>
      <c r="AH829" s="13">
        <f>IF($AG829="","",p_factor_productividad*IFERROR(INDEX('ASIGNACIONES'!$I$4:$I$339,MATCH($O829&amp;"|"&amp;$R829&amp;"|"&amp;$AE829,'ASIGNACIONES'!$J$4:$J$339,0)),0)-$AG829)</f>
        <v/>
      </c>
      <c r="AI829" s="10">
        <f>IF($A829="","",IFERROR(INDEX('2_IMPORTAR_EJECUCION'!$F$9:$F$1208,MATCH($AQ829,'2_IMPORTAR_EJECUCION'!$J$9:$J$1208,0)),0))</f>
        <v/>
      </c>
      <c r="AJ829" s="10">
        <f>IF($A829="","",MAX(0,IFERROR(INDEX('2_IMPORTAR_EJECUCION'!$H$9:$H$1208,MATCH($AQ829,'2_IMPORTAR_EJECUCION'!$J$9:$J$1208,0)),0)-$AI829))</f>
        <v/>
      </c>
      <c r="AK829" s="10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2">
        <f>IF($J830="","",TODAY()-$J830)</f>
        <v/>
      </c>
      <c r="AB830" s="12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IF($AE830="","",IF((IFERROR(INDEX('ASIGNACIONES'!$F$4:$F$339,MATCH($O830&amp;"|"&amp;$R830&amp;"|"&amp;$AE830,'ASIGNACIONES'!$J$4:$J$339,0)),""))=0,"",IFERROR(INDEX('ASIGNACIONES'!$F$4:$F$339,MATCH($O830&amp;"|"&amp;$R830&amp;"|"&amp;$AE830,'ASIGNACIONES'!$J$4:$J$339,0)),"")))</f>
        <v/>
      </c>
      <c r="AG830" s="13">
        <f>IF($AE830="","",SUMIFS('ORDENES'!$M$4:$M$1203,'ORDENES'!$AE$4:$AE$1203,$AE830,'ORDENES'!$O$4:$O$1203,$O830,'ORDENES'!$R$4:$R$1203,$R830))</f>
        <v/>
      </c>
      <c r="AH830" s="13">
        <f>IF($AG830="","",p_factor_productividad*IFERROR(INDEX('ASIGNACIONES'!$I$4:$I$339,MATCH($O830&amp;"|"&amp;$R830&amp;"|"&amp;$AE830,'ASIGNACIONES'!$J$4:$J$339,0)),0)-$AG830)</f>
        <v/>
      </c>
      <c r="AI830" s="10">
        <f>IF($A830="","",IFERROR(INDEX('2_IMPORTAR_EJECUCION'!$F$9:$F$1208,MATCH($AQ830,'2_IMPORTAR_EJECUCION'!$J$9:$J$1208,0)),0))</f>
        <v/>
      </c>
      <c r="AJ830" s="10">
        <f>IF($A830="","",MAX(0,IFERROR(INDEX('2_IMPORTAR_EJECUCION'!$H$9:$H$1208,MATCH($AQ830,'2_IMPORTAR_EJECUCION'!$J$9:$J$1208,0)),0)-$AI830))</f>
        <v/>
      </c>
      <c r="AK830" s="10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2">
        <f>IF($J831="","",TODAY()-$J831)</f>
        <v/>
      </c>
      <c r="AB831" s="12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IF($AE831="","",IF((IFERROR(INDEX('ASIGNACIONES'!$F$4:$F$339,MATCH($O831&amp;"|"&amp;$R831&amp;"|"&amp;$AE831,'ASIGNACIONES'!$J$4:$J$339,0)),""))=0,"",IFERROR(INDEX('ASIGNACIONES'!$F$4:$F$339,MATCH($O831&amp;"|"&amp;$R831&amp;"|"&amp;$AE831,'ASIGNACIONES'!$J$4:$J$339,0)),"")))</f>
        <v/>
      </c>
      <c r="AG831" s="13">
        <f>IF($AE831="","",SUMIFS('ORDENES'!$M$4:$M$1203,'ORDENES'!$AE$4:$AE$1203,$AE831,'ORDENES'!$O$4:$O$1203,$O831,'ORDENES'!$R$4:$R$1203,$R831))</f>
        <v/>
      </c>
      <c r="AH831" s="13">
        <f>IF($AG831="","",p_factor_productividad*IFERROR(INDEX('ASIGNACIONES'!$I$4:$I$339,MATCH($O831&amp;"|"&amp;$R831&amp;"|"&amp;$AE831,'ASIGNACIONES'!$J$4:$J$339,0)),0)-$AG831)</f>
        <v/>
      </c>
      <c r="AI831" s="10">
        <f>IF($A831="","",IFERROR(INDEX('2_IMPORTAR_EJECUCION'!$F$9:$F$1208,MATCH($AQ831,'2_IMPORTAR_EJECUCION'!$J$9:$J$1208,0)),0))</f>
        <v/>
      </c>
      <c r="AJ831" s="10">
        <f>IF($A831="","",MAX(0,IFERROR(INDEX('2_IMPORTAR_EJECUCION'!$H$9:$H$1208,MATCH($AQ831,'2_IMPORTAR_EJECUCION'!$J$9:$J$1208,0)),0)-$AI831))</f>
        <v/>
      </c>
      <c r="AK831" s="10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2">
        <f>IF($J832="","",TODAY()-$J832)</f>
        <v/>
      </c>
      <c r="AB832" s="12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IF($AE832="","",IF((IFERROR(INDEX('ASIGNACIONES'!$F$4:$F$339,MATCH($O832&amp;"|"&amp;$R832&amp;"|"&amp;$AE832,'ASIGNACIONES'!$J$4:$J$339,0)),""))=0,"",IFERROR(INDEX('ASIGNACIONES'!$F$4:$F$339,MATCH($O832&amp;"|"&amp;$R832&amp;"|"&amp;$AE832,'ASIGNACIONES'!$J$4:$J$339,0)),"")))</f>
        <v/>
      </c>
      <c r="AG832" s="13">
        <f>IF($AE832="","",SUMIFS('ORDENES'!$M$4:$M$1203,'ORDENES'!$AE$4:$AE$1203,$AE832,'ORDENES'!$O$4:$O$1203,$O832,'ORDENES'!$R$4:$R$1203,$R832))</f>
        <v/>
      </c>
      <c r="AH832" s="13">
        <f>IF($AG832="","",p_factor_productividad*IFERROR(INDEX('ASIGNACIONES'!$I$4:$I$339,MATCH($O832&amp;"|"&amp;$R832&amp;"|"&amp;$AE832,'ASIGNACIONES'!$J$4:$J$339,0)),0)-$AG832)</f>
        <v/>
      </c>
      <c r="AI832" s="10">
        <f>IF($A832="","",IFERROR(INDEX('2_IMPORTAR_EJECUCION'!$F$9:$F$1208,MATCH($AQ832,'2_IMPORTAR_EJECUCION'!$J$9:$J$1208,0)),0))</f>
        <v/>
      </c>
      <c r="AJ832" s="10">
        <f>IF($A832="","",MAX(0,IFERROR(INDEX('2_IMPORTAR_EJECUCION'!$H$9:$H$1208,MATCH($AQ832,'2_IMPORTAR_EJECUCION'!$J$9:$J$1208,0)),0)-$AI832))</f>
        <v/>
      </c>
      <c r="AK832" s="10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2">
        <f>IF($J833="","",TODAY()-$J833)</f>
        <v/>
      </c>
      <c r="AB833" s="12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IF($AE833="","",IF((IFERROR(INDEX('ASIGNACIONES'!$F$4:$F$339,MATCH($O833&amp;"|"&amp;$R833&amp;"|"&amp;$AE833,'ASIGNACIONES'!$J$4:$J$339,0)),""))=0,"",IFERROR(INDEX('ASIGNACIONES'!$F$4:$F$339,MATCH($O833&amp;"|"&amp;$R833&amp;"|"&amp;$AE833,'ASIGNACIONES'!$J$4:$J$339,0)),"")))</f>
        <v/>
      </c>
      <c r="AG833" s="13">
        <f>IF($AE833="","",SUMIFS('ORDENES'!$M$4:$M$1203,'ORDENES'!$AE$4:$AE$1203,$AE833,'ORDENES'!$O$4:$O$1203,$O833,'ORDENES'!$R$4:$R$1203,$R833))</f>
        <v/>
      </c>
      <c r="AH833" s="13">
        <f>IF($AG833="","",p_factor_productividad*IFERROR(INDEX('ASIGNACIONES'!$I$4:$I$339,MATCH($O833&amp;"|"&amp;$R833&amp;"|"&amp;$AE833,'ASIGNACIONES'!$J$4:$J$339,0)),0)-$AG833)</f>
        <v/>
      </c>
      <c r="AI833" s="10">
        <f>IF($A833="","",IFERROR(INDEX('2_IMPORTAR_EJECUCION'!$F$9:$F$1208,MATCH($AQ833,'2_IMPORTAR_EJECUCION'!$J$9:$J$1208,0)),0))</f>
        <v/>
      </c>
      <c r="AJ833" s="10">
        <f>IF($A833="","",MAX(0,IFERROR(INDEX('2_IMPORTAR_EJECUCION'!$H$9:$H$1208,MATCH($AQ833,'2_IMPORTAR_EJECUCION'!$J$9:$J$1208,0)),0)-$AI833))</f>
        <v/>
      </c>
      <c r="AK833" s="10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2">
        <f>IF($J834="","",TODAY()-$J834)</f>
        <v/>
      </c>
      <c r="AB834" s="12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IF($AE834="","",IF((IFERROR(INDEX('ASIGNACIONES'!$F$4:$F$339,MATCH($O834&amp;"|"&amp;$R834&amp;"|"&amp;$AE834,'ASIGNACIONES'!$J$4:$J$339,0)),""))=0,"",IFERROR(INDEX('ASIGNACIONES'!$F$4:$F$339,MATCH($O834&amp;"|"&amp;$R834&amp;"|"&amp;$AE834,'ASIGNACIONES'!$J$4:$J$339,0)),"")))</f>
        <v/>
      </c>
      <c r="AG834" s="13">
        <f>IF($AE834="","",SUMIFS('ORDENES'!$M$4:$M$1203,'ORDENES'!$AE$4:$AE$1203,$AE834,'ORDENES'!$O$4:$O$1203,$O834,'ORDENES'!$R$4:$R$1203,$R834))</f>
        <v/>
      </c>
      <c r="AH834" s="13">
        <f>IF($AG834="","",p_factor_productividad*IFERROR(INDEX('ASIGNACIONES'!$I$4:$I$339,MATCH($O834&amp;"|"&amp;$R834&amp;"|"&amp;$AE834,'ASIGNACIONES'!$J$4:$J$339,0)),0)-$AG834)</f>
        <v/>
      </c>
      <c r="AI834" s="10">
        <f>IF($A834="","",IFERROR(INDEX('2_IMPORTAR_EJECUCION'!$F$9:$F$1208,MATCH($AQ834,'2_IMPORTAR_EJECUCION'!$J$9:$J$1208,0)),0))</f>
        <v/>
      </c>
      <c r="AJ834" s="10">
        <f>IF($A834="","",MAX(0,IFERROR(INDEX('2_IMPORTAR_EJECUCION'!$H$9:$H$1208,MATCH($AQ834,'2_IMPORTAR_EJECUCION'!$J$9:$J$1208,0)),0)-$AI834))</f>
        <v/>
      </c>
      <c r="AK834" s="10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2">
        <f>IF($J835="","",TODAY()-$J835)</f>
        <v/>
      </c>
      <c r="AB835" s="12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IF($AE835="","",IF((IFERROR(INDEX('ASIGNACIONES'!$F$4:$F$339,MATCH($O835&amp;"|"&amp;$R835&amp;"|"&amp;$AE835,'ASIGNACIONES'!$J$4:$J$339,0)),""))=0,"",IFERROR(INDEX('ASIGNACIONES'!$F$4:$F$339,MATCH($O835&amp;"|"&amp;$R835&amp;"|"&amp;$AE835,'ASIGNACIONES'!$J$4:$J$339,0)),"")))</f>
        <v/>
      </c>
      <c r="AG835" s="13">
        <f>IF($AE835="","",SUMIFS('ORDENES'!$M$4:$M$1203,'ORDENES'!$AE$4:$AE$1203,$AE835,'ORDENES'!$O$4:$O$1203,$O835,'ORDENES'!$R$4:$R$1203,$R835))</f>
        <v/>
      </c>
      <c r="AH835" s="13">
        <f>IF($AG835="","",p_factor_productividad*IFERROR(INDEX('ASIGNACIONES'!$I$4:$I$339,MATCH($O835&amp;"|"&amp;$R835&amp;"|"&amp;$AE835,'ASIGNACIONES'!$J$4:$J$339,0)),0)-$AG835)</f>
        <v/>
      </c>
      <c r="AI835" s="10">
        <f>IF($A835="","",IFERROR(INDEX('2_IMPORTAR_EJECUCION'!$F$9:$F$1208,MATCH($AQ835,'2_IMPORTAR_EJECUCION'!$J$9:$J$1208,0)),0))</f>
        <v/>
      </c>
      <c r="AJ835" s="10">
        <f>IF($A835="","",MAX(0,IFERROR(INDEX('2_IMPORTAR_EJECUCION'!$H$9:$H$1208,MATCH($AQ835,'2_IMPORTAR_EJECUCION'!$J$9:$J$1208,0)),0)-$AI835))</f>
        <v/>
      </c>
      <c r="AK835" s="10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2">
        <f>IF($J836="","",TODAY()-$J836)</f>
        <v/>
      </c>
      <c r="AB836" s="12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IF($AE836="","",IF((IFERROR(INDEX('ASIGNACIONES'!$F$4:$F$339,MATCH($O836&amp;"|"&amp;$R836&amp;"|"&amp;$AE836,'ASIGNACIONES'!$J$4:$J$339,0)),""))=0,"",IFERROR(INDEX('ASIGNACIONES'!$F$4:$F$339,MATCH($O836&amp;"|"&amp;$R836&amp;"|"&amp;$AE836,'ASIGNACIONES'!$J$4:$J$339,0)),"")))</f>
        <v/>
      </c>
      <c r="AG836" s="13">
        <f>IF($AE836="","",SUMIFS('ORDENES'!$M$4:$M$1203,'ORDENES'!$AE$4:$AE$1203,$AE836,'ORDENES'!$O$4:$O$1203,$O836,'ORDENES'!$R$4:$R$1203,$R836))</f>
        <v/>
      </c>
      <c r="AH836" s="13">
        <f>IF($AG836="","",p_factor_productividad*IFERROR(INDEX('ASIGNACIONES'!$I$4:$I$339,MATCH($O836&amp;"|"&amp;$R836&amp;"|"&amp;$AE836,'ASIGNACIONES'!$J$4:$J$339,0)),0)-$AG836)</f>
        <v/>
      </c>
      <c r="AI836" s="10">
        <f>IF($A836="","",IFERROR(INDEX('2_IMPORTAR_EJECUCION'!$F$9:$F$1208,MATCH($AQ836,'2_IMPORTAR_EJECUCION'!$J$9:$J$1208,0)),0))</f>
        <v/>
      </c>
      <c r="AJ836" s="10">
        <f>IF($A836="","",MAX(0,IFERROR(INDEX('2_IMPORTAR_EJECUCION'!$H$9:$H$1208,MATCH($AQ836,'2_IMPORTAR_EJECUCION'!$J$9:$J$1208,0)),0)-$AI836))</f>
        <v/>
      </c>
      <c r="AK836" s="10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2">
        <f>IF($J837="","",TODAY()-$J837)</f>
        <v/>
      </c>
      <c r="AB837" s="12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IF($AE837="","",IF((IFERROR(INDEX('ASIGNACIONES'!$F$4:$F$339,MATCH($O837&amp;"|"&amp;$R837&amp;"|"&amp;$AE837,'ASIGNACIONES'!$J$4:$J$339,0)),""))=0,"",IFERROR(INDEX('ASIGNACIONES'!$F$4:$F$339,MATCH($O837&amp;"|"&amp;$R837&amp;"|"&amp;$AE837,'ASIGNACIONES'!$J$4:$J$339,0)),"")))</f>
        <v/>
      </c>
      <c r="AG837" s="13">
        <f>IF($AE837="","",SUMIFS('ORDENES'!$M$4:$M$1203,'ORDENES'!$AE$4:$AE$1203,$AE837,'ORDENES'!$O$4:$O$1203,$O837,'ORDENES'!$R$4:$R$1203,$R837))</f>
        <v/>
      </c>
      <c r="AH837" s="13">
        <f>IF($AG837="","",p_factor_productividad*IFERROR(INDEX('ASIGNACIONES'!$I$4:$I$339,MATCH($O837&amp;"|"&amp;$R837&amp;"|"&amp;$AE837,'ASIGNACIONES'!$J$4:$J$339,0)),0)-$AG837)</f>
        <v/>
      </c>
      <c r="AI837" s="10">
        <f>IF($A837="","",IFERROR(INDEX('2_IMPORTAR_EJECUCION'!$F$9:$F$1208,MATCH($AQ837,'2_IMPORTAR_EJECUCION'!$J$9:$J$1208,0)),0))</f>
        <v/>
      </c>
      <c r="AJ837" s="10">
        <f>IF($A837="","",MAX(0,IFERROR(INDEX('2_IMPORTAR_EJECUCION'!$H$9:$H$1208,MATCH($AQ837,'2_IMPORTAR_EJECUCION'!$J$9:$J$1208,0)),0)-$AI837))</f>
        <v/>
      </c>
      <c r="AK837" s="10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2">
        <f>IF($J838="","",TODAY()-$J838)</f>
        <v/>
      </c>
      <c r="AB838" s="12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IF($AE838="","",IF((IFERROR(INDEX('ASIGNACIONES'!$F$4:$F$339,MATCH($O838&amp;"|"&amp;$R838&amp;"|"&amp;$AE838,'ASIGNACIONES'!$J$4:$J$339,0)),""))=0,"",IFERROR(INDEX('ASIGNACIONES'!$F$4:$F$339,MATCH($O838&amp;"|"&amp;$R838&amp;"|"&amp;$AE838,'ASIGNACIONES'!$J$4:$J$339,0)),"")))</f>
        <v/>
      </c>
      <c r="AG838" s="13">
        <f>IF($AE838="","",SUMIFS('ORDENES'!$M$4:$M$1203,'ORDENES'!$AE$4:$AE$1203,$AE838,'ORDENES'!$O$4:$O$1203,$O838,'ORDENES'!$R$4:$R$1203,$R838))</f>
        <v/>
      </c>
      <c r="AH838" s="13">
        <f>IF($AG838="","",p_factor_productividad*IFERROR(INDEX('ASIGNACIONES'!$I$4:$I$339,MATCH($O838&amp;"|"&amp;$R838&amp;"|"&amp;$AE838,'ASIGNACIONES'!$J$4:$J$339,0)),0)-$AG838)</f>
        <v/>
      </c>
      <c r="AI838" s="10">
        <f>IF($A838="","",IFERROR(INDEX('2_IMPORTAR_EJECUCION'!$F$9:$F$1208,MATCH($AQ838,'2_IMPORTAR_EJECUCION'!$J$9:$J$1208,0)),0))</f>
        <v/>
      </c>
      <c r="AJ838" s="10">
        <f>IF($A838="","",MAX(0,IFERROR(INDEX('2_IMPORTAR_EJECUCION'!$H$9:$H$1208,MATCH($AQ838,'2_IMPORTAR_EJECUCION'!$J$9:$J$1208,0)),0)-$AI838))</f>
        <v/>
      </c>
      <c r="AK838" s="10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2">
        <f>IF($J839="","",TODAY()-$J839)</f>
        <v/>
      </c>
      <c r="AB839" s="12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IF($AE839="","",IF((IFERROR(INDEX('ASIGNACIONES'!$F$4:$F$339,MATCH($O839&amp;"|"&amp;$R839&amp;"|"&amp;$AE839,'ASIGNACIONES'!$J$4:$J$339,0)),""))=0,"",IFERROR(INDEX('ASIGNACIONES'!$F$4:$F$339,MATCH($O839&amp;"|"&amp;$R839&amp;"|"&amp;$AE839,'ASIGNACIONES'!$J$4:$J$339,0)),"")))</f>
        <v/>
      </c>
      <c r="AG839" s="13">
        <f>IF($AE839="","",SUMIFS('ORDENES'!$M$4:$M$1203,'ORDENES'!$AE$4:$AE$1203,$AE839,'ORDENES'!$O$4:$O$1203,$O839,'ORDENES'!$R$4:$R$1203,$R839))</f>
        <v/>
      </c>
      <c r="AH839" s="13">
        <f>IF($AG839="","",p_factor_productividad*IFERROR(INDEX('ASIGNACIONES'!$I$4:$I$339,MATCH($O839&amp;"|"&amp;$R839&amp;"|"&amp;$AE839,'ASIGNACIONES'!$J$4:$J$339,0)),0)-$AG839)</f>
        <v/>
      </c>
      <c r="AI839" s="10">
        <f>IF($A839="","",IFERROR(INDEX('2_IMPORTAR_EJECUCION'!$F$9:$F$1208,MATCH($AQ839,'2_IMPORTAR_EJECUCION'!$J$9:$J$1208,0)),0))</f>
        <v/>
      </c>
      <c r="AJ839" s="10">
        <f>IF($A839="","",MAX(0,IFERROR(INDEX('2_IMPORTAR_EJECUCION'!$H$9:$H$1208,MATCH($AQ839,'2_IMPORTAR_EJECUCION'!$J$9:$J$1208,0)),0)-$AI839))</f>
        <v/>
      </c>
      <c r="AK839" s="10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2">
        <f>IF($J840="","",TODAY()-$J840)</f>
        <v/>
      </c>
      <c r="AB840" s="12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IF($AE840="","",IF((IFERROR(INDEX('ASIGNACIONES'!$F$4:$F$339,MATCH($O840&amp;"|"&amp;$R840&amp;"|"&amp;$AE840,'ASIGNACIONES'!$J$4:$J$339,0)),""))=0,"",IFERROR(INDEX('ASIGNACIONES'!$F$4:$F$339,MATCH($O840&amp;"|"&amp;$R840&amp;"|"&amp;$AE840,'ASIGNACIONES'!$J$4:$J$339,0)),"")))</f>
        <v/>
      </c>
      <c r="AG840" s="13">
        <f>IF($AE840="","",SUMIFS('ORDENES'!$M$4:$M$1203,'ORDENES'!$AE$4:$AE$1203,$AE840,'ORDENES'!$O$4:$O$1203,$O840,'ORDENES'!$R$4:$R$1203,$R840))</f>
        <v/>
      </c>
      <c r="AH840" s="13">
        <f>IF($AG840="","",p_factor_productividad*IFERROR(INDEX('ASIGNACIONES'!$I$4:$I$339,MATCH($O840&amp;"|"&amp;$R840&amp;"|"&amp;$AE840,'ASIGNACIONES'!$J$4:$J$339,0)),0)-$AG840)</f>
        <v/>
      </c>
      <c r="AI840" s="10">
        <f>IF($A840="","",IFERROR(INDEX('2_IMPORTAR_EJECUCION'!$F$9:$F$1208,MATCH($AQ840,'2_IMPORTAR_EJECUCION'!$J$9:$J$1208,0)),0))</f>
        <v/>
      </c>
      <c r="AJ840" s="10">
        <f>IF($A840="","",MAX(0,IFERROR(INDEX('2_IMPORTAR_EJECUCION'!$H$9:$H$1208,MATCH($AQ840,'2_IMPORTAR_EJECUCION'!$J$9:$J$1208,0)),0)-$AI840))</f>
        <v/>
      </c>
      <c r="AK840" s="10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2">
        <f>IF($J841="","",TODAY()-$J841)</f>
        <v/>
      </c>
      <c r="AB841" s="12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IF($AE841="","",IF((IFERROR(INDEX('ASIGNACIONES'!$F$4:$F$339,MATCH($O841&amp;"|"&amp;$R841&amp;"|"&amp;$AE841,'ASIGNACIONES'!$J$4:$J$339,0)),""))=0,"",IFERROR(INDEX('ASIGNACIONES'!$F$4:$F$339,MATCH($O841&amp;"|"&amp;$R841&amp;"|"&amp;$AE841,'ASIGNACIONES'!$J$4:$J$339,0)),"")))</f>
        <v/>
      </c>
      <c r="AG841" s="13">
        <f>IF($AE841="","",SUMIFS('ORDENES'!$M$4:$M$1203,'ORDENES'!$AE$4:$AE$1203,$AE841,'ORDENES'!$O$4:$O$1203,$O841,'ORDENES'!$R$4:$R$1203,$R841))</f>
        <v/>
      </c>
      <c r="AH841" s="13">
        <f>IF($AG841="","",p_factor_productividad*IFERROR(INDEX('ASIGNACIONES'!$I$4:$I$339,MATCH($O841&amp;"|"&amp;$R841&amp;"|"&amp;$AE841,'ASIGNACIONES'!$J$4:$J$339,0)),0)-$AG841)</f>
        <v/>
      </c>
      <c r="AI841" s="10">
        <f>IF($A841="","",IFERROR(INDEX('2_IMPORTAR_EJECUCION'!$F$9:$F$1208,MATCH($AQ841,'2_IMPORTAR_EJECUCION'!$J$9:$J$1208,0)),0))</f>
        <v/>
      </c>
      <c r="AJ841" s="10">
        <f>IF($A841="","",MAX(0,IFERROR(INDEX('2_IMPORTAR_EJECUCION'!$H$9:$H$1208,MATCH($AQ841,'2_IMPORTAR_EJECUCION'!$J$9:$J$1208,0)),0)-$AI841))</f>
        <v/>
      </c>
      <c r="AK841" s="10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2">
        <f>IF($J842="","",TODAY()-$J842)</f>
        <v/>
      </c>
      <c r="AB842" s="12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IF($AE842="","",IF((IFERROR(INDEX('ASIGNACIONES'!$F$4:$F$339,MATCH($O842&amp;"|"&amp;$R842&amp;"|"&amp;$AE842,'ASIGNACIONES'!$J$4:$J$339,0)),""))=0,"",IFERROR(INDEX('ASIGNACIONES'!$F$4:$F$339,MATCH($O842&amp;"|"&amp;$R842&amp;"|"&amp;$AE842,'ASIGNACIONES'!$J$4:$J$339,0)),"")))</f>
        <v/>
      </c>
      <c r="AG842" s="13">
        <f>IF($AE842="","",SUMIFS('ORDENES'!$M$4:$M$1203,'ORDENES'!$AE$4:$AE$1203,$AE842,'ORDENES'!$O$4:$O$1203,$O842,'ORDENES'!$R$4:$R$1203,$R842))</f>
        <v/>
      </c>
      <c r="AH842" s="13">
        <f>IF($AG842="","",p_factor_productividad*IFERROR(INDEX('ASIGNACIONES'!$I$4:$I$339,MATCH($O842&amp;"|"&amp;$R842&amp;"|"&amp;$AE842,'ASIGNACIONES'!$J$4:$J$339,0)),0)-$AG842)</f>
        <v/>
      </c>
      <c r="AI842" s="10">
        <f>IF($A842="","",IFERROR(INDEX('2_IMPORTAR_EJECUCION'!$F$9:$F$1208,MATCH($AQ842,'2_IMPORTAR_EJECUCION'!$J$9:$J$1208,0)),0))</f>
        <v/>
      </c>
      <c r="AJ842" s="10">
        <f>IF($A842="","",MAX(0,IFERROR(INDEX('2_IMPORTAR_EJECUCION'!$H$9:$H$1208,MATCH($AQ842,'2_IMPORTAR_EJECUCION'!$J$9:$J$1208,0)),0)-$AI842))</f>
        <v/>
      </c>
      <c r="AK842" s="10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2">
        <f>IF($J843="","",TODAY()-$J843)</f>
        <v/>
      </c>
      <c r="AB843" s="12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IF($AE843="","",IF((IFERROR(INDEX('ASIGNACIONES'!$F$4:$F$339,MATCH($O843&amp;"|"&amp;$R843&amp;"|"&amp;$AE843,'ASIGNACIONES'!$J$4:$J$339,0)),""))=0,"",IFERROR(INDEX('ASIGNACIONES'!$F$4:$F$339,MATCH($O843&amp;"|"&amp;$R843&amp;"|"&amp;$AE843,'ASIGNACIONES'!$J$4:$J$339,0)),"")))</f>
        <v/>
      </c>
      <c r="AG843" s="13">
        <f>IF($AE843="","",SUMIFS('ORDENES'!$M$4:$M$1203,'ORDENES'!$AE$4:$AE$1203,$AE843,'ORDENES'!$O$4:$O$1203,$O843,'ORDENES'!$R$4:$R$1203,$R843))</f>
        <v/>
      </c>
      <c r="AH843" s="13">
        <f>IF($AG843="","",p_factor_productividad*IFERROR(INDEX('ASIGNACIONES'!$I$4:$I$339,MATCH($O843&amp;"|"&amp;$R843&amp;"|"&amp;$AE843,'ASIGNACIONES'!$J$4:$J$339,0)),0)-$AG843)</f>
        <v/>
      </c>
      <c r="AI843" s="10">
        <f>IF($A843="","",IFERROR(INDEX('2_IMPORTAR_EJECUCION'!$F$9:$F$1208,MATCH($AQ843,'2_IMPORTAR_EJECUCION'!$J$9:$J$1208,0)),0))</f>
        <v/>
      </c>
      <c r="AJ843" s="10">
        <f>IF($A843="","",MAX(0,IFERROR(INDEX('2_IMPORTAR_EJECUCION'!$H$9:$H$1208,MATCH($AQ843,'2_IMPORTAR_EJECUCION'!$J$9:$J$1208,0)),0)-$AI843))</f>
        <v/>
      </c>
      <c r="AK843" s="10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2">
        <f>IF($J844="","",TODAY()-$J844)</f>
        <v/>
      </c>
      <c r="AB844" s="12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IF($AE844="","",IF((IFERROR(INDEX('ASIGNACIONES'!$F$4:$F$339,MATCH($O844&amp;"|"&amp;$R844&amp;"|"&amp;$AE844,'ASIGNACIONES'!$J$4:$J$339,0)),""))=0,"",IFERROR(INDEX('ASIGNACIONES'!$F$4:$F$339,MATCH($O844&amp;"|"&amp;$R844&amp;"|"&amp;$AE844,'ASIGNACIONES'!$J$4:$J$339,0)),"")))</f>
        <v/>
      </c>
      <c r="AG844" s="13">
        <f>IF($AE844="","",SUMIFS('ORDENES'!$M$4:$M$1203,'ORDENES'!$AE$4:$AE$1203,$AE844,'ORDENES'!$O$4:$O$1203,$O844,'ORDENES'!$R$4:$R$1203,$R844))</f>
        <v/>
      </c>
      <c r="AH844" s="13">
        <f>IF($AG844="","",p_factor_productividad*IFERROR(INDEX('ASIGNACIONES'!$I$4:$I$339,MATCH($O844&amp;"|"&amp;$R844&amp;"|"&amp;$AE844,'ASIGNACIONES'!$J$4:$J$339,0)),0)-$AG844)</f>
        <v/>
      </c>
      <c r="AI844" s="10">
        <f>IF($A844="","",IFERROR(INDEX('2_IMPORTAR_EJECUCION'!$F$9:$F$1208,MATCH($AQ844,'2_IMPORTAR_EJECUCION'!$J$9:$J$1208,0)),0))</f>
        <v/>
      </c>
      <c r="AJ844" s="10">
        <f>IF($A844="","",MAX(0,IFERROR(INDEX('2_IMPORTAR_EJECUCION'!$H$9:$H$1208,MATCH($AQ844,'2_IMPORTAR_EJECUCION'!$J$9:$J$1208,0)),0)-$AI844))</f>
        <v/>
      </c>
      <c r="AK844" s="10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2">
        <f>IF($J845="","",TODAY()-$J845)</f>
        <v/>
      </c>
      <c r="AB845" s="12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IF($AE845="","",IF((IFERROR(INDEX('ASIGNACIONES'!$F$4:$F$339,MATCH($O845&amp;"|"&amp;$R845&amp;"|"&amp;$AE845,'ASIGNACIONES'!$J$4:$J$339,0)),""))=0,"",IFERROR(INDEX('ASIGNACIONES'!$F$4:$F$339,MATCH($O845&amp;"|"&amp;$R845&amp;"|"&amp;$AE845,'ASIGNACIONES'!$J$4:$J$339,0)),"")))</f>
        <v/>
      </c>
      <c r="AG845" s="13">
        <f>IF($AE845="","",SUMIFS('ORDENES'!$M$4:$M$1203,'ORDENES'!$AE$4:$AE$1203,$AE845,'ORDENES'!$O$4:$O$1203,$O845,'ORDENES'!$R$4:$R$1203,$R845))</f>
        <v/>
      </c>
      <c r="AH845" s="13">
        <f>IF($AG845="","",p_factor_productividad*IFERROR(INDEX('ASIGNACIONES'!$I$4:$I$339,MATCH($O845&amp;"|"&amp;$R845&amp;"|"&amp;$AE845,'ASIGNACIONES'!$J$4:$J$339,0)),0)-$AG845)</f>
        <v/>
      </c>
      <c r="AI845" s="10">
        <f>IF($A845="","",IFERROR(INDEX('2_IMPORTAR_EJECUCION'!$F$9:$F$1208,MATCH($AQ845,'2_IMPORTAR_EJECUCION'!$J$9:$J$1208,0)),0))</f>
        <v/>
      </c>
      <c r="AJ845" s="10">
        <f>IF($A845="","",MAX(0,IFERROR(INDEX('2_IMPORTAR_EJECUCION'!$H$9:$H$1208,MATCH($AQ845,'2_IMPORTAR_EJECUCION'!$J$9:$J$1208,0)),0)-$AI845))</f>
        <v/>
      </c>
      <c r="AK845" s="10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2">
        <f>IF($J846="","",TODAY()-$J846)</f>
        <v/>
      </c>
      <c r="AB846" s="12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IF($AE846="","",IF((IFERROR(INDEX('ASIGNACIONES'!$F$4:$F$339,MATCH($O846&amp;"|"&amp;$R846&amp;"|"&amp;$AE846,'ASIGNACIONES'!$J$4:$J$339,0)),""))=0,"",IFERROR(INDEX('ASIGNACIONES'!$F$4:$F$339,MATCH($O846&amp;"|"&amp;$R846&amp;"|"&amp;$AE846,'ASIGNACIONES'!$J$4:$J$339,0)),"")))</f>
        <v/>
      </c>
      <c r="AG846" s="13">
        <f>IF($AE846="","",SUMIFS('ORDENES'!$M$4:$M$1203,'ORDENES'!$AE$4:$AE$1203,$AE846,'ORDENES'!$O$4:$O$1203,$O846,'ORDENES'!$R$4:$R$1203,$R846))</f>
        <v/>
      </c>
      <c r="AH846" s="13">
        <f>IF($AG846="","",p_factor_productividad*IFERROR(INDEX('ASIGNACIONES'!$I$4:$I$339,MATCH($O846&amp;"|"&amp;$R846&amp;"|"&amp;$AE846,'ASIGNACIONES'!$J$4:$J$339,0)),0)-$AG846)</f>
        <v/>
      </c>
      <c r="AI846" s="10">
        <f>IF($A846="","",IFERROR(INDEX('2_IMPORTAR_EJECUCION'!$F$9:$F$1208,MATCH($AQ846,'2_IMPORTAR_EJECUCION'!$J$9:$J$1208,0)),0))</f>
        <v/>
      </c>
      <c r="AJ846" s="10">
        <f>IF($A846="","",MAX(0,IFERROR(INDEX('2_IMPORTAR_EJECUCION'!$H$9:$H$1208,MATCH($AQ846,'2_IMPORTAR_EJECUCION'!$J$9:$J$1208,0)),0)-$AI846))</f>
        <v/>
      </c>
      <c r="AK846" s="10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2">
        <f>IF($J847="","",TODAY()-$J847)</f>
        <v/>
      </c>
      <c r="AB847" s="12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IF($AE847="","",IF((IFERROR(INDEX('ASIGNACIONES'!$F$4:$F$339,MATCH($O847&amp;"|"&amp;$R847&amp;"|"&amp;$AE847,'ASIGNACIONES'!$J$4:$J$339,0)),""))=0,"",IFERROR(INDEX('ASIGNACIONES'!$F$4:$F$339,MATCH($O847&amp;"|"&amp;$R847&amp;"|"&amp;$AE847,'ASIGNACIONES'!$J$4:$J$339,0)),"")))</f>
        <v/>
      </c>
      <c r="AG847" s="13">
        <f>IF($AE847="","",SUMIFS('ORDENES'!$M$4:$M$1203,'ORDENES'!$AE$4:$AE$1203,$AE847,'ORDENES'!$O$4:$O$1203,$O847,'ORDENES'!$R$4:$R$1203,$R847))</f>
        <v/>
      </c>
      <c r="AH847" s="13">
        <f>IF($AG847="","",p_factor_productividad*IFERROR(INDEX('ASIGNACIONES'!$I$4:$I$339,MATCH($O847&amp;"|"&amp;$R847&amp;"|"&amp;$AE847,'ASIGNACIONES'!$J$4:$J$339,0)),0)-$AG847)</f>
        <v/>
      </c>
      <c r="AI847" s="10">
        <f>IF($A847="","",IFERROR(INDEX('2_IMPORTAR_EJECUCION'!$F$9:$F$1208,MATCH($AQ847,'2_IMPORTAR_EJECUCION'!$J$9:$J$1208,0)),0))</f>
        <v/>
      </c>
      <c r="AJ847" s="10">
        <f>IF($A847="","",MAX(0,IFERROR(INDEX('2_IMPORTAR_EJECUCION'!$H$9:$H$1208,MATCH($AQ847,'2_IMPORTAR_EJECUCION'!$J$9:$J$1208,0)),0)-$AI847))</f>
        <v/>
      </c>
      <c r="AK847" s="10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2">
        <f>IF($J848="","",TODAY()-$J848)</f>
        <v/>
      </c>
      <c r="AB848" s="12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IF($AE848="","",IF((IFERROR(INDEX('ASIGNACIONES'!$F$4:$F$339,MATCH($O848&amp;"|"&amp;$R848&amp;"|"&amp;$AE848,'ASIGNACIONES'!$J$4:$J$339,0)),""))=0,"",IFERROR(INDEX('ASIGNACIONES'!$F$4:$F$339,MATCH($O848&amp;"|"&amp;$R848&amp;"|"&amp;$AE848,'ASIGNACIONES'!$J$4:$J$339,0)),"")))</f>
        <v/>
      </c>
      <c r="AG848" s="13">
        <f>IF($AE848="","",SUMIFS('ORDENES'!$M$4:$M$1203,'ORDENES'!$AE$4:$AE$1203,$AE848,'ORDENES'!$O$4:$O$1203,$O848,'ORDENES'!$R$4:$R$1203,$R848))</f>
        <v/>
      </c>
      <c r="AH848" s="13">
        <f>IF($AG848="","",p_factor_productividad*IFERROR(INDEX('ASIGNACIONES'!$I$4:$I$339,MATCH($O848&amp;"|"&amp;$R848&amp;"|"&amp;$AE848,'ASIGNACIONES'!$J$4:$J$339,0)),0)-$AG848)</f>
        <v/>
      </c>
      <c r="AI848" s="10">
        <f>IF($A848="","",IFERROR(INDEX('2_IMPORTAR_EJECUCION'!$F$9:$F$1208,MATCH($AQ848,'2_IMPORTAR_EJECUCION'!$J$9:$J$1208,0)),0))</f>
        <v/>
      </c>
      <c r="AJ848" s="10">
        <f>IF($A848="","",MAX(0,IFERROR(INDEX('2_IMPORTAR_EJECUCION'!$H$9:$H$1208,MATCH($AQ848,'2_IMPORTAR_EJECUCION'!$J$9:$J$1208,0)),0)-$AI848))</f>
        <v/>
      </c>
      <c r="AK848" s="10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2">
        <f>IF($J849="","",TODAY()-$J849)</f>
        <v/>
      </c>
      <c r="AB849" s="12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IF($AE849="","",IF((IFERROR(INDEX('ASIGNACIONES'!$F$4:$F$339,MATCH($O849&amp;"|"&amp;$R849&amp;"|"&amp;$AE849,'ASIGNACIONES'!$J$4:$J$339,0)),""))=0,"",IFERROR(INDEX('ASIGNACIONES'!$F$4:$F$339,MATCH($O849&amp;"|"&amp;$R849&amp;"|"&amp;$AE849,'ASIGNACIONES'!$J$4:$J$339,0)),"")))</f>
        <v/>
      </c>
      <c r="AG849" s="13">
        <f>IF($AE849="","",SUMIFS('ORDENES'!$M$4:$M$1203,'ORDENES'!$AE$4:$AE$1203,$AE849,'ORDENES'!$O$4:$O$1203,$O849,'ORDENES'!$R$4:$R$1203,$R849))</f>
        <v/>
      </c>
      <c r="AH849" s="13">
        <f>IF($AG849="","",p_factor_productividad*IFERROR(INDEX('ASIGNACIONES'!$I$4:$I$339,MATCH($O849&amp;"|"&amp;$R849&amp;"|"&amp;$AE849,'ASIGNACIONES'!$J$4:$J$339,0)),0)-$AG849)</f>
        <v/>
      </c>
      <c r="AI849" s="10">
        <f>IF($A849="","",IFERROR(INDEX('2_IMPORTAR_EJECUCION'!$F$9:$F$1208,MATCH($AQ849,'2_IMPORTAR_EJECUCION'!$J$9:$J$1208,0)),0))</f>
        <v/>
      </c>
      <c r="AJ849" s="10">
        <f>IF($A849="","",MAX(0,IFERROR(INDEX('2_IMPORTAR_EJECUCION'!$H$9:$H$1208,MATCH($AQ849,'2_IMPORTAR_EJECUCION'!$J$9:$J$1208,0)),0)-$AI849))</f>
        <v/>
      </c>
      <c r="AK849" s="10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2">
        <f>IF($J850="","",TODAY()-$J850)</f>
        <v/>
      </c>
      <c r="AB850" s="12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IF($AE850="","",IF((IFERROR(INDEX('ASIGNACIONES'!$F$4:$F$339,MATCH($O850&amp;"|"&amp;$R850&amp;"|"&amp;$AE850,'ASIGNACIONES'!$J$4:$J$339,0)),""))=0,"",IFERROR(INDEX('ASIGNACIONES'!$F$4:$F$339,MATCH($O850&amp;"|"&amp;$R850&amp;"|"&amp;$AE850,'ASIGNACIONES'!$J$4:$J$339,0)),"")))</f>
        <v/>
      </c>
      <c r="AG850" s="13">
        <f>IF($AE850="","",SUMIFS('ORDENES'!$M$4:$M$1203,'ORDENES'!$AE$4:$AE$1203,$AE850,'ORDENES'!$O$4:$O$1203,$O850,'ORDENES'!$R$4:$R$1203,$R850))</f>
        <v/>
      </c>
      <c r="AH850" s="13">
        <f>IF($AG850="","",p_factor_productividad*IFERROR(INDEX('ASIGNACIONES'!$I$4:$I$339,MATCH($O850&amp;"|"&amp;$R850&amp;"|"&amp;$AE850,'ASIGNACIONES'!$J$4:$J$339,0)),0)-$AG850)</f>
        <v/>
      </c>
      <c r="AI850" s="10">
        <f>IF($A850="","",IFERROR(INDEX('2_IMPORTAR_EJECUCION'!$F$9:$F$1208,MATCH($AQ850,'2_IMPORTAR_EJECUCION'!$J$9:$J$1208,0)),0))</f>
        <v/>
      </c>
      <c r="AJ850" s="10">
        <f>IF($A850="","",MAX(0,IFERROR(INDEX('2_IMPORTAR_EJECUCION'!$H$9:$H$1208,MATCH($AQ850,'2_IMPORTAR_EJECUCION'!$J$9:$J$1208,0)),0)-$AI850))</f>
        <v/>
      </c>
      <c r="AK850" s="10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2">
        <f>IF($J851="","",TODAY()-$J851)</f>
        <v/>
      </c>
      <c r="AB851" s="12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IF($AE851="","",IF((IFERROR(INDEX('ASIGNACIONES'!$F$4:$F$339,MATCH($O851&amp;"|"&amp;$R851&amp;"|"&amp;$AE851,'ASIGNACIONES'!$J$4:$J$339,0)),""))=0,"",IFERROR(INDEX('ASIGNACIONES'!$F$4:$F$339,MATCH($O851&amp;"|"&amp;$R851&amp;"|"&amp;$AE851,'ASIGNACIONES'!$J$4:$J$339,0)),"")))</f>
        <v/>
      </c>
      <c r="AG851" s="13">
        <f>IF($AE851="","",SUMIFS('ORDENES'!$M$4:$M$1203,'ORDENES'!$AE$4:$AE$1203,$AE851,'ORDENES'!$O$4:$O$1203,$O851,'ORDENES'!$R$4:$R$1203,$R851))</f>
        <v/>
      </c>
      <c r="AH851" s="13">
        <f>IF($AG851="","",p_factor_productividad*IFERROR(INDEX('ASIGNACIONES'!$I$4:$I$339,MATCH($O851&amp;"|"&amp;$R851&amp;"|"&amp;$AE851,'ASIGNACIONES'!$J$4:$J$339,0)),0)-$AG851)</f>
        <v/>
      </c>
      <c r="AI851" s="10">
        <f>IF($A851="","",IFERROR(INDEX('2_IMPORTAR_EJECUCION'!$F$9:$F$1208,MATCH($AQ851,'2_IMPORTAR_EJECUCION'!$J$9:$J$1208,0)),0))</f>
        <v/>
      </c>
      <c r="AJ851" s="10">
        <f>IF($A851="","",MAX(0,IFERROR(INDEX('2_IMPORTAR_EJECUCION'!$H$9:$H$1208,MATCH($AQ851,'2_IMPORTAR_EJECUCION'!$J$9:$J$1208,0)),0)-$AI851))</f>
        <v/>
      </c>
      <c r="AK851" s="10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2">
        <f>IF($J852="","",TODAY()-$J852)</f>
        <v/>
      </c>
      <c r="AB852" s="12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IF($AE852="","",IF((IFERROR(INDEX('ASIGNACIONES'!$F$4:$F$339,MATCH($O852&amp;"|"&amp;$R852&amp;"|"&amp;$AE852,'ASIGNACIONES'!$J$4:$J$339,0)),""))=0,"",IFERROR(INDEX('ASIGNACIONES'!$F$4:$F$339,MATCH($O852&amp;"|"&amp;$R852&amp;"|"&amp;$AE852,'ASIGNACIONES'!$J$4:$J$339,0)),"")))</f>
        <v/>
      </c>
      <c r="AG852" s="13">
        <f>IF($AE852="","",SUMIFS('ORDENES'!$M$4:$M$1203,'ORDENES'!$AE$4:$AE$1203,$AE852,'ORDENES'!$O$4:$O$1203,$O852,'ORDENES'!$R$4:$R$1203,$R852))</f>
        <v/>
      </c>
      <c r="AH852" s="13">
        <f>IF($AG852="","",p_factor_productividad*IFERROR(INDEX('ASIGNACIONES'!$I$4:$I$339,MATCH($O852&amp;"|"&amp;$R852&amp;"|"&amp;$AE852,'ASIGNACIONES'!$J$4:$J$339,0)),0)-$AG852)</f>
        <v/>
      </c>
      <c r="AI852" s="10">
        <f>IF($A852="","",IFERROR(INDEX('2_IMPORTAR_EJECUCION'!$F$9:$F$1208,MATCH($AQ852,'2_IMPORTAR_EJECUCION'!$J$9:$J$1208,0)),0))</f>
        <v/>
      </c>
      <c r="AJ852" s="10">
        <f>IF($A852="","",MAX(0,IFERROR(INDEX('2_IMPORTAR_EJECUCION'!$H$9:$H$1208,MATCH($AQ852,'2_IMPORTAR_EJECUCION'!$J$9:$J$1208,0)),0)-$AI852))</f>
        <v/>
      </c>
      <c r="AK852" s="10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2">
        <f>IF($J853="","",TODAY()-$J853)</f>
        <v/>
      </c>
      <c r="AB853" s="12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IF($AE853="","",IF((IFERROR(INDEX('ASIGNACIONES'!$F$4:$F$339,MATCH($O853&amp;"|"&amp;$R853&amp;"|"&amp;$AE853,'ASIGNACIONES'!$J$4:$J$339,0)),""))=0,"",IFERROR(INDEX('ASIGNACIONES'!$F$4:$F$339,MATCH($O853&amp;"|"&amp;$R853&amp;"|"&amp;$AE853,'ASIGNACIONES'!$J$4:$J$339,0)),"")))</f>
        <v/>
      </c>
      <c r="AG853" s="13">
        <f>IF($AE853="","",SUMIFS('ORDENES'!$M$4:$M$1203,'ORDENES'!$AE$4:$AE$1203,$AE853,'ORDENES'!$O$4:$O$1203,$O853,'ORDENES'!$R$4:$R$1203,$R853))</f>
        <v/>
      </c>
      <c r="AH853" s="13">
        <f>IF($AG853="","",p_factor_productividad*IFERROR(INDEX('ASIGNACIONES'!$I$4:$I$339,MATCH($O853&amp;"|"&amp;$R853&amp;"|"&amp;$AE853,'ASIGNACIONES'!$J$4:$J$339,0)),0)-$AG853)</f>
        <v/>
      </c>
      <c r="AI853" s="10">
        <f>IF($A853="","",IFERROR(INDEX('2_IMPORTAR_EJECUCION'!$F$9:$F$1208,MATCH($AQ853,'2_IMPORTAR_EJECUCION'!$J$9:$J$1208,0)),0))</f>
        <v/>
      </c>
      <c r="AJ853" s="10">
        <f>IF($A853="","",MAX(0,IFERROR(INDEX('2_IMPORTAR_EJECUCION'!$H$9:$H$1208,MATCH($AQ853,'2_IMPORTAR_EJECUCION'!$J$9:$J$1208,0)),0)-$AI853))</f>
        <v/>
      </c>
      <c r="AK853" s="10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2">
        <f>IF($J854="","",TODAY()-$J854)</f>
        <v/>
      </c>
      <c r="AB854" s="12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IF($AE854="","",IF((IFERROR(INDEX('ASIGNACIONES'!$F$4:$F$339,MATCH($O854&amp;"|"&amp;$R854&amp;"|"&amp;$AE854,'ASIGNACIONES'!$J$4:$J$339,0)),""))=0,"",IFERROR(INDEX('ASIGNACIONES'!$F$4:$F$339,MATCH($O854&amp;"|"&amp;$R854&amp;"|"&amp;$AE854,'ASIGNACIONES'!$J$4:$J$339,0)),"")))</f>
        <v/>
      </c>
      <c r="AG854" s="13">
        <f>IF($AE854="","",SUMIFS('ORDENES'!$M$4:$M$1203,'ORDENES'!$AE$4:$AE$1203,$AE854,'ORDENES'!$O$4:$O$1203,$O854,'ORDENES'!$R$4:$R$1203,$R854))</f>
        <v/>
      </c>
      <c r="AH854" s="13">
        <f>IF($AG854="","",p_factor_productividad*IFERROR(INDEX('ASIGNACIONES'!$I$4:$I$339,MATCH($O854&amp;"|"&amp;$R854&amp;"|"&amp;$AE854,'ASIGNACIONES'!$J$4:$J$339,0)),0)-$AG854)</f>
        <v/>
      </c>
      <c r="AI854" s="10">
        <f>IF($A854="","",IFERROR(INDEX('2_IMPORTAR_EJECUCION'!$F$9:$F$1208,MATCH($AQ854,'2_IMPORTAR_EJECUCION'!$J$9:$J$1208,0)),0))</f>
        <v/>
      </c>
      <c r="AJ854" s="10">
        <f>IF($A854="","",MAX(0,IFERROR(INDEX('2_IMPORTAR_EJECUCION'!$H$9:$H$1208,MATCH($AQ854,'2_IMPORTAR_EJECUCION'!$J$9:$J$1208,0)),0)-$AI854))</f>
        <v/>
      </c>
      <c r="AK854" s="10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2">
        <f>IF($J855="","",TODAY()-$J855)</f>
        <v/>
      </c>
      <c r="AB855" s="12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IF($AE855="","",IF((IFERROR(INDEX('ASIGNACIONES'!$F$4:$F$339,MATCH($O855&amp;"|"&amp;$R855&amp;"|"&amp;$AE855,'ASIGNACIONES'!$J$4:$J$339,0)),""))=0,"",IFERROR(INDEX('ASIGNACIONES'!$F$4:$F$339,MATCH($O855&amp;"|"&amp;$R855&amp;"|"&amp;$AE855,'ASIGNACIONES'!$J$4:$J$339,0)),"")))</f>
        <v/>
      </c>
      <c r="AG855" s="13">
        <f>IF($AE855="","",SUMIFS('ORDENES'!$M$4:$M$1203,'ORDENES'!$AE$4:$AE$1203,$AE855,'ORDENES'!$O$4:$O$1203,$O855,'ORDENES'!$R$4:$R$1203,$R855))</f>
        <v/>
      </c>
      <c r="AH855" s="13">
        <f>IF($AG855="","",p_factor_productividad*IFERROR(INDEX('ASIGNACIONES'!$I$4:$I$339,MATCH($O855&amp;"|"&amp;$R855&amp;"|"&amp;$AE855,'ASIGNACIONES'!$J$4:$J$339,0)),0)-$AG855)</f>
        <v/>
      </c>
      <c r="AI855" s="10">
        <f>IF($A855="","",IFERROR(INDEX('2_IMPORTAR_EJECUCION'!$F$9:$F$1208,MATCH($AQ855,'2_IMPORTAR_EJECUCION'!$J$9:$J$1208,0)),0))</f>
        <v/>
      </c>
      <c r="AJ855" s="10">
        <f>IF($A855="","",MAX(0,IFERROR(INDEX('2_IMPORTAR_EJECUCION'!$H$9:$H$1208,MATCH($AQ855,'2_IMPORTAR_EJECUCION'!$J$9:$J$1208,0)),0)-$AI855))</f>
        <v/>
      </c>
      <c r="AK855" s="10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2">
        <f>IF($J856="","",TODAY()-$J856)</f>
        <v/>
      </c>
      <c r="AB856" s="12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IF($AE856="","",IF((IFERROR(INDEX('ASIGNACIONES'!$F$4:$F$339,MATCH($O856&amp;"|"&amp;$R856&amp;"|"&amp;$AE856,'ASIGNACIONES'!$J$4:$J$339,0)),""))=0,"",IFERROR(INDEX('ASIGNACIONES'!$F$4:$F$339,MATCH($O856&amp;"|"&amp;$R856&amp;"|"&amp;$AE856,'ASIGNACIONES'!$J$4:$J$339,0)),"")))</f>
        <v/>
      </c>
      <c r="AG856" s="13">
        <f>IF($AE856="","",SUMIFS('ORDENES'!$M$4:$M$1203,'ORDENES'!$AE$4:$AE$1203,$AE856,'ORDENES'!$O$4:$O$1203,$O856,'ORDENES'!$R$4:$R$1203,$R856))</f>
        <v/>
      </c>
      <c r="AH856" s="13">
        <f>IF($AG856="","",p_factor_productividad*IFERROR(INDEX('ASIGNACIONES'!$I$4:$I$339,MATCH($O856&amp;"|"&amp;$R856&amp;"|"&amp;$AE856,'ASIGNACIONES'!$J$4:$J$339,0)),0)-$AG856)</f>
        <v/>
      </c>
      <c r="AI856" s="10">
        <f>IF($A856="","",IFERROR(INDEX('2_IMPORTAR_EJECUCION'!$F$9:$F$1208,MATCH($AQ856,'2_IMPORTAR_EJECUCION'!$J$9:$J$1208,0)),0))</f>
        <v/>
      </c>
      <c r="AJ856" s="10">
        <f>IF($A856="","",MAX(0,IFERROR(INDEX('2_IMPORTAR_EJECUCION'!$H$9:$H$1208,MATCH($AQ856,'2_IMPORTAR_EJECUCION'!$J$9:$J$1208,0)),0)-$AI856))</f>
        <v/>
      </c>
      <c r="AK856" s="10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2">
        <f>IF($J857="","",TODAY()-$J857)</f>
        <v/>
      </c>
      <c r="AB857" s="12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IF($AE857="","",IF((IFERROR(INDEX('ASIGNACIONES'!$F$4:$F$339,MATCH($O857&amp;"|"&amp;$R857&amp;"|"&amp;$AE857,'ASIGNACIONES'!$J$4:$J$339,0)),""))=0,"",IFERROR(INDEX('ASIGNACIONES'!$F$4:$F$339,MATCH($O857&amp;"|"&amp;$R857&amp;"|"&amp;$AE857,'ASIGNACIONES'!$J$4:$J$339,0)),"")))</f>
        <v/>
      </c>
      <c r="AG857" s="13">
        <f>IF($AE857="","",SUMIFS('ORDENES'!$M$4:$M$1203,'ORDENES'!$AE$4:$AE$1203,$AE857,'ORDENES'!$O$4:$O$1203,$O857,'ORDENES'!$R$4:$R$1203,$R857))</f>
        <v/>
      </c>
      <c r="AH857" s="13">
        <f>IF($AG857="","",p_factor_productividad*IFERROR(INDEX('ASIGNACIONES'!$I$4:$I$339,MATCH($O857&amp;"|"&amp;$R857&amp;"|"&amp;$AE857,'ASIGNACIONES'!$J$4:$J$339,0)),0)-$AG857)</f>
        <v/>
      </c>
      <c r="AI857" s="10">
        <f>IF($A857="","",IFERROR(INDEX('2_IMPORTAR_EJECUCION'!$F$9:$F$1208,MATCH($AQ857,'2_IMPORTAR_EJECUCION'!$J$9:$J$1208,0)),0))</f>
        <v/>
      </c>
      <c r="AJ857" s="10">
        <f>IF($A857="","",MAX(0,IFERROR(INDEX('2_IMPORTAR_EJECUCION'!$H$9:$H$1208,MATCH($AQ857,'2_IMPORTAR_EJECUCION'!$J$9:$J$1208,0)),0)-$AI857))</f>
        <v/>
      </c>
      <c r="AK857" s="10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2">
        <f>IF($J858="","",TODAY()-$J858)</f>
        <v/>
      </c>
      <c r="AB858" s="12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IF($AE858="","",IF((IFERROR(INDEX('ASIGNACIONES'!$F$4:$F$339,MATCH($O858&amp;"|"&amp;$R858&amp;"|"&amp;$AE858,'ASIGNACIONES'!$J$4:$J$339,0)),""))=0,"",IFERROR(INDEX('ASIGNACIONES'!$F$4:$F$339,MATCH($O858&amp;"|"&amp;$R858&amp;"|"&amp;$AE858,'ASIGNACIONES'!$J$4:$J$339,0)),"")))</f>
        <v/>
      </c>
      <c r="AG858" s="13">
        <f>IF($AE858="","",SUMIFS('ORDENES'!$M$4:$M$1203,'ORDENES'!$AE$4:$AE$1203,$AE858,'ORDENES'!$O$4:$O$1203,$O858,'ORDENES'!$R$4:$R$1203,$R858))</f>
        <v/>
      </c>
      <c r="AH858" s="13">
        <f>IF($AG858="","",p_factor_productividad*IFERROR(INDEX('ASIGNACIONES'!$I$4:$I$339,MATCH($O858&amp;"|"&amp;$R858&amp;"|"&amp;$AE858,'ASIGNACIONES'!$J$4:$J$339,0)),0)-$AG858)</f>
        <v/>
      </c>
      <c r="AI858" s="10">
        <f>IF($A858="","",IFERROR(INDEX('2_IMPORTAR_EJECUCION'!$F$9:$F$1208,MATCH($AQ858,'2_IMPORTAR_EJECUCION'!$J$9:$J$1208,0)),0))</f>
        <v/>
      </c>
      <c r="AJ858" s="10">
        <f>IF($A858="","",MAX(0,IFERROR(INDEX('2_IMPORTAR_EJECUCION'!$H$9:$H$1208,MATCH($AQ858,'2_IMPORTAR_EJECUCION'!$J$9:$J$1208,0)),0)-$AI858))</f>
        <v/>
      </c>
      <c r="AK858" s="10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2">
        <f>IF($J859="","",TODAY()-$J859)</f>
        <v/>
      </c>
      <c r="AB859" s="12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IF($AE859="","",IF((IFERROR(INDEX('ASIGNACIONES'!$F$4:$F$339,MATCH($O859&amp;"|"&amp;$R859&amp;"|"&amp;$AE859,'ASIGNACIONES'!$J$4:$J$339,0)),""))=0,"",IFERROR(INDEX('ASIGNACIONES'!$F$4:$F$339,MATCH($O859&amp;"|"&amp;$R859&amp;"|"&amp;$AE859,'ASIGNACIONES'!$J$4:$J$339,0)),"")))</f>
        <v/>
      </c>
      <c r="AG859" s="13">
        <f>IF($AE859="","",SUMIFS('ORDENES'!$M$4:$M$1203,'ORDENES'!$AE$4:$AE$1203,$AE859,'ORDENES'!$O$4:$O$1203,$O859,'ORDENES'!$R$4:$R$1203,$R859))</f>
        <v/>
      </c>
      <c r="AH859" s="13">
        <f>IF($AG859="","",p_factor_productividad*IFERROR(INDEX('ASIGNACIONES'!$I$4:$I$339,MATCH($O859&amp;"|"&amp;$R859&amp;"|"&amp;$AE859,'ASIGNACIONES'!$J$4:$J$339,0)),0)-$AG859)</f>
        <v/>
      </c>
      <c r="AI859" s="10">
        <f>IF($A859="","",IFERROR(INDEX('2_IMPORTAR_EJECUCION'!$F$9:$F$1208,MATCH($AQ859,'2_IMPORTAR_EJECUCION'!$J$9:$J$1208,0)),0))</f>
        <v/>
      </c>
      <c r="AJ859" s="10">
        <f>IF($A859="","",MAX(0,IFERROR(INDEX('2_IMPORTAR_EJECUCION'!$H$9:$H$1208,MATCH($AQ859,'2_IMPORTAR_EJECUCION'!$J$9:$J$1208,0)),0)-$AI859))</f>
        <v/>
      </c>
      <c r="AK859" s="10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2">
        <f>IF($J860="","",TODAY()-$J860)</f>
        <v/>
      </c>
      <c r="AB860" s="12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IF($AE860="","",IF((IFERROR(INDEX('ASIGNACIONES'!$F$4:$F$339,MATCH($O860&amp;"|"&amp;$R860&amp;"|"&amp;$AE860,'ASIGNACIONES'!$J$4:$J$339,0)),""))=0,"",IFERROR(INDEX('ASIGNACIONES'!$F$4:$F$339,MATCH($O860&amp;"|"&amp;$R860&amp;"|"&amp;$AE860,'ASIGNACIONES'!$J$4:$J$339,0)),"")))</f>
        <v/>
      </c>
      <c r="AG860" s="13">
        <f>IF($AE860="","",SUMIFS('ORDENES'!$M$4:$M$1203,'ORDENES'!$AE$4:$AE$1203,$AE860,'ORDENES'!$O$4:$O$1203,$O860,'ORDENES'!$R$4:$R$1203,$R860))</f>
        <v/>
      </c>
      <c r="AH860" s="13">
        <f>IF($AG860="","",p_factor_productividad*IFERROR(INDEX('ASIGNACIONES'!$I$4:$I$339,MATCH($O860&amp;"|"&amp;$R860&amp;"|"&amp;$AE860,'ASIGNACIONES'!$J$4:$J$339,0)),0)-$AG860)</f>
        <v/>
      </c>
      <c r="AI860" s="10">
        <f>IF($A860="","",IFERROR(INDEX('2_IMPORTAR_EJECUCION'!$F$9:$F$1208,MATCH($AQ860,'2_IMPORTAR_EJECUCION'!$J$9:$J$1208,0)),0))</f>
        <v/>
      </c>
      <c r="AJ860" s="10">
        <f>IF($A860="","",MAX(0,IFERROR(INDEX('2_IMPORTAR_EJECUCION'!$H$9:$H$1208,MATCH($AQ860,'2_IMPORTAR_EJECUCION'!$J$9:$J$1208,0)),0)-$AI860))</f>
        <v/>
      </c>
      <c r="AK860" s="10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2">
        <f>IF($J861="","",TODAY()-$J861)</f>
        <v/>
      </c>
      <c r="AB861" s="12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IF($AE861="","",IF((IFERROR(INDEX('ASIGNACIONES'!$F$4:$F$339,MATCH($O861&amp;"|"&amp;$R861&amp;"|"&amp;$AE861,'ASIGNACIONES'!$J$4:$J$339,0)),""))=0,"",IFERROR(INDEX('ASIGNACIONES'!$F$4:$F$339,MATCH($O861&amp;"|"&amp;$R861&amp;"|"&amp;$AE861,'ASIGNACIONES'!$J$4:$J$339,0)),"")))</f>
        <v/>
      </c>
      <c r="AG861" s="13">
        <f>IF($AE861="","",SUMIFS('ORDENES'!$M$4:$M$1203,'ORDENES'!$AE$4:$AE$1203,$AE861,'ORDENES'!$O$4:$O$1203,$O861,'ORDENES'!$R$4:$R$1203,$R861))</f>
        <v/>
      </c>
      <c r="AH861" s="13">
        <f>IF($AG861="","",p_factor_productividad*IFERROR(INDEX('ASIGNACIONES'!$I$4:$I$339,MATCH($O861&amp;"|"&amp;$R861&amp;"|"&amp;$AE861,'ASIGNACIONES'!$J$4:$J$339,0)),0)-$AG861)</f>
        <v/>
      </c>
      <c r="AI861" s="10">
        <f>IF($A861="","",IFERROR(INDEX('2_IMPORTAR_EJECUCION'!$F$9:$F$1208,MATCH($AQ861,'2_IMPORTAR_EJECUCION'!$J$9:$J$1208,0)),0))</f>
        <v/>
      </c>
      <c r="AJ861" s="10">
        <f>IF($A861="","",MAX(0,IFERROR(INDEX('2_IMPORTAR_EJECUCION'!$H$9:$H$1208,MATCH($AQ861,'2_IMPORTAR_EJECUCION'!$J$9:$J$1208,0)),0)-$AI861))</f>
        <v/>
      </c>
      <c r="AK861" s="10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2">
        <f>IF($J862="","",TODAY()-$J862)</f>
        <v/>
      </c>
      <c r="AB862" s="12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IF($AE862="","",IF((IFERROR(INDEX('ASIGNACIONES'!$F$4:$F$339,MATCH($O862&amp;"|"&amp;$R862&amp;"|"&amp;$AE862,'ASIGNACIONES'!$J$4:$J$339,0)),""))=0,"",IFERROR(INDEX('ASIGNACIONES'!$F$4:$F$339,MATCH($O862&amp;"|"&amp;$R862&amp;"|"&amp;$AE862,'ASIGNACIONES'!$J$4:$J$339,0)),"")))</f>
        <v/>
      </c>
      <c r="AG862" s="13">
        <f>IF($AE862="","",SUMIFS('ORDENES'!$M$4:$M$1203,'ORDENES'!$AE$4:$AE$1203,$AE862,'ORDENES'!$O$4:$O$1203,$O862,'ORDENES'!$R$4:$R$1203,$R862))</f>
        <v/>
      </c>
      <c r="AH862" s="13">
        <f>IF($AG862="","",p_factor_productividad*IFERROR(INDEX('ASIGNACIONES'!$I$4:$I$339,MATCH($O862&amp;"|"&amp;$R862&amp;"|"&amp;$AE862,'ASIGNACIONES'!$J$4:$J$339,0)),0)-$AG862)</f>
        <v/>
      </c>
      <c r="AI862" s="10">
        <f>IF($A862="","",IFERROR(INDEX('2_IMPORTAR_EJECUCION'!$F$9:$F$1208,MATCH($AQ862,'2_IMPORTAR_EJECUCION'!$J$9:$J$1208,0)),0))</f>
        <v/>
      </c>
      <c r="AJ862" s="10">
        <f>IF($A862="","",MAX(0,IFERROR(INDEX('2_IMPORTAR_EJECUCION'!$H$9:$H$1208,MATCH($AQ862,'2_IMPORTAR_EJECUCION'!$J$9:$J$1208,0)),0)-$AI862))</f>
        <v/>
      </c>
      <c r="AK862" s="10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2">
        <f>IF($J863="","",TODAY()-$J863)</f>
        <v/>
      </c>
      <c r="AB863" s="12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IF($AE863="","",IF((IFERROR(INDEX('ASIGNACIONES'!$F$4:$F$339,MATCH($O863&amp;"|"&amp;$R863&amp;"|"&amp;$AE863,'ASIGNACIONES'!$J$4:$J$339,0)),""))=0,"",IFERROR(INDEX('ASIGNACIONES'!$F$4:$F$339,MATCH($O863&amp;"|"&amp;$R863&amp;"|"&amp;$AE863,'ASIGNACIONES'!$J$4:$J$339,0)),"")))</f>
        <v/>
      </c>
      <c r="AG863" s="13">
        <f>IF($AE863="","",SUMIFS('ORDENES'!$M$4:$M$1203,'ORDENES'!$AE$4:$AE$1203,$AE863,'ORDENES'!$O$4:$O$1203,$O863,'ORDENES'!$R$4:$R$1203,$R863))</f>
        <v/>
      </c>
      <c r="AH863" s="13">
        <f>IF($AG863="","",p_factor_productividad*IFERROR(INDEX('ASIGNACIONES'!$I$4:$I$339,MATCH($O863&amp;"|"&amp;$R863&amp;"|"&amp;$AE863,'ASIGNACIONES'!$J$4:$J$339,0)),0)-$AG863)</f>
        <v/>
      </c>
      <c r="AI863" s="10">
        <f>IF($A863="","",IFERROR(INDEX('2_IMPORTAR_EJECUCION'!$F$9:$F$1208,MATCH($AQ863,'2_IMPORTAR_EJECUCION'!$J$9:$J$1208,0)),0))</f>
        <v/>
      </c>
      <c r="AJ863" s="10">
        <f>IF($A863="","",MAX(0,IFERROR(INDEX('2_IMPORTAR_EJECUCION'!$H$9:$H$1208,MATCH($AQ863,'2_IMPORTAR_EJECUCION'!$J$9:$J$1208,0)),0)-$AI863))</f>
        <v/>
      </c>
      <c r="AK863" s="10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2">
        <f>IF($J864="","",TODAY()-$J864)</f>
        <v/>
      </c>
      <c r="AB864" s="12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IF($AE864="","",IF((IFERROR(INDEX('ASIGNACIONES'!$F$4:$F$339,MATCH($O864&amp;"|"&amp;$R864&amp;"|"&amp;$AE864,'ASIGNACIONES'!$J$4:$J$339,0)),""))=0,"",IFERROR(INDEX('ASIGNACIONES'!$F$4:$F$339,MATCH($O864&amp;"|"&amp;$R864&amp;"|"&amp;$AE864,'ASIGNACIONES'!$J$4:$J$339,0)),"")))</f>
        <v/>
      </c>
      <c r="AG864" s="13">
        <f>IF($AE864="","",SUMIFS('ORDENES'!$M$4:$M$1203,'ORDENES'!$AE$4:$AE$1203,$AE864,'ORDENES'!$O$4:$O$1203,$O864,'ORDENES'!$R$4:$R$1203,$R864))</f>
        <v/>
      </c>
      <c r="AH864" s="13">
        <f>IF($AG864="","",p_factor_productividad*IFERROR(INDEX('ASIGNACIONES'!$I$4:$I$339,MATCH($O864&amp;"|"&amp;$R864&amp;"|"&amp;$AE864,'ASIGNACIONES'!$J$4:$J$339,0)),0)-$AG864)</f>
        <v/>
      </c>
      <c r="AI864" s="10">
        <f>IF($A864="","",IFERROR(INDEX('2_IMPORTAR_EJECUCION'!$F$9:$F$1208,MATCH($AQ864,'2_IMPORTAR_EJECUCION'!$J$9:$J$1208,0)),0))</f>
        <v/>
      </c>
      <c r="AJ864" s="10">
        <f>IF($A864="","",MAX(0,IFERROR(INDEX('2_IMPORTAR_EJECUCION'!$H$9:$H$1208,MATCH($AQ864,'2_IMPORTAR_EJECUCION'!$J$9:$J$1208,0)),0)-$AI864))</f>
        <v/>
      </c>
      <c r="AK864" s="10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2">
        <f>IF($J865="","",TODAY()-$J865)</f>
        <v/>
      </c>
      <c r="AB865" s="12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IF($AE865="","",IF((IFERROR(INDEX('ASIGNACIONES'!$F$4:$F$339,MATCH($O865&amp;"|"&amp;$R865&amp;"|"&amp;$AE865,'ASIGNACIONES'!$J$4:$J$339,0)),""))=0,"",IFERROR(INDEX('ASIGNACIONES'!$F$4:$F$339,MATCH($O865&amp;"|"&amp;$R865&amp;"|"&amp;$AE865,'ASIGNACIONES'!$J$4:$J$339,0)),"")))</f>
        <v/>
      </c>
      <c r="AG865" s="13">
        <f>IF($AE865="","",SUMIFS('ORDENES'!$M$4:$M$1203,'ORDENES'!$AE$4:$AE$1203,$AE865,'ORDENES'!$O$4:$O$1203,$O865,'ORDENES'!$R$4:$R$1203,$R865))</f>
        <v/>
      </c>
      <c r="AH865" s="13">
        <f>IF($AG865="","",p_factor_productividad*IFERROR(INDEX('ASIGNACIONES'!$I$4:$I$339,MATCH($O865&amp;"|"&amp;$R865&amp;"|"&amp;$AE865,'ASIGNACIONES'!$J$4:$J$339,0)),0)-$AG865)</f>
        <v/>
      </c>
      <c r="AI865" s="10">
        <f>IF($A865="","",IFERROR(INDEX('2_IMPORTAR_EJECUCION'!$F$9:$F$1208,MATCH($AQ865,'2_IMPORTAR_EJECUCION'!$J$9:$J$1208,0)),0))</f>
        <v/>
      </c>
      <c r="AJ865" s="10">
        <f>IF($A865="","",MAX(0,IFERROR(INDEX('2_IMPORTAR_EJECUCION'!$H$9:$H$1208,MATCH($AQ865,'2_IMPORTAR_EJECUCION'!$J$9:$J$1208,0)),0)-$AI865))</f>
        <v/>
      </c>
      <c r="AK865" s="10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2">
        <f>IF($J866="","",TODAY()-$J866)</f>
        <v/>
      </c>
      <c r="AB866" s="12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IF($AE866="","",IF((IFERROR(INDEX('ASIGNACIONES'!$F$4:$F$339,MATCH($O866&amp;"|"&amp;$R866&amp;"|"&amp;$AE866,'ASIGNACIONES'!$J$4:$J$339,0)),""))=0,"",IFERROR(INDEX('ASIGNACIONES'!$F$4:$F$339,MATCH($O866&amp;"|"&amp;$R866&amp;"|"&amp;$AE866,'ASIGNACIONES'!$J$4:$J$339,0)),"")))</f>
        <v/>
      </c>
      <c r="AG866" s="13">
        <f>IF($AE866="","",SUMIFS('ORDENES'!$M$4:$M$1203,'ORDENES'!$AE$4:$AE$1203,$AE866,'ORDENES'!$O$4:$O$1203,$O866,'ORDENES'!$R$4:$R$1203,$R866))</f>
        <v/>
      </c>
      <c r="AH866" s="13">
        <f>IF($AG866="","",p_factor_productividad*IFERROR(INDEX('ASIGNACIONES'!$I$4:$I$339,MATCH($O866&amp;"|"&amp;$R866&amp;"|"&amp;$AE866,'ASIGNACIONES'!$J$4:$J$339,0)),0)-$AG866)</f>
        <v/>
      </c>
      <c r="AI866" s="10">
        <f>IF($A866="","",IFERROR(INDEX('2_IMPORTAR_EJECUCION'!$F$9:$F$1208,MATCH($AQ866,'2_IMPORTAR_EJECUCION'!$J$9:$J$1208,0)),0))</f>
        <v/>
      </c>
      <c r="AJ866" s="10">
        <f>IF($A866="","",MAX(0,IFERROR(INDEX('2_IMPORTAR_EJECUCION'!$H$9:$H$1208,MATCH($AQ866,'2_IMPORTAR_EJECUCION'!$J$9:$J$1208,0)),0)-$AI866))</f>
        <v/>
      </c>
      <c r="AK866" s="10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2">
        <f>IF($J867="","",TODAY()-$J867)</f>
        <v/>
      </c>
      <c r="AB867" s="12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IF($AE867="","",IF((IFERROR(INDEX('ASIGNACIONES'!$F$4:$F$339,MATCH($O867&amp;"|"&amp;$R867&amp;"|"&amp;$AE867,'ASIGNACIONES'!$J$4:$J$339,0)),""))=0,"",IFERROR(INDEX('ASIGNACIONES'!$F$4:$F$339,MATCH($O867&amp;"|"&amp;$R867&amp;"|"&amp;$AE867,'ASIGNACIONES'!$J$4:$J$339,0)),"")))</f>
        <v/>
      </c>
      <c r="AG867" s="13">
        <f>IF($AE867="","",SUMIFS('ORDENES'!$M$4:$M$1203,'ORDENES'!$AE$4:$AE$1203,$AE867,'ORDENES'!$O$4:$O$1203,$O867,'ORDENES'!$R$4:$R$1203,$R867))</f>
        <v/>
      </c>
      <c r="AH867" s="13">
        <f>IF($AG867="","",p_factor_productividad*IFERROR(INDEX('ASIGNACIONES'!$I$4:$I$339,MATCH($O867&amp;"|"&amp;$R867&amp;"|"&amp;$AE867,'ASIGNACIONES'!$J$4:$J$339,0)),0)-$AG867)</f>
        <v/>
      </c>
      <c r="AI867" s="10">
        <f>IF($A867="","",IFERROR(INDEX('2_IMPORTAR_EJECUCION'!$F$9:$F$1208,MATCH($AQ867,'2_IMPORTAR_EJECUCION'!$J$9:$J$1208,0)),0))</f>
        <v/>
      </c>
      <c r="AJ867" s="10">
        <f>IF($A867="","",MAX(0,IFERROR(INDEX('2_IMPORTAR_EJECUCION'!$H$9:$H$1208,MATCH($AQ867,'2_IMPORTAR_EJECUCION'!$J$9:$J$1208,0)),0)-$AI867))</f>
        <v/>
      </c>
      <c r="AK867" s="10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2">
        <f>IF($J868="","",TODAY()-$J868)</f>
        <v/>
      </c>
      <c r="AB868" s="12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IF($AE868="","",IF((IFERROR(INDEX('ASIGNACIONES'!$F$4:$F$339,MATCH($O868&amp;"|"&amp;$R868&amp;"|"&amp;$AE868,'ASIGNACIONES'!$J$4:$J$339,0)),""))=0,"",IFERROR(INDEX('ASIGNACIONES'!$F$4:$F$339,MATCH($O868&amp;"|"&amp;$R868&amp;"|"&amp;$AE868,'ASIGNACIONES'!$J$4:$J$339,0)),"")))</f>
        <v/>
      </c>
      <c r="AG868" s="13">
        <f>IF($AE868="","",SUMIFS('ORDENES'!$M$4:$M$1203,'ORDENES'!$AE$4:$AE$1203,$AE868,'ORDENES'!$O$4:$O$1203,$O868,'ORDENES'!$R$4:$R$1203,$R868))</f>
        <v/>
      </c>
      <c r="AH868" s="13">
        <f>IF($AG868="","",p_factor_productividad*IFERROR(INDEX('ASIGNACIONES'!$I$4:$I$339,MATCH($O868&amp;"|"&amp;$R868&amp;"|"&amp;$AE868,'ASIGNACIONES'!$J$4:$J$339,0)),0)-$AG868)</f>
        <v/>
      </c>
      <c r="AI868" s="10">
        <f>IF($A868="","",IFERROR(INDEX('2_IMPORTAR_EJECUCION'!$F$9:$F$1208,MATCH($AQ868,'2_IMPORTAR_EJECUCION'!$J$9:$J$1208,0)),0))</f>
        <v/>
      </c>
      <c r="AJ868" s="10">
        <f>IF($A868="","",MAX(0,IFERROR(INDEX('2_IMPORTAR_EJECUCION'!$H$9:$H$1208,MATCH($AQ868,'2_IMPORTAR_EJECUCION'!$J$9:$J$1208,0)),0)-$AI868))</f>
        <v/>
      </c>
      <c r="AK868" s="10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2">
        <f>IF($J869="","",TODAY()-$J869)</f>
        <v/>
      </c>
      <c r="AB869" s="12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IF($AE869="","",IF((IFERROR(INDEX('ASIGNACIONES'!$F$4:$F$339,MATCH($O869&amp;"|"&amp;$R869&amp;"|"&amp;$AE869,'ASIGNACIONES'!$J$4:$J$339,0)),""))=0,"",IFERROR(INDEX('ASIGNACIONES'!$F$4:$F$339,MATCH($O869&amp;"|"&amp;$R869&amp;"|"&amp;$AE869,'ASIGNACIONES'!$J$4:$J$339,0)),"")))</f>
        <v/>
      </c>
      <c r="AG869" s="13">
        <f>IF($AE869="","",SUMIFS('ORDENES'!$M$4:$M$1203,'ORDENES'!$AE$4:$AE$1203,$AE869,'ORDENES'!$O$4:$O$1203,$O869,'ORDENES'!$R$4:$R$1203,$R869))</f>
        <v/>
      </c>
      <c r="AH869" s="13">
        <f>IF($AG869="","",p_factor_productividad*IFERROR(INDEX('ASIGNACIONES'!$I$4:$I$339,MATCH($O869&amp;"|"&amp;$R869&amp;"|"&amp;$AE869,'ASIGNACIONES'!$J$4:$J$339,0)),0)-$AG869)</f>
        <v/>
      </c>
      <c r="AI869" s="10">
        <f>IF($A869="","",IFERROR(INDEX('2_IMPORTAR_EJECUCION'!$F$9:$F$1208,MATCH($AQ869,'2_IMPORTAR_EJECUCION'!$J$9:$J$1208,0)),0))</f>
        <v/>
      </c>
      <c r="AJ869" s="10">
        <f>IF($A869="","",MAX(0,IFERROR(INDEX('2_IMPORTAR_EJECUCION'!$H$9:$H$1208,MATCH($AQ869,'2_IMPORTAR_EJECUCION'!$J$9:$J$1208,0)),0)-$AI869))</f>
        <v/>
      </c>
      <c r="AK869" s="10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2">
        <f>IF($J870="","",TODAY()-$J870)</f>
        <v/>
      </c>
      <c r="AB870" s="12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IF($AE870="","",IF((IFERROR(INDEX('ASIGNACIONES'!$F$4:$F$339,MATCH($O870&amp;"|"&amp;$R870&amp;"|"&amp;$AE870,'ASIGNACIONES'!$J$4:$J$339,0)),""))=0,"",IFERROR(INDEX('ASIGNACIONES'!$F$4:$F$339,MATCH($O870&amp;"|"&amp;$R870&amp;"|"&amp;$AE870,'ASIGNACIONES'!$J$4:$J$339,0)),"")))</f>
        <v/>
      </c>
      <c r="AG870" s="13">
        <f>IF($AE870="","",SUMIFS('ORDENES'!$M$4:$M$1203,'ORDENES'!$AE$4:$AE$1203,$AE870,'ORDENES'!$O$4:$O$1203,$O870,'ORDENES'!$R$4:$R$1203,$R870))</f>
        <v/>
      </c>
      <c r="AH870" s="13">
        <f>IF($AG870="","",p_factor_productividad*IFERROR(INDEX('ASIGNACIONES'!$I$4:$I$339,MATCH($O870&amp;"|"&amp;$R870&amp;"|"&amp;$AE870,'ASIGNACIONES'!$J$4:$J$339,0)),0)-$AG870)</f>
        <v/>
      </c>
      <c r="AI870" s="10">
        <f>IF($A870="","",IFERROR(INDEX('2_IMPORTAR_EJECUCION'!$F$9:$F$1208,MATCH($AQ870,'2_IMPORTAR_EJECUCION'!$J$9:$J$1208,0)),0))</f>
        <v/>
      </c>
      <c r="AJ870" s="10">
        <f>IF($A870="","",MAX(0,IFERROR(INDEX('2_IMPORTAR_EJECUCION'!$H$9:$H$1208,MATCH($AQ870,'2_IMPORTAR_EJECUCION'!$J$9:$J$1208,0)),0)-$AI870))</f>
        <v/>
      </c>
      <c r="AK870" s="10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2">
        <f>IF($J871="","",TODAY()-$J871)</f>
        <v/>
      </c>
      <c r="AB871" s="12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IF($AE871="","",IF((IFERROR(INDEX('ASIGNACIONES'!$F$4:$F$339,MATCH($O871&amp;"|"&amp;$R871&amp;"|"&amp;$AE871,'ASIGNACIONES'!$J$4:$J$339,0)),""))=0,"",IFERROR(INDEX('ASIGNACIONES'!$F$4:$F$339,MATCH($O871&amp;"|"&amp;$R871&amp;"|"&amp;$AE871,'ASIGNACIONES'!$J$4:$J$339,0)),"")))</f>
        <v/>
      </c>
      <c r="AG871" s="13">
        <f>IF($AE871="","",SUMIFS('ORDENES'!$M$4:$M$1203,'ORDENES'!$AE$4:$AE$1203,$AE871,'ORDENES'!$O$4:$O$1203,$O871,'ORDENES'!$R$4:$R$1203,$R871))</f>
        <v/>
      </c>
      <c r="AH871" s="13">
        <f>IF($AG871="","",p_factor_productividad*IFERROR(INDEX('ASIGNACIONES'!$I$4:$I$339,MATCH($O871&amp;"|"&amp;$R871&amp;"|"&amp;$AE871,'ASIGNACIONES'!$J$4:$J$339,0)),0)-$AG871)</f>
        <v/>
      </c>
      <c r="AI871" s="10">
        <f>IF($A871="","",IFERROR(INDEX('2_IMPORTAR_EJECUCION'!$F$9:$F$1208,MATCH($AQ871,'2_IMPORTAR_EJECUCION'!$J$9:$J$1208,0)),0))</f>
        <v/>
      </c>
      <c r="AJ871" s="10">
        <f>IF($A871="","",MAX(0,IFERROR(INDEX('2_IMPORTAR_EJECUCION'!$H$9:$H$1208,MATCH($AQ871,'2_IMPORTAR_EJECUCION'!$J$9:$J$1208,0)),0)-$AI871))</f>
        <v/>
      </c>
      <c r="AK871" s="10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2">
        <f>IF($J872="","",TODAY()-$J872)</f>
        <v/>
      </c>
      <c r="AB872" s="12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IF($AE872="","",IF((IFERROR(INDEX('ASIGNACIONES'!$F$4:$F$339,MATCH($O872&amp;"|"&amp;$R872&amp;"|"&amp;$AE872,'ASIGNACIONES'!$J$4:$J$339,0)),""))=0,"",IFERROR(INDEX('ASIGNACIONES'!$F$4:$F$339,MATCH($O872&amp;"|"&amp;$R872&amp;"|"&amp;$AE872,'ASIGNACIONES'!$J$4:$J$339,0)),"")))</f>
        <v/>
      </c>
      <c r="AG872" s="13">
        <f>IF($AE872="","",SUMIFS('ORDENES'!$M$4:$M$1203,'ORDENES'!$AE$4:$AE$1203,$AE872,'ORDENES'!$O$4:$O$1203,$O872,'ORDENES'!$R$4:$R$1203,$R872))</f>
        <v/>
      </c>
      <c r="AH872" s="13">
        <f>IF($AG872="","",p_factor_productividad*IFERROR(INDEX('ASIGNACIONES'!$I$4:$I$339,MATCH($O872&amp;"|"&amp;$R872&amp;"|"&amp;$AE872,'ASIGNACIONES'!$J$4:$J$339,0)),0)-$AG872)</f>
        <v/>
      </c>
      <c r="AI872" s="10">
        <f>IF($A872="","",IFERROR(INDEX('2_IMPORTAR_EJECUCION'!$F$9:$F$1208,MATCH($AQ872,'2_IMPORTAR_EJECUCION'!$J$9:$J$1208,0)),0))</f>
        <v/>
      </c>
      <c r="AJ872" s="10">
        <f>IF($A872="","",MAX(0,IFERROR(INDEX('2_IMPORTAR_EJECUCION'!$H$9:$H$1208,MATCH($AQ872,'2_IMPORTAR_EJECUCION'!$J$9:$J$1208,0)),0)-$AI872))</f>
        <v/>
      </c>
      <c r="AK872" s="10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2">
        <f>IF($J873="","",TODAY()-$J873)</f>
        <v/>
      </c>
      <c r="AB873" s="12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IF($AE873="","",IF((IFERROR(INDEX('ASIGNACIONES'!$F$4:$F$339,MATCH($O873&amp;"|"&amp;$R873&amp;"|"&amp;$AE873,'ASIGNACIONES'!$J$4:$J$339,0)),""))=0,"",IFERROR(INDEX('ASIGNACIONES'!$F$4:$F$339,MATCH($O873&amp;"|"&amp;$R873&amp;"|"&amp;$AE873,'ASIGNACIONES'!$J$4:$J$339,0)),"")))</f>
        <v/>
      </c>
      <c r="AG873" s="13">
        <f>IF($AE873="","",SUMIFS('ORDENES'!$M$4:$M$1203,'ORDENES'!$AE$4:$AE$1203,$AE873,'ORDENES'!$O$4:$O$1203,$O873,'ORDENES'!$R$4:$R$1203,$R873))</f>
        <v/>
      </c>
      <c r="AH873" s="13">
        <f>IF($AG873="","",p_factor_productividad*IFERROR(INDEX('ASIGNACIONES'!$I$4:$I$339,MATCH($O873&amp;"|"&amp;$R873&amp;"|"&amp;$AE873,'ASIGNACIONES'!$J$4:$J$339,0)),0)-$AG873)</f>
        <v/>
      </c>
      <c r="AI873" s="10">
        <f>IF($A873="","",IFERROR(INDEX('2_IMPORTAR_EJECUCION'!$F$9:$F$1208,MATCH($AQ873,'2_IMPORTAR_EJECUCION'!$J$9:$J$1208,0)),0))</f>
        <v/>
      </c>
      <c r="AJ873" s="10">
        <f>IF($A873="","",MAX(0,IFERROR(INDEX('2_IMPORTAR_EJECUCION'!$H$9:$H$1208,MATCH($AQ873,'2_IMPORTAR_EJECUCION'!$J$9:$J$1208,0)),0)-$AI873))</f>
        <v/>
      </c>
      <c r="AK873" s="10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2">
        <f>IF($J874="","",TODAY()-$J874)</f>
        <v/>
      </c>
      <c r="AB874" s="12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IF($AE874="","",IF((IFERROR(INDEX('ASIGNACIONES'!$F$4:$F$339,MATCH($O874&amp;"|"&amp;$R874&amp;"|"&amp;$AE874,'ASIGNACIONES'!$J$4:$J$339,0)),""))=0,"",IFERROR(INDEX('ASIGNACIONES'!$F$4:$F$339,MATCH($O874&amp;"|"&amp;$R874&amp;"|"&amp;$AE874,'ASIGNACIONES'!$J$4:$J$339,0)),"")))</f>
        <v/>
      </c>
      <c r="AG874" s="13">
        <f>IF($AE874="","",SUMIFS('ORDENES'!$M$4:$M$1203,'ORDENES'!$AE$4:$AE$1203,$AE874,'ORDENES'!$O$4:$O$1203,$O874,'ORDENES'!$R$4:$R$1203,$R874))</f>
        <v/>
      </c>
      <c r="AH874" s="13">
        <f>IF($AG874="","",p_factor_productividad*IFERROR(INDEX('ASIGNACIONES'!$I$4:$I$339,MATCH($O874&amp;"|"&amp;$R874&amp;"|"&amp;$AE874,'ASIGNACIONES'!$J$4:$J$339,0)),0)-$AG874)</f>
        <v/>
      </c>
      <c r="AI874" s="10">
        <f>IF($A874="","",IFERROR(INDEX('2_IMPORTAR_EJECUCION'!$F$9:$F$1208,MATCH($AQ874,'2_IMPORTAR_EJECUCION'!$J$9:$J$1208,0)),0))</f>
        <v/>
      </c>
      <c r="AJ874" s="10">
        <f>IF($A874="","",MAX(0,IFERROR(INDEX('2_IMPORTAR_EJECUCION'!$H$9:$H$1208,MATCH($AQ874,'2_IMPORTAR_EJECUCION'!$J$9:$J$1208,0)),0)-$AI874))</f>
        <v/>
      </c>
      <c r="AK874" s="10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2">
        <f>IF($J875="","",TODAY()-$J875)</f>
        <v/>
      </c>
      <c r="AB875" s="12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IF($AE875="","",IF((IFERROR(INDEX('ASIGNACIONES'!$F$4:$F$339,MATCH($O875&amp;"|"&amp;$R875&amp;"|"&amp;$AE875,'ASIGNACIONES'!$J$4:$J$339,0)),""))=0,"",IFERROR(INDEX('ASIGNACIONES'!$F$4:$F$339,MATCH($O875&amp;"|"&amp;$R875&amp;"|"&amp;$AE875,'ASIGNACIONES'!$J$4:$J$339,0)),"")))</f>
        <v/>
      </c>
      <c r="AG875" s="13">
        <f>IF($AE875="","",SUMIFS('ORDENES'!$M$4:$M$1203,'ORDENES'!$AE$4:$AE$1203,$AE875,'ORDENES'!$O$4:$O$1203,$O875,'ORDENES'!$R$4:$R$1203,$R875))</f>
        <v/>
      </c>
      <c r="AH875" s="13">
        <f>IF($AG875="","",p_factor_productividad*IFERROR(INDEX('ASIGNACIONES'!$I$4:$I$339,MATCH($O875&amp;"|"&amp;$R875&amp;"|"&amp;$AE875,'ASIGNACIONES'!$J$4:$J$339,0)),0)-$AG875)</f>
        <v/>
      </c>
      <c r="AI875" s="10">
        <f>IF($A875="","",IFERROR(INDEX('2_IMPORTAR_EJECUCION'!$F$9:$F$1208,MATCH($AQ875,'2_IMPORTAR_EJECUCION'!$J$9:$J$1208,0)),0))</f>
        <v/>
      </c>
      <c r="AJ875" s="10">
        <f>IF($A875="","",MAX(0,IFERROR(INDEX('2_IMPORTAR_EJECUCION'!$H$9:$H$1208,MATCH($AQ875,'2_IMPORTAR_EJECUCION'!$J$9:$J$1208,0)),0)-$AI875))</f>
        <v/>
      </c>
      <c r="AK875" s="10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2">
        <f>IF($J876="","",TODAY()-$J876)</f>
        <v/>
      </c>
      <c r="AB876" s="12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IF($AE876="","",IF((IFERROR(INDEX('ASIGNACIONES'!$F$4:$F$339,MATCH($O876&amp;"|"&amp;$R876&amp;"|"&amp;$AE876,'ASIGNACIONES'!$J$4:$J$339,0)),""))=0,"",IFERROR(INDEX('ASIGNACIONES'!$F$4:$F$339,MATCH($O876&amp;"|"&amp;$R876&amp;"|"&amp;$AE876,'ASIGNACIONES'!$J$4:$J$339,0)),"")))</f>
        <v/>
      </c>
      <c r="AG876" s="13">
        <f>IF($AE876="","",SUMIFS('ORDENES'!$M$4:$M$1203,'ORDENES'!$AE$4:$AE$1203,$AE876,'ORDENES'!$O$4:$O$1203,$O876,'ORDENES'!$R$4:$R$1203,$R876))</f>
        <v/>
      </c>
      <c r="AH876" s="13">
        <f>IF($AG876="","",p_factor_productividad*IFERROR(INDEX('ASIGNACIONES'!$I$4:$I$339,MATCH($O876&amp;"|"&amp;$R876&amp;"|"&amp;$AE876,'ASIGNACIONES'!$J$4:$J$339,0)),0)-$AG876)</f>
        <v/>
      </c>
      <c r="AI876" s="10">
        <f>IF($A876="","",IFERROR(INDEX('2_IMPORTAR_EJECUCION'!$F$9:$F$1208,MATCH($AQ876,'2_IMPORTAR_EJECUCION'!$J$9:$J$1208,0)),0))</f>
        <v/>
      </c>
      <c r="AJ876" s="10">
        <f>IF($A876="","",MAX(0,IFERROR(INDEX('2_IMPORTAR_EJECUCION'!$H$9:$H$1208,MATCH($AQ876,'2_IMPORTAR_EJECUCION'!$J$9:$J$1208,0)),0)-$AI876))</f>
        <v/>
      </c>
      <c r="AK876" s="10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2">
        <f>IF($J877="","",TODAY()-$J877)</f>
        <v/>
      </c>
      <c r="AB877" s="12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IF($AE877="","",IF((IFERROR(INDEX('ASIGNACIONES'!$F$4:$F$339,MATCH($O877&amp;"|"&amp;$R877&amp;"|"&amp;$AE877,'ASIGNACIONES'!$J$4:$J$339,0)),""))=0,"",IFERROR(INDEX('ASIGNACIONES'!$F$4:$F$339,MATCH($O877&amp;"|"&amp;$R877&amp;"|"&amp;$AE877,'ASIGNACIONES'!$J$4:$J$339,0)),"")))</f>
        <v/>
      </c>
      <c r="AG877" s="13">
        <f>IF($AE877="","",SUMIFS('ORDENES'!$M$4:$M$1203,'ORDENES'!$AE$4:$AE$1203,$AE877,'ORDENES'!$O$4:$O$1203,$O877,'ORDENES'!$R$4:$R$1203,$R877))</f>
        <v/>
      </c>
      <c r="AH877" s="13">
        <f>IF($AG877="","",p_factor_productividad*IFERROR(INDEX('ASIGNACIONES'!$I$4:$I$339,MATCH($O877&amp;"|"&amp;$R877&amp;"|"&amp;$AE877,'ASIGNACIONES'!$J$4:$J$339,0)),0)-$AG877)</f>
        <v/>
      </c>
      <c r="AI877" s="10">
        <f>IF($A877="","",IFERROR(INDEX('2_IMPORTAR_EJECUCION'!$F$9:$F$1208,MATCH($AQ877,'2_IMPORTAR_EJECUCION'!$J$9:$J$1208,0)),0))</f>
        <v/>
      </c>
      <c r="AJ877" s="10">
        <f>IF($A877="","",MAX(0,IFERROR(INDEX('2_IMPORTAR_EJECUCION'!$H$9:$H$1208,MATCH($AQ877,'2_IMPORTAR_EJECUCION'!$J$9:$J$1208,0)),0)-$AI877))</f>
        <v/>
      </c>
      <c r="AK877" s="10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2">
        <f>IF($J878="","",TODAY()-$J878)</f>
        <v/>
      </c>
      <c r="AB878" s="12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IF($AE878="","",IF((IFERROR(INDEX('ASIGNACIONES'!$F$4:$F$339,MATCH($O878&amp;"|"&amp;$R878&amp;"|"&amp;$AE878,'ASIGNACIONES'!$J$4:$J$339,0)),""))=0,"",IFERROR(INDEX('ASIGNACIONES'!$F$4:$F$339,MATCH($O878&amp;"|"&amp;$R878&amp;"|"&amp;$AE878,'ASIGNACIONES'!$J$4:$J$339,0)),"")))</f>
        <v/>
      </c>
      <c r="AG878" s="13">
        <f>IF($AE878="","",SUMIFS('ORDENES'!$M$4:$M$1203,'ORDENES'!$AE$4:$AE$1203,$AE878,'ORDENES'!$O$4:$O$1203,$O878,'ORDENES'!$R$4:$R$1203,$R878))</f>
        <v/>
      </c>
      <c r="AH878" s="13">
        <f>IF($AG878="","",p_factor_productividad*IFERROR(INDEX('ASIGNACIONES'!$I$4:$I$339,MATCH($O878&amp;"|"&amp;$R878&amp;"|"&amp;$AE878,'ASIGNACIONES'!$J$4:$J$339,0)),0)-$AG878)</f>
        <v/>
      </c>
      <c r="AI878" s="10">
        <f>IF($A878="","",IFERROR(INDEX('2_IMPORTAR_EJECUCION'!$F$9:$F$1208,MATCH($AQ878,'2_IMPORTAR_EJECUCION'!$J$9:$J$1208,0)),0))</f>
        <v/>
      </c>
      <c r="AJ878" s="10">
        <f>IF($A878="","",MAX(0,IFERROR(INDEX('2_IMPORTAR_EJECUCION'!$H$9:$H$1208,MATCH($AQ878,'2_IMPORTAR_EJECUCION'!$J$9:$J$1208,0)),0)-$AI878))</f>
        <v/>
      </c>
      <c r="AK878" s="10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2">
        <f>IF($J879="","",TODAY()-$J879)</f>
        <v/>
      </c>
      <c r="AB879" s="12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IF($AE879="","",IF((IFERROR(INDEX('ASIGNACIONES'!$F$4:$F$339,MATCH($O879&amp;"|"&amp;$R879&amp;"|"&amp;$AE879,'ASIGNACIONES'!$J$4:$J$339,0)),""))=0,"",IFERROR(INDEX('ASIGNACIONES'!$F$4:$F$339,MATCH($O879&amp;"|"&amp;$R879&amp;"|"&amp;$AE879,'ASIGNACIONES'!$J$4:$J$339,0)),"")))</f>
        <v/>
      </c>
      <c r="AG879" s="13">
        <f>IF($AE879="","",SUMIFS('ORDENES'!$M$4:$M$1203,'ORDENES'!$AE$4:$AE$1203,$AE879,'ORDENES'!$O$4:$O$1203,$O879,'ORDENES'!$R$4:$R$1203,$R879))</f>
        <v/>
      </c>
      <c r="AH879" s="13">
        <f>IF($AG879="","",p_factor_productividad*IFERROR(INDEX('ASIGNACIONES'!$I$4:$I$339,MATCH($O879&amp;"|"&amp;$R879&amp;"|"&amp;$AE879,'ASIGNACIONES'!$J$4:$J$339,0)),0)-$AG879)</f>
        <v/>
      </c>
      <c r="AI879" s="10">
        <f>IF($A879="","",IFERROR(INDEX('2_IMPORTAR_EJECUCION'!$F$9:$F$1208,MATCH($AQ879,'2_IMPORTAR_EJECUCION'!$J$9:$J$1208,0)),0))</f>
        <v/>
      </c>
      <c r="AJ879" s="10">
        <f>IF($A879="","",MAX(0,IFERROR(INDEX('2_IMPORTAR_EJECUCION'!$H$9:$H$1208,MATCH($AQ879,'2_IMPORTAR_EJECUCION'!$J$9:$J$1208,0)),0)-$AI879))</f>
        <v/>
      </c>
      <c r="AK879" s="10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2">
        <f>IF($J880="","",TODAY()-$J880)</f>
        <v/>
      </c>
      <c r="AB880" s="12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IF($AE880="","",IF((IFERROR(INDEX('ASIGNACIONES'!$F$4:$F$339,MATCH($O880&amp;"|"&amp;$R880&amp;"|"&amp;$AE880,'ASIGNACIONES'!$J$4:$J$339,0)),""))=0,"",IFERROR(INDEX('ASIGNACIONES'!$F$4:$F$339,MATCH($O880&amp;"|"&amp;$R880&amp;"|"&amp;$AE880,'ASIGNACIONES'!$J$4:$J$339,0)),"")))</f>
        <v/>
      </c>
      <c r="AG880" s="13">
        <f>IF($AE880="","",SUMIFS('ORDENES'!$M$4:$M$1203,'ORDENES'!$AE$4:$AE$1203,$AE880,'ORDENES'!$O$4:$O$1203,$O880,'ORDENES'!$R$4:$R$1203,$R880))</f>
        <v/>
      </c>
      <c r="AH880" s="13">
        <f>IF($AG880="","",p_factor_productividad*IFERROR(INDEX('ASIGNACIONES'!$I$4:$I$339,MATCH($O880&amp;"|"&amp;$R880&amp;"|"&amp;$AE880,'ASIGNACIONES'!$J$4:$J$339,0)),0)-$AG880)</f>
        <v/>
      </c>
      <c r="AI880" s="10">
        <f>IF($A880="","",IFERROR(INDEX('2_IMPORTAR_EJECUCION'!$F$9:$F$1208,MATCH($AQ880,'2_IMPORTAR_EJECUCION'!$J$9:$J$1208,0)),0))</f>
        <v/>
      </c>
      <c r="AJ880" s="10">
        <f>IF($A880="","",MAX(0,IFERROR(INDEX('2_IMPORTAR_EJECUCION'!$H$9:$H$1208,MATCH($AQ880,'2_IMPORTAR_EJECUCION'!$J$9:$J$1208,0)),0)-$AI880))</f>
        <v/>
      </c>
      <c r="AK880" s="10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2">
        <f>IF($J881="","",TODAY()-$J881)</f>
        <v/>
      </c>
      <c r="AB881" s="12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IF($AE881="","",IF((IFERROR(INDEX('ASIGNACIONES'!$F$4:$F$339,MATCH($O881&amp;"|"&amp;$R881&amp;"|"&amp;$AE881,'ASIGNACIONES'!$J$4:$J$339,0)),""))=0,"",IFERROR(INDEX('ASIGNACIONES'!$F$4:$F$339,MATCH($O881&amp;"|"&amp;$R881&amp;"|"&amp;$AE881,'ASIGNACIONES'!$J$4:$J$339,0)),"")))</f>
        <v/>
      </c>
      <c r="AG881" s="13">
        <f>IF($AE881="","",SUMIFS('ORDENES'!$M$4:$M$1203,'ORDENES'!$AE$4:$AE$1203,$AE881,'ORDENES'!$O$4:$O$1203,$O881,'ORDENES'!$R$4:$R$1203,$R881))</f>
        <v/>
      </c>
      <c r="AH881" s="13">
        <f>IF($AG881="","",p_factor_productividad*IFERROR(INDEX('ASIGNACIONES'!$I$4:$I$339,MATCH($O881&amp;"|"&amp;$R881&amp;"|"&amp;$AE881,'ASIGNACIONES'!$J$4:$J$339,0)),0)-$AG881)</f>
        <v/>
      </c>
      <c r="AI881" s="10">
        <f>IF($A881="","",IFERROR(INDEX('2_IMPORTAR_EJECUCION'!$F$9:$F$1208,MATCH($AQ881,'2_IMPORTAR_EJECUCION'!$J$9:$J$1208,0)),0))</f>
        <v/>
      </c>
      <c r="AJ881" s="10">
        <f>IF($A881="","",MAX(0,IFERROR(INDEX('2_IMPORTAR_EJECUCION'!$H$9:$H$1208,MATCH($AQ881,'2_IMPORTAR_EJECUCION'!$J$9:$J$1208,0)),0)-$AI881))</f>
        <v/>
      </c>
      <c r="AK881" s="10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2">
        <f>IF($J882="","",TODAY()-$J882)</f>
        <v/>
      </c>
      <c r="AB882" s="12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IF($AE882="","",IF((IFERROR(INDEX('ASIGNACIONES'!$F$4:$F$339,MATCH($O882&amp;"|"&amp;$R882&amp;"|"&amp;$AE882,'ASIGNACIONES'!$J$4:$J$339,0)),""))=0,"",IFERROR(INDEX('ASIGNACIONES'!$F$4:$F$339,MATCH($O882&amp;"|"&amp;$R882&amp;"|"&amp;$AE882,'ASIGNACIONES'!$J$4:$J$339,0)),"")))</f>
        <v/>
      </c>
      <c r="AG882" s="13">
        <f>IF($AE882="","",SUMIFS('ORDENES'!$M$4:$M$1203,'ORDENES'!$AE$4:$AE$1203,$AE882,'ORDENES'!$O$4:$O$1203,$O882,'ORDENES'!$R$4:$R$1203,$R882))</f>
        <v/>
      </c>
      <c r="AH882" s="13">
        <f>IF($AG882="","",p_factor_productividad*IFERROR(INDEX('ASIGNACIONES'!$I$4:$I$339,MATCH($O882&amp;"|"&amp;$R882&amp;"|"&amp;$AE882,'ASIGNACIONES'!$J$4:$J$339,0)),0)-$AG882)</f>
        <v/>
      </c>
      <c r="AI882" s="10">
        <f>IF($A882="","",IFERROR(INDEX('2_IMPORTAR_EJECUCION'!$F$9:$F$1208,MATCH($AQ882,'2_IMPORTAR_EJECUCION'!$J$9:$J$1208,0)),0))</f>
        <v/>
      </c>
      <c r="AJ882" s="10">
        <f>IF($A882="","",MAX(0,IFERROR(INDEX('2_IMPORTAR_EJECUCION'!$H$9:$H$1208,MATCH($AQ882,'2_IMPORTAR_EJECUCION'!$J$9:$J$1208,0)),0)-$AI882))</f>
        <v/>
      </c>
      <c r="AK882" s="10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2">
        <f>IF($J883="","",TODAY()-$J883)</f>
        <v/>
      </c>
      <c r="AB883" s="12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IF($AE883="","",IF((IFERROR(INDEX('ASIGNACIONES'!$F$4:$F$339,MATCH($O883&amp;"|"&amp;$R883&amp;"|"&amp;$AE883,'ASIGNACIONES'!$J$4:$J$339,0)),""))=0,"",IFERROR(INDEX('ASIGNACIONES'!$F$4:$F$339,MATCH($O883&amp;"|"&amp;$R883&amp;"|"&amp;$AE883,'ASIGNACIONES'!$J$4:$J$339,0)),"")))</f>
        <v/>
      </c>
      <c r="AG883" s="13">
        <f>IF($AE883="","",SUMIFS('ORDENES'!$M$4:$M$1203,'ORDENES'!$AE$4:$AE$1203,$AE883,'ORDENES'!$O$4:$O$1203,$O883,'ORDENES'!$R$4:$R$1203,$R883))</f>
        <v/>
      </c>
      <c r="AH883" s="13">
        <f>IF($AG883="","",p_factor_productividad*IFERROR(INDEX('ASIGNACIONES'!$I$4:$I$339,MATCH($O883&amp;"|"&amp;$R883&amp;"|"&amp;$AE883,'ASIGNACIONES'!$J$4:$J$339,0)),0)-$AG883)</f>
        <v/>
      </c>
      <c r="AI883" s="10">
        <f>IF($A883="","",IFERROR(INDEX('2_IMPORTAR_EJECUCION'!$F$9:$F$1208,MATCH($AQ883,'2_IMPORTAR_EJECUCION'!$J$9:$J$1208,0)),0))</f>
        <v/>
      </c>
      <c r="AJ883" s="10">
        <f>IF($A883="","",MAX(0,IFERROR(INDEX('2_IMPORTAR_EJECUCION'!$H$9:$H$1208,MATCH($AQ883,'2_IMPORTAR_EJECUCION'!$J$9:$J$1208,0)),0)-$AI883))</f>
        <v/>
      </c>
      <c r="AK883" s="10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2">
        <f>IF($J884="","",TODAY()-$J884)</f>
        <v/>
      </c>
      <c r="AB884" s="12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IF($AE884="","",IF((IFERROR(INDEX('ASIGNACIONES'!$F$4:$F$339,MATCH($O884&amp;"|"&amp;$R884&amp;"|"&amp;$AE884,'ASIGNACIONES'!$J$4:$J$339,0)),""))=0,"",IFERROR(INDEX('ASIGNACIONES'!$F$4:$F$339,MATCH($O884&amp;"|"&amp;$R884&amp;"|"&amp;$AE884,'ASIGNACIONES'!$J$4:$J$339,0)),"")))</f>
        <v/>
      </c>
      <c r="AG884" s="13">
        <f>IF($AE884="","",SUMIFS('ORDENES'!$M$4:$M$1203,'ORDENES'!$AE$4:$AE$1203,$AE884,'ORDENES'!$O$4:$O$1203,$O884,'ORDENES'!$R$4:$R$1203,$R884))</f>
        <v/>
      </c>
      <c r="AH884" s="13">
        <f>IF($AG884="","",p_factor_productividad*IFERROR(INDEX('ASIGNACIONES'!$I$4:$I$339,MATCH($O884&amp;"|"&amp;$R884&amp;"|"&amp;$AE884,'ASIGNACIONES'!$J$4:$J$339,0)),0)-$AG884)</f>
        <v/>
      </c>
      <c r="AI884" s="10">
        <f>IF($A884="","",IFERROR(INDEX('2_IMPORTAR_EJECUCION'!$F$9:$F$1208,MATCH($AQ884,'2_IMPORTAR_EJECUCION'!$J$9:$J$1208,0)),0))</f>
        <v/>
      </c>
      <c r="AJ884" s="10">
        <f>IF($A884="","",MAX(0,IFERROR(INDEX('2_IMPORTAR_EJECUCION'!$H$9:$H$1208,MATCH($AQ884,'2_IMPORTAR_EJECUCION'!$J$9:$J$1208,0)),0)-$AI884))</f>
        <v/>
      </c>
      <c r="AK884" s="10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2">
        <f>IF($J885="","",TODAY()-$J885)</f>
        <v/>
      </c>
      <c r="AB885" s="12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IF($AE885="","",IF((IFERROR(INDEX('ASIGNACIONES'!$F$4:$F$339,MATCH($O885&amp;"|"&amp;$R885&amp;"|"&amp;$AE885,'ASIGNACIONES'!$J$4:$J$339,0)),""))=0,"",IFERROR(INDEX('ASIGNACIONES'!$F$4:$F$339,MATCH($O885&amp;"|"&amp;$R885&amp;"|"&amp;$AE885,'ASIGNACIONES'!$J$4:$J$339,0)),"")))</f>
        <v/>
      </c>
      <c r="AG885" s="13">
        <f>IF($AE885="","",SUMIFS('ORDENES'!$M$4:$M$1203,'ORDENES'!$AE$4:$AE$1203,$AE885,'ORDENES'!$O$4:$O$1203,$O885,'ORDENES'!$R$4:$R$1203,$R885))</f>
        <v/>
      </c>
      <c r="AH885" s="13">
        <f>IF($AG885="","",p_factor_productividad*IFERROR(INDEX('ASIGNACIONES'!$I$4:$I$339,MATCH($O885&amp;"|"&amp;$R885&amp;"|"&amp;$AE885,'ASIGNACIONES'!$J$4:$J$339,0)),0)-$AG885)</f>
        <v/>
      </c>
      <c r="AI885" s="10">
        <f>IF($A885="","",IFERROR(INDEX('2_IMPORTAR_EJECUCION'!$F$9:$F$1208,MATCH($AQ885,'2_IMPORTAR_EJECUCION'!$J$9:$J$1208,0)),0))</f>
        <v/>
      </c>
      <c r="AJ885" s="10">
        <f>IF($A885="","",MAX(0,IFERROR(INDEX('2_IMPORTAR_EJECUCION'!$H$9:$H$1208,MATCH($AQ885,'2_IMPORTAR_EJECUCION'!$J$9:$J$1208,0)),0)-$AI885))</f>
        <v/>
      </c>
      <c r="AK885" s="10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2">
        <f>IF($J886="","",TODAY()-$J886)</f>
        <v/>
      </c>
      <c r="AB886" s="12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IF($AE886="","",IF((IFERROR(INDEX('ASIGNACIONES'!$F$4:$F$339,MATCH($O886&amp;"|"&amp;$R886&amp;"|"&amp;$AE886,'ASIGNACIONES'!$J$4:$J$339,0)),""))=0,"",IFERROR(INDEX('ASIGNACIONES'!$F$4:$F$339,MATCH($O886&amp;"|"&amp;$R886&amp;"|"&amp;$AE886,'ASIGNACIONES'!$J$4:$J$339,0)),"")))</f>
        <v/>
      </c>
      <c r="AG886" s="13">
        <f>IF($AE886="","",SUMIFS('ORDENES'!$M$4:$M$1203,'ORDENES'!$AE$4:$AE$1203,$AE886,'ORDENES'!$O$4:$O$1203,$O886,'ORDENES'!$R$4:$R$1203,$R886))</f>
        <v/>
      </c>
      <c r="AH886" s="13">
        <f>IF($AG886="","",p_factor_productividad*IFERROR(INDEX('ASIGNACIONES'!$I$4:$I$339,MATCH($O886&amp;"|"&amp;$R886&amp;"|"&amp;$AE886,'ASIGNACIONES'!$J$4:$J$339,0)),0)-$AG886)</f>
        <v/>
      </c>
      <c r="AI886" s="10">
        <f>IF($A886="","",IFERROR(INDEX('2_IMPORTAR_EJECUCION'!$F$9:$F$1208,MATCH($AQ886,'2_IMPORTAR_EJECUCION'!$J$9:$J$1208,0)),0))</f>
        <v/>
      </c>
      <c r="AJ886" s="10">
        <f>IF($A886="","",MAX(0,IFERROR(INDEX('2_IMPORTAR_EJECUCION'!$H$9:$H$1208,MATCH($AQ886,'2_IMPORTAR_EJECUCION'!$J$9:$J$1208,0)),0)-$AI886))</f>
        <v/>
      </c>
      <c r="AK886" s="10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2">
        <f>IF($J887="","",TODAY()-$J887)</f>
        <v/>
      </c>
      <c r="AB887" s="12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IF($AE887="","",IF((IFERROR(INDEX('ASIGNACIONES'!$F$4:$F$339,MATCH($O887&amp;"|"&amp;$R887&amp;"|"&amp;$AE887,'ASIGNACIONES'!$J$4:$J$339,0)),""))=0,"",IFERROR(INDEX('ASIGNACIONES'!$F$4:$F$339,MATCH($O887&amp;"|"&amp;$R887&amp;"|"&amp;$AE887,'ASIGNACIONES'!$J$4:$J$339,0)),"")))</f>
        <v/>
      </c>
      <c r="AG887" s="13">
        <f>IF($AE887="","",SUMIFS('ORDENES'!$M$4:$M$1203,'ORDENES'!$AE$4:$AE$1203,$AE887,'ORDENES'!$O$4:$O$1203,$O887,'ORDENES'!$R$4:$R$1203,$R887))</f>
        <v/>
      </c>
      <c r="AH887" s="13">
        <f>IF($AG887="","",p_factor_productividad*IFERROR(INDEX('ASIGNACIONES'!$I$4:$I$339,MATCH($O887&amp;"|"&amp;$R887&amp;"|"&amp;$AE887,'ASIGNACIONES'!$J$4:$J$339,0)),0)-$AG887)</f>
        <v/>
      </c>
      <c r="AI887" s="10">
        <f>IF($A887="","",IFERROR(INDEX('2_IMPORTAR_EJECUCION'!$F$9:$F$1208,MATCH($AQ887,'2_IMPORTAR_EJECUCION'!$J$9:$J$1208,0)),0))</f>
        <v/>
      </c>
      <c r="AJ887" s="10">
        <f>IF($A887="","",MAX(0,IFERROR(INDEX('2_IMPORTAR_EJECUCION'!$H$9:$H$1208,MATCH($AQ887,'2_IMPORTAR_EJECUCION'!$J$9:$J$1208,0)),0)-$AI887))</f>
        <v/>
      </c>
      <c r="AK887" s="10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2">
        <f>IF($J888="","",TODAY()-$J888)</f>
        <v/>
      </c>
      <c r="AB888" s="12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IF($AE888="","",IF((IFERROR(INDEX('ASIGNACIONES'!$F$4:$F$339,MATCH($O888&amp;"|"&amp;$R888&amp;"|"&amp;$AE888,'ASIGNACIONES'!$J$4:$J$339,0)),""))=0,"",IFERROR(INDEX('ASIGNACIONES'!$F$4:$F$339,MATCH($O888&amp;"|"&amp;$R888&amp;"|"&amp;$AE888,'ASIGNACIONES'!$J$4:$J$339,0)),"")))</f>
        <v/>
      </c>
      <c r="AG888" s="13">
        <f>IF($AE888="","",SUMIFS('ORDENES'!$M$4:$M$1203,'ORDENES'!$AE$4:$AE$1203,$AE888,'ORDENES'!$O$4:$O$1203,$O888,'ORDENES'!$R$4:$R$1203,$R888))</f>
        <v/>
      </c>
      <c r="AH888" s="13">
        <f>IF($AG888="","",p_factor_productividad*IFERROR(INDEX('ASIGNACIONES'!$I$4:$I$339,MATCH($O888&amp;"|"&amp;$R888&amp;"|"&amp;$AE888,'ASIGNACIONES'!$J$4:$J$339,0)),0)-$AG888)</f>
        <v/>
      </c>
      <c r="AI888" s="10">
        <f>IF($A888="","",IFERROR(INDEX('2_IMPORTAR_EJECUCION'!$F$9:$F$1208,MATCH($AQ888,'2_IMPORTAR_EJECUCION'!$J$9:$J$1208,0)),0))</f>
        <v/>
      </c>
      <c r="AJ888" s="10">
        <f>IF($A888="","",MAX(0,IFERROR(INDEX('2_IMPORTAR_EJECUCION'!$H$9:$H$1208,MATCH($AQ888,'2_IMPORTAR_EJECUCION'!$J$9:$J$1208,0)),0)-$AI888))</f>
        <v/>
      </c>
      <c r="AK888" s="10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2">
        <f>IF($J889="","",TODAY()-$J889)</f>
        <v/>
      </c>
      <c r="AB889" s="12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IF($AE889="","",IF((IFERROR(INDEX('ASIGNACIONES'!$F$4:$F$339,MATCH($O889&amp;"|"&amp;$R889&amp;"|"&amp;$AE889,'ASIGNACIONES'!$J$4:$J$339,0)),""))=0,"",IFERROR(INDEX('ASIGNACIONES'!$F$4:$F$339,MATCH($O889&amp;"|"&amp;$R889&amp;"|"&amp;$AE889,'ASIGNACIONES'!$J$4:$J$339,0)),"")))</f>
        <v/>
      </c>
      <c r="AG889" s="13">
        <f>IF($AE889="","",SUMIFS('ORDENES'!$M$4:$M$1203,'ORDENES'!$AE$4:$AE$1203,$AE889,'ORDENES'!$O$4:$O$1203,$O889,'ORDENES'!$R$4:$R$1203,$R889))</f>
        <v/>
      </c>
      <c r="AH889" s="13">
        <f>IF($AG889="","",p_factor_productividad*IFERROR(INDEX('ASIGNACIONES'!$I$4:$I$339,MATCH($O889&amp;"|"&amp;$R889&amp;"|"&amp;$AE889,'ASIGNACIONES'!$J$4:$J$339,0)),0)-$AG889)</f>
        <v/>
      </c>
      <c r="AI889" s="10">
        <f>IF($A889="","",IFERROR(INDEX('2_IMPORTAR_EJECUCION'!$F$9:$F$1208,MATCH($AQ889,'2_IMPORTAR_EJECUCION'!$J$9:$J$1208,0)),0))</f>
        <v/>
      </c>
      <c r="AJ889" s="10">
        <f>IF($A889="","",MAX(0,IFERROR(INDEX('2_IMPORTAR_EJECUCION'!$H$9:$H$1208,MATCH($AQ889,'2_IMPORTAR_EJECUCION'!$J$9:$J$1208,0)),0)-$AI889))</f>
        <v/>
      </c>
      <c r="AK889" s="10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2">
        <f>IF($J890="","",TODAY()-$J890)</f>
        <v/>
      </c>
      <c r="AB890" s="12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IF($AE890="","",IF((IFERROR(INDEX('ASIGNACIONES'!$F$4:$F$339,MATCH($O890&amp;"|"&amp;$R890&amp;"|"&amp;$AE890,'ASIGNACIONES'!$J$4:$J$339,0)),""))=0,"",IFERROR(INDEX('ASIGNACIONES'!$F$4:$F$339,MATCH($O890&amp;"|"&amp;$R890&amp;"|"&amp;$AE890,'ASIGNACIONES'!$J$4:$J$339,0)),"")))</f>
        <v/>
      </c>
      <c r="AG890" s="13">
        <f>IF($AE890="","",SUMIFS('ORDENES'!$M$4:$M$1203,'ORDENES'!$AE$4:$AE$1203,$AE890,'ORDENES'!$O$4:$O$1203,$O890,'ORDENES'!$R$4:$R$1203,$R890))</f>
        <v/>
      </c>
      <c r="AH890" s="13">
        <f>IF($AG890="","",p_factor_productividad*IFERROR(INDEX('ASIGNACIONES'!$I$4:$I$339,MATCH($O890&amp;"|"&amp;$R890&amp;"|"&amp;$AE890,'ASIGNACIONES'!$J$4:$J$339,0)),0)-$AG890)</f>
        <v/>
      </c>
      <c r="AI890" s="10">
        <f>IF($A890="","",IFERROR(INDEX('2_IMPORTAR_EJECUCION'!$F$9:$F$1208,MATCH($AQ890,'2_IMPORTAR_EJECUCION'!$J$9:$J$1208,0)),0))</f>
        <v/>
      </c>
      <c r="AJ890" s="10">
        <f>IF($A890="","",MAX(0,IFERROR(INDEX('2_IMPORTAR_EJECUCION'!$H$9:$H$1208,MATCH($AQ890,'2_IMPORTAR_EJECUCION'!$J$9:$J$1208,0)),0)-$AI890))</f>
        <v/>
      </c>
      <c r="AK890" s="10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2">
        <f>IF($J891="","",TODAY()-$J891)</f>
        <v/>
      </c>
      <c r="AB891" s="12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IF($AE891="","",IF((IFERROR(INDEX('ASIGNACIONES'!$F$4:$F$339,MATCH($O891&amp;"|"&amp;$R891&amp;"|"&amp;$AE891,'ASIGNACIONES'!$J$4:$J$339,0)),""))=0,"",IFERROR(INDEX('ASIGNACIONES'!$F$4:$F$339,MATCH($O891&amp;"|"&amp;$R891&amp;"|"&amp;$AE891,'ASIGNACIONES'!$J$4:$J$339,0)),"")))</f>
        <v/>
      </c>
      <c r="AG891" s="13">
        <f>IF($AE891="","",SUMIFS('ORDENES'!$M$4:$M$1203,'ORDENES'!$AE$4:$AE$1203,$AE891,'ORDENES'!$O$4:$O$1203,$O891,'ORDENES'!$R$4:$R$1203,$R891))</f>
        <v/>
      </c>
      <c r="AH891" s="13">
        <f>IF($AG891="","",p_factor_productividad*IFERROR(INDEX('ASIGNACIONES'!$I$4:$I$339,MATCH($O891&amp;"|"&amp;$R891&amp;"|"&amp;$AE891,'ASIGNACIONES'!$J$4:$J$339,0)),0)-$AG891)</f>
        <v/>
      </c>
      <c r="AI891" s="10">
        <f>IF($A891="","",IFERROR(INDEX('2_IMPORTAR_EJECUCION'!$F$9:$F$1208,MATCH($AQ891,'2_IMPORTAR_EJECUCION'!$J$9:$J$1208,0)),0))</f>
        <v/>
      </c>
      <c r="AJ891" s="10">
        <f>IF($A891="","",MAX(0,IFERROR(INDEX('2_IMPORTAR_EJECUCION'!$H$9:$H$1208,MATCH($AQ891,'2_IMPORTAR_EJECUCION'!$J$9:$J$1208,0)),0)-$AI891))</f>
        <v/>
      </c>
      <c r="AK891" s="10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2">
        <f>IF($J892="","",TODAY()-$J892)</f>
        <v/>
      </c>
      <c r="AB892" s="12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IF($AE892="","",IF((IFERROR(INDEX('ASIGNACIONES'!$F$4:$F$339,MATCH($O892&amp;"|"&amp;$R892&amp;"|"&amp;$AE892,'ASIGNACIONES'!$J$4:$J$339,0)),""))=0,"",IFERROR(INDEX('ASIGNACIONES'!$F$4:$F$339,MATCH($O892&amp;"|"&amp;$R892&amp;"|"&amp;$AE892,'ASIGNACIONES'!$J$4:$J$339,0)),"")))</f>
        <v/>
      </c>
      <c r="AG892" s="13">
        <f>IF($AE892="","",SUMIFS('ORDENES'!$M$4:$M$1203,'ORDENES'!$AE$4:$AE$1203,$AE892,'ORDENES'!$O$4:$O$1203,$O892,'ORDENES'!$R$4:$R$1203,$R892))</f>
        <v/>
      </c>
      <c r="AH892" s="13">
        <f>IF($AG892="","",p_factor_productividad*IFERROR(INDEX('ASIGNACIONES'!$I$4:$I$339,MATCH($O892&amp;"|"&amp;$R892&amp;"|"&amp;$AE892,'ASIGNACIONES'!$J$4:$J$339,0)),0)-$AG892)</f>
        <v/>
      </c>
      <c r="AI892" s="10">
        <f>IF($A892="","",IFERROR(INDEX('2_IMPORTAR_EJECUCION'!$F$9:$F$1208,MATCH($AQ892,'2_IMPORTAR_EJECUCION'!$J$9:$J$1208,0)),0))</f>
        <v/>
      </c>
      <c r="AJ892" s="10">
        <f>IF($A892="","",MAX(0,IFERROR(INDEX('2_IMPORTAR_EJECUCION'!$H$9:$H$1208,MATCH($AQ892,'2_IMPORTAR_EJECUCION'!$J$9:$J$1208,0)),0)-$AI892))</f>
        <v/>
      </c>
      <c r="AK892" s="10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2">
        <f>IF($J893="","",TODAY()-$J893)</f>
        <v/>
      </c>
      <c r="AB893" s="12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IF($AE893="","",IF((IFERROR(INDEX('ASIGNACIONES'!$F$4:$F$339,MATCH($O893&amp;"|"&amp;$R893&amp;"|"&amp;$AE893,'ASIGNACIONES'!$J$4:$J$339,0)),""))=0,"",IFERROR(INDEX('ASIGNACIONES'!$F$4:$F$339,MATCH($O893&amp;"|"&amp;$R893&amp;"|"&amp;$AE893,'ASIGNACIONES'!$J$4:$J$339,0)),"")))</f>
        <v/>
      </c>
      <c r="AG893" s="13">
        <f>IF($AE893="","",SUMIFS('ORDENES'!$M$4:$M$1203,'ORDENES'!$AE$4:$AE$1203,$AE893,'ORDENES'!$O$4:$O$1203,$O893,'ORDENES'!$R$4:$R$1203,$R893))</f>
        <v/>
      </c>
      <c r="AH893" s="13">
        <f>IF($AG893="","",p_factor_productividad*IFERROR(INDEX('ASIGNACIONES'!$I$4:$I$339,MATCH($O893&amp;"|"&amp;$R893&amp;"|"&amp;$AE893,'ASIGNACIONES'!$J$4:$J$339,0)),0)-$AG893)</f>
        <v/>
      </c>
      <c r="AI893" s="10">
        <f>IF($A893="","",IFERROR(INDEX('2_IMPORTAR_EJECUCION'!$F$9:$F$1208,MATCH($AQ893,'2_IMPORTAR_EJECUCION'!$J$9:$J$1208,0)),0))</f>
        <v/>
      </c>
      <c r="AJ893" s="10">
        <f>IF($A893="","",MAX(0,IFERROR(INDEX('2_IMPORTAR_EJECUCION'!$H$9:$H$1208,MATCH($AQ893,'2_IMPORTAR_EJECUCION'!$J$9:$J$1208,0)),0)-$AI893))</f>
        <v/>
      </c>
      <c r="AK893" s="10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2">
        <f>IF($J894="","",TODAY()-$J894)</f>
        <v/>
      </c>
      <c r="AB894" s="12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IF($AE894="","",IF((IFERROR(INDEX('ASIGNACIONES'!$F$4:$F$339,MATCH($O894&amp;"|"&amp;$R894&amp;"|"&amp;$AE894,'ASIGNACIONES'!$J$4:$J$339,0)),""))=0,"",IFERROR(INDEX('ASIGNACIONES'!$F$4:$F$339,MATCH($O894&amp;"|"&amp;$R894&amp;"|"&amp;$AE894,'ASIGNACIONES'!$J$4:$J$339,0)),"")))</f>
        <v/>
      </c>
      <c r="AG894" s="13">
        <f>IF($AE894="","",SUMIFS('ORDENES'!$M$4:$M$1203,'ORDENES'!$AE$4:$AE$1203,$AE894,'ORDENES'!$O$4:$O$1203,$O894,'ORDENES'!$R$4:$R$1203,$R894))</f>
        <v/>
      </c>
      <c r="AH894" s="13">
        <f>IF($AG894="","",p_factor_productividad*IFERROR(INDEX('ASIGNACIONES'!$I$4:$I$339,MATCH($O894&amp;"|"&amp;$R894&amp;"|"&amp;$AE894,'ASIGNACIONES'!$J$4:$J$339,0)),0)-$AG894)</f>
        <v/>
      </c>
      <c r="AI894" s="10">
        <f>IF($A894="","",IFERROR(INDEX('2_IMPORTAR_EJECUCION'!$F$9:$F$1208,MATCH($AQ894,'2_IMPORTAR_EJECUCION'!$J$9:$J$1208,0)),0))</f>
        <v/>
      </c>
      <c r="AJ894" s="10">
        <f>IF($A894="","",MAX(0,IFERROR(INDEX('2_IMPORTAR_EJECUCION'!$H$9:$H$1208,MATCH($AQ894,'2_IMPORTAR_EJECUCION'!$J$9:$J$1208,0)),0)-$AI894))</f>
        <v/>
      </c>
      <c r="AK894" s="10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2">
        <f>IF($J895="","",TODAY()-$J895)</f>
        <v/>
      </c>
      <c r="AB895" s="12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IF($AE895="","",IF((IFERROR(INDEX('ASIGNACIONES'!$F$4:$F$339,MATCH($O895&amp;"|"&amp;$R895&amp;"|"&amp;$AE895,'ASIGNACIONES'!$J$4:$J$339,0)),""))=0,"",IFERROR(INDEX('ASIGNACIONES'!$F$4:$F$339,MATCH($O895&amp;"|"&amp;$R895&amp;"|"&amp;$AE895,'ASIGNACIONES'!$J$4:$J$339,0)),"")))</f>
        <v/>
      </c>
      <c r="AG895" s="13">
        <f>IF($AE895="","",SUMIFS('ORDENES'!$M$4:$M$1203,'ORDENES'!$AE$4:$AE$1203,$AE895,'ORDENES'!$O$4:$O$1203,$O895,'ORDENES'!$R$4:$R$1203,$R895))</f>
        <v/>
      </c>
      <c r="AH895" s="13">
        <f>IF($AG895="","",p_factor_productividad*IFERROR(INDEX('ASIGNACIONES'!$I$4:$I$339,MATCH($O895&amp;"|"&amp;$R895&amp;"|"&amp;$AE895,'ASIGNACIONES'!$J$4:$J$339,0)),0)-$AG895)</f>
        <v/>
      </c>
      <c r="AI895" s="10">
        <f>IF($A895="","",IFERROR(INDEX('2_IMPORTAR_EJECUCION'!$F$9:$F$1208,MATCH($AQ895,'2_IMPORTAR_EJECUCION'!$J$9:$J$1208,0)),0))</f>
        <v/>
      </c>
      <c r="AJ895" s="10">
        <f>IF($A895="","",MAX(0,IFERROR(INDEX('2_IMPORTAR_EJECUCION'!$H$9:$H$1208,MATCH($AQ895,'2_IMPORTAR_EJECUCION'!$J$9:$J$1208,0)),0)-$AI895))</f>
        <v/>
      </c>
      <c r="AK895" s="10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2">
        <f>IF($J896="","",TODAY()-$J896)</f>
        <v/>
      </c>
      <c r="AB896" s="12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IF($AE896="","",IF((IFERROR(INDEX('ASIGNACIONES'!$F$4:$F$339,MATCH($O896&amp;"|"&amp;$R896&amp;"|"&amp;$AE896,'ASIGNACIONES'!$J$4:$J$339,0)),""))=0,"",IFERROR(INDEX('ASIGNACIONES'!$F$4:$F$339,MATCH($O896&amp;"|"&amp;$R896&amp;"|"&amp;$AE896,'ASIGNACIONES'!$J$4:$J$339,0)),"")))</f>
        <v/>
      </c>
      <c r="AG896" s="13">
        <f>IF($AE896="","",SUMIFS('ORDENES'!$M$4:$M$1203,'ORDENES'!$AE$4:$AE$1203,$AE896,'ORDENES'!$O$4:$O$1203,$O896,'ORDENES'!$R$4:$R$1203,$R896))</f>
        <v/>
      </c>
      <c r="AH896" s="13">
        <f>IF($AG896="","",p_factor_productividad*IFERROR(INDEX('ASIGNACIONES'!$I$4:$I$339,MATCH($O896&amp;"|"&amp;$R896&amp;"|"&amp;$AE896,'ASIGNACIONES'!$J$4:$J$339,0)),0)-$AG896)</f>
        <v/>
      </c>
      <c r="AI896" s="10">
        <f>IF($A896="","",IFERROR(INDEX('2_IMPORTAR_EJECUCION'!$F$9:$F$1208,MATCH($AQ896,'2_IMPORTAR_EJECUCION'!$J$9:$J$1208,0)),0))</f>
        <v/>
      </c>
      <c r="AJ896" s="10">
        <f>IF($A896="","",MAX(0,IFERROR(INDEX('2_IMPORTAR_EJECUCION'!$H$9:$H$1208,MATCH($AQ896,'2_IMPORTAR_EJECUCION'!$J$9:$J$1208,0)),0)-$AI896))</f>
        <v/>
      </c>
      <c r="AK896" s="10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2">
        <f>IF($J897="","",TODAY()-$J897)</f>
        <v/>
      </c>
      <c r="AB897" s="12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IF($AE897="","",IF((IFERROR(INDEX('ASIGNACIONES'!$F$4:$F$339,MATCH($O897&amp;"|"&amp;$R897&amp;"|"&amp;$AE897,'ASIGNACIONES'!$J$4:$J$339,0)),""))=0,"",IFERROR(INDEX('ASIGNACIONES'!$F$4:$F$339,MATCH($O897&amp;"|"&amp;$R897&amp;"|"&amp;$AE897,'ASIGNACIONES'!$J$4:$J$339,0)),"")))</f>
        <v/>
      </c>
      <c r="AG897" s="13">
        <f>IF($AE897="","",SUMIFS('ORDENES'!$M$4:$M$1203,'ORDENES'!$AE$4:$AE$1203,$AE897,'ORDENES'!$O$4:$O$1203,$O897,'ORDENES'!$R$4:$R$1203,$R897))</f>
        <v/>
      </c>
      <c r="AH897" s="13">
        <f>IF($AG897="","",p_factor_productividad*IFERROR(INDEX('ASIGNACIONES'!$I$4:$I$339,MATCH($O897&amp;"|"&amp;$R897&amp;"|"&amp;$AE897,'ASIGNACIONES'!$J$4:$J$339,0)),0)-$AG897)</f>
        <v/>
      </c>
      <c r="AI897" s="10">
        <f>IF($A897="","",IFERROR(INDEX('2_IMPORTAR_EJECUCION'!$F$9:$F$1208,MATCH($AQ897,'2_IMPORTAR_EJECUCION'!$J$9:$J$1208,0)),0))</f>
        <v/>
      </c>
      <c r="AJ897" s="10">
        <f>IF($A897="","",MAX(0,IFERROR(INDEX('2_IMPORTAR_EJECUCION'!$H$9:$H$1208,MATCH($AQ897,'2_IMPORTAR_EJECUCION'!$J$9:$J$1208,0)),0)-$AI897))</f>
        <v/>
      </c>
      <c r="AK897" s="10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2">
        <f>IF($J898="","",TODAY()-$J898)</f>
        <v/>
      </c>
      <c r="AB898" s="12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IF($AE898="","",IF((IFERROR(INDEX('ASIGNACIONES'!$F$4:$F$339,MATCH($O898&amp;"|"&amp;$R898&amp;"|"&amp;$AE898,'ASIGNACIONES'!$J$4:$J$339,0)),""))=0,"",IFERROR(INDEX('ASIGNACIONES'!$F$4:$F$339,MATCH($O898&amp;"|"&amp;$R898&amp;"|"&amp;$AE898,'ASIGNACIONES'!$J$4:$J$339,0)),"")))</f>
        <v/>
      </c>
      <c r="AG898" s="13">
        <f>IF($AE898="","",SUMIFS('ORDENES'!$M$4:$M$1203,'ORDENES'!$AE$4:$AE$1203,$AE898,'ORDENES'!$O$4:$O$1203,$O898,'ORDENES'!$R$4:$R$1203,$R898))</f>
        <v/>
      </c>
      <c r="AH898" s="13">
        <f>IF($AG898="","",p_factor_productividad*IFERROR(INDEX('ASIGNACIONES'!$I$4:$I$339,MATCH($O898&amp;"|"&amp;$R898&amp;"|"&amp;$AE898,'ASIGNACIONES'!$J$4:$J$339,0)),0)-$AG898)</f>
        <v/>
      </c>
      <c r="AI898" s="10">
        <f>IF($A898="","",IFERROR(INDEX('2_IMPORTAR_EJECUCION'!$F$9:$F$1208,MATCH($AQ898,'2_IMPORTAR_EJECUCION'!$J$9:$J$1208,0)),0))</f>
        <v/>
      </c>
      <c r="AJ898" s="10">
        <f>IF($A898="","",MAX(0,IFERROR(INDEX('2_IMPORTAR_EJECUCION'!$H$9:$H$1208,MATCH($AQ898,'2_IMPORTAR_EJECUCION'!$J$9:$J$1208,0)),0)-$AI898))</f>
        <v/>
      </c>
      <c r="AK898" s="10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2">
        <f>IF($J899="","",TODAY()-$J899)</f>
        <v/>
      </c>
      <c r="AB899" s="12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IF($AE899="","",IF((IFERROR(INDEX('ASIGNACIONES'!$F$4:$F$339,MATCH($O899&amp;"|"&amp;$R899&amp;"|"&amp;$AE899,'ASIGNACIONES'!$J$4:$J$339,0)),""))=0,"",IFERROR(INDEX('ASIGNACIONES'!$F$4:$F$339,MATCH($O899&amp;"|"&amp;$R899&amp;"|"&amp;$AE899,'ASIGNACIONES'!$J$4:$J$339,0)),"")))</f>
        <v/>
      </c>
      <c r="AG899" s="13">
        <f>IF($AE899="","",SUMIFS('ORDENES'!$M$4:$M$1203,'ORDENES'!$AE$4:$AE$1203,$AE899,'ORDENES'!$O$4:$O$1203,$O899,'ORDENES'!$R$4:$R$1203,$R899))</f>
        <v/>
      </c>
      <c r="AH899" s="13">
        <f>IF($AG899="","",p_factor_productividad*IFERROR(INDEX('ASIGNACIONES'!$I$4:$I$339,MATCH($O899&amp;"|"&amp;$R899&amp;"|"&amp;$AE899,'ASIGNACIONES'!$J$4:$J$339,0)),0)-$AG899)</f>
        <v/>
      </c>
      <c r="AI899" s="10">
        <f>IF($A899="","",IFERROR(INDEX('2_IMPORTAR_EJECUCION'!$F$9:$F$1208,MATCH($AQ899,'2_IMPORTAR_EJECUCION'!$J$9:$J$1208,0)),0))</f>
        <v/>
      </c>
      <c r="AJ899" s="10">
        <f>IF($A899="","",MAX(0,IFERROR(INDEX('2_IMPORTAR_EJECUCION'!$H$9:$H$1208,MATCH($AQ899,'2_IMPORTAR_EJECUCION'!$J$9:$J$1208,0)),0)-$AI899))</f>
        <v/>
      </c>
      <c r="AK899" s="10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2">
        <f>IF($J900="","",TODAY()-$J900)</f>
        <v/>
      </c>
      <c r="AB900" s="12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IF($AE900="","",IF((IFERROR(INDEX('ASIGNACIONES'!$F$4:$F$339,MATCH($O900&amp;"|"&amp;$R900&amp;"|"&amp;$AE900,'ASIGNACIONES'!$J$4:$J$339,0)),""))=0,"",IFERROR(INDEX('ASIGNACIONES'!$F$4:$F$339,MATCH($O900&amp;"|"&amp;$R900&amp;"|"&amp;$AE900,'ASIGNACIONES'!$J$4:$J$339,0)),"")))</f>
        <v/>
      </c>
      <c r="AG900" s="13">
        <f>IF($AE900="","",SUMIFS('ORDENES'!$M$4:$M$1203,'ORDENES'!$AE$4:$AE$1203,$AE900,'ORDENES'!$O$4:$O$1203,$O900,'ORDENES'!$R$4:$R$1203,$R900))</f>
        <v/>
      </c>
      <c r="AH900" s="13">
        <f>IF($AG900="","",p_factor_productividad*IFERROR(INDEX('ASIGNACIONES'!$I$4:$I$339,MATCH($O900&amp;"|"&amp;$R900&amp;"|"&amp;$AE900,'ASIGNACIONES'!$J$4:$J$339,0)),0)-$AG900)</f>
        <v/>
      </c>
      <c r="AI900" s="10">
        <f>IF($A900="","",IFERROR(INDEX('2_IMPORTAR_EJECUCION'!$F$9:$F$1208,MATCH($AQ900,'2_IMPORTAR_EJECUCION'!$J$9:$J$1208,0)),0))</f>
        <v/>
      </c>
      <c r="AJ900" s="10">
        <f>IF($A900="","",MAX(0,IFERROR(INDEX('2_IMPORTAR_EJECUCION'!$H$9:$H$1208,MATCH($AQ900,'2_IMPORTAR_EJECUCION'!$J$9:$J$1208,0)),0)-$AI900))</f>
        <v/>
      </c>
      <c r="AK900" s="10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2">
        <f>IF($J901="","",TODAY()-$J901)</f>
        <v/>
      </c>
      <c r="AB901" s="12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IF($AE901="","",IF((IFERROR(INDEX('ASIGNACIONES'!$F$4:$F$339,MATCH($O901&amp;"|"&amp;$R901&amp;"|"&amp;$AE901,'ASIGNACIONES'!$J$4:$J$339,0)),""))=0,"",IFERROR(INDEX('ASIGNACIONES'!$F$4:$F$339,MATCH($O901&amp;"|"&amp;$R901&amp;"|"&amp;$AE901,'ASIGNACIONES'!$J$4:$J$339,0)),"")))</f>
        <v/>
      </c>
      <c r="AG901" s="13">
        <f>IF($AE901="","",SUMIFS('ORDENES'!$M$4:$M$1203,'ORDENES'!$AE$4:$AE$1203,$AE901,'ORDENES'!$O$4:$O$1203,$O901,'ORDENES'!$R$4:$R$1203,$R901))</f>
        <v/>
      </c>
      <c r="AH901" s="13">
        <f>IF($AG901="","",p_factor_productividad*IFERROR(INDEX('ASIGNACIONES'!$I$4:$I$339,MATCH($O901&amp;"|"&amp;$R901&amp;"|"&amp;$AE901,'ASIGNACIONES'!$J$4:$J$339,0)),0)-$AG901)</f>
        <v/>
      </c>
      <c r="AI901" s="10">
        <f>IF($A901="","",IFERROR(INDEX('2_IMPORTAR_EJECUCION'!$F$9:$F$1208,MATCH($AQ901,'2_IMPORTAR_EJECUCION'!$J$9:$J$1208,0)),0))</f>
        <v/>
      </c>
      <c r="AJ901" s="10">
        <f>IF($A901="","",MAX(0,IFERROR(INDEX('2_IMPORTAR_EJECUCION'!$H$9:$H$1208,MATCH($AQ901,'2_IMPORTAR_EJECUCION'!$J$9:$J$1208,0)),0)-$AI901))</f>
        <v/>
      </c>
      <c r="AK901" s="10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2">
        <f>IF($J902="","",TODAY()-$J902)</f>
        <v/>
      </c>
      <c r="AB902" s="12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IF($AE902="","",IF((IFERROR(INDEX('ASIGNACIONES'!$F$4:$F$339,MATCH($O902&amp;"|"&amp;$R902&amp;"|"&amp;$AE902,'ASIGNACIONES'!$J$4:$J$339,0)),""))=0,"",IFERROR(INDEX('ASIGNACIONES'!$F$4:$F$339,MATCH($O902&amp;"|"&amp;$R902&amp;"|"&amp;$AE902,'ASIGNACIONES'!$J$4:$J$339,0)),"")))</f>
        <v/>
      </c>
      <c r="AG902" s="13">
        <f>IF($AE902="","",SUMIFS('ORDENES'!$M$4:$M$1203,'ORDENES'!$AE$4:$AE$1203,$AE902,'ORDENES'!$O$4:$O$1203,$O902,'ORDENES'!$R$4:$R$1203,$R902))</f>
        <v/>
      </c>
      <c r="AH902" s="13">
        <f>IF($AG902="","",p_factor_productividad*IFERROR(INDEX('ASIGNACIONES'!$I$4:$I$339,MATCH($O902&amp;"|"&amp;$R902&amp;"|"&amp;$AE902,'ASIGNACIONES'!$J$4:$J$339,0)),0)-$AG902)</f>
        <v/>
      </c>
      <c r="AI902" s="10">
        <f>IF($A902="","",IFERROR(INDEX('2_IMPORTAR_EJECUCION'!$F$9:$F$1208,MATCH($AQ902,'2_IMPORTAR_EJECUCION'!$J$9:$J$1208,0)),0))</f>
        <v/>
      </c>
      <c r="AJ902" s="10">
        <f>IF($A902="","",MAX(0,IFERROR(INDEX('2_IMPORTAR_EJECUCION'!$H$9:$H$1208,MATCH($AQ902,'2_IMPORTAR_EJECUCION'!$J$9:$J$1208,0)),0)-$AI902))</f>
        <v/>
      </c>
      <c r="AK902" s="10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2">
        <f>IF($J903="","",TODAY()-$J903)</f>
        <v/>
      </c>
      <c r="AB903" s="12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IF($AE903="","",IF((IFERROR(INDEX('ASIGNACIONES'!$F$4:$F$339,MATCH($O903&amp;"|"&amp;$R903&amp;"|"&amp;$AE903,'ASIGNACIONES'!$J$4:$J$339,0)),""))=0,"",IFERROR(INDEX('ASIGNACIONES'!$F$4:$F$339,MATCH($O903&amp;"|"&amp;$R903&amp;"|"&amp;$AE903,'ASIGNACIONES'!$J$4:$J$339,0)),"")))</f>
        <v/>
      </c>
      <c r="AG903" s="13">
        <f>IF($AE903="","",SUMIFS('ORDENES'!$M$4:$M$1203,'ORDENES'!$AE$4:$AE$1203,$AE903,'ORDENES'!$O$4:$O$1203,$O903,'ORDENES'!$R$4:$R$1203,$R903))</f>
        <v/>
      </c>
      <c r="AH903" s="13">
        <f>IF($AG903="","",p_factor_productividad*IFERROR(INDEX('ASIGNACIONES'!$I$4:$I$339,MATCH($O903&amp;"|"&amp;$R903&amp;"|"&amp;$AE903,'ASIGNACIONES'!$J$4:$J$339,0)),0)-$AG903)</f>
        <v/>
      </c>
      <c r="AI903" s="10">
        <f>IF($A903="","",IFERROR(INDEX('2_IMPORTAR_EJECUCION'!$F$9:$F$1208,MATCH($AQ903,'2_IMPORTAR_EJECUCION'!$J$9:$J$1208,0)),0))</f>
        <v/>
      </c>
      <c r="AJ903" s="10">
        <f>IF($A903="","",MAX(0,IFERROR(INDEX('2_IMPORTAR_EJECUCION'!$H$9:$H$1208,MATCH($AQ903,'2_IMPORTAR_EJECUCION'!$J$9:$J$1208,0)),0)-$AI903))</f>
        <v/>
      </c>
      <c r="AK903" s="10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2">
        <f>IF($J904="","",TODAY()-$J904)</f>
        <v/>
      </c>
      <c r="AB904" s="12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IF($AE904="","",IF((IFERROR(INDEX('ASIGNACIONES'!$F$4:$F$339,MATCH($O904&amp;"|"&amp;$R904&amp;"|"&amp;$AE904,'ASIGNACIONES'!$J$4:$J$339,0)),""))=0,"",IFERROR(INDEX('ASIGNACIONES'!$F$4:$F$339,MATCH($O904&amp;"|"&amp;$R904&amp;"|"&amp;$AE904,'ASIGNACIONES'!$J$4:$J$339,0)),"")))</f>
        <v/>
      </c>
      <c r="AG904" s="13">
        <f>IF($AE904="","",SUMIFS('ORDENES'!$M$4:$M$1203,'ORDENES'!$AE$4:$AE$1203,$AE904,'ORDENES'!$O$4:$O$1203,$O904,'ORDENES'!$R$4:$R$1203,$R904))</f>
        <v/>
      </c>
      <c r="AH904" s="13">
        <f>IF($AG904="","",p_factor_productividad*IFERROR(INDEX('ASIGNACIONES'!$I$4:$I$339,MATCH($O904&amp;"|"&amp;$R904&amp;"|"&amp;$AE904,'ASIGNACIONES'!$J$4:$J$339,0)),0)-$AG904)</f>
        <v/>
      </c>
      <c r="AI904" s="10">
        <f>IF($A904="","",IFERROR(INDEX('2_IMPORTAR_EJECUCION'!$F$9:$F$1208,MATCH($AQ904,'2_IMPORTAR_EJECUCION'!$J$9:$J$1208,0)),0))</f>
        <v/>
      </c>
      <c r="AJ904" s="10">
        <f>IF($A904="","",MAX(0,IFERROR(INDEX('2_IMPORTAR_EJECUCION'!$H$9:$H$1208,MATCH($AQ904,'2_IMPORTAR_EJECUCION'!$J$9:$J$1208,0)),0)-$AI904))</f>
        <v/>
      </c>
      <c r="AK904" s="10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2">
        <f>IF($J905="","",TODAY()-$J905)</f>
        <v/>
      </c>
      <c r="AB905" s="12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IF($AE905="","",IF((IFERROR(INDEX('ASIGNACIONES'!$F$4:$F$339,MATCH($O905&amp;"|"&amp;$R905&amp;"|"&amp;$AE905,'ASIGNACIONES'!$J$4:$J$339,0)),""))=0,"",IFERROR(INDEX('ASIGNACIONES'!$F$4:$F$339,MATCH($O905&amp;"|"&amp;$R905&amp;"|"&amp;$AE905,'ASIGNACIONES'!$J$4:$J$339,0)),"")))</f>
        <v/>
      </c>
      <c r="AG905" s="13">
        <f>IF($AE905="","",SUMIFS('ORDENES'!$M$4:$M$1203,'ORDENES'!$AE$4:$AE$1203,$AE905,'ORDENES'!$O$4:$O$1203,$O905,'ORDENES'!$R$4:$R$1203,$R905))</f>
        <v/>
      </c>
      <c r="AH905" s="13">
        <f>IF($AG905="","",p_factor_productividad*IFERROR(INDEX('ASIGNACIONES'!$I$4:$I$339,MATCH($O905&amp;"|"&amp;$R905&amp;"|"&amp;$AE905,'ASIGNACIONES'!$J$4:$J$339,0)),0)-$AG905)</f>
        <v/>
      </c>
      <c r="AI905" s="10">
        <f>IF($A905="","",IFERROR(INDEX('2_IMPORTAR_EJECUCION'!$F$9:$F$1208,MATCH($AQ905,'2_IMPORTAR_EJECUCION'!$J$9:$J$1208,0)),0))</f>
        <v/>
      </c>
      <c r="AJ905" s="10">
        <f>IF($A905="","",MAX(0,IFERROR(INDEX('2_IMPORTAR_EJECUCION'!$H$9:$H$1208,MATCH($AQ905,'2_IMPORTAR_EJECUCION'!$J$9:$J$1208,0)),0)-$AI905))</f>
        <v/>
      </c>
      <c r="AK905" s="10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2">
        <f>IF($J906="","",TODAY()-$J906)</f>
        <v/>
      </c>
      <c r="AB906" s="12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IF($AE906="","",IF((IFERROR(INDEX('ASIGNACIONES'!$F$4:$F$339,MATCH($O906&amp;"|"&amp;$R906&amp;"|"&amp;$AE906,'ASIGNACIONES'!$J$4:$J$339,0)),""))=0,"",IFERROR(INDEX('ASIGNACIONES'!$F$4:$F$339,MATCH($O906&amp;"|"&amp;$R906&amp;"|"&amp;$AE906,'ASIGNACIONES'!$J$4:$J$339,0)),"")))</f>
        <v/>
      </c>
      <c r="AG906" s="13">
        <f>IF($AE906="","",SUMIFS('ORDENES'!$M$4:$M$1203,'ORDENES'!$AE$4:$AE$1203,$AE906,'ORDENES'!$O$4:$O$1203,$O906,'ORDENES'!$R$4:$R$1203,$R906))</f>
        <v/>
      </c>
      <c r="AH906" s="13">
        <f>IF($AG906="","",p_factor_productividad*IFERROR(INDEX('ASIGNACIONES'!$I$4:$I$339,MATCH($O906&amp;"|"&amp;$R906&amp;"|"&amp;$AE906,'ASIGNACIONES'!$J$4:$J$339,0)),0)-$AG906)</f>
        <v/>
      </c>
      <c r="AI906" s="10">
        <f>IF($A906="","",IFERROR(INDEX('2_IMPORTAR_EJECUCION'!$F$9:$F$1208,MATCH($AQ906,'2_IMPORTAR_EJECUCION'!$J$9:$J$1208,0)),0))</f>
        <v/>
      </c>
      <c r="AJ906" s="10">
        <f>IF($A906="","",MAX(0,IFERROR(INDEX('2_IMPORTAR_EJECUCION'!$H$9:$H$1208,MATCH($AQ906,'2_IMPORTAR_EJECUCION'!$J$9:$J$1208,0)),0)-$AI906))</f>
        <v/>
      </c>
      <c r="AK906" s="10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2">
        <f>IF($J907="","",TODAY()-$J907)</f>
        <v/>
      </c>
      <c r="AB907" s="12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IF($AE907="","",IF((IFERROR(INDEX('ASIGNACIONES'!$F$4:$F$339,MATCH($O907&amp;"|"&amp;$R907&amp;"|"&amp;$AE907,'ASIGNACIONES'!$J$4:$J$339,0)),""))=0,"",IFERROR(INDEX('ASIGNACIONES'!$F$4:$F$339,MATCH($O907&amp;"|"&amp;$R907&amp;"|"&amp;$AE907,'ASIGNACIONES'!$J$4:$J$339,0)),"")))</f>
        <v/>
      </c>
      <c r="AG907" s="13">
        <f>IF($AE907="","",SUMIFS('ORDENES'!$M$4:$M$1203,'ORDENES'!$AE$4:$AE$1203,$AE907,'ORDENES'!$O$4:$O$1203,$O907,'ORDENES'!$R$4:$R$1203,$R907))</f>
        <v/>
      </c>
      <c r="AH907" s="13">
        <f>IF($AG907="","",p_factor_productividad*IFERROR(INDEX('ASIGNACIONES'!$I$4:$I$339,MATCH($O907&amp;"|"&amp;$R907&amp;"|"&amp;$AE907,'ASIGNACIONES'!$J$4:$J$339,0)),0)-$AG907)</f>
        <v/>
      </c>
      <c r="AI907" s="10">
        <f>IF($A907="","",IFERROR(INDEX('2_IMPORTAR_EJECUCION'!$F$9:$F$1208,MATCH($AQ907,'2_IMPORTAR_EJECUCION'!$J$9:$J$1208,0)),0))</f>
        <v/>
      </c>
      <c r="AJ907" s="10">
        <f>IF($A907="","",MAX(0,IFERROR(INDEX('2_IMPORTAR_EJECUCION'!$H$9:$H$1208,MATCH($AQ907,'2_IMPORTAR_EJECUCION'!$J$9:$J$1208,0)),0)-$AI907))</f>
        <v/>
      </c>
      <c r="AK907" s="10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2">
        <f>IF($J908="","",TODAY()-$J908)</f>
        <v/>
      </c>
      <c r="AB908" s="12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IF($AE908="","",IF((IFERROR(INDEX('ASIGNACIONES'!$F$4:$F$339,MATCH($O908&amp;"|"&amp;$R908&amp;"|"&amp;$AE908,'ASIGNACIONES'!$J$4:$J$339,0)),""))=0,"",IFERROR(INDEX('ASIGNACIONES'!$F$4:$F$339,MATCH($O908&amp;"|"&amp;$R908&amp;"|"&amp;$AE908,'ASIGNACIONES'!$J$4:$J$339,0)),"")))</f>
        <v/>
      </c>
      <c r="AG908" s="13">
        <f>IF($AE908="","",SUMIFS('ORDENES'!$M$4:$M$1203,'ORDENES'!$AE$4:$AE$1203,$AE908,'ORDENES'!$O$4:$O$1203,$O908,'ORDENES'!$R$4:$R$1203,$R908))</f>
        <v/>
      </c>
      <c r="AH908" s="13">
        <f>IF($AG908="","",p_factor_productividad*IFERROR(INDEX('ASIGNACIONES'!$I$4:$I$339,MATCH($O908&amp;"|"&amp;$R908&amp;"|"&amp;$AE908,'ASIGNACIONES'!$J$4:$J$339,0)),0)-$AG908)</f>
        <v/>
      </c>
      <c r="AI908" s="10">
        <f>IF($A908="","",IFERROR(INDEX('2_IMPORTAR_EJECUCION'!$F$9:$F$1208,MATCH($AQ908,'2_IMPORTAR_EJECUCION'!$J$9:$J$1208,0)),0))</f>
        <v/>
      </c>
      <c r="AJ908" s="10">
        <f>IF($A908="","",MAX(0,IFERROR(INDEX('2_IMPORTAR_EJECUCION'!$H$9:$H$1208,MATCH($AQ908,'2_IMPORTAR_EJECUCION'!$J$9:$J$1208,0)),0)-$AI908))</f>
        <v/>
      </c>
      <c r="AK908" s="10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2">
        <f>IF($J909="","",TODAY()-$J909)</f>
        <v/>
      </c>
      <c r="AB909" s="12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IF($AE909="","",IF((IFERROR(INDEX('ASIGNACIONES'!$F$4:$F$339,MATCH($O909&amp;"|"&amp;$R909&amp;"|"&amp;$AE909,'ASIGNACIONES'!$J$4:$J$339,0)),""))=0,"",IFERROR(INDEX('ASIGNACIONES'!$F$4:$F$339,MATCH($O909&amp;"|"&amp;$R909&amp;"|"&amp;$AE909,'ASIGNACIONES'!$J$4:$J$339,0)),"")))</f>
        <v/>
      </c>
      <c r="AG909" s="13">
        <f>IF($AE909="","",SUMIFS('ORDENES'!$M$4:$M$1203,'ORDENES'!$AE$4:$AE$1203,$AE909,'ORDENES'!$O$4:$O$1203,$O909,'ORDENES'!$R$4:$R$1203,$R909))</f>
        <v/>
      </c>
      <c r="AH909" s="13">
        <f>IF($AG909="","",p_factor_productividad*IFERROR(INDEX('ASIGNACIONES'!$I$4:$I$339,MATCH($O909&amp;"|"&amp;$R909&amp;"|"&amp;$AE909,'ASIGNACIONES'!$J$4:$J$339,0)),0)-$AG909)</f>
        <v/>
      </c>
      <c r="AI909" s="10">
        <f>IF($A909="","",IFERROR(INDEX('2_IMPORTAR_EJECUCION'!$F$9:$F$1208,MATCH($AQ909,'2_IMPORTAR_EJECUCION'!$J$9:$J$1208,0)),0))</f>
        <v/>
      </c>
      <c r="AJ909" s="10">
        <f>IF($A909="","",MAX(0,IFERROR(INDEX('2_IMPORTAR_EJECUCION'!$H$9:$H$1208,MATCH($AQ909,'2_IMPORTAR_EJECUCION'!$J$9:$J$1208,0)),0)-$AI909))</f>
        <v/>
      </c>
      <c r="AK909" s="10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2">
        <f>IF($J910="","",TODAY()-$J910)</f>
        <v/>
      </c>
      <c r="AB910" s="12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IF($AE910="","",IF((IFERROR(INDEX('ASIGNACIONES'!$F$4:$F$339,MATCH($O910&amp;"|"&amp;$R910&amp;"|"&amp;$AE910,'ASIGNACIONES'!$J$4:$J$339,0)),""))=0,"",IFERROR(INDEX('ASIGNACIONES'!$F$4:$F$339,MATCH($O910&amp;"|"&amp;$R910&amp;"|"&amp;$AE910,'ASIGNACIONES'!$J$4:$J$339,0)),"")))</f>
        <v/>
      </c>
      <c r="AG910" s="13">
        <f>IF($AE910="","",SUMIFS('ORDENES'!$M$4:$M$1203,'ORDENES'!$AE$4:$AE$1203,$AE910,'ORDENES'!$O$4:$O$1203,$O910,'ORDENES'!$R$4:$R$1203,$R910))</f>
        <v/>
      </c>
      <c r="AH910" s="13">
        <f>IF($AG910="","",p_factor_productividad*IFERROR(INDEX('ASIGNACIONES'!$I$4:$I$339,MATCH($O910&amp;"|"&amp;$R910&amp;"|"&amp;$AE910,'ASIGNACIONES'!$J$4:$J$339,0)),0)-$AG910)</f>
        <v/>
      </c>
      <c r="AI910" s="10">
        <f>IF($A910="","",IFERROR(INDEX('2_IMPORTAR_EJECUCION'!$F$9:$F$1208,MATCH($AQ910,'2_IMPORTAR_EJECUCION'!$J$9:$J$1208,0)),0))</f>
        <v/>
      </c>
      <c r="AJ910" s="10">
        <f>IF($A910="","",MAX(0,IFERROR(INDEX('2_IMPORTAR_EJECUCION'!$H$9:$H$1208,MATCH($AQ910,'2_IMPORTAR_EJECUCION'!$J$9:$J$1208,0)),0)-$AI910))</f>
        <v/>
      </c>
      <c r="AK910" s="10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2">
        <f>IF($J911="","",TODAY()-$J911)</f>
        <v/>
      </c>
      <c r="AB911" s="12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IF($AE911="","",IF((IFERROR(INDEX('ASIGNACIONES'!$F$4:$F$339,MATCH($O911&amp;"|"&amp;$R911&amp;"|"&amp;$AE911,'ASIGNACIONES'!$J$4:$J$339,0)),""))=0,"",IFERROR(INDEX('ASIGNACIONES'!$F$4:$F$339,MATCH($O911&amp;"|"&amp;$R911&amp;"|"&amp;$AE911,'ASIGNACIONES'!$J$4:$J$339,0)),"")))</f>
        <v/>
      </c>
      <c r="AG911" s="13">
        <f>IF($AE911="","",SUMIFS('ORDENES'!$M$4:$M$1203,'ORDENES'!$AE$4:$AE$1203,$AE911,'ORDENES'!$O$4:$O$1203,$O911,'ORDENES'!$R$4:$R$1203,$R911))</f>
        <v/>
      </c>
      <c r="AH911" s="13">
        <f>IF($AG911="","",p_factor_productividad*IFERROR(INDEX('ASIGNACIONES'!$I$4:$I$339,MATCH($O911&amp;"|"&amp;$R911&amp;"|"&amp;$AE911,'ASIGNACIONES'!$J$4:$J$339,0)),0)-$AG911)</f>
        <v/>
      </c>
      <c r="AI911" s="10">
        <f>IF($A911="","",IFERROR(INDEX('2_IMPORTAR_EJECUCION'!$F$9:$F$1208,MATCH($AQ911,'2_IMPORTAR_EJECUCION'!$J$9:$J$1208,0)),0))</f>
        <v/>
      </c>
      <c r="AJ911" s="10">
        <f>IF($A911="","",MAX(0,IFERROR(INDEX('2_IMPORTAR_EJECUCION'!$H$9:$H$1208,MATCH($AQ911,'2_IMPORTAR_EJECUCION'!$J$9:$J$1208,0)),0)-$AI911))</f>
        <v/>
      </c>
      <c r="AK911" s="10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2">
        <f>IF($J912="","",TODAY()-$J912)</f>
        <v/>
      </c>
      <c r="AB912" s="12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IF($AE912="","",IF((IFERROR(INDEX('ASIGNACIONES'!$F$4:$F$339,MATCH($O912&amp;"|"&amp;$R912&amp;"|"&amp;$AE912,'ASIGNACIONES'!$J$4:$J$339,0)),""))=0,"",IFERROR(INDEX('ASIGNACIONES'!$F$4:$F$339,MATCH($O912&amp;"|"&amp;$R912&amp;"|"&amp;$AE912,'ASIGNACIONES'!$J$4:$J$339,0)),"")))</f>
        <v/>
      </c>
      <c r="AG912" s="13">
        <f>IF($AE912="","",SUMIFS('ORDENES'!$M$4:$M$1203,'ORDENES'!$AE$4:$AE$1203,$AE912,'ORDENES'!$O$4:$O$1203,$O912,'ORDENES'!$R$4:$R$1203,$R912))</f>
        <v/>
      </c>
      <c r="AH912" s="13">
        <f>IF($AG912="","",p_factor_productividad*IFERROR(INDEX('ASIGNACIONES'!$I$4:$I$339,MATCH($O912&amp;"|"&amp;$R912&amp;"|"&amp;$AE912,'ASIGNACIONES'!$J$4:$J$339,0)),0)-$AG912)</f>
        <v/>
      </c>
      <c r="AI912" s="10">
        <f>IF($A912="","",IFERROR(INDEX('2_IMPORTAR_EJECUCION'!$F$9:$F$1208,MATCH($AQ912,'2_IMPORTAR_EJECUCION'!$J$9:$J$1208,0)),0))</f>
        <v/>
      </c>
      <c r="AJ912" s="10">
        <f>IF($A912="","",MAX(0,IFERROR(INDEX('2_IMPORTAR_EJECUCION'!$H$9:$H$1208,MATCH($AQ912,'2_IMPORTAR_EJECUCION'!$J$9:$J$1208,0)),0)-$AI912))</f>
        <v/>
      </c>
      <c r="AK912" s="10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2">
        <f>IF($J913="","",TODAY()-$J913)</f>
        <v/>
      </c>
      <c r="AB913" s="12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IF($AE913="","",IF((IFERROR(INDEX('ASIGNACIONES'!$F$4:$F$339,MATCH($O913&amp;"|"&amp;$R913&amp;"|"&amp;$AE913,'ASIGNACIONES'!$J$4:$J$339,0)),""))=0,"",IFERROR(INDEX('ASIGNACIONES'!$F$4:$F$339,MATCH($O913&amp;"|"&amp;$R913&amp;"|"&amp;$AE913,'ASIGNACIONES'!$J$4:$J$339,0)),"")))</f>
        <v/>
      </c>
      <c r="AG913" s="13">
        <f>IF($AE913="","",SUMIFS('ORDENES'!$M$4:$M$1203,'ORDENES'!$AE$4:$AE$1203,$AE913,'ORDENES'!$O$4:$O$1203,$O913,'ORDENES'!$R$4:$R$1203,$R913))</f>
        <v/>
      </c>
      <c r="AH913" s="13">
        <f>IF($AG913="","",p_factor_productividad*IFERROR(INDEX('ASIGNACIONES'!$I$4:$I$339,MATCH($O913&amp;"|"&amp;$R913&amp;"|"&amp;$AE913,'ASIGNACIONES'!$J$4:$J$339,0)),0)-$AG913)</f>
        <v/>
      </c>
      <c r="AI913" s="10">
        <f>IF($A913="","",IFERROR(INDEX('2_IMPORTAR_EJECUCION'!$F$9:$F$1208,MATCH($AQ913,'2_IMPORTAR_EJECUCION'!$J$9:$J$1208,0)),0))</f>
        <v/>
      </c>
      <c r="AJ913" s="10">
        <f>IF($A913="","",MAX(0,IFERROR(INDEX('2_IMPORTAR_EJECUCION'!$H$9:$H$1208,MATCH($AQ913,'2_IMPORTAR_EJECUCION'!$J$9:$J$1208,0)),0)-$AI913))</f>
        <v/>
      </c>
      <c r="AK913" s="10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2">
        <f>IF($J914="","",TODAY()-$J914)</f>
        <v/>
      </c>
      <c r="AB914" s="12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IF($AE914="","",IF((IFERROR(INDEX('ASIGNACIONES'!$F$4:$F$339,MATCH($O914&amp;"|"&amp;$R914&amp;"|"&amp;$AE914,'ASIGNACIONES'!$J$4:$J$339,0)),""))=0,"",IFERROR(INDEX('ASIGNACIONES'!$F$4:$F$339,MATCH($O914&amp;"|"&amp;$R914&amp;"|"&amp;$AE914,'ASIGNACIONES'!$J$4:$J$339,0)),"")))</f>
        <v/>
      </c>
      <c r="AG914" s="13">
        <f>IF($AE914="","",SUMIFS('ORDENES'!$M$4:$M$1203,'ORDENES'!$AE$4:$AE$1203,$AE914,'ORDENES'!$O$4:$O$1203,$O914,'ORDENES'!$R$4:$R$1203,$R914))</f>
        <v/>
      </c>
      <c r="AH914" s="13">
        <f>IF($AG914="","",p_factor_productividad*IFERROR(INDEX('ASIGNACIONES'!$I$4:$I$339,MATCH($O914&amp;"|"&amp;$R914&amp;"|"&amp;$AE914,'ASIGNACIONES'!$J$4:$J$339,0)),0)-$AG914)</f>
        <v/>
      </c>
      <c r="AI914" s="10">
        <f>IF($A914="","",IFERROR(INDEX('2_IMPORTAR_EJECUCION'!$F$9:$F$1208,MATCH($AQ914,'2_IMPORTAR_EJECUCION'!$J$9:$J$1208,0)),0))</f>
        <v/>
      </c>
      <c r="AJ914" s="10">
        <f>IF($A914="","",MAX(0,IFERROR(INDEX('2_IMPORTAR_EJECUCION'!$H$9:$H$1208,MATCH($AQ914,'2_IMPORTAR_EJECUCION'!$J$9:$J$1208,0)),0)-$AI914))</f>
        <v/>
      </c>
      <c r="AK914" s="10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2">
        <f>IF($J915="","",TODAY()-$J915)</f>
        <v/>
      </c>
      <c r="AB915" s="12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IF($AE915="","",IF((IFERROR(INDEX('ASIGNACIONES'!$F$4:$F$339,MATCH($O915&amp;"|"&amp;$R915&amp;"|"&amp;$AE915,'ASIGNACIONES'!$J$4:$J$339,0)),""))=0,"",IFERROR(INDEX('ASIGNACIONES'!$F$4:$F$339,MATCH($O915&amp;"|"&amp;$R915&amp;"|"&amp;$AE915,'ASIGNACIONES'!$J$4:$J$339,0)),"")))</f>
        <v/>
      </c>
      <c r="AG915" s="13">
        <f>IF($AE915="","",SUMIFS('ORDENES'!$M$4:$M$1203,'ORDENES'!$AE$4:$AE$1203,$AE915,'ORDENES'!$O$4:$O$1203,$O915,'ORDENES'!$R$4:$R$1203,$R915))</f>
        <v/>
      </c>
      <c r="AH915" s="13">
        <f>IF($AG915="","",p_factor_productividad*IFERROR(INDEX('ASIGNACIONES'!$I$4:$I$339,MATCH($O915&amp;"|"&amp;$R915&amp;"|"&amp;$AE915,'ASIGNACIONES'!$J$4:$J$339,0)),0)-$AG915)</f>
        <v/>
      </c>
      <c r="AI915" s="10">
        <f>IF($A915="","",IFERROR(INDEX('2_IMPORTAR_EJECUCION'!$F$9:$F$1208,MATCH($AQ915,'2_IMPORTAR_EJECUCION'!$J$9:$J$1208,0)),0))</f>
        <v/>
      </c>
      <c r="AJ915" s="10">
        <f>IF($A915="","",MAX(0,IFERROR(INDEX('2_IMPORTAR_EJECUCION'!$H$9:$H$1208,MATCH($AQ915,'2_IMPORTAR_EJECUCION'!$J$9:$J$1208,0)),0)-$AI915))</f>
        <v/>
      </c>
      <c r="AK915" s="10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2">
        <f>IF($J916="","",TODAY()-$J916)</f>
        <v/>
      </c>
      <c r="AB916" s="12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IF($AE916="","",IF((IFERROR(INDEX('ASIGNACIONES'!$F$4:$F$339,MATCH($O916&amp;"|"&amp;$R916&amp;"|"&amp;$AE916,'ASIGNACIONES'!$J$4:$J$339,0)),""))=0,"",IFERROR(INDEX('ASIGNACIONES'!$F$4:$F$339,MATCH($O916&amp;"|"&amp;$R916&amp;"|"&amp;$AE916,'ASIGNACIONES'!$J$4:$J$339,0)),"")))</f>
        <v/>
      </c>
      <c r="AG916" s="13">
        <f>IF($AE916="","",SUMIFS('ORDENES'!$M$4:$M$1203,'ORDENES'!$AE$4:$AE$1203,$AE916,'ORDENES'!$O$4:$O$1203,$O916,'ORDENES'!$R$4:$R$1203,$R916))</f>
        <v/>
      </c>
      <c r="AH916" s="13">
        <f>IF($AG916="","",p_factor_productividad*IFERROR(INDEX('ASIGNACIONES'!$I$4:$I$339,MATCH($O916&amp;"|"&amp;$R916&amp;"|"&amp;$AE916,'ASIGNACIONES'!$J$4:$J$339,0)),0)-$AG916)</f>
        <v/>
      </c>
      <c r="AI916" s="10">
        <f>IF($A916="","",IFERROR(INDEX('2_IMPORTAR_EJECUCION'!$F$9:$F$1208,MATCH($AQ916,'2_IMPORTAR_EJECUCION'!$J$9:$J$1208,0)),0))</f>
        <v/>
      </c>
      <c r="AJ916" s="10">
        <f>IF($A916="","",MAX(0,IFERROR(INDEX('2_IMPORTAR_EJECUCION'!$H$9:$H$1208,MATCH($AQ916,'2_IMPORTAR_EJECUCION'!$J$9:$J$1208,0)),0)-$AI916))</f>
        <v/>
      </c>
      <c r="AK916" s="10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2">
        <f>IF($J917="","",TODAY()-$J917)</f>
        <v/>
      </c>
      <c r="AB917" s="12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IF($AE917="","",IF((IFERROR(INDEX('ASIGNACIONES'!$F$4:$F$339,MATCH($O917&amp;"|"&amp;$R917&amp;"|"&amp;$AE917,'ASIGNACIONES'!$J$4:$J$339,0)),""))=0,"",IFERROR(INDEX('ASIGNACIONES'!$F$4:$F$339,MATCH($O917&amp;"|"&amp;$R917&amp;"|"&amp;$AE917,'ASIGNACIONES'!$J$4:$J$339,0)),"")))</f>
        <v/>
      </c>
      <c r="AG917" s="13">
        <f>IF($AE917="","",SUMIFS('ORDENES'!$M$4:$M$1203,'ORDENES'!$AE$4:$AE$1203,$AE917,'ORDENES'!$O$4:$O$1203,$O917,'ORDENES'!$R$4:$R$1203,$R917))</f>
        <v/>
      </c>
      <c r="AH917" s="13">
        <f>IF($AG917="","",p_factor_productividad*IFERROR(INDEX('ASIGNACIONES'!$I$4:$I$339,MATCH($O917&amp;"|"&amp;$R917&amp;"|"&amp;$AE917,'ASIGNACIONES'!$J$4:$J$339,0)),0)-$AG917)</f>
        <v/>
      </c>
      <c r="AI917" s="10">
        <f>IF($A917="","",IFERROR(INDEX('2_IMPORTAR_EJECUCION'!$F$9:$F$1208,MATCH($AQ917,'2_IMPORTAR_EJECUCION'!$J$9:$J$1208,0)),0))</f>
        <v/>
      </c>
      <c r="AJ917" s="10">
        <f>IF($A917="","",MAX(0,IFERROR(INDEX('2_IMPORTAR_EJECUCION'!$H$9:$H$1208,MATCH($AQ917,'2_IMPORTAR_EJECUCION'!$J$9:$J$1208,0)),0)-$AI917))</f>
        <v/>
      </c>
      <c r="AK917" s="10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2">
        <f>IF($J918="","",TODAY()-$J918)</f>
        <v/>
      </c>
      <c r="AB918" s="12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IF($AE918="","",IF((IFERROR(INDEX('ASIGNACIONES'!$F$4:$F$339,MATCH($O918&amp;"|"&amp;$R918&amp;"|"&amp;$AE918,'ASIGNACIONES'!$J$4:$J$339,0)),""))=0,"",IFERROR(INDEX('ASIGNACIONES'!$F$4:$F$339,MATCH($O918&amp;"|"&amp;$R918&amp;"|"&amp;$AE918,'ASIGNACIONES'!$J$4:$J$339,0)),"")))</f>
        <v/>
      </c>
      <c r="AG918" s="13">
        <f>IF($AE918="","",SUMIFS('ORDENES'!$M$4:$M$1203,'ORDENES'!$AE$4:$AE$1203,$AE918,'ORDENES'!$O$4:$O$1203,$O918,'ORDENES'!$R$4:$R$1203,$R918))</f>
        <v/>
      </c>
      <c r="AH918" s="13">
        <f>IF($AG918="","",p_factor_productividad*IFERROR(INDEX('ASIGNACIONES'!$I$4:$I$339,MATCH($O918&amp;"|"&amp;$R918&amp;"|"&amp;$AE918,'ASIGNACIONES'!$J$4:$J$339,0)),0)-$AG918)</f>
        <v/>
      </c>
      <c r="AI918" s="10">
        <f>IF($A918="","",IFERROR(INDEX('2_IMPORTAR_EJECUCION'!$F$9:$F$1208,MATCH($AQ918,'2_IMPORTAR_EJECUCION'!$J$9:$J$1208,0)),0))</f>
        <v/>
      </c>
      <c r="AJ918" s="10">
        <f>IF($A918="","",MAX(0,IFERROR(INDEX('2_IMPORTAR_EJECUCION'!$H$9:$H$1208,MATCH($AQ918,'2_IMPORTAR_EJECUCION'!$J$9:$J$1208,0)),0)-$AI918))</f>
        <v/>
      </c>
      <c r="AK918" s="10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2">
        <f>IF($J919="","",TODAY()-$J919)</f>
        <v/>
      </c>
      <c r="AB919" s="12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IF($AE919="","",IF((IFERROR(INDEX('ASIGNACIONES'!$F$4:$F$339,MATCH($O919&amp;"|"&amp;$R919&amp;"|"&amp;$AE919,'ASIGNACIONES'!$J$4:$J$339,0)),""))=0,"",IFERROR(INDEX('ASIGNACIONES'!$F$4:$F$339,MATCH($O919&amp;"|"&amp;$R919&amp;"|"&amp;$AE919,'ASIGNACIONES'!$J$4:$J$339,0)),"")))</f>
        <v/>
      </c>
      <c r="AG919" s="13">
        <f>IF($AE919="","",SUMIFS('ORDENES'!$M$4:$M$1203,'ORDENES'!$AE$4:$AE$1203,$AE919,'ORDENES'!$O$4:$O$1203,$O919,'ORDENES'!$R$4:$R$1203,$R919))</f>
        <v/>
      </c>
      <c r="AH919" s="13">
        <f>IF($AG919="","",p_factor_productividad*IFERROR(INDEX('ASIGNACIONES'!$I$4:$I$339,MATCH($O919&amp;"|"&amp;$R919&amp;"|"&amp;$AE919,'ASIGNACIONES'!$J$4:$J$339,0)),0)-$AG919)</f>
        <v/>
      </c>
      <c r="AI919" s="10">
        <f>IF($A919="","",IFERROR(INDEX('2_IMPORTAR_EJECUCION'!$F$9:$F$1208,MATCH($AQ919,'2_IMPORTAR_EJECUCION'!$J$9:$J$1208,0)),0))</f>
        <v/>
      </c>
      <c r="AJ919" s="10">
        <f>IF($A919="","",MAX(0,IFERROR(INDEX('2_IMPORTAR_EJECUCION'!$H$9:$H$1208,MATCH($AQ919,'2_IMPORTAR_EJECUCION'!$J$9:$J$1208,0)),0)-$AI919))</f>
        <v/>
      </c>
      <c r="AK919" s="10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2">
        <f>IF($J920="","",TODAY()-$J920)</f>
        <v/>
      </c>
      <c r="AB920" s="12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IF($AE920="","",IF((IFERROR(INDEX('ASIGNACIONES'!$F$4:$F$339,MATCH($O920&amp;"|"&amp;$R920&amp;"|"&amp;$AE920,'ASIGNACIONES'!$J$4:$J$339,0)),""))=0,"",IFERROR(INDEX('ASIGNACIONES'!$F$4:$F$339,MATCH($O920&amp;"|"&amp;$R920&amp;"|"&amp;$AE920,'ASIGNACIONES'!$J$4:$J$339,0)),"")))</f>
        <v/>
      </c>
      <c r="AG920" s="13">
        <f>IF($AE920="","",SUMIFS('ORDENES'!$M$4:$M$1203,'ORDENES'!$AE$4:$AE$1203,$AE920,'ORDENES'!$O$4:$O$1203,$O920,'ORDENES'!$R$4:$R$1203,$R920))</f>
        <v/>
      </c>
      <c r="AH920" s="13">
        <f>IF($AG920="","",p_factor_productividad*IFERROR(INDEX('ASIGNACIONES'!$I$4:$I$339,MATCH($O920&amp;"|"&amp;$R920&amp;"|"&amp;$AE920,'ASIGNACIONES'!$J$4:$J$339,0)),0)-$AG920)</f>
        <v/>
      </c>
      <c r="AI920" s="10">
        <f>IF($A920="","",IFERROR(INDEX('2_IMPORTAR_EJECUCION'!$F$9:$F$1208,MATCH($AQ920,'2_IMPORTAR_EJECUCION'!$J$9:$J$1208,0)),0))</f>
        <v/>
      </c>
      <c r="AJ920" s="10">
        <f>IF($A920="","",MAX(0,IFERROR(INDEX('2_IMPORTAR_EJECUCION'!$H$9:$H$1208,MATCH($AQ920,'2_IMPORTAR_EJECUCION'!$J$9:$J$1208,0)),0)-$AI920))</f>
        <v/>
      </c>
      <c r="AK920" s="10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2">
        <f>IF($J921="","",TODAY()-$J921)</f>
        <v/>
      </c>
      <c r="AB921" s="12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IF($AE921="","",IF((IFERROR(INDEX('ASIGNACIONES'!$F$4:$F$339,MATCH($O921&amp;"|"&amp;$R921&amp;"|"&amp;$AE921,'ASIGNACIONES'!$J$4:$J$339,0)),""))=0,"",IFERROR(INDEX('ASIGNACIONES'!$F$4:$F$339,MATCH($O921&amp;"|"&amp;$R921&amp;"|"&amp;$AE921,'ASIGNACIONES'!$J$4:$J$339,0)),"")))</f>
        <v/>
      </c>
      <c r="AG921" s="13">
        <f>IF($AE921="","",SUMIFS('ORDENES'!$M$4:$M$1203,'ORDENES'!$AE$4:$AE$1203,$AE921,'ORDENES'!$O$4:$O$1203,$O921,'ORDENES'!$R$4:$R$1203,$R921))</f>
        <v/>
      </c>
      <c r="AH921" s="13">
        <f>IF($AG921="","",p_factor_productividad*IFERROR(INDEX('ASIGNACIONES'!$I$4:$I$339,MATCH($O921&amp;"|"&amp;$R921&amp;"|"&amp;$AE921,'ASIGNACIONES'!$J$4:$J$339,0)),0)-$AG921)</f>
        <v/>
      </c>
      <c r="AI921" s="10">
        <f>IF($A921="","",IFERROR(INDEX('2_IMPORTAR_EJECUCION'!$F$9:$F$1208,MATCH($AQ921,'2_IMPORTAR_EJECUCION'!$J$9:$J$1208,0)),0))</f>
        <v/>
      </c>
      <c r="AJ921" s="10">
        <f>IF($A921="","",MAX(0,IFERROR(INDEX('2_IMPORTAR_EJECUCION'!$H$9:$H$1208,MATCH($AQ921,'2_IMPORTAR_EJECUCION'!$J$9:$J$1208,0)),0)-$AI921))</f>
        <v/>
      </c>
      <c r="AK921" s="10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2">
        <f>IF($J922="","",TODAY()-$J922)</f>
        <v/>
      </c>
      <c r="AB922" s="12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IF($AE922="","",IF((IFERROR(INDEX('ASIGNACIONES'!$F$4:$F$339,MATCH($O922&amp;"|"&amp;$R922&amp;"|"&amp;$AE922,'ASIGNACIONES'!$J$4:$J$339,0)),""))=0,"",IFERROR(INDEX('ASIGNACIONES'!$F$4:$F$339,MATCH($O922&amp;"|"&amp;$R922&amp;"|"&amp;$AE922,'ASIGNACIONES'!$J$4:$J$339,0)),"")))</f>
        <v/>
      </c>
      <c r="AG922" s="13">
        <f>IF($AE922="","",SUMIFS('ORDENES'!$M$4:$M$1203,'ORDENES'!$AE$4:$AE$1203,$AE922,'ORDENES'!$O$4:$O$1203,$O922,'ORDENES'!$R$4:$R$1203,$R922))</f>
        <v/>
      </c>
      <c r="AH922" s="13">
        <f>IF($AG922="","",p_factor_productividad*IFERROR(INDEX('ASIGNACIONES'!$I$4:$I$339,MATCH($O922&amp;"|"&amp;$R922&amp;"|"&amp;$AE922,'ASIGNACIONES'!$J$4:$J$339,0)),0)-$AG922)</f>
        <v/>
      </c>
      <c r="AI922" s="10">
        <f>IF($A922="","",IFERROR(INDEX('2_IMPORTAR_EJECUCION'!$F$9:$F$1208,MATCH($AQ922,'2_IMPORTAR_EJECUCION'!$J$9:$J$1208,0)),0))</f>
        <v/>
      </c>
      <c r="AJ922" s="10">
        <f>IF($A922="","",MAX(0,IFERROR(INDEX('2_IMPORTAR_EJECUCION'!$H$9:$H$1208,MATCH($AQ922,'2_IMPORTAR_EJECUCION'!$J$9:$J$1208,0)),0)-$AI922))</f>
        <v/>
      </c>
      <c r="AK922" s="10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2">
        <f>IF($J923="","",TODAY()-$J923)</f>
        <v/>
      </c>
      <c r="AB923" s="12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IF($AE923="","",IF((IFERROR(INDEX('ASIGNACIONES'!$F$4:$F$339,MATCH($O923&amp;"|"&amp;$R923&amp;"|"&amp;$AE923,'ASIGNACIONES'!$J$4:$J$339,0)),""))=0,"",IFERROR(INDEX('ASIGNACIONES'!$F$4:$F$339,MATCH($O923&amp;"|"&amp;$R923&amp;"|"&amp;$AE923,'ASIGNACIONES'!$J$4:$J$339,0)),"")))</f>
        <v/>
      </c>
      <c r="AG923" s="13">
        <f>IF($AE923="","",SUMIFS('ORDENES'!$M$4:$M$1203,'ORDENES'!$AE$4:$AE$1203,$AE923,'ORDENES'!$O$4:$O$1203,$O923,'ORDENES'!$R$4:$R$1203,$R923))</f>
        <v/>
      </c>
      <c r="AH923" s="13">
        <f>IF($AG923="","",p_factor_productividad*IFERROR(INDEX('ASIGNACIONES'!$I$4:$I$339,MATCH($O923&amp;"|"&amp;$R923&amp;"|"&amp;$AE923,'ASIGNACIONES'!$J$4:$J$339,0)),0)-$AG923)</f>
        <v/>
      </c>
      <c r="AI923" s="10">
        <f>IF($A923="","",IFERROR(INDEX('2_IMPORTAR_EJECUCION'!$F$9:$F$1208,MATCH($AQ923,'2_IMPORTAR_EJECUCION'!$J$9:$J$1208,0)),0))</f>
        <v/>
      </c>
      <c r="AJ923" s="10">
        <f>IF($A923="","",MAX(0,IFERROR(INDEX('2_IMPORTAR_EJECUCION'!$H$9:$H$1208,MATCH($AQ923,'2_IMPORTAR_EJECUCION'!$J$9:$J$1208,0)),0)-$AI923))</f>
        <v/>
      </c>
      <c r="AK923" s="10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2">
        <f>IF($J924="","",TODAY()-$J924)</f>
        <v/>
      </c>
      <c r="AB924" s="12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IF($AE924="","",IF((IFERROR(INDEX('ASIGNACIONES'!$F$4:$F$339,MATCH($O924&amp;"|"&amp;$R924&amp;"|"&amp;$AE924,'ASIGNACIONES'!$J$4:$J$339,0)),""))=0,"",IFERROR(INDEX('ASIGNACIONES'!$F$4:$F$339,MATCH($O924&amp;"|"&amp;$R924&amp;"|"&amp;$AE924,'ASIGNACIONES'!$J$4:$J$339,0)),"")))</f>
        <v/>
      </c>
      <c r="AG924" s="13">
        <f>IF($AE924="","",SUMIFS('ORDENES'!$M$4:$M$1203,'ORDENES'!$AE$4:$AE$1203,$AE924,'ORDENES'!$O$4:$O$1203,$O924,'ORDENES'!$R$4:$R$1203,$R924))</f>
        <v/>
      </c>
      <c r="AH924" s="13">
        <f>IF($AG924="","",p_factor_productividad*IFERROR(INDEX('ASIGNACIONES'!$I$4:$I$339,MATCH($O924&amp;"|"&amp;$R924&amp;"|"&amp;$AE924,'ASIGNACIONES'!$J$4:$J$339,0)),0)-$AG924)</f>
        <v/>
      </c>
      <c r="AI924" s="10">
        <f>IF($A924="","",IFERROR(INDEX('2_IMPORTAR_EJECUCION'!$F$9:$F$1208,MATCH($AQ924,'2_IMPORTAR_EJECUCION'!$J$9:$J$1208,0)),0))</f>
        <v/>
      </c>
      <c r="AJ924" s="10">
        <f>IF($A924="","",MAX(0,IFERROR(INDEX('2_IMPORTAR_EJECUCION'!$H$9:$H$1208,MATCH($AQ924,'2_IMPORTAR_EJECUCION'!$J$9:$J$1208,0)),0)-$AI924))</f>
        <v/>
      </c>
      <c r="AK924" s="10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2">
        <f>IF($J925="","",TODAY()-$J925)</f>
        <v/>
      </c>
      <c r="AB925" s="12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IF($AE925="","",IF((IFERROR(INDEX('ASIGNACIONES'!$F$4:$F$339,MATCH($O925&amp;"|"&amp;$R925&amp;"|"&amp;$AE925,'ASIGNACIONES'!$J$4:$J$339,0)),""))=0,"",IFERROR(INDEX('ASIGNACIONES'!$F$4:$F$339,MATCH($O925&amp;"|"&amp;$R925&amp;"|"&amp;$AE925,'ASIGNACIONES'!$J$4:$J$339,0)),"")))</f>
        <v/>
      </c>
      <c r="AG925" s="13">
        <f>IF($AE925="","",SUMIFS('ORDENES'!$M$4:$M$1203,'ORDENES'!$AE$4:$AE$1203,$AE925,'ORDENES'!$O$4:$O$1203,$O925,'ORDENES'!$R$4:$R$1203,$R925))</f>
        <v/>
      </c>
      <c r="AH925" s="13">
        <f>IF($AG925="","",p_factor_productividad*IFERROR(INDEX('ASIGNACIONES'!$I$4:$I$339,MATCH($O925&amp;"|"&amp;$R925&amp;"|"&amp;$AE925,'ASIGNACIONES'!$J$4:$J$339,0)),0)-$AG925)</f>
        <v/>
      </c>
      <c r="AI925" s="10">
        <f>IF($A925="","",IFERROR(INDEX('2_IMPORTAR_EJECUCION'!$F$9:$F$1208,MATCH($AQ925,'2_IMPORTAR_EJECUCION'!$J$9:$J$1208,0)),0))</f>
        <v/>
      </c>
      <c r="AJ925" s="10">
        <f>IF($A925="","",MAX(0,IFERROR(INDEX('2_IMPORTAR_EJECUCION'!$H$9:$H$1208,MATCH($AQ925,'2_IMPORTAR_EJECUCION'!$J$9:$J$1208,0)),0)-$AI925))</f>
        <v/>
      </c>
      <c r="AK925" s="10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2">
        <f>IF($J926="","",TODAY()-$J926)</f>
        <v/>
      </c>
      <c r="AB926" s="12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IF($AE926="","",IF((IFERROR(INDEX('ASIGNACIONES'!$F$4:$F$339,MATCH($O926&amp;"|"&amp;$R926&amp;"|"&amp;$AE926,'ASIGNACIONES'!$J$4:$J$339,0)),""))=0,"",IFERROR(INDEX('ASIGNACIONES'!$F$4:$F$339,MATCH($O926&amp;"|"&amp;$R926&amp;"|"&amp;$AE926,'ASIGNACIONES'!$J$4:$J$339,0)),"")))</f>
        <v/>
      </c>
      <c r="AG926" s="13">
        <f>IF($AE926="","",SUMIFS('ORDENES'!$M$4:$M$1203,'ORDENES'!$AE$4:$AE$1203,$AE926,'ORDENES'!$O$4:$O$1203,$O926,'ORDENES'!$R$4:$R$1203,$R926))</f>
        <v/>
      </c>
      <c r="AH926" s="13">
        <f>IF($AG926="","",p_factor_productividad*IFERROR(INDEX('ASIGNACIONES'!$I$4:$I$339,MATCH($O926&amp;"|"&amp;$R926&amp;"|"&amp;$AE926,'ASIGNACIONES'!$J$4:$J$339,0)),0)-$AG926)</f>
        <v/>
      </c>
      <c r="AI926" s="10">
        <f>IF($A926="","",IFERROR(INDEX('2_IMPORTAR_EJECUCION'!$F$9:$F$1208,MATCH($AQ926,'2_IMPORTAR_EJECUCION'!$J$9:$J$1208,0)),0))</f>
        <v/>
      </c>
      <c r="AJ926" s="10">
        <f>IF($A926="","",MAX(0,IFERROR(INDEX('2_IMPORTAR_EJECUCION'!$H$9:$H$1208,MATCH($AQ926,'2_IMPORTAR_EJECUCION'!$J$9:$J$1208,0)),0)-$AI926))</f>
        <v/>
      </c>
      <c r="AK926" s="10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2">
        <f>IF($J927="","",TODAY()-$J927)</f>
        <v/>
      </c>
      <c r="AB927" s="12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IF($AE927="","",IF((IFERROR(INDEX('ASIGNACIONES'!$F$4:$F$339,MATCH($O927&amp;"|"&amp;$R927&amp;"|"&amp;$AE927,'ASIGNACIONES'!$J$4:$J$339,0)),""))=0,"",IFERROR(INDEX('ASIGNACIONES'!$F$4:$F$339,MATCH($O927&amp;"|"&amp;$R927&amp;"|"&amp;$AE927,'ASIGNACIONES'!$J$4:$J$339,0)),"")))</f>
        <v/>
      </c>
      <c r="AG927" s="13">
        <f>IF($AE927="","",SUMIFS('ORDENES'!$M$4:$M$1203,'ORDENES'!$AE$4:$AE$1203,$AE927,'ORDENES'!$O$4:$O$1203,$O927,'ORDENES'!$R$4:$R$1203,$R927))</f>
        <v/>
      </c>
      <c r="AH927" s="13">
        <f>IF($AG927="","",p_factor_productividad*IFERROR(INDEX('ASIGNACIONES'!$I$4:$I$339,MATCH($O927&amp;"|"&amp;$R927&amp;"|"&amp;$AE927,'ASIGNACIONES'!$J$4:$J$339,0)),0)-$AG927)</f>
        <v/>
      </c>
      <c r="AI927" s="10">
        <f>IF($A927="","",IFERROR(INDEX('2_IMPORTAR_EJECUCION'!$F$9:$F$1208,MATCH($AQ927,'2_IMPORTAR_EJECUCION'!$J$9:$J$1208,0)),0))</f>
        <v/>
      </c>
      <c r="AJ927" s="10">
        <f>IF($A927="","",MAX(0,IFERROR(INDEX('2_IMPORTAR_EJECUCION'!$H$9:$H$1208,MATCH($AQ927,'2_IMPORTAR_EJECUCION'!$J$9:$J$1208,0)),0)-$AI927))</f>
        <v/>
      </c>
      <c r="AK927" s="10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2">
        <f>IF($J928="","",TODAY()-$J928)</f>
        <v/>
      </c>
      <c r="AB928" s="12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IF($AE928="","",IF((IFERROR(INDEX('ASIGNACIONES'!$F$4:$F$339,MATCH($O928&amp;"|"&amp;$R928&amp;"|"&amp;$AE928,'ASIGNACIONES'!$J$4:$J$339,0)),""))=0,"",IFERROR(INDEX('ASIGNACIONES'!$F$4:$F$339,MATCH($O928&amp;"|"&amp;$R928&amp;"|"&amp;$AE928,'ASIGNACIONES'!$J$4:$J$339,0)),"")))</f>
        <v/>
      </c>
      <c r="AG928" s="13">
        <f>IF($AE928="","",SUMIFS('ORDENES'!$M$4:$M$1203,'ORDENES'!$AE$4:$AE$1203,$AE928,'ORDENES'!$O$4:$O$1203,$O928,'ORDENES'!$R$4:$R$1203,$R928))</f>
        <v/>
      </c>
      <c r="AH928" s="13">
        <f>IF($AG928="","",p_factor_productividad*IFERROR(INDEX('ASIGNACIONES'!$I$4:$I$339,MATCH($O928&amp;"|"&amp;$R928&amp;"|"&amp;$AE928,'ASIGNACIONES'!$J$4:$J$339,0)),0)-$AG928)</f>
        <v/>
      </c>
      <c r="AI928" s="10">
        <f>IF($A928="","",IFERROR(INDEX('2_IMPORTAR_EJECUCION'!$F$9:$F$1208,MATCH($AQ928,'2_IMPORTAR_EJECUCION'!$J$9:$J$1208,0)),0))</f>
        <v/>
      </c>
      <c r="AJ928" s="10">
        <f>IF($A928="","",MAX(0,IFERROR(INDEX('2_IMPORTAR_EJECUCION'!$H$9:$H$1208,MATCH($AQ928,'2_IMPORTAR_EJECUCION'!$J$9:$J$1208,0)),0)-$AI928))</f>
        <v/>
      </c>
      <c r="AK928" s="10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2">
        <f>IF($J929="","",TODAY()-$J929)</f>
        <v/>
      </c>
      <c r="AB929" s="12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IF($AE929="","",IF((IFERROR(INDEX('ASIGNACIONES'!$F$4:$F$339,MATCH($O929&amp;"|"&amp;$R929&amp;"|"&amp;$AE929,'ASIGNACIONES'!$J$4:$J$339,0)),""))=0,"",IFERROR(INDEX('ASIGNACIONES'!$F$4:$F$339,MATCH($O929&amp;"|"&amp;$R929&amp;"|"&amp;$AE929,'ASIGNACIONES'!$J$4:$J$339,0)),"")))</f>
        <v/>
      </c>
      <c r="AG929" s="13">
        <f>IF($AE929="","",SUMIFS('ORDENES'!$M$4:$M$1203,'ORDENES'!$AE$4:$AE$1203,$AE929,'ORDENES'!$O$4:$O$1203,$O929,'ORDENES'!$R$4:$R$1203,$R929))</f>
        <v/>
      </c>
      <c r="AH929" s="13">
        <f>IF($AG929="","",p_factor_productividad*IFERROR(INDEX('ASIGNACIONES'!$I$4:$I$339,MATCH($O929&amp;"|"&amp;$R929&amp;"|"&amp;$AE929,'ASIGNACIONES'!$J$4:$J$339,0)),0)-$AG929)</f>
        <v/>
      </c>
      <c r="AI929" s="10">
        <f>IF($A929="","",IFERROR(INDEX('2_IMPORTAR_EJECUCION'!$F$9:$F$1208,MATCH($AQ929,'2_IMPORTAR_EJECUCION'!$J$9:$J$1208,0)),0))</f>
        <v/>
      </c>
      <c r="AJ929" s="10">
        <f>IF($A929="","",MAX(0,IFERROR(INDEX('2_IMPORTAR_EJECUCION'!$H$9:$H$1208,MATCH($AQ929,'2_IMPORTAR_EJECUCION'!$J$9:$J$1208,0)),0)-$AI929))</f>
        <v/>
      </c>
      <c r="AK929" s="10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2">
        <f>IF($J930="","",TODAY()-$J930)</f>
        <v/>
      </c>
      <c r="AB930" s="12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IF($AE930="","",IF((IFERROR(INDEX('ASIGNACIONES'!$F$4:$F$339,MATCH($O930&amp;"|"&amp;$R930&amp;"|"&amp;$AE930,'ASIGNACIONES'!$J$4:$J$339,0)),""))=0,"",IFERROR(INDEX('ASIGNACIONES'!$F$4:$F$339,MATCH($O930&amp;"|"&amp;$R930&amp;"|"&amp;$AE930,'ASIGNACIONES'!$J$4:$J$339,0)),"")))</f>
        <v/>
      </c>
      <c r="AG930" s="13">
        <f>IF($AE930="","",SUMIFS('ORDENES'!$M$4:$M$1203,'ORDENES'!$AE$4:$AE$1203,$AE930,'ORDENES'!$O$4:$O$1203,$O930,'ORDENES'!$R$4:$R$1203,$R930))</f>
        <v/>
      </c>
      <c r="AH930" s="13">
        <f>IF($AG930="","",p_factor_productividad*IFERROR(INDEX('ASIGNACIONES'!$I$4:$I$339,MATCH($O930&amp;"|"&amp;$R930&amp;"|"&amp;$AE930,'ASIGNACIONES'!$J$4:$J$339,0)),0)-$AG930)</f>
        <v/>
      </c>
      <c r="AI930" s="10">
        <f>IF($A930="","",IFERROR(INDEX('2_IMPORTAR_EJECUCION'!$F$9:$F$1208,MATCH($AQ930,'2_IMPORTAR_EJECUCION'!$J$9:$J$1208,0)),0))</f>
        <v/>
      </c>
      <c r="AJ930" s="10">
        <f>IF($A930="","",MAX(0,IFERROR(INDEX('2_IMPORTAR_EJECUCION'!$H$9:$H$1208,MATCH($AQ930,'2_IMPORTAR_EJECUCION'!$J$9:$J$1208,0)),0)-$AI930))</f>
        <v/>
      </c>
      <c r="AK930" s="10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2">
        <f>IF($J931="","",TODAY()-$J931)</f>
        <v/>
      </c>
      <c r="AB931" s="12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IF($AE931="","",IF((IFERROR(INDEX('ASIGNACIONES'!$F$4:$F$339,MATCH($O931&amp;"|"&amp;$R931&amp;"|"&amp;$AE931,'ASIGNACIONES'!$J$4:$J$339,0)),""))=0,"",IFERROR(INDEX('ASIGNACIONES'!$F$4:$F$339,MATCH($O931&amp;"|"&amp;$R931&amp;"|"&amp;$AE931,'ASIGNACIONES'!$J$4:$J$339,0)),"")))</f>
        <v/>
      </c>
      <c r="AG931" s="13">
        <f>IF($AE931="","",SUMIFS('ORDENES'!$M$4:$M$1203,'ORDENES'!$AE$4:$AE$1203,$AE931,'ORDENES'!$O$4:$O$1203,$O931,'ORDENES'!$R$4:$R$1203,$R931))</f>
        <v/>
      </c>
      <c r="AH931" s="13">
        <f>IF($AG931="","",p_factor_productividad*IFERROR(INDEX('ASIGNACIONES'!$I$4:$I$339,MATCH($O931&amp;"|"&amp;$R931&amp;"|"&amp;$AE931,'ASIGNACIONES'!$J$4:$J$339,0)),0)-$AG931)</f>
        <v/>
      </c>
      <c r="AI931" s="10">
        <f>IF($A931="","",IFERROR(INDEX('2_IMPORTAR_EJECUCION'!$F$9:$F$1208,MATCH($AQ931,'2_IMPORTAR_EJECUCION'!$J$9:$J$1208,0)),0))</f>
        <v/>
      </c>
      <c r="AJ931" s="10">
        <f>IF($A931="","",MAX(0,IFERROR(INDEX('2_IMPORTAR_EJECUCION'!$H$9:$H$1208,MATCH($AQ931,'2_IMPORTAR_EJECUCION'!$J$9:$J$1208,0)),0)-$AI931))</f>
        <v/>
      </c>
      <c r="AK931" s="10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2">
        <f>IF($J932="","",TODAY()-$J932)</f>
        <v/>
      </c>
      <c r="AB932" s="12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IF($AE932="","",IF((IFERROR(INDEX('ASIGNACIONES'!$F$4:$F$339,MATCH($O932&amp;"|"&amp;$R932&amp;"|"&amp;$AE932,'ASIGNACIONES'!$J$4:$J$339,0)),""))=0,"",IFERROR(INDEX('ASIGNACIONES'!$F$4:$F$339,MATCH($O932&amp;"|"&amp;$R932&amp;"|"&amp;$AE932,'ASIGNACIONES'!$J$4:$J$339,0)),"")))</f>
        <v/>
      </c>
      <c r="AG932" s="13">
        <f>IF($AE932="","",SUMIFS('ORDENES'!$M$4:$M$1203,'ORDENES'!$AE$4:$AE$1203,$AE932,'ORDENES'!$O$4:$O$1203,$O932,'ORDENES'!$R$4:$R$1203,$R932))</f>
        <v/>
      </c>
      <c r="AH932" s="13">
        <f>IF($AG932="","",p_factor_productividad*IFERROR(INDEX('ASIGNACIONES'!$I$4:$I$339,MATCH($O932&amp;"|"&amp;$R932&amp;"|"&amp;$AE932,'ASIGNACIONES'!$J$4:$J$339,0)),0)-$AG932)</f>
        <v/>
      </c>
      <c r="AI932" s="10">
        <f>IF($A932="","",IFERROR(INDEX('2_IMPORTAR_EJECUCION'!$F$9:$F$1208,MATCH($AQ932,'2_IMPORTAR_EJECUCION'!$J$9:$J$1208,0)),0))</f>
        <v/>
      </c>
      <c r="AJ932" s="10">
        <f>IF($A932="","",MAX(0,IFERROR(INDEX('2_IMPORTAR_EJECUCION'!$H$9:$H$1208,MATCH($AQ932,'2_IMPORTAR_EJECUCION'!$J$9:$J$1208,0)),0)-$AI932))</f>
        <v/>
      </c>
      <c r="AK932" s="10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2">
        <f>IF($J933="","",TODAY()-$J933)</f>
        <v/>
      </c>
      <c r="AB933" s="12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IF($AE933="","",IF((IFERROR(INDEX('ASIGNACIONES'!$F$4:$F$339,MATCH($O933&amp;"|"&amp;$R933&amp;"|"&amp;$AE933,'ASIGNACIONES'!$J$4:$J$339,0)),""))=0,"",IFERROR(INDEX('ASIGNACIONES'!$F$4:$F$339,MATCH($O933&amp;"|"&amp;$R933&amp;"|"&amp;$AE933,'ASIGNACIONES'!$J$4:$J$339,0)),"")))</f>
        <v/>
      </c>
      <c r="AG933" s="13">
        <f>IF($AE933="","",SUMIFS('ORDENES'!$M$4:$M$1203,'ORDENES'!$AE$4:$AE$1203,$AE933,'ORDENES'!$O$4:$O$1203,$O933,'ORDENES'!$R$4:$R$1203,$R933))</f>
        <v/>
      </c>
      <c r="AH933" s="13">
        <f>IF($AG933="","",p_factor_productividad*IFERROR(INDEX('ASIGNACIONES'!$I$4:$I$339,MATCH($O933&amp;"|"&amp;$R933&amp;"|"&amp;$AE933,'ASIGNACIONES'!$J$4:$J$339,0)),0)-$AG933)</f>
        <v/>
      </c>
      <c r="AI933" s="10">
        <f>IF($A933="","",IFERROR(INDEX('2_IMPORTAR_EJECUCION'!$F$9:$F$1208,MATCH($AQ933,'2_IMPORTAR_EJECUCION'!$J$9:$J$1208,0)),0))</f>
        <v/>
      </c>
      <c r="AJ933" s="10">
        <f>IF($A933="","",MAX(0,IFERROR(INDEX('2_IMPORTAR_EJECUCION'!$H$9:$H$1208,MATCH($AQ933,'2_IMPORTAR_EJECUCION'!$J$9:$J$1208,0)),0)-$AI933))</f>
        <v/>
      </c>
      <c r="AK933" s="10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2">
        <f>IF($J934="","",TODAY()-$J934)</f>
        <v/>
      </c>
      <c r="AB934" s="12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IF($AE934="","",IF((IFERROR(INDEX('ASIGNACIONES'!$F$4:$F$339,MATCH($O934&amp;"|"&amp;$R934&amp;"|"&amp;$AE934,'ASIGNACIONES'!$J$4:$J$339,0)),""))=0,"",IFERROR(INDEX('ASIGNACIONES'!$F$4:$F$339,MATCH($O934&amp;"|"&amp;$R934&amp;"|"&amp;$AE934,'ASIGNACIONES'!$J$4:$J$339,0)),"")))</f>
        <v/>
      </c>
      <c r="AG934" s="13">
        <f>IF($AE934="","",SUMIFS('ORDENES'!$M$4:$M$1203,'ORDENES'!$AE$4:$AE$1203,$AE934,'ORDENES'!$O$4:$O$1203,$O934,'ORDENES'!$R$4:$R$1203,$R934))</f>
        <v/>
      </c>
      <c r="AH934" s="13">
        <f>IF($AG934="","",p_factor_productividad*IFERROR(INDEX('ASIGNACIONES'!$I$4:$I$339,MATCH($O934&amp;"|"&amp;$R934&amp;"|"&amp;$AE934,'ASIGNACIONES'!$J$4:$J$339,0)),0)-$AG934)</f>
        <v/>
      </c>
      <c r="AI934" s="10">
        <f>IF($A934="","",IFERROR(INDEX('2_IMPORTAR_EJECUCION'!$F$9:$F$1208,MATCH($AQ934,'2_IMPORTAR_EJECUCION'!$J$9:$J$1208,0)),0))</f>
        <v/>
      </c>
      <c r="AJ934" s="10">
        <f>IF($A934="","",MAX(0,IFERROR(INDEX('2_IMPORTAR_EJECUCION'!$H$9:$H$1208,MATCH($AQ934,'2_IMPORTAR_EJECUCION'!$J$9:$J$1208,0)),0)-$AI934))</f>
        <v/>
      </c>
      <c r="AK934" s="10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2">
        <f>IF($J935="","",TODAY()-$J935)</f>
        <v/>
      </c>
      <c r="AB935" s="12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IF($AE935="","",IF((IFERROR(INDEX('ASIGNACIONES'!$F$4:$F$339,MATCH($O935&amp;"|"&amp;$R935&amp;"|"&amp;$AE935,'ASIGNACIONES'!$J$4:$J$339,0)),""))=0,"",IFERROR(INDEX('ASIGNACIONES'!$F$4:$F$339,MATCH($O935&amp;"|"&amp;$R935&amp;"|"&amp;$AE935,'ASIGNACIONES'!$J$4:$J$339,0)),"")))</f>
        <v/>
      </c>
      <c r="AG935" s="13">
        <f>IF($AE935="","",SUMIFS('ORDENES'!$M$4:$M$1203,'ORDENES'!$AE$4:$AE$1203,$AE935,'ORDENES'!$O$4:$O$1203,$O935,'ORDENES'!$R$4:$R$1203,$R935))</f>
        <v/>
      </c>
      <c r="AH935" s="13">
        <f>IF($AG935="","",p_factor_productividad*IFERROR(INDEX('ASIGNACIONES'!$I$4:$I$339,MATCH($O935&amp;"|"&amp;$R935&amp;"|"&amp;$AE935,'ASIGNACIONES'!$J$4:$J$339,0)),0)-$AG935)</f>
        <v/>
      </c>
      <c r="AI935" s="10">
        <f>IF($A935="","",IFERROR(INDEX('2_IMPORTAR_EJECUCION'!$F$9:$F$1208,MATCH($AQ935,'2_IMPORTAR_EJECUCION'!$J$9:$J$1208,0)),0))</f>
        <v/>
      </c>
      <c r="AJ935" s="10">
        <f>IF($A935="","",MAX(0,IFERROR(INDEX('2_IMPORTAR_EJECUCION'!$H$9:$H$1208,MATCH($AQ935,'2_IMPORTAR_EJECUCION'!$J$9:$J$1208,0)),0)-$AI935))</f>
        <v/>
      </c>
      <c r="AK935" s="10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2">
        <f>IF($J936="","",TODAY()-$J936)</f>
        <v/>
      </c>
      <c r="AB936" s="12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IF($AE936="","",IF((IFERROR(INDEX('ASIGNACIONES'!$F$4:$F$339,MATCH($O936&amp;"|"&amp;$R936&amp;"|"&amp;$AE936,'ASIGNACIONES'!$J$4:$J$339,0)),""))=0,"",IFERROR(INDEX('ASIGNACIONES'!$F$4:$F$339,MATCH($O936&amp;"|"&amp;$R936&amp;"|"&amp;$AE936,'ASIGNACIONES'!$J$4:$J$339,0)),"")))</f>
        <v/>
      </c>
      <c r="AG936" s="13">
        <f>IF($AE936="","",SUMIFS('ORDENES'!$M$4:$M$1203,'ORDENES'!$AE$4:$AE$1203,$AE936,'ORDENES'!$O$4:$O$1203,$O936,'ORDENES'!$R$4:$R$1203,$R936))</f>
        <v/>
      </c>
      <c r="AH936" s="13">
        <f>IF($AG936="","",p_factor_productividad*IFERROR(INDEX('ASIGNACIONES'!$I$4:$I$339,MATCH($O936&amp;"|"&amp;$R936&amp;"|"&amp;$AE936,'ASIGNACIONES'!$J$4:$J$339,0)),0)-$AG936)</f>
        <v/>
      </c>
      <c r="AI936" s="10">
        <f>IF($A936="","",IFERROR(INDEX('2_IMPORTAR_EJECUCION'!$F$9:$F$1208,MATCH($AQ936,'2_IMPORTAR_EJECUCION'!$J$9:$J$1208,0)),0))</f>
        <v/>
      </c>
      <c r="AJ936" s="10">
        <f>IF($A936="","",MAX(0,IFERROR(INDEX('2_IMPORTAR_EJECUCION'!$H$9:$H$1208,MATCH($AQ936,'2_IMPORTAR_EJECUCION'!$J$9:$J$1208,0)),0)-$AI936))</f>
        <v/>
      </c>
      <c r="AK936" s="10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2">
        <f>IF($J937="","",TODAY()-$J937)</f>
        <v/>
      </c>
      <c r="AB937" s="12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IF($AE937="","",IF((IFERROR(INDEX('ASIGNACIONES'!$F$4:$F$339,MATCH($O937&amp;"|"&amp;$R937&amp;"|"&amp;$AE937,'ASIGNACIONES'!$J$4:$J$339,0)),""))=0,"",IFERROR(INDEX('ASIGNACIONES'!$F$4:$F$339,MATCH($O937&amp;"|"&amp;$R937&amp;"|"&amp;$AE937,'ASIGNACIONES'!$J$4:$J$339,0)),"")))</f>
        <v/>
      </c>
      <c r="AG937" s="13">
        <f>IF($AE937="","",SUMIFS('ORDENES'!$M$4:$M$1203,'ORDENES'!$AE$4:$AE$1203,$AE937,'ORDENES'!$O$4:$O$1203,$O937,'ORDENES'!$R$4:$R$1203,$R937))</f>
        <v/>
      </c>
      <c r="AH937" s="13">
        <f>IF($AG937="","",p_factor_productividad*IFERROR(INDEX('ASIGNACIONES'!$I$4:$I$339,MATCH($O937&amp;"|"&amp;$R937&amp;"|"&amp;$AE937,'ASIGNACIONES'!$J$4:$J$339,0)),0)-$AG937)</f>
        <v/>
      </c>
      <c r="AI937" s="10">
        <f>IF($A937="","",IFERROR(INDEX('2_IMPORTAR_EJECUCION'!$F$9:$F$1208,MATCH($AQ937,'2_IMPORTAR_EJECUCION'!$J$9:$J$1208,0)),0))</f>
        <v/>
      </c>
      <c r="AJ937" s="10">
        <f>IF($A937="","",MAX(0,IFERROR(INDEX('2_IMPORTAR_EJECUCION'!$H$9:$H$1208,MATCH($AQ937,'2_IMPORTAR_EJECUCION'!$J$9:$J$1208,0)),0)-$AI937))</f>
        <v/>
      </c>
      <c r="AK937" s="10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2">
        <f>IF($J938="","",TODAY()-$J938)</f>
        <v/>
      </c>
      <c r="AB938" s="12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IF($AE938="","",IF((IFERROR(INDEX('ASIGNACIONES'!$F$4:$F$339,MATCH($O938&amp;"|"&amp;$R938&amp;"|"&amp;$AE938,'ASIGNACIONES'!$J$4:$J$339,0)),""))=0,"",IFERROR(INDEX('ASIGNACIONES'!$F$4:$F$339,MATCH($O938&amp;"|"&amp;$R938&amp;"|"&amp;$AE938,'ASIGNACIONES'!$J$4:$J$339,0)),"")))</f>
        <v/>
      </c>
      <c r="AG938" s="13">
        <f>IF($AE938="","",SUMIFS('ORDENES'!$M$4:$M$1203,'ORDENES'!$AE$4:$AE$1203,$AE938,'ORDENES'!$O$4:$O$1203,$O938,'ORDENES'!$R$4:$R$1203,$R938))</f>
        <v/>
      </c>
      <c r="AH938" s="13">
        <f>IF($AG938="","",p_factor_productividad*IFERROR(INDEX('ASIGNACIONES'!$I$4:$I$339,MATCH($O938&amp;"|"&amp;$R938&amp;"|"&amp;$AE938,'ASIGNACIONES'!$J$4:$J$339,0)),0)-$AG938)</f>
        <v/>
      </c>
      <c r="AI938" s="10">
        <f>IF($A938="","",IFERROR(INDEX('2_IMPORTAR_EJECUCION'!$F$9:$F$1208,MATCH($AQ938,'2_IMPORTAR_EJECUCION'!$J$9:$J$1208,0)),0))</f>
        <v/>
      </c>
      <c r="AJ938" s="10">
        <f>IF($A938="","",MAX(0,IFERROR(INDEX('2_IMPORTAR_EJECUCION'!$H$9:$H$1208,MATCH($AQ938,'2_IMPORTAR_EJECUCION'!$J$9:$J$1208,0)),0)-$AI938))</f>
        <v/>
      </c>
      <c r="AK938" s="10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2">
        <f>IF($J939="","",TODAY()-$J939)</f>
        <v/>
      </c>
      <c r="AB939" s="12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IF($AE939="","",IF((IFERROR(INDEX('ASIGNACIONES'!$F$4:$F$339,MATCH($O939&amp;"|"&amp;$R939&amp;"|"&amp;$AE939,'ASIGNACIONES'!$J$4:$J$339,0)),""))=0,"",IFERROR(INDEX('ASIGNACIONES'!$F$4:$F$339,MATCH($O939&amp;"|"&amp;$R939&amp;"|"&amp;$AE939,'ASIGNACIONES'!$J$4:$J$339,0)),"")))</f>
        <v/>
      </c>
      <c r="AG939" s="13">
        <f>IF($AE939="","",SUMIFS('ORDENES'!$M$4:$M$1203,'ORDENES'!$AE$4:$AE$1203,$AE939,'ORDENES'!$O$4:$O$1203,$O939,'ORDENES'!$R$4:$R$1203,$R939))</f>
        <v/>
      </c>
      <c r="AH939" s="13">
        <f>IF($AG939="","",p_factor_productividad*IFERROR(INDEX('ASIGNACIONES'!$I$4:$I$339,MATCH($O939&amp;"|"&amp;$R939&amp;"|"&amp;$AE939,'ASIGNACIONES'!$J$4:$J$339,0)),0)-$AG939)</f>
        <v/>
      </c>
      <c r="AI939" s="10">
        <f>IF($A939="","",IFERROR(INDEX('2_IMPORTAR_EJECUCION'!$F$9:$F$1208,MATCH($AQ939,'2_IMPORTAR_EJECUCION'!$J$9:$J$1208,0)),0))</f>
        <v/>
      </c>
      <c r="AJ939" s="10">
        <f>IF($A939="","",MAX(0,IFERROR(INDEX('2_IMPORTAR_EJECUCION'!$H$9:$H$1208,MATCH($AQ939,'2_IMPORTAR_EJECUCION'!$J$9:$J$1208,0)),0)-$AI939))</f>
        <v/>
      </c>
      <c r="AK939" s="10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2">
        <f>IF($J940="","",TODAY()-$J940)</f>
        <v/>
      </c>
      <c r="AB940" s="12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IF($AE940="","",IF((IFERROR(INDEX('ASIGNACIONES'!$F$4:$F$339,MATCH($O940&amp;"|"&amp;$R940&amp;"|"&amp;$AE940,'ASIGNACIONES'!$J$4:$J$339,0)),""))=0,"",IFERROR(INDEX('ASIGNACIONES'!$F$4:$F$339,MATCH($O940&amp;"|"&amp;$R940&amp;"|"&amp;$AE940,'ASIGNACIONES'!$J$4:$J$339,0)),"")))</f>
        <v/>
      </c>
      <c r="AG940" s="13">
        <f>IF($AE940="","",SUMIFS('ORDENES'!$M$4:$M$1203,'ORDENES'!$AE$4:$AE$1203,$AE940,'ORDENES'!$O$4:$O$1203,$O940,'ORDENES'!$R$4:$R$1203,$R940))</f>
        <v/>
      </c>
      <c r="AH940" s="13">
        <f>IF($AG940="","",p_factor_productividad*IFERROR(INDEX('ASIGNACIONES'!$I$4:$I$339,MATCH($O940&amp;"|"&amp;$R940&amp;"|"&amp;$AE940,'ASIGNACIONES'!$J$4:$J$339,0)),0)-$AG940)</f>
        <v/>
      </c>
      <c r="AI940" s="10">
        <f>IF($A940="","",IFERROR(INDEX('2_IMPORTAR_EJECUCION'!$F$9:$F$1208,MATCH($AQ940,'2_IMPORTAR_EJECUCION'!$J$9:$J$1208,0)),0))</f>
        <v/>
      </c>
      <c r="AJ940" s="10">
        <f>IF($A940="","",MAX(0,IFERROR(INDEX('2_IMPORTAR_EJECUCION'!$H$9:$H$1208,MATCH($AQ940,'2_IMPORTAR_EJECUCION'!$J$9:$J$1208,0)),0)-$AI940))</f>
        <v/>
      </c>
      <c r="AK940" s="10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2">
        <f>IF($J941="","",TODAY()-$J941)</f>
        <v/>
      </c>
      <c r="AB941" s="12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IF($AE941="","",IF((IFERROR(INDEX('ASIGNACIONES'!$F$4:$F$339,MATCH($O941&amp;"|"&amp;$R941&amp;"|"&amp;$AE941,'ASIGNACIONES'!$J$4:$J$339,0)),""))=0,"",IFERROR(INDEX('ASIGNACIONES'!$F$4:$F$339,MATCH($O941&amp;"|"&amp;$R941&amp;"|"&amp;$AE941,'ASIGNACIONES'!$J$4:$J$339,0)),"")))</f>
        <v/>
      </c>
      <c r="AG941" s="13">
        <f>IF($AE941="","",SUMIFS('ORDENES'!$M$4:$M$1203,'ORDENES'!$AE$4:$AE$1203,$AE941,'ORDENES'!$O$4:$O$1203,$O941,'ORDENES'!$R$4:$R$1203,$R941))</f>
        <v/>
      </c>
      <c r="AH941" s="13">
        <f>IF($AG941="","",p_factor_productividad*IFERROR(INDEX('ASIGNACIONES'!$I$4:$I$339,MATCH($O941&amp;"|"&amp;$R941&amp;"|"&amp;$AE941,'ASIGNACIONES'!$J$4:$J$339,0)),0)-$AG941)</f>
        <v/>
      </c>
      <c r="AI941" s="10">
        <f>IF($A941="","",IFERROR(INDEX('2_IMPORTAR_EJECUCION'!$F$9:$F$1208,MATCH($AQ941,'2_IMPORTAR_EJECUCION'!$J$9:$J$1208,0)),0))</f>
        <v/>
      </c>
      <c r="AJ941" s="10">
        <f>IF($A941="","",MAX(0,IFERROR(INDEX('2_IMPORTAR_EJECUCION'!$H$9:$H$1208,MATCH($AQ941,'2_IMPORTAR_EJECUCION'!$J$9:$J$1208,0)),0)-$AI941))</f>
        <v/>
      </c>
      <c r="AK941" s="10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2">
        <f>IF($J942="","",TODAY()-$J942)</f>
        <v/>
      </c>
      <c r="AB942" s="12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IF($AE942="","",IF((IFERROR(INDEX('ASIGNACIONES'!$F$4:$F$339,MATCH($O942&amp;"|"&amp;$R942&amp;"|"&amp;$AE942,'ASIGNACIONES'!$J$4:$J$339,0)),""))=0,"",IFERROR(INDEX('ASIGNACIONES'!$F$4:$F$339,MATCH($O942&amp;"|"&amp;$R942&amp;"|"&amp;$AE942,'ASIGNACIONES'!$J$4:$J$339,0)),"")))</f>
        <v/>
      </c>
      <c r="AG942" s="13">
        <f>IF($AE942="","",SUMIFS('ORDENES'!$M$4:$M$1203,'ORDENES'!$AE$4:$AE$1203,$AE942,'ORDENES'!$O$4:$O$1203,$O942,'ORDENES'!$R$4:$R$1203,$R942))</f>
        <v/>
      </c>
      <c r="AH942" s="13">
        <f>IF($AG942="","",p_factor_productividad*IFERROR(INDEX('ASIGNACIONES'!$I$4:$I$339,MATCH($O942&amp;"|"&amp;$R942&amp;"|"&amp;$AE942,'ASIGNACIONES'!$J$4:$J$339,0)),0)-$AG942)</f>
        <v/>
      </c>
      <c r="AI942" s="10">
        <f>IF($A942="","",IFERROR(INDEX('2_IMPORTAR_EJECUCION'!$F$9:$F$1208,MATCH($AQ942,'2_IMPORTAR_EJECUCION'!$J$9:$J$1208,0)),0))</f>
        <v/>
      </c>
      <c r="AJ942" s="10">
        <f>IF($A942="","",MAX(0,IFERROR(INDEX('2_IMPORTAR_EJECUCION'!$H$9:$H$1208,MATCH($AQ942,'2_IMPORTAR_EJECUCION'!$J$9:$J$1208,0)),0)-$AI942))</f>
        <v/>
      </c>
      <c r="AK942" s="10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2">
        <f>IF($J943="","",TODAY()-$J943)</f>
        <v/>
      </c>
      <c r="AB943" s="12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IF($AE943="","",IF((IFERROR(INDEX('ASIGNACIONES'!$F$4:$F$339,MATCH($O943&amp;"|"&amp;$R943&amp;"|"&amp;$AE943,'ASIGNACIONES'!$J$4:$J$339,0)),""))=0,"",IFERROR(INDEX('ASIGNACIONES'!$F$4:$F$339,MATCH($O943&amp;"|"&amp;$R943&amp;"|"&amp;$AE943,'ASIGNACIONES'!$J$4:$J$339,0)),"")))</f>
        <v/>
      </c>
      <c r="AG943" s="13">
        <f>IF($AE943="","",SUMIFS('ORDENES'!$M$4:$M$1203,'ORDENES'!$AE$4:$AE$1203,$AE943,'ORDENES'!$O$4:$O$1203,$O943,'ORDENES'!$R$4:$R$1203,$R943))</f>
        <v/>
      </c>
      <c r="AH943" s="13">
        <f>IF($AG943="","",p_factor_productividad*IFERROR(INDEX('ASIGNACIONES'!$I$4:$I$339,MATCH($O943&amp;"|"&amp;$R943&amp;"|"&amp;$AE943,'ASIGNACIONES'!$J$4:$J$339,0)),0)-$AG943)</f>
        <v/>
      </c>
      <c r="AI943" s="10">
        <f>IF($A943="","",IFERROR(INDEX('2_IMPORTAR_EJECUCION'!$F$9:$F$1208,MATCH($AQ943,'2_IMPORTAR_EJECUCION'!$J$9:$J$1208,0)),0))</f>
        <v/>
      </c>
      <c r="AJ943" s="10">
        <f>IF($A943="","",MAX(0,IFERROR(INDEX('2_IMPORTAR_EJECUCION'!$H$9:$H$1208,MATCH($AQ943,'2_IMPORTAR_EJECUCION'!$J$9:$J$1208,0)),0)-$AI943))</f>
        <v/>
      </c>
      <c r="AK943" s="10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2">
        <f>IF($J944="","",TODAY()-$J944)</f>
        <v/>
      </c>
      <c r="AB944" s="12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IF($AE944="","",IF((IFERROR(INDEX('ASIGNACIONES'!$F$4:$F$339,MATCH($O944&amp;"|"&amp;$R944&amp;"|"&amp;$AE944,'ASIGNACIONES'!$J$4:$J$339,0)),""))=0,"",IFERROR(INDEX('ASIGNACIONES'!$F$4:$F$339,MATCH($O944&amp;"|"&amp;$R944&amp;"|"&amp;$AE944,'ASIGNACIONES'!$J$4:$J$339,0)),"")))</f>
        <v/>
      </c>
      <c r="AG944" s="13">
        <f>IF($AE944="","",SUMIFS('ORDENES'!$M$4:$M$1203,'ORDENES'!$AE$4:$AE$1203,$AE944,'ORDENES'!$O$4:$O$1203,$O944,'ORDENES'!$R$4:$R$1203,$R944))</f>
        <v/>
      </c>
      <c r="AH944" s="13">
        <f>IF($AG944="","",p_factor_productividad*IFERROR(INDEX('ASIGNACIONES'!$I$4:$I$339,MATCH($O944&amp;"|"&amp;$R944&amp;"|"&amp;$AE944,'ASIGNACIONES'!$J$4:$J$339,0)),0)-$AG944)</f>
        <v/>
      </c>
      <c r="AI944" s="10">
        <f>IF($A944="","",IFERROR(INDEX('2_IMPORTAR_EJECUCION'!$F$9:$F$1208,MATCH($AQ944,'2_IMPORTAR_EJECUCION'!$J$9:$J$1208,0)),0))</f>
        <v/>
      </c>
      <c r="AJ944" s="10">
        <f>IF($A944="","",MAX(0,IFERROR(INDEX('2_IMPORTAR_EJECUCION'!$H$9:$H$1208,MATCH($AQ944,'2_IMPORTAR_EJECUCION'!$J$9:$J$1208,0)),0)-$AI944))</f>
        <v/>
      </c>
      <c r="AK944" s="10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2">
        <f>IF($J945="","",TODAY()-$J945)</f>
        <v/>
      </c>
      <c r="AB945" s="12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IF($AE945="","",IF((IFERROR(INDEX('ASIGNACIONES'!$F$4:$F$339,MATCH($O945&amp;"|"&amp;$R945&amp;"|"&amp;$AE945,'ASIGNACIONES'!$J$4:$J$339,0)),""))=0,"",IFERROR(INDEX('ASIGNACIONES'!$F$4:$F$339,MATCH($O945&amp;"|"&amp;$R945&amp;"|"&amp;$AE945,'ASIGNACIONES'!$J$4:$J$339,0)),"")))</f>
        <v/>
      </c>
      <c r="AG945" s="13">
        <f>IF($AE945="","",SUMIFS('ORDENES'!$M$4:$M$1203,'ORDENES'!$AE$4:$AE$1203,$AE945,'ORDENES'!$O$4:$O$1203,$O945,'ORDENES'!$R$4:$R$1203,$R945))</f>
        <v/>
      </c>
      <c r="AH945" s="13">
        <f>IF($AG945="","",p_factor_productividad*IFERROR(INDEX('ASIGNACIONES'!$I$4:$I$339,MATCH($O945&amp;"|"&amp;$R945&amp;"|"&amp;$AE945,'ASIGNACIONES'!$J$4:$J$339,0)),0)-$AG945)</f>
        <v/>
      </c>
      <c r="AI945" s="10">
        <f>IF($A945="","",IFERROR(INDEX('2_IMPORTAR_EJECUCION'!$F$9:$F$1208,MATCH($AQ945,'2_IMPORTAR_EJECUCION'!$J$9:$J$1208,0)),0))</f>
        <v/>
      </c>
      <c r="AJ945" s="10">
        <f>IF($A945="","",MAX(0,IFERROR(INDEX('2_IMPORTAR_EJECUCION'!$H$9:$H$1208,MATCH($AQ945,'2_IMPORTAR_EJECUCION'!$J$9:$J$1208,0)),0)-$AI945))</f>
        <v/>
      </c>
      <c r="AK945" s="10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2">
        <f>IF($J946="","",TODAY()-$J946)</f>
        <v/>
      </c>
      <c r="AB946" s="12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IF($AE946="","",IF((IFERROR(INDEX('ASIGNACIONES'!$F$4:$F$339,MATCH($O946&amp;"|"&amp;$R946&amp;"|"&amp;$AE946,'ASIGNACIONES'!$J$4:$J$339,0)),""))=0,"",IFERROR(INDEX('ASIGNACIONES'!$F$4:$F$339,MATCH($O946&amp;"|"&amp;$R946&amp;"|"&amp;$AE946,'ASIGNACIONES'!$J$4:$J$339,0)),"")))</f>
        <v/>
      </c>
      <c r="AG946" s="13">
        <f>IF($AE946="","",SUMIFS('ORDENES'!$M$4:$M$1203,'ORDENES'!$AE$4:$AE$1203,$AE946,'ORDENES'!$O$4:$O$1203,$O946,'ORDENES'!$R$4:$R$1203,$R946))</f>
        <v/>
      </c>
      <c r="AH946" s="13">
        <f>IF($AG946="","",p_factor_productividad*IFERROR(INDEX('ASIGNACIONES'!$I$4:$I$339,MATCH($O946&amp;"|"&amp;$R946&amp;"|"&amp;$AE946,'ASIGNACIONES'!$J$4:$J$339,0)),0)-$AG946)</f>
        <v/>
      </c>
      <c r="AI946" s="10">
        <f>IF($A946="","",IFERROR(INDEX('2_IMPORTAR_EJECUCION'!$F$9:$F$1208,MATCH($AQ946,'2_IMPORTAR_EJECUCION'!$J$9:$J$1208,0)),0))</f>
        <v/>
      </c>
      <c r="AJ946" s="10">
        <f>IF($A946="","",MAX(0,IFERROR(INDEX('2_IMPORTAR_EJECUCION'!$H$9:$H$1208,MATCH($AQ946,'2_IMPORTAR_EJECUCION'!$J$9:$J$1208,0)),0)-$AI946))</f>
        <v/>
      </c>
      <c r="AK946" s="10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2">
        <f>IF($J947="","",TODAY()-$J947)</f>
        <v/>
      </c>
      <c r="AB947" s="12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IF($AE947="","",IF((IFERROR(INDEX('ASIGNACIONES'!$F$4:$F$339,MATCH($O947&amp;"|"&amp;$R947&amp;"|"&amp;$AE947,'ASIGNACIONES'!$J$4:$J$339,0)),""))=0,"",IFERROR(INDEX('ASIGNACIONES'!$F$4:$F$339,MATCH($O947&amp;"|"&amp;$R947&amp;"|"&amp;$AE947,'ASIGNACIONES'!$J$4:$J$339,0)),"")))</f>
        <v/>
      </c>
      <c r="AG947" s="13">
        <f>IF($AE947="","",SUMIFS('ORDENES'!$M$4:$M$1203,'ORDENES'!$AE$4:$AE$1203,$AE947,'ORDENES'!$O$4:$O$1203,$O947,'ORDENES'!$R$4:$R$1203,$R947))</f>
        <v/>
      </c>
      <c r="AH947" s="13">
        <f>IF($AG947="","",p_factor_productividad*IFERROR(INDEX('ASIGNACIONES'!$I$4:$I$339,MATCH($O947&amp;"|"&amp;$R947&amp;"|"&amp;$AE947,'ASIGNACIONES'!$J$4:$J$339,0)),0)-$AG947)</f>
        <v/>
      </c>
      <c r="AI947" s="10">
        <f>IF($A947="","",IFERROR(INDEX('2_IMPORTAR_EJECUCION'!$F$9:$F$1208,MATCH($AQ947,'2_IMPORTAR_EJECUCION'!$J$9:$J$1208,0)),0))</f>
        <v/>
      </c>
      <c r="AJ947" s="10">
        <f>IF($A947="","",MAX(0,IFERROR(INDEX('2_IMPORTAR_EJECUCION'!$H$9:$H$1208,MATCH($AQ947,'2_IMPORTAR_EJECUCION'!$J$9:$J$1208,0)),0)-$AI947))</f>
        <v/>
      </c>
      <c r="AK947" s="10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2">
        <f>IF($J948="","",TODAY()-$J948)</f>
        <v/>
      </c>
      <c r="AB948" s="12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IF($AE948="","",IF((IFERROR(INDEX('ASIGNACIONES'!$F$4:$F$339,MATCH($O948&amp;"|"&amp;$R948&amp;"|"&amp;$AE948,'ASIGNACIONES'!$J$4:$J$339,0)),""))=0,"",IFERROR(INDEX('ASIGNACIONES'!$F$4:$F$339,MATCH($O948&amp;"|"&amp;$R948&amp;"|"&amp;$AE948,'ASIGNACIONES'!$J$4:$J$339,0)),"")))</f>
        <v/>
      </c>
      <c r="AG948" s="13">
        <f>IF($AE948="","",SUMIFS('ORDENES'!$M$4:$M$1203,'ORDENES'!$AE$4:$AE$1203,$AE948,'ORDENES'!$O$4:$O$1203,$O948,'ORDENES'!$R$4:$R$1203,$R948))</f>
        <v/>
      </c>
      <c r="AH948" s="13">
        <f>IF($AG948="","",p_factor_productividad*IFERROR(INDEX('ASIGNACIONES'!$I$4:$I$339,MATCH($O948&amp;"|"&amp;$R948&amp;"|"&amp;$AE948,'ASIGNACIONES'!$J$4:$J$339,0)),0)-$AG948)</f>
        <v/>
      </c>
      <c r="AI948" s="10">
        <f>IF($A948="","",IFERROR(INDEX('2_IMPORTAR_EJECUCION'!$F$9:$F$1208,MATCH($AQ948,'2_IMPORTAR_EJECUCION'!$J$9:$J$1208,0)),0))</f>
        <v/>
      </c>
      <c r="AJ948" s="10">
        <f>IF($A948="","",MAX(0,IFERROR(INDEX('2_IMPORTAR_EJECUCION'!$H$9:$H$1208,MATCH($AQ948,'2_IMPORTAR_EJECUCION'!$J$9:$J$1208,0)),0)-$AI948))</f>
        <v/>
      </c>
      <c r="AK948" s="10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2">
        <f>IF($J949="","",TODAY()-$J949)</f>
        <v/>
      </c>
      <c r="AB949" s="12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IF($AE949="","",IF((IFERROR(INDEX('ASIGNACIONES'!$F$4:$F$339,MATCH($O949&amp;"|"&amp;$R949&amp;"|"&amp;$AE949,'ASIGNACIONES'!$J$4:$J$339,0)),""))=0,"",IFERROR(INDEX('ASIGNACIONES'!$F$4:$F$339,MATCH($O949&amp;"|"&amp;$R949&amp;"|"&amp;$AE949,'ASIGNACIONES'!$J$4:$J$339,0)),"")))</f>
        <v/>
      </c>
      <c r="AG949" s="13">
        <f>IF($AE949="","",SUMIFS('ORDENES'!$M$4:$M$1203,'ORDENES'!$AE$4:$AE$1203,$AE949,'ORDENES'!$O$4:$O$1203,$O949,'ORDENES'!$R$4:$R$1203,$R949))</f>
        <v/>
      </c>
      <c r="AH949" s="13">
        <f>IF($AG949="","",p_factor_productividad*IFERROR(INDEX('ASIGNACIONES'!$I$4:$I$339,MATCH($O949&amp;"|"&amp;$R949&amp;"|"&amp;$AE949,'ASIGNACIONES'!$J$4:$J$339,0)),0)-$AG949)</f>
        <v/>
      </c>
      <c r="AI949" s="10">
        <f>IF($A949="","",IFERROR(INDEX('2_IMPORTAR_EJECUCION'!$F$9:$F$1208,MATCH($AQ949,'2_IMPORTAR_EJECUCION'!$J$9:$J$1208,0)),0))</f>
        <v/>
      </c>
      <c r="AJ949" s="10">
        <f>IF($A949="","",MAX(0,IFERROR(INDEX('2_IMPORTAR_EJECUCION'!$H$9:$H$1208,MATCH($AQ949,'2_IMPORTAR_EJECUCION'!$J$9:$J$1208,0)),0)-$AI949))</f>
        <v/>
      </c>
      <c r="AK949" s="10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2">
        <f>IF($J950="","",TODAY()-$J950)</f>
        <v/>
      </c>
      <c r="AB950" s="12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IF($AE950="","",IF((IFERROR(INDEX('ASIGNACIONES'!$F$4:$F$339,MATCH($O950&amp;"|"&amp;$R950&amp;"|"&amp;$AE950,'ASIGNACIONES'!$J$4:$J$339,0)),""))=0,"",IFERROR(INDEX('ASIGNACIONES'!$F$4:$F$339,MATCH($O950&amp;"|"&amp;$R950&amp;"|"&amp;$AE950,'ASIGNACIONES'!$J$4:$J$339,0)),"")))</f>
        <v/>
      </c>
      <c r="AG950" s="13">
        <f>IF($AE950="","",SUMIFS('ORDENES'!$M$4:$M$1203,'ORDENES'!$AE$4:$AE$1203,$AE950,'ORDENES'!$O$4:$O$1203,$O950,'ORDENES'!$R$4:$R$1203,$R950))</f>
        <v/>
      </c>
      <c r="AH950" s="13">
        <f>IF($AG950="","",p_factor_productividad*IFERROR(INDEX('ASIGNACIONES'!$I$4:$I$339,MATCH($O950&amp;"|"&amp;$R950&amp;"|"&amp;$AE950,'ASIGNACIONES'!$J$4:$J$339,0)),0)-$AG950)</f>
        <v/>
      </c>
      <c r="AI950" s="10">
        <f>IF($A950="","",IFERROR(INDEX('2_IMPORTAR_EJECUCION'!$F$9:$F$1208,MATCH($AQ950,'2_IMPORTAR_EJECUCION'!$J$9:$J$1208,0)),0))</f>
        <v/>
      </c>
      <c r="AJ950" s="10">
        <f>IF($A950="","",MAX(0,IFERROR(INDEX('2_IMPORTAR_EJECUCION'!$H$9:$H$1208,MATCH($AQ950,'2_IMPORTAR_EJECUCION'!$J$9:$J$1208,0)),0)-$AI950))</f>
        <v/>
      </c>
      <c r="AK950" s="10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2">
        <f>IF($J951="","",TODAY()-$J951)</f>
        <v/>
      </c>
      <c r="AB951" s="12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IF($AE951="","",IF((IFERROR(INDEX('ASIGNACIONES'!$F$4:$F$339,MATCH($O951&amp;"|"&amp;$R951&amp;"|"&amp;$AE951,'ASIGNACIONES'!$J$4:$J$339,0)),""))=0,"",IFERROR(INDEX('ASIGNACIONES'!$F$4:$F$339,MATCH($O951&amp;"|"&amp;$R951&amp;"|"&amp;$AE951,'ASIGNACIONES'!$J$4:$J$339,0)),"")))</f>
        <v/>
      </c>
      <c r="AG951" s="13">
        <f>IF($AE951="","",SUMIFS('ORDENES'!$M$4:$M$1203,'ORDENES'!$AE$4:$AE$1203,$AE951,'ORDENES'!$O$4:$O$1203,$O951,'ORDENES'!$R$4:$R$1203,$R951))</f>
        <v/>
      </c>
      <c r="AH951" s="13">
        <f>IF($AG951="","",p_factor_productividad*IFERROR(INDEX('ASIGNACIONES'!$I$4:$I$339,MATCH($O951&amp;"|"&amp;$R951&amp;"|"&amp;$AE951,'ASIGNACIONES'!$J$4:$J$339,0)),0)-$AG951)</f>
        <v/>
      </c>
      <c r="AI951" s="10">
        <f>IF($A951="","",IFERROR(INDEX('2_IMPORTAR_EJECUCION'!$F$9:$F$1208,MATCH($AQ951,'2_IMPORTAR_EJECUCION'!$J$9:$J$1208,0)),0))</f>
        <v/>
      </c>
      <c r="AJ951" s="10">
        <f>IF($A951="","",MAX(0,IFERROR(INDEX('2_IMPORTAR_EJECUCION'!$H$9:$H$1208,MATCH($AQ951,'2_IMPORTAR_EJECUCION'!$J$9:$J$1208,0)),0)-$AI951))</f>
        <v/>
      </c>
      <c r="AK951" s="10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2">
        <f>IF($J952="","",TODAY()-$J952)</f>
        <v/>
      </c>
      <c r="AB952" s="12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IF($AE952="","",IF((IFERROR(INDEX('ASIGNACIONES'!$F$4:$F$339,MATCH($O952&amp;"|"&amp;$R952&amp;"|"&amp;$AE952,'ASIGNACIONES'!$J$4:$J$339,0)),""))=0,"",IFERROR(INDEX('ASIGNACIONES'!$F$4:$F$339,MATCH($O952&amp;"|"&amp;$R952&amp;"|"&amp;$AE952,'ASIGNACIONES'!$J$4:$J$339,0)),"")))</f>
        <v/>
      </c>
      <c r="AG952" s="13">
        <f>IF($AE952="","",SUMIFS('ORDENES'!$M$4:$M$1203,'ORDENES'!$AE$4:$AE$1203,$AE952,'ORDENES'!$O$4:$O$1203,$O952,'ORDENES'!$R$4:$R$1203,$R952))</f>
        <v/>
      </c>
      <c r="AH952" s="13">
        <f>IF($AG952="","",p_factor_productividad*IFERROR(INDEX('ASIGNACIONES'!$I$4:$I$339,MATCH($O952&amp;"|"&amp;$R952&amp;"|"&amp;$AE952,'ASIGNACIONES'!$J$4:$J$339,0)),0)-$AG952)</f>
        <v/>
      </c>
      <c r="AI952" s="10">
        <f>IF($A952="","",IFERROR(INDEX('2_IMPORTAR_EJECUCION'!$F$9:$F$1208,MATCH($AQ952,'2_IMPORTAR_EJECUCION'!$J$9:$J$1208,0)),0))</f>
        <v/>
      </c>
      <c r="AJ952" s="10">
        <f>IF($A952="","",MAX(0,IFERROR(INDEX('2_IMPORTAR_EJECUCION'!$H$9:$H$1208,MATCH($AQ952,'2_IMPORTAR_EJECUCION'!$J$9:$J$1208,0)),0)-$AI952))</f>
        <v/>
      </c>
      <c r="AK952" s="10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2">
        <f>IF($J953="","",TODAY()-$J953)</f>
        <v/>
      </c>
      <c r="AB953" s="12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IF($AE953="","",IF((IFERROR(INDEX('ASIGNACIONES'!$F$4:$F$339,MATCH($O953&amp;"|"&amp;$R953&amp;"|"&amp;$AE953,'ASIGNACIONES'!$J$4:$J$339,0)),""))=0,"",IFERROR(INDEX('ASIGNACIONES'!$F$4:$F$339,MATCH($O953&amp;"|"&amp;$R953&amp;"|"&amp;$AE953,'ASIGNACIONES'!$J$4:$J$339,0)),"")))</f>
        <v/>
      </c>
      <c r="AG953" s="13">
        <f>IF($AE953="","",SUMIFS('ORDENES'!$M$4:$M$1203,'ORDENES'!$AE$4:$AE$1203,$AE953,'ORDENES'!$O$4:$O$1203,$O953,'ORDENES'!$R$4:$R$1203,$R953))</f>
        <v/>
      </c>
      <c r="AH953" s="13">
        <f>IF($AG953="","",p_factor_productividad*IFERROR(INDEX('ASIGNACIONES'!$I$4:$I$339,MATCH($O953&amp;"|"&amp;$R953&amp;"|"&amp;$AE953,'ASIGNACIONES'!$J$4:$J$339,0)),0)-$AG953)</f>
        <v/>
      </c>
      <c r="AI953" s="10">
        <f>IF($A953="","",IFERROR(INDEX('2_IMPORTAR_EJECUCION'!$F$9:$F$1208,MATCH($AQ953,'2_IMPORTAR_EJECUCION'!$J$9:$J$1208,0)),0))</f>
        <v/>
      </c>
      <c r="AJ953" s="10">
        <f>IF($A953="","",MAX(0,IFERROR(INDEX('2_IMPORTAR_EJECUCION'!$H$9:$H$1208,MATCH($AQ953,'2_IMPORTAR_EJECUCION'!$J$9:$J$1208,0)),0)-$AI953))</f>
        <v/>
      </c>
      <c r="AK953" s="10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2">
        <f>IF($J954="","",TODAY()-$J954)</f>
        <v/>
      </c>
      <c r="AB954" s="12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IF($AE954="","",IF((IFERROR(INDEX('ASIGNACIONES'!$F$4:$F$339,MATCH($O954&amp;"|"&amp;$R954&amp;"|"&amp;$AE954,'ASIGNACIONES'!$J$4:$J$339,0)),""))=0,"",IFERROR(INDEX('ASIGNACIONES'!$F$4:$F$339,MATCH($O954&amp;"|"&amp;$R954&amp;"|"&amp;$AE954,'ASIGNACIONES'!$J$4:$J$339,0)),"")))</f>
        <v/>
      </c>
      <c r="AG954" s="13">
        <f>IF($AE954="","",SUMIFS('ORDENES'!$M$4:$M$1203,'ORDENES'!$AE$4:$AE$1203,$AE954,'ORDENES'!$O$4:$O$1203,$O954,'ORDENES'!$R$4:$R$1203,$R954))</f>
        <v/>
      </c>
      <c r="AH954" s="13">
        <f>IF($AG954="","",p_factor_productividad*IFERROR(INDEX('ASIGNACIONES'!$I$4:$I$339,MATCH($O954&amp;"|"&amp;$R954&amp;"|"&amp;$AE954,'ASIGNACIONES'!$J$4:$J$339,0)),0)-$AG954)</f>
        <v/>
      </c>
      <c r="AI954" s="10">
        <f>IF($A954="","",IFERROR(INDEX('2_IMPORTAR_EJECUCION'!$F$9:$F$1208,MATCH($AQ954,'2_IMPORTAR_EJECUCION'!$J$9:$J$1208,0)),0))</f>
        <v/>
      </c>
      <c r="AJ954" s="10">
        <f>IF($A954="","",MAX(0,IFERROR(INDEX('2_IMPORTAR_EJECUCION'!$H$9:$H$1208,MATCH($AQ954,'2_IMPORTAR_EJECUCION'!$J$9:$J$1208,0)),0)-$AI954))</f>
        <v/>
      </c>
      <c r="AK954" s="10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2">
        <f>IF($J955="","",TODAY()-$J955)</f>
        <v/>
      </c>
      <c r="AB955" s="12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IF($AE955="","",IF((IFERROR(INDEX('ASIGNACIONES'!$F$4:$F$339,MATCH($O955&amp;"|"&amp;$R955&amp;"|"&amp;$AE955,'ASIGNACIONES'!$J$4:$J$339,0)),""))=0,"",IFERROR(INDEX('ASIGNACIONES'!$F$4:$F$339,MATCH($O955&amp;"|"&amp;$R955&amp;"|"&amp;$AE955,'ASIGNACIONES'!$J$4:$J$339,0)),"")))</f>
        <v/>
      </c>
      <c r="AG955" s="13">
        <f>IF($AE955="","",SUMIFS('ORDENES'!$M$4:$M$1203,'ORDENES'!$AE$4:$AE$1203,$AE955,'ORDENES'!$O$4:$O$1203,$O955,'ORDENES'!$R$4:$R$1203,$R955))</f>
        <v/>
      </c>
      <c r="AH955" s="13">
        <f>IF($AG955="","",p_factor_productividad*IFERROR(INDEX('ASIGNACIONES'!$I$4:$I$339,MATCH($O955&amp;"|"&amp;$R955&amp;"|"&amp;$AE955,'ASIGNACIONES'!$J$4:$J$339,0)),0)-$AG955)</f>
        <v/>
      </c>
      <c r="AI955" s="10">
        <f>IF($A955="","",IFERROR(INDEX('2_IMPORTAR_EJECUCION'!$F$9:$F$1208,MATCH($AQ955,'2_IMPORTAR_EJECUCION'!$J$9:$J$1208,0)),0))</f>
        <v/>
      </c>
      <c r="AJ955" s="10">
        <f>IF($A955="","",MAX(0,IFERROR(INDEX('2_IMPORTAR_EJECUCION'!$H$9:$H$1208,MATCH($AQ955,'2_IMPORTAR_EJECUCION'!$J$9:$J$1208,0)),0)-$AI955))</f>
        <v/>
      </c>
      <c r="AK955" s="10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2">
        <f>IF($J956="","",TODAY()-$J956)</f>
        <v/>
      </c>
      <c r="AB956" s="12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IF($AE956="","",IF((IFERROR(INDEX('ASIGNACIONES'!$F$4:$F$339,MATCH($O956&amp;"|"&amp;$R956&amp;"|"&amp;$AE956,'ASIGNACIONES'!$J$4:$J$339,0)),""))=0,"",IFERROR(INDEX('ASIGNACIONES'!$F$4:$F$339,MATCH($O956&amp;"|"&amp;$R956&amp;"|"&amp;$AE956,'ASIGNACIONES'!$J$4:$J$339,0)),"")))</f>
        <v/>
      </c>
      <c r="AG956" s="13">
        <f>IF($AE956="","",SUMIFS('ORDENES'!$M$4:$M$1203,'ORDENES'!$AE$4:$AE$1203,$AE956,'ORDENES'!$O$4:$O$1203,$O956,'ORDENES'!$R$4:$R$1203,$R956))</f>
        <v/>
      </c>
      <c r="AH956" s="13">
        <f>IF($AG956="","",p_factor_productividad*IFERROR(INDEX('ASIGNACIONES'!$I$4:$I$339,MATCH($O956&amp;"|"&amp;$R956&amp;"|"&amp;$AE956,'ASIGNACIONES'!$J$4:$J$339,0)),0)-$AG956)</f>
        <v/>
      </c>
      <c r="AI956" s="10">
        <f>IF($A956="","",IFERROR(INDEX('2_IMPORTAR_EJECUCION'!$F$9:$F$1208,MATCH($AQ956,'2_IMPORTAR_EJECUCION'!$J$9:$J$1208,0)),0))</f>
        <v/>
      </c>
      <c r="AJ956" s="10">
        <f>IF($A956="","",MAX(0,IFERROR(INDEX('2_IMPORTAR_EJECUCION'!$H$9:$H$1208,MATCH($AQ956,'2_IMPORTAR_EJECUCION'!$J$9:$J$1208,0)),0)-$AI956))</f>
        <v/>
      </c>
      <c r="AK956" s="10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2">
        <f>IF($J957="","",TODAY()-$J957)</f>
        <v/>
      </c>
      <c r="AB957" s="12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IF($AE957="","",IF((IFERROR(INDEX('ASIGNACIONES'!$F$4:$F$339,MATCH($O957&amp;"|"&amp;$R957&amp;"|"&amp;$AE957,'ASIGNACIONES'!$J$4:$J$339,0)),""))=0,"",IFERROR(INDEX('ASIGNACIONES'!$F$4:$F$339,MATCH($O957&amp;"|"&amp;$R957&amp;"|"&amp;$AE957,'ASIGNACIONES'!$J$4:$J$339,0)),"")))</f>
        <v/>
      </c>
      <c r="AG957" s="13">
        <f>IF($AE957="","",SUMIFS('ORDENES'!$M$4:$M$1203,'ORDENES'!$AE$4:$AE$1203,$AE957,'ORDENES'!$O$4:$O$1203,$O957,'ORDENES'!$R$4:$R$1203,$R957))</f>
        <v/>
      </c>
      <c r="AH957" s="13">
        <f>IF($AG957="","",p_factor_productividad*IFERROR(INDEX('ASIGNACIONES'!$I$4:$I$339,MATCH($O957&amp;"|"&amp;$R957&amp;"|"&amp;$AE957,'ASIGNACIONES'!$J$4:$J$339,0)),0)-$AG957)</f>
        <v/>
      </c>
      <c r="AI957" s="10">
        <f>IF($A957="","",IFERROR(INDEX('2_IMPORTAR_EJECUCION'!$F$9:$F$1208,MATCH($AQ957,'2_IMPORTAR_EJECUCION'!$J$9:$J$1208,0)),0))</f>
        <v/>
      </c>
      <c r="AJ957" s="10">
        <f>IF($A957="","",MAX(0,IFERROR(INDEX('2_IMPORTAR_EJECUCION'!$H$9:$H$1208,MATCH($AQ957,'2_IMPORTAR_EJECUCION'!$J$9:$J$1208,0)),0)-$AI957))</f>
        <v/>
      </c>
      <c r="AK957" s="10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2">
        <f>IF($J958="","",TODAY()-$J958)</f>
        <v/>
      </c>
      <c r="AB958" s="12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IF($AE958="","",IF((IFERROR(INDEX('ASIGNACIONES'!$F$4:$F$339,MATCH($O958&amp;"|"&amp;$R958&amp;"|"&amp;$AE958,'ASIGNACIONES'!$J$4:$J$339,0)),""))=0,"",IFERROR(INDEX('ASIGNACIONES'!$F$4:$F$339,MATCH($O958&amp;"|"&amp;$R958&amp;"|"&amp;$AE958,'ASIGNACIONES'!$J$4:$J$339,0)),"")))</f>
        <v/>
      </c>
      <c r="AG958" s="13">
        <f>IF($AE958="","",SUMIFS('ORDENES'!$M$4:$M$1203,'ORDENES'!$AE$4:$AE$1203,$AE958,'ORDENES'!$O$4:$O$1203,$O958,'ORDENES'!$R$4:$R$1203,$R958))</f>
        <v/>
      </c>
      <c r="AH958" s="13">
        <f>IF($AG958="","",p_factor_productividad*IFERROR(INDEX('ASIGNACIONES'!$I$4:$I$339,MATCH($O958&amp;"|"&amp;$R958&amp;"|"&amp;$AE958,'ASIGNACIONES'!$J$4:$J$339,0)),0)-$AG958)</f>
        <v/>
      </c>
      <c r="AI958" s="10">
        <f>IF($A958="","",IFERROR(INDEX('2_IMPORTAR_EJECUCION'!$F$9:$F$1208,MATCH($AQ958,'2_IMPORTAR_EJECUCION'!$J$9:$J$1208,0)),0))</f>
        <v/>
      </c>
      <c r="AJ958" s="10">
        <f>IF($A958="","",MAX(0,IFERROR(INDEX('2_IMPORTAR_EJECUCION'!$H$9:$H$1208,MATCH($AQ958,'2_IMPORTAR_EJECUCION'!$J$9:$J$1208,0)),0)-$AI958))</f>
        <v/>
      </c>
      <c r="AK958" s="10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2">
        <f>IF($J959="","",TODAY()-$J959)</f>
        <v/>
      </c>
      <c r="AB959" s="12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IF($AE959="","",IF((IFERROR(INDEX('ASIGNACIONES'!$F$4:$F$339,MATCH($O959&amp;"|"&amp;$R959&amp;"|"&amp;$AE959,'ASIGNACIONES'!$J$4:$J$339,0)),""))=0,"",IFERROR(INDEX('ASIGNACIONES'!$F$4:$F$339,MATCH($O959&amp;"|"&amp;$R959&amp;"|"&amp;$AE959,'ASIGNACIONES'!$J$4:$J$339,0)),"")))</f>
        <v/>
      </c>
      <c r="AG959" s="13">
        <f>IF($AE959="","",SUMIFS('ORDENES'!$M$4:$M$1203,'ORDENES'!$AE$4:$AE$1203,$AE959,'ORDENES'!$O$4:$O$1203,$O959,'ORDENES'!$R$4:$R$1203,$R959))</f>
        <v/>
      </c>
      <c r="AH959" s="13">
        <f>IF($AG959="","",p_factor_productividad*IFERROR(INDEX('ASIGNACIONES'!$I$4:$I$339,MATCH($O959&amp;"|"&amp;$R959&amp;"|"&amp;$AE959,'ASIGNACIONES'!$J$4:$J$339,0)),0)-$AG959)</f>
        <v/>
      </c>
      <c r="AI959" s="10">
        <f>IF($A959="","",IFERROR(INDEX('2_IMPORTAR_EJECUCION'!$F$9:$F$1208,MATCH($AQ959,'2_IMPORTAR_EJECUCION'!$J$9:$J$1208,0)),0))</f>
        <v/>
      </c>
      <c r="AJ959" s="10">
        <f>IF($A959="","",MAX(0,IFERROR(INDEX('2_IMPORTAR_EJECUCION'!$H$9:$H$1208,MATCH($AQ959,'2_IMPORTAR_EJECUCION'!$J$9:$J$1208,0)),0)-$AI959))</f>
        <v/>
      </c>
      <c r="AK959" s="10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2">
        <f>IF($J960="","",TODAY()-$J960)</f>
        <v/>
      </c>
      <c r="AB960" s="12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IF($AE960="","",IF((IFERROR(INDEX('ASIGNACIONES'!$F$4:$F$339,MATCH($O960&amp;"|"&amp;$R960&amp;"|"&amp;$AE960,'ASIGNACIONES'!$J$4:$J$339,0)),""))=0,"",IFERROR(INDEX('ASIGNACIONES'!$F$4:$F$339,MATCH($O960&amp;"|"&amp;$R960&amp;"|"&amp;$AE960,'ASIGNACIONES'!$J$4:$J$339,0)),"")))</f>
        <v/>
      </c>
      <c r="AG960" s="13">
        <f>IF($AE960="","",SUMIFS('ORDENES'!$M$4:$M$1203,'ORDENES'!$AE$4:$AE$1203,$AE960,'ORDENES'!$O$4:$O$1203,$O960,'ORDENES'!$R$4:$R$1203,$R960))</f>
        <v/>
      </c>
      <c r="AH960" s="13">
        <f>IF($AG960="","",p_factor_productividad*IFERROR(INDEX('ASIGNACIONES'!$I$4:$I$339,MATCH($O960&amp;"|"&amp;$R960&amp;"|"&amp;$AE960,'ASIGNACIONES'!$J$4:$J$339,0)),0)-$AG960)</f>
        <v/>
      </c>
      <c r="AI960" s="10">
        <f>IF($A960="","",IFERROR(INDEX('2_IMPORTAR_EJECUCION'!$F$9:$F$1208,MATCH($AQ960,'2_IMPORTAR_EJECUCION'!$J$9:$J$1208,0)),0))</f>
        <v/>
      </c>
      <c r="AJ960" s="10">
        <f>IF($A960="","",MAX(0,IFERROR(INDEX('2_IMPORTAR_EJECUCION'!$H$9:$H$1208,MATCH($AQ960,'2_IMPORTAR_EJECUCION'!$J$9:$J$1208,0)),0)-$AI960))</f>
        <v/>
      </c>
      <c r="AK960" s="10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2">
        <f>IF($J961="","",TODAY()-$J961)</f>
        <v/>
      </c>
      <c r="AB961" s="12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IF($AE961="","",IF((IFERROR(INDEX('ASIGNACIONES'!$F$4:$F$339,MATCH($O961&amp;"|"&amp;$R961&amp;"|"&amp;$AE961,'ASIGNACIONES'!$J$4:$J$339,0)),""))=0,"",IFERROR(INDEX('ASIGNACIONES'!$F$4:$F$339,MATCH($O961&amp;"|"&amp;$R961&amp;"|"&amp;$AE961,'ASIGNACIONES'!$J$4:$J$339,0)),"")))</f>
        <v/>
      </c>
      <c r="AG961" s="13">
        <f>IF($AE961="","",SUMIFS('ORDENES'!$M$4:$M$1203,'ORDENES'!$AE$4:$AE$1203,$AE961,'ORDENES'!$O$4:$O$1203,$O961,'ORDENES'!$R$4:$R$1203,$R961))</f>
        <v/>
      </c>
      <c r="AH961" s="13">
        <f>IF($AG961="","",p_factor_productividad*IFERROR(INDEX('ASIGNACIONES'!$I$4:$I$339,MATCH($O961&amp;"|"&amp;$R961&amp;"|"&amp;$AE961,'ASIGNACIONES'!$J$4:$J$339,0)),0)-$AG961)</f>
        <v/>
      </c>
      <c r="AI961" s="10">
        <f>IF($A961="","",IFERROR(INDEX('2_IMPORTAR_EJECUCION'!$F$9:$F$1208,MATCH($AQ961,'2_IMPORTAR_EJECUCION'!$J$9:$J$1208,0)),0))</f>
        <v/>
      </c>
      <c r="AJ961" s="10">
        <f>IF($A961="","",MAX(0,IFERROR(INDEX('2_IMPORTAR_EJECUCION'!$H$9:$H$1208,MATCH($AQ961,'2_IMPORTAR_EJECUCION'!$J$9:$J$1208,0)),0)-$AI961))</f>
        <v/>
      </c>
      <c r="AK961" s="10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2">
        <f>IF($J962="","",TODAY()-$J962)</f>
        <v/>
      </c>
      <c r="AB962" s="12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IF($AE962="","",IF((IFERROR(INDEX('ASIGNACIONES'!$F$4:$F$339,MATCH($O962&amp;"|"&amp;$R962&amp;"|"&amp;$AE962,'ASIGNACIONES'!$J$4:$J$339,0)),""))=0,"",IFERROR(INDEX('ASIGNACIONES'!$F$4:$F$339,MATCH($O962&amp;"|"&amp;$R962&amp;"|"&amp;$AE962,'ASIGNACIONES'!$J$4:$J$339,0)),"")))</f>
        <v/>
      </c>
      <c r="AG962" s="13">
        <f>IF($AE962="","",SUMIFS('ORDENES'!$M$4:$M$1203,'ORDENES'!$AE$4:$AE$1203,$AE962,'ORDENES'!$O$4:$O$1203,$O962,'ORDENES'!$R$4:$R$1203,$R962))</f>
        <v/>
      </c>
      <c r="AH962" s="13">
        <f>IF($AG962="","",p_factor_productividad*IFERROR(INDEX('ASIGNACIONES'!$I$4:$I$339,MATCH($O962&amp;"|"&amp;$R962&amp;"|"&amp;$AE962,'ASIGNACIONES'!$J$4:$J$339,0)),0)-$AG962)</f>
        <v/>
      </c>
      <c r="AI962" s="10">
        <f>IF($A962="","",IFERROR(INDEX('2_IMPORTAR_EJECUCION'!$F$9:$F$1208,MATCH($AQ962,'2_IMPORTAR_EJECUCION'!$J$9:$J$1208,0)),0))</f>
        <v/>
      </c>
      <c r="AJ962" s="10">
        <f>IF($A962="","",MAX(0,IFERROR(INDEX('2_IMPORTAR_EJECUCION'!$H$9:$H$1208,MATCH($AQ962,'2_IMPORTAR_EJECUCION'!$J$9:$J$1208,0)),0)-$AI962))</f>
        <v/>
      </c>
      <c r="AK962" s="10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2">
        <f>IF($J963="","",TODAY()-$J963)</f>
        <v/>
      </c>
      <c r="AB963" s="12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IF($AE963="","",IF((IFERROR(INDEX('ASIGNACIONES'!$F$4:$F$339,MATCH($O963&amp;"|"&amp;$R963&amp;"|"&amp;$AE963,'ASIGNACIONES'!$J$4:$J$339,0)),""))=0,"",IFERROR(INDEX('ASIGNACIONES'!$F$4:$F$339,MATCH($O963&amp;"|"&amp;$R963&amp;"|"&amp;$AE963,'ASIGNACIONES'!$J$4:$J$339,0)),"")))</f>
        <v/>
      </c>
      <c r="AG963" s="13">
        <f>IF($AE963="","",SUMIFS('ORDENES'!$M$4:$M$1203,'ORDENES'!$AE$4:$AE$1203,$AE963,'ORDENES'!$O$4:$O$1203,$O963,'ORDENES'!$R$4:$R$1203,$R963))</f>
        <v/>
      </c>
      <c r="AH963" s="13">
        <f>IF($AG963="","",p_factor_productividad*IFERROR(INDEX('ASIGNACIONES'!$I$4:$I$339,MATCH($O963&amp;"|"&amp;$R963&amp;"|"&amp;$AE963,'ASIGNACIONES'!$J$4:$J$339,0)),0)-$AG963)</f>
        <v/>
      </c>
      <c r="AI963" s="10">
        <f>IF($A963="","",IFERROR(INDEX('2_IMPORTAR_EJECUCION'!$F$9:$F$1208,MATCH($AQ963,'2_IMPORTAR_EJECUCION'!$J$9:$J$1208,0)),0))</f>
        <v/>
      </c>
      <c r="AJ963" s="10">
        <f>IF($A963="","",MAX(0,IFERROR(INDEX('2_IMPORTAR_EJECUCION'!$H$9:$H$1208,MATCH($AQ963,'2_IMPORTAR_EJECUCION'!$J$9:$J$1208,0)),0)-$AI963))</f>
        <v/>
      </c>
      <c r="AK963" s="10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2">
        <f>IF($J964="","",TODAY()-$J964)</f>
        <v/>
      </c>
      <c r="AB964" s="12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IF($AE964="","",IF((IFERROR(INDEX('ASIGNACIONES'!$F$4:$F$339,MATCH($O964&amp;"|"&amp;$R964&amp;"|"&amp;$AE964,'ASIGNACIONES'!$J$4:$J$339,0)),""))=0,"",IFERROR(INDEX('ASIGNACIONES'!$F$4:$F$339,MATCH($O964&amp;"|"&amp;$R964&amp;"|"&amp;$AE964,'ASIGNACIONES'!$J$4:$J$339,0)),"")))</f>
        <v/>
      </c>
      <c r="AG964" s="13">
        <f>IF($AE964="","",SUMIFS('ORDENES'!$M$4:$M$1203,'ORDENES'!$AE$4:$AE$1203,$AE964,'ORDENES'!$O$4:$O$1203,$O964,'ORDENES'!$R$4:$R$1203,$R964))</f>
        <v/>
      </c>
      <c r="AH964" s="13">
        <f>IF($AG964="","",p_factor_productividad*IFERROR(INDEX('ASIGNACIONES'!$I$4:$I$339,MATCH($O964&amp;"|"&amp;$R964&amp;"|"&amp;$AE964,'ASIGNACIONES'!$J$4:$J$339,0)),0)-$AG964)</f>
        <v/>
      </c>
      <c r="AI964" s="10">
        <f>IF($A964="","",IFERROR(INDEX('2_IMPORTAR_EJECUCION'!$F$9:$F$1208,MATCH($AQ964,'2_IMPORTAR_EJECUCION'!$J$9:$J$1208,0)),0))</f>
        <v/>
      </c>
      <c r="AJ964" s="10">
        <f>IF($A964="","",MAX(0,IFERROR(INDEX('2_IMPORTAR_EJECUCION'!$H$9:$H$1208,MATCH($AQ964,'2_IMPORTAR_EJECUCION'!$J$9:$J$1208,0)),0)-$AI964))</f>
        <v/>
      </c>
      <c r="AK964" s="10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2">
        <f>IF($J965="","",TODAY()-$J965)</f>
        <v/>
      </c>
      <c r="AB965" s="12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IF($AE965="","",IF((IFERROR(INDEX('ASIGNACIONES'!$F$4:$F$339,MATCH($O965&amp;"|"&amp;$R965&amp;"|"&amp;$AE965,'ASIGNACIONES'!$J$4:$J$339,0)),""))=0,"",IFERROR(INDEX('ASIGNACIONES'!$F$4:$F$339,MATCH($O965&amp;"|"&amp;$R965&amp;"|"&amp;$AE965,'ASIGNACIONES'!$J$4:$J$339,0)),"")))</f>
        <v/>
      </c>
      <c r="AG965" s="13">
        <f>IF($AE965="","",SUMIFS('ORDENES'!$M$4:$M$1203,'ORDENES'!$AE$4:$AE$1203,$AE965,'ORDENES'!$O$4:$O$1203,$O965,'ORDENES'!$R$4:$R$1203,$R965))</f>
        <v/>
      </c>
      <c r="AH965" s="13">
        <f>IF($AG965="","",p_factor_productividad*IFERROR(INDEX('ASIGNACIONES'!$I$4:$I$339,MATCH($O965&amp;"|"&amp;$R965&amp;"|"&amp;$AE965,'ASIGNACIONES'!$J$4:$J$339,0)),0)-$AG965)</f>
        <v/>
      </c>
      <c r="AI965" s="10">
        <f>IF($A965="","",IFERROR(INDEX('2_IMPORTAR_EJECUCION'!$F$9:$F$1208,MATCH($AQ965,'2_IMPORTAR_EJECUCION'!$J$9:$J$1208,0)),0))</f>
        <v/>
      </c>
      <c r="AJ965" s="10">
        <f>IF($A965="","",MAX(0,IFERROR(INDEX('2_IMPORTAR_EJECUCION'!$H$9:$H$1208,MATCH($AQ965,'2_IMPORTAR_EJECUCION'!$J$9:$J$1208,0)),0)-$AI965))</f>
        <v/>
      </c>
      <c r="AK965" s="10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2">
        <f>IF($J966="","",TODAY()-$J966)</f>
        <v/>
      </c>
      <c r="AB966" s="12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IF($AE966="","",IF((IFERROR(INDEX('ASIGNACIONES'!$F$4:$F$339,MATCH($O966&amp;"|"&amp;$R966&amp;"|"&amp;$AE966,'ASIGNACIONES'!$J$4:$J$339,0)),""))=0,"",IFERROR(INDEX('ASIGNACIONES'!$F$4:$F$339,MATCH($O966&amp;"|"&amp;$R966&amp;"|"&amp;$AE966,'ASIGNACIONES'!$J$4:$J$339,0)),"")))</f>
        <v/>
      </c>
      <c r="AG966" s="13">
        <f>IF($AE966="","",SUMIFS('ORDENES'!$M$4:$M$1203,'ORDENES'!$AE$4:$AE$1203,$AE966,'ORDENES'!$O$4:$O$1203,$O966,'ORDENES'!$R$4:$R$1203,$R966))</f>
        <v/>
      </c>
      <c r="AH966" s="13">
        <f>IF($AG966="","",p_factor_productividad*IFERROR(INDEX('ASIGNACIONES'!$I$4:$I$339,MATCH($O966&amp;"|"&amp;$R966&amp;"|"&amp;$AE966,'ASIGNACIONES'!$J$4:$J$339,0)),0)-$AG966)</f>
        <v/>
      </c>
      <c r="AI966" s="10">
        <f>IF($A966="","",IFERROR(INDEX('2_IMPORTAR_EJECUCION'!$F$9:$F$1208,MATCH($AQ966,'2_IMPORTAR_EJECUCION'!$J$9:$J$1208,0)),0))</f>
        <v/>
      </c>
      <c r="AJ966" s="10">
        <f>IF($A966="","",MAX(0,IFERROR(INDEX('2_IMPORTAR_EJECUCION'!$H$9:$H$1208,MATCH($AQ966,'2_IMPORTAR_EJECUCION'!$J$9:$J$1208,0)),0)-$AI966))</f>
        <v/>
      </c>
      <c r="AK966" s="10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2">
        <f>IF($J967="","",TODAY()-$J967)</f>
        <v/>
      </c>
      <c r="AB967" s="12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IF($AE967="","",IF((IFERROR(INDEX('ASIGNACIONES'!$F$4:$F$339,MATCH($O967&amp;"|"&amp;$R967&amp;"|"&amp;$AE967,'ASIGNACIONES'!$J$4:$J$339,0)),""))=0,"",IFERROR(INDEX('ASIGNACIONES'!$F$4:$F$339,MATCH($O967&amp;"|"&amp;$R967&amp;"|"&amp;$AE967,'ASIGNACIONES'!$J$4:$J$339,0)),"")))</f>
        <v/>
      </c>
      <c r="AG967" s="13">
        <f>IF($AE967="","",SUMIFS('ORDENES'!$M$4:$M$1203,'ORDENES'!$AE$4:$AE$1203,$AE967,'ORDENES'!$O$4:$O$1203,$O967,'ORDENES'!$R$4:$R$1203,$R967))</f>
        <v/>
      </c>
      <c r="AH967" s="13">
        <f>IF($AG967="","",p_factor_productividad*IFERROR(INDEX('ASIGNACIONES'!$I$4:$I$339,MATCH($O967&amp;"|"&amp;$R967&amp;"|"&amp;$AE967,'ASIGNACIONES'!$J$4:$J$339,0)),0)-$AG967)</f>
        <v/>
      </c>
      <c r="AI967" s="10">
        <f>IF($A967="","",IFERROR(INDEX('2_IMPORTAR_EJECUCION'!$F$9:$F$1208,MATCH($AQ967,'2_IMPORTAR_EJECUCION'!$J$9:$J$1208,0)),0))</f>
        <v/>
      </c>
      <c r="AJ967" s="10">
        <f>IF($A967="","",MAX(0,IFERROR(INDEX('2_IMPORTAR_EJECUCION'!$H$9:$H$1208,MATCH($AQ967,'2_IMPORTAR_EJECUCION'!$J$9:$J$1208,0)),0)-$AI967))</f>
        <v/>
      </c>
      <c r="AK967" s="10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2">
        <f>IF($J968="","",TODAY()-$J968)</f>
        <v/>
      </c>
      <c r="AB968" s="12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IF($AE968="","",IF((IFERROR(INDEX('ASIGNACIONES'!$F$4:$F$339,MATCH($O968&amp;"|"&amp;$R968&amp;"|"&amp;$AE968,'ASIGNACIONES'!$J$4:$J$339,0)),""))=0,"",IFERROR(INDEX('ASIGNACIONES'!$F$4:$F$339,MATCH($O968&amp;"|"&amp;$R968&amp;"|"&amp;$AE968,'ASIGNACIONES'!$J$4:$J$339,0)),"")))</f>
        <v/>
      </c>
      <c r="AG968" s="13">
        <f>IF($AE968="","",SUMIFS('ORDENES'!$M$4:$M$1203,'ORDENES'!$AE$4:$AE$1203,$AE968,'ORDENES'!$O$4:$O$1203,$O968,'ORDENES'!$R$4:$R$1203,$R968))</f>
        <v/>
      </c>
      <c r="AH968" s="13">
        <f>IF($AG968="","",p_factor_productividad*IFERROR(INDEX('ASIGNACIONES'!$I$4:$I$339,MATCH($O968&amp;"|"&amp;$R968&amp;"|"&amp;$AE968,'ASIGNACIONES'!$J$4:$J$339,0)),0)-$AG968)</f>
        <v/>
      </c>
      <c r="AI968" s="10">
        <f>IF($A968="","",IFERROR(INDEX('2_IMPORTAR_EJECUCION'!$F$9:$F$1208,MATCH($AQ968,'2_IMPORTAR_EJECUCION'!$J$9:$J$1208,0)),0))</f>
        <v/>
      </c>
      <c r="AJ968" s="10">
        <f>IF($A968="","",MAX(0,IFERROR(INDEX('2_IMPORTAR_EJECUCION'!$H$9:$H$1208,MATCH($AQ968,'2_IMPORTAR_EJECUCION'!$J$9:$J$1208,0)),0)-$AI968))</f>
        <v/>
      </c>
      <c r="AK968" s="10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2">
        <f>IF($J969="","",TODAY()-$J969)</f>
        <v/>
      </c>
      <c r="AB969" s="12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IF($AE969="","",IF((IFERROR(INDEX('ASIGNACIONES'!$F$4:$F$339,MATCH($O969&amp;"|"&amp;$R969&amp;"|"&amp;$AE969,'ASIGNACIONES'!$J$4:$J$339,0)),""))=0,"",IFERROR(INDEX('ASIGNACIONES'!$F$4:$F$339,MATCH($O969&amp;"|"&amp;$R969&amp;"|"&amp;$AE969,'ASIGNACIONES'!$J$4:$J$339,0)),"")))</f>
        <v/>
      </c>
      <c r="AG969" s="13">
        <f>IF($AE969="","",SUMIFS('ORDENES'!$M$4:$M$1203,'ORDENES'!$AE$4:$AE$1203,$AE969,'ORDENES'!$O$4:$O$1203,$O969,'ORDENES'!$R$4:$R$1203,$R969))</f>
        <v/>
      </c>
      <c r="AH969" s="13">
        <f>IF($AG969="","",p_factor_productividad*IFERROR(INDEX('ASIGNACIONES'!$I$4:$I$339,MATCH($O969&amp;"|"&amp;$R969&amp;"|"&amp;$AE969,'ASIGNACIONES'!$J$4:$J$339,0)),0)-$AG969)</f>
        <v/>
      </c>
      <c r="AI969" s="10">
        <f>IF($A969="","",IFERROR(INDEX('2_IMPORTAR_EJECUCION'!$F$9:$F$1208,MATCH($AQ969,'2_IMPORTAR_EJECUCION'!$J$9:$J$1208,0)),0))</f>
        <v/>
      </c>
      <c r="AJ969" s="10">
        <f>IF($A969="","",MAX(0,IFERROR(INDEX('2_IMPORTAR_EJECUCION'!$H$9:$H$1208,MATCH($AQ969,'2_IMPORTAR_EJECUCION'!$J$9:$J$1208,0)),0)-$AI969))</f>
        <v/>
      </c>
      <c r="AK969" s="10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2">
        <f>IF($J970="","",TODAY()-$J970)</f>
        <v/>
      </c>
      <c r="AB970" s="12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IF($AE970="","",IF((IFERROR(INDEX('ASIGNACIONES'!$F$4:$F$339,MATCH($O970&amp;"|"&amp;$R970&amp;"|"&amp;$AE970,'ASIGNACIONES'!$J$4:$J$339,0)),""))=0,"",IFERROR(INDEX('ASIGNACIONES'!$F$4:$F$339,MATCH($O970&amp;"|"&amp;$R970&amp;"|"&amp;$AE970,'ASIGNACIONES'!$J$4:$J$339,0)),"")))</f>
        <v/>
      </c>
      <c r="AG970" s="13">
        <f>IF($AE970="","",SUMIFS('ORDENES'!$M$4:$M$1203,'ORDENES'!$AE$4:$AE$1203,$AE970,'ORDENES'!$O$4:$O$1203,$O970,'ORDENES'!$R$4:$R$1203,$R970))</f>
        <v/>
      </c>
      <c r="AH970" s="13">
        <f>IF($AG970="","",p_factor_productividad*IFERROR(INDEX('ASIGNACIONES'!$I$4:$I$339,MATCH($O970&amp;"|"&amp;$R970&amp;"|"&amp;$AE970,'ASIGNACIONES'!$J$4:$J$339,0)),0)-$AG970)</f>
        <v/>
      </c>
      <c r="AI970" s="10">
        <f>IF($A970="","",IFERROR(INDEX('2_IMPORTAR_EJECUCION'!$F$9:$F$1208,MATCH($AQ970,'2_IMPORTAR_EJECUCION'!$J$9:$J$1208,0)),0))</f>
        <v/>
      </c>
      <c r="AJ970" s="10">
        <f>IF($A970="","",MAX(0,IFERROR(INDEX('2_IMPORTAR_EJECUCION'!$H$9:$H$1208,MATCH($AQ970,'2_IMPORTAR_EJECUCION'!$J$9:$J$1208,0)),0)-$AI970))</f>
        <v/>
      </c>
      <c r="AK970" s="10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2">
        <f>IF($J971="","",TODAY()-$J971)</f>
        <v/>
      </c>
      <c r="AB971" s="12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IF($AE971="","",IF((IFERROR(INDEX('ASIGNACIONES'!$F$4:$F$339,MATCH($O971&amp;"|"&amp;$R971&amp;"|"&amp;$AE971,'ASIGNACIONES'!$J$4:$J$339,0)),""))=0,"",IFERROR(INDEX('ASIGNACIONES'!$F$4:$F$339,MATCH($O971&amp;"|"&amp;$R971&amp;"|"&amp;$AE971,'ASIGNACIONES'!$J$4:$J$339,0)),"")))</f>
        <v/>
      </c>
      <c r="AG971" s="13">
        <f>IF($AE971="","",SUMIFS('ORDENES'!$M$4:$M$1203,'ORDENES'!$AE$4:$AE$1203,$AE971,'ORDENES'!$O$4:$O$1203,$O971,'ORDENES'!$R$4:$R$1203,$R971))</f>
        <v/>
      </c>
      <c r="AH971" s="13">
        <f>IF($AG971="","",p_factor_productividad*IFERROR(INDEX('ASIGNACIONES'!$I$4:$I$339,MATCH($O971&amp;"|"&amp;$R971&amp;"|"&amp;$AE971,'ASIGNACIONES'!$J$4:$J$339,0)),0)-$AG971)</f>
        <v/>
      </c>
      <c r="AI971" s="10">
        <f>IF($A971="","",IFERROR(INDEX('2_IMPORTAR_EJECUCION'!$F$9:$F$1208,MATCH($AQ971,'2_IMPORTAR_EJECUCION'!$J$9:$J$1208,0)),0))</f>
        <v/>
      </c>
      <c r="AJ971" s="10">
        <f>IF($A971="","",MAX(0,IFERROR(INDEX('2_IMPORTAR_EJECUCION'!$H$9:$H$1208,MATCH($AQ971,'2_IMPORTAR_EJECUCION'!$J$9:$J$1208,0)),0)-$AI971))</f>
        <v/>
      </c>
      <c r="AK971" s="10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2">
        <f>IF($J972="","",TODAY()-$J972)</f>
        <v/>
      </c>
      <c r="AB972" s="12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IF($AE972="","",IF((IFERROR(INDEX('ASIGNACIONES'!$F$4:$F$339,MATCH($O972&amp;"|"&amp;$R972&amp;"|"&amp;$AE972,'ASIGNACIONES'!$J$4:$J$339,0)),""))=0,"",IFERROR(INDEX('ASIGNACIONES'!$F$4:$F$339,MATCH($O972&amp;"|"&amp;$R972&amp;"|"&amp;$AE972,'ASIGNACIONES'!$J$4:$J$339,0)),"")))</f>
        <v/>
      </c>
      <c r="AG972" s="13">
        <f>IF($AE972="","",SUMIFS('ORDENES'!$M$4:$M$1203,'ORDENES'!$AE$4:$AE$1203,$AE972,'ORDENES'!$O$4:$O$1203,$O972,'ORDENES'!$R$4:$R$1203,$R972))</f>
        <v/>
      </c>
      <c r="AH972" s="13">
        <f>IF($AG972="","",p_factor_productividad*IFERROR(INDEX('ASIGNACIONES'!$I$4:$I$339,MATCH($O972&amp;"|"&amp;$R972&amp;"|"&amp;$AE972,'ASIGNACIONES'!$J$4:$J$339,0)),0)-$AG972)</f>
        <v/>
      </c>
      <c r="AI972" s="10">
        <f>IF($A972="","",IFERROR(INDEX('2_IMPORTAR_EJECUCION'!$F$9:$F$1208,MATCH($AQ972,'2_IMPORTAR_EJECUCION'!$J$9:$J$1208,0)),0))</f>
        <v/>
      </c>
      <c r="AJ972" s="10">
        <f>IF($A972="","",MAX(0,IFERROR(INDEX('2_IMPORTAR_EJECUCION'!$H$9:$H$1208,MATCH($AQ972,'2_IMPORTAR_EJECUCION'!$J$9:$J$1208,0)),0)-$AI972))</f>
        <v/>
      </c>
      <c r="AK972" s="10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2">
        <f>IF($J973="","",TODAY()-$J973)</f>
        <v/>
      </c>
      <c r="AB973" s="12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IF($AE973="","",IF((IFERROR(INDEX('ASIGNACIONES'!$F$4:$F$339,MATCH($O973&amp;"|"&amp;$R973&amp;"|"&amp;$AE973,'ASIGNACIONES'!$J$4:$J$339,0)),""))=0,"",IFERROR(INDEX('ASIGNACIONES'!$F$4:$F$339,MATCH($O973&amp;"|"&amp;$R973&amp;"|"&amp;$AE973,'ASIGNACIONES'!$J$4:$J$339,0)),"")))</f>
        <v/>
      </c>
      <c r="AG973" s="13">
        <f>IF($AE973="","",SUMIFS('ORDENES'!$M$4:$M$1203,'ORDENES'!$AE$4:$AE$1203,$AE973,'ORDENES'!$O$4:$O$1203,$O973,'ORDENES'!$R$4:$R$1203,$R973))</f>
        <v/>
      </c>
      <c r="AH973" s="13">
        <f>IF($AG973="","",p_factor_productividad*IFERROR(INDEX('ASIGNACIONES'!$I$4:$I$339,MATCH($O973&amp;"|"&amp;$R973&amp;"|"&amp;$AE973,'ASIGNACIONES'!$J$4:$J$339,0)),0)-$AG973)</f>
        <v/>
      </c>
      <c r="AI973" s="10">
        <f>IF($A973="","",IFERROR(INDEX('2_IMPORTAR_EJECUCION'!$F$9:$F$1208,MATCH($AQ973,'2_IMPORTAR_EJECUCION'!$J$9:$J$1208,0)),0))</f>
        <v/>
      </c>
      <c r="AJ973" s="10">
        <f>IF($A973="","",MAX(0,IFERROR(INDEX('2_IMPORTAR_EJECUCION'!$H$9:$H$1208,MATCH($AQ973,'2_IMPORTAR_EJECUCION'!$J$9:$J$1208,0)),0)-$AI973))</f>
        <v/>
      </c>
      <c r="AK973" s="10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2">
        <f>IF($J974="","",TODAY()-$J974)</f>
        <v/>
      </c>
      <c r="AB974" s="12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IF($AE974="","",IF((IFERROR(INDEX('ASIGNACIONES'!$F$4:$F$339,MATCH($O974&amp;"|"&amp;$R974&amp;"|"&amp;$AE974,'ASIGNACIONES'!$J$4:$J$339,0)),""))=0,"",IFERROR(INDEX('ASIGNACIONES'!$F$4:$F$339,MATCH($O974&amp;"|"&amp;$R974&amp;"|"&amp;$AE974,'ASIGNACIONES'!$J$4:$J$339,0)),"")))</f>
        <v/>
      </c>
      <c r="AG974" s="13">
        <f>IF($AE974="","",SUMIFS('ORDENES'!$M$4:$M$1203,'ORDENES'!$AE$4:$AE$1203,$AE974,'ORDENES'!$O$4:$O$1203,$O974,'ORDENES'!$R$4:$R$1203,$R974))</f>
        <v/>
      </c>
      <c r="AH974" s="13">
        <f>IF($AG974="","",p_factor_productividad*IFERROR(INDEX('ASIGNACIONES'!$I$4:$I$339,MATCH($O974&amp;"|"&amp;$R974&amp;"|"&amp;$AE974,'ASIGNACIONES'!$J$4:$J$339,0)),0)-$AG974)</f>
        <v/>
      </c>
      <c r="AI974" s="10">
        <f>IF($A974="","",IFERROR(INDEX('2_IMPORTAR_EJECUCION'!$F$9:$F$1208,MATCH($AQ974,'2_IMPORTAR_EJECUCION'!$J$9:$J$1208,0)),0))</f>
        <v/>
      </c>
      <c r="AJ974" s="10">
        <f>IF($A974="","",MAX(0,IFERROR(INDEX('2_IMPORTAR_EJECUCION'!$H$9:$H$1208,MATCH($AQ974,'2_IMPORTAR_EJECUCION'!$J$9:$J$1208,0)),0)-$AI974))</f>
        <v/>
      </c>
      <c r="AK974" s="10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2">
        <f>IF($J975="","",TODAY()-$J975)</f>
        <v/>
      </c>
      <c r="AB975" s="12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IF($AE975="","",IF((IFERROR(INDEX('ASIGNACIONES'!$F$4:$F$339,MATCH($O975&amp;"|"&amp;$R975&amp;"|"&amp;$AE975,'ASIGNACIONES'!$J$4:$J$339,0)),""))=0,"",IFERROR(INDEX('ASIGNACIONES'!$F$4:$F$339,MATCH($O975&amp;"|"&amp;$R975&amp;"|"&amp;$AE975,'ASIGNACIONES'!$J$4:$J$339,0)),"")))</f>
        <v/>
      </c>
      <c r="AG975" s="13">
        <f>IF($AE975="","",SUMIFS('ORDENES'!$M$4:$M$1203,'ORDENES'!$AE$4:$AE$1203,$AE975,'ORDENES'!$O$4:$O$1203,$O975,'ORDENES'!$R$4:$R$1203,$R975))</f>
        <v/>
      </c>
      <c r="AH975" s="13">
        <f>IF($AG975="","",p_factor_productividad*IFERROR(INDEX('ASIGNACIONES'!$I$4:$I$339,MATCH($O975&amp;"|"&amp;$R975&amp;"|"&amp;$AE975,'ASIGNACIONES'!$J$4:$J$339,0)),0)-$AG975)</f>
        <v/>
      </c>
      <c r="AI975" s="10">
        <f>IF($A975="","",IFERROR(INDEX('2_IMPORTAR_EJECUCION'!$F$9:$F$1208,MATCH($AQ975,'2_IMPORTAR_EJECUCION'!$J$9:$J$1208,0)),0))</f>
        <v/>
      </c>
      <c r="AJ975" s="10">
        <f>IF($A975="","",MAX(0,IFERROR(INDEX('2_IMPORTAR_EJECUCION'!$H$9:$H$1208,MATCH($AQ975,'2_IMPORTAR_EJECUCION'!$J$9:$J$1208,0)),0)-$AI975))</f>
        <v/>
      </c>
      <c r="AK975" s="10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2">
        <f>IF($J976="","",TODAY()-$J976)</f>
        <v/>
      </c>
      <c r="AB976" s="12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IF($AE976="","",IF((IFERROR(INDEX('ASIGNACIONES'!$F$4:$F$339,MATCH($O976&amp;"|"&amp;$R976&amp;"|"&amp;$AE976,'ASIGNACIONES'!$J$4:$J$339,0)),""))=0,"",IFERROR(INDEX('ASIGNACIONES'!$F$4:$F$339,MATCH($O976&amp;"|"&amp;$R976&amp;"|"&amp;$AE976,'ASIGNACIONES'!$J$4:$J$339,0)),"")))</f>
        <v/>
      </c>
      <c r="AG976" s="13">
        <f>IF($AE976="","",SUMIFS('ORDENES'!$M$4:$M$1203,'ORDENES'!$AE$4:$AE$1203,$AE976,'ORDENES'!$O$4:$O$1203,$O976,'ORDENES'!$R$4:$R$1203,$R976))</f>
        <v/>
      </c>
      <c r="AH976" s="13">
        <f>IF($AG976="","",p_factor_productividad*IFERROR(INDEX('ASIGNACIONES'!$I$4:$I$339,MATCH($O976&amp;"|"&amp;$R976&amp;"|"&amp;$AE976,'ASIGNACIONES'!$J$4:$J$339,0)),0)-$AG976)</f>
        <v/>
      </c>
      <c r="AI976" s="10">
        <f>IF($A976="","",IFERROR(INDEX('2_IMPORTAR_EJECUCION'!$F$9:$F$1208,MATCH($AQ976,'2_IMPORTAR_EJECUCION'!$J$9:$J$1208,0)),0))</f>
        <v/>
      </c>
      <c r="AJ976" s="10">
        <f>IF($A976="","",MAX(0,IFERROR(INDEX('2_IMPORTAR_EJECUCION'!$H$9:$H$1208,MATCH($AQ976,'2_IMPORTAR_EJECUCION'!$J$9:$J$1208,0)),0)-$AI976))</f>
        <v/>
      </c>
      <c r="AK976" s="10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2">
        <f>IF($J977="","",TODAY()-$J977)</f>
        <v/>
      </c>
      <c r="AB977" s="12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IF($AE977="","",IF((IFERROR(INDEX('ASIGNACIONES'!$F$4:$F$339,MATCH($O977&amp;"|"&amp;$R977&amp;"|"&amp;$AE977,'ASIGNACIONES'!$J$4:$J$339,0)),""))=0,"",IFERROR(INDEX('ASIGNACIONES'!$F$4:$F$339,MATCH($O977&amp;"|"&amp;$R977&amp;"|"&amp;$AE977,'ASIGNACIONES'!$J$4:$J$339,0)),"")))</f>
        <v/>
      </c>
      <c r="AG977" s="13">
        <f>IF($AE977="","",SUMIFS('ORDENES'!$M$4:$M$1203,'ORDENES'!$AE$4:$AE$1203,$AE977,'ORDENES'!$O$4:$O$1203,$O977,'ORDENES'!$R$4:$R$1203,$R977))</f>
        <v/>
      </c>
      <c r="AH977" s="13">
        <f>IF($AG977="","",p_factor_productividad*IFERROR(INDEX('ASIGNACIONES'!$I$4:$I$339,MATCH($O977&amp;"|"&amp;$R977&amp;"|"&amp;$AE977,'ASIGNACIONES'!$J$4:$J$339,0)),0)-$AG977)</f>
        <v/>
      </c>
      <c r="AI977" s="10">
        <f>IF($A977="","",IFERROR(INDEX('2_IMPORTAR_EJECUCION'!$F$9:$F$1208,MATCH($AQ977,'2_IMPORTAR_EJECUCION'!$J$9:$J$1208,0)),0))</f>
        <v/>
      </c>
      <c r="AJ977" s="10">
        <f>IF($A977="","",MAX(0,IFERROR(INDEX('2_IMPORTAR_EJECUCION'!$H$9:$H$1208,MATCH($AQ977,'2_IMPORTAR_EJECUCION'!$J$9:$J$1208,0)),0)-$AI977))</f>
        <v/>
      </c>
      <c r="AK977" s="10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2">
        <f>IF($J978="","",TODAY()-$J978)</f>
        <v/>
      </c>
      <c r="AB978" s="12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IF($AE978="","",IF((IFERROR(INDEX('ASIGNACIONES'!$F$4:$F$339,MATCH($O978&amp;"|"&amp;$R978&amp;"|"&amp;$AE978,'ASIGNACIONES'!$J$4:$J$339,0)),""))=0,"",IFERROR(INDEX('ASIGNACIONES'!$F$4:$F$339,MATCH($O978&amp;"|"&amp;$R978&amp;"|"&amp;$AE978,'ASIGNACIONES'!$J$4:$J$339,0)),"")))</f>
        <v/>
      </c>
      <c r="AG978" s="13">
        <f>IF($AE978="","",SUMIFS('ORDENES'!$M$4:$M$1203,'ORDENES'!$AE$4:$AE$1203,$AE978,'ORDENES'!$O$4:$O$1203,$O978,'ORDENES'!$R$4:$R$1203,$R978))</f>
        <v/>
      </c>
      <c r="AH978" s="13">
        <f>IF($AG978="","",p_factor_productividad*IFERROR(INDEX('ASIGNACIONES'!$I$4:$I$339,MATCH($O978&amp;"|"&amp;$R978&amp;"|"&amp;$AE978,'ASIGNACIONES'!$J$4:$J$339,0)),0)-$AG978)</f>
        <v/>
      </c>
      <c r="AI978" s="10">
        <f>IF($A978="","",IFERROR(INDEX('2_IMPORTAR_EJECUCION'!$F$9:$F$1208,MATCH($AQ978,'2_IMPORTAR_EJECUCION'!$J$9:$J$1208,0)),0))</f>
        <v/>
      </c>
      <c r="AJ978" s="10">
        <f>IF($A978="","",MAX(0,IFERROR(INDEX('2_IMPORTAR_EJECUCION'!$H$9:$H$1208,MATCH($AQ978,'2_IMPORTAR_EJECUCION'!$J$9:$J$1208,0)),0)-$AI978))</f>
        <v/>
      </c>
      <c r="AK978" s="10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2">
        <f>IF($J979="","",TODAY()-$J979)</f>
        <v/>
      </c>
      <c r="AB979" s="12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IF($AE979="","",IF((IFERROR(INDEX('ASIGNACIONES'!$F$4:$F$339,MATCH($O979&amp;"|"&amp;$R979&amp;"|"&amp;$AE979,'ASIGNACIONES'!$J$4:$J$339,0)),""))=0,"",IFERROR(INDEX('ASIGNACIONES'!$F$4:$F$339,MATCH($O979&amp;"|"&amp;$R979&amp;"|"&amp;$AE979,'ASIGNACIONES'!$J$4:$J$339,0)),"")))</f>
        <v/>
      </c>
      <c r="AG979" s="13">
        <f>IF($AE979="","",SUMIFS('ORDENES'!$M$4:$M$1203,'ORDENES'!$AE$4:$AE$1203,$AE979,'ORDENES'!$O$4:$O$1203,$O979,'ORDENES'!$R$4:$R$1203,$R979))</f>
        <v/>
      </c>
      <c r="AH979" s="13">
        <f>IF($AG979="","",p_factor_productividad*IFERROR(INDEX('ASIGNACIONES'!$I$4:$I$339,MATCH($O979&amp;"|"&amp;$R979&amp;"|"&amp;$AE979,'ASIGNACIONES'!$J$4:$J$339,0)),0)-$AG979)</f>
        <v/>
      </c>
      <c r="AI979" s="10">
        <f>IF($A979="","",IFERROR(INDEX('2_IMPORTAR_EJECUCION'!$F$9:$F$1208,MATCH($AQ979,'2_IMPORTAR_EJECUCION'!$J$9:$J$1208,0)),0))</f>
        <v/>
      </c>
      <c r="AJ979" s="10">
        <f>IF($A979="","",MAX(0,IFERROR(INDEX('2_IMPORTAR_EJECUCION'!$H$9:$H$1208,MATCH($AQ979,'2_IMPORTAR_EJECUCION'!$J$9:$J$1208,0)),0)-$AI979))</f>
        <v/>
      </c>
      <c r="AK979" s="10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2">
        <f>IF($J980="","",TODAY()-$J980)</f>
        <v/>
      </c>
      <c r="AB980" s="12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IF($AE980="","",IF((IFERROR(INDEX('ASIGNACIONES'!$F$4:$F$339,MATCH($O980&amp;"|"&amp;$R980&amp;"|"&amp;$AE980,'ASIGNACIONES'!$J$4:$J$339,0)),""))=0,"",IFERROR(INDEX('ASIGNACIONES'!$F$4:$F$339,MATCH($O980&amp;"|"&amp;$R980&amp;"|"&amp;$AE980,'ASIGNACIONES'!$J$4:$J$339,0)),"")))</f>
        <v/>
      </c>
      <c r="AG980" s="13">
        <f>IF($AE980="","",SUMIFS('ORDENES'!$M$4:$M$1203,'ORDENES'!$AE$4:$AE$1203,$AE980,'ORDENES'!$O$4:$O$1203,$O980,'ORDENES'!$R$4:$R$1203,$R980))</f>
        <v/>
      </c>
      <c r="AH980" s="13">
        <f>IF($AG980="","",p_factor_productividad*IFERROR(INDEX('ASIGNACIONES'!$I$4:$I$339,MATCH($O980&amp;"|"&amp;$R980&amp;"|"&amp;$AE980,'ASIGNACIONES'!$J$4:$J$339,0)),0)-$AG980)</f>
        <v/>
      </c>
      <c r="AI980" s="10">
        <f>IF($A980="","",IFERROR(INDEX('2_IMPORTAR_EJECUCION'!$F$9:$F$1208,MATCH($AQ980,'2_IMPORTAR_EJECUCION'!$J$9:$J$1208,0)),0))</f>
        <v/>
      </c>
      <c r="AJ980" s="10">
        <f>IF($A980="","",MAX(0,IFERROR(INDEX('2_IMPORTAR_EJECUCION'!$H$9:$H$1208,MATCH($AQ980,'2_IMPORTAR_EJECUCION'!$J$9:$J$1208,0)),0)-$AI980))</f>
        <v/>
      </c>
      <c r="AK980" s="10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2">
        <f>IF($J981="","",TODAY()-$J981)</f>
        <v/>
      </c>
      <c r="AB981" s="12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IF($AE981="","",IF((IFERROR(INDEX('ASIGNACIONES'!$F$4:$F$339,MATCH($O981&amp;"|"&amp;$R981&amp;"|"&amp;$AE981,'ASIGNACIONES'!$J$4:$J$339,0)),""))=0,"",IFERROR(INDEX('ASIGNACIONES'!$F$4:$F$339,MATCH($O981&amp;"|"&amp;$R981&amp;"|"&amp;$AE981,'ASIGNACIONES'!$J$4:$J$339,0)),"")))</f>
        <v/>
      </c>
      <c r="AG981" s="13">
        <f>IF($AE981="","",SUMIFS('ORDENES'!$M$4:$M$1203,'ORDENES'!$AE$4:$AE$1203,$AE981,'ORDENES'!$O$4:$O$1203,$O981,'ORDENES'!$R$4:$R$1203,$R981))</f>
        <v/>
      </c>
      <c r="AH981" s="13">
        <f>IF($AG981="","",p_factor_productividad*IFERROR(INDEX('ASIGNACIONES'!$I$4:$I$339,MATCH($O981&amp;"|"&amp;$R981&amp;"|"&amp;$AE981,'ASIGNACIONES'!$J$4:$J$339,0)),0)-$AG981)</f>
        <v/>
      </c>
      <c r="AI981" s="10">
        <f>IF($A981="","",IFERROR(INDEX('2_IMPORTAR_EJECUCION'!$F$9:$F$1208,MATCH($AQ981,'2_IMPORTAR_EJECUCION'!$J$9:$J$1208,0)),0))</f>
        <v/>
      </c>
      <c r="AJ981" s="10">
        <f>IF($A981="","",MAX(0,IFERROR(INDEX('2_IMPORTAR_EJECUCION'!$H$9:$H$1208,MATCH($AQ981,'2_IMPORTAR_EJECUCION'!$J$9:$J$1208,0)),0)-$AI981))</f>
        <v/>
      </c>
      <c r="AK981" s="10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2">
        <f>IF($J982="","",TODAY()-$J982)</f>
        <v/>
      </c>
      <c r="AB982" s="12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IF($AE982="","",IF((IFERROR(INDEX('ASIGNACIONES'!$F$4:$F$339,MATCH($O982&amp;"|"&amp;$R982&amp;"|"&amp;$AE982,'ASIGNACIONES'!$J$4:$J$339,0)),""))=0,"",IFERROR(INDEX('ASIGNACIONES'!$F$4:$F$339,MATCH($O982&amp;"|"&amp;$R982&amp;"|"&amp;$AE982,'ASIGNACIONES'!$J$4:$J$339,0)),"")))</f>
        <v/>
      </c>
      <c r="AG982" s="13">
        <f>IF($AE982="","",SUMIFS('ORDENES'!$M$4:$M$1203,'ORDENES'!$AE$4:$AE$1203,$AE982,'ORDENES'!$O$4:$O$1203,$O982,'ORDENES'!$R$4:$R$1203,$R982))</f>
        <v/>
      </c>
      <c r="AH982" s="13">
        <f>IF($AG982="","",p_factor_productividad*IFERROR(INDEX('ASIGNACIONES'!$I$4:$I$339,MATCH($O982&amp;"|"&amp;$R982&amp;"|"&amp;$AE982,'ASIGNACIONES'!$J$4:$J$339,0)),0)-$AG982)</f>
        <v/>
      </c>
      <c r="AI982" s="10">
        <f>IF($A982="","",IFERROR(INDEX('2_IMPORTAR_EJECUCION'!$F$9:$F$1208,MATCH($AQ982,'2_IMPORTAR_EJECUCION'!$J$9:$J$1208,0)),0))</f>
        <v/>
      </c>
      <c r="AJ982" s="10">
        <f>IF($A982="","",MAX(0,IFERROR(INDEX('2_IMPORTAR_EJECUCION'!$H$9:$H$1208,MATCH($AQ982,'2_IMPORTAR_EJECUCION'!$J$9:$J$1208,0)),0)-$AI982))</f>
        <v/>
      </c>
      <c r="AK982" s="10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2">
        <f>IF($J983="","",TODAY()-$J983)</f>
        <v/>
      </c>
      <c r="AB983" s="12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IF($AE983="","",IF((IFERROR(INDEX('ASIGNACIONES'!$F$4:$F$339,MATCH($O983&amp;"|"&amp;$R983&amp;"|"&amp;$AE983,'ASIGNACIONES'!$J$4:$J$339,0)),""))=0,"",IFERROR(INDEX('ASIGNACIONES'!$F$4:$F$339,MATCH($O983&amp;"|"&amp;$R983&amp;"|"&amp;$AE983,'ASIGNACIONES'!$J$4:$J$339,0)),"")))</f>
        <v/>
      </c>
      <c r="AG983" s="13">
        <f>IF($AE983="","",SUMIFS('ORDENES'!$M$4:$M$1203,'ORDENES'!$AE$4:$AE$1203,$AE983,'ORDENES'!$O$4:$O$1203,$O983,'ORDENES'!$R$4:$R$1203,$R983))</f>
        <v/>
      </c>
      <c r="AH983" s="13">
        <f>IF($AG983="","",p_factor_productividad*IFERROR(INDEX('ASIGNACIONES'!$I$4:$I$339,MATCH($O983&amp;"|"&amp;$R983&amp;"|"&amp;$AE983,'ASIGNACIONES'!$J$4:$J$339,0)),0)-$AG983)</f>
        <v/>
      </c>
      <c r="AI983" s="10">
        <f>IF($A983="","",IFERROR(INDEX('2_IMPORTAR_EJECUCION'!$F$9:$F$1208,MATCH($AQ983,'2_IMPORTAR_EJECUCION'!$J$9:$J$1208,0)),0))</f>
        <v/>
      </c>
      <c r="AJ983" s="10">
        <f>IF($A983="","",MAX(0,IFERROR(INDEX('2_IMPORTAR_EJECUCION'!$H$9:$H$1208,MATCH($AQ983,'2_IMPORTAR_EJECUCION'!$J$9:$J$1208,0)),0)-$AI983))</f>
        <v/>
      </c>
      <c r="AK983" s="10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2">
        <f>IF($J984="","",TODAY()-$J984)</f>
        <v/>
      </c>
      <c r="AB984" s="12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IF($AE984="","",IF((IFERROR(INDEX('ASIGNACIONES'!$F$4:$F$339,MATCH($O984&amp;"|"&amp;$R984&amp;"|"&amp;$AE984,'ASIGNACIONES'!$J$4:$J$339,0)),""))=0,"",IFERROR(INDEX('ASIGNACIONES'!$F$4:$F$339,MATCH($O984&amp;"|"&amp;$R984&amp;"|"&amp;$AE984,'ASIGNACIONES'!$J$4:$J$339,0)),"")))</f>
        <v/>
      </c>
      <c r="AG984" s="13">
        <f>IF($AE984="","",SUMIFS('ORDENES'!$M$4:$M$1203,'ORDENES'!$AE$4:$AE$1203,$AE984,'ORDENES'!$O$4:$O$1203,$O984,'ORDENES'!$R$4:$R$1203,$R984))</f>
        <v/>
      </c>
      <c r="AH984" s="13">
        <f>IF($AG984="","",p_factor_productividad*IFERROR(INDEX('ASIGNACIONES'!$I$4:$I$339,MATCH($O984&amp;"|"&amp;$R984&amp;"|"&amp;$AE984,'ASIGNACIONES'!$J$4:$J$339,0)),0)-$AG984)</f>
        <v/>
      </c>
      <c r="AI984" s="10">
        <f>IF($A984="","",IFERROR(INDEX('2_IMPORTAR_EJECUCION'!$F$9:$F$1208,MATCH($AQ984,'2_IMPORTAR_EJECUCION'!$J$9:$J$1208,0)),0))</f>
        <v/>
      </c>
      <c r="AJ984" s="10">
        <f>IF($A984="","",MAX(0,IFERROR(INDEX('2_IMPORTAR_EJECUCION'!$H$9:$H$1208,MATCH($AQ984,'2_IMPORTAR_EJECUCION'!$J$9:$J$1208,0)),0)-$AI984))</f>
        <v/>
      </c>
      <c r="AK984" s="10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2">
        <f>IF($J985="","",TODAY()-$J985)</f>
        <v/>
      </c>
      <c r="AB985" s="12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IF($AE985="","",IF((IFERROR(INDEX('ASIGNACIONES'!$F$4:$F$339,MATCH($O985&amp;"|"&amp;$R985&amp;"|"&amp;$AE985,'ASIGNACIONES'!$J$4:$J$339,0)),""))=0,"",IFERROR(INDEX('ASIGNACIONES'!$F$4:$F$339,MATCH($O985&amp;"|"&amp;$R985&amp;"|"&amp;$AE985,'ASIGNACIONES'!$J$4:$J$339,0)),"")))</f>
        <v/>
      </c>
      <c r="AG985" s="13">
        <f>IF($AE985="","",SUMIFS('ORDENES'!$M$4:$M$1203,'ORDENES'!$AE$4:$AE$1203,$AE985,'ORDENES'!$O$4:$O$1203,$O985,'ORDENES'!$R$4:$R$1203,$R985))</f>
        <v/>
      </c>
      <c r="AH985" s="13">
        <f>IF($AG985="","",p_factor_productividad*IFERROR(INDEX('ASIGNACIONES'!$I$4:$I$339,MATCH($O985&amp;"|"&amp;$R985&amp;"|"&amp;$AE985,'ASIGNACIONES'!$J$4:$J$339,0)),0)-$AG985)</f>
        <v/>
      </c>
      <c r="AI985" s="10">
        <f>IF($A985="","",IFERROR(INDEX('2_IMPORTAR_EJECUCION'!$F$9:$F$1208,MATCH($AQ985,'2_IMPORTAR_EJECUCION'!$J$9:$J$1208,0)),0))</f>
        <v/>
      </c>
      <c r="AJ985" s="10">
        <f>IF($A985="","",MAX(0,IFERROR(INDEX('2_IMPORTAR_EJECUCION'!$H$9:$H$1208,MATCH($AQ985,'2_IMPORTAR_EJECUCION'!$J$9:$J$1208,0)),0)-$AI985))</f>
        <v/>
      </c>
      <c r="AK985" s="10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2">
        <f>IF($J986="","",TODAY()-$J986)</f>
        <v/>
      </c>
      <c r="AB986" s="12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IF($AE986="","",IF((IFERROR(INDEX('ASIGNACIONES'!$F$4:$F$339,MATCH($O986&amp;"|"&amp;$R986&amp;"|"&amp;$AE986,'ASIGNACIONES'!$J$4:$J$339,0)),""))=0,"",IFERROR(INDEX('ASIGNACIONES'!$F$4:$F$339,MATCH($O986&amp;"|"&amp;$R986&amp;"|"&amp;$AE986,'ASIGNACIONES'!$J$4:$J$339,0)),"")))</f>
        <v/>
      </c>
      <c r="AG986" s="13">
        <f>IF($AE986="","",SUMIFS('ORDENES'!$M$4:$M$1203,'ORDENES'!$AE$4:$AE$1203,$AE986,'ORDENES'!$O$4:$O$1203,$O986,'ORDENES'!$R$4:$R$1203,$R986))</f>
        <v/>
      </c>
      <c r="AH986" s="13">
        <f>IF($AG986="","",p_factor_productividad*IFERROR(INDEX('ASIGNACIONES'!$I$4:$I$339,MATCH($O986&amp;"|"&amp;$R986&amp;"|"&amp;$AE986,'ASIGNACIONES'!$J$4:$J$339,0)),0)-$AG986)</f>
        <v/>
      </c>
      <c r="AI986" s="10">
        <f>IF($A986="","",IFERROR(INDEX('2_IMPORTAR_EJECUCION'!$F$9:$F$1208,MATCH($AQ986,'2_IMPORTAR_EJECUCION'!$J$9:$J$1208,0)),0))</f>
        <v/>
      </c>
      <c r="AJ986" s="10">
        <f>IF($A986="","",MAX(0,IFERROR(INDEX('2_IMPORTAR_EJECUCION'!$H$9:$H$1208,MATCH($AQ986,'2_IMPORTAR_EJECUCION'!$J$9:$J$1208,0)),0)-$AI986))</f>
        <v/>
      </c>
      <c r="AK986" s="10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2">
        <f>IF($J987="","",TODAY()-$J987)</f>
        <v/>
      </c>
      <c r="AB987" s="12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IF($AE987="","",IF((IFERROR(INDEX('ASIGNACIONES'!$F$4:$F$339,MATCH($O987&amp;"|"&amp;$R987&amp;"|"&amp;$AE987,'ASIGNACIONES'!$J$4:$J$339,0)),""))=0,"",IFERROR(INDEX('ASIGNACIONES'!$F$4:$F$339,MATCH($O987&amp;"|"&amp;$R987&amp;"|"&amp;$AE987,'ASIGNACIONES'!$J$4:$J$339,0)),"")))</f>
        <v/>
      </c>
      <c r="AG987" s="13">
        <f>IF($AE987="","",SUMIFS('ORDENES'!$M$4:$M$1203,'ORDENES'!$AE$4:$AE$1203,$AE987,'ORDENES'!$O$4:$O$1203,$O987,'ORDENES'!$R$4:$R$1203,$R987))</f>
        <v/>
      </c>
      <c r="AH987" s="13">
        <f>IF($AG987="","",p_factor_productividad*IFERROR(INDEX('ASIGNACIONES'!$I$4:$I$339,MATCH($O987&amp;"|"&amp;$R987&amp;"|"&amp;$AE987,'ASIGNACIONES'!$J$4:$J$339,0)),0)-$AG987)</f>
        <v/>
      </c>
      <c r="AI987" s="10">
        <f>IF($A987="","",IFERROR(INDEX('2_IMPORTAR_EJECUCION'!$F$9:$F$1208,MATCH($AQ987,'2_IMPORTAR_EJECUCION'!$J$9:$J$1208,0)),0))</f>
        <v/>
      </c>
      <c r="AJ987" s="10">
        <f>IF($A987="","",MAX(0,IFERROR(INDEX('2_IMPORTAR_EJECUCION'!$H$9:$H$1208,MATCH($AQ987,'2_IMPORTAR_EJECUCION'!$J$9:$J$1208,0)),0)-$AI987))</f>
        <v/>
      </c>
      <c r="AK987" s="10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2">
        <f>IF($J988="","",TODAY()-$J988)</f>
        <v/>
      </c>
      <c r="AB988" s="12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IF($AE988="","",IF((IFERROR(INDEX('ASIGNACIONES'!$F$4:$F$339,MATCH($O988&amp;"|"&amp;$R988&amp;"|"&amp;$AE988,'ASIGNACIONES'!$J$4:$J$339,0)),""))=0,"",IFERROR(INDEX('ASIGNACIONES'!$F$4:$F$339,MATCH($O988&amp;"|"&amp;$R988&amp;"|"&amp;$AE988,'ASIGNACIONES'!$J$4:$J$339,0)),"")))</f>
        <v/>
      </c>
      <c r="AG988" s="13">
        <f>IF($AE988="","",SUMIFS('ORDENES'!$M$4:$M$1203,'ORDENES'!$AE$4:$AE$1203,$AE988,'ORDENES'!$O$4:$O$1203,$O988,'ORDENES'!$R$4:$R$1203,$R988))</f>
        <v/>
      </c>
      <c r="AH988" s="13">
        <f>IF($AG988="","",p_factor_productividad*IFERROR(INDEX('ASIGNACIONES'!$I$4:$I$339,MATCH($O988&amp;"|"&amp;$R988&amp;"|"&amp;$AE988,'ASIGNACIONES'!$J$4:$J$339,0)),0)-$AG988)</f>
        <v/>
      </c>
      <c r="AI988" s="10">
        <f>IF($A988="","",IFERROR(INDEX('2_IMPORTAR_EJECUCION'!$F$9:$F$1208,MATCH($AQ988,'2_IMPORTAR_EJECUCION'!$J$9:$J$1208,0)),0))</f>
        <v/>
      </c>
      <c r="AJ988" s="10">
        <f>IF($A988="","",MAX(0,IFERROR(INDEX('2_IMPORTAR_EJECUCION'!$H$9:$H$1208,MATCH($AQ988,'2_IMPORTAR_EJECUCION'!$J$9:$J$1208,0)),0)-$AI988))</f>
        <v/>
      </c>
      <c r="AK988" s="10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2">
        <f>IF($J989="","",TODAY()-$J989)</f>
        <v/>
      </c>
      <c r="AB989" s="12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IF($AE989="","",IF((IFERROR(INDEX('ASIGNACIONES'!$F$4:$F$339,MATCH($O989&amp;"|"&amp;$R989&amp;"|"&amp;$AE989,'ASIGNACIONES'!$J$4:$J$339,0)),""))=0,"",IFERROR(INDEX('ASIGNACIONES'!$F$4:$F$339,MATCH($O989&amp;"|"&amp;$R989&amp;"|"&amp;$AE989,'ASIGNACIONES'!$J$4:$J$339,0)),"")))</f>
        <v/>
      </c>
      <c r="AG989" s="13">
        <f>IF($AE989="","",SUMIFS('ORDENES'!$M$4:$M$1203,'ORDENES'!$AE$4:$AE$1203,$AE989,'ORDENES'!$O$4:$O$1203,$O989,'ORDENES'!$R$4:$R$1203,$R989))</f>
        <v/>
      </c>
      <c r="AH989" s="13">
        <f>IF($AG989="","",p_factor_productividad*IFERROR(INDEX('ASIGNACIONES'!$I$4:$I$339,MATCH($O989&amp;"|"&amp;$R989&amp;"|"&amp;$AE989,'ASIGNACIONES'!$J$4:$J$339,0)),0)-$AG989)</f>
        <v/>
      </c>
      <c r="AI989" s="10">
        <f>IF($A989="","",IFERROR(INDEX('2_IMPORTAR_EJECUCION'!$F$9:$F$1208,MATCH($AQ989,'2_IMPORTAR_EJECUCION'!$J$9:$J$1208,0)),0))</f>
        <v/>
      </c>
      <c r="AJ989" s="10">
        <f>IF($A989="","",MAX(0,IFERROR(INDEX('2_IMPORTAR_EJECUCION'!$H$9:$H$1208,MATCH($AQ989,'2_IMPORTAR_EJECUCION'!$J$9:$J$1208,0)),0)-$AI989))</f>
        <v/>
      </c>
      <c r="AK989" s="10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2">
        <f>IF($J990="","",TODAY()-$J990)</f>
        <v/>
      </c>
      <c r="AB990" s="12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IF($AE990="","",IF((IFERROR(INDEX('ASIGNACIONES'!$F$4:$F$339,MATCH($O990&amp;"|"&amp;$R990&amp;"|"&amp;$AE990,'ASIGNACIONES'!$J$4:$J$339,0)),""))=0,"",IFERROR(INDEX('ASIGNACIONES'!$F$4:$F$339,MATCH($O990&amp;"|"&amp;$R990&amp;"|"&amp;$AE990,'ASIGNACIONES'!$J$4:$J$339,0)),"")))</f>
        <v/>
      </c>
      <c r="AG990" s="13">
        <f>IF($AE990="","",SUMIFS('ORDENES'!$M$4:$M$1203,'ORDENES'!$AE$4:$AE$1203,$AE990,'ORDENES'!$O$4:$O$1203,$O990,'ORDENES'!$R$4:$R$1203,$R990))</f>
        <v/>
      </c>
      <c r="AH990" s="13">
        <f>IF($AG990="","",p_factor_productividad*IFERROR(INDEX('ASIGNACIONES'!$I$4:$I$339,MATCH($O990&amp;"|"&amp;$R990&amp;"|"&amp;$AE990,'ASIGNACIONES'!$J$4:$J$339,0)),0)-$AG990)</f>
        <v/>
      </c>
      <c r="AI990" s="10">
        <f>IF($A990="","",IFERROR(INDEX('2_IMPORTAR_EJECUCION'!$F$9:$F$1208,MATCH($AQ990,'2_IMPORTAR_EJECUCION'!$J$9:$J$1208,0)),0))</f>
        <v/>
      </c>
      <c r="AJ990" s="10">
        <f>IF($A990="","",MAX(0,IFERROR(INDEX('2_IMPORTAR_EJECUCION'!$H$9:$H$1208,MATCH($AQ990,'2_IMPORTAR_EJECUCION'!$J$9:$J$1208,0)),0)-$AI990))</f>
        <v/>
      </c>
      <c r="AK990" s="10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2">
        <f>IF($J991="","",TODAY()-$J991)</f>
        <v/>
      </c>
      <c r="AB991" s="12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IF($AE991="","",IF((IFERROR(INDEX('ASIGNACIONES'!$F$4:$F$339,MATCH($O991&amp;"|"&amp;$R991&amp;"|"&amp;$AE991,'ASIGNACIONES'!$J$4:$J$339,0)),""))=0,"",IFERROR(INDEX('ASIGNACIONES'!$F$4:$F$339,MATCH($O991&amp;"|"&amp;$R991&amp;"|"&amp;$AE991,'ASIGNACIONES'!$J$4:$J$339,0)),"")))</f>
        <v/>
      </c>
      <c r="AG991" s="13">
        <f>IF($AE991="","",SUMIFS('ORDENES'!$M$4:$M$1203,'ORDENES'!$AE$4:$AE$1203,$AE991,'ORDENES'!$O$4:$O$1203,$O991,'ORDENES'!$R$4:$R$1203,$R991))</f>
        <v/>
      </c>
      <c r="AH991" s="13">
        <f>IF($AG991="","",p_factor_productividad*IFERROR(INDEX('ASIGNACIONES'!$I$4:$I$339,MATCH($O991&amp;"|"&amp;$R991&amp;"|"&amp;$AE991,'ASIGNACIONES'!$J$4:$J$339,0)),0)-$AG991)</f>
        <v/>
      </c>
      <c r="AI991" s="10">
        <f>IF($A991="","",IFERROR(INDEX('2_IMPORTAR_EJECUCION'!$F$9:$F$1208,MATCH($AQ991,'2_IMPORTAR_EJECUCION'!$J$9:$J$1208,0)),0))</f>
        <v/>
      </c>
      <c r="AJ991" s="10">
        <f>IF($A991="","",MAX(0,IFERROR(INDEX('2_IMPORTAR_EJECUCION'!$H$9:$H$1208,MATCH($AQ991,'2_IMPORTAR_EJECUCION'!$J$9:$J$1208,0)),0)-$AI991))</f>
        <v/>
      </c>
      <c r="AK991" s="10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2">
        <f>IF($J992="","",TODAY()-$J992)</f>
        <v/>
      </c>
      <c r="AB992" s="12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IF($AE992="","",IF((IFERROR(INDEX('ASIGNACIONES'!$F$4:$F$339,MATCH($O992&amp;"|"&amp;$R992&amp;"|"&amp;$AE992,'ASIGNACIONES'!$J$4:$J$339,0)),""))=0,"",IFERROR(INDEX('ASIGNACIONES'!$F$4:$F$339,MATCH($O992&amp;"|"&amp;$R992&amp;"|"&amp;$AE992,'ASIGNACIONES'!$J$4:$J$339,0)),"")))</f>
        <v/>
      </c>
      <c r="AG992" s="13">
        <f>IF($AE992="","",SUMIFS('ORDENES'!$M$4:$M$1203,'ORDENES'!$AE$4:$AE$1203,$AE992,'ORDENES'!$O$4:$O$1203,$O992,'ORDENES'!$R$4:$R$1203,$R992))</f>
        <v/>
      </c>
      <c r="AH992" s="13">
        <f>IF($AG992="","",p_factor_productividad*IFERROR(INDEX('ASIGNACIONES'!$I$4:$I$339,MATCH($O992&amp;"|"&amp;$R992&amp;"|"&amp;$AE992,'ASIGNACIONES'!$J$4:$J$339,0)),0)-$AG992)</f>
        <v/>
      </c>
      <c r="AI992" s="10">
        <f>IF($A992="","",IFERROR(INDEX('2_IMPORTAR_EJECUCION'!$F$9:$F$1208,MATCH($AQ992,'2_IMPORTAR_EJECUCION'!$J$9:$J$1208,0)),0))</f>
        <v/>
      </c>
      <c r="AJ992" s="10">
        <f>IF($A992="","",MAX(0,IFERROR(INDEX('2_IMPORTAR_EJECUCION'!$H$9:$H$1208,MATCH($AQ992,'2_IMPORTAR_EJECUCION'!$J$9:$J$1208,0)),0)-$AI992))</f>
        <v/>
      </c>
      <c r="AK992" s="10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2">
        <f>IF($J993="","",TODAY()-$J993)</f>
        <v/>
      </c>
      <c r="AB993" s="12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IF($AE993="","",IF((IFERROR(INDEX('ASIGNACIONES'!$F$4:$F$339,MATCH($O993&amp;"|"&amp;$R993&amp;"|"&amp;$AE993,'ASIGNACIONES'!$J$4:$J$339,0)),""))=0,"",IFERROR(INDEX('ASIGNACIONES'!$F$4:$F$339,MATCH($O993&amp;"|"&amp;$R993&amp;"|"&amp;$AE993,'ASIGNACIONES'!$J$4:$J$339,0)),"")))</f>
        <v/>
      </c>
      <c r="AG993" s="13">
        <f>IF($AE993="","",SUMIFS('ORDENES'!$M$4:$M$1203,'ORDENES'!$AE$4:$AE$1203,$AE993,'ORDENES'!$O$4:$O$1203,$O993,'ORDENES'!$R$4:$R$1203,$R993))</f>
        <v/>
      </c>
      <c r="AH993" s="13">
        <f>IF($AG993="","",p_factor_productividad*IFERROR(INDEX('ASIGNACIONES'!$I$4:$I$339,MATCH($O993&amp;"|"&amp;$R993&amp;"|"&amp;$AE993,'ASIGNACIONES'!$J$4:$J$339,0)),0)-$AG993)</f>
        <v/>
      </c>
      <c r="AI993" s="10">
        <f>IF($A993="","",IFERROR(INDEX('2_IMPORTAR_EJECUCION'!$F$9:$F$1208,MATCH($AQ993,'2_IMPORTAR_EJECUCION'!$J$9:$J$1208,0)),0))</f>
        <v/>
      </c>
      <c r="AJ993" s="10">
        <f>IF($A993="","",MAX(0,IFERROR(INDEX('2_IMPORTAR_EJECUCION'!$H$9:$H$1208,MATCH($AQ993,'2_IMPORTAR_EJECUCION'!$J$9:$J$1208,0)),0)-$AI993))</f>
        <v/>
      </c>
      <c r="AK993" s="10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2">
        <f>IF($J994="","",TODAY()-$J994)</f>
        <v/>
      </c>
      <c r="AB994" s="12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IF($AE994="","",IF((IFERROR(INDEX('ASIGNACIONES'!$F$4:$F$339,MATCH($O994&amp;"|"&amp;$R994&amp;"|"&amp;$AE994,'ASIGNACIONES'!$J$4:$J$339,0)),""))=0,"",IFERROR(INDEX('ASIGNACIONES'!$F$4:$F$339,MATCH($O994&amp;"|"&amp;$R994&amp;"|"&amp;$AE994,'ASIGNACIONES'!$J$4:$J$339,0)),"")))</f>
        <v/>
      </c>
      <c r="AG994" s="13">
        <f>IF($AE994="","",SUMIFS('ORDENES'!$M$4:$M$1203,'ORDENES'!$AE$4:$AE$1203,$AE994,'ORDENES'!$O$4:$O$1203,$O994,'ORDENES'!$R$4:$R$1203,$R994))</f>
        <v/>
      </c>
      <c r="AH994" s="13">
        <f>IF($AG994="","",p_factor_productividad*IFERROR(INDEX('ASIGNACIONES'!$I$4:$I$339,MATCH($O994&amp;"|"&amp;$R994&amp;"|"&amp;$AE994,'ASIGNACIONES'!$J$4:$J$339,0)),0)-$AG994)</f>
        <v/>
      </c>
      <c r="AI994" s="10">
        <f>IF($A994="","",IFERROR(INDEX('2_IMPORTAR_EJECUCION'!$F$9:$F$1208,MATCH($AQ994,'2_IMPORTAR_EJECUCION'!$J$9:$J$1208,0)),0))</f>
        <v/>
      </c>
      <c r="AJ994" s="10">
        <f>IF($A994="","",MAX(0,IFERROR(INDEX('2_IMPORTAR_EJECUCION'!$H$9:$H$1208,MATCH($AQ994,'2_IMPORTAR_EJECUCION'!$J$9:$J$1208,0)),0)-$AI994))</f>
        <v/>
      </c>
      <c r="AK994" s="10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2">
        <f>IF($J995="","",TODAY()-$J995)</f>
        <v/>
      </c>
      <c r="AB995" s="12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IF($AE995="","",IF((IFERROR(INDEX('ASIGNACIONES'!$F$4:$F$339,MATCH($O995&amp;"|"&amp;$R995&amp;"|"&amp;$AE995,'ASIGNACIONES'!$J$4:$J$339,0)),""))=0,"",IFERROR(INDEX('ASIGNACIONES'!$F$4:$F$339,MATCH($O995&amp;"|"&amp;$R995&amp;"|"&amp;$AE995,'ASIGNACIONES'!$J$4:$J$339,0)),"")))</f>
        <v/>
      </c>
      <c r="AG995" s="13">
        <f>IF($AE995="","",SUMIFS('ORDENES'!$M$4:$M$1203,'ORDENES'!$AE$4:$AE$1203,$AE995,'ORDENES'!$O$4:$O$1203,$O995,'ORDENES'!$R$4:$R$1203,$R995))</f>
        <v/>
      </c>
      <c r="AH995" s="13">
        <f>IF($AG995="","",p_factor_productividad*IFERROR(INDEX('ASIGNACIONES'!$I$4:$I$339,MATCH($O995&amp;"|"&amp;$R995&amp;"|"&amp;$AE995,'ASIGNACIONES'!$J$4:$J$339,0)),0)-$AG995)</f>
        <v/>
      </c>
      <c r="AI995" s="10">
        <f>IF($A995="","",IFERROR(INDEX('2_IMPORTAR_EJECUCION'!$F$9:$F$1208,MATCH($AQ995,'2_IMPORTAR_EJECUCION'!$J$9:$J$1208,0)),0))</f>
        <v/>
      </c>
      <c r="AJ995" s="10">
        <f>IF($A995="","",MAX(0,IFERROR(INDEX('2_IMPORTAR_EJECUCION'!$H$9:$H$1208,MATCH($AQ995,'2_IMPORTAR_EJECUCION'!$J$9:$J$1208,0)),0)-$AI995))</f>
        <v/>
      </c>
      <c r="AK995" s="10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2">
        <f>IF($J996="","",TODAY()-$J996)</f>
        <v/>
      </c>
      <c r="AB996" s="12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IF($AE996="","",IF((IFERROR(INDEX('ASIGNACIONES'!$F$4:$F$339,MATCH($O996&amp;"|"&amp;$R996&amp;"|"&amp;$AE996,'ASIGNACIONES'!$J$4:$J$339,0)),""))=0,"",IFERROR(INDEX('ASIGNACIONES'!$F$4:$F$339,MATCH($O996&amp;"|"&amp;$R996&amp;"|"&amp;$AE996,'ASIGNACIONES'!$J$4:$J$339,0)),"")))</f>
        <v/>
      </c>
      <c r="AG996" s="13">
        <f>IF($AE996="","",SUMIFS('ORDENES'!$M$4:$M$1203,'ORDENES'!$AE$4:$AE$1203,$AE996,'ORDENES'!$O$4:$O$1203,$O996,'ORDENES'!$R$4:$R$1203,$R996))</f>
        <v/>
      </c>
      <c r="AH996" s="13">
        <f>IF($AG996="","",p_factor_productividad*IFERROR(INDEX('ASIGNACIONES'!$I$4:$I$339,MATCH($O996&amp;"|"&amp;$R996&amp;"|"&amp;$AE996,'ASIGNACIONES'!$J$4:$J$339,0)),0)-$AG996)</f>
        <v/>
      </c>
      <c r="AI996" s="10">
        <f>IF($A996="","",IFERROR(INDEX('2_IMPORTAR_EJECUCION'!$F$9:$F$1208,MATCH($AQ996,'2_IMPORTAR_EJECUCION'!$J$9:$J$1208,0)),0))</f>
        <v/>
      </c>
      <c r="AJ996" s="10">
        <f>IF($A996="","",MAX(0,IFERROR(INDEX('2_IMPORTAR_EJECUCION'!$H$9:$H$1208,MATCH($AQ996,'2_IMPORTAR_EJECUCION'!$J$9:$J$1208,0)),0)-$AI996))</f>
        <v/>
      </c>
      <c r="AK996" s="10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2">
        <f>IF($J997="","",TODAY()-$J997)</f>
        <v/>
      </c>
      <c r="AB997" s="12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IF($AE997="","",IF((IFERROR(INDEX('ASIGNACIONES'!$F$4:$F$339,MATCH($O997&amp;"|"&amp;$R997&amp;"|"&amp;$AE997,'ASIGNACIONES'!$J$4:$J$339,0)),""))=0,"",IFERROR(INDEX('ASIGNACIONES'!$F$4:$F$339,MATCH($O997&amp;"|"&amp;$R997&amp;"|"&amp;$AE997,'ASIGNACIONES'!$J$4:$J$339,0)),"")))</f>
        <v/>
      </c>
      <c r="AG997" s="13">
        <f>IF($AE997="","",SUMIFS('ORDENES'!$M$4:$M$1203,'ORDENES'!$AE$4:$AE$1203,$AE997,'ORDENES'!$O$4:$O$1203,$O997,'ORDENES'!$R$4:$R$1203,$R997))</f>
        <v/>
      </c>
      <c r="AH997" s="13">
        <f>IF($AG997="","",p_factor_productividad*IFERROR(INDEX('ASIGNACIONES'!$I$4:$I$339,MATCH($O997&amp;"|"&amp;$R997&amp;"|"&amp;$AE997,'ASIGNACIONES'!$J$4:$J$339,0)),0)-$AG997)</f>
        <v/>
      </c>
      <c r="AI997" s="10">
        <f>IF($A997="","",IFERROR(INDEX('2_IMPORTAR_EJECUCION'!$F$9:$F$1208,MATCH($AQ997,'2_IMPORTAR_EJECUCION'!$J$9:$J$1208,0)),0))</f>
        <v/>
      </c>
      <c r="AJ997" s="10">
        <f>IF($A997="","",MAX(0,IFERROR(INDEX('2_IMPORTAR_EJECUCION'!$H$9:$H$1208,MATCH($AQ997,'2_IMPORTAR_EJECUCION'!$J$9:$J$1208,0)),0)-$AI997))</f>
        <v/>
      </c>
      <c r="AK997" s="10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2">
        <f>IF($J998="","",TODAY()-$J998)</f>
        <v/>
      </c>
      <c r="AB998" s="12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IF($AE998="","",IF((IFERROR(INDEX('ASIGNACIONES'!$F$4:$F$339,MATCH($O998&amp;"|"&amp;$R998&amp;"|"&amp;$AE998,'ASIGNACIONES'!$J$4:$J$339,0)),""))=0,"",IFERROR(INDEX('ASIGNACIONES'!$F$4:$F$339,MATCH($O998&amp;"|"&amp;$R998&amp;"|"&amp;$AE998,'ASIGNACIONES'!$J$4:$J$339,0)),"")))</f>
        <v/>
      </c>
      <c r="AG998" s="13">
        <f>IF($AE998="","",SUMIFS('ORDENES'!$M$4:$M$1203,'ORDENES'!$AE$4:$AE$1203,$AE998,'ORDENES'!$O$4:$O$1203,$O998,'ORDENES'!$R$4:$R$1203,$R998))</f>
        <v/>
      </c>
      <c r="AH998" s="13">
        <f>IF($AG998="","",p_factor_productividad*IFERROR(INDEX('ASIGNACIONES'!$I$4:$I$339,MATCH($O998&amp;"|"&amp;$R998&amp;"|"&amp;$AE998,'ASIGNACIONES'!$J$4:$J$339,0)),0)-$AG998)</f>
        <v/>
      </c>
      <c r="AI998" s="10">
        <f>IF($A998="","",IFERROR(INDEX('2_IMPORTAR_EJECUCION'!$F$9:$F$1208,MATCH($AQ998,'2_IMPORTAR_EJECUCION'!$J$9:$J$1208,0)),0))</f>
        <v/>
      </c>
      <c r="AJ998" s="10">
        <f>IF($A998="","",MAX(0,IFERROR(INDEX('2_IMPORTAR_EJECUCION'!$H$9:$H$1208,MATCH($AQ998,'2_IMPORTAR_EJECUCION'!$J$9:$J$1208,0)),0)-$AI998))</f>
        <v/>
      </c>
      <c r="AK998" s="10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2">
        <f>IF($J999="","",TODAY()-$J999)</f>
        <v/>
      </c>
      <c r="AB999" s="12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IF($AE999="","",IF((IFERROR(INDEX('ASIGNACIONES'!$F$4:$F$339,MATCH($O999&amp;"|"&amp;$R999&amp;"|"&amp;$AE999,'ASIGNACIONES'!$J$4:$J$339,0)),""))=0,"",IFERROR(INDEX('ASIGNACIONES'!$F$4:$F$339,MATCH($O999&amp;"|"&amp;$R999&amp;"|"&amp;$AE999,'ASIGNACIONES'!$J$4:$J$339,0)),"")))</f>
        <v/>
      </c>
      <c r="AG999" s="13">
        <f>IF($AE999="","",SUMIFS('ORDENES'!$M$4:$M$1203,'ORDENES'!$AE$4:$AE$1203,$AE999,'ORDENES'!$O$4:$O$1203,$O999,'ORDENES'!$R$4:$R$1203,$R999))</f>
        <v/>
      </c>
      <c r="AH999" s="13">
        <f>IF($AG999="","",p_factor_productividad*IFERROR(INDEX('ASIGNACIONES'!$I$4:$I$339,MATCH($O999&amp;"|"&amp;$R999&amp;"|"&amp;$AE999,'ASIGNACIONES'!$J$4:$J$339,0)),0)-$AG999)</f>
        <v/>
      </c>
      <c r="AI999" s="10">
        <f>IF($A999="","",IFERROR(INDEX('2_IMPORTAR_EJECUCION'!$F$9:$F$1208,MATCH($AQ999,'2_IMPORTAR_EJECUCION'!$J$9:$J$1208,0)),0))</f>
        <v/>
      </c>
      <c r="AJ999" s="10">
        <f>IF($A999="","",MAX(0,IFERROR(INDEX('2_IMPORTAR_EJECUCION'!$H$9:$H$1208,MATCH($AQ999,'2_IMPORTAR_EJECUCION'!$J$9:$J$1208,0)),0)-$AI999))</f>
        <v/>
      </c>
      <c r="AK999" s="10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2">
        <f>IF($J1000="","",TODAY()-$J1000)</f>
        <v/>
      </c>
      <c r="AB1000" s="12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F$4:$F$339,MATCH($O1000&amp;"|"&amp;$R1000&amp;"|"&amp;$AE1000,'ASIGNACIONES'!$J$4:$J$339,0)),""))=0,"",IFERROR(INDEX('ASIGNACIONES'!$F$4:$F$339,MATCH($O1000&amp;"|"&amp;$R1000&amp;"|"&amp;$AE1000,'ASIGNACIONES'!$J$4:$J$339,0)),"")))</f>
        <v/>
      </c>
      <c r="AG1000" s="13">
        <f>IF($AE1000="","",SUMIFS('ORDENES'!$M$4:$M$1203,'ORDENES'!$AE$4:$AE$1203,$AE1000,'ORDENES'!$O$4:$O$1203,$O1000,'ORDENES'!$R$4:$R$1203,$R1000))</f>
        <v/>
      </c>
      <c r="AH1000" s="13">
        <f>IF($AG1000="","",p_factor_productividad*IFERROR(INDEX('ASIGNACIONES'!$I$4:$I$339,MATCH($O1000&amp;"|"&amp;$R1000&amp;"|"&amp;$AE1000,'ASIGNACIONES'!$J$4:$J$339,0)),0)-$AG1000)</f>
        <v/>
      </c>
      <c r="AI1000" s="10">
        <f>IF($A1000="","",IFERROR(INDEX('2_IMPORTAR_EJECUCION'!$F$9:$F$1208,MATCH($AQ1000,'2_IMPORTAR_EJECUCION'!$J$9:$J$1208,0)),0))</f>
        <v/>
      </c>
      <c r="AJ1000" s="10">
        <f>IF($A1000="","",MAX(0,IFERROR(INDEX('2_IMPORTAR_EJECUCION'!$H$9:$H$1208,MATCH($AQ1000,'2_IMPORTAR_EJECUCION'!$J$9:$J$1208,0)),0)-$AI1000))</f>
        <v/>
      </c>
      <c r="AK1000" s="10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2">
        <f>IF($J1001="","",TODAY()-$J1001)</f>
        <v/>
      </c>
      <c r="AB1001" s="12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F$4:$F$339,MATCH($O1001&amp;"|"&amp;$R1001&amp;"|"&amp;$AE1001,'ASIGNACIONES'!$J$4:$J$339,0)),""))=0,"",IFERROR(INDEX('ASIGNACIONES'!$F$4:$F$339,MATCH($O1001&amp;"|"&amp;$R1001&amp;"|"&amp;$AE1001,'ASIGNACIONES'!$J$4:$J$339,0)),"")))</f>
        <v/>
      </c>
      <c r="AG1001" s="13">
        <f>IF($AE1001="","",SUMIFS('ORDENES'!$M$4:$M$1203,'ORDENES'!$AE$4:$AE$1203,$AE1001,'ORDENES'!$O$4:$O$1203,$O1001,'ORDENES'!$R$4:$R$1203,$R1001))</f>
        <v/>
      </c>
      <c r="AH1001" s="13">
        <f>IF($AG1001="","",p_factor_productividad*IFERROR(INDEX('ASIGNACIONES'!$I$4:$I$339,MATCH($O1001&amp;"|"&amp;$R1001&amp;"|"&amp;$AE1001,'ASIGNACIONES'!$J$4:$J$339,0)),0)-$AG1001)</f>
        <v/>
      </c>
      <c r="AI1001" s="10">
        <f>IF($A1001="","",IFERROR(INDEX('2_IMPORTAR_EJECUCION'!$F$9:$F$1208,MATCH($AQ1001,'2_IMPORTAR_EJECUCION'!$J$9:$J$1208,0)),0))</f>
        <v/>
      </c>
      <c r="AJ1001" s="10">
        <f>IF($A1001="","",MAX(0,IFERROR(INDEX('2_IMPORTAR_EJECUCION'!$H$9:$H$1208,MATCH($AQ1001,'2_IMPORTAR_EJECUCION'!$J$9:$J$1208,0)),0)-$AI1001))</f>
        <v/>
      </c>
      <c r="AK1001" s="10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2">
        <f>IF($J1002="","",TODAY()-$J1002)</f>
        <v/>
      </c>
      <c r="AB1002" s="12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F$4:$F$339,MATCH($O1002&amp;"|"&amp;$R1002&amp;"|"&amp;$AE1002,'ASIGNACIONES'!$J$4:$J$339,0)),""))=0,"",IFERROR(INDEX('ASIGNACIONES'!$F$4:$F$339,MATCH($O1002&amp;"|"&amp;$R1002&amp;"|"&amp;$AE1002,'ASIGNACIONES'!$J$4:$J$339,0)),"")))</f>
        <v/>
      </c>
      <c r="AG1002" s="13">
        <f>IF($AE1002="","",SUMIFS('ORDENES'!$M$4:$M$1203,'ORDENES'!$AE$4:$AE$1203,$AE1002,'ORDENES'!$O$4:$O$1203,$O1002,'ORDENES'!$R$4:$R$1203,$R1002))</f>
        <v/>
      </c>
      <c r="AH1002" s="13">
        <f>IF($AG1002="","",p_factor_productividad*IFERROR(INDEX('ASIGNACIONES'!$I$4:$I$339,MATCH($O1002&amp;"|"&amp;$R1002&amp;"|"&amp;$AE1002,'ASIGNACIONES'!$J$4:$J$339,0)),0)-$AG1002)</f>
        <v/>
      </c>
      <c r="AI1002" s="10">
        <f>IF($A1002="","",IFERROR(INDEX('2_IMPORTAR_EJECUCION'!$F$9:$F$1208,MATCH($AQ1002,'2_IMPORTAR_EJECUCION'!$J$9:$J$1208,0)),0))</f>
        <v/>
      </c>
      <c r="AJ1002" s="10">
        <f>IF($A1002="","",MAX(0,IFERROR(INDEX('2_IMPORTAR_EJECUCION'!$H$9:$H$1208,MATCH($AQ1002,'2_IMPORTAR_EJECUCION'!$J$9:$J$1208,0)),0)-$AI1002))</f>
        <v/>
      </c>
      <c r="AK1002" s="10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2">
        <f>IF($J1003="","",TODAY()-$J1003)</f>
        <v/>
      </c>
      <c r="AB1003" s="12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F$4:$F$339,MATCH($O1003&amp;"|"&amp;$R1003&amp;"|"&amp;$AE1003,'ASIGNACIONES'!$J$4:$J$339,0)),""))=0,"",IFERROR(INDEX('ASIGNACIONES'!$F$4:$F$339,MATCH($O1003&amp;"|"&amp;$R1003&amp;"|"&amp;$AE1003,'ASIGNACIONES'!$J$4:$J$339,0)),"")))</f>
        <v/>
      </c>
      <c r="AG1003" s="13">
        <f>IF($AE1003="","",SUMIFS('ORDENES'!$M$4:$M$1203,'ORDENES'!$AE$4:$AE$1203,$AE1003,'ORDENES'!$O$4:$O$1203,$O1003,'ORDENES'!$R$4:$R$1203,$R1003))</f>
        <v/>
      </c>
      <c r="AH1003" s="13">
        <f>IF($AG1003="","",p_factor_productividad*IFERROR(INDEX('ASIGNACIONES'!$I$4:$I$339,MATCH($O1003&amp;"|"&amp;$R1003&amp;"|"&amp;$AE1003,'ASIGNACIONES'!$J$4:$J$339,0)),0)-$AG1003)</f>
        <v/>
      </c>
      <c r="AI1003" s="10">
        <f>IF($A1003="","",IFERROR(INDEX('2_IMPORTAR_EJECUCION'!$F$9:$F$1208,MATCH($AQ1003,'2_IMPORTAR_EJECUCION'!$J$9:$J$1208,0)),0))</f>
        <v/>
      </c>
      <c r="AJ1003" s="10">
        <f>IF($A1003="","",MAX(0,IFERROR(INDEX('2_IMPORTAR_EJECUCION'!$H$9:$H$1208,MATCH($AQ1003,'2_IMPORTAR_EJECUCION'!$J$9:$J$1208,0)),0)-$AI1003))</f>
        <v/>
      </c>
      <c r="AK1003" s="10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2">
        <f>IF($J1004="","",TODAY()-$J1004)</f>
        <v/>
      </c>
      <c r="AB1004" s="12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F$4:$F$339,MATCH($O1004&amp;"|"&amp;$R1004&amp;"|"&amp;$AE1004,'ASIGNACIONES'!$J$4:$J$339,0)),""))=0,"",IFERROR(INDEX('ASIGNACIONES'!$F$4:$F$339,MATCH($O1004&amp;"|"&amp;$R1004&amp;"|"&amp;$AE1004,'ASIGNACIONES'!$J$4:$J$339,0)),"")))</f>
        <v/>
      </c>
      <c r="AG1004" s="13">
        <f>IF($AE1004="","",SUMIFS('ORDENES'!$M$4:$M$1203,'ORDENES'!$AE$4:$AE$1203,$AE1004,'ORDENES'!$O$4:$O$1203,$O1004,'ORDENES'!$R$4:$R$1203,$R1004))</f>
        <v/>
      </c>
      <c r="AH1004" s="13">
        <f>IF($AG1004="","",p_factor_productividad*IFERROR(INDEX('ASIGNACIONES'!$I$4:$I$339,MATCH($O1004&amp;"|"&amp;$R1004&amp;"|"&amp;$AE1004,'ASIGNACIONES'!$J$4:$J$339,0)),0)-$AG1004)</f>
        <v/>
      </c>
      <c r="AI1004" s="10">
        <f>IF($A1004="","",IFERROR(INDEX('2_IMPORTAR_EJECUCION'!$F$9:$F$1208,MATCH($AQ1004,'2_IMPORTAR_EJECUCION'!$J$9:$J$1208,0)),0))</f>
        <v/>
      </c>
      <c r="AJ1004" s="10">
        <f>IF($A1004="","",MAX(0,IFERROR(INDEX('2_IMPORTAR_EJECUCION'!$H$9:$H$1208,MATCH($AQ1004,'2_IMPORTAR_EJECUCION'!$J$9:$J$1208,0)),0)-$AI1004))</f>
        <v/>
      </c>
      <c r="AK1004" s="10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2">
        <f>IF($J1005="","",TODAY()-$J1005)</f>
        <v/>
      </c>
      <c r="AB1005" s="12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F$4:$F$339,MATCH($O1005&amp;"|"&amp;$R1005&amp;"|"&amp;$AE1005,'ASIGNACIONES'!$J$4:$J$339,0)),""))=0,"",IFERROR(INDEX('ASIGNACIONES'!$F$4:$F$339,MATCH($O1005&amp;"|"&amp;$R1005&amp;"|"&amp;$AE1005,'ASIGNACIONES'!$J$4:$J$339,0)),"")))</f>
        <v/>
      </c>
      <c r="AG1005" s="13">
        <f>IF($AE1005="","",SUMIFS('ORDENES'!$M$4:$M$1203,'ORDENES'!$AE$4:$AE$1203,$AE1005,'ORDENES'!$O$4:$O$1203,$O1005,'ORDENES'!$R$4:$R$1203,$R1005))</f>
        <v/>
      </c>
      <c r="AH1005" s="13">
        <f>IF($AG1005="","",p_factor_productividad*IFERROR(INDEX('ASIGNACIONES'!$I$4:$I$339,MATCH($O1005&amp;"|"&amp;$R1005&amp;"|"&amp;$AE1005,'ASIGNACIONES'!$J$4:$J$339,0)),0)-$AG1005)</f>
        <v/>
      </c>
      <c r="AI1005" s="10">
        <f>IF($A1005="","",IFERROR(INDEX('2_IMPORTAR_EJECUCION'!$F$9:$F$1208,MATCH($AQ1005,'2_IMPORTAR_EJECUCION'!$J$9:$J$1208,0)),0))</f>
        <v/>
      </c>
      <c r="AJ1005" s="10">
        <f>IF($A1005="","",MAX(0,IFERROR(INDEX('2_IMPORTAR_EJECUCION'!$H$9:$H$1208,MATCH($AQ1005,'2_IMPORTAR_EJECUCION'!$J$9:$J$1208,0)),0)-$AI1005))</f>
        <v/>
      </c>
      <c r="AK1005" s="10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2">
        <f>IF($J1006="","",TODAY()-$J1006)</f>
        <v/>
      </c>
      <c r="AB1006" s="12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F$4:$F$339,MATCH($O1006&amp;"|"&amp;$R1006&amp;"|"&amp;$AE1006,'ASIGNACIONES'!$J$4:$J$339,0)),""))=0,"",IFERROR(INDEX('ASIGNACIONES'!$F$4:$F$339,MATCH($O1006&amp;"|"&amp;$R1006&amp;"|"&amp;$AE1006,'ASIGNACIONES'!$J$4:$J$339,0)),"")))</f>
        <v/>
      </c>
      <c r="AG1006" s="13">
        <f>IF($AE1006="","",SUMIFS('ORDENES'!$M$4:$M$1203,'ORDENES'!$AE$4:$AE$1203,$AE1006,'ORDENES'!$O$4:$O$1203,$O1006,'ORDENES'!$R$4:$R$1203,$R1006))</f>
        <v/>
      </c>
      <c r="AH1006" s="13">
        <f>IF($AG1006="","",p_factor_productividad*IFERROR(INDEX('ASIGNACIONES'!$I$4:$I$339,MATCH($O1006&amp;"|"&amp;$R1006&amp;"|"&amp;$AE1006,'ASIGNACIONES'!$J$4:$J$339,0)),0)-$AG1006)</f>
        <v/>
      </c>
      <c r="AI1006" s="10">
        <f>IF($A1006="","",IFERROR(INDEX('2_IMPORTAR_EJECUCION'!$F$9:$F$1208,MATCH($AQ1006,'2_IMPORTAR_EJECUCION'!$J$9:$J$1208,0)),0))</f>
        <v/>
      </c>
      <c r="AJ1006" s="10">
        <f>IF($A1006="","",MAX(0,IFERROR(INDEX('2_IMPORTAR_EJECUCION'!$H$9:$H$1208,MATCH($AQ1006,'2_IMPORTAR_EJECUCION'!$J$9:$J$1208,0)),0)-$AI1006))</f>
        <v/>
      </c>
      <c r="AK1006" s="10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2">
        <f>IF($J1007="","",TODAY()-$J1007)</f>
        <v/>
      </c>
      <c r="AB1007" s="12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F$4:$F$339,MATCH($O1007&amp;"|"&amp;$R1007&amp;"|"&amp;$AE1007,'ASIGNACIONES'!$J$4:$J$339,0)),""))=0,"",IFERROR(INDEX('ASIGNACIONES'!$F$4:$F$339,MATCH($O1007&amp;"|"&amp;$R1007&amp;"|"&amp;$AE1007,'ASIGNACIONES'!$J$4:$J$339,0)),"")))</f>
        <v/>
      </c>
      <c r="AG1007" s="13">
        <f>IF($AE1007="","",SUMIFS('ORDENES'!$M$4:$M$1203,'ORDENES'!$AE$4:$AE$1203,$AE1007,'ORDENES'!$O$4:$O$1203,$O1007,'ORDENES'!$R$4:$R$1203,$R1007))</f>
        <v/>
      </c>
      <c r="AH1007" s="13">
        <f>IF($AG1007="","",p_factor_productividad*IFERROR(INDEX('ASIGNACIONES'!$I$4:$I$339,MATCH($O1007&amp;"|"&amp;$R1007&amp;"|"&amp;$AE1007,'ASIGNACIONES'!$J$4:$J$339,0)),0)-$AG1007)</f>
        <v/>
      </c>
      <c r="AI1007" s="10">
        <f>IF($A1007="","",IFERROR(INDEX('2_IMPORTAR_EJECUCION'!$F$9:$F$1208,MATCH($AQ1007,'2_IMPORTAR_EJECUCION'!$J$9:$J$1208,0)),0))</f>
        <v/>
      </c>
      <c r="AJ1007" s="10">
        <f>IF($A1007="","",MAX(0,IFERROR(INDEX('2_IMPORTAR_EJECUCION'!$H$9:$H$1208,MATCH($AQ1007,'2_IMPORTAR_EJECUCION'!$J$9:$J$1208,0)),0)-$AI1007))</f>
        <v/>
      </c>
      <c r="AK1007" s="10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2">
        <f>IF($J1008="","",TODAY()-$J1008)</f>
        <v/>
      </c>
      <c r="AB1008" s="12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F$4:$F$339,MATCH($O1008&amp;"|"&amp;$R1008&amp;"|"&amp;$AE1008,'ASIGNACIONES'!$J$4:$J$339,0)),""))=0,"",IFERROR(INDEX('ASIGNACIONES'!$F$4:$F$339,MATCH($O1008&amp;"|"&amp;$R1008&amp;"|"&amp;$AE1008,'ASIGNACIONES'!$J$4:$J$339,0)),"")))</f>
        <v/>
      </c>
      <c r="AG1008" s="13">
        <f>IF($AE1008="","",SUMIFS('ORDENES'!$M$4:$M$1203,'ORDENES'!$AE$4:$AE$1203,$AE1008,'ORDENES'!$O$4:$O$1203,$O1008,'ORDENES'!$R$4:$R$1203,$R1008))</f>
        <v/>
      </c>
      <c r="AH1008" s="13">
        <f>IF($AG1008="","",p_factor_productividad*IFERROR(INDEX('ASIGNACIONES'!$I$4:$I$339,MATCH($O1008&amp;"|"&amp;$R1008&amp;"|"&amp;$AE1008,'ASIGNACIONES'!$J$4:$J$339,0)),0)-$AG1008)</f>
        <v/>
      </c>
      <c r="AI1008" s="10">
        <f>IF($A1008="","",IFERROR(INDEX('2_IMPORTAR_EJECUCION'!$F$9:$F$1208,MATCH($AQ1008,'2_IMPORTAR_EJECUCION'!$J$9:$J$1208,0)),0))</f>
        <v/>
      </c>
      <c r="AJ1008" s="10">
        <f>IF($A1008="","",MAX(0,IFERROR(INDEX('2_IMPORTAR_EJECUCION'!$H$9:$H$1208,MATCH($AQ1008,'2_IMPORTAR_EJECUCION'!$J$9:$J$1208,0)),0)-$AI1008))</f>
        <v/>
      </c>
      <c r="AK1008" s="10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2">
        <f>IF($J1009="","",TODAY()-$J1009)</f>
        <v/>
      </c>
      <c r="AB1009" s="12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F$4:$F$339,MATCH($O1009&amp;"|"&amp;$R1009&amp;"|"&amp;$AE1009,'ASIGNACIONES'!$J$4:$J$339,0)),""))=0,"",IFERROR(INDEX('ASIGNACIONES'!$F$4:$F$339,MATCH($O1009&amp;"|"&amp;$R1009&amp;"|"&amp;$AE1009,'ASIGNACIONES'!$J$4:$J$339,0)),"")))</f>
        <v/>
      </c>
      <c r="AG1009" s="13">
        <f>IF($AE1009="","",SUMIFS('ORDENES'!$M$4:$M$1203,'ORDENES'!$AE$4:$AE$1203,$AE1009,'ORDENES'!$O$4:$O$1203,$O1009,'ORDENES'!$R$4:$R$1203,$R1009))</f>
        <v/>
      </c>
      <c r="AH1009" s="13">
        <f>IF($AG1009="","",p_factor_productividad*IFERROR(INDEX('ASIGNACIONES'!$I$4:$I$339,MATCH($O1009&amp;"|"&amp;$R1009&amp;"|"&amp;$AE1009,'ASIGNACIONES'!$J$4:$J$339,0)),0)-$AG1009)</f>
        <v/>
      </c>
      <c r="AI1009" s="10">
        <f>IF($A1009="","",IFERROR(INDEX('2_IMPORTAR_EJECUCION'!$F$9:$F$1208,MATCH($AQ1009,'2_IMPORTAR_EJECUCION'!$J$9:$J$1208,0)),0))</f>
        <v/>
      </c>
      <c r="AJ1009" s="10">
        <f>IF($A1009="","",MAX(0,IFERROR(INDEX('2_IMPORTAR_EJECUCION'!$H$9:$H$1208,MATCH($AQ1009,'2_IMPORTAR_EJECUCION'!$J$9:$J$1208,0)),0)-$AI1009))</f>
        <v/>
      </c>
      <c r="AK1009" s="10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2">
        <f>IF($J1010="","",TODAY()-$J1010)</f>
        <v/>
      </c>
      <c r="AB1010" s="12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F$4:$F$339,MATCH($O1010&amp;"|"&amp;$R1010&amp;"|"&amp;$AE1010,'ASIGNACIONES'!$J$4:$J$339,0)),""))=0,"",IFERROR(INDEX('ASIGNACIONES'!$F$4:$F$339,MATCH($O1010&amp;"|"&amp;$R1010&amp;"|"&amp;$AE1010,'ASIGNACIONES'!$J$4:$J$339,0)),"")))</f>
        <v/>
      </c>
      <c r="AG1010" s="13">
        <f>IF($AE1010="","",SUMIFS('ORDENES'!$M$4:$M$1203,'ORDENES'!$AE$4:$AE$1203,$AE1010,'ORDENES'!$O$4:$O$1203,$O1010,'ORDENES'!$R$4:$R$1203,$R1010))</f>
        <v/>
      </c>
      <c r="AH1010" s="13">
        <f>IF($AG1010="","",p_factor_productividad*IFERROR(INDEX('ASIGNACIONES'!$I$4:$I$339,MATCH($O1010&amp;"|"&amp;$R1010&amp;"|"&amp;$AE1010,'ASIGNACIONES'!$J$4:$J$339,0)),0)-$AG1010)</f>
        <v/>
      </c>
      <c r="AI1010" s="10">
        <f>IF($A1010="","",IFERROR(INDEX('2_IMPORTAR_EJECUCION'!$F$9:$F$1208,MATCH($AQ1010,'2_IMPORTAR_EJECUCION'!$J$9:$J$1208,0)),0))</f>
        <v/>
      </c>
      <c r="AJ1010" s="10">
        <f>IF($A1010="","",MAX(0,IFERROR(INDEX('2_IMPORTAR_EJECUCION'!$H$9:$H$1208,MATCH($AQ1010,'2_IMPORTAR_EJECUCION'!$J$9:$J$1208,0)),0)-$AI1010))</f>
        <v/>
      </c>
      <c r="AK1010" s="10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2">
        <f>IF($J1011="","",TODAY()-$J1011)</f>
        <v/>
      </c>
      <c r="AB1011" s="12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F$4:$F$339,MATCH($O1011&amp;"|"&amp;$R1011&amp;"|"&amp;$AE1011,'ASIGNACIONES'!$J$4:$J$339,0)),""))=0,"",IFERROR(INDEX('ASIGNACIONES'!$F$4:$F$339,MATCH($O1011&amp;"|"&amp;$R1011&amp;"|"&amp;$AE1011,'ASIGNACIONES'!$J$4:$J$339,0)),"")))</f>
        <v/>
      </c>
      <c r="AG1011" s="13">
        <f>IF($AE1011="","",SUMIFS('ORDENES'!$M$4:$M$1203,'ORDENES'!$AE$4:$AE$1203,$AE1011,'ORDENES'!$O$4:$O$1203,$O1011,'ORDENES'!$R$4:$R$1203,$R1011))</f>
        <v/>
      </c>
      <c r="AH1011" s="13">
        <f>IF($AG1011="","",p_factor_productividad*IFERROR(INDEX('ASIGNACIONES'!$I$4:$I$339,MATCH($O1011&amp;"|"&amp;$R1011&amp;"|"&amp;$AE1011,'ASIGNACIONES'!$J$4:$J$339,0)),0)-$AG1011)</f>
        <v/>
      </c>
      <c r="AI1011" s="10">
        <f>IF($A1011="","",IFERROR(INDEX('2_IMPORTAR_EJECUCION'!$F$9:$F$1208,MATCH($AQ1011,'2_IMPORTAR_EJECUCION'!$J$9:$J$1208,0)),0))</f>
        <v/>
      </c>
      <c r="AJ1011" s="10">
        <f>IF($A1011="","",MAX(0,IFERROR(INDEX('2_IMPORTAR_EJECUCION'!$H$9:$H$1208,MATCH($AQ1011,'2_IMPORTAR_EJECUCION'!$J$9:$J$1208,0)),0)-$AI1011))</f>
        <v/>
      </c>
      <c r="AK1011" s="10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2">
        <f>IF($J1012="","",TODAY()-$J1012)</f>
        <v/>
      </c>
      <c r="AB1012" s="12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F$4:$F$339,MATCH($O1012&amp;"|"&amp;$R1012&amp;"|"&amp;$AE1012,'ASIGNACIONES'!$J$4:$J$339,0)),""))=0,"",IFERROR(INDEX('ASIGNACIONES'!$F$4:$F$339,MATCH($O1012&amp;"|"&amp;$R1012&amp;"|"&amp;$AE1012,'ASIGNACIONES'!$J$4:$J$339,0)),"")))</f>
        <v/>
      </c>
      <c r="AG1012" s="13">
        <f>IF($AE1012="","",SUMIFS('ORDENES'!$M$4:$M$1203,'ORDENES'!$AE$4:$AE$1203,$AE1012,'ORDENES'!$O$4:$O$1203,$O1012,'ORDENES'!$R$4:$R$1203,$R1012))</f>
        <v/>
      </c>
      <c r="AH1012" s="13">
        <f>IF($AG1012="","",p_factor_productividad*IFERROR(INDEX('ASIGNACIONES'!$I$4:$I$339,MATCH($O1012&amp;"|"&amp;$R1012&amp;"|"&amp;$AE1012,'ASIGNACIONES'!$J$4:$J$339,0)),0)-$AG1012)</f>
        <v/>
      </c>
      <c r="AI1012" s="10">
        <f>IF($A1012="","",IFERROR(INDEX('2_IMPORTAR_EJECUCION'!$F$9:$F$1208,MATCH($AQ1012,'2_IMPORTAR_EJECUCION'!$J$9:$J$1208,0)),0))</f>
        <v/>
      </c>
      <c r="AJ1012" s="10">
        <f>IF($A1012="","",MAX(0,IFERROR(INDEX('2_IMPORTAR_EJECUCION'!$H$9:$H$1208,MATCH($AQ1012,'2_IMPORTAR_EJECUCION'!$J$9:$J$1208,0)),0)-$AI1012))</f>
        <v/>
      </c>
      <c r="AK1012" s="10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2">
        <f>IF($J1013="","",TODAY()-$J1013)</f>
        <v/>
      </c>
      <c r="AB1013" s="12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F$4:$F$339,MATCH($O1013&amp;"|"&amp;$R1013&amp;"|"&amp;$AE1013,'ASIGNACIONES'!$J$4:$J$339,0)),""))=0,"",IFERROR(INDEX('ASIGNACIONES'!$F$4:$F$339,MATCH($O1013&amp;"|"&amp;$R1013&amp;"|"&amp;$AE1013,'ASIGNACIONES'!$J$4:$J$339,0)),"")))</f>
        <v/>
      </c>
      <c r="AG1013" s="13">
        <f>IF($AE1013="","",SUMIFS('ORDENES'!$M$4:$M$1203,'ORDENES'!$AE$4:$AE$1203,$AE1013,'ORDENES'!$O$4:$O$1203,$O1013,'ORDENES'!$R$4:$R$1203,$R1013))</f>
        <v/>
      </c>
      <c r="AH1013" s="13">
        <f>IF($AG1013="","",p_factor_productividad*IFERROR(INDEX('ASIGNACIONES'!$I$4:$I$339,MATCH($O1013&amp;"|"&amp;$R1013&amp;"|"&amp;$AE1013,'ASIGNACIONES'!$J$4:$J$339,0)),0)-$AG1013)</f>
        <v/>
      </c>
      <c r="AI1013" s="10">
        <f>IF($A1013="","",IFERROR(INDEX('2_IMPORTAR_EJECUCION'!$F$9:$F$1208,MATCH($AQ1013,'2_IMPORTAR_EJECUCION'!$J$9:$J$1208,0)),0))</f>
        <v/>
      </c>
      <c r="AJ1013" s="10">
        <f>IF($A1013="","",MAX(0,IFERROR(INDEX('2_IMPORTAR_EJECUCION'!$H$9:$H$1208,MATCH($AQ1013,'2_IMPORTAR_EJECUCION'!$J$9:$J$1208,0)),0)-$AI1013))</f>
        <v/>
      </c>
      <c r="AK1013" s="10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2">
        <f>IF($J1014="","",TODAY()-$J1014)</f>
        <v/>
      </c>
      <c r="AB1014" s="12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F$4:$F$339,MATCH($O1014&amp;"|"&amp;$R1014&amp;"|"&amp;$AE1014,'ASIGNACIONES'!$J$4:$J$339,0)),""))=0,"",IFERROR(INDEX('ASIGNACIONES'!$F$4:$F$339,MATCH($O1014&amp;"|"&amp;$R1014&amp;"|"&amp;$AE1014,'ASIGNACIONES'!$J$4:$J$339,0)),"")))</f>
        <v/>
      </c>
      <c r="AG1014" s="13">
        <f>IF($AE1014="","",SUMIFS('ORDENES'!$M$4:$M$1203,'ORDENES'!$AE$4:$AE$1203,$AE1014,'ORDENES'!$O$4:$O$1203,$O1014,'ORDENES'!$R$4:$R$1203,$R1014))</f>
        <v/>
      </c>
      <c r="AH1014" s="13">
        <f>IF($AG1014="","",p_factor_productividad*IFERROR(INDEX('ASIGNACIONES'!$I$4:$I$339,MATCH($O1014&amp;"|"&amp;$R1014&amp;"|"&amp;$AE1014,'ASIGNACIONES'!$J$4:$J$339,0)),0)-$AG1014)</f>
        <v/>
      </c>
      <c r="AI1014" s="10">
        <f>IF($A1014="","",IFERROR(INDEX('2_IMPORTAR_EJECUCION'!$F$9:$F$1208,MATCH($AQ1014,'2_IMPORTAR_EJECUCION'!$J$9:$J$1208,0)),0))</f>
        <v/>
      </c>
      <c r="AJ1014" s="10">
        <f>IF($A1014="","",MAX(0,IFERROR(INDEX('2_IMPORTAR_EJECUCION'!$H$9:$H$1208,MATCH($AQ1014,'2_IMPORTAR_EJECUCION'!$J$9:$J$1208,0)),0)-$AI1014))</f>
        <v/>
      </c>
      <c r="AK1014" s="10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2">
        <f>IF($J1015="","",TODAY()-$J1015)</f>
        <v/>
      </c>
      <c r="AB1015" s="12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F$4:$F$339,MATCH($O1015&amp;"|"&amp;$R1015&amp;"|"&amp;$AE1015,'ASIGNACIONES'!$J$4:$J$339,0)),""))=0,"",IFERROR(INDEX('ASIGNACIONES'!$F$4:$F$339,MATCH($O1015&amp;"|"&amp;$R1015&amp;"|"&amp;$AE1015,'ASIGNACIONES'!$J$4:$J$339,0)),"")))</f>
        <v/>
      </c>
      <c r="AG1015" s="13">
        <f>IF($AE1015="","",SUMIFS('ORDENES'!$M$4:$M$1203,'ORDENES'!$AE$4:$AE$1203,$AE1015,'ORDENES'!$O$4:$O$1203,$O1015,'ORDENES'!$R$4:$R$1203,$R1015))</f>
        <v/>
      </c>
      <c r="AH1015" s="13">
        <f>IF($AG1015="","",p_factor_productividad*IFERROR(INDEX('ASIGNACIONES'!$I$4:$I$339,MATCH($O1015&amp;"|"&amp;$R1015&amp;"|"&amp;$AE1015,'ASIGNACIONES'!$J$4:$J$339,0)),0)-$AG1015)</f>
        <v/>
      </c>
      <c r="AI1015" s="10">
        <f>IF($A1015="","",IFERROR(INDEX('2_IMPORTAR_EJECUCION'!$F$9:$F$1208,MATCH($AQ1015,'2_IMPORTAR_EJECUCION'!$J$9:$J$1208,0)),0))</f>
        <v/>
      </c>
      <c r="AJ1015" s="10">
        <f>IF($A1015="","",MAX(0,IFERROR(INDEX('2_IMPORTAR_EJECUCION'!$H$9:$H$1208,MATCH($AQ1015,'2_IMPORTAR_EJECUCION'!$J$9:$J$1208,0)),0)-$AI1015))</f>
        <v/>
      </c>
      <c r="AK1015" s="10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2">
        <f>IF($J1016="","",TODAY()-$J1016)</f>
        <v/>
      </c>
      <c r="AB1016" s="12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F$4:$F$339,MATCH($O1016&amp;"|"&amp;$R1016&amp;"|"&amp;$AE1016,'ASIGNACIONES'!$J$4:$J$339,0)),""))=0,"",IFERROR(INDEX('ASIGNACIONES'!$F$4:$F$339,MATCH($O1016&amp;"|"&amp;$R1016&amp;"|"&amp;$AE1016,'ASIGNACIONES'!$J$4:$J$339,0)),"")))</f>
        <v/>
      </c>
      <c r="AG1016" s="13">
        <f>IF($AE1016="","",SUMIFS('ORDENES'!$M$4:$M$1203,'ORDENES'!$AE$4:$AE$1203,$AE1016,'ORDENES'!$O$4:$O$1203,$O1016,'ORDENES'!$R$4:$R$1203,$R1016))</f>
        <v/>
      </c>
      <c r="AH1016" s="13">
        <f>IF($AG1016="","",p_factor_productividad*IFERROR(INDEX('ASIGNACIONES'!$I$4:$I$339,MATCH($O1016&amp;"|"&amp;$R1016&amp;"|"&amp;$AE1016,'ASIGNACIONES'!$J$4:$J$339,0)),0)-$AG1016)</f>
        <v/>
      </c>
      <c r="AI1016" s="10">
        <f>IF($A1016="","",IFERROR(INDEX('2_IMPORTAR_EJECUCION'!$F$9:$F$1208,MATCH($AQ1016,'2_IMPORTAR_EJECUCION'!$J$9:$J$1208,0)),0))</f>
        <v/>
      </c>
      <c r="AJ1016" s="10">
        <f>IF($A1016="","",MAX(0,IFERROR(INDEX('2_IMPORTAR_EJECUCION'!$H$9:$H$1208,MATCH($AQ1016,'2_IMPORTAR_EJECUCION'!$J$9:$J$1208,0)),0)-$AI1016))</f>
        <v/>
      </c>
      <c r="AK1016" s="10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2">
        <f>IF($J1017="","",TODAY()-$J1017)</f>
        <v/>
      </c>
      <c r="AB1017" s="12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F$4:$F$339,MATCH($O1017&amp;"|"&amp;$R1017&amp;"|"&amp;$AE1017,'ASIGNACIONES'!$J$4:$J$339,0)),""))=0,"",IFERROR(INDEX('ASIGNACIONES'!$F$4:$F$339,MATCH($O1017&amp;"|"&amp;$R1017&amp;"|"&amp;$AE1017,'ASIGNACIONES'!$J$4:$J$339,0)),"")))</f>
        <v/>
      </c>
      <c r="AG1017" s="13">
        <f>IF($AE1017="","",SUMIFS('ORDENES'!$M$4:$M$1203,'ORDENES'!$AE$4:$AE$1203,$AE1017,'ORDENES'!$O$4:$O$1203,$O1017,'ORDENES'!$R$4:$R$1203,$R1017))</f>
        <v/>
      </c>
      <c r="AH1017" s="13">
        <f>IF($AG1017="","",p_factor_productividad*IFERROR(INDEX('ASIGNACIONES'!$I$4:$I$339,MATCH($O1017&amp;"|"&amp;$R1017&amp;"|"&amp;$AE1017,'ASIGNACIONES'!$J$4:$J$339,0)),0)-$AG1017)</f>
        <v/>
      </c>
      <c r="AI1017" s="10">
        <f>IF($A1017="","",IFERROR(INDEX('2_IMPORTAR_EJECUCION'!$F$9:$F$1208,MATCH($AQ1017,'2_IMPORTAR_EJECUCION'!$J$9:$J$1208,0)),0))</f>
        <v/>
      </c>
      <c r="AJ1017" s="10">
        <f>IF($A1017="","",MAX(0,IFERROR(INDEX('2_IMPORTAR_EJECUCION'!$H$9:$H$1208,MATCH($AQ1017,'2_IMPORTAR_EJECUCION'!$J$9:$J$1208,0)),0)-$AI1017))</f>
        <v/>
      </c>
      <c r="AK1017" s="10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2">
        <f>IF($J1018="","",TODAY()-$J1018)</f>
        <v/>
      </c>
      <c r="AB1018" s="12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F$4:$F$339,MATCH($O1018&amp;"|"&amp;$R1018&amp;"|"&amp;$AE1018,'ASIGNACIONES'!$J$4:$J$339,0)),""))=0,"",IFERROR(INDEX('ASIGNACIONES'!$F$4:$F$339,MATCH($O1018&amp;"|"&amp;$R1018&amp;"|"&amp;$AE1018,'ASIGNACIONES'!$J$4:$J$339,0)),"")))</f>
        <v/>
      </c>
      <c r="AG1018" s="13">
        <f>IF($AE1018="","",SUMIFS('ORDENES'!$M$4:$M$1203,'ORDENES'!$AE$4:$AE$1203,$AE1018,'ORDENES'!$O$4:$O$1203,$O1018,'ORDENES'!$R$4:$R$1203,$R1018))</f>
        <v/>
      </c>
      <c r="AH1018" s="13">
        <f>IF($AG1018="","",p_factor_productividad*IFERROR(INDEX('ASIGNACIONES'!$I$4:$I$339,MATCH($O1018&amp;"|"&amp;$R1018&amp;"|"&amp;$AE1018,'ASIGNACIONES'!$J$4:$J$339,0)),0)-$AG1018)</f>
        <v/>
      </c>
      <c r="AI1018" s="10">
        <f>IF($A1018="","",IFERROR(INDEX('2_IMPORTAR_EJECUCION'!$F$9:$F$1208,MATCH($AQ1018,'2_IMPORTAR_EJECUCION'!$J$9:$J$1208,0)),0))</f>
        <v/>
      </c>
      <c r="AJ1018" s="10">
        <f>IF($A1018="","",MAX(0,IFERROR(INDEX('2_IMPORTAR_EJECUCION'!$H$9:$H$1208,MATCH($AQ1018,'2_IMPORTAR_EJECUCION'!$J$9:$J$1208,0)),0)-$AI1018))</f>
        <v/>
      </c>
      <c r="AK1018" s="10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2">
        <f>IF($J1019="","",TODAY()-$J1019)</f>
        <v/>
      </c>
      <c r="AB1019" s="12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F$4:$F$339,MATCH($O1019&amp;"|"&amp;$R1019&amp;"|"&amp;$AE1019,'ASIGNACIONES'!$J$4:$J$339,0)),""))=0,"",IFERROR(INDEX('ASIGNACIONES'!$F$4:$F$339,MATCH($O1019&amp;"|"&amp;$R1019&amp;"|"&amp;$AE1019,'ASIGNACIONES'!$J$4:$J$339,0)),"")))</f>
        <v/>
      </c>
      <c r="AG1019" s="13">
        <f>IF($AE1019="","",SUMIFS('ORDENES'!$M$4:$M$1203,'ORDENES'!$AE$4:$AE$1203,$AE1019,'ORDENES'!$O$4:$O$1203,$O1019,'ORDENES'!$R$4:$R$1203,$R1019))</f>
        <v/>
      </c>
      <c r="AH1019" s="13">
        <f>IF($AG1019="","",p_factor_productividad*IFERROR(INDEX('ASIGNACIONES'!$I$4:$I$339,MATCH($O1019&amp;"|"&amp;$R1019&amp;"|"&amp;$AE1019,'ASIGNACIONES'!$J$4:$J$339,0)),0)-$AG1019)</f>
        <v/>
      </c>
      <c r="AI1019" s="10">
        <f>IF($A1019="","",IFERROR(INDEX('2_IMPORTAR_EJECUCION'!$F$9:$F$1208,MATCH($AQ1019,'2_IMPORTAR_EJECUCION'!$J$9:$J$1208,0)),0))</f>
        <v/>
      </c>
      <c r="AJ1019" s="10">
        <f>IF($A1019="","",MAX(0,IFERROR(INDEX('2_IMPORTAR_EJECUCION'!$H$9:$H$1208,MATCH($AQ1019,'2_IMPORTAR_EJECUCION'!$J$9:$J$1208,0)),0)-$AI1019))</f>
        <v/>
      </c>
      <c r="AK1019" s="10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2">
        <f>IF($J1020="","",TODAY()-$J1020)</f>
        <v/>
      </c>
      <c r="AB1020" s="12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F$4:$F$339,MATCH($O1020&amp;"|"&amp;$R1020&amp;"|"&amp;$AE1020,'ASIGNACIONES'!$J$4:$J$339,0)),""))=0,"",IFERROR(INDEX('ASIGNACIONES'!$F$4:$F$339,MATCH($O1020&amp;"|"&amp;$R1020&amp;"|"&amp;$AE1020,'ASIGNACIONES'!$J$4:$J$339,0)),"")))</f>
        <v/>
      </c>
      <c r="AG1020" s="13">
        <f>IF($AE1020="","",SUMIFS('ORDENES'!$M$4:$M$1203,'ORDENES'!$AE$4:$AE$1203,$AE1020,'ORDENES'!$O$4:$O$1203,$O1020,'ORDENES'!$R$4:$R$1203,$R1020))</f>
        <v/>
      </c>
      <c r="AH1020" s="13">
        <f>IF($AG1020="","",p_factor_productividad*IFERROR(INDEX('ASIGNACIONES'!$I$4:$I$339,MATCH($O1020&amp;"|"&amp;$R1020&amp;"|"&amp;$AE1020,'ASIGNACIONES'!$J$4:$J$339,0)),0)-$AG1020)</f>
        <v/>
      </c>
      <c r="AI1020" s="10">
        <f>IF($A1020="","",IFERROR(INDEX('2_IMPORTAR_EJECUCION'!$F$9:$F$1208,MATCH($AQ1020,'2_IMPORTAR_EJECUCION'!$J$9:$J$1208,0)),0))</f>
        <v/>
      </c>
      <c r="AJ1020" s="10">
        <f>IF($A1020="","",MAX(0,IFERROR(INDEX('2_IMPORTAR_EJECUCION'!$H$9:$H$1208,MATCH($AQ1020,'2_IMPORTAR_EJECUCION'!$J$9:$J$1208,0)),0)-$AI1020))</f>
        <v/>
      </c>
      <c r="AK1020" s="10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2">
        <f>IF($J1021="","",TODAY()-$J1021)</f>
        <v/>
      </c>
      <c r="AB1021" s="12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F$4:$F$339,MATCH($O1021&amp;"|"&amp;$R1021&amp;"|"&amp;$AE1021,'ASIGNACIONES'!$J$4:$J$339,0)),""))=0,"",IFERROR(INDEX('ASIGNACIONES'!$F$4:$F$339,MATCH($O1021&amp;"|"&amp;$R1021&amp;"|"&amp;$AE1021,'ASIGNACIONES'!$J$4:$J$339,0)),"")))</f>
        <v/>
      </c>
      <c r="AG1021" s="13">
        <f>IF($AE1021="","",SUMIFS('ORDENES'!$M$4:$M$1203,'ORDENES'!$AE$4:$AE$1203,$AE1021,'ORDENES'!$O$4:$O$1203,$O1021,'ORDENES'!$R$4:$R$1203,$R1021))</f>
        <v/>
      </c>
      <c r="AH1021" s="13">
        <f>IF($AG1021="","",p_factor_productividad*IFERROR(INDEX('ASIGNACIONES'!$I$4:$I$339,MATCH($O1021&amp;"|"&amp;$R1021&amp;"|"&amp;$AE1021,'ASIGNACIONES'!$J$4:$J$339,0)),0)-$AG1021)</f>
        <v/>
      </c>
      <c r="AI1021" s="10">
        <f>IF($A1021="","",IFERROR(INDEX('2_IMPORTAR_EJECUCION'!$F$9:$F$1208,MATCH($AQ1021,'2_IMPORTAR_EJECUCION'!$J$9:$J$1208,0)),0))</f>
        <v/>
      </c>
      <c r="AJ1021" s="10">
        <f>IF($A1021="","",MAX(0,IFERROR(INDEX('2_IMPORTAR_EJECUCION'!$H$9:$H$1208,MATCH($AQ1021,'2_IMPORTAR_EJECUCION'!$J$9:$J$1208,0)),0)-$AI1021))</f>
        <v/>
      </c>
      <c r="AK1021" s="10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2">
        <f>IF($J1022="","",TODAY()-$J1022)</f>
        <v/>
      </c>
      <c r="AB1022" s="12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F$4:$F$339,MATCH($O1022&amp;"|"&amp;$R1022&amp;"|"&amp;$AE1022,'ASIGNACIONES'!$J$4:$J$339,0)),""))=0,"",IFERROR(INDEX('ASIGNACIONES'!$F$4:$F$339,MATCH($O1022&amp;"|"&amp;$R1022&amp;"|"&amp;$AE1022,'ASIGNACIONES'!$J$4:$J$339,0)),"")))</f>
        <v/>
      </c>
      <c r="AG1022" s="13">
        <f>IF($AE1022="","",SUMIFS('ORDENES'!$M$4:$M$1203,'ORDENES'!$AE$4:$AE$1203,$AE1022,'ORDENES'!$O$4:$O$1203,$O1022,'ORDENES'!$R$4:$R$1203,$R1022))</f>
        <v/>
      </c>
      <c r="AH1022" s="13">
        <f>IF($AG1022="","",p_factor_productividad*IFERROR(INDEX('ASIGNACIONES'!$I$4:$I$339,MATCH($O1022&amp;"|"&amp;$R1022&amp;"|"&amp;$AE1022,'ASIGNACIONES'!$J$4:$J$339,0)),0)-$AG1022)</f>
        <v/>
      </c>
      <c r="AI1022" s="10">
        <f>IF($A1022="","",IFERROR(INDEX('2_IMPORTAR_EJECUCION'!$F$9:$F$1208,MATCH($AQ1022,'2_IMPORTAR_EJECUCION'!$J$9:$J$1208,0)),0))</f>
        <v/>
      </c>
      <c r="AJ1022" s="10">
        <f>IF($A1022="","",MAX(0,IFERROR(INDEX('2_IMPORTAR_EJECUCION'!$H$9:$H$1208,MATCH($AQ1022,'2_IMPORTAR_EJECUCION'!$J$9:$J$1208,0)),0)-$AI1022))</f>
        <v/>
      </c>
      <c r="AK1022" s="10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2">
        <f>IF($J1023="","",TODAY()-$J1023)</f>
        <v/>
      </c>
      <c r="AB1023" s="12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F$4:$F$339,MATCH($O1023&amp;"|"&amp;$R1023&amp;"|"&amp;$AE1023,'ASIGNACIONES'!$J$4:$J$339,0)),""))=0,"",IFERROR(INDEX('ASIGNACIONES'!$F$4:$F$339,MATCH($O1023&amp;"|"&amp;$R1023&amp;"|"&amp;$AE1023,'ASIGNACIONES'!$J$4:$J$339,0)),"")))</f>
        <v/>
      </c>
      <c r="AG1023" s="13">
        <f>IF($AE1023="","",SUMIFS('ORDENES'!$M$4:$M$1203,'ORDENES'!$AE$4:$AE$1203,$AE1023,'ORDENES'!$O$4:$O$1203,$O1023,'ORDENES'!$R$4:$R$1203,$R1023))</f>
        <v/>
      </c>
      <c r="AH1023" s="13">
        <f>IF($AG1023="","",p_factor_productividad*IFERROR(INDEX('ASIGNACIONES'!$I$4:$I$339,MATCH($O1023&amp;"|"&amp;$R1023&amp;"|"&amp;$AE1023,'ASIGNACIONES'!$J$4:$J$339,0)),0)-$AG1023)</f>
        <v/>
      </c>
      <c r="AI1023" s="10">
        <f>IF($A1023="","",IFERROR(INDEX('2_IMPORTAR_EJECUCION'!$F$9:$F$1208,MATCH($AQ1023,'2_IMPORTAR_EJECUCION'!$J$9:$J$1208,0)),0))</f>
        <v/>
      </c>
      <c r="AJ1023" s="10">
        <f>IF($A1023="","",MAX(0,IFERROR(INDEX('2_IMPORTAR_EJECUCION'!$H$9:$H$1208,MATCH($AQ1023,'2_IMPORTAR_EJECUCION'!$J$9:$J$1208,0)),0)-$AI1023))</f>
        <v/>
      </c>
      <c r="AK1023" s="10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2">
        <f>IF($J1024="","",TODAY()-$J1024)</f>
        <v/>
      </c>
      <c r="AB1024" s="12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F$4:$F$339,MATCH($O1024&amp;"|"&amp;$R1024&amp;"|"&amp;$AE1024,'ASIGNACIONES'!$J$4:$J$339,0)),""))=0,"",IFERROR(INDEX('ASIGNACIONES'!$F$4:$F$339,MATCH($O1024&amp;"|"&amp;$R1024&amp;"|"&amp;$AE1024,'ASIGNACIONES'!$J$4:$J$339,0)),"")))</f>
        <v/>
      </c>
      <c r="AG1024" s="13">
        <f>IF($AE1024="","",SUMIFS('ORDENES'!$M$4:$M$1203,'ORDENES'!$AE$4:$AE$1203,$AE1024,'ORDENES'!$O$4:$O$1203,$O1024,'ORDENES'!$R$4:$R$1203,$R1024))</f>
        <v/>
      </c>
      <c r="AH1024" s="13">
        <f>IF($AG1024="","",p_factor_productividad*IFERROR(INDEX('ASIGNACIONES'!$I$4:$I$339,MATCH($O1024&amp;"|"&amp;$R1024&amp;"|"&amp;$AE1024,'ASIGNACIONES'!$J$4:$J$339,0)),0)-$AG1024)</f>
        <v/>
      </c>
      <c r="AI1024" s="10">
        <f>IF($A1024="","",IFERROR(INDEX('2_IMPORTAR_EJECUCION'!$F$9:$F$1208,MATCH($AQ1024,'2_IMPORTAR_EJECUCION'!$J$9:$J$1208,0)),0))</f>
        <v/>
      </c>
      <c r="AJ1024" s="10">
        <f>IF($A1024="","",MAX(0,IFERROR(INDEX('2_IMPORTAR_EJECUCION'!$H$9:$H$1208,MATCH($AQ1024,'2_IMPORTAR_EJECUCION'!$J$9:$J$1208,0)),0)-$AI1024))</f>
        <v/>
      </c>
      <c r="AK1024" s="10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2">
        <f>IF($J1025="","",TODAY()-$J1025)</f>
        <v/>
      </c>
      <c r="AB1025" s="12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F$4:$F$339,MATCH($O1025&amp;"|"&amp;$R1025&amp;"|"&amp;$AE1025,'ASIGNACIONES'!$J$4:$J$339,0)),""))=0,"",IFERROR(INDEX('ASIGNACIONES'!$F$4:$F$339,MATCH($O1025&amp;"|"&amp;$R1025&amp;"|"&amp;$AE1025,'ASIGNACIONES'!$J$4:$J$339,0)),"")))</f>
        <v/>
      </c>
      <c r="AG1025" s="13">
        <f>IF($AE1025="","",SUMIFS('ORDENES'!$M$4:$M$1203,'ORDENES'!$AE$4:$AE$1203,$AE1025,'ORDENES'!$O$4:$O$1203,$O1025,'ORDENES'!$R$4:$R$1203,$R1025))</f>
        <v/>
      </c>
      <c r="AH1025" s="13">
        <f>IF($AG1025="","",p_factor_productividad*IFERROR(INDEX('ASIGNACIONES'!$I$4:$I$339,MATCH($O1025&amp;"|"&amp;$R1025&amp;"|"&amp;$AE1025,'ASIGNACIONES'!$J$4:$J$339,0)),0)-$AG1025)</f>
        <v/>
      </c>
      <c r="AI1025" s="10">
        <f>IF($A1025="","",IFERROR(INDEX('2_IMPORTAR_EJECUCION'!$F$9:$F$1208,MATCH($AQ1025,'2_IMPORTAR_EJECUCION'!$J$9:$J$1208,0)),0))</f>
        <v/>
      </c>
      <c r="AJ1025" s="10">
        <f>IF($A1025="","",MAX(0,IFERROR(INDEX('2_IMPORTAR_EJECUCION'!$H$9:$H$1208,MATCH($AQ1025,'2_IMPORTAR_EJECUCION'!$J$9:$J$1208,0)),0)-$AI1025))</f>
        <v/>
      </c>
      <c r="AK1025" s="10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2">
        <f>IF($J1026="","",TODAY()-$J1026)</f>
        <v/>
      </c>
      <c r="AB1026" s="12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F$4:$F$339,MATCH($O1026&amp;"|"&amp;$R1026&amp;"|"&amp;$AE1026,'ASIGNACIONES'!$J$4:$J$339,0)),""))=0,"",IFERROR(INDEX('ASIGNACIONES'!$F$4:$F$339,MATCH($O1026&amp;"|"&amp;$R1026&amp;"|"&amp;$AE1026,'ASIGNACIONES'!$J$4:$J$339,0)),"")))</f>
        <v/>
      </c>
      <c r="AG1026" s="13">
        <f>IF($AE1026="","",SUMIFS('ORDENES'!$M$4:$M$1203,'ORDENES'!$AE$4:$AE$1203,$AE1026,'ORDENES'!$O$4:$O$1203,$O1026,'ORDENES'!$R$4:$R$1203,$R1026))</f>
        <v/>
      </c>
      <c r="AH1026" s="13">
        <f>IF($AG1026="","",p_factor_productividad*IFERROR(INDEX('ASIGNACIONES'!$I$4:$I$339,MATCH($O1026&amp;"|"&amp;$R1026&amp;"|"&amp;$AE1026,'ASIGNACIONES'!$J$4:$J$339,0)),0)-$AG1026)</f>
        <v/>
      </c>
      <c r="AI1026" s="10">
        <f>IF($A1026="","",IFERROR(INDEX('2_IMPORTAR_EJECUCION'!$F$9:$F$1208,MATCH($AQ1026,'2_IMPORTAR_EJECUCION'!$J$9:$J$1208,0)),0))</f>
        <v/>
      </c>
      <c r="AJ1026" s="10">
        <f>IF($A1026="","",MAX(0,IFERROR(INDEX('2_IMPORTAR_EJECUCION'!$H$9:$H$1208,MATCH($AQ1026,'2_IMPORTAR_EJECUCION'!$J$9:$J$1208,0)),0)-$AI1026))</f>
        <v/>
      </c>
      <c r="AK1026" s="10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2">
        <f>IF($J1027="","",TODAY()-$J1027)</f>
        <v/>
      </c>
      <c r="AB1027" s="12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F$4:$F$339,MATCH($O1027&amp;"|"&amp;$R1027&amp;"|"&amp;$AE1027,'ASIGNACIONES'!$J$4:$J$339,0)),""))=0,"",IFERROR(INDEX('ASIGNACIONES'!$F$4:$F$339,MATCH($O1027&amp;"|"&amp;$R1027&amp;"|"&amp;$AE1027,'ASIGNACIONES'!$J$4:$J$339,0)),"")))</f>
        <v/>
      </c>
      <c r="AG1027" s="13">
        <f>IF($AE1027="","",SUMIFS('ORDENES'!$M$4:$M$1203,'ORDENES'!$AE$4:$AE$1203,$AE1027,'ORDENES'!$O$4:$O$1203,$O1027,'ORDENES'!$R$4:$R$1203,$R1027))</f>
        <v/>
      </c>
      <c r="AH1027" s="13">
        <f>IF($AG1027="","",p_factor_productividad*IFERROR(INDEX('ASIGNACIONES'!$I$4:$I$339,MATCH($O1027&amp;"|"&amp;$R1027&amp;"|"&amp;$AE1027,'ASIGNACIONES'!$J$4:$J$339,0)),0)-$AG1027)</f>
        <v/>
      </c>
      <c r="AI1027" s="10">
        <f>IF($A1027="","",IFERROR(INDEX('2_IMPORTAR_EJECUCION'!$F$9:$F$1208,MATCH($AQ1027,'2_IMPORTAR_EJECUCION'!$J$9:$J$1208,0)),0))</f>
        <v/>
      </c>
      <c r="AJ1027" s="10">
        <f>IF($A1027="","",MAX(0,IFERROR(INDEX('2_IMPORTAR_EJECUCION'!$H$9:$H$1208,MATCH($AQ1027,'2_IMPORTAR_EJECUCION'!$J$9:$J$1208,0)),0)-$AI1027))</f>
        <v/>
      </c>
      <c r="AK1027" s="10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2">
        <f>IF($J1028="","",TODAY()-$J1028)</f>
        <v/>
      </c>
      <c r="AB1028" s="12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F$4:$F$339,MATCH($O1028&amp;"|"&amp;$R1028&amp;"|"&amp;$AE1028,'ASIGNACIONES'!$J$4:$J$339,0)),""))=0,"",IFERROR(INDEX('ASIGNACIONES'!$F$4:$F$339,MATCH($O1028&amp;"|"&amp;$R1028&amp;"|"&amp;$AE1028,'ASIGNACIONES'!$J$4:$J$339,0)),"")))</f>
        <v/>
      </c>
      <c r="AG1028" s="13">
        <f>IF($AE1028="","",SUMIFS('ORDENES'!$M$4:$M$1203,'ORDENES'!$AE$4:$AE$1203,$AE1028,'ORDENES'!$O$4:$O$1203,$O1028,'ORDENES'!$R$4:$R$1203,$R1028))</f>
        <v/>
      </c>
      <c r="AH1028" s="13">
        <f>IF($AG1028="","",p_factor_productividad*IFERROR(INDEX('ASIGNACIONES'!$I$4:$I$339,MATCH($O1028&amp;"|"&amp;$R1028&amp;"|"&amp;$AE1028,'ASIGNACIONES'!$J$4:$J$339,0)),0)-$AG1028)</f>
        <v/>
      </c>
      <c r="AI1028" s="10">
        <f>IF($A1028="","",IFERROR(INDEX('2_IMPORTAR_EJECUCION'!$F$9:$F$1208,MATCH($AQ1028,'2_IMPORTAR_EJECUCION'!$J$9:$J$1208,0)),0))</f>
        <v/>
      </c>
      <c r="AJ1028" s="10">
        <f>IF($A1028="","",MAX(0,IFERROR(INDEX('2_IMPORTAR_EJECUCION'!$H$9:$H$1208,MATCH($AQ1028,'2_IMPORTAR_EJECUCION'!$J$9:$J$1208,0)),0)-$AI1028))</f>
        <v/>
      </c>
      <c r="AK1028" s="10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2">
        <f>IF($J1029="","",TODAY()-$J1029)</f>
        <v/>
      </c>
      <c r="AB1029" s="12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F$4:$F$339,MATCH($O1029&amp;"|"&amp;$R1029&amp;"|"&amp;$AE1029,'ASIGNACIONES'!$J$4:$J$339,0)),""))=0,"",IFERROR(INDEX('ASIGNACIONES'!$F$4:$F$339,MATCH($O1029&amp;"|"&amp;$R1029&amp;"|"&amp;$AE1029,'ASIGNACIONES'!$J$4:$J$339,0)),"")))</f>
        <v/>
      </c>
      <c r="AG1029" s="13">
        <f>IF($AE1029="","",SUMIFS('ORDENES'!$M$4:$M$1203,'ORDENES'!$AE$4:$AE$1203,$AE1029,'ORDENES'!$O$4:$O$1203,$O1029,'ORDENES'!$R$4:$R$1203,$R1029))</f>
        <v/>
      </c>
      <c r="AH1029" s="13">
        <f>IF($AG1029="","",p_factor_productividad*IFERROR(INDEX('ASIGNACIONES'!$I$4:$I$339,MATCH($O1029&amp;"|"&amp;$R1029&amp;"|"&amp;$AE1029,'ASIGNACIONES'!$J$4:$J$339,0)),0)-$AG1029)</f>
        <v/>
      </c>
      <c r="AI1029" s="10">
        <f>IF($A1029="","",IFERROR(INDEX('2_IMPORTAR_EJECUCION'!$F$9:$F$1208,MATCH($AQ1029,'2_IMPORTAR_EJECUCION'!$J$9:$J$1208,0)),0))</f>
        <v/>
      </c>
      <c r="AJ1029" s="10">
        <f>IF($A1029="","",MAX(0,IFERROR(INDEX('2_IMPORTAR_EJECUCION'!$H$9:$H$1208,MATCH($AQ1029,'2_IMPORTAR_EJECUCION'!$J$9:$J$1208,0)),0)-$AI1029))</f>
        <v/>
      </c>
      <c r="AK1029" s="10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2">
        <f>IF($J1030="","",TODAY()-$J1030)</f>
        <v/>
      </c>
      <c r="AB1030" s="12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F$4:$F$339,MATCH($O1030&amp;"|"&amp;$R1030&amp;"|"&amp;$AE1030,'ASIGNACIONES'!$J$4:$J$339,0)),""))=0,"",IFERROR(INDEX('ASIGNACIONES'!$F$4:$F$339,MATCH($O1030&amp;"|"&amp;$R1030&amp;"|"&amp;$AE1030,'ASIGNACIONES'!$J$4:$J$339,0)),"")))</f>
        <v/>
      </c>
      <c r="AG1030" s="13">
        <f>IF($AE1030="","",SUMIFS('ORDENES'!$M$4:$M$1203,'ORDENES'!$AE$4:$AE$1203,$AE1030,'ORDENES'!$O$4:$O$1203,$O1030,'ORDENES'!$R$4:$R$1203,$R1030))</f>
        <v/>
      </c>
      <c r="AH1030" s="13">
        <f>IF($AG1030="","",p_factor_productividad*IFERROR(INDEX('ASIGNACIONES'!$I$4:$I$339,MATCH($O1030&amp;"|"&amp;$R1030&amp;"|"&amp;$AE1030,'ASIGNACIONES'!$J$4:$J$339,0)),0)-$AG1030)</f>
        <v/>
      </c>
      <c r="AI1030" s="10">
        <f>IF($A1030="","",IFERROR(INDEX('2_IMPORTAR_EJECUCION'!$F$9:$F$1208,MATCH($AQ1030,'2_IMPORTAR_EJECUCION'!$J$9:$J$1208,0)),0))</f>
        <v/>
      </c>
      <c r="AJ1030" s="10">
        <f>IF($A1030="","",MAX(0,IFERROR(INDEX('2_IMPORTAR_EJECUCION'!$H$9:$H$1208,MATCH($AQ1030,'2_IMPORTAR_EJECUCION'!$J$9:$J$1208,0)),0)-$AI1030))</f>
        <v/>
      </c>
      <c r="AK1030" s="10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2">
        <f>IF($J1031="","",TODAY()-$J1031)</f>
        <v/>
      </c>
      <c r="AB1031" s="12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F$4:$F$339,MATCH($O1031&amp;"|"&amp;$R1031&amp;"|"&amp;$AE1031,'ASIGNACIONES'!$J$4:$J$339,0)),""))=0,"",IFERROR(INDEX('ASIGNACIONES'!$F$4:$F$339,MATCH($O1031&amp;"|"&amp;$R1031&amp;"|"&amp;$AE1031,'ASIGNACIONES'!$J$4:$J$339,0)),"")))</f>
        <v/>
      </c>
      <c r="AG1031" s="13">
        <f>IF($AE1031="","",SUMIFS('ORDENES'!$M$4:$M$1203,'ORDENES'!$AE$4:$AE$1203,$AE1031,'ORDENES'!$O$4:$O$1203,$O1031,'ORDENES'!$R$4:$R$1203,$R1031))</f>
        <v/>
      </c>
      <c r="AH1031" s="13">
        <f>IF($AG1031="","",p_factor_productividad*IFERROR(INDEX('ASIGNACIONES'!$I$4:$I$339,MATCH($O1031&amp;"|"&amp;$R1031&amp;"|"&amp;$AE1031,'ASIGNACIONES'!$J$4:$J$339,0)),0)-$AG1031)</f>
        <v/>
      </c>
      <c r="AI1031" s="10">
        <f>IF($A1031="","",IFERROR(INDEX('2_IMPORTAR_EJECUCION'!$F$9:$F$1208,MATCH($AQ1031,'2_IMPORTAR_EJECUCION'!$J$9:$J$1208,0)),0))</f>
        <v/>
      </c>
      <c r="AJ1031" s="10">
        <f>IF($A1031="","",MAX(0,IFERROR(INDEX('2_IMPORTAR_EJECUCION'!$H$9:$H$1208,MATCH($AQ1031,'2_IMPORTAR_EJECUCION'!$J$9:$J$1208,0)),0)-$AI1031))</f>
        <v/>
      </c>
      <c r="AK1031" s="10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2">
        <f>IF($J1032="","",TODAY()-$J1032)</f>
        <v/>
      </c>
      <c r="AB1032" s="12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F$4:$F$339,MATCH($O1032&amp;"|"&amp;$R1032&amp;"|"&amp;$AE1032,'ASIGNACIONES'!$J$4:$J$339,0)),""))=0,"",IFERROR(INDEX('ASIGNACIONES'!$F$4:$F$339,MATCH($O1032&amp;"|"&amp;$R1032&amp;"|"&amp;$AE1032,'ASIGNACIONES'!$J$4:$J$339,0)),"")))</f>
        <v/>
      </c>
      <c r="AG1032" s="13">
        <f>IF($AE1032="","",SUMIFS('ORDENES'!$M$4:$M$1203,'ORDENES'!$AE$4:$AE$1203,$AE1032,'ORDENES'!$O$4:$O$1203,$O1032,'ORDENES'!$R$4:$R$1203,$R1032))</f>
        <v/>
      </c>
      <c r="AH1032" s="13">
        <f>IF($AG1032="","",p_factor_productividad*IFERROR(INDEX('ASIGNACIONES'!$I$4:$I$339,MATCH($O1032&amp;"|"&amp;$R1032&amp;"|"&amp;$AE1032,'ASIGNACIONES'!$J$4:$J$339,0)),0)-$AG1032)</f>
        <v/>
      </c>
      <c r="AI1032" s="10">
        <f>IF($A1032="","",IFERROR(INDEX('2_IMPORTAR_EJECUCION'!$F$9:$F$1208,MATCH($AQ1032,'2_IMPORTAR_EJECUCION'!$J$9:$J$1208,0)),0))</f>
        <v/>
      </c>
      <c r="AJ1032" s="10">
        <f>IF($A1032="","",MAX(0,IFERROR(INDEX('2_IMPORTAR_EJECUCION'!$H$9:$H$1208,MATCH($AQ1032,'2_IMPORTAR_EJECUCION'!$J$9:$J$1208,0)),0)-$AI1032))</f>
        <v/>
      </c>
      <c r="AK1032" s="10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2">
        <f>IF($J1033="","",TODAY()-$J1033)</f>
        <v/>
      </c>
      <c r="AB1033" s="12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F$4:$F$339,MATCH($O1033&amp;"|"&amp;$R1033&amp;"|"&amp;$AE1033,'ASIGNACIONES'!$J$4:$J$339,0)),""))=0,"",IFERROR(INDEX('ASIGNACIONES'!$F$4:$F$339,MATCH($O1033&amp;"|"&amp;$R1033&amp;"|"&amp;$AE1033,'ASIGNACIONES'!$J$4:$J$339,0)),"")))</f>
        <v/>
      </c>
      <c r="AG1033" s="13">
        <f>IF($AE1033="","",SUMIFS('ORDENES'!$M$4:$M$1203,'ORDENES'!$AE$4:$AE$1203,$AE1033,'ORDENES'!$O$4:$O$1203,$O1033,'ORDENES'!$R$4:$R$1203,$R1033))</f>
        <v/>
      </c>
      <c r="AH1033" s="13">
        <f>IF($AG1033="","",p_factor_productividad*IFERROR(INDEX('ASIGNACIONES'!$I$4:$I$339,MATCH($O1033&amp;"|"&amp;$R1033&amp;"|"&amp;$AE1033,'ASIGNACIONES'!$J$4:$J$339,0)),0)-$AG1033)</f>
        <v/>
      </c>
      <c r="AI1033" s="10">
        <f>IF($A1033="","",IFERROR(INDEX('2_IMPORTAR_EJECUCION'!$F$9:$F$1208,MATCH($AQ1033,'2_IMPORTAR_EJECUCION'!$J$9:$J$1208,0)),0))</f>
        <v/>
      </c>
      <c r="AJ1033" s="10">
        <f>IF($A1033="","",MAX(0,IFERROR(INDEX('2_IMPORTAR_EJECUCION'!$H$9:$H$1208,MATCH($AQ1033,'2_IMPORTAR_EJECUCION'!$J$9:$J$1208,0)),0)-$AI1033))</f>
        <v/>
      </c>
      <c r="AK1033" s="10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2">
        <f>IF($J1034="","",TODAY()-$J1034)</f>
        <v/>
      </c>
      <c r="AB1034" s="12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F$4:$F$339,MATCH($O1034&amp;"|"&amp;$R1034&amp;"|"&amp;$AE1034,'ASIGNACIONES'!$J$4:$J$339,0)),""))=0,"",IFERROR(INDEX('ASIGNACIONES'!$F$4:$F$339,MATCH($O1034&amp;"|"&amp;$R1034&amp;"|"&amp;$AE1034,'ASIGNACIONES'!$J$4:$J$339,0)),"")))</f>
        <v/>
      </c>
      <c r="AG1034" s="13">
        <f>IF($AE1034="","",SUMIFS('ORDENES'!$M$4:$M$1203,'ORDENES'!$AE$4:$AE$1203,$AE1034,'ORDENES'!$O$4:$O$1203,$O1034,'ORDENES'!$R$4:$R$1203,$R1034))</f>
        <v/>
      </c>
      <c r="AH1034" s="13">
        <f>IF($AG1034="","",p_factor_productividad*IFERROR(INDEX('ASIGNACIONES'!$I$4:$I$339,MATCH($O1034&amp;"|"&amp;$R1034&amp;"|"&amp;$AE1034,'ASIGNACIONES'!$J$4:$J$339,0)),0)-$AG1034)</f>
        <v/>
      </c>
      <c r="AI1034" s="10">
        <f>IF($A1034="","",IFERROR(INDEX('2_IMPORTAR_EJECUCION'!$F$9:$F$1208,MATCH($AQ1034,'2_IMPORTAR_EJECUCION'!$J$9:$J$1208,0)),0))</f>
        <v/>
      </c>
      <c r="AJ1034" s="10">
        <f>IF($A1034="","",MAX(0,IFERROR(INDEX('2_IMPORTAR_EJECUCION'!$H$9:$H$1208,MATCH($AQ1034,'2_IMPORTAR_EJECUCION'!$J$9:$J$1208,0)),0)-$AI1034))</f>
        <v/>
      </c>
      <c r="AK1034" s="10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2">
        <f>IF($J1035="","",TODAY()-$J1035)</f>
        <v/>
      </c>
      <c r="AB1035" s="12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F$4:$F$339,MATCH($O1035&amp;"|"&amp;$R1035&amp;"|"&amp;$AE1035,'ASIGNACIONES'!$J$4:$J$339,0)),""))=0,"",IFERROR(INDEX('ASIGNACIONES'!$F$4:$F$339,MATCH($O1035&amp;"|"&amp;$R1035&amp;"|"&amp;$AE1035,'ASIGNACIONES'!$J$4:$J$339,0)),"")))</f>
        <v/>
      </c>
      <c r="AG1035" s="13">
        <f>IF($AE1035="","",SUMIFS('ORDENES'!$M$4:$M$1203,'ORDENES'!$AE$4:$AE$1203,$AE1035,'ORDENES'!$O$4:$O$1203,$O1035,'ORDENES'!$R$4:$R$1203,$R1035))</f>
        <v/>
      </c>
      <c r="AH1035" s="13">
        <f>IF($AG1035="","",p_factor_productividad*IFERROR(INDEX('ASIGNACIONES'!$I$4:$I$339,MATCH($O1035&amp;"|"&amp;$R1035&amp;"|"&amp;$AE1035,'ASIGNACIONES'!$J$4:$J$339,0)),0)-$AG1035)</f>
        <v/>
      </c>
      <c r="AI1035" s="10">
        <f>IF($A1035="","",IFERROR(INDEX('2_IMPORTAR_EJECUCION'!$F$9:$F$1208,MATCH($AQ1035,'2_IMPORTAR_EJECUCION'!$J$9:$J$1208,0)),0))</f>
        <v/>
      </c>
      <c r="AJ1035" s="10">
        <f>IF($A1035="","",MAX(0,IFERROR(INDEX('2_IMPORTAR_EJECUCION'!$H$9:$H$1208,MATCH($AQ1035,'2_IMPORTAR_EJECUCION'!$J$9:$J$1208,0)),0)-$AI1035))</f>
        <v/>
      </c>
      <c r="AK1035" s="10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2">
        <f>IF($J1036="","",TODAY()-$J1036)</f>
        <v/>
      </c>
      <c r="AB1036" s="12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F$4:$F$339,MATCH($O1036&amp;"|"&amp;$R1036&amp;"|"&amp;$AE1036,'ASIGNACIONES'!$J$4:$J$339,0)),""))=0,"",IFERROR(INDEX('ASIGNACIONES'!$F$4:$F$339,MATCH($O1036&amp;"|"&amp;$R1036&amp;"|"&amp;$AE1036,'ASIGNACIONES'!$J$4:$J$339,0)),"")))</f>
        <v/>
      </c>
      <c r="AG1036" s="13">
        <f>IF($AE1036="","",SUMIFS('ORDENES'!$M$4:$M$1203,'ORDENES'!$AE$4:$AE$1203,$AE1036,'ORDENES'!$O$4:$O$1203,$O1036,'ORDENES'!$R$4:$R$1203,$R1036))</f>
        <v/>
      </c>
      <c r="AH1036" s="13">
        <f>IF($AG1036="","",p_factor_productividad*IFERROR(INDEX('ASIGNACIONES'!$I$4:$I$339,MATCH($O1036&amp;"|"&amp;$R1036&amp;"|"&amp;$AE1036,'ASIGNACIONES'!$J$4:$J$339,0)),0)-$AG1036)</f>
        <v/>
      </c>
      <c r="AI1036" s="10">
        <f>IF($A1036="","",IFERROR(INDEX('2_IMPORTAR_EJECUCION'!$F$9:$F$1208,MATCH($AQ1036,'2_IMPORTAR_EJECUCION'!$J$9:$J$1208,0)),0))</f>
        <v/>
      </c>
      <c r="AJ1036" s="10">
        <f>IF($A1036="","",MAX(0,IFERROR(INDEX('2_IMPORTAR_EJECUCION'!$H$9:$H$1208,MATCH($AQ1036,'2_IMPORTAR_EJECUCION'!$J$9:$J$1208,0)),0)-$AI1036))</f>
        <v/>
      </c>
      <c r="AK1036" s="10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2">
        <f>IF($J1037="","",TODAY()-$J1037)</f>
        <v/>
      </c>
      <c r="AB1037" s="12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F$4:$F$339,MATCH($O1037&amp;"|"&amp;$R1037&amp;"|"&amp;$AE1037,'ASIGNACIONES'!$J$4:$J$339,0)),""))=0,"",IFERROR(INDEX('ASIGNACIONES'!$F$4:$F$339,MATCH($O1037&amp;"|"&amp;$R1037&amp;"|"&amp;$AE1037,'ASIGNACIONES'!$J$4:$J$339,0)),"")))</f>
        <v/>
      </c>
      <c r="AG1037" s="13">
        <f>IF($AE1037="","",SUMIFS('ORDENES'!$M$4:$M$1203,'ORDENES'!$AE$4:$AE$1203,$AE1037,'ORDENES'!$O$4:$O$1203,$O1037,'ORDENES'!$R$4:$R$1203,$R1037))</f>
        <v/>
      </c>
      <c r="AH1037" s="13">
        <f>IF($AG1037="","",p_factor_productividad*IFERROR(INDEX('ASIGNACIONES'!$I$4:$I$339,MATCH($O1037&amp;"|"&amp;$R1037&amp;"|"&amp;$AE1037,'ASIGNACIONES'!$J$4:$J$339,0)),0)-$AG1037)</f>
        <v/>
      </c>
      <c r="AI1037" s="10">
        <f>IF($A1037="","",IFERROR(INDEX('2_IMPORTAR_EJECUCION'!$F$9:$F$1208,MATCH($AQ1037,'2_IMPORTAR_EJECUCION'!$J$9:$J$1208,0)),0))</f>
        <v/>
      </c>
      <c r="AJ1037" s="10">
        <f>IF($A1037="","",MAX(0,IFERROR(INDEX('2_IMPORTAR_EJECUCION'!$H$9:$H$1208,MATCH($AQ1037,'2_IMPORTAR_EJECUCION'!$J$9:$J$1208,0)),0)-$AI1037))</f>
        <v/>
      </c>
      <c r="AK1037" s="10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2">
        <f>IF($J1038="","",TODAY()-$J1038)</f>
        <v/>
      </c>
      <c r="AB1038" s="12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F$4:$F$339,MATCH($O1038&amp;"|"&amp;$R1038&amp;"|"&amp;$AE1038,'ASIGNACIONES'!$J$4:$J$339,0)),""))=0,"",IFERROR(INDEX('ASIGNACIONES'!$F$4:$F$339,MATCH($O1038&amp;"|"&amp;$R1038&amp;"|"&amp;$AE1038,'ASIGNACIONES'!$J$4:$J$339,0)),"")))</f>
        <v/>
      </c>
      <c r="AG1038" s="13">
        <f>IF($AE1038="","",SUMIFS('ORDENES'!$M$4:$M$1203,'ORDENES'!$AE$4:$AE$1203,$AE1038,'ORDENES'!$O$4:$O$1203,$O1038,'ORDENES'!$R$4:$R$1203,$R1038))</f>
        <v/>
      </c>
      <c r="AH1038" s="13">
        <f>IF($AG1038="","",p_factor_productividad*IFERROR(INDEX('ASIGNACIONES'!$I$4:$I$339,MATCH($O1038&amp;"|"&amp;$R1038&amp;"|"&amp;$AE1038,'ASIGNACIONES'!$J$4:$J$339,0)),0)-$AG1038)</f>
        <v/>
      </c>
      <c r="AI1038" s="10">
        <f>IF($A1038="","",IFERROR(INDEX('2_IMPORTAR_EJECUCION'!$F$9:$F$1208,MATCH($AQ1038,'2_IMPORTAR_EJECUCION'!$J$9:$J$1208,0)),0))</f>
        <v/>
      </c>
      <c r="AJ1038" s="10">
        <f>IF($A1038="","",MAX(0,IFERROR(INDEX('2_IMPORTAR_EJECUCION'!$H$9:$H$1208,MATCH($AQ1038,'2_IMPORTAR_EJECUCION'!$J$9:$J$1208,0)),0)-$AI1038))</f>
        <v/>
      </c>
      <c r="AK1038" s="10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2">
        <f>IF($J1039="","",TODAY()-$J1039)</f>
        <v/>
      </c>
      <c r="AB1039" s="12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F$4:$F$339,MATCH($O1039&amp;"|"&amp;$R1039&amp;"|"&amp;$AE1039,'ASIGNACIONES'!$J$4:$J$339,0)),""))=0,"",IFERROR(INDEX('ASIGNACIONES'!$F$4:$F$339,MATCH($O1039&amp;"|"&amp;$R1039&amp;"|"&amp;$AE1039,'ASIGNACIONES'!$J$4:$J$339,0)),"")))</f>
        <v/>
      </c>
      <c r="AG1039" s="13">
        <f>IF($AE1039="","",SUMIFS('ORDENES'!$M$4:$M$1203,'ORDENES'!$AE$4:$AE$1203,$AE1039,'ORDENES'!$O$4:$O$1203,$O1039,'ORDENES'!$R$4:$R$1203,$R1039))</f>
        <v/>
      </c>
      <c r="AH1039" s="13">
        <f>IF($AG1039="","",p_factor_productividad*IFERROR(INDEX('ASIGNACIONES'!$I$4:$I$339,MATCH($O1039&amp;"|"&amp;$R1039&amp;"|"&amp;$AE1039,'ASIGNACIONES'!$J$4:$J$339,0)),0)-$AG1039)</f>
        <v/>
      </c>
      <c r="AI1039" s="10">
        <f>IF($A1039="","",IFERROR(INDEX('2_IMPORTAR_EJECUCION'!$F$9:$F$1208,MATCH($AQ1039,'2_IMPORTAR_EJECUCION'!$J$9:$J$1208,0)),0))</f>
        <v/>
      </c>
      <c r="AJ1039" s="10">
        <f>IF($A1039="","",MAX(0,IFERROR(INDEX('2_IMPORTAR_EJECUCION'!$H$9:$H$1208,MATCH($AQ1039,'2_IMPORTAR_EJECUCION'!$J$9:$J$1208,0)),0)-$AI1039))</f>
        <v/>
      </c>
      <c r="AK1039" s="10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2">
        <f>IF($J1040="","",TODAY()-$J1040)</f>
        <v/>
      </c>
      <c r="AB1040" s="12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F$4:$F$339,MATCH($O1040&amp;"|"&amp;$R1040&amp;"|"&amp;$AE1040,'ASIGNACIONES'!$J$4:$J$339,0)),""))=0,"",IFERROR(INDEX('ASIGNACIONES'!$F$4:$F$339,MATCH($O1040&amp;"|"&amp;$R1040&amp;"|"&amp;$AE1040,'ASIGNACIONES'!$J$4:$J$339,0)),"")))</f>
        <v/>
      </c>
      <c r="AG1040" s="13">
        <f>IF($AE1040="","",SUMIFS('ORDENES'!$M$4:$M$1203,'ORDENES'!$AE$4:$AE$1203,$AE1040,'ORDENES'!$O$4:$O$1203,$O1040,'ORDENES'!$R$4:$R$1203,$R1040))</f>
        <v/>
      </c>
      <c r="AH1040" s="13">
        <f>IF($AG1040="","",p_factor_productividad*IFERROR(INDEX('ASIGNACIONES'!$I$4:$I$339,MATCH($O1040&amp;"|"&amp;$R1040&amp;"|"&amp;$AE1040,'ASIGNACIONES'!$J$4:$J$339,0)),0)-$AG1040)</f>
        <v/>
      </c>
      <c r="AI1040" s="10">
        <f>IF($A1040="","",IFERROR(INDEX('2_IMPORTAR_EJECUCION'!$F$9:$F$1208,MATCH($AQ1040,'2_IMPORTAR_EJECUCION'!$J$9:$J$1208,0)),0))</f>
        <v/>
      </c>
      <c r="AJ1040" s="10">
        <f>IF($A1040="","",MAX(0,IFERROR(INDEX('2_IMPORTAR_EJECUCION'!$H$9:$H$1208,MATCH($AQ1040,'2_IMPORTAR_EJECUCION'!$J$9:$J$1208,0)),0)-$AI1040))</f>
        <v/>
      </c>
      <c r="AK1040" s="10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2">
        <f>IF($J1041="","",TODAY()-$J1041)</f>
        <v/>
      </c>
      <c r="AB1041" s="12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F$4:$F$339,MATCH($O1041&amp;"|"&amp;$R1041&amp;"|"&amp;$AE1041,'ASIGNACIONES'!$J$4:$J$339,0)),""))=0,"",IFERROR(INDEX('ASIGNACIONES'!$F$4:$F$339,MATCH($O1041&amp;"|"&amp;$R1041&amp;"|"&amp;$AE1041,'ASIGNACIONES'!$J$4:$J$339,0)),"")))</f>
        <v/>
      </c>
      <c r="AG1041" s="13">
        <f>IF($AE1041="","",SUMIFS('ORDENES'!$M$4:$M$1203,'ORDENES'!$AE$4:$AE$1203,$AE1041,'ORDENES'!$O$4:$O$1203,$O1041,'ORDENES'!$R$4:$R$1203,$R1041))</f>
        <v/>
      </c>
      <c r="AH1041" s="13">
        <f>IF($AG1041="","",p_factor_productividad*IFERROR(INDEX('ASIGNACIONES'!$I$4:$I$339,MATCH($O1041&amp;"|"&amp;$R1041&amp;"|"&amp;$AE1041,'ASIGNACIONES'!$J$4:$J$339,0)),0)-$AG1041)</f>
        <v/>
      </c>
      <c r="AI1041" s="10">
        <f>IF($A1041="","",IFERROR(INDEX('2_IMPORTAR_EJECUCION'!$F$9:$F$1208,MATCH($AQ1041,'2_IMPORTAR_EJECUCION'!$J$9:$J$1208,0)),0))</f>
        <v/>
      </c>
      <c r="AJ1041" s="10">
        <f>IF($A1041="","",MAX(0,IFERROR(INDEX('2_IMPORTAR_EJECUCION'!$H$9:$H$1208,MATCH($AQ1041,'2_IMPORTAR_EJECUCION'!$J$9:$J$1208,0)),0)-$AI1041))</f>
        <v/>
      </c>
      <c r="AK1041" s="10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2">
        <f>IF($J1042="","",TODAY()-$J1042)</f>
        <v/>
      </c>
      <c r="AB1042" s="12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F$4:$F$339,MATCH($O1042&amp;"|"&amp;$R1042&amp;"|"&amp;$AE1042,'ASIGNACIONES'!$J$4:$J$339,0)),""))=0,"",IFERROR(INDEX('ASIGNACIONES'!$F$4:$F$339,MATCH($O1042&amp;"|"&amp;$R1042&amp;"|"&amp;$AE1042,'ASIGNACIONES'!$J$4:$J$339,0)),"")))</f>
        <v/>
      </c>
      <c r="AG1042" s="13">
        <f>IF($AE1042="","",SUMIFS('ORDENES'!$M$4:$M$1203,'ORDENES'!$AE$4:$AE$1203,$AE1042,'ORDENES'!$O$4:$O$1203,$O1042,'ORDENES'!$R$4:$R$1203,$R1042))</f>
        <v/>
      </c>
      <c r="AH1042" s="13">
        <f>IF($AG1042="","",p_factor_productividad*IFERROR(INDEX('ASIGNACIONES'!$I$4:$I$339,MATCH($O1042&amp;"|"&amp;$R1042&amp;"|"&amp;$AE1042,'ASIGNACIONES'!$J$4:$J$339,0)),0)-$AG1042)</f>
        <v/>
      </c>
      <c r="AI1042" s="10">
        <f>IF($A1042="","",IFERROR(INDEX('2_IMPORTAR_EJECUCION'!$F$9:$F$1208,MATCH($AQ1042,'2_IMPORTAR_EJECUCION'!$J$9:$J$1208,0)),0))</f>
        <v/>
      </c>
      <c r="AJ1042" s="10">
        <f>IF($A1042="","",MAX(0,IFERROR(INDEX('2_IMPORTAR_EJECUCION'!$H$9:$H$1208,MATCH($AQ1042,'2_IMPORTAR_EJECUCION'!$J$9:$J$1208,0)),0)-$AI1042))</f>
        <v/>
      </c>
      <c r="AK1042" s="10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2">
        <f>IF($J1043="","",TODAY()-$J1043)</f>
        <v/>
      </c>
      <c r="AB1043" s="12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F$4:$F$339,MATCH($O1043&amp;"|"&amp;$R1043&amp;"|"&amp;$AE1043,'ASIGNACIONES'!$J$4:$J$339,0)),""))=0,"",IFERROR(INDEX('ASIGNACIONES'!$F$4:$F$339,MATCH($O1043&amp;"|"&amp;$R1043&amp;"|"&amp;$AE1043,'ASIGNACIONES'!$J$4:$J$339,0)),"")))</f>
        <v/>
      </c>
      <c r="AG1043" s="13">
        <f>IF($AE1043="","",SUMIFS('ORDENES'!$M$4:$M$1203,'ORDENES'!$AE$4:$AE$1203,$AE1043,'ORDENES'!$O$4:$O$1203,$O1043,'ORDENES'!$R$4:$R$1203,$R1043))</f>
        <v/>
      </c>
      <c r="AH1043" s="13">
        <f>IF($AG1043="","",p_factor_productividad*IFERROR(INDEX('ASIGNACIONES'!$I$4:$I$339,MATCH($O1043&amp;"|"&amp;$R1043&amp;"|"&amp;$AE1043,'ASIGNACIONES'!$J$4:$J$339,0)),0)-$AG1043)</f>
        <v/>
      </c>
      <c r="AI1043" s="10">
        <f>IF($A1043="","",IFERROR(INDEX('2_IMPORTAR_EJECUCION'!$F$9:$F$1208,MATCH($AQ1043,'2_IMPORTAR_EJECUCION'!$J$9:$J$1208,0)),0))</f>
        <v/>
      </c>
      <c r="AJ1043" s="10">
        <f>IF($A1043="","",MAX(0,IFERROR(INDEX('2_IMPORTAR_EJECUCION'!$H$9:$H$1208,MATCH($AQ1043,'2_IMPORTAR_EJECUCION'!$J$9:$J$1208,0)),0)-$AI1043))</f>
        <v/>
      </c>
      <c r="AK1043" s="10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2">
        <f>IF($J1044="","",TODAY()-$J1044)</f>
        <v/>
      </c>
      <c r="AB1044" s="12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F$4:$F$339,MATCH($O1044&amp;"|"&amp;$R1044&amp;"|"&amp;$AE1044,'ASIGNACIONES'!$J$4:$J$339,0)),""))=0,"",IFERROR(INDEX('ASIGNACIONES'!$F$4:$F$339,MATCH($O1044&amp;"|"&amp;$R1044&amp;"|"&amp;$AE1044,'ASIGNACIONES'!$J$4:$J$339,0)),"")))</f>
        <v/>
      </c>
      <c r="AG1044" s="13">
        <f>IF($AE1044="","",SUMIFS('ORDENES'!$M$4:$M$1203,'ORDENES'!$AE$4:$AE$1203,$AE1044,'ORDENES'!$O$4:$O$1203,$O1044,'ORDENES'!$R$4:$R$1203,$R1044))</f>
        <v/>
      </c>
      <c r="AH1044" s="13">
        <f>IF($AG1044="","",p_factor_productividad*IFERROR(INDEX('ASIGNACIONES'!$I$4:$I$339,MATCH($O1044&amp;"|"&amp;$R1044&amp;"|"&amp;$AE1044,'ASIGNACIONES'!$J$4:$J$339,0)),0)-$AG1044)</f>
        <v/>
      </c>
      <c r="AI1044" s="10">
        <f>IF($A1044="","",IFERROR(INDEX('2_IMPORTAR_EJECUCION'!$F$9:$F$1208,MATCH($AQ1044,'2_IMPORTAR_EJECUCION'!$J$9:$J$1208,0)),0))</f>
        <v/>
      </c>
      <c r="AJ1044" s="10">
        <f>IF($A1044="","",MAX(0,IFERROR(INDEX('2_IMPORTAR_EJECUCION'!$H$9:$H$1208,MATCH($AQ1044,'2_IMPORTAR_EJECUCION'!$J$9:$J$1208,0)),0)-$AI1044))</f>
        <v/>
      </c>
      <c r="AK1044" s="10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2">
        <f>IF($J1045="","",TODAY()-$J1045)</f>
        <v/>
      </c>
      <c r="AB1045" s="12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F$4:$F$339,MATCH($O1045&amp;"|"&amp;$R1045&amp;"|"&amp;$AE1045,'ASIGNACIONES'!$J$4:$J$339,0)),""))=0,"",IFERROR(INDEX('ASIGNACIONES'!$F$4:$F$339,MATCH($O1045&amp;"|"&amp;$R1045&amp;"|"&amp;$AE1045,'ASIGNACIONES'!$J$4:$J$339,0)),"")))</f>
        <v/>
      </c>
      <c r="AG1045" s="13">
        <f>IF($AE1045="","",SUMIFS('ORDENES'!$M$4:$M$1203,'ORDENES'!$AE$4:$AE$1203,$AE1045,'ORDENES'!$O$4:$O$1203,$O1045,'ORDENES'!$R$4:$R$1203,$R1045))</f>
        <v/>
      </c>
      <c r="AH1045" s="13">
        <f>IF($AG1045="","",p_factor_productividad*IFERROR(INDEX('ASIGNACIONES'!$I$4:$I$339,MATCH($O1045&amp;"|"&amp;$R1045&amp;"|"&amp;$AE1045,'ASIGNACIONES'!$J$4:$J$339,0)),0)-$AG1045)</f>
        <v/>
      </c>
      <c r="AI1045" s="10">
        <f>IF($A1045="","",IFERROR(INDEX('2_IMPORTAR_EJECUCION'!$F$9:$F$1208,MATCH($AQ1045,'2_IMPORTAR_EJECUCION'!$J$9:$J$1208,0)),0))</f>
        <v/>
      </c>
      <c r="AJ1045" s="10">
        <f>IF($A1045="","",MAX(0,IFERROR(INDEX('2_IMPORTAR_EJECUCION'!$H$9:$H$1208,MATCH($AQ1045,'2_IMPORTAR_EJECUCION'!$J$9:$J$1208,0)),0)-$AI1045))</f>
        <v/>
      </c>
      <c r="AK1045" s="10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2">
        <f>IF($J1046="","",TODAY()-$J1046)</f>
        <v/>
      </c>
      <c r="AB1046" s="12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F$4:$F$339,MATCH($O1046&amp;"|"&amp;$R1046&amp;"|"&amp;$AE1046,'ASIGNACIONES'!$J$4:$J$339,0)),""))=0,"",IFERROR(INDEX('ASIGNACIONES'!$F$4:$F$339,MATCH($O1046&amp;"|"&amp;$R1046&amp;"|"&amp;$AE1046,'ASIGNACIONES'!$J$4:$J$339,0)),"")))</f>
        <v/>
      </c>
      <c r="AG1046" s="13">
        <f>IF($AE1046="","",SUMIFS('ORDENES'!$M$4:$M$1203,'ORDENES'!$AE$4:$AE$1203,$AE1046,'ORDENES'!$O$4:$O$1203,$O1046,'ORDENES'!$R$4:$R$1203,$R1046))</f>
        <v/>
      </c>
      <c r="AH1046" s="13">
        <f>IF($AG1046="","",p_factor_productividad*IFERROR(INDEX('ASIGNACIONES'!$I$4:$I$339,MATCH($O1046&amp;"|"&amp;$R1046&amp;"|"&amp;$AE1046,'ASIGNACIONES'!$J$4:$J$339,0)),0)-$AG1046)</f>
        <v/>
      </c>
      <c r="AI1046" s="10">
        <f>IF($A1046="","",IFERROR(INDEX('2_IMPORTAR_EJECUCION'!$F$9:$F$1208,MATCH($AQ1046,'2_IMPORTAR_EJECUCION'!$J$9:$J$1208,0)),0))</f>
        <v/>
      </c>
      <c r="AJ1046" s="10">
        <f>IF($A1046="","",MAX(0,IFERROR(INDEX('2_IMPORTAR_EJECUCION'!$H$9:$H$1208,MATCH($AQ1046,'2_IMPORTAR_EJECUCION'!$J$9:$J$1208,0)),0)-$AI1046))</f>
        <v/>
      </c>
      <c r="AK1046" s="10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2">
        <f>IF($J1047="","",TODAY()-$J1047)</f>
        <v/>
      </c>
      <c r="AB1047" s="12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F$4:$F$339,MATCH($O1047&amp;"|"&amp;$R1047&amp;"|"&amp;$AE1047,'ASIGNACIONES'!$J$4:$J$339,0)),""))=0,"",IFERROR(INDEX('ASIGNACIONES'!$F$4:$F$339,MATCH($O1047&amp;"|"&amp;$R1047&amp;"|"&amp;$AE1047,'ASIGNACIONES'!$J$4:$J$339,0)),"")))</f>
        <v/>
      </c>
      <c r="AG1047" s="13">
        <f>IF($AE1047="","",SUMIFS('ORDENES'!$M$4:$M$1203,'ORDENES'!$AE$4:$AE$1203,$AE1047,'ORDENES'!$O$4:$O$1203,$O1047,'ORDENES'!$R$4:$R$1203,$R1047))</f>
        <v/>
      </c>
      <c r="AH1047" s="13">
        <f>IF($AG1047="","",p_factor_productividad*IFERROR(INDEX('ASIGNACIONES'!$I$4:$I$339,MATCH($O1047&amp;"|"&amp;$R1047&amp;"|"&amp;$AE1047,'ASIGNACIONES'!$J$4:$J$339,0)),0)-$AG1047)</f>
        <v/>
      </c>
      <c r="AI1047" s="10">
        <f>IF($A1047="","",IFERROR(INDEX('2_IMPORTAR_EJECUCION'!$F$9:$F$1208,MATCH($AQ1047,'2_IMPORTAR_EJECUCION'!$J$9:$J$1208,0)),0))</f>
        <v/>
      </c>
      <c r="AJ1047" s="10">
        <f>IF($A1047="","",MAX(0,IFERROR(INDEX('2_IMPORTAR_EJECUCION'!$H$9:$H$1208,MATCH($AQ1047,'2_IMPORTAR_EJECUCION'!$J$9:$J$1208,0)),0)-$AI1047))</f>
        <v/>
      </c>
      <c r="AK1047" s="10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2">
        <f>IF($J1048="","",TODAY()-$J1048)</f>
        <v/>
      </c>
      <c r="AB1048" s="12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F$4:$F$339,MATCH($O1048&amp;"|"&amp;$R1048&amp;"|"&amp;$AE1048,'ASIGNACIONES'!$J$4:$J$339,0)),""))=0,"",IFERROR(INDEX('ASIGNACIONES'!$F$4:$F$339,MATCH($O1048&amp;"|"&amp;$R1048&amp;"|"&amp;$AE1048,'ASIGNACIONES'!$J$4:$J$339,0)),"")))</f>
        <v/>
      </c>
      <c r="AG1048" s="13">
        <f>IF($AE1048="","",SUMIFS('ORDENES'!$M$4:$M$1203,'ORDENES'!$AE$4:$AE$1203,$AE1048,'ORDENES'!$O$4:$O$1203,$O1048,'ORDENES'!$R$4:$R$1203,$R1048))</f>
        <v/>
      </c>
      <c r="AH1048" s="13">
        <f>IF($AG1048="","",p_factor_productividad*IFERROR(INDEX('ASIGNACIONES'!$I$4:$I$339,MATCH($O1048&amp;"|"&amp;$R1048&amp;"|"&amp;$AE1048,'ASIGNACIONES'!$J$4:$J$339,0)),0)-$AG1048)</f>
        <v/>
      </c>
      <c r="AI1048" s="10">
        <f>IF($A1048="","",IFERROR(INDEX('2_IMPORTAR_EJECUCION'!$F$9:$F$1208,MATCH($AQ1048,'2_IMPORTAR_EJECUCION'!$J$9:$J$1208,0)),0))</f>
        <v/>
      </c>
      <c r="AJ1048" s="10">
        <f>IF($A1048="","",MAX(0,IFERROR(INDEX('2_IMPORTAR_EJECUCION'!$H$9:$H$1208,MATCH($AQ1048,'2_IMPORTAR_EJECUCION'!$J$9:$J$1208,0)),0)-$AI1048))</f>
        <v/>
      </c>
      <c r="AK1048" s="10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2">
        <f>IF($J1049="","",TODAY()-$J1049)</f>
        <v/>
      </c>
      <c r="AB1049" s="12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F$4:$F$339,MATCH($O1049&amp;"|"&amp;$R1049&amp;"|"&amp;$AE1049,'ASIGNACIONES'!$J$4:$J$339,0)),""))=0,"",IFERROR(INDEX('ASIGNACIONES'!$F$4:$F$339,MATCH($O1049&amp;"|"&amp;$R1049&amp;"|"&amp;$AE1049,'ASIGNACIONES'!$J$4:$J$339,0)),"")))</f>
        <v/>
      </c>
      <c r="AG1049" s="13">
        <f>IF($AE1049="","",SUMIFS('ORDENES'!$M$4:$M$1203,'ORDENES'!$AE$4:$AE$1203,$AE1049,'ORDENES'!$O$4:$O$1203,$O1049,'ORDENES'!$R$4:$R$1203,$R1049))</f>
        <v/>
      </c>
      <c r="AH1049" s="13">
        <f>IF($AG1049="","",p_factor_productividad*IFERROR(INDEX('ASIGNACIONES'!$I$4:$I$339,MATCH($O1049&amp;"|"&amp;$R1049&amp;"|"&amp;$AE1049,'ASIGNACIONES'!$J$4:$J$339,0)),0)-$AG1049)</f>
        <v/>
      </c>
      <c r="AI1049" s="10">
        <f>IF($A1049="","",IFERROR(INDEX('2_IMPORTAR_EJECUCION'!$F$9:$F$1208,MATCH($AQ1049,'2_IMPORTAR_EJECUCION'!$J$9:$J$1208,0)),0))</f>
        <v/>
      </c>
      <c r="AJ1049" s="10">
        <f>IF($A1049="","",MAX(0,IFERROR(INDEX('2_IMPORTAR_EJECUCION'!$H$9:$H$1208,MATCH($AQ1049,'2_IMPORTAR_EJECUCION'!$J$9:$J$1208,0)),0)-$AI1049))</f>
        <v/>
      </c>
      <c r="AK1049" s="10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2">
        <f>IF($J1050="","",TODAY()-$J1050)</f>
        <v/>
      </c>
      <c r="AB1050" s="12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F$4:$F$339,MATCH($O1050&amp;"|"&amp;$R1050&amp;"|"&amp;$AE1050,'ASIGNACIONES'!$J$4:$J$339,0)),""))=0,"",IFERROR(INDEX('ASIGNACIONES'!$F$4:$F$339,MATCH($O1050&amp;"|"&amp;$R1050&amp;"|"&amp;$AE1050,'ASIGNACIONES'!$J$4:$J$339,0)),"")))</f>
        <v/>
      </c>
      <c r="AG1050" s="13">
        <f>IF($AE1050="","",SUMIFS('ORDENES'!$M$4:$M$1203,'ORDENES'!$AE$4:$AE$1203,$AE1050,'ORDENES'!$O$4:$O$1203,$O1050,'ORDENES'!$R$4:$R$1203,$R1050))</f>
        <v/>
      </c>
      <c r="AH1050" s="13">
        <f>IF($AG1050="","",p_factor_productividad*IFERROR(INDEX('ASIGNACIONES'!$I$4:$I$339,MATCH($O1050&amp;"|"&amp;$R1050&amp;"|"&amp;$AE1050,'ASIGNACIONES'!$J$4:$J$339,0)),0)-$AG1050)</f>
        <v/>
      </c>
      <c r="AI1050" s="10">
        <f>IF($A1050="","",IFERROR(INDEX('2_IMPORTAR_EJECUCION'!$F$9:$F$1208,MATCH($AQ1050,'2_IMPORTAR_EJECUCION'!$J$9:$J$1208,0)),0))</f>
        <v/>
      </c>
      <c r="AJ1050" s="10">
        <f>IF($A1050="","",MAX(0,IFERROR(INDEX('2_IMPORTAR_EJECUCION'!$H$9:$H$1208,MATCH($AQ1050,'2_IMPORTAR_EJECUCION'!$J$9:$J$1208,0)),0)-$AI1050))</f>
        <v/>
      </c>
      <c r="AK1050" s="10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2">
        <f>IF($J1051="","",TODAY()-$J1051)</f>
        <v/>
      </c>
      <c r="AB1051" s="12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F$4:$F$339,MATCH($O1051&amp;"|"&amp;$R1051&amp;"|"&amp;$AE1051,'ASIGNACIONES'!$J$4:$J$339,0)),""))=0,"",IFERROR(INDEX('ASIGNACIONES'!$F$4:$F$339,MATCH($O1051&amp;"|"&amp;$R1051&amp;"|"&amp;$AE1051,'ASIGNACIONES'!$J$4:$J$339,0)),"")))</f>
        <v/>
      </c>
      <c r="AG1051" s="13">
        <f>IF($AE1051="","",SUMIFS('ORDENES'!$M$4:$M$1203,'ORDENES'!$AE$4:$AE$1203,$AE1051,'ORDENES'!$O$4:$O$1203,$O1051,'ORDENES'!$R$4:$R$1203,$R1051))</f>
        <v/>
      </c>
      <c r="AH1051" s="13">
        <f>IF($AG1051="","",p_factor_productividad*IFERROR(INDEX('ASIGNACIONES'!$I$4:$I$339,MATCH($O1051&amp;"|"&amp;$R1051&amp;"|"&amp;$AE1051,'ASIGNACIONES'!$J$4:$J$339,0)),0)-$AG1051)</f>
        <v/>
      </c>
      <c r="AI1051" s="10">
        <f>IF($A1051="","",IFERROR(INDEX('2_IMPORTAR_EJECUCION'!$F$9:$F$1208,MATCH($AQ1051,'2_IMPORTAR_EJECUCION'!$J$9:$J$1208,0)),0))</f>
        <v/>
      </c>
      <c r="AJ1051" s="10">
        <f>IF($A1051="","",MAX(0,IFERROR(INDEX('2_IMPORTAR_EJECUCION'!$H$9:$H$1208,MATCH($AQ1051,'2_IMPORTAR_EJECUCION'!$J$9:$J$1208,0)),0)-$AI1051))</f>
        <v/>
      </c>
      <c r="AK1051" s="10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2">
        <f>IF($J1052="","",TODAY()-$J1052)</f>
        <v/>
      </c>
      <c r="AB1052" s="12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F$4:$F$339,MATCH($O1052&amp;"|"&amp;$R1052&amp;"|"&amp;$AE1052,'ASIGNACIONES'!$J$4:$J$339,0)),""))=0,"",IFERROR(INDEX('ASIGNACIONES'!$F$4:$F$339,MATCH($O1052&amp;"|"&amp;$R1052&amp;"|"&amp;$AE1052,'ASIGNACIONES'!$J$4:$J$339,0)),"")))</f>
        <v/>
      </c>
      <c r="AG1052" s="13">
        <f>IF($AE1052="","",SUMIFS('ORDENES'!$M$4:$M$1203,'ORDENES'!$AE$4:$AE$1203,$AE1052,'ORDENES'!$O$4:$O$1203,$O1052,'ORDENES'!$R$4:$R$1203,$R1052))</f>
        <v/>
      </c>
      <c r="AH1052" s="13">
        <f>IF($AG1052="","",p_factor_productividad*IFERROR(INDEX('ASIGNACIONES'!$I$4:$I$339,MATCH($O1052&amp;"|"&amp;$R1052&amp;"|"&amp;$AE1052,'ASIGNACIONES'!$J$4:$J$339,0)),0)-$AG1052)</f>
        <v/>
      </c>
      <c r="AI1052" s="10">
        <f>IF($A1052="","",IFERROR(INDEX('2_IMPORTAR_EJECUCION'!$F$9:$F$1208,MATCH($AQ1052,'2_IMPORTAR_EJECUCION'!$J$9:$J$1208,0)),0))</f>
        <v/>
      </c>
      <c r="AJ1052" s="10">
        <f>IF($A1052="","",MAX(0,IFERROR(INDEX('2_IMPORTAR_EJECUCION'!$H$9:$H$1208,MATCH($AQ1052,'2_IMPORTAR_EJECUCION'!$J$9:$J$1208,0)),0)-$AI1052))</f>
        <v/>
      </c>
      <c r="AK1052" s="10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2">
        <f>IF($J1053="","",TODAY()-$J1053)</f>
        <v/>
      </c>
      <c r="AB1053" s="12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F$4:$F$339,MATCH($O1053&amp;"|"&amp;$R1053&amp;"|"&amp;$AE1053,'ASIGNACIONES'!$J$4:$J$339,0)),""))=0,"",IFERROR(INDEX('ASIGNACIONES'!$F$4:$F$339,MATCH($O1053&amp;"|"&amp;$R1053&amp;"|"&amp;$AE1053,'ASIGNACIONES'!$J$4:$J$339,0)),"")))</f>
        <v/>
      </c>
      <c r="AG1053" s="13">
        <f>IF($AE1053="","",SUMIFS('ORDENES'!$M$4:$M$1203,'ORDENES'!$AE$4:$AE$1203,$AE1053,'ORDENES'!$O$4:$O$1203,$O1053,'ORDENES'!$R$4:$R$1203,$R1053))</f>
        <v/>
      </c>
      <c r="AH1053" s="13">
        <f>IF($AG1053="","",p_factor_productividad*IFERROR(INDEX('ASIGNACIONES'!$I$4:$I$339,MATCH($O1053&amp;"|"&amp;$R1053&amp;"|"&amp;$AE1053,'ASIGNACIONES'!$J$4:$J$339,0)),0)-$AG1053)</f>
        <v/>
      </c>
      <c r="AI1053" s="10">
        <f>IF($A1053="","",IFERROR(INDEX('2_IMPORTAR_EJECUCION'!$F$9:$F$1208,MATCH($AQ1053,'2_IMPORTAR_EJECUCION'!$J$9:$J$1208,0)),0))</f>
        <v/>
      </c>
      <c r="AJ1053" s="10">
        <f>IF($A1053="","",MAX(0,IFERROR(INDEX('2_IMPORTAR_EJECUCION'!$H$9:$H$1208,MATCH($AQ1053,'2_IMPORTAR_EJECUCION'!$J$9:$J$1208,0)),0)-$AI1053))</f>
        <v/>
      </c>
      <c r="AK1053" s="10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2">
        <f>IF($J1054="","",TODAY()-$J1054)</f>
        <v/>
      </c>
      <c r="AB1054" s="12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F$4:$F$339,MATCH($O1054&amp;"|"&amp;$R1054&amp;"|"&amp;$AE1054,'ASIGNACIONES'!$J$4:$J$339,0)),""))=0,"",IFERROR(INDEX('ASIGNACIONES'!$F$4:$F$339,MATCH($O1054&amp;"|"&amp;$R1054&amp;"|"&amp;$AE1054,'ASIGNACIONES'!$J$4:$J$339,0)),"")))</f>
        <v/>
      </c>
      <c r="AG1054" s="13">
        <f>IF($AE1054="","",SUMIFS('ORDENES'!$M$4:$M$1203,'ORDENES'!$AE$4:$AE$1203,$AE1054,'ORDENES'!$O$4:$O$1203,$O1054,'ORDENES'!$R$4:$R$1203,$R1054))</f>
        <v/>
      </c>
      <c r="AH1054" s="13">
        <f>IF($AG1054="","",p_factor_productividad*IFERROR(INDEX('ASIGNACIONES'!$I$4:$I$339,MATCH($O1054&amp;"|"&amp;$R1054&amp;"|"&amp;$AE1054,'ASIGNACIONES'!$J$4:$J$339,0)),0)-$AG1054)</f>
        <v/>
      </c>
      <c r="AI1054" s="10">
        <f>IF($A1054="","",IFERROR(INDEX('2_IMPORTAR_EJECUCION'!$F$9:$F$1208,MATCH($AQ1054,'2_IMPORTAR_EJECUCION'!$J$9:$J$1208,0)),0))</f>
        <v/>
      </c>
      <c r="AJ1054" s="10">
        <f>IF($A1054="","",MAX(0,IFERROR(INDEX('2_IMPORTAR_EJECUCION'!$H$9:$H$1208,MATCH($AQ1054,'2_IMPORTAR_EJECUCION'!$J$9:$J$1208,0)),0)-$AI1054))</f>
        <v/>
      </c>
      <c r="AK1054" s="10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2">
        <f>IF($J1055="","",TODAY()-$J1055)</f>
        <v/>
      </c>
      <c r="AB1055" s="12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F$4:$F$339,MATCH($O1055&amp;"|"&amp;$R1055&amp;"|"&amp;$AE1055,'ASIGNACIONES'!$J$4:$J$339,0)),""))=0,"",IFERROR(INDEX('ASIGNACIONES'!$F$4:$F$339,MATCH($O1055&amp;"|"&amp;$R1055&amp;"|"&amp;$AE1055,'ASIGNACIONES'!$J$4:$J$339,0)),"")))</f>
        <v/>
      </c>
      <c r="AG1055" s="13">
        <f>IF($AE1055="","",SUMIFS('ORDENES'!$M$4:$M$1203,'ORDENES'!$AE$4:$AE$1203,$AE1055,'ORDENES'!$O$4:$O$1203,$O1055,'ORDENES'!$R$4:$R$1203,$R1055))</f>
        <v/>
      </c>
      <c r="AH1055" s="13">
        <f>IF($AG1055="","",p_factor_productividad*IFERROR(INDEX('ASIGNACIONES'!$I$4:$I$339,MATCH($O1055&amp;"|"&amp;$R1055&amp;"|"&amp;$AE1055,'ASIGNACIONES'!$J$4:$J$339,0)),0)-$AG1055)</f>
        <v/>
      </c>
      <c r="AI1055" s="10">
        <f>IF($A1055="","",IFERROR(INDEX('2_IMPORTAR_EJECUCION'!$F$9:$F$1208,MATCH($AQ1055,'2_IMPORTAR_EJECUCION'!$J$9:$J$1208,0)),0))</f>
        <v/>
      </c>
      <c r="AJ1055" s="10">
        <f>IF($A1055="","",MAX(0,IFERROR(INDEX('2_IMPORTAR_EJECUCION'!$H$9:$H$1208,MATCH($AQ1055,'2_IMPORTAR_EJECUCION'!$J$9:$J$1208,0)),0)-$AI1055))</f>
        <v/>
      </c>
      <c r="AK1055" s="10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2">
        <f>IF($J1056="","",TODAY()-$J1056)</f>
        <v/>
      </c>
      <c r="AB1056" s="12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F$4:$F$339,MATCH($O1056&amp;"|"&amp;$R1056&amp;"|"&amp;$AE1056,'ASIGNACIONES'!$J$4:$J$339,0)),""))=0,"",IFERROR(INDEX('ASIGNACIONES'!$F$4:$F$339,MATCH($O1056&amp;"|"&amp;$R1056&amp;"|"&amp;$AE1056,'ASIGNACIONES'!$J$4:$J$339,0)),"")))</f>
        <v/>
      </c>
      <c r="AG1056" s="13">
        <f>IF($AE1056="","",SUMIFS('ORDENES'!$M$4:$M$1203,'ORDENES'!$AE$4:$AE$1203,$AE1056,'ORDENES'!$O$4:$O$1203,$O1056,'ORDENES'!$R$4:$R$1203,$R1056))</f>
        <v/>
      </c>
      <c r="AH1056" s="13">
        <f>IF($AG1056="","",p_factor_productividad*IFERROR(INDEX('ASIGNACIONES'!$I$4:$I$339,MATCH($O1056&amp;"|"&amp;$R1056&amp;"|"&amp;$AE1056,'ASIGNACIONES'!$J$4:$J$339,0)),0)-$AG1056)</f>
        <v/>
      </c>
      <c r="AI1056" s="10">
        <f>IF($A1056="","",IFERROR(INDEX('2_IMPORTAR_EJECUCION'!$F$9:$F$1208,MATCH($AQ1056,'2_IMPORTAR_EJECUCION'!$J$9:$J$1208,0)),0))</f>
        <v/>
      </c>
      <c r="AJ1056" s="10">
        <f>IF($A1056="","",MAX(0,IFERROR(INDEX('2_IMPORTAR_EJECUCION'!$H$9:$H$1208,MATCH($AQ1056,'2_IMPORTAR_EJECUCION'!$J$9:$J$1208,0)),0)-$AI1056))</f>
        <v/>
      </c>
      <c r="AK1056" s="10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2">
        <f>IF($J1057="","",TODAY()-$J1057)</f>
        <v/>
      </c>
      <c r="AB1057" s="12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F$4:$F$339,MATCH($O1057&amp;"|"&amp;$R1057&amp;"|"&amp;$AE1057,'ASIGNACIONES'!$J$4:$J$339,0)),""))=0,"",IFERROR(INDEX('ASIGNACIONES'!$F$4:$F$339,MATCH($O1057&amp;"|"&amp;$R1057&amp;"|"&amp;$AE1057,'ASIGNACIONES'!$J$4:$J$339,0)),"")))</f>
        <v/>
      </c>
      <c r="AG1057" s="13">
        <f>IF($AE1057="","",SUMIFS('ORDENES'!$M$4:$M$1203,'ORDENES'!$AE$4:$AE$1203,$AE1057,'ORDENES'!$O$4:$O$1203,$O1057,'ORDENES'!$R$4:$R$1203,$R1057))</f>
        <v/>
      </c>
      <c r="AH1057" s="13">
        <f>IF($AG1057="","",p_factor_productividad*IFERROR(INDEX('ASIGNACIONES'!$I$4:$I$339,MATCH($O1057&amp;"|"&amp;$R1057&amp;"|"&amp;$AE1057,'ASIGNACIONES'!$J$4:$J$339,0)),0)-$AG1057)</f>
        <v/>
      </c>
      <c r="AI1057" s="10">
        <f>IF($A1057="","",IFERROR(INDEX('2_IMPORTAR_EJECUCION'!$F$9:$F$1208,MATCH($AQ1057,'2_IMPORTAR_EJECUCION'!$J$9:$J$1208,0)),0))</f>
        <v/>
      </c>
      <c r="AJ1057" s="10">
        <f>IF($A1057="","",MAX(0,IFERROR(INDEX('2_IMPORTAR_EJECUCION'!$H$9:$H$1208,MATCH($AQ1057,'2_IMPORTAR_EJECUCION'!$J$9:$J$1208,0)),0)-$AI1057))</f>
        <v/>
      </c>
      <c r="AK1057" s="10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2">
        <f>IF($J1058="","",TODAY()-$J1058)</f>
        <v/>
      </c>
      <c r="AB1058" s="12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F$4:$F$339,MATCH($O1058&amp;"|"&amp;$R1058&amp;"|"&amp;$AE1058,'ASIGNACIONES'!$J$4:$J$339,0)),""))=0,"",IFERROR(INDEX('ASIGNACIONES'!$F$4:$F$339,MATCH($O1058&amp;"|"&amp;$R1058&amp;"|"&amp;$AE1058,'ASIGNACIONES'!$J$4:$J$339,0)),"")))</f>
        <v/>
      </c>
      <c r="AG1058" s="13">
        <f>IF($AE1058="","",SUMIFS('ORDENES'!$M$4:$M$1203,'ORDENES'!$AE$4:$AE$1203,$AE1058,'ORDENES'!$O$4:$O$1203,$O1058,'ORDENES'!$R$4:$R$1203,$R1058))</f>
        <v/>
      </c>
      <c r="AH1058" s="13">
        <f>IF($AG1058="","",p_factor_productividad*IFERROR(INDEX('ASIGNACIONES'!$I$4:$I$339,MATCH($O1058&amp;"|"&amp;$R1058&amp;"|"&amp;$AE1058,'ASIGNACIONES'!$J$4:$J$339,0)),0)-$AG1058)</f>
        <v/>
      </c>
      <c r="AI1058" s="10">
        <f>IF($A1058="","",IFERROR(INDEX('2_IMPORTAR_EJECUCION'!$F$9:$F$1208,MATCH($AQ1058,'2_IMPORTAR_EJECUCION'!$J$9:$J$1208,0)),0))</f>
        <v/>
      </c>
      <c r="AJ1058" s="10">
        <f>IF($A1058="","",MAX(0,IFERROR(INDEX('2_IMPORTAR_EJECUCION'!$H$9:$H$1208,MATCH($AQ1058,'2_IMPORTAR_EJECUCION'!$J$9:$J$1208,0)),0)-$AI1058))</f>
        <v/>
      </c>
      <c r="AK1058" s="10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2">
        <f>IF($J1059="","",TODAY()-$J1059)</f>
        <v/>
      </c>
      <c r="AB1059" s="12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F$4:$F$339,MATCH($O1059&amp;"|"&amp;$R1059&amp;"|"&amp;$AE1059,'ASIGNACIONES'!$J$4:$J$339,0)),""))=0,"",IFERROR(INDEX('ASIGNACIONES'!$F$4:$F$339,MATCH($O1059&amp;"|"&amp;$R1059&amp;"|"&amp;$AE1059,'ASIGNACIONES'!$J$4:$J$339,0)),"")))</f>
        <v/>
      </c>
      <c r="AG1059" s="13">
        <f>IF($AE1059="","",SUMIFS('ORDENES'!$M$4:$M$1203,'ORDENES'!$AE$4:$AE$1203,$AE1059,'ORDENES'!$O$4:$O$1203,$O1059,'ORDENES'!$R$4:$R$1203,$R1059))</f>
        <v/>
      </c>
      <c r="AH1059" s="13">
        <f>IF($AG1059="","",p_factor_productividad*IFERROR(INDEX('ASIGNACIONES'!$I$4:$I$339,MATCH($O1059&amp;"|"&amp;$R1059&amp;"|"&amp;$AE1059,'ASIGNACIONES'!$J$4:$J$339,0)),0)-$AG1059)</f>
        <v/>
      </c>
      <c r="AI1059" s="10">
        <f>IF($A1059="","",IFERROR(INDEX('2_IMPORTAR_EJECUCION'!$F$9:$F$1208,MATCH($AQ1059,'2_IMPORTAR_EJECUCION'!$J$9:$J$1208,0)),0))</f>
        <v/>
      </c>
      <c r="AJ1059" s="10">
        <f>IF($A1059="","",MAX(0,IFERROR(INDEX('2_IMPORTAR_EJECUCION'!$H$9:$H$1208,MATCH($AQ1059,'2_IMPORTAR_EJECUCION'!$J$9:$J$1208,0)),0)-$AI1059))</f>
        <v/>
      </c>
      <c r="AK1059" s="10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2">
        <f>IF($J1060="","",TODAY()-$J1060)</f>
        <v/>
      </c>
      <c r="AB1060" s="12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F$4:$F$339,MATCH($O1060&amp;"|"&amp;$R1060&amp;"|"&amp;$AE1060,'ASIGNACIONES'!$J$4:$J$339,0)),""))=0,"",IFERROR(INDEX('ASIGNACIONES'!$F$4:$F$339,MATCH($O1060&amp;"|"&amp;$R1060&amp;"|"&amp;$AE1060,'ASIGNACIONES'!$J$4:$J$339,0)),"")))</f>
        <v/>
      </c>
      <c r="AG1060" s="13">
        <f>IF($AE1060="","",SUMIFS('ORDENES'!$M$4:$M$1203,'ORDENES'!$AE$4:$AE$1203,$AE1060,'ORDENES'!$O$4:$O$1203,$O1060,'ORDENES'!$R$4:$R$1203,$R1060))</f>
        <v/>
      </c>
      <c r="AH1060" s="13">
        <f>IF($AG1060="","",p_factor_productividad*IFERROR(INDEX('ASIGNACIONES'!$I$4:$I$339,MATCH($O1060&amp;"|"&amp;$R1060&amp;"|"&amp;$AE1060,'ASIGNACIONES'!$J$4:$J$339,0)),0)-$AG1060)</f>
        <v/>
      </c>
      <c r="AI1060" s="10">
        <f>IF($A1060="","",IFERROR(INDEX('2_IMPORTAR_EJECUCION'!$F$9:$F$1208,MATCH($AQ1060,'2_IMPORTAR_EJECUCION'!$J$9:$J$1208,0)),0))</f>
        <v/>
      </c>
      <c r="AJ1060" s="10">
        <f>IF($A1060="","",MAX(0,IFERROR(INDEX('2_IMPORTAR_EJECUCION'!$H$9:$H$1208,MATCH($AQ1060,'2_IMPORTAR_EJECUCION'!$J$9:$J$1208,0)),0)-$AI1060))</f>
        <v/>
      </c>
      <c r="AK1060" s="10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2">
        <f>IF($J1061="","",TODAY()-$J1061)</f>
        <v/>
      </c>
      <c r="AB1061" s="12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F$4:$F$339,MATCH($O1061&amp;"|"&amp;$R1061&amp;"|"&amp;$AE1061,'ASIGNACIONES'!$J$4:$J$339,0)),""))=0,"",IFERROR(INDEX('ASIGNACIONES'!$F$4:$F$339,MATCH($O1061&amp;"|"&amp;$R1061&amp;"|"&amp;$AE1061,'ASIGNACIONES'!$J$4:$J$339,0)),"")))</f>
        <v/>
      </c>
      <c r="AG1061" s="13">
        <f>IF($AE1061="","",SUMIFS('ORDENES'!$M$4:$M$1203,'ORDENES'!$AE$4:$AE$1203,$AE1061,'ORDENES'!$O$4:$O$1203,$O1061,'ORDENES'!$R$4:$R$1203,$R1061))</f>
        <v/>
      </c>
      <c r="AH1061" s="13">
        <f>IF($AG1061="","",p_factor_productividad*IFERROR(INDEX('ASIGNACIONES'!$I$4:$I$339,MATCH($O1061&amp;"|"&amp;$R1061&amp;"|"&amp;$AE1061,'ASIGNACIONES'!$J$4:$J$339,0)),0)-$AG1061)</f>
        <v/>
      </c>
      <c r="AI1061" s="10">
        <f>IF($A1061="","",IFERROR(INDEX('2_IMPORTAR_EJECUCION'!$F$9:$F$1208,MATCH($AQ1061,'2_IMPORTAR_EJECUCION'!$J$9:$J$1208,0)),0))</f>
        <v/>
      </c>
      <c r="AJ1061" s="10">
        <f>IF($A1061="","",MAX(0,IFERROR(INDEX('2_IMPORTAR_EJECUCION'!$H$9:$H$1208,MATCH($AQ1061,'2_IMPORTAR_EJECUCION'!$J$9:$J$1208,0)),0)-$AI1061))</f>
        <v/>
      </c>
      <c r="AK1061" s="10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2">
        <f>IF($J1062="","",TODAY()-$J1062)</f>
        <v/>
      </c>
      <c r="AB1062" s="12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F$4:$F$339,MATCH($O1062&amp;"|"&amp;$R1062&amp;"|"&amp;$AE1062,'ASIGNACIONES'!$J$4:$J$339,0)),""))=0,"",IFERROR(INDEX('ASIGNACIONES'!$F$4:$F$339,MATCH($O1062&amp;"|"&amp;$R1062&amp;"|"&amp;$AE1062,'ASIGNACIONES'!$J$4:$J$339,0)),"")))</f>
        <v/>
      </c>
      <c r="AG1062" s="13">
        <f>IF($AE1062="","",SUMIFS('ORDENES'!$M$4:$M$1203,'ORDENES'!$AE$4:$AE$1203,$AE1062,'ORDENES'!$O$4:$O$1203,$O1062,'ORDENES'!$R$4:$R$1203,$R1062))</f>
        <v/>
      </c>
      <c r="AH1062" s="13">
        <f>IF($AG1062="","",p_factor_productividad*IFERROR(INDEX('ASIGNACIONES'!$I$4:$I$339,MATCH($O1062&amp;"|"&amp;$R1062&amp;"|"&amp;$AE1062,'ASIGNACIONES'!$J$4:$J$339,0)),0)-$AG1062)</f>
        <v/>
      </c>
      <c r="AI1062" s="10">
        <f>IF($A1062="","",IFERROR(INDEX('2_IMPORTAR_EJECUCION'!$F$9:$F$1208,MATCH($AQ1062,'2_IMPORTAR_EJECUCION'!$J$9:$J$1208,0)),0))</f>
        <v/>
      </c>
      <c r="AJ1062" s="10">
        <f>IF($A1062="","",MAX(0,IFERROR(INDEX('2_IMPORTAR_EJECUCION'!$H$9:$H$1208,MATCH($AQ1062,'2_IMPORTAR_EJECUCION'!$J$9:$J$1208,0)),0)-$AI1062))</f>
        <v/>
      </c>
      <c r="AK1062" s="10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2">
        <f>IF($J1063="","",TODAY()-$J1063)</f>
        <v/>
      </c>
      <c r="AB1063" s="12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F$4:$F$339,MATCH($O1063&amp;"|"&amp;$R1063&amp;"|"&amp;$AE1063,'ASIGNACIONES'!$J$4:$J$339,0)),""))=0,"",IFERROR(INDEX('ASIGNACIONES'!$F$4:$F$339,MATCH($O1063&amp;"|"&amp;$R1063&amp;"|"&amp;$AE1063,'ASIGNACIONES'!$J$4:$J$339,0)),"")))</f>
        <v/>
      </c>
      <c r="AG1063" s="13">
        <f>IF($AE1063="","",SUMIFS('ORDENES'!$M$4:$M$1203,'ORDENES'!$AE$4:$AE$1203,$AE1063,'ORDENES'!$O$4:$O$1203,$O1063,'ORDENES'!$R$4:$R$1203,$R1063))</f>
        <v/>
      </c>
      <c r="AH1063" s="13">
        <f>IF($AG1063="","",p_factor_productividad*IFERROR(INDEX('ASIGNACIONES'!$I$4:$I$339,MATCH($O1063&amp;"|"&amp;$R1063&amp;"|"&amp;$AE1063,'ASIGNACIONES'!$J$4:$J$339,0)),0)-$AG1063)</f>
        <v/>
      </c>
      <c r="AI1063" s="10">
        <f>IF($A1063="","",IFERROR(INDEX('2_IMPORTAR_EJECUCION'!$F$9:$F$1208,MATCH($AQ1063,'2_IMPORTAR_EJECUCION'!$J$9:$J$1208,0)),0))</f>
        <v/>
      </c>
      <c r="AJ1063" s="10">
        <f>IF($A1063="","",MAX(0,IFERROR(INDEX('2_IMPORTAR_EJECUCION'!$H$9:$H$1208,MATCH($AQ1063,'2_IMPORTAR_EJECUCION'!$J$9:$J$1208,0)),0)-$AI1063))</f>
        <v/>
      </c>
      <c r="AK1063" s="10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2">
        <f>IF($J1064="","",TODAY()-$J1064)</f>
        <v/>
      </c>
      <c r="AB1064" s="12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F$4:$F$339,MATCH($O1064&amp;"|"&amp;$R1064&amp;"|"&amp;$AE1064,'ASIGNACIONES'!$J$4:$J$339,0)),""))=0,"",IFERROR(INDEX('ASIGNACIONES'!$F$4:$F$339,MATCH($O1064&amp;"|"&amp;$R1064&amp;"|"&amp;$AE1064,'ASIGNACIONES'!$J$4:$J$339,0)),"")))</f>
        <v/>
      </c>
      <c r="AG1064" s="13">
        <f>IF($AE1064="","",SUMIFS('ORDENES'!$M$4:$M$1203,'ORDENES'!$AE$4:$AE$1203,$AE1064,'ORDENES'!$O$4:$O$1203,$O1064,'ORDENES'!$R$4:$R$1203,$R1064))</f>
        <v/>
      </c>
      <c r="AH1064" s="13">
        <f>IF($AG1064="","",p_factor_productividad*IFERROR(INDEX('ASIGNACIONES'!$I$4:$I$339,MATCH($O1064&amp;"|"&amp;$R1064&amp;"|"&amp;$AE1064,'ASIGNACIONES'!$J$4:$J$339,0)),0)-$AG1064)</f>
        <v/>
      </c>
      <c r="AI1064" s="10">
        <f>IF($A1064="","",IFERROR(INDEX('2_IMPORTAR_EJECUCION'!$F$9:$F$1208,MATCH($AQ1064,'2_IMPORTAR_EJECUCION'!$J$9:$J$1208,0)),0))</f>
        <v/>
      </c>
      <c r="AJ1064" s="10">
        <f>IF($A1064="","",MAX(0,IFERROR(INDEX('2_IMPORTAR_EJECUCION'!$H$9:$H$1208,MATCH($AQ1064,'2_IMPORTAR_EJECUCION'!$J$9:$J$1208,0)),0)-$AI1064))</f>
        <v/>
      </c>
      <c r="AK1064" s="10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2">
        <f>IF($J1065="","",TODAY()-$J1065)</f>
        <v/>
      </c>
      <c r="AB1065" s="12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F$4:$F$339,MATCH($O1065&amp;"|"&amp;$R1065&amp;"|"&amp;$AE1065,'ASIGNACIONES'!$J$4:$J$339,0)),""))=0,"",IFERROR(INDEX('ASIGNACIONES'!$F$4:$F$339,MATCH($O1065&amp;"|"&amp;$R1065&amp;"|"&amp;$AE1065,'ASIGNACIONES'!$J$4:$J$339,0)),"")))</f>
        <v/>
      </c>
      <c r="AG1065" s="13">
        <f>IF($AE1065="","",SUMIFS('ORDENES'!$M$4:$M$1203,'ORDENES'!$AE$4:$AE$1203,$AE1065,'ORDENES'!$O$4:$O$1203,$O1065,'ORDENES'!$R$4:$R$1203,$R1065))</f>
        <v/>
      </c>
      <c r="AH1065" s="13">
        <f>IF($AG1065="","",p_factor_productividad*IFERROR(INDEX('ASIGNACIONES'!$I$4:$I$339,MATCH($O1065&amp;"|"&amp;$R1065&amp;"|"&amp;$AE1065,'ASIGNACIONES'!$J$4:$J$339,0)),0)-$AG1065)</f>
        <v/>
      </c>
      <c r="AI1065" s="10">
        <f>IF($A1065="","",IFERROR(INDEX('2_IMPORTAR_EJECUCION'!$F$9:$F$1208,MATCH($AQ1065,'2_IMPORTAR_EJECUCION'!$J$9:$J$1208,0)),0))</f>
        <v/>
      </c>
      <c r="AJ1065" s="10">
        <f>IF($A1065="","",MAX(0,IFERROR(INDEX('2_IMPORTAR_EJECUCION'!$H$9:$H$1208,MATCH($AQ1065,'2_IMPORTAR_EJECUCION'!$J$9:$J$1208,0)),0)-$AI1065))</f>
        <v/>
      </c>
      <c r="AK1065" s="10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2">
        <f>IF($J1066="","",TODAY()-$J1066)</f>
        <v/>
      </c>
      <c r="AB1066" s="12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F$4:$F$339,MATCH($O1066&amp;"|"&amp;$R1066&amp;"|"&amp;$AE1066,'ASIGNACIONES'!$J$4:$J$339,0)),""))=0,"",IFERROR(INDEX('ASIGNACIONES'!$F$4:$F$339,MATCH($O1066&amp;"|"&amp;$R1066&amp;"|"&amp;$AE1066,'ASIGNACIONES'!$J$4:$J$339,0)),"")))</f>
        <v/>
      </c>
      <c r="AG1066" s="13">
        <f>IF($AE1066="","",SUMIFS('ORDENES'!$M$4:$M$1203,'ORDENES'!$AE$4:$AE$1203,$AE1066,'ORDENES'!$O$4:$O$1203,$O1066,'ORDENES'!$R$4:$R$1203,$R1066))</f>
        <v/>
      </c>
      <c r="AH1066" s="13">
        <f>IF($AG1066="","",p_factor_productividad*IFERROR(INDEX('ASIGNACIONES'!$I$4:$I$339,MATCH($O1066&amp;"|"&amp;$R1066&amp;"|"&amp;$AE1066,'ASIGNACIONES'!$J$4:$J$339,0)),0)-$AG1066)</f>
        <v/>
      </c>
      <c r="AI1066" s="10">
        <f>IF($A1066="","",IFERROR(INDEX('2_IMPORTAR_EJECUCION'!$F$9:$F$1208,MATCH($AQ1066,'2_IMPORTAR_EJECUCION'!$J$9:$J$1208,0)),0))</f>
        <v/>
      </c>
      <c r="AJ1066" s="10">
        <f>IF($A1066="","",MAX(0,IFERROR(INDEX('2_IMPORTAR_EJECUCION'!$H$9:$H$1208,MATCH($AQ1066,'2_IMPORTAR_EJECUCION'!$J$9:$J$1208,0)),0)-$AI1066))</f>
        <v/>
      </c>
      <c r="AK1066" s="10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2">
        <f>IF($J1067="","",TODAY()-$J1067)</f>
        <v/>
      </c>
      <c r="AB1067" s="12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F$4:$F$339,MATCH($O1067&amp;"|"&amp;$R1067&amp;"|"&amp;$AE1067,'ASIGNACIONES'!$J$4:$J$339,0)),""))=0,"",IFERROR(INDEX('ASIGNACIONES'!$F$4:$F$339,MATCH($O1067&amp;"|"&amp;$R1067&amp;"|"&amp;$AE1067,'ASIGNACIONES'!$J$4:$J$339,0)),"")))</f>
        <v/>
      </c>
      <c r="AG1067" s="13">
        <f>IF($AE1067="","",SUMIFS('ORDENES'!$M$4:$M$1203,'ORDENES'!$AE$4:$AE$1203,$AE1067,'ORDENES'!$O$4:$O$1203,$O1067,'ORDENES'!$R$4:$R$1203,$R1067))</f>
        <v/>
      </c>
      <c r="AH1067" s="13">
        <f>IF($AG1067="","",p_factor_productividad*IFERROR(INDEX('ASIGNACIONES'!$I$4:$I$339,MATCH($O1067&amp;"|"&amp;$R1067&amp;"|"&amp;$AE1067,'ASIGNACIONES'!$J$4:$J$339,0)),0)-$AG1067)</f>
        <v/>
      </c>
      <c r="AI1067" s="10">
        <f>IF($A1067="","",IFERROR(INDEX('2_IMPORTAR_EJECUCION'!$F$9:$F$1208,MATCH($AQ1067,'2_IMPORTAR_EJECUCION'!$J$9:$J$1208,0)),0))</f>
        <v/>
      </c>
      <c r="AJ1067" s="10">
        <f>IF($A1067="","",MAX(0,IFERROR(INDEX('2_IMPORTAR_EJECUCION'!$H$9:$H$1208,MATCH($AQ1067,'2_IMPORTAR_EJECUCION'!$J$9:$J$1208,0)),0)-$AI1067))</f>
        <v/>
      </c>
      <c r="AK1067" s="10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2">
        <f>IF($J1068="","",TODAY()-$J1068)</f>
        <v/>
      </c>
      <c r="AB1068" s="12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F$4:$F$339,MATCH($O1068&amp;"|"&amp;$R1068&amp;"|"&amp;$AE1068,'ASIGNACIONES'!$J$4:$J$339,0)),""))=0,"",IFERROR(INDEX('ASIGNACIONES'!$F$4:$F$339,MATCH($O1068&amp;"|"&amp;$R1068&amp;"|"&amp;$AE1068,'ASIGNACIONES'!$J$4:$J$339,0)),"")))</f>
        <v/>
      </c>
      <c r="AG1068" s="13">
        <f>IF($AE1068="","",SUMIFS('ORDENES'!$M$4:$M$1203,'ORDENES'!$AE$4:$AE$1203,$AE1068,'ORDENES'!$O$4:$O$1203,$O1068,'ORDENES'!$R$4:$R$1203,$R1068))</f>
        <v/>
      </c>
      <c r="AH1068" s="13">
        <f>IF($AG1068="","",p_factor_productividad*IFERROR(INDEX('ASIGNACIONES'!$I$4:$I$339,MATCH($O1068&amp;"|"&amp;$R1068&amp;"|"&amp;$AE1068,'ASIGNACIONES'!$J$4:$J$339,0)),0)-$AG1068)</f>
        <v/>
      </c>
      <c r="AI1068" s="10">
        <f>IF($A1068="","",IFERROR(INDEX('2_IMPORTAR_EJECUCION'!$F$9:$F$1208,MATCH($AQ1068,'2_IMPORTAR_EJECUCION'!$J$9:$J$1208,0)),0))</f>
        <v/>
      </c>
      <c r="AJ1068" s="10">
        <f>IF($A1068="","",MAX(0,IFERROR(INDEX('2_IMPORTAR_EJECUCION'!$H$9:$H$1208,MATCH($AQ1068,'2_IMPORTAR_EJECUCION'!$J$9:$J$1208,0)),0)-$AI1068))</f>
        <v/>
      </c>
      <c r="AK1068" s="10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2">
        <f>IF($J1069="","",TODAY()-$J1069)</f>
        <v/>
      </c>
      <c r="AB1069" s="12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F$4:$F$339,MATCH($O1069&amp;"|"&amp;$R1069&amp;"|"&amp;$AE1069,'ASIGNACIONES'!$J$4:$J$339,0)),""))=0,"",IFERROR(INDEX('ASIGNACIONES'!$F$4:$F$339,MATCH($O1069&amp;"|"&amp;$R1069&amp;"|"&amp;$AE1069,'ASIGNACIONES'!$J$4:$J$339,0)),"")))</f>
        <v/>
      </c>
      <c r="AG1069" s="13">
        <f>IF($AE1069="","",SUMIFS('ORDENES'!$M$4:$M$1203,'ORDENES'!$AE$4:$AE$1203,$AE1069,'ORDENES'!$O$4:$O$1203,$O1069,'ORDENES'!$R$4:$R$1203,$R1069))</f>
        <v/>
      </c>
      <c r="AH1069" s="13">
        <f>IF($AG1069="","",p_factor_productividad*IFERROR(INDEX('ASIGNACIONES'!$I$4:$I$339,MATCH($O1069&amp;"|"&amp;$R1069&amp;"|"&amp;$AE1069,'ASIGNACIONES'!$J$4:$J$339,0)),0)-$AG1069)</f>
        <v/>
      </c>
      <c r="AI1069" s="10">
        <f>IF($A1069="","",IFERROR(INDEX('2_IMPORTAR_EJECUCION'!$F$9:$F$1208,MATCH($AQ1069,'2_IMPORTAR_EJECUCION'!$J$9:$J$1208,0)),0))</f>
        <v/>
      </c>
      <c r="AJ1069" s="10">
        <f>IF($A1069="","",MAX(0,IFERROR(INDEX('2_IMPORTAR_EJECUCION'!$H$9:$H$1208,MATCH($AQ1069,'2_IMPORTAR_EJECUCION'!$J$9:$J$1208,0)),0)-$AI1069))</f>
        <v/>
      </c>
      <c r="AK1069" s="10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2">
        <f>IF($J1070="","",TODAY()-$J1070)</f>
        <v/>
      </c>
      <c r="AB1070" s="12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F$4:$F$339,MATCH($O1070&amp;"|"&amp;$R1070&amp;"|"&amp;$AE1070,'ASIGNACIONES'!$J$4:$J$339,0)),""))=0,"",IFERROR(INDEX('ASIGNACIONES'!$F$4:$F$339,MATCH($O1070&amp;"|"&amp;$R1070&amp;"|"&amp;$AE1070,'ASIGNACIONES'!$J$4:$J$339,0)),"")))</f>
        <v/>
      </c>
      <c r="AG1070" s="13">
        <f>IF($AE1070="","",SUMIFS('ORDENES'!$M$4:$M$1203,'ORDENES'!$AE$4:$AE$1203,$AE1070,'ORDENES'!$O$4:$O$1203,$O1070,'ORDENES'!$R$4:$R$1203,$R1070))</f>
        <v/>
      </c>
      <c r="AH1070" s="13">
        <f>IF($AG1070="","",p_factor_productividad*IFERROR(INDEX('ASIGNACIONES'!$I$4:$I$339,MATCH($O1070&amp;"|"&amp;$R1070&amp;"|"&amp;$AE1070,'ASIGNACIONES'!$J$4:$J$339,0)),0)-$AG1070)</f>
        <v/>
      </c>
      <c r="AI1070" s="10">
        <f>IF($A1070="","",IFERROR(INDEX('2_IMPORTAR_EJECUCION'!$F$9:$F$1208,MATCH($AQ1070,'2_IMPORTAR_EJECUCION'!$J$9:$J$1208,0)),0))</f>
        <v/>
      </c>
      <c r="AJ1070" s="10">
        <f>IF($A1070="","",MAX(0,IFERROR(INDEX('2_IMPORTAR_EJECUCION'!$H$9:$H$1208,MATCH($AQ1070,'2_IMPORTAR_EJECUCION'!$J$9:$J$1208,0)),0)-$AI1070))</f>
        <v/>
      </c>
      <c r="AK1070" s="10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2">
        <f>IF($J1071="","",TODAY()-$J1071)</f>
        <v/>
      </c>
      <c r="AB1071" s="12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F$4:$F$339,MATCH($O1071&amp;"|"&amp;$R1071&amp;"|"&amp;$AE1071,'ASIGNACIONES'!$J$4:$J$339,0)),""))=0,"",IFERROR(INDEX('ASIGNACIONES'!$F$4:$F$339,MATCH($O1071&amp;"|"&amp;$R1071&amp;"|"&amp;$AE1071,'ASIGNACIONES'!$J$4:$J$339,0)),"")))</f>
        <v/>
      </c>
      <c r="AG1071" s="13">
        <f>IF($AE1071="","",SUMIFS('ORDENES'!$M$4:$M$1203,'ORDENES'!$AE$4:$AE$1203,$AE1071,'ORDENES'!$O$4:$O$1203,$O1071,'ORDENES'!$R$4:$R$1203,$R1071))</f>
        <v/>
      </c>
      <c r="AH1071" s="13">
        <f>IF($AG1071="","",p_factor_productividad*IFERROR(INDEX('ASIGNACIONES'!$I$4:$I$339,MATCH($O1071&amp;"|"&amp;$R1071&amp;"|"&amp;$AE1071,'ASIGNACIONES'!$J$4:$J$339,0)),0)-$AG1071)</f>
        <v/>
      </c>
      <c r="AI1071" s="10">
        <f>IF($A1071="","",IFERROR(INDEX('2_IMPORTAR_EJECUCION'!$F$9:$F$1208,MATCH($AQ1071,'2_IMPORTAR_EJECUCION'!$J$9:$J$1208,0)),0))</f>
        <v/>
      </c>
      <c r="AJ1071" s="10">
        <f>IF($A1071="","",MAX(0,IFERROR(INDEX('2_IMPORTAR_EJECUCION'!$H$9:$H$1208,MATCH($AQ1071,'2_IMPORTAR_EJECUCION'!$J$9:$J$1208,0)),0)-$AI1071))</f>
        <v/>
      </c>
      <c r="AK1071" s="10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2">
        <f>IF($J1072="","",TODAY()-$J1072)</f>
        <v/>
      </c>
      <c r="AB1072" s="12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F$4:$F$339,MATCH($O1072&amp;"|"&amp;$R1072&amp;"|"&amp;$AE1072,'ASIGNACIONES'!$J$4:$J$339,0)),""))=0,"",IFERROR(INDEX('ASIGNACIONES'!$F$4:$F$339,MATCH($O1072&amp;"|"&amp;$R1072&amp;"|"&amp;$AE1072,'ASIGNACIONES'!$J$4:$J$339,0)),"")))</f>
        <v/>
      </c>
      <c r="AG1072" s="13">
        <f>IF($AE1072="","",SUMIFS('ORDENES'!$M$4:$M$1203,'ORDENES'!$AE$4:$AE$1203,$AE1072,'ORDENES'!$O$4:$O$1203,$O1072,'ORDENES'!$R$4:$R$1203,$R1072))</f>
        <v/>
      </c>
      <c r="AH1072" s="13">
        <f>IF($AG1072="","",p_factor_productividad*IFERROR(INDEX('ASIGNACIONES'!$I$4:$I$339,MATCH($O1072&amp;"|"&amp;$R1072&amp;"|"&amp;$AE1072,'ASIGNACIONES'!$J$4:$J$339,0)),0)-$AG1072)</f>
        <v/>
      </c>
      <c r="AI1072" s="10">
        <f>IF($A1072="","",IFERROR(INDEX('2_IMPORTAR_EJECUCION'!$F$9:$F$1208,MATCH($AQ1072,'2_IMPORTAR_EJECUCION'!$J$9:$J$1208,0)),0))</f>
        <v/>
      </c>
      <c r="AJ1072" s="10">
        <f>IF($A1072="","",MAX(0,IFERROR(INDEX('2_IMPORTAR_EJECUCION'!$H$9:$H$1208,MATCH($AQ1072,'2_IMPORTAR_EJECUCION'!$J$9:$J$1208,0)),0)-$AI1072))</f>
        <v/>
      </c>
      <c r="AK1072" s="10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2">
        <f>IF($J1073="","",TODAY()-$J1073)</f>
        <v/>
      </c>
      <c r="AB1073" s="12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F$4:$F$339,MATCH($O1073&amp;"|"&amp;$R1073&amp;"|"&amp;$AE1073,'ASIGNACIONES'!$J$4:$J$339,0)),""))=0,"",IFERROR(INDEX('ASIGNACIONES'!$F$4:$F$339,MATCH($O1073&amp;"|"&amp;$R1073&amp;"|"&amp;$AE1073,'ASIGNACIONES'!$J$4:$J$339,0)),"")))</f>
        <v/>
      </c>
      <c r="AG1073" s="13">
        <f>IF($AE1073="","",SUMIFS('ORDENES'!$M$4:$M$1203,'ORDENES'!$AE$4:$AE$1203,$AE1073,'ORDENES'!$O$4:$O$1203,$O1073,'ORDENES'!$R$4:$R$1203,$R1073))</f>
        <v/>
      </c>
      <c r="AH1073" s="13">
        <f>IF($AG1073="","",p_factor_productividad*IFERROR(INDEX('ASIGNACIONES'!$I$4:$I$339,MATCH($O1073&amp;"|"&amp;$R1073&amp;"|"&amp;$AE1073,'ASIGNACIONES'!$J$4:$J$339,0)),0)-$AG1073)</f>
        <v/>
      </c>
      <c r="AI1073" s="10">
        <f>IF($A1073="","",IFERROR(INDEX('2_IMPORTAR_EJECUCION'!$F$9:$F$1208,MATCH($AQ1073,'2_IMPORTAR_EJECUCION'!$J$9:$J$1208,0)),0))</f>
        <v/>
      </c>
      <c r="AJ1073" s="10">
        <f>IF($A1073="","",MAX(0,IFERROR(INDEX('2_IMPORTAR_EJECUCION'!$H$9:$H$1208,MATCH($AQ1073,'2_IMPORTAR_EJECUCION'!$J$9:$J$1208,0)),0)-$AI1073))</f>
        <v/>
      </c>
      <c r="AK1073" s="10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2">
        <f>IF($J1074="","",TODAY()-$J1074)</f>
        <v/>
      </c>
      <c r="AB1074" s="12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F$4:$F$339,MATCH($O1074&amp;"|"&amp;$R1074&amp;"|"&amp;$AE1074,'ASIGNACIONES'!$J$4:$J$339,0)),""))=0,"",IFERROR(INDEX('ASIGNACIONES'!$F$4:$F$339,MATCH($O1074&amp;"|"&amp;$R1074&amp;"|"&amp;$AE1074,'ASIGNACIONES'!$J$4:$J$339,0)),"")))</f>
        <v/>
      </c>
      <c r="AG1074" s="13">
        <f>IF($AE1074="","",SUMIFS('ORDENES'!$M$4:$M$1203,'ORDENES'!$AE$4:$AE$1203,$AE1074,'ORDENES'!$O$4:$O$1203,$O1074,'ORDENES'!$R$4:$R$1203,$R1074))</f>
        <v/>
      </c>
      <c r="AH1074" s="13">
        <f>IF($AG1074="","",p_factor_productividad*IFERROR(INDEX('ASIGNACIONES'!$I$4:$I$339,MATCH($O1074&amp;"|"&amp;$R1074&amp;"|"&amp;$AE1074,'ASIGNACIONES'!$J$4:$J$339,0)),0)-$AG1074)</f>
        <v/>
      </c>
      <c r="AI1074" s="10">
        <f>IF($A1074="","",IFERROR(INDEX('2_IMPORTAR_EJECUCION'!$F$9:$F$1208,MATCH($AQ1074,'2_IMPORTAR_EJECUCION'!$J$9:$J$1208,0)),0))</f>
        <v/>
      </c>
      <c r="AJ1074" s="10">
        <f>IF($A1074="","",MAX(0,IFERROR(INDEX('2_IMPORTAR_EJECUCION'!$H$9:$H$1208,MATCH($AQ1074,'2_IMPORTAR_EJECUCION'!$J$9:$J$1208,0)),0)-$AI1074))</f>
        <v/>
      </c>
      <c r="AK1074" s="10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2">
        <f>IF($J1075="","",TODAY()-$J1075)</f>
        <v/>
      </c>
      <c r="AB1075" s="12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F$4:$F$339,MATCH($O1075&amp;"|"&amp;$R1075&amp;"|"&amp;$AE1075,'ASIGNACIONES'!$J$4:$J$339,0)),""))=0,"",IFERROR(INDEX('ASIGNACIONES'!$F$4:$F$339,MATCH($O1075&amp;"|"&amp;$R1075&amp;"|"&amp;$AE1075,'ASIGNACIONES'!$J$4:$J$339,0)),"")))</f>
        <v/>
      </c>
      <c r="AG1075" s="13">
        <f>IF($AE1075="","",SUMIFS('ORDENES'!$M$4:$M$1203,'ORDENES'!$AE$4:$AE$1203,$AE1075,'ORDENES'!$O$4:$O$1203,$O1075,'ORDENES'!$R$4:$R$1203,$R1075))</f>
        <v/>
      </c>
      <c r="AH1075" s="13">
        <f>IF($AG1075="","",p_factor_productividad*IFERROR(INDEX('ASIGNACIONES'!$I$4:$I$339,MATCH($O1075&amp;"|"&amp;$R1075&amp;"|"&amp;$AE1075,'ASIGNACIONES'!$J$4:$J$339,0)),0)-$AG1075)</f>
        <v/>
      </c>
      <c r="AI1075" s="10">
        <f>IF($A1075="","",IFERROR(INDEX('2_IMPORTAR_EJECUCION'!$F$9:$F$1208,MATCH($AQ1075,'2_IMPORTAR_EJECUCION'!$J$9:$J$1208,0)),0))</f>
        <v/>
      </c>
      <c r="AJ1075" s="10">
        <f>IF($A1075="","",MAX(0,IFERROR(INDEX('2_IMPORTAR_EJECUCION'!$H$9:$H$1208,MATCH($AQ1075,'2_IMPORTAR_EJECUCION'!$J$9:$J$1208,0)),0)-$AI1075))</f>
        <v/>
      </c>
      <c r="AK1075" s="10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2">
        <f>IF($J1076="","",TODAY()-$J1076)</f>
        <v/>
      </c>
      <c r="AB1076" s="12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F$4:$F$339,MATCH($O1076&amp;"|"&amp;$R1076&amp;"|"&amp;$AE1076,'ASIGNACIONES'!$J$4:$J$339,0)),""))=0,"",IFERROR(INDEX('ASIGNACIONES'!$F$4:$F$339,MATCH($O1076&amp;"|"&amp;$R1076&amp;"|"&amp;$AE1076,'ASIGNACIONES'!$J$4:$J$339,0)),"")))</f>
        <v/>
      </c>
      <c r="AG1076" s="13">
        <f>IF($AE1076="","",SUMIFS('ORDENES'!$M$4:$M$1203,'ORDENES'!$AE$4:$AE$1203,$AE1076,'ORDENES'!$O$4:$O$1203,$O1076,'ORDENES'!$R$4:$R$1203,$R1076))</f>
        <v/>
      </c>
      <c r="AH1076" s="13">
        <f>IF($AG1076="","",p_factor_productividad*IFERROR(INDEX('ASIGNACIONES'!$I$4:$I$339,MATCH($O1076&amp;"|"&amp;$R1076&amp;"|"&amp;$AE1076,'ASIGNACIONES'!$J$4:$J$339,0)),0)-$AG1076)</f>
        <v/>
      </c>
      <c r="AI1076" s="10">
        <f>IF($A1076="","",IFERROR(INDEX('2_IMPORTAR_EJECUCION'!$F$9:$F$1208,MATCH($AQ1076,'2_IMPORTAR_EJECUCION'!$J$9:$J$1208,0)),0))</f>
        <v/>
      </c>
      <c r="AJ1076" s="10">
        <f>IF($A1076="","",MAX(0,IFERROR(INDEX('2_IMPORTAR_EJECUCION'!$H$9:$H$1208,MATCH($AQ1076,'2_IMPORTAR_EJECUCION'!$J$9:$J$1208,0)),0)-$AI1076))</f>
        <v/>
      </c>
      <c r="AK1076" s="10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2">
        <f>IF($J1077="","",TODAY()-$J1077)</f>
        <v/>
      </c>
      <c r="AB1077" s="12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F$4:$F$339,MATCH($O1077&amp;"|"&amp;$R1077&amp;"|"&amp;$AE1077,'ASIGNACIONES'!$J$4:$J$339,0)),""))=0,"",IFERROR(INDEX('ASIGNACIONES'!$F$4:$F$339,MATCH($O1077&amp;"|"&amp;$R1077&amp;"|"&amp;$AE1077,'ASIGNACIONES'!$J$4:$J$339,0)),"")))</f>
        <v/>
      </c>
      <c r="AG1077" s="13">
        <f>IF($AE1077="","",SUMIFS('ORDENES'!$M$4:$M$1203,'ORDENES'!$AE$4:$AE$1203,$AE1077,'ORDENES'!$O$4:$O$1203,$O1077,'ORDENES'!$R$4:$R$1203,$R1077))</f>
        <v/>
      </c>
      <c r="AH1077" s="13">
        <f>IF($AG1077="","",p_factor_productividad*IFERROR(INDEX('ASIGNACIONES'!$I$4:$I$339,MATCH($O1077&amp;"|"&amp;$R1077&amp;"|"&amp;$AE1077,'ASIGNACIONES'!$J$4:$J$339,0)),0)-$AG1077)</f>
        <v/>
      </c>
      <c r="AI1077" s="10">
        <f>IF($A1077="","",IFERROR(INDEX('2_IMPORTAR_EJECUCION'!$F$9:$F$1208,MATCH($AQ1077,'2_IMPORTAR_EJECUCION'!$J$9:$J$1208,0)),0))</f>
        <v/>
      </c>
      <c r="AJ1077" s="10">
        <f>IF($A1077="","",MAX(0,IFERROR(INDEX('2_IMPORTAR_EJECUCION'!$H$9:$H$1208,MATCH($AQ1077,'2_IMPORTAR_EJECUCION'!$J$9:$J$1208,0)),0)-$AI1077))</f>
        <v/>
      </c>
      <c r="AK1077" s="10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2">
        <f>IF($J1078="","",TODAY()-$J1078)</f>
        <v/>
      </c>
      <c r="AB1078" s="12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F$4:$F$339,MATCH($O1078&amp;"|"&amp;$R1078&amp;"|"&amp;$AE1078,'ASIGNACIONES'!$J$4:$J$339,0)),""))=0,"",IFERROR(INDEX('ASIGNACIONES'!$F$4:$F$339,MATCH($O1078&amp;"|"&amp;$R1078&amp;"|"&amp;$AE1078,'ASIGNACIONES'!$J$4:$J$339,0)),"")))</f>
        <v/>
      </c>
      <c r="AG1078" s="13">
        <f>IF($AE1078="","",SUMIFS('ORDENES'!$M$4:$M$1203,'ORDENES'!$AE$4:$AE$1203,$AE1078,'ORDENES'!$O$4:$O$1203,$O1078,'ORDENES'!$R$4:$R$1203,$R1078))</f>
        <v/>
      </c>
      <c r="AH1078" s="13">
        <f>IF($AG1078="","",p_factor_productividad*IFERROR(INDEX('ASIGNACIONES'!$I$4:$I$339,MATCH($O1078&amp;"|"&amp;$R1078&amp;"|"&amp;$AE1078,'ASIGNACIONES'!$J$4:$J$339,0)),0)-$AG1078)</f>
        <v/>
      </c>
      <c r="AI1078" s="10">
        <f>IF($A1078="","",IFERROR(INDEX('2_IMPORTAR_EJECUCION'!$F$9:$F$1208,MATCH($AQ1078,'2_IMPORTAR_EJECUCION'!$J$9:$J$1208,0)),0))</f>
        <v/>
      </c>
      <c r="AJ1078" s="10">
        <f>IF($A1078="","",MAX(0,IFERROR(INDEX('2_IMPORTAR_EJECUCION'!$H$9:$H$1208,MATCH($AQ1078,'2_IMPORTAR_EJECUCION'!$J$9:$J$1208,0)),0)-$AI1078))</f>
        <v/>
      </c>
      <c r="AK1078" s="10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2">
        <f>IF($J1079="","",TODAY()-$J1079)</f>
        <v/>
      </c>
      <c r="AB1079" s="12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F$4:$F$339,MATCH($O1079&amp;"|"&amp;$R1079&amp;"|"&amp;$AE1079,'ASIGNACIONES'!$J$4:$J$339,0)),""))=0,"",IFERROR(INDEX('ASIGNACIONES'!$F$4:$F$339,MATCH($O1079&amp;"|"&amp;$R1079&amp;"|"&amp;$AE1079,'ASIGNACIONES'!$J$4:$J$339,0)),"")))</f>
        <v/>
      </c>
      <c r="AG1079" s="13">
        <f>IF($AE1079="","",SUMIFS('ORDENES'!$M$4:$M$1203,'ORDENES'!$AE$4:$AE$1203,$AE1079,'ORDENES'!$O$4:$O$1203,$O1079,'ORDENES'!$R$4:$R$1203,$R1079))</f>
        <v/>
      </c>
      <c r="AH1079" s="13">
        <f>IF($AG1079="","",p_factor_productividad*IFERROR(INDEX('ASIGNACIONES'!$I$4:$I$339,MATCH($O1079&amp;"|"&amp;$R1079&amp;"|"&amp;$AE1079,'ASIGNACIONES'!$J$4:$J$339,0)),0)-$AG1079)</f>
        <v/>
      </c>
      <c r="AI1079" s="10">
        <f>IF($A1079="","",IFERROR(INDEX('2_IMPORTAR_EJECUCION'!$F$9:$F$1208,MATCH($AQ1079,'2_IMPORTAR_EJECUCION'!$J$9:$J$1208,0)),0))</f>
        <v/>
      </c>
      <c r="AJ1079" s="10">
        <f>IF($A1079="","",MAX(0,IFERROR(INDEX('2_IMPORTAR_EJECUCION'!$H$9:$H$1208,MATCH($AQ1079,'2_IMPORTAR_EJECUCION'!$J$9:$J$1208,0)),0)-$AI1079))</f>
        <v/>
      </c>
      <c r="AK1079" s="10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2">
        <f>IF($J1080="","",TODAY()-$J1080)</f>
        <v/>
      </c>
      <c r="AB1080" s="12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F$4:$F$339,MATCH($O1080&amp;"|"&amp;$R1080&amp;"|"&amp;$AE1080,'ASIGNACIONES'!$J$4:$J$339,0)),""))=0,"",IFERROR(INDEX('ASIGNACIONES'!$F$4:$F$339,MATCH($O1080&amp;"|"&amp;$R1080&amp;"|"&amp;$AE1080,'ASIGNACIONES'!$J$4:$J$339,0)),"")))</f>
        <v/>
      </c>
      <c r="AG1080" s="13">
        <f>IF($AE1080="","",SUMIFS('ORDENES'!$M$4:$M$1203,'ORDENES'!$AE$4:$AE$1203,$AE1080,'ORDENES'!$O$4:$O$1203,$O1080,'ORDENES'!$R$4:$R$1203,$R1080))</f>
        <v/>
      </c>
      <c r="AH1080" s="13">
        <f>IF($AG1080="","",p_factor_productividad*IFERROR(INDEX('ASIGNACIONES'!$I$4:$I$339,MATCH($O1080&amp;"|"&amp;$R1080&amp;"|"&amp;$AE1080,'ASIGNACIONES'!$J$4:$J$339,0)),0)-$AG1080)</f>
        <v/>
      </c>
      <c r="AI1080" s="10">
        <f>IF($A1080="","",IFERROR(INDEX('2_IMPORTAR_EJECUCION'!$F$9:$F$1208,MATCH($AQ1080,'2_IMPORTAR_EJECUCION'!$J$9:$J$1208,0)),0))</f>
        <v/>
      </c>
      <c r="AJ1080" s="10">
        <f>IF($A1080="","",MAX(0,IFERROR(INDEX('2_IMPORTAR_EJECUCION'!$H$9:$H$1208,MATCH($AQ1080,'2_IMPORTAR_EJECUCION'!$J$9:$J$1208,0)),0)-$AI1080))</f>
        <v/>
      </c>
      <c r="AK1080" s="10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2">
        <f>IF($J1081="","",TODAY()-$J1081)</f>
        <v/>
      </c>
      <c r="AB1081" s="12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F$4:$F$339,MATCH($O1081&amp;"|"&amp;$R1081&amp;"|"&amp;$AE1081,'ASIGNACIONES'!$J$4:$J$339,0)),""))=0,"",IFERROR(INDEX('ASIGNACIONES'!$F$4:$F$339,MATCH($O1081&amp;"|"&amp;$R1081&amp;"|"&amp;$AE1081,'ASIGNACIONES'!$J$4:$J$339,0)),"")))</f>
        <v/>
      </c>
      <c r="AG1081" s="13">
        <f>IF($AE1081="","",SUMIFS('ORDENES'!$M$4:$M$1203,'ORDENES'!$AE$4:$AE$1203,$AE1081,'ORDENES'!$O$4:$O$1203,$O1081,'ORDENES'!$R$4:$R$1203,$R1081))</f>
        <v/>
      </c>
      <c r="AH1081" s="13">
        <f>IF($AG1081="","",p_factor_productividad*IFERROR(INDEX('ASIGNACIONES'!$I$4:$I$339,MATCH($O1081&amp;"|"&amp;$R1081&amp;"|"&amp;$AE1081,'ASIGNACIONES'!$J$4:$J$339,0)),0)-$AG1081)</f>
        <v/>
      </c>
      <c r="AI1081" s="10">
        <f>IF($A1081="","",IFERROR(INDEX('2_IMPORTAR_EJECUCION'!$F$9:$F$1208,MATCH($AQ1081,'2_IMPORTAR_EJECUCION'!$J$9:$J$1208,0)),0))</f>
        <v/>
      </c>
      <c r="AJ1081" s="10">
        <f>IF($A1081="","",MAX(0,IFERROR(INDEX('2_IMPORTAR_EJECUCION'!$H$9:$H$1208,MATCH($AQ1081,'2_IMPORTAR_EJECUCION'!$J$9:$J$1208,0)),0)-$AI1081))</f>
        <v/>
      </c>
      <c r="AK1081" s="10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2">
        <f>IF($J1082="","",TODAY()-$J1082)</f>
        <v/>
      </c>
      <c r="AB1082" s="12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F$4:$F$339,MATCH($O1082&amp;"|"&amp;$R1082&amp;"|"&amp;$AE1082,'ASIGNACIONES'!$J$4:$J$339,0)),""))=0,"",IFERROR(INDEX('ASIGNACIONES'!$F$4:$F$339,MATCH($O1082&amp;"|"&amp;$R1082&amp;"|"&amp;$AE1082,'ASIGNACIONES'!$J$4:$J$339,0)),"")))</f>
        <v/>
      </c>
      <c r="AG1082" s="13">
        <f>IF($AE1082="","",SUMIFS('ORDENES'!$M$4:$M$1203,'ORDENES'!$AE$4:$AE$1203,$AE1082,'ORDENES'!$O$4:$O$1203,$O1082,'ORDENES'!$R$4:$R$1203,$R1082))</f>
        <v/>
      </c>
      <c r="AH1082" s="13">
        <f>IF($AG1082="","",p_factor_productividad*IFERROR(INDEX('ASIGNACIONES'!$I$4:$I$339,MATCH($O1082&amp;"|"&amp;$R1082&amp;"|"&amp;$AE1082,'ASIGNACIONES'!$J$4:$J$339,0)),0)-$AG1082)</f>
        <v/>
      </c>
      <c r="AI1082" s="10">
        <f>IF($A1082="","",IFERROR(INDEX('2_IMPORTAR_EJECUCION'!$F$9:$F$1208,MATCH($AQ1082,'2_IMPORTAR_EJECUCION'!$J$9:$J$1208,0)),0))</f>
        <v/>
      </c>
      <c r="AJ1082" s="10">
        <f>IF($A1082="","",MAX(0,IFERROR(INDEX('2_IMPORTAR_EJECUCION'!$H$9:$H$1208,MATCH($AQ1082,'2_IMPORTAR_EJECUCION'!$J$9:$J$1208,0)),0)-$AI1082))</f>
        <v/>
      </c>
      <c r="AK1082" s="10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2">
        <f>IF($J1083="","",TODAY()-$J1083)</f>
        <v/>
      </c>
      <c r="AB1083" s="12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F$4:$F$339,MATCH($O1083&amp;"|"&amp;$R1083&amp;"|"&amp;$AE1083,'ASIGNACIONES'!$J$4:$J$339,0)),""))=0,"",IFERROR(INDEX('ASIGNACIONES'!$F$4:$F$339,MATCH($O1083&amp;"|"&amp;$R1083&amp;"|"&amp;$AE1083,'ASIGNACIONES'!$J$4:$J$339,0)),"")))</f>
        <v/>
      </c>
      <c r="AG1083" s="13">
        <f>IF($AE1083="","",SUMIFS('ORDENES'!$M$4:$M$1203,'ORDENES'!$AE$4:$AE$1203,$AE1083,'ORDENES'!$O$4:$O$1203,$O1083,'ORDENES'!$R$4:$R$1203,$R1083))</f>
        <v/>
      </c>
      <c r="AH1083" s="13">
        <f>IF($AG1083="","",p_factor_productividad*IFERROR(INDEX('ASIGNACIONES'!$I$4:$I$339,MATCH($O1083&amp;"|"&amp;$R1083&amp;"|"&amp;$AE1083,'ASIGNACIONES'!$J$4:$J$339,0)),0)-$AG1083)</f>
        <v/>
      </c>
      <c r="AI1083" s="10">
        <f>IF($A1083="","",IFERROR(INDEX('2_IMPORTAR_EJECUCION'!$F$9:$F$1208,MATCH($AQ1083,'2_IMPORTAR_EJECUCION'!$J$9:$J$1208,0)),0))</f>
        <v/>
      </c>
      <c r="AJ1083" s="10">
        <f>IF($A1083="","",MAX(0,IFERROR(INDEX('2_IMPORTAR_EJECUCION'!$H$9:$H$1208,MATCH($AQ1083,'2_IMPORTAR_EJECUCION'!$J$9:$J$1208,0)),0)-$AI1083))</f>
        <v/>
      </c>
      <c r="AK1083" s="10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2">
        <f>IF($J1084="","",TODAY()-$J1084)</f>
        <v/>
      </c>
      <c r="AB1084" s="12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F$4:$F$339,MATCH($O1084&amp;"|"&amp;$R1084&amp;"|"&amp;$AE1084,'ASIGNACIONES'!$J$4:$J$339,0)),""))=0,"",IFERROR(INDEX('ASIGNACIONES'!$F$4:$F$339,MATCH($O1084&amp;"|"&amp;$R1084&amp;"|"&amp;$AE1084,'ASIGNACIONES'!$J$4:$J$339,0)),"")))</f>
        <v/>
      </c>
      <c r="AG1084" s="13">
        <f>IF($AE1084="","",SUMIFS('ORDENES'!$M$4:$M$1203,'ORDENES'!$AE$4:$AE$1203,$AE1084,'ORDENES'!$O$4:$O$1203,$O1084,'ORDENES'!$R$4:$R$1203,$R1084))</f>
        <v/>
      </c>
      <c r="AH1084" s="13">
        <f>IF($AG1084="","",p_factor_productividad*IFERROR(INDEX('ASIGNACIONES'!$I$4:$I$339,MATCH($O1084&amp;"|"&amp;$R1084&amp;"|"&amp;$AE1084,'ASIGNACIONES'!$J$4:$J$339,0)),0)-$AG1084)</f>
        <v/>
      </c>
      <c r="AI1084" s="10">
        <f>IF($A1084="","",IFERROR(INDEX('2_IMPORTAR_EJECUCION'!$F$9:$F$1208,MATCH($AQ1084,'2_IMPORTAR_EJECUCION'!$J$9:$J$1208,0)),0))</f>
        <v/>
      </c>
      <c r="AJ1084" s="10">
        <f>IF($A1084="","",MAX(0,IFERROR(INDEX('2_IMPORTAR_EJECUCION'!$H$9:$H$1208,MATCH($AQ1084,'2_IMPORTAR_EJECUCION'!$J$9:$J$1208,0)),0)-$AI1084))</f>
        <v/>
      </c>
      <c r="AK1084" s="10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2">
        <f>IF($J1085="","",TODAY()-$J1085)</f>
        <v/>
      </c>
      <c r="AB1085" s="12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F$4:$F$339,MATCH($O1085&amp;"|"&amp;$R1085&amp;"|"&amp;$AE1085,'ASIGNACIONES'!$J$4:$J$339,0)),""))=0,"",IFERROR(INDEX('ASIGNACIONES'!$F$4:$F$339,MATCH($O1085&amp;"|"&amp;$R1085&amp;"|"&amp;$AE1085,'ASIGNACIONES'!$J$4:$J$339,0)),"")))</f>
        <v/>
      </c>
      <c r="AG1085" s="13">
        <f>IF($AE1085="","",SUMIFS('ORDENES'!$M$4:$M$1203,'ORDENES'!$AE$4:$AE$1203,$AE1085,'ORDENES'!$O$4:$O$1203,$O1085,'ORDENES'!$R$4:$R$1203,$R1085))</f>
        <v/>
      </c>
      <c r="AH1085" s="13">
        <f>IF($AG1085="","",p_factor_productividad*IFERROR(INDEX('ASIGNACIONES'!$I$4:$I$339,MATCH($O1085&amp;"|"&amp;$R1085&amp;"|"&amp;$AE1085,'ASIGNACIONES'!$J$4:$J$339,0)),0)-$AG1085)</f>
        <v/>
      </c>
      <c r="AI1085" s="10">
        <f>IF($A1085="","",IFERROR(INDEX('2_IMPORTAR_EJECUCION'!$F$9:$F$1208,MATCH($AQ1085,'2_IMPORTAR_EJECUCION'!$J$9:$J$1208,0)),0))</f>
        <v/>
      </c>
      <c r="AJ1085" s="10">
        <f>IF($A1085="","",MAX(0,IFERROR(INDEX('2_IMPORTAR_EJECUCION'!$H$9:$H$1208,MATCH($AQ1085,'2_IMPORTAR_EJECUCION'!$J$9:$J$1208,0)),0)-$AI1085))</f>
        <v/>
      </c>
      <c r="AK1085" s="10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2">
        <f>IF($J1086="","",TODAY()-$J1086)</f>
        <v/>
      </c>
      <c r="AB1086" s="12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F$4:$F$339,MATCH($O1086&amp;"|"&amp;$R1086&amp;"|"&amp;$AE1086,'ASIGNACIONES'!$J$4:$J$339,0)),""))=0,"",IFERROR(INDEX('ASIGNACIONES'!$F$4:$F$339,MATCH($O1086&amp;"|"&amp;$R1086&amp;"|"&amp;$AE1086,'ASIGNACIONES'!$J$4:$J$339,0)),"")))</f>
        <v/>
      </c>
      <c r="AG1086" s="13">
        <f>IF($AE1086="","",SUMIFS('ORDENES'!$M$4:$M$1203,'ORDENES'!$AE$4:$AE$1203,$AE1086,'ORDENES'!$O$4:$O$1203,$O1086,'ORDENES'!$R$4:$R$1203,$R1086))</f>
        <v/>
      </c>
      <c r="AH1086" s="13">
        <f>IF($AG1086="","",p_factor_productividad*IFERROR(INDEX('ASIGNACIONES'!$I$4:$I$339,MATCH($O1086&amp;"|"&amp;$R1086&amp;"|"&amp;$AE1086,'ASIGNACIONES'!$J$4:$J$339,0)),0)-$AG1086)</f>
        <v/>
      </c>
      <c r="AI1086" s="10">
        <f>IF($A1086="","",IFERROR(INDEX('2_IMPORTAR_EJECUCION'!$F$9:$F$1208,MATCH($AQ1086,'2_IMPORTAR_EJECUCION'!$J$9:$J$1208,0)),0))</f>
        <v/>
      </c>
      <c r="AJ1086" s="10">
        <f>IF($A1086="","",MAX(0,IFERROR(INDEX('2_IMPORTAR_EJECUCION'!$H$9:$H$1208,MATCH($AQ1086,'2_IMPORTAR_EJECUCION'!$J$9:$J$1208,0)),0)-$AI1086))</f>
        <v/>
      </c>
      <c r="AK1086" s="10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2">
        <f>IF($J1087="","",TODAY()-$J1087)</f>
        <v/>
      </c>
      <c r="AB1087" s="12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F$4:$F$339,MATCH($O1087&amp;"|"&amp;$R1087&amp;"|"&amp;$AE1087,'ASIGNACIONES'!$J$4:$J$339,0)),""))=0,"",IFERROR(INDEX('ASIGNACIONES'!$F$4:$F$339,MATCH($O1087&amp;"|"&amp;$R1087&amp;"|"&amp;$AE1087,'ASIGNACIONES'!$J$4:$J$339,0)),"")))</f>
        <v/>
      </c>
      <c r="AG1087" s="13">
        <f>IF($AE1087="","",SUMIFS('ORDENES'!$M$4:$M$1203,'ORDENES'!$AE$4:$AE$1203,$AE1087,'ORDENES'!$O$4:$O$1203,$O1087,'ORDENES'!$R$4:$R$1203,$R1087))</f>
        <v/>
      </c>
      <c r="AH1087" s="13">
        <f>IF($AG1087="","",p_factor_productividad*IFERROR(INDEX('ASIGNACIONES'!$I$4:$I$339,MATCH($O1087&amp;"|"&amp;$R1087&amp;"|"&amp;$AE1087,'ASIGNACIONES'!$J$4:$J$339,0)),0)-$AG1087)</f>
        <v/>
      </c>
      <c r="AI1087" s="10">
        <f>IF($A1087="","",IFERROR(INDEX('2_IMPORTAR_EJECUCION'!$F$9:$F$1208,MATCH($AQ1087,'2_IMPORTAR_EJECUCION'!$J$9:$J$1208,0)),0))</f>
        <v/>
      </c>
      <c r="AJ1087" s="10">
        <f>IF($A1087="","",MAX(0,IFERROR(INDEX('2_IMPORTAR_EJECUCION'!$H$9:$H$1208,MATCH($AQ1087,'2_IMPORTAR_EJECUCION'!$J$9:$J$1208,0)),0)-$AI1087))</f>
        <v/>
      </c>
      <c r="AK1087" s="10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2">
        <f>IF($J1088="","",TODAY()-$J1088)</f>
        <v/>
      </c>
      <c r="AB1088" s="12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F$4:$F$339,MATCH($O1088&amp;"|"&amp;$R1088&amp;"|"&amp;$AE1088,'ASIGNACIONES'!$J$4:$J$339,0)),""))=0,"",IFERROR(INDEX('ASIGNACIONES'!$F$4:$F$339,MATCH($O1088&amp;"|"&amp;$R1088&amp;"|"&amp;$AE1088,'ASIGNACIONES'!$J$4:$J$339,0)),"")))</f>
        <v/>
      </c>
      <c r="AG1088" s="13">
        <f>IF($AE1088="","",SUMIFS('ORDENES'!$M$4:$M$1203,'ORDENES'!$AE$4:$AE$1203,$AE1088,'ORDENES'!$O$4:$O$1203,$O1088,'ORDENES'!$R$4:$R$1203,$R1088))</f>
        <v/>
      </c>
      <c r="AH1088" s="13">
        <f>IF($AG1088="","",p_factor_productividad*IFERROR(INDEX('ASIGNACIONES'!$I$4:$I$339,MATCH($O1088&amp;"|"&amp;$R1088&amp;"|"&amp;$AE1088,'ASIGNACIONES'!$J$4:$J$339,0)),0)-$AG1088)</f>
        <v/>
      </c>
      <c r="AI1088" s="10">
        <f>IF($A1088="","",IFERROR(INDEX('2_IMPORTAR_EJECUCION'!$F$9:$F$1208,MATCH($AQ1088,'2_IMPORTAR_EJECUCION'!$J$9:$J$1208,0)),0))</f>
        <v/>
      </c>
      <c r="AJ1088" s="10">
        <f>IF($A1088="","",MAX(0,IFERROR(INDEX('2_IMPORTAR_EJECUCION'!$H$9:$H$1208,MATCH($AQ1088,'2_IMPORTAR_EJECUCION'!$J$9:$J$1208,0)),0)-$AI1088))</f>
        <v/>
      </c>
      <c r="AK1088" s="10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2">
        <f>IF($J1089="","",TODAY()-$J1089)</f>
        <v/>
      </c>
      <c r="AB1089" s="12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F$4:$F$339,MATCH($O1089&amp;"|"&amp;$R1089&amp;"|"&amp;$AE1089,'ASIGNACIONES'!$J$4:$J$339,0)),""))=0,"",IFERROR(INDEX('ASIGNACIONES'!$F$4:$F$339,MATCH($O1089&amp;"|"&amp;$R1089&amp;"|"&amp;$AE1089,'ASIGNACIONES'!$J$4:$J$339,0)),"")))</f>
        <v/>
      </c>
      <c r="AG1089" s="13">
        <f>IF($AE1089="","",SUMIFS('ORDENES'!$M$4:$M$1203,'ORDENES'!$AE$4:$AE$1203,$AE1089,'ORDENES'!$O$4:$O$1203,$O1089,'ORDENES'!$R$4:$R$1203,$R1089))</f>
        <v/>
      </c>
      <c r="AH1089" s="13">
        <f>IF($AG1089="","",p_factor_productividad*IFERROR(INDEX('ASIGNACIONES'!$I$4:$I$339,MATCH($O1089&amp;"|"&amp;$R1089&amp;"|"&amp;$AE1089,'ASIGNACIONES'!$J$4:$J$339,0)),0)-$AG1089)</f>
        <v/>
      </c>
      <c r="AI1089" s="10">
        <f>IF($A1089="","",IFERROR(INDEX('2_IMPORTAR_EJECUCION'!$F$9:$F$1208,MATCH($AQ1089,'2_IMPORTAR_EJECUCION'!$J$9:$J$1208,0)),0))</f>
        <v/>
      </c>
      <c r="AJ1089" s="10">
        <f>IF($A1089="","",MAX(0,IFERROR(INDEX('2_IMPORTAR_EJECUCION'!$H$9:$H$1208,MATCH($AQ1089,'2_IMPORTAR_EJECUCION'!$J$9:$J$1208,0)),0)-$AI1089))</f>
        <v/>
      </c>
      <c r="AK1089" s="10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2">
        <f>IF($J1090="","",TODAY()-$J1090)</f>
        <v/>
      </c>
      <c r="AB1090" s="12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F$4:$F$339,MATCH($O1090&amp;"|"&amp;$R1090&amp;"|"&amp;$AE1090,'ASIGNACIONES'!$J$4:$J$339,0)),""))=0,"",IFERROR(INDEX('ASIGNACIONES'!$F$4:$F$339,MATCH($O1090&amp;"|"&amp;$R1090&amp;"|"&amp;$AE1090,'ASIGNACIONES'!$J$4:$J$339,0)),"")))</f>
        <v/>
      </c>
      <c r="AG1090" s="13">
        <f>IF($AE1090="","",SUMIFS('ORDENES'!$M$4:$M$1203,'ORDENES'!$AE$4:$AE$1203,$AE1090,'ORDENES'!$O$4:$O$1203,$O1090,'ORDENES'!$R$4:$R$1203,$R1090))</f>
        <v/>
      </c>
      <c r="AH1090" s="13">
        <f>IF($AG1090="","",p_factor_productividad*IFERROR(INDEX('ASIGNACIONES'!$I$4:$I$339,MATCH($O1090&amp;"|"&amp;$R1090&amp;"|"&amp;$AE1090,'ASIGNACIONES'!$J$4:$J$339,0)),0)-$AG1090)</f>
        <v/>
      </c>
      <c r="AI1090" s="10">
        <f>IF($A1090="","",IFERROR(INDEX('2_IMPORTAR_EJECUCION'!$F$9:$F$1208,MATCH($AQ1090,'2_IMPORTAR_EJECUCION'!$J$9:$J$1208,0)),0))</f>
        <v/>
      </c>
      <c r="AJ1090" s="10">
        <f>IF($A1090="","",MAX(0,IFERROR(INDEX('2_IMPORTAR_EJECUCION'!$H$9:$H$1208,MATCH($AQ1090,'2_IMPORTAR_EJECUCION'!$J$9:$J$1208,0)),0)-$AI1090))</f>
        <v/>
      </c>
      <c r="AK1090" s="10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2">
        <f>IF($J1091="","",TODAY()-$J1091)</f>
        <v/>
      </c>
      <c r="AB1091" s="12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F$4:$F$339,MATCH($O1091&amp;"|"&amp;$R1091&amp;"|"&amp;$AE1091,'ASIGNACIONES'!$J$4:$J$339,0)),""))=0,"",IFERROR(INDEX('ASIGNACIONES'!$F$4:$F$339,MATCH($O1091&amp;"|"&amp;$R1091&amp;"|"&amp;$AE1091,'ASIGNACIONES'!$J$4:$J$339,0)),"")))</f>
        <v/>
      </c>
      <c r="AG1091" s="13">
        <f>IF($AE1091="","",SUMIFS('ORDENES'!$M$4:$M$1203,'ORDENES'!$AE$4:$AE$1203,$AE1091,'ORDENES'!$O$4:$O$1203,$O1091,'ORDENES'!$R$4:$R$1203,$R1091))</f>
        <v/>
      </c>
      <c r="AH1091" s="13">
        <f>IF($AG1091="","",p_factor_productividad*IFERROR(INDEX('ASIGNACIONES'!$I$4:$I$339,MATCH($O1091&amp;"|"&amp;$R1091&amp;"|"&amp;$AE1091,'ASIGNACIONES'!$J$4:$J$339,0)),0)-$AG1091)</f>
        <v/>
      </c>
      <c r="AI1091" s="10">
        <f>IF($A1091="","",IFERROR(INDEX('2_IMPORTAR_EJECUCION'!$F$9:$F$1208,MATCH($AQ1091,'2_IMPORTAR_EJECUCION'!$J$9:$J$1208,0)),0))</f>
        <v/>
      </c>
      <c r="AJ1091" s="10">
        <f>IF($A1091="","",MAX(0,IFERROR(INDEX('2_IMPORTAR_EJECUCION'!$H$9:$H$1208,MATCH($AQ1091,'2_IMPORTAR_EJECUCION'!$J$9:$J$1208,0)),0)-$AI1091))</f>
        <v/>
      </c>
      <c r="AK1091" s="10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2">
        <f>IF($J1092="","",TODAY()-$J1092)</f>
        <v/>
      </c>
      <c r="AB1092" s="12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F$4:$F$339,MATCH($O1092&amp;"|"&amp;$R1092&amp;"|"&amp;$AE1092,'ASIGNACIONES'!$J$4:$J$339,0)),""))=0,"",IFERROR(INDEX('ASIGNACIONES'!$F$4:$F$339,MATCH($O1092&amp;"|"&amp;$R1092&amp;"|"&amp;$AE1092,'ASIGNACIONES'!$J$4:$J$339,0)),"")))</f>
        <v/>
      </c>
      <c r="AG1092" s="13">
        <f>IF($AE1092="","",SUMIFS('ORDENES'!$M$4:$M$1203,'ORDENES'!$AE$4:$AE$1203,$AE1092,'ORDENES'!$O$4:$O$1203,$O1092,'ORDENES'!$R$4:$R$1203,$R1092))</f>
        <v/>
      </c>
      <c r="AH1092" s="13">
        <f>IF($AG1092="","",p_factor_productividad*IFERROR(INDEX('ASIGNACIONES'!$I$4:$I$339,MATCH($O1092&amp;"|"&amp;$R1092&amp;"|"&amp;$AE1092,'ASIGNACIONES'!$J$4:$J$339,0)),0)-$AG1092)</f>
        <v/>
      </c>
      <c r="AI1092" s="10">
        <f>IF($A1092="","",IFERROR(INDEX('2_IMPORTAR_EJECUCION'!$F$9:$F$1208,MATCH($AQ1092,'2_IMPORTAR_EJECUCION'!$J$9:$J$1208,0)),0))</f>
        <v/>
      </c>
      <c r="AJ1092" s="10">
        <f>IF($A1092="","",MAX(0,IFERROR(INDEX('2_IMPORTAR_EJECUCION'!$H$9:$H$1208,MATCH($AQ1092,'2_IMPORTAR_EJECUCION'!$J$9:$J$1208,0)),0)-$AI1092))</f>
        <v/>
      </c>
      <c r="AK1092" s="10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2">
        <f>IF($J1093="","",TODAY()-$J1093)</f>
        <v/>
      </c>
      <c r="AB1093" s="12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F$4:$F$339,MATCH($O1093&amp;"|"&amp;$R1093&amp;"|"&amp;$AE1093,'ASIGNACIONES'!$J$4:$J$339,0)),""))=0,"",IFERROR(INDEX('ASIGNACIONES'!$F$4:$F$339,MATCH($O1093&amp;"|"&amp;$R1093&amp;"|"&amp;$AE1093,'ASIGNACIONES'!$J$4:$J$339,0)),"")))</f>
        <v/>
      </c>
      <c r="AG1093" s="13">
        <f>IF($AE1093="","",SUMIFS('ORDENES'!$M$4:$M$1203,'ORDENES'!$AE$4:$AE$1203,$AE1093,'ORDENES'!$O$4:$O$1203,$O1093,'ORDENES'!$R$4:$R$1203,$R1093))</f>
        <v/>
      </c>
      <c r="AH1093" s="13">
        <f>IF($AG1093="","",p_factor_productividad*IFERROR(INDEX('ASIGNACIONES'!$I$4:$I$339,MATCH($O1093&amp;"|"&amp;$R1093&amp;"|"&amp;$AE1093,'ASIGNACIONES'!$J$4:$J$339,0)),0)-$AG1093)</f>
        <v/>
      </c>
      <c r="AI1093" s="10">
        <f>IF($A1093="","",IFERROR(INDEX('2_IMPORTAR_EJECUCION'!$F$9:$F$1208,MATCH($AQ1093,'2_IMPORTAR_EJECUCION'!$J$9:$J$1208,0)),0))</f>
        <v/>
      </c>
      <c r="AJ1093" s="10">
        <f>IF($A1093="","",MAX(0,IFERROR(INDEX('2_IMPORTAR_EJECUCION'!$H$9:$H$1208,MATCH($AQ1093,'2_IMPORTAR_EJECUCION'!$J$9:$J$1208,0)),0)-$AI1093))</f>
        <v/>
      </c>
      <c r="AK1093" s="10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2">
        <f>IF($J1094="","",TODAY()-$J1094)</f>
        <v/>
      </c>
      <c r="AB1094" s="12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F$4:$F$339,MATCH($O1094&amp;"|"&amp;$R1094&amp;"|"&amp;$AE1094,'ASIGNACIONES'!$J$4:$J$339,0)),""))=0,"",IFERROR(INDEX('ASIGNACIONES'!$F$4:$F$339,MATCH($O1094&amp;"|"&amp;$R1094&amp;"|"&amp;$AE1094,'ASIGNACIONES'!$J$4:$J$339,0)),"")))</f>
        <v/>
      </c>
      <c r="AG1094" s="13">
        <f>IF($AE1094="","",SUMIFS('ORDENES'!$M$4:$M$1203,'ORDENES'!$AE$4:$AE$1203,$AE1094,'ORDENES'!$O$4:$O$1203,$O1094,'ORDENES'!$R$4:$R$1203,$R1094))</f>
        <v/>
      </c>
      <c r="AH1094" s="13">
        <f>IF($AG1094="","",p_factor_productividad*IFERROR(INDEX('ASIGNACIONES'!$I$4:$I$339,MATCH($O1094&amp;"|"&amp;$R1094&amp;"|"&amp;$AE1094,'ASIGNACIONES'!$J$4:$J$339,0)),0)-$AG1094)</f>
        <v/>
      </c>
      <c r="AI1094" s="10">
        <f>IF($A1094="","",IFERROR(INDEX('2_IMPORTAR_EJECUCION'!$F$9:$F$1208,MATCH($AQ1094,'2_IMPORTAR_EJECUCION'!$J$9:$J$1208,0)),0))</f>
        <v/>
      </c>
      <c r="AJ1094" s="10">
        <f>IF($A1094="","",MAX(0,IFERROR(INDEX('2_IMPORTAR_EJECUCION'!$H$9:$H$1208,MATCH($AQ1094,'2_IMPORTAR_EJECUCION'!$J$9:$J$1208,0)),0)-$AI1094))</f>
        <v/>
      </c>
      <c r="AK1094" s="10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2">
        <f>IF($J1095="","",TODAY()-$J1095)</f>
        <v/>
      </c>
      <c r="AB1095" s="12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F$4:$F$339,MATCH($O1095&amp;"|"&amp;$R1095&amp;"|"&amp;$AE1095,'ASIGNACIONES'!$J$4:$J$339,0)),""))=0,"",IFERROR(INDEX('ASIGNACIONES'!$F$4:$F$339,MATCH($O1095&amp;"|"&amp;$R1095&amp;"|"&amp;$AE1095,'ASIGNACIONES'!$J$4:$J$339,0)),"")))</f>
        <v/>
      </c>
      <c r="AG1095" s="13">
        <f>IF($AE1095="","",SUMIFS('ORDENES'!$M$4:$M$1203,'ORDENES'!$AE$4:$AE$1203,$AE1095,'ORDENES'!$O$4:$O$1203,$O1095,'ORDENES'!$R$4:$R$1203,$R1095))</f>
        <v/>
      </c>
      <c r="AH1095" s="13">
        <f>IF($AG1095="","",p_factor_productividad*IFERROR(INDEX('ASIGNACIONES'!$I$4:$I$339,MATCH($O1095&amp;"|"&amp;$R1095&amp;"|"&amp;$AE1095,'ASIGNACIONES'!$J$4:$J$339,0)),0)-$AG1095)</f>
        <v/>
      </c>
      <c r="AI1095" s="10">
        <f>IF($A1095="","",IFERROR(INDEX('2_IMPORTAR_EJECUCION'!$F$9:$F$1208,MATCH($AQ1095,'2_IMPORTAR_EJECUCION'!$J$9:$J$1208,0)),0))</f>
        <v/>
      </c>
      <c r="AJ1095" s="10">
        <f>IF($A1095="","",MAX(0,IFERROR(INDEX('2_IMPORTAR_EJECUCION'!$H$9:$H$1208,MATCH($AQ1095,'2_IMPORTAR_EJECUCION'!$J$9:$J$1208,0)),0)-$AI1095))</f>
        <v/>
      </c>
      <c r="AK1095" s="10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2">
        <f>IF($J1096="","",TODAY()-$J1096)</f>
        <v/>
      </c>
      <c r="AB1096" s="12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F$4:$F$339,MATCH($O1096&amp;"|"&amp;$R1096&amp;"|"&amp;$AE1096,'ASIGNACIONES'!$J$4:$J$339,0)),""))=0,"",IFERROR(INDEX('ASIGNACIONES'!$F$4:$F$339,MATCH($O1096&amp;"|"&amp;$R1096&amp;"|"&amp;$AE1096,'ASIGNACIONES'!$J$4:$J$339,0)),"")))</f>
        <v/>
      </c>
      <c r="AG1096" s="13">
        <f>IF($AE1096="","",SUMIFS('ORDENES'!$M$4:$M$1203,'ORDENES'!$AE$4:$AE$1203,$AE1096,'ORDENES'!$O$4:$O$1203,$O1096,'ORDENES'!$R$4:$R$1203,$R1096))</f>
        <v/>
      </c>
      <c r="AH1096" s="13">
        <f>IF($AG1096="","",p_factor_productividad*IFERROR(INDEX('ASIGNACIONES'!$I$4:$I$339,MATCH($O1096&amp;"|"&amp;$R1096&amp;"|"&amp;$AE1096,'ASIGNACIONES'!$J$4:$J$339,0)),0)-$AG1096)</f>
        <v/>
      </c>
      <c r="AI1096" s="10">
        <f>IF($A1096="","",IFERROR(INDEX('2_IMPORTAR_EJECUCION'!$F$9:$F$1208,MATCH($AQ1096,'2_IMPORTAR_EJECUCION'!$J$9:$J$1208,0)),0))</f>
        <v/>
      </c>
      <c r="AJ1096" s="10">
        <f>IF($A1096="","",MAX(0,IFERROR(INDEX('2_IMPORTAR_EJECUCION'!$H$9:$H$1208,MATCH($AQ1096,'2_IMPORTAR_EJECUCION'!$J$9:$J$1208,0)),0)-$AI1096))</f>
        <v/>
      </c>
      <c r="AK1096" s="10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2">
        <f>IF($J1097="","",TODAY()-$J1097)</f>
        <v/>
      </c>
      <c r="AB1097" s="12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F$4:$F$339,MATCH($O1097&amp;"|"&amp;$R1097&amp;"|"&amp;$AE1097,'ASIGNACIONES'!$J$4:$J$339,0)),""))=0,"",IFERROR(INDEX('ASIGNACIONES'!$F$4:$F$339,MATCH($O1097&amp;"|"&amp;$R1097&amp;"|"&amp;$AE1097,'ASIGNACIONES'!$J$4:$J$339,0)),"")))</f>
        <v/>
      </c>
      <c r="AG1097" s="13">
        <f>IF($AE1097="","",SUMIFS('ORDENES'!$M$4:$M$1203,'ORDENES'!$AE$4:$AE$1203,$AE1097,'ORDENES'!$O$4:$O$1203,$O1097,'ORDENES'!$R$4:$R$1203,$R1097))</f>
        <v/>
      </c>
      <c r="AH1097" s="13">
        <f>IF($AG1097="","",p_factor_productividad*IFERROR(INDEX('ASIGNACIONES'!$I$4:$I$339,MATCH($O1097&amp;"|"&amp;$R1097&amp;"|"&amp;$AE1097,'ASIGNACIONES'!$J$4:$J$339,0)),0)-$AG1097)</f>
        <v/>
      </c>
      <c r="AI1097" s="10">
        <f>IF($A1097="","",IFERROR(INDEX('2_IMPORTAR_EJECUCION'!$F$9:$F$1208,MATCH($AQ1097,'2_IMPORTAR_EJECUCION'!$J$9:$J$1208,0)),0))</f>
        <v/>
      </c>
      <c r="AJ1097" s="10">
        <f>IF($A1097="","",MAX(0,IFERROR(INDEX('2_IMPORTAR_EJECUCION'!$H$9:$H$1208,MATCH($AQ1097,'2_IMPORTAR_EJECUCION'!$J$9:$J$1208,0)),0)-$AI1097))</f>
        <v/>
      </c>
      <c r="AK1097" s="10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2">
        <f>IF($J1098="","",TODAY()-$J1098)</f>
        <v/>
      </c>
      <c r="AB1098" s="12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F$4:$F$339,MATCH($O1098&amp;"|"&amp;$R1098&amp;"|"&amp;$AE1098,'ASIGNACIONES'!$J$4:$J$339,0)),""))=0,"",IFERROR(INDEX('ASIGNACIONES'!$F$4:$F$339,MATCH($O1098&amp;"|"&amp;$R1098&amp;"|"&amp;$AE1098,'ASIGNACIONES'!$J$4:$J$339,0)),"")))</f>
        <v/>
      </c>
      <c r="AG1098" s="13">
        <f>IF($AE1098="","",SUMIFS('ORDENES'!$M$4:$M$1203,'ORDENES'!$AE$4:$AE$1203,$AE1098,'ORDENES'!$O$4:$O$1203,$O1098,'ORDENES'!$R$4:$R$1203,$R1098))</f>
        <v/>
      </c>
      <c r="AH1098" s="13">
        <f>IF($AG1098="","",p_factor_productividad*IFERROR(INDEX('ASIGNACIONES'!$I$4:$I$339,MATCH($O1098&amp;"|"&amp;$R1098&amp;"|"&amp;$AE1098,'ASIGNACIONES'!$J$4:$J$339,0)),0)-$AG1098)</f>
        <v/>
      </c>
      <c r="AI1098" s="10">
        <f>IF($A1098="","",IFERROR(INDEX('2_IMPORTAR_EJECUCION'!$F$9:$F$1208,MATCH($AQ1098,'2_IMPORTAR_EJECUCION'!$J$9:$J$1208,0)),0))</f>
        <v/>
      </c>
      <c r="AJ1098" s="10">
        <f>IF($A1098="","",MAX(0,IFERROR(INDEX('2_IMPORTAR_EJECUCION'!$H$9:$H$1208,MATCH($AQ1098,'2_IMPORTAR_EJECUCION'!$J$9:$J$1208,0)),0)-$AI1098))</f>
        <v/>
      </c>
      <c r="AK1098" s="10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2">
        <f>IF($J1099="","",TODAY()-$J1099)</f>
        <v/>
      </c>
      <c r="AB1099" s="12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F$4:$F$339,MATCH($O1099&amp;"|"&amp;$R1099&amp;"|"&amp;$AE1099,'ASIGNACIONES'!$J$4:$J$339,0)),""))=0,"",IFERROR(INDEX('ASIGNACIONES'!$F$4:$F$339,MATCH($O1099&amp;"|"&amp;$R1099&amp;"|"&amp;$AE1099,'ASIGNACIONES'!$J$4:$J$339,0)),"")))</f>
        <v/>
      </c>
      <c r="AG1099" s="13">
        <f>IF($AE1099="","",SUMIFS('ORDENES'!$M$4:$M$1203,'ORDENES'!$AE$4:$AE$1203,$AE1099,'ORDENES'!$O$4:$O$1203,$O1099,'ORDENES'!$R$4:$R$1203,$R1099))</f>
        <v/>
      </c>
      <c r="AH1099" s="13">
        <f>IF($AG1099="","",p_factor_productividad*IFERROR(INDEX('ASIGNACIONES'!$I$4:$I$339,MATCH($O1099&amp;"|"&amp;$R1099&amp;"|"&amp;$AE1099,'ASIGNACIONES'!$J$4:$J$339,0)),0)-$AG1099)</f>
        <v/>
      </c>
      <c r="AI1099" s="10">
        <f>IF($A1099="","",IFERROR(INDEX('2_IMPORTAR_EJECUCION'!$F$9:$F$1208,MATCH($AQ1099,'2_IMPORTAR_EJECUCION'!$J$9:$J$1208,0)),0))</f>
        <v/>
      </c>
      <c r="AJ1099" s="10">
        <f>IF($A1099="","",MAX(0,IFERROR(INDEX('2_IMPORTAR_EJECUCION'!$H$9:$H$1208,MATCH($AQ1099,'2_IMPORTAR_EJECUCION'!$J$9:$J$1208,0)),0)-$AI1099))</f>
        <v/>
      </c>
      <c r="AK1099" s="10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2">
        <f>IF($J1100="","",TODAY()-$J1100)</f>
        <v/>
      </c>
      <c r="AB1100" s="12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F$4:$F$339,MATCH($O1100&amp;"|"&amp;$R1100&amp;"|"&amp;$AE1100,'ASIGNACIONES'!$J$4:$J$339,0)),""))=0,"",IFERROR(INDEX('ASIGNACIONES'!$F$4:$F$339,MATCH($O1100&amp;"|"&amp;$R1100&amp;"|"&amp;$AE1100,'ASIGNACIONES'!$J$4:$J$339,0)),"")))</f>
        <v/>
      </c>
      <c r="AG1100" s="13">
        <f>IF($AE1100="","",SUMIFS('ORDENES'!$M$4:$M$1203,'ORDENES'!$AE$4:$AE$1203,$AE1100,'ORDENES'!$O$4:$O$1203,$O1100,'ORDENES'!$R$4:$R$1203,$R1100))</f>
        <v/>
      </c>
      <c r="AH1100" s="13">
        <f>IF($AG1100="","",p_factor_productividad*IFERROR(INDEX('ASIGNACIONES'!$I$4:$I$339,MATCH($O1100&amp;"|"&amp;$R1100&amp;"|"&amp;$AE1100,'ASIGNACIONES'!$J$4:$J$339,0)),0)-$AG1100)</f>
        <v/>
      </c>
      <c r="AI1100" s="10">
        <f>IF($A1100="","",IFERROR(INDEX('2_IMPORTAR_EJECUCION'!$F$9:$F$1208,MATCH($AQ1100,'2_IMPORTAR_EJECUCION'!$J$9:$J$1208,0)),0))</f>
        <v/>
      </c>
      <c r="AJ1100" s="10">
        <f>IF($A1100="","",MAX(0,IFERROR(INDEX('2_IMPORTAR_EJECUCION'!$H$9:$H$1208,MATCH($AQ1100,'2_IMPORTAR_EJECUCION'!$J$9:$J$1208,0)),0)-$AI1100))</f>
        <v/>
      </c>
      <c r="AK1100" s="10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2">
        <f>IF($J1101="","",TODAY()-$J1101)</f>
        <v/>
      </c>
      <c r="AB1101" s="12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F$4:$F$339,MATCH($O1101&amp;"|"&amp;$R1101&amp;"|"&amp;$AE1101,'ASIGNACIONES'!$J$4:$J$339,0)),""))=0,"",IFERROR(INDEX('ASIGNACIONES'!$F$4:$F$339,MATCH($O1101&amp;"|"&amp;$R1101&amp;"|"&amp;$AE1101,'ASIGNACIONES'!$J$4:$J$339,0)),"")))</f>
        <v/>
      </c>
      <c r="AG1101" s="13">
        <f>IF($AE1101="","",SUMIFS('ORDENES'!$M$4:$M$1203,'ORDENES'!$AE$4:$AE$1203,$AE1101,'ORDENES'!$O$4:$O$1203,$O1101,'ORDENES'!$R$4:$R$1203,$R1101))</f>
        <v/>
      </c>
      <c r="AH1101" s="13">
        <f>IF($AG1101="","",p_factor_productividad*IFERROR(INDEX('ASIGNACIONES'!$I$4:$I$339,MATCH($O1101&amp;"|"&amp;$R1101&amp;"|"&amp;$AE1101,'ASIGNACIONES'!$J$4:$J$339,0)),0)-$AG1101)</f>
        <v/>
      </c>
      <c r="AI1101" s="10">
        <f>IF($A1101="","",IFERROR(INDEX('2_IMPORTAR_EJECUCION'!$F$9:$F$1208,MATCH($AQ1101,'2_IMPORTAR_EJECUCION'!$J$9:$J$1208,0)),0))</f>
        <v/>
      </c>
      <c r="AJ1101" s="10">
        <f>IF($A1101="","",MAX(0,IFERROR(INDEX('2_IMPORTAR_EJECUCION'!$H$9:$H$1208,MATCH($AQ1101,'2_IMPORTAR_EJECUCION'!$J$9:$J$1208,0)),0)-$AI1101))</f>
        <v/>
      </c>
      <c r="AK1101" s="10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2">
        <f>IF($J1102="","",TODAY()-$J1102)</f>
        <v/>
      </c>
      <c r="AB1102" s="12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F$4:$F$339,MATCH($O1102&amp;"|"&amp;$R1102&amp;"|"&amp;$AE1102,'ASIGNACIONES'!$J$4:$J$339,0)),""))=0,"",IFERROR(INDEX('ASIGNACIONES'!$F$4:$F$339,MATCH($O1102&amp;"|"&amp;$R1102&amp;"|"&amp;$AE1102,'ASIGNACIONES'!$J$4:$J$339,0)),"")))</f>
        <v/>
      </c>
      <c r="AG1102" s="13">
        <f>IF($AE1102="","",SUMIFS('ORDENES'!$M$4:$M$1203,'ORDENES'!$AE$4:$AE$1203,$AE1102,'ORDENES'!$O$4:$O$1203,$O1102,'ORDENES'!$R$4:$R$1203,$R1102))</f>
        <v/>
      </c>
      <c r="AH1102" s="13">
        <f>IF($AG1102="","",p_factor_productividad*IFERROR(INDEX('ASIGNACIONES'!$I$4:$I$339,MATCH($O1102&amp;"|"&amp;$R1102&amp;"|"&amp;$AE1102,'ASIGNACIONES'!$J$4:$J$339,0)),0)-$AG1102)</f>
        <v/>
      </c>
      <c r="AI1102" s="10">
        <f>IF($A1102="","",IFERROR(INDEX('2_IMPORTAR_EJECUCION'!$F$9:$F$1208,MATCH($AQ1102,'2_IMPORTAR_EJECUCION'!$J$9:$J$1208,0)),0))</f>
        <v/>
      </c>
      <c r="AJ1102" s="10">
        <f>IF($A1102="","",MAX(0,IFERROR(INDEX('2_IMPORTAR_EJECUCION'!$H$9:$H$1208,MATCH($AQ1102,'2_IMPORTAR_EJECUCION'!$J$9:$J$1208,0)),0)-$AI1102))</f>
        <v/>
      </c>
      <c r="AK1102" s="10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2">
        <f>IF($J1103="","",TODAY()-$J1103)</f>
        <v/>
      </c>
      <c r="AB1103" s="12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F$4:$F$339,MATCH($O1103&amp;"|"&amp;$R1103&amp;"|"&amp;$AE1103,'ASIGNACIONES'!$J$4:$J$339,0)),""))=0,"",IFERROR(INDEX('ASIGNACIONES'!$F$4:$F$339,MATCH($O1103&amp;"|"&amp;$R1103&amp;"|"&amp;$AE1103,'ASIGNACIONES'!$J$4:$J$339,0)),"")))</f>
        <v/>
      </c>
      <c r="AG1103" s="13">
        <f>IF($AE1103="","",SUMIFS('ORDENES'!$M$4:$M$1203,'ORDENES'!$AE$4:$AE$1203,$AE1103,'ORDENES'!$O$4:$O$1203,$O1103,'ORDENES'!$R$4:$R$1203,$R1103))</f>
        <v/>
      </c>
      <c r="AH1103" s="13">
        <f>IF($AG1103="","",p_factor_productividad*IFERROR(INDEX('ASIGNACIONES'!$I$4:$I$339,MATCH($O1103&amp;"|"&amp;$R1103&amp;"|"&amp;$AE1103,'ASIGNACIONES'!$J$4:$J$339,0)),0)-$AG1103)</f>
        <v/>
      </c>
      <c r="AI1103" s="10">
        <f>IF($A1103="","",IFERROR(INDEX('2_IMPORTAR_EJECUCION'!$F$9:$F$1208,MATCH($AQ1103,'2_IMPORTAR_EJECUCION'!$J$9:$J$1208,0)),0))</f>
        <v/>
      </c>
      <c r="AJ1103" s="10">
        <f>IF($A1103="","",MAX(0,IFERROR(INDEX('2_IMPORTAR_EJECUCION'!$H$9:$H$1208,MATCH($AQ1103,'2_IMPORTAR_EJECUCION'!$J$9:$J$1208,0)),0)-$AI1103))</f>
        <v/>
      </c>
      <c r="AK1103" s="10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2">
        <f>IF($J1104="","",TODAY()-$J1104)</f>
        <v/>
      </c>
      <c r="AB1104" s="12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F$4:$F$339,MATCH($O1104&amp;"|"&amp;$R1104&amp;"|"&amp;$AE1104,'ASIGNACIONES'!$J$4:$J$339,0)),""))=0,"",IFERROR(INDEX('ASIGNACIONES'!$F$4:$F$339,MATCH($O1104&amp;"|"&amp;$R1104&amp;"|"&amp;$AE1104,'ASIGNACIONES'!$J$4:$J$339,0)),"")))</f>
        <v/>
      </c>
      <c r="AG1104" s="13">
        <f>IF($AE1104="","",SUMIFS('ORDENES'!$M$4:$M$1203,'ORDENES'!$AE$4:$AE$1203,$AE1104,'ORDENES'!$O$4:$O$1203,$O1104,'ORDENES'!$R$4:$R$1203,$R1104))</f>
        <v/>
      </c>
      <c r="AH1104" s="13">
        <f>IF($AG1104="","",p_factor_productividad*IFERROR(INDEX('ASIGNACIONES'!$I$4:$I$339,MATCH($O1104&amp;"|"&amp;$R1104&amp;"|"&amp;$AE1104,'ASIGNACIONES'!$J$4:$J$339,0)),0)-$AG1104)</f>
        <v/>
      </c>
      <c r="AI1104" s="10">
        <f>IF($A1104="","",IFERROR(INDEX('2_IMPORTAR_EJECUCION'!$F$9:$F$1208,MATCH($AQ1104,'2_IMPORTAR_EJECUCION'!$J$9:$J$1208,0)),0))</f>
        <v/>
      </c>
      <c r="AJ1104" s="10">
        <f>IF($A1104="","",MAX(0,IFERROR(INDEX('2_IMPORTAR_EJECUCION'!$H$9:$H$1208,MATCH($AQ1104,'2_IMPORTAR_EJECUCION'!$J$9:$J$1208,0)),0)-$AI1104))</f>
        <v/>
      </c>
      <c r="AK1104" s="10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2">
        <f>IF($J1105="","",TODAY()-$J1105)</f>
        <v/>
      </c>
      <c r="AB1105" s="12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F$4:$F$339,MATCH($O1105&amp;"|"&amp;$R1105&amp;"|"&amp;$AE1105,'ASIGNACIONES'!$J$4:$J$339,0)),""))=0,"",IFERROR(INDEX('ASIGNACIONES'!$F$4:$F$339,MATCH($O1105&amp;"|"&amp;$R1105&amp;"|"&amp;$AE1105,'ASIGNACIONES'!$J$4:$J$339,0)),"")))</f>
        <v/>
      </c>
      <c r="AG1105" s="13">
        <f>IF($AE1105="","",SUMIFS('ORDENES'!$M$4:$M$1203,'ORDENES'!$AE$4:$AE$1203,$AE1105,'ORDENES'!$O$4:$O$1203,$O1105,'ORDENES'!$R$4:$R$1203,$R1105))</f>
        <v/>
      </c>
      <c r="AH1105" s="13">
        <f>IF($AG1105="","",p_factor_productividad*IFERROR(INDEX('ASIGNACIONES'!$I$4:$I$339,MATCH($O1105&amp;"|"&amp;$R1105&amp;"|"&amp;$AE1105,'ASIGNACIONES'!$J$4:$J$339,0)),0)-$AG1105)</f>
        <v/>
      </c>
      <c r="AI1105" s="10">
        <f>IF($A1105="","",IFERROR(INDEX('2_IMPORTAR_EJECUCION'!$F$9:$F$1208,MATCH($AQ1105,'2_IMPORTAR_EJECUCION'!$J$9:$J$1208,0)),0))</f>
        <v/>
      </c>
      <c r="AJ1105" s="10">
        <f>IF($A1105="","",MAX(0,IFERROR(INDEX('2_IMPORTAR_EJECUCION'!$H$9:$H$1208,MATCH($AQ1105,'2_IMPORTAR_EJECUCION'!$J$9:$J$1208,0)),0)-$AI1105))</f>
        <v/>
      </c>
      <c r="AK1105" s="10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2">
        <f>IF($J1106="","",TODAY()-$J1106)</f>
        <v/>
      </c>
      <c r="AB1106" s="12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F$4:$F$339,MATCH($O1106&amp;"|"&amp;$R1106&amp;"|"&amp;$AE1106,'ASIGNACIONES'!$J$4:$J$339,0)),""))=0,"",IFERROR(INDEX('ASIGNACIONES'!$F$4:$F$339,MATCH($O1106&amp;"|"&amp;$R1106&amp;"|"&amp;$AE1106,'ASIGNACIONES'!$J$4:$J$339,0)),"")))</f>
        <v/>
      </c>
      <c r="AG1106" s="13">
        <f>IF($AE1106="","",SUMIFS('ORDENES'!$M$4:$M$1203,'ORDENES'!$AE$4:$AE$1203,$AE1106,'ORDENES'!$O$4:$O$1203,$O1106,'ORDENES'!$R$4:$R$1203,$R1106))</f>
        <v/>
      </c>
      <c r="AH1106" s="13">
        <f>IF($AG1106="","",p_factor_productividad*IFERROR(INDEX('ASIGNACIONES'!$I$4:$I$339,MATCH($O1106&amp;"|"&amp;$R1106&amp;"|"&amp;$AE1106,'ASIGNACIONES'!$J$4:$J$339,0)),0)-$AG1106)</f>
        <v/>
      </c>
      <c r="AI1106" s="10">
        <f>IF($A1106="","",IFERROR(INDEX('2_IMPORTAR_EJECUCION'!$F$9:$F$1208,MATCH($AQ1106,'2_IMPORTAR_EJECUCION'!$J$9:$J$1208,0)),0))</f>
        <v/>
      </c>
      <c r="AJ1106" s="10">
        <f>IF($A1106="","",MAX(0,IFERROR(INDEX('2_IMPORTAR_EJECUCION'!$H$9:$H$1208,MATCH($AQ1106,'2_IMPORTAR_EJECUCION'!$J$9:$J$1208,0)),0)-$AI1106))</f>
        <v/>
      </c>
      <c r="AK1106" s="10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2">
        <f>IF($J1107="","",TODAY()-$J1107)</f>
        <v/>
      </c>
      <c r="AB1107" s="12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F$4:$F$339,MATCH($O1107&amp;"|"&amp;$R1107&amp;"|"&amp;$AE1107,'ASIGNACIONES'!$J$4:$J$339,0)),""))=0,"",IFERROR(INDEX('ASIGNACIONES'!$F$4:$F$339,MATCH($O1107&amp;"|"&amp;$R1107&amp;"|"&amp;$AE1107,'ASIGNACIONES'!$J$4:$J$339,0)),"")))</f>
        <v/>
      </c>
      <c r="AG1107" s="13">
        <f>IF($AE1107="","",SUMIFS('ORDENES'!$M$4:$M$1203,'ORDENES'!$AE$4:$AE$1203,$AE1107,'ORDENES'!$O$4:$O$1203,$O1107,'ORDENES'!$R$4:$R$1203,$R1107))</f>
        <v/>
      </c>
      <c r="AH1107" s="13">
        <f>IF($AG1107="","",p_factor_productividad*IFERROR(INDEX('ASIGNACIONES'!$I$4:$I$339,MATCH($O1107&amp;"|"&amp;$R1107&amp;"|"&amp;$AE1107,'ASIGNACIONES'!$J$4:$J$339,0)),0)-$AG1107)</f>
        <v/>
      </c>
      <c r="AI1107" s="10">
        <f>IF($A1107="","",IFERROR(INDEX('2_IMPORTAR_EJECUCION'!$F$9:$F$1208,MATCH($AQ1107,'2_IMPORTAR_EJECUCION'!$J$9:$J$1208,0)),0))</f>
        <v/>
      </c>
      <c r="AJ1107" s="10">
        <f>IF($A1107="","",MAX(0,IFERROR(INDEX('2_IMPORTAR_EJECUCION'!$H$9:$H$1208,MATCH($AQ1107,'2_IMPORTAR_EJECUCION'!$J$9:$J$1208,0)),0)-$AI1107))</f>
        <v/>
      </c>
      <c r="AK1107" s="10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2">
        <f>IF($J1108="","",TODAY()-$J1108)</f>
        <v/>
      </c>
      <c r="AB1108" s="12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F$4:$F$339,MATCH($O1108&amp;"|"&amp;$R1108&amp;"|"&amp;$AE1108,'ASIGNACIONES'!$J$4:$J$339,0)),""))=0,"",IFERROR(INDEX('ASIGNACIONES'!$F$4:$F$339,MATCH($O1108&amp;"|"&amp;$R1108&amp;"|"&amp;$AE1108,'ASIGNACIONES'!$J$4:$J$339,0)),"")))</f>
        <v/>
      </c>
      <c r="AG1108" s="13">
        <f>IF($AE1108="","",SUMIFS('ORDENES'!$M$4:$M$1203,'ORDENES'!$AE$4:$AE$1203,$AE1108,'ORDENES'!$O$4:$O$1203,$O1108,'ORDENES'!$R$4:$R$1203,$R1108))</f>
        <v/>
      </c>
      <c r="AH1108" s="13">
        <f>IF($AG1108="","",p_factor_productividad*IFERROR(INDEX('ASIGNACIONES'!$I$4:$I$339,MATCH($O1108&amp;"|"&amp;$R1108&amp;"|"&amp;$AE1108,'ASIGNACIONES'!$J$4:$J$339,0)),0)-$AG1108)</f>
        <v/>
      </c>
      <c r="AI1108" s="10">
        <f>IF($A1108="","",IFERROR(INDEX('2_IMPORTAR_EJECUCION'!$F$9:$F$1208,MATCH($AQ1108,'2_IMPORTAR_EJECUCION'!$J$9:$J$1208,0)),0))</f>
        <v/>
      </c>
      <c r="AJ1108" s="10">
        <f>IF($A1108="","",MAX(0,IFERROR(INDEX('2_IMPORTAR_EJECUCION'!$H$9:$H$1208,MATCH($AQ1108,'2_IMPORTAR_EJECUCION'!$J$9:$J$1208,0)),0)-$AI1108))</f>
        <v/>
      </c>
      <c r="AK1108" s="10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2">
        <f>IF($J1109="","",TODAY()-$J1109)</f>
        <v/>
      </c>
      <c r="AB1109" s="12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F$4:$F$339,MATCH($O1109&amp;"|"&amp;$R1109&amp;"|"&amp;$AE1109,'ASIGNACIONES'!$J$4:$J$339,0)),""))=0,"",IFERROR(INDEX('ASIGNACIONES'!$F$4:$F$339,MATCH($O1109&amp;"|"&amp;$R1109&amp;"|"&amp;$AE1109,'ASIGNACIONES'!$J$4:$J$339,0)),"")))</f>
        <v/>
      </c>
      <c r="AG1109" s="13">
        <f>IF($AE1109="","",SUMIFS('ORDENES'!$M$4:$M$1203,'ORDENES'!$AE$4:$AE$1203,$AE1109,'ORDENES'!$O$4:$O$1203,$O1109,'ORDENES'!$R$4:$R$1203,$R1109))</f>
        <v/>
      </c>
      <c r="AH1109" s="13">
        <f>IF($AG1109="","",p_factor_productividad*IFERROR(INDEX('ASIGNACIONES'!$I$4:$I$339,MATCH($O1109&amp;"|"&amp;$R1109&amp;"|"&amp;$AE1109,'ASIGNACIONES'!$J$4:$J$339,0)),0)-$AG1109)</f>
        <v/>
      </c>
      <c r="AI1109" s="10">
        <f>IF($A1109="","",IFERROR(INDEX('2_IMPORTAR_EJECUCION'!$F$9:$F$1208,MATCH($AQ1109,'2_IMPORTAR_EJECUCION'!$J$9:$J$1208,0)),0))</f>
        <v/>
      </c>
      <c r="AJ1109" s="10">
        <f>IF($A1109="","",MAX(0,IFERROR(INDEX('2_IMPORTAR_EJECUCION'!$H$9:$H$1208,MATCH($AQ1109,'2_IMPORTAR_EJECUCION'!$J$9:$J$1208,0)),0)-$AI1109))</f>
        <v/>
      </c>
      <c r="AK1109" s="10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2">
        <f>IF($J1110="","",TODAY()-$J1110)</f>
        <v/>
      </c>
      <c r="AB1110" s="12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F$4:$F$339,MATCH($O1110&amp;"|"&amp;$R1110&amp;"|"&amp;$AE1110,'ASIGNACIONES'!$J$4:$J$339,0)),""))=0,"",IFERROR(INDEX('ASIGNACIONES'!$F$4:$F$339,MATCH($O1110&amp;"|"&amp;$R1110&amp;"|"&amp;$AE1110,'ASIGNACIONES'!$J$4:$J$339,0)),"")))</f>
        <v/>
      </c>
      <c r="AG1110" s="13">
        <f>IF($AE1110="","",SUMIFS('ORDENES'!$M$4:$M$1203,'ORDENES'!$AE$4:$AE$1203,$AE1110,'ORDENES'!$O$4:$O$1203,$O1110,'ORDENES'!$R$4:$R$1203,$R1110))</f>
        <v/>
      </c>
      <c r="AH1110" s="13">
        <f>IF($AG1110="","",p_factor_productividad*IFERROR(INDEX('ASIGNACIONES'!$I$4:$I$339,MATCH($O1110&amp;"|"&amp;$R1110&amp;"|"&amp;$AE1110,'ASIGNACIONES'!$J$4:$J$339,0)),0)-$AG1110)</f>
        <v/>
      </c>
      <c r="AI1110" s="10">
        <f>IF($A1110="","",IFERROR(INDEX('2_IMPORTAR_EJECUCION'!$F$9:$F$1208,MATCH($AQ1110,'2_IMPORTAR_EJECUCION'!$J$9:$J$1208,0)),0))</f>
        <v/>
      </c>
      <c r="AJ1110" s="10">
        <f>IF($A1110="","",MAX(0,IFERROR(INDEX('2_IMPORTAR_EJECUCION'!$H$9:$H$1208,MATCH($AQ1110,'2_IMPORTAR_EJECUCION'!$J$9:$J$1208,0)),0)-$AI1110))</f>
        <v/>
      </c>
      <c r="AK1110" s="10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2">
        <f>IF($J1111="","",TODAY()-$J1111)</f>
        <v/>
      </c>
      <c r="AB1111" s="12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F$4:$F$339,MATCH($O1111&amp;"|"&amp;$R1111&amp;"|"&amp;$AE1111,'ASIGNACIONES'!$J$4:$J$339,0)),""))=0,"",IFERROR(INDEX('ASIGNACIONES'!$F$4:$F$339,MATCH($O1111&amp;"|"&amp;$R1111&amp;"|"&amp;$AE1111,'ASIGNACIONES'!$J$4:$J$339,0)),"")))</f>
        <v/>
      </c>
      <c r="AG1111" s="13">
        <f>IF($AE1111="","",SUMIFS('ORDENES'!$M$4:$M$1203,'ORDENES'!$AE$4:$AE$1203,$AE1111,'ORDENES'!$O$4:$O$1203,$O1111,'ORDENES'!$R$4:$R$1203,$R1111))</f>
        <v/>
      </c>
      <c r="AH1111" s="13">
        <f>IF($AG1111="","",p_factor_productividad*IFERROR(INDEX('ASIGNACIONES'!$I$4:$I$339,MATCH($O1111&amp;"|"&amp;$R1111&amp;"|"&amp;$AE1111,'ASIGNACIONES'!$J$4:$J$339,0)),0)-$AG1111)</f>
        <v/>
      </c>
      <c r="AI1111" s="10">
        <f>IF($A1111="","",IFERROR(INDEX('2_IMPORTAR_EJECUCION'!$F$9:$F$1208,MATCH($AQ1111,'2_IMPORTAR_EJECUCION'!$J$9:$J$1208,0)),0))</f>
        <v/>
      </c>
      <c r="AJ1111" s="10">
        <f>IF($A1111="","",MAX(0,IFERROR(INDEX('2_IMPORTAR_EJECUCION'!$H$9:$H$1208,MATCH($AQ1111,'2_IMPORTAR_EJECUCION'!$J$9:$J$1208,0)),0)-$AI1111))</f>
        <v/>
      </c>
      <c r="AK1111" s="10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2">
        <f>IF($J1112="","",TODAY()-$J1112)</f>
        <v/>
      </c>
      <c r="AB1112" s="12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F$4:$F$339,MATCH($O1112&amp;"|"&amp;$R1112&amp;"|"&amp;$AE1112,'ASIGNACIONES'!$J$4:$J$339,0)),""))=0,"",IFERROR(INDEX('ASIGNACIONES'!$F$4:$F$339,MATCH($O1112&amp;"|"&amp;$R1112&amp;"|"&amp;$AE1112,'ASIGNACIONES'!$J$4:$J$339,0)),"")))</f>
        <v/>
      </c>
      <c r="AG1112" s="13">
        <f>IF($AE1112="","",SUMIFS('ORDENES'!$M$4:$M$1203,'ORDENES'!$AE$4:$AE$1203,$AE1112,'ORDENES'!$O$4:$O$1203,$O1112,'ORDENES'!$R$4:$R$1203,$R1112))</f>
        <v/>
      </c>
      <c r="AH1112" s="13">
        <f>IF($AG1112="","",p_factor_productividad*IFERROR(INDEX('ASIGNACIONES'!$I$4:$I$339,MATCH($O1112&amp;"|"&amp;$R1112&amp;"|"&amp;$AE1112,'ASIGNACIONES'!$J$4:$J$339,0)),0)-$AG1112)</f>
        <v/>
      </c>
      <c r="AI1112" s="10">
        <f>IF($A1112="","",IFERROR(INDEX('2_IMPORTAR_EJECUCION'!$F$9:$F$1208,MATCH($AQ1112,'2_IMPORTAR_EJECUCION'!$J$9:$J$1208,0)),0))</f>
        <v/>
      </c>
      <c r="AJ1112" s="10">
        <f>IF($A1112="","",MAX(0,IFERROR(INDEX('2_IMPORTAR_EJECUCION'!$H$9:$H$1208,MATCH($AQ1112,'2_IMPORTAR_EJECUCION'!$J$9:$J$1208,0)),0)-$AI1112))</f>
        <v/>
      </c>
      <c r="AK1112" s="10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2">
        <f>IF($J1113="","",TODAY()-$J1113)</f>
        <v/>
      </c>
      <c r="AB1113" s="12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F$4:$F$339,MATCH($O1113&amp;"|"&amp;$R1113&amp;"|"&amp;$AE1113,'ASIGNACIONES'!$J$4:$J$339,0)),""))=0,"",IFERROR(INDEX('ASIGNACIONES'!$F$4:$F$339,MATCH($O1113&amp;"|"&amp;$R1113&amp;"|"&amp;$AE1113,'ASIGNACIONES'!$J$4:$J$339,0)),"")))</f>
        <v/>
      </c>
      <c r="AG1113" s="13">
        <f>IF($AE1113="","",SUMIFS('ORDENES'!$M$4:$M$1203,'ORDENES'!$AE$4:$AE$1203,$AE1113,'ORDENES'!$O$4:$O$1203,$O1113,'ORDENES'!$R$4:$R$1203,$R1113))</f>
        <v/>
      </c>
      <c r="AH1113" s="13">
        <f>IF($AG1113="","",p_factor_productividad*IFERROR(INDEX('ASIGNACIONES'!$I$4:$I$339,MATCH($O1113&amp;"|"&amp;$R1113&amp;"|"&amp;$AE1113,'ASIGNACIONES'!$J$4:$J$339,0)),0)-$AG1113)</f>
        <v/>
      </c>
      <c r="AI1113" s="10">
        <f>IF($A1113="","",IFERROR(INDEX('2_IMPORTAR_EJECUCION'!$F$9:$F$1208,MATCH($AQ1113,'2_IMPORTAR_EJECUCION'!$J$9:$J$1208,0)),0))</f>
        <v/>
      </c>
      <c r="AJ1113" s="10">
        <f>IF($A1113="","",MAX(0,IFERROR(INDEX('2_IMPORTAR_EJECUCION'!$H$9:$H$1208,MATCH($AQ1113,'2_IMPORTAR_EJECUCION'!$J$9:$J$1208,0)),0)-$AI1113))</f>
        <v/>
      </c>
      <c r="AK1113" s="10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2">
        <f>IF($J1114="","",TODAY()-$J1114)</f>
        <v/>
      </c>
      <c r="AB1114" s="12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F$4:$F$339,MATCH($O1114&amp;"|"&amp;$R1114&amp;"|"&amp;$AE1114,'ASIGNACIONES'!$J$4:$J$339,0)),""))=0,"",IFERROR(INDEX('ASIGNACIONES'!$F$4:$F$339,MATCH($O1114&amp;"|"&amp;$R1114&amp;"|"&amp;$AE1114,'ASIGNACIONES'!$J$4:$J$339,0)),"")))</f>
        <v/>
      </c>
      <c r="AG1114" s="13">
        <f>IF($AE1114="","",SUMIFS('ORDENES'!$M$4:$M$1203,'ORDENES'!$AE$4:$AE$1203,$AE1114,'ORDENES'!$O$4:$O$1203,$O1114,'ORDENES'!$R$4:$R$1203,$R1114))</f>
        <v/>
      </c>
      <c r="AH1114" s="13">
        <f>IF($AG1114="","",p_factor_productividad*IFERROR(INDEX('ASIGNACIONES'!$I$4:$I$339,MATCH($O1114&amp;"|"&amp;$R1114&amp;"|"&amp;$AE1114,'ASIGNACIONES'!$J$4:$J$339,0)),0)-$AG1114)</f>
        <v/>
      </c>
      <c r="AI1114" s="10">
        <f>IF($A1114="","",IFERROR(INDEX('2_IMPORTAR_EJECUCION'!$F$9:$F$1208,MATCH($AQ1114,'2_IMPORTAR_EJECUCION'!$J$9:$J$1208,0)),0))</f>
        <v/>
      </c>
      <c r="AJ1114" s="10">
        <f>IF($A1114="","",MAX(0,IFERROR(INDEX('2_IMPORTAR_EJECUCION'!$H$9:$H$1208,MATCH($AQ1114,'2_IMPORTAR_EJECUCION'!$J$9:$J$1208,0)),0)-$AI1114))</f>
        <v/>
      </c>
      <c r="AK1114" s="10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2">
        <f>IF($J1115="","",TODAY()-$J1115)</f>
        <v/>
      </c>
      <c r="AB1115" s="12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F$4:$F$339,MATCH($O1115&amp;"|"&amp;$R1115&amp;"|"&amp;$AE1115,'ASIGNACIONES'!$J$4:$J$339,0)),""))=0,"",IFERROR(INDEX('ASIGNACIONES'!$F$4:$F$339,MATCH($O1115&amp;"|"&amp;$R1115&amp;"|"&amp;$AE1115,'ASIGNACIONES'!$J$4:$J$339,0)),"")))</f>
        <v/>
      </c>
      <c r="AG1115" s="13">
        <f>IF($AE1115="","",SUMIFS('ORDENES'!$M$4:$M$1203,'ORDENES'!$AE$4:$AE$1203,$AE1115,'ORDENES'!$O$4:$O$1203,$O1115,'ORDENES'!$R$4:$R$1203,$R1115))</f>
        <v/>
      </c>
      <c r="AH1115" s="13">
        <f>IF($AG1115="","",p_factor_productividad*IFERROR(INDEX('ASIGNACIONES'!$I$4:$I$339,MATCH($O1115&amp;"|"&amp;$R1115&amp;"|"&amp;$AE1115,'ASIGNACIONES'!$J$4:$J$339,0)),0)-$AG1115)</f>
        <v/>
      </c>
      <c r="AI1115" s="10">
        <f>IF($A1115="","",IFERROR(INDEX('2_IMPORTAR_EJECUCION'!$F$9:$F$1208,MATCH($AQ1115,'2_IMPORTAR_EJECUCION'!$J$9:$J$1208,0)),0))</f>
        <v/>
      </c>
      <c r="AJ1115" s="10">
        <f>IF($A1115="","",MAX(0,IFERROR(INDEX('2_IMPORTAR_EJECUCION'!$H$9:$H$1208,MATCH($AQ1115,'2_IMPORTAR_EJECUCION'!$J$9:$J$1208,0)),0)-$AI1115))</f>
        <v/>
      </c>
      <c r="AK1115" s="10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2">
        <f>IF($J1116="","",TODAY()-$J1116)</f>
        <v/>
      </c>
      <c r="AB1116" s="12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F$4:$F$339,MATCH($O1116&amp;"|"&amp;$R1116&amp;"|"&amp;$AE1116,'ASIGNACIONES'!$J$4:$J$339,0)),""))=0,"",IFERROR(INDEX('ASIGNACIONES'!$F$4:$F$339,MATCH($O1116&amp;"|"&amp;$R1116&amp;"|"&amp;$AE1116,'ASIGNACIONES'!$J$4:$J$339,0)),"")))</f>
        <v/>
      </c>
      <c r="AG1116" s="13">
        <f>IF($AE1116="","",SUMIFS('ORDENES'!$M$4:$M$1203,'ORDENES'!$AE$4:$AE$1203,$AE1116,'ORDENES'!$O$4:$O$1203,$O1116,'ORDENES'!$R$4:$R$1203,$R1116))</f>
        <v/>
      </c>
      <c r="AH1116" s="13">
        <f>IF($AG1116="","",p_factor_productividad*IFERROR(INDEX('ASIGNACIONES'!$I$4:$I$339,MATCH($O1116&amp;"|"&amp;$R1116&amp;"|"&amp;$AE1116,'ASIGNACIONES'!$J$4:$J$339,0)),0)-$AG1116)</f>
        <v/>
      </c>
      <c r="AI1116" s="10">
        <f>IF($A1116="","",IFERROR(INDEX('2_IMPORTAR_EJECUCION'!$F$9:$F$1208,MATCH($AQ1116,'2_IMPORTAR_EJECUCION'!$J$9:$J$1208,0)),0))</f>
        <v/>
      </c>
      <c r="AJ1116" s="10">
        <f>IF($A1116="","",MAX(0,IFERROR(INDEX('2_IMPORTAR_EJECUCION'!$H$9:$H$1208,MATCH($AQ1116,'2_IMPORTAR_EJECUCION'!$J$9:$J$1208,0)),0)-$AI1116))</f>
        <v/>
      </c>
      <c r="AK1116" s="10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2">
        <f>IF($J1117="","",TODAY()-$J1117)</f>
        <v/>
      </c>
      <c r="AB1117" s="12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F$4:$F$339,MATCH($O1117&amp;"|"&amp;$R1117&amp;"|"&amp;$AE1117,'ASIGNACIONES'!$J$4:$J$339,0)),""))=0,"",IFERROR(INDEX('ASIGNACIONES'!$F$4:$F$339,MATCH($O1117&amp;"|"&amp;$R1117&amp;"|"&amp;$AE1117,'ASIGNACIONES'!$J$4:$J$339,0)),"")))</f>
        <v/>
      </c>
      <c r="AG1117" s="13">
        <f>IF($AE1117="","",SUMIFS('ORDENES'!$M$4:$M$1203,'ORDENES'!$AE$4:$AE$1203,$AE1117,'ORDENES'!$O$4:$O$1203,$O1117,'ORDENES'!$R$4:$R$1203,$R1117))</f>
        <v/>
      </c>
      <c r="AH1117" s="13">
        <f>IF($AG1117="","",p_factor_productividad*IFERROR(INDEX('ASIGNACIONES'!$I$4:$I$339,MATCH($O1117&amp;"|"&amp;$R1117&amp;"|"&amp;$AE1117,'ASIGNACIONES'!$J$4:$J$339,0)),0)-$AG1117)</f>
        <v/>
      </c>
      <c r="AI1117" s="10">
        <f>IF($A1117="","",IFERROR(INDEX('2_IMPORTAR_EJECUCION'!$F$9:$F$1208,MATCH($AQ1117,'2_IMPORTAR_EJECUCION'!$J$9:$J$1208,0)),0))</f>
        <v/>
      </c>
      <c r="AJ1117" s="10">
        <f>IF($A1117="","",MAX(0,IFERROR(INDEX('2_IMPORTAR_EJECUCION'!$H$9:$H$1208,MATCH($AQ1117,'2_IMPORTAR_EJECUCION'!$J$9:$J$1208,0)),0)-$AI1117))</f>
        <v/>
      </c>
      <c r="AK1117" s="10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2">
        <f>IF($J1118="","",TODAY()-$J1118)</f>
        <v/>
      </c>
      <c r="AB1118" s="12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F$4:$F$339,MATCH($O1118&amp;"|"&amp;$R1118&amp;"|"&amp;$AE1118,'ASIGNACIONES'!$J$4:$J$339,0)),""))=0,"",IFERROR(INDEX('ASIGNACIONES'!$F$4:$F$339,MATCH($O1118&amp;"|"&amp;$R1118&amp;"|"&amp;$AE1118,'ASIGNACIONES'!$J$4:$J$339,0)),"")))</f>
        <v/>
      </c>
      <c r="AG1118" s="13">
        <f>IF($AE1118="","",SUMIFS('ORDENES'!$M$4:$M$1203,'ORDENES'!$AE$4:$AE$1203,$AE1118,'ORDENES'!$O$4:$O$1203,$O1118,'ORDENES'!$R$4:$R$1203,$R1118))</f>
        <v/>
      </c>
      <c r="AH1118" s="13">
        <f>IF($AG1118="","",p_factor_productividad*IFERROR(INDEX('ASIGNACIONES'!$I$4:$I$339,MATCH($O1118&amp;"|"&amp;$R1118&amp;"|"&amp;$AE1118,'ASIGNACIONES'!$J$4:$J$339,0)),0)-$AG1118)</f>
        <v/>
      </c>
      <c r="AI1118" s="10">
        <f>IF($A1118="","",IFERROR(INDEX('2_IMPORTAR_EJECUCION'!$F$9:$F$1208,MATCH($AQ1118,'2_IMPORTAR_EJECUCION'!$J$9:$J$1208,0)),0))</f>
        <v/>
      </c>
      <c r="AJ1118" s="10">
        <f>IF($A1118="","",MAX(0,IFERROR(INDEX('2_IMPORTAR_EJECUCION'!$H$9:$H$1208,MATCH($AQ1118,'2_IMPORTAR_EJECUCION'!$J$9:$J$1208,0)),0)-$AI1118))</f>
        <v/>
      </c>
      <c r="AK1118" s="10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2">
        <f>IF($J1119="","",TODAY()-$J1119)</f>
        <v/>
      </c>
      <c r="AB1119" s="12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F$4:$F$339,MATCH($O1119&amp;"|"&amp;$R1119&amp;"|"&amp;$AE1119,'ASIGNACIONES'!$J$4:$J$339,0)),""))=0,"",IFERROR(INDEX('ASIGNACIONES'!$F$4:$F$339,MATCH($O1119&amp;"|"&amp;$R1119&amp;"|"&amp;$AE1119,'ASIGNACIONES'!$J$4:$J$339,0)),"")))</f>
        <v/>
      </c>
      <c r="AG1119" s="13">
        <f>IF($AE1119="","",SUMIFS('ORDENES'!$M$4:$M$1203,'ORDENES'!$AE$4:$AE$1203,$AE1119,'ORDENES'!$O$4:$O$1203,$O1119,'ORDENES'!$R$4:$R$1203,$R1119))</f>
        <v/>
      </c>
      <c r="AH1119" s="13">
        <f>IF($AG1119="","",p_factor_productividad*IFERROR(INDEX('ASIGNACIONES'!$I$4:$I$339,MATCH($O1119&amp;"|"&amp;$R1119&amp;"|"&amp;$AE1119,'ASIGNACIONES'!$J$4:$J$339,0)),0)-$AG1119)</f>
        <v/>
      </c>
      <c r="AI1119" s="10">
        <f>IF($A1119="","",IFERROR(INDEX('2_IMPORTAR_EJECUCION'!$F$9:$F$1208,MATCH($AQ1119,'2_IMPORTAR_EJECUCION'!$J$9:$J$1208,0)),0))</f>
        <v/>
      </c>
      <c r="AJ1119" s="10">
        <f>IF($A1119="","",MAX(0,IFERROR(INDEX('2_IMPORTAR_EJECUCION'!$H$9:$H$1208,MATCH($AQ1119,'2_IMPORTAR_EJECUCION'!$J$9:$J$1208,0)),0)-$AI1119))</f>
        <v/>
      </c>
      <c r="AK1119" s="10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2">
        <f>IF($J1120="","",TODAY()-$J1120)</f>
        <v/>
      </c>
      <c r="AB1120" s="12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F$4:$F$339,MATCH($O1120&amp;"|"&amp;$R1120&amp;"|"&amp;$AE1120,'ASIGNACIONES'!$J$4:$J$339,0)),""))=0,"",IFERROR(INDEX('ASIGNACIONES'!$F$4:$F$339,MATCH($O1120&amp;"|"&amp;$R1120&amp;"|"&amp;$AE1120,'ASIGNACIONES'!$J$4:$J$339,0)),"")))</f>
        <v/>
      </c>
      <c r="AG1120" s="13">
        <f>IF($AE1120="","",SUMIFS('ORDENES'!$M$4:$M$1203,'ORDENES'!$AE$4:$AE$1203,$AE1120,'ORDENES'!$O$4:$O$1203,$O1120,'ORDENES'!$R$4:$R$1203,$R1120))</f>
        <v/>
      </c>
      <c r="AH1120" s="13">
        <f>IF($AG1120="","",p_factor_productividad*IFERROR(INDEX('ASIGNACIONES'!$I$4:$I$339,MATCH($O1120&amp;"|"&amp;$R1120&amp;"|"&amp;$AE1120,'ASIGNACIONES'!$J$4:$J$339,0)),0)-$AG1120)</f>
        <v/>
      </c>
      <c r="AI1120" s="10">
        <f>IF($A1120="","",IFERROR(INDEX('2_IMPORTAR_EJECUCION'!$F$9:$F$1208,MATCH($AQ1120,'2_IMPORTAR_EJECUCION'!$J$9:$J$1208,0)),0))</f>
        <v/>
      </c>
      <c r="AJ1120" s="10">
        <f>IF($A1120="","",MAX(0,IFERROR(INDEX('2_IMPORTAR_EJECUCION'!$H$9:$H$1208,MATCH($AQ1120,'2_IMPORTAR_EJECUCION'!$J$9:$J$1208,0)),0)-$AI1120))</f>
        <v/>
      </c>
      <c r="AK1120" s="10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2">
        <f>IF($J1121="","",TODAY()-$J1121)</f>
        <v/>
      </c>
      <c r="AB1121" s="12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F$4:$F$339,MATCH($O1121&amp;"|"&amp;$R1121&amp;"|"&amp;$AE1121,'ASIGNACIONES'!$J$4:$J$339,0)),""))=0,"",IFERROR(INDEX('ASIGNACIONES'!$F$4:$F$339,MATCH($O1121&amp;"|"&amp;$R1121&amp;"|"&amp;$AE1121,'ASIGNACIONES'!$J$4:$J$339,0)),"")))</f>
        <v/>
      </c>
      <c r="AG1121" s="13">
        <f>IF($AE1121="","",SUMIFS('ORDENES'!$M$4:$M$1203,'ORDENES'!$AE$4:$AE$1203,$AE1121,'ORDENES'!$O$4:$O$1203,$O1121,'ORDENES'!$R$4:$R$1203,$R1121))</f>
        <v/>
      </c>
      <c r="AH1121" s="13">
        <f>IF($AG1121="","",p_factor_productividad*IFERROR(INDEX('ASIGNACIONES'!$I$4:$I$339,MATCH($O1121&amp;"|"&amp;$R1121&amp;"|"&amp;$AE1121,'ASIGNACIONES'!$J$4:$J$339,0)),0)-$AG1121)</f>
        <v/>
      </c>
      <c r="AI1121" s="10">
        <f>IF($A1121="","",IFERROR(INDEX('2_IMPORTAR_EJECUCION'!$F$9:$F$1208,MATCH($AQ1121,'2_IMPORTAR_EJECUCION'!$J$9:$J$1208,0)),0))</f>
        <v/>
      </c>
      <c r="AJ1121" s="10">
        <f>IF($A1121="","",MAX(0,IFERROR(INDEX('2_IMPORTAR_EJECUCION'!$H$9:$H$1208,MATCH($AQ1121,'2_IMPORTAR_EJECUCION'!$J$9:$J$1208,0)),0)-$AI1121))</f>
        <v/>
      </c>
      <c r="AK1121" s="10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2">
        <f>IF($J1122="","",TODAY()-$J1122)</f>
        <v/>
      </c>
      <c r="AB1122" s="12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F$4:$F$339,MATCH($O1122&amp;"|"&amp;$R1122&amp;"|"&amp;$AE1122,'ASIGNACIONES'!$J$4:$J$339,0)),""))=0,"",IFERROR(INDEX('ASIGNACIONES'!$F$4:$F$339,MATCH($O1122&amp;"|"&amp;$R1122&amp;"|"&amp;$AE1122,'ASIGNACIONES'!$J$4:$J$339,0)),"")))</f>
        <v/>
      </c>
      <c r="AG1122" s="13">
        <f>IF($AE1122="","",SUMIFS('ORDENES'!$M$4:$M$1203,'ORDENES'!$AE$4:$AE$1203,$AE1122,'ORDENES'!$O$4:$O$1203,$O1122,'ORDENES'!$R$4:$R$1203,$R1122))</f>
        <v/>
      </c>
      <c r="AH1122" s="13">
        <f>IF($AG1122="","",p_factor_productividad*IFERROR(INDEX('ASIGNACIONES'!$I$4:$I$339,MATCH($O1122&amp;"|"&amp;$R1122&amp;"|"&amp;$AE1122,'ASIGNACIONES'!$J$4:$J$339,0)),0)-$AG1122)</f>
        <v/>
      </c>
      <c r="AI1122" s="10">
        <f>IF($A1122="","",IFERROR(INDEX('2_IMPORTAR_EJECUCION'!$F$9:$F$1208,MATCH($AQ1122,'2_IMPORTAR_EJECUCION'!$J$9:$J$1208,0)),0))</f>
        <v/>
      </c>
      <c r="AJ1122" s="10">
        <f>IF($A1122="","",MAX(0,IFERROR(INDEX('2_IMPORTAR_EJECUCION'!$H$9:$H$1208,MATCH($AQ1122,'2_IMPORTAR_EJECUCION'!$J$9:$J$1208,0)),0)-$AI1122))</f>
        <v/>
      </c>
      <c r="AK1122" s="10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2">
        <f>IF($J1123="","",TODAY()-$J1123)</f>
        <v/>
      </c>
      <c r="AB1123" s="12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F$4:$F$339,MATCH($O1123&amp;"|"&amp;$R1123&amp;"|"&amp;$AE1123,'ASIGNACIONES'!$J$4:$J$339,0)),""))=0,"",IFERROR(INDEX('ASIGNACIONES'!$F$4:$F$339,MATCH($O1123&amp;"|"&amp;$R1123&amp;"|"&amp;$AE1123,'ASIGNACIONES'!$J$4:$J$339,0)),"")))</f>
        <v/>
      </c>
      <c r="AG1123" s="13">
        <f>IF($AE1123="","",SUMIFS('ORDENES'!$M$4:$M$1203,'ORDENES'!$AE$4:$AE$1203,$AE1123,'ORDENES'!$O$4:$O$1203,$O1123,'ORDENES'!$R$4:$R$1203,$R1123))</f>
        <v/>
      </c>
      <c r="AH1123" s="13">
        <f>IF($AG1123="","",p_factor_productividad*IFERROR(INDEX('ASIGNACIONES'!$I$4:$I$339,MATCH($O1123&amp;"|"&amp;$R1123&amp;"|"&amp;$AE1123,'ASIGNACIONES'!$J$4:$J$339,0)),0)-$AG1123)</f>
        <v/>
      </c>
      <c r="AI1123" s="10">
        <f>IF($A1123="","",IFERROR(INDEX('2_IMPORTAR_EJECUCION'!$F$9:$F$1208,MATCH($AQ1123,'2_IMPORTAR_EJECUCION'!$J$9:$J$1208,0)),0))</f>
        <v/>
      </c>
      <c r="AJ1123" s="10">
        <f>IF($A1123="","",MAX(0,IFERROR(INDEX('2_IMPORTAR_EJECUCION'!$H$9:$H$1208,MATCH($AQ1123,'2_IMPORTAR_EJECUCION'!$J$9:$J$1208,0)),0)-$AI1123))</f>
        <v/>
      </c>
      <c r="AK1123" s="10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2">
        <f>IF($J1124="","",TODAY()-$J1124)</f>
        <v/>
      </c>
      <c r="AB1124" s="12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F$4:$F$339,MATCH($O1124&amp;"|"&amp;$R1124&amp;"|"&amp;$AE1124,'ASIGNACIONES'!$J$4:$J$339,0)),""))=0,"",IFERROR(INDEX('ASIGNACIONES'!$F$4:$F$339,MATCH($O1124&amp;"|"&amp;$R1124&amp;"|"&amp;$AE1124,'ASIGNACIONES'!$J$4:$J$339,0)),"")))</f>
        <v/>
      </c>
      <c r="AG1124" s="13">
        <f>IF($AE1124="","",SUMIFS('ORDENES'!$M$4:$M$1203,'ORDENES'!$AE$4:$AE$1203,$AE1124,'ORDENES'!$O$4:$O$1203,$O1124,'ORDENES'!$R$4:$R$1203,$R1124))</f>
        <v/>
      </c>
      <c r="AH1124" s="13">
        <f>IF($AG1124="","",p_factor_productividad*IFERROR(INDEX('ASIGNACIONES'!$I$4:$I$339,MATCH($O1124&amp;"|"&amp;$R1124&amp;"|"&amp;$AE1124,'ASIGNACIONES'!$J$4:$J$339,0)),0)-$AG1124)</f>
        <v/>
      </c>
      <c r="AI1124" s="10">
        <f>IF($A1124="","",IFERROR(INDEX('2_IMPORTAR_EJECUCION'!$F$9:$F$1208,MATCH($AQ1124,'2_IMPORTAR_EJECUCION'!$J$9:$J$1208,0)),0))</f>
        <v/>
      </c>
      <c r="AJ1124" s="10">
        <f>IF($A1124="","",MAX(0,IFERROR(INDEX('2_IMPORTAR_EJECUCION'!$H$9:$H$1208,MATCH($AQ1124,'2_IMPORTAR_EJECUCION'!$J$9:$J$1208,0)),0)-$AI1124))</f>
        <v/>
      </c>
      <c r="AK1124" s="10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2">
        <f>IF($J1125="","",TODAY()-$J1125)</f>
        <v/>
      </c>
      <c r="AB1125" s="12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F$4:$F$339,MATCH($O1125&amp;"|"&amp;$R1125&amp;"|"&amp;$AE1125,'ASIGNACIONES'!$J$4:$J$339,0)),""))=0,"",IFERROR(INDEX('ASIGNACIONES'!$F$4:$F$339,MATCH($O1125&amp;"|"&amp;$R1125&amp;"|"&amp;$AE1125,'ASIGNACIONES'!$J$4:$J$339,0)),"")))</f>
        <v/>
      </c>
      <c r="AG1125" s="13">
        <f>IF($AE1125="","",SUMIFS('ORDENES'!$M$4:$M$1203,'ORDENES'!$AE$4:$AE$1203,$AE1125,'ORDENES'!$O$4:$O$1203,$O1125,'ORDENES'!$R$4:$R$1203,$R1125))</f>
        <v/>
      </c>
      <c r="AH1125" s="13">
        <f>IF($AG1125="","",p_factor_productividad*IFERROR(INDEX('ASIGNACIONES'!$I$4:$I$339,MATCH($O1125&amp;"|"&amp;$R1125&amp;"|"&amp;$AE1125,'ASIGNACIONES'!$J$4:$J$339,0)),0)-$AG1125)</f>
        <v/>
      </c>
      <c r="AI1125" s="10">
        <f>IF($A1125="","",IFERROR(INDEX('2_IMPORTAR_EJECUCION'!$F$9:$F$1208,MATCH($AQ1125,'2_IMPORTAR_EJECUCION'!$J$9:$J$1208,0)),0))</f>
        <v/>
      </c>
      <c r="AJ1125" s="10">
        <f>IF($A1125="","",MAX(0,IFERROR(INDEX('2_IMPORTAR_EJECUCION'!$H$9:$H$1208,MATCH($AQ1125,'2_IMPORTAR_EJECUCION'!$J$9:$J$1208,0)),0)-$AI1125))</f>
        <v/>
      </c>
      <c r="AK1125" s="10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2">
        <f>IF($J1126="","",TODAY()-$J1126)</f>
        <v/>
      </c>
      <c r="AB1126" s="12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F$4:$F$339,MATCH($O1126&amp;"|"&amp;$R1126&amp;"|"&amp;$AE1126,'ASIGNACIONES'!$J$4:$J$339,0)),""))=0,"",IFERROR(INDEX('ASIGNACIONES'!$F$4:$F$339,MATCH($O1126&amp;"|"&amp;$R1126&amp;"|"&amp;$AE1126,'ASIGNACIONES'!$J$4:$J$339,0)),"")))</f>
        <v/>
      </c>
      <c r="AG1126" s="13">
        <f>IF($AE1126="","",SUMIFS('ORDENES'!$M$4:$M$1203,'ORDENES'!$AE$4:$AE$1203,$AE1126,'ORDENES'!$O$4:$O$1203,$O1126,'ORDENES'!$R$4:$R$1203,$R1126))</f>
        <v/>
      </c>
      <c r="AH1126" s="13">
        <f>IF($AG1126="","",p_factor_productividad*IFERROR(INDEX('ASIGNACIONES'!$I$4:$I$339,MATCH($O1126&amp;"|"&amp;$R1126&amp;"|"&amp;$AE1126,'ASIGNACIONES'!$J$4:$J$339,0)),0)-$AG1126)</f>
        <v/>
      </c>
      <c r="AI1126" s="10">
        <f>IF($A1126="","",IFERROR(INDEX('2_IMPORTAR_EJECUCION'!$F$9:$F$1208,MATCH($AQ1126,'2_IMPORTAR_EJECUCION'!$J$9:$J$1208,0)),0))</f>
        <v/>
      </c>
      <c r="AJ1126" s="10">
        <f>IF($A1126="","",MAX(0,IFERROR(INDEX('2_IMPORTAR_EJECUCION'!$H$9:$H$1208,MATCH($AQ1126,'2_IMPORTAR_EJECUCION'!$J$9:$J$1208,0)),0)-$AI1126))</f>
        <v/>
      </c>
      <c r="AK1126" s="10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2">
        <f>IF($J1127="","",TODAY()-$J1127)</f>
        <v/>
      </c>
      <c r="AB1127" s="12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F$4:$F$339,MATCH($O1127&amp;"|"&amp;$R1127&amp;"|"&amp;$AE1127,'ASIGNACIONES'!$J$4:$J$339,0)),""))=0,"",IFERROR(INDEX('ASIGNACIONES'!$F$4:$F$339,MATCH($O1127&amp;"|"&amp;$R1127&amp;"|"&amp;$AE1127,'ASIGNACIONES'!$J$4:$J$339,0)),"")))</f>
        <v/>
      </c>
      <c r="AG1127" s="13">
        <f>IF($AE1127="","",SUMIFS('ORDENES'!$M$4:$M$1203,'ORDENES'!$AE$4:$AE$1203,$AE1127,'ORDENES'!$O$4:$O$1203,$O1127,'ORDENES'!$R$4:$R$1203,$R1127))</f>
        <v/>
      </c>
      <c r="AH1127" s="13">
        <f>IF($AG1127="","",p_factor_productividad*IFERROR(INDEX('ASIGNACIONES'!$I$4:$I$339,MATCH($O1127&amp;"|"&amp;$R1127&amp;"|"&amp;$AE1127,'ASIGNACIONES'!$J$4:$J$339,0)),0)-$AG1127)</f>
        <v/>
      </c>
      <c r="AI1127" s="10">
        <f>IF($A1127="","",IFERROR(INDEX('2_IMPORTAR_EJECUCION'!$F$9:$F$1208,MATCH($AQ1127,'2_IMPORTAR_EJECUCION'!$J$9:$J$1208,0)),0))</f>
        <v/>
      </c>
      <c r="AJ1127" s="10">
        <f>IF($A1127="","",MAX(0,IFERROR(INDEX('2_IMPORTAR_EJECUCION'!$H$9:$H$1208,MATCH($AQ1127,'2_IMPORTAR_EJECUCION'!$J$9:$J$1208,0)),0)-$AI1127))</f>
        <v/>
      </c>
      <c r="AK1127" s="10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2">
        <f>IF($J1128="","",TODAY()-$J1128)</f>
        <v/>
      </c>
      <c r="AB1128" s="12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F$4:$F$339,MATCH($O1128&amp;"|"&amp;$R1128&amp;"|"&amp;$AE1128,'ASIGNACIONES'!$J$4:$J$339,0)),""))=0,"",IFERROR(INDEX('ASIGNACIONES'!$F$4:$F$339,MATCH($O1128&amp;"|"&amp;$R1128&amp;"|"&amp;$AE1128,'ASIGNACIONES'!$J$4:$J$339,0)),"")))</f>
        <v/>
      </c>
      <c r="AG1128" s="13">
        <f>IF($AE1128="","",SUMIFS('ORDENES'!$M$4:$M$1203,'ORDENES'!$AE$4:$AE$1203,$AE1128,'ORDENES'!$O$4:$O$1203,$O1128,'ORDENES'!$R$4:$R$1203,$R1128))</f>
        <v/>
      </c>
      <c r="AH1128" s="13">
        <f>IF($AG1128="","",p_factor_productividad*IFERROR(INDEX('ASIGNACIONES'!$I$4:$I$339,MATCH($O1128&amp;"|"&amp;$R1128&amp;"|"&amp;$AE1128,'ASIGNACIONES'!$J$4:$J$339,0)),0)-$AG1128)</f>
        <v/>
      </c>
      <c r="AI1128" s="10">
        <f>IF($A1128="","",IFERROR(INDEX('2_IMPORTAR_EJECUCION'!$F$9:$F$1208,MATCH($AQ1128,'2_IMPORTAR_EJECUCION'!$J$9:$J$1208,0)),0))</f>
        <v/>
      </c>
      <c r="AJ1128" s="10">
        <f>IF($A1128="","",MAX(0,IFERROR(INDEX('2_IMPORTAR_EJECUCION'!$H$9:$H$1208,MATCH($AQ1128,'2_IMPORTAR_EJECUCION'!$J$9:$J$1208,0)),0)-$AI1128))</f>
        <v/>
      </c>
      <c r="AK1128" s="10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2">
        <f>IF($J1129="","",TODAY()-$J1129)</f>
        <v/>
      </c>
      <c r="AB1129" s="12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F$4:$F$339,MATCH($O1129&amp;"|"&amp;$R1129&amp;"|"&amp;$AE1129,'ASIGNACIONES'!$J$4:$J$339,0)),""))=0,"",IFERROR(INDEX('ASIGNACIONES'!$F$4:$F$339,MATCH($O1129&amp;"|"&amp;$R1129&amp;"|"&amp;$AE1129,'ASIGNACIONES'!$J$4:$J$339,0)),"")))</f>
        <v/>
      </c>
      <c r="AG1129" s="13">
        <f>IF($AE1129="","",SUMIFS('ORDENES'!$M$4:$M$1203,'ORDENES'!$AE$4:$AE$1203,$AE1129,'ORDENES'!$O$4:$O$1203,$O1129,'ORDENES'!$R$4:$R$1203,$R1129))</f>
        <v/>
      </c>
      <c r="AH1129" s="13">
        <f>IF($AG1129="","",p_factor_productividad*IFERROR(INDEX('ASIGNACIONES'!$I$4:$I$339,MATCH($O1129&amp;"|"&amp;$R1129&amp;"|"&amp;$AE1129,'ASIGNACIONES'!$J$4:$J$339,0)),0)-$AG1129)</f>
        <v/>
      </c>
      <c r="AI1129" s="10">
        <f>IF($A1129="","",IFERROR(INDEX('2_IMPORTAR_EJECUCION'!$F$9:$F$1208,MATCH($AQ1129,'2_IMPORTAR_EJECUCION'!$J$9:$J$1208,0)),0))</f>
        <v/>
      </c>
      <c r="AJ1129" s="10">
        <f>IF($A1129="","",MAX(0,IFERROR(INDEX('2_IMPORTAR_EJECUCION'!$H$9:$H$1208,MATCH($AQ1129,'2_IMPORTAR_EJECUCION'!$J$9:$J$1208,0)),0)-$AI1129))</f>
        <v/>
      </c>
      <c r="AK1129" s="10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2">
        <f>IF($J1130="","",TODAY()-$J1130)</f>
        <v/>
      </c>
      <c r="AB1130" s="12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F$4:$F$339,MATCH($O1130&amp;"|"&amp;$R1130&amp;"|"&amp;$AE1130,'ASIGNACIONES'!$J$4:$J$339,0)),""))=0,"",IFERROR(INDEX('ASIGNACIONES'!$F$4:$F$339,MATCH($O1130&amp;"|"&amp;$R1130&amp;"|"&amp;$AE1130,'ASIGNACIONES'!$J$4:$J$339,0)),"")))</f>
        <v/>
      </c>
      <c r="AG1130" s="13">
        <f>IF($AE1130="","",SUMIFS('ORDENES'!$M$4:$M$1203,'ORDENES'!$AE$4:$AE$1203,$AE1130,'ORDENES'!$O$4:$O$1203,$O1130,'ORDENES'!$R$4:$R$1203,$R1130))</f>
        <v/>
      </c>
      <c r="AH1130" s="13">
        <f>IF($AG1130="","",p_factor_productividad*IFERROR(INDEX('ASIGNACIONES'!$I$4:$I$339,MATCH($O1130&amp;"|"&amp;$R1130&amp;"|"&amp;$AE1130,'ASIGNACIONES'!$J$4:$J$339,0)),0)-$AG1130)</f>
        <v/>
      </c>
      <c r="AI1130" s="10">
        <f>IF($A1130="","",IFERROR(INDEX('2_IMPORTAR_EJECUCION'!$F$9:$F$1208,MATCH($AQ1130,'2_IMPORTAR_EJECUCION'!$J$9:$J$1208,0)),0))</f>
        <v/>
      </c>
      <c r="AJ1130" s="10">
        <f>IF($A1130="","",MAX(0,IFERROR(INDEX('2_IMPORTAR_EJECUCION'!$H$9:$H$1208,MATCH($AQ1130,'2_IMPORTAR_EJECUCION'!$J$9:$J$1208,0)),0)-$AI1130))</f>
        <v/>
      </c>
      <c r="AK1130" s="10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2">
        <f>IF($J1131="","",TODAY()-$J1131)</f>
        <v/>
      </c>
      <c r="AB1131" s="12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F$4:$F$339,MATCH($O1131&amp;"|"&amp;$R1131&amp;"|"&amp;$AE1131,'ASIGNACIONES'!$J$4:$J$339,0)),""))=0,"",IFERROR(INDEX('ASIGNACIONES'!$F$4:$F$339,MATCH($O1131&amp;"|"&amp;$R1131&amp;"|"&amp;$AE1131,'ASIGNACIONES'!$J$4:$J$339,0)),"")))</f>
        <v/>
      </c>
      <c r="AG1131" s="13">
        <f>IF($AE1131="","",SUMIFS('ORDENES'!$M$4:$M$1203,'ORDENES'!$AE$4:$AE$1203,$AE1131,'ORDENES'!$O$4:$O$1203,$O1131,'ORDENES'!$R$4:$R$1203,$R1131))</f>
        <v/>
      </c>
      <c r="AH1131" s="13">
        <f>IF($AG1131="","",p_factor_productividad*IFERROR(INDEX('ASIGNACIONES'!$I$4:$I$339,MATCH($O1131&amp;"|"&amp;$R1131&amp;"|"&amp;$AE1131,'ASIGNACIONES'!$J$4:$J$339,0)),0)-$AG1131)</f>
        <v/>
      </c>
      <c r="AI1131" s="10">
        <f>IF($A1131="","",IFERROR(INDEX('2_IMPORTAR_EJECUCION'!$F$9:$F$1208,MATCH($AQ1131,'2_IMPORTAR_EJECUCION'!$J$9:$J$1208,0)),0))</f>
        <v/>
      </c>
      <c r="AJ1131" s="10">
        <f>IF($A1131="","",MAX(0,IFERROR(INDEX('2_IMPORTAR_EJECUCION'!$H$9:$H$1208,MATCH($AQ1131,'2_IMPORTAR_EJECUCION'!$J$9:$J$1208,0)),0)-$AI1131))</f>
        <v/>
      </c>
      <c r="AK1131" s="10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2">
        <f>IF($J1132="","",TODAY()-$J1132)</f>
        <v/>
      </c>
      <c r="AB1132" s="12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F$4:$F$339,MATCH($O1132&amp;"|"&amp;$R1132&amp;"|"&amp;$AE1132,'ASIGNACIONES'!$J$4:$J$339,0)),""))=0,"",IFERROR(INDEX('ASIGNACIONES'!$F$4:$F$339,MATCH($O1132&amp;"|"&amp;$R1132&amp;"|"&amp;$AE1132,'ASIGNACIONES'!$J$4:$J$339,0)),"")))</f>
        <v/>
      </c>
      <c r="AG1132" s="13">
        <f>IF($AE1132="","",SUMIFS('ORDENES'!$M$4:$M$1203,'ORDENES'!$AE$4:$AE$1203,$AE1132,'ORDENES'!$O$4:$O$1203,$O1132,'ORDENES'!$R$4:$R$1203,$R1132))</f>
        <v/>
      </c>
      <c r="AH1132" s="13">
        <f>IF($AG1132="","",p_factor_productividad*IFERROR(INDEX('ASIGNACIONES'!$I$4:$I$339,MATCH($O1132&amp;"|"&amp;$R1132&amp;"|"&amp;$AE1132,'ASIGNACIONES'!$J$4:$J$339,0)),0)-$AG1132)</f>
        <v/>
      </c>
      <c r="AI1132" s="10">
        <f>IF($A1132="","",IFERROR(INDEX('2_IMPORTAR_EJECUCION'!$F$9:$F$1208,MATCH($AQ1132,'2_IMPORTAR_EJECUCION'!$J$9:$J$1208,0)),0))</f>
        <v/>
      </c>
      <c r="AJ1132" s="10">
        <f>IF($A1132="","",MAX(0,IFERROR(INDEX('2_IMPORTAR_EJECUCION'!$H$9:$H$1208,MATCH($AQ1132,'2_IMPORTAR_EJECUCION'!$J$9:$J$1208,0)),0)-$AI1132))</f>
        <v/>
      </c>
      <c r="AK1132" s="10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2">
        <f>IF($J1133="","",TODAY()-$J1133)</f>
        <v/>
      </c>
      <c r="AB1133" s="12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F$4:$F$339,MATCH($O1133&amp;"|"&amp;$R1133&amp;"|"&amp;$AE1133,'ASIGNACIONES'!$J$4:$J$339,0)),""))=0,"",IFERROR(INDEX('ASIGNACIONES'!$F$4:$F$339,MATCH($O1133&amp;"|"&amp;$R1133&amp;"|"&amp;$AE1133,'ASIGNACIONES'!$J$4:$J$339,0)),"")))</f>
        <v/>
      </c>
      <c r="AG1133" s="13">
        <f>IF($AE1133="","",SUMIFS('ORDENES'!$M$4:$M$1203,'ORDENES'!$AE$4:$AE$1203,$AE1133,'ORDENES'!$O$4:$O$1203,$O1133,'ORDENES'!$R$4:$R$1203,$R1133))</f>
        <v/>
      </c>
      <c r="AH1133" s="13">
        <f>IF($AG1133="","",p_factor_productividad*IFERROR(INDEX('ASIGNACIONES'!$I$4:$I$339,MATCH($O1133&amp;"|"&amp;$R1133&amp;"|"&amp;$AE1133,'ASIGNACIONES'!$J$4:$J$339,0)),0)-$AG1133)</f>
        <v/>
      </c>
      <c r="AI1133" s="10">
        <f>IF($A1133="","",IFERROR(INDEX('2_IMPORTAR_EJECUCION'!$F$9:$F$1208,MATCH($AQ1133,'2_IMPORTAR_EJECUCION'!$J$9:$J$1208,0)),0))</f>
        <v/>
      </c>
      <c r="AJ1133" s="10">
        <f>IF($A1133="","",MAX(0,IFERROR(INDEX('2_IMPORTAR_EJECUCION'!$H$9:$H$1208,MATCH($AQ1133,'2_IMPORTAR_EJECUCION'!$J$9:$J$1208,0)),0)-$AI1133))</f>
        <v/>
      </c>
      <c r="AK1133" s="10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2">
        <f>IF($J1134="","",TODAY()-$J1134)</f>
        <v/>
      </c>
      <c r="AB1134" s="12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F$4:$F$339,MATCH($O1134&amp;"|"&amp;$R1134&amp;"|"&amp;$AE1134,'ASIGNACIONES'!$J$4:$J$339,0)),""))=0,"",IFERROR(INDEX('ASIGNACIONES'!$F$4:$F$339,MATCH($O1134&amp;"|"&amp;$R1134&amp;"|"&amp;$AE1134,'ASIGNACIONES'!$J$4:$J$339,0)),"")))</f>
        <v/>
      </c>
      <c r="AG1134" s="13">
        <f>IF($AE1134="","",SUMIFS('ORDENES'!$M$4:$M$1203,'ORDENES'!$AE$4:$AE$1203,$AE1134,'ORDENES'!$O$4:$O$1203,$O1134,'ORDENES'!$R$4:$R$1203,$R1134))</f>
        <v/>
      </c>
      <c r="AH1134" s="13">
        <f>IF($AG1134="","",p_factor_productividad*IFERROR(INDEX('ASIGNACIONES'!$I$4:$I$339,MATCH($O1134&amp;"|"&amp;$R1134&amp;"|"&amp;$AE1134,'ASIGNACIONES'!$J$4:$J$339,0)),0)-$AG1134)</f>
        <v/>
      </c>
      <c r="AI1134" s="10">
        <f>IF($A1134="","",IFERROR(INDEX('2_IMPORTAR_EJECUCION'!$F$9:$F$1208,MATCH($AQ1134,'2_IMPORTAR_EJECUCION'!$J$9:$J$1208,0)),0))</f>
        <v/>
      </c>
      <c r="AJ1134" s="10">
        <f>IF($A1134="","",MAX(0,IFERROR(INDEX('2_IMPORTAR_EJECUCION'!$H$9:$H$1208,MATCH($AQ1134,'2_IMPORTAR_EJECUCION'!$J$9:$J$1208,0)),0)-$AI1134))</f>
        <v/>
      </c>
      <c r="AK1134" s="10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2">
        <f>IF($J1135="","",TODAY()-$J1135)</f>
        <v/>
      </c>
      <c r="AB1135" s="12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F$4:$F$339,MATCH($O1135&amp;"|"&amp;$R1135&amp;"|"&amp;$AE1135,'ASIGNACIONES'!$J$4:$J$339,0)),""))=0,"",IFERROR(INDEX('ASIGNACIONES'!$F$4:$F$339,MATCH($O1135&amp;"|"&amp;$R1135&amp;"|"&amp;$AE1135,'ASIGNACIONES'!$J$4:$J$339,0)),"")))</f>
        <v/>
      </c>
      <c r="AG1135" s="13">
        <f>IF($AE1135="","",SUMIFS('ORDENES'!$M$4:$M$1203,'ORDENES'!$AE$4:$AE$1203,$AE1135,'ORDENES'!$O$4:$O$1203,$O1135,'ORDENES'!$R$4:$R$1203,$R1135))</f>
        <v/>
      </c>
      <c r="AH1135" s="13">
        <f>IF($AG1135="","",p_factor_productividad*IFERROR(INDEX('ASIGNACIONES'!$I$4:$I$339,MATCH($O1135&amp;"|"&amp;$R1135&amp;"|"&amp;$AE1135,'ASIGNACIONES'!$J$4:$J$339,0)),0)-$AG1135)</f>
        <v/>
      </c>
      <c r="AI1135" s="10">
        <f>IF($A1135="","",IFERROR(INDEX('2_IMPORTAR_EJECUCION'!$F$9:$F$1208,MATCH($AQ1135,'2_IMPORTAR_EJECUCION'!$J$9:$J$1208,0)),0))</f>
        <v/>
      </c>
      <c r="AJ1135" s="10">
        <f>IF($A1135="","",MAX(0,IFERROR(INDEX('2_IMPORTAR_EJECUCION'!$H$9:$H$1208,MATCH($AQ1135,'2_IMPORTAR_EJECUCION'!$J$9:$J$1208,0)),0)-$AI1135))</f>
        <v/>
      </c>
      <c r="AK1135" s="10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2">
        <f>IF($J1136="","",TODAY()-$J1136)</f>
        <v/>
      </c>
      <c r="AB1136" s="12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F$4:$F$339,MATCH($O1136&amp;"|"&amp;$R1136&amp;"|"&amp;$AE1136,'ASIGNACIONES'!$J$4:$J$339,0)),""))=0,"",IFERROR(INDEX('ASIGNACIONES'!$F$4:$F$339,MATCH($O1136&amp;"|"&amp;$R1136&amp;"|"&amp;$AE1136,'ASIGNACIONES'!$J$4:$J$339,0)),"")))</f>
        <v/>
      </c>
      <c r="AG1136" s="13">
        <f>IF($AE1136="","",SUMIFS('ORDENES'!$M$4:$M$1203,'ORDENES'!$AE$4:$AE$1203,$AE1136,'ORDENES'!$O$4:$O$1203,$O1136,'ORDENES'!$R$4:$R$1203,$R1136))</f>
        <v/>
      </c>
      <c r="AH1136" s="13">
        <f>IF($AG1136="","",p_factor_productividad*IFERROR(INDEX('ASIGNACIONES'!$I$4:$I$339,MATCH($O1136&amp;"|"&amp;$R1136&amp;"|"&amp;$AE1136,'ASIGNACIONES'!$J$4:$J$339,0)),0)-$AG1136)</f>
        <v/>
      </c>
      <c r="AI1136" s="10">
        <f>IF($A1136="","",IFERROR(INDEX('2_IMPORTAR_EJECUCION'!$F$9:$F$1208,MATCH($AQ1136,'2_IMPORTAR_EJECUCION'!$J$9:$J$1208,0)),0))</f>
        <v/>
      </c>
      <c r="AJ1136" s="10">
        <f>IF($A1136="","",MAX(0,IFERROR(INDEX('2_IMPORTAR_EJECUCION'!$H$9:$H$1208,MATCH($AQ1136,'2_IMPORTAR_EJECUCION'!$J$9:$J$1208,0)),0)-$AI1136))</f>
        <v/>
      </c>
      <c r="AK1136" s="10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2">
        <f>IF($J1137="","",TODAY()-$J1137)</f>
        <v/>
      </c>
      <c r="AB1137" s="12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F$4:$F$339,MATCH($O1137&amp;"|"&amp;$R1137&amp;"|"&amp;$AE1137,'ASIGNACIONES'!$J$4:$J$339,0)),""))=0,"",IFERROR(INDEX('ASIGNACIONES'!$F$4:$F$339,MATCH($O1137&amp;"|"&amp;$R1137&amp;"|"&amp;$AE1137,'ASIGNACIONES'!$J$4:$J$339,0)),"")))</f>
        <v/>
      </c>
      <c r="AG1137" s="13">
        <f>IF($AE1137="","",SUMIFS('ORDENES'!$M$4:$M$1203,'ORDENES'!$AE$4:$AE$1203,$AE1137,'ORDENES'!$O$4:$O$1203,$O1137,'ORDENES'!$R$4:$R$1203,$R1137))</f>
        <v/>
      </c>
      <c r="AH1137" s="13">
        <f>IF($AG1137="","",p_factor_productividad*IFERROR(INDEX('ASIGNACIONES'!$I$4:$I$339,MATCH($O1137&amp;"|"&amp;$R1137&amp;"|"&amp;$AE1137,'ASIGNACIONES'!$J$4:$J$339,0)),0)-$AG1137)</f>
        <v/>
      </c>
      <c r="AI1137" s="10">
        <f>IF($A1137="","",IFERROR(INDEX('2_IMPORTAR_EJECUCION'!$F$9:$F$1208,MATCH($AQ1137,'2_IMPORTAR_EJECUCION'!$J$9:$J$1208,0)),0))</f>
        <v/>
      </c>
      <c r="AJ1137" s="10">
        <f>IF($A1137="","",MAX(0,IFERROR(INDEX('2_IMPORTAR_EJECUCION'!$H$9:$H$1208,MATCH($AQ1137,'2_IMPORTAR_EJECUCION'!$J$9:$J$1208,0)),0)-$AI1137))</f>
        <v/>
      </c>
      <c r="AK1137" s="10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2">
        <f>IF($J1138="","",TODAY()-$J1138)</f>
        <v/>
      </c>
      <c r="AB1138" s="12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F$4:$F$339,MATCH($O1138&amp;"|"&amp;$R1138&amp;"|"&amp;$AE1138,'ASIGNACIONES'!$J$4:$J$339,0)),""))=0,"",IFERROR(INDEX('ASIGNACIONES'!$F$4:$F$339,MATCH($O1138&amp;"|"&amp;$R1138&amp;"|"&amp;$AE1138,'ASIGNACIONES'!$J$4:$J$339,0)),"")))</f>
        <v/>
      </c>
      <c r="AG1138" s="13">
        <f>IF($AE1138="","",SUMIFS('ORDENES'!$M$4:$M$1203,'ORDENES'!$AE$4:$AE$1203,$AE1138,'ORDENES'!$O$4:$O$1203,$O1138,'ORDENES'!$R$4:$R$1203,$R1138))</f>
        <v/>
      </c>
      <c r="AH1138" s="13">
        <f>IF($AG1138="","",p_factor_productividad*IFERROR(INDEX('ASIGNACIONES'!$I$4:$I$339,MATCH($O1138&amp;"|"&amp;$R1138&amp;"|"&amp;$AE1138,'ASIGNACIONES'!$J$4:$J$339,0)),0)-$AG1138)</f>
        <v/>
      </c>
      <c r="AI1138" s="10">
        <f>IF($A1138="","",IFERROR(INDEX('2_IMPORTAR_EJECUCION'!$F$9:$F$1208,MATCH($AQ1138,'2_IMPORTAR_EJECUCION'!$J$9:$J$1208,0)),0))</f>
        <v/>
      </c>
      <c r="AJ1138" s="10">
        <f>IF($A1138="","",MAX(0,IFERROR(INDEX('2_IMPORTAR_EJECUCION'!$H$9:$H$1208,MATCH($AQ1138,'2_IMPORTAR_EJECUCION'!$J$9:$J$1208,0)),0)-$AI1138))</f>
        <v/>
      </c>
      <c r="AK1138" s="10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2">
        <f>IF($J1139="","",TODAY()-$J1139)</f>
        <v/>
      </c>
      <c r="AB1139" s="12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F$4:$F$339,MATCH($O1139&amp;"|"&amp;$R1139&amp;"|"&amp;$AE1139,'ASIGNACIONES'!$J$4:$J$339,0)),""))=0,"",IFERROR(INDEX('ASIGNACIONES'!$F$4:$F$339,MATCH($O1139&amp;"|"&amp;$R1139&amp;"|"&amp;$AE1139,'ASIGNACIONES'!$J$4:$J$339,0)),"")))</f>
        <v/>
      </c>
      <c r="AG1139" s="13">
        <f>IF($AE1139="","",SUMIFS('ORDENES'!$M$4:$M$1203,'ORDENES'!$AE$4:$AE$1203,$AE1139,'ORDENES'!$O$4:$O$1203,$O1139,'ORDENES'!$R$4:$R$1203,$R1139))</f>
        <v/>
      </c>
      <c r="AH1139" s="13">
        <f>IF($AG1139="","",p_factor_productividad*IFERROR(INDEX('ASIGNACIONES'!$I$4:$I$339,MATCH($O1139&amp;"|"&amp;$R1139&amp;"|"&amp;$AE1139,'ASIGNACIONES'!$J$4:$J$339,0)),0)-$AG1139)</f>
        <v/>
      </c>
      <c r="AI1139" s="10">
        <f>IF($A1139="","",IFERROR(INDEX('2_IMPORTAR_EJECUCION'!$F$9:$F$1208,MATCH($AQ1139,'2_IMPORTAR_EJECUCION'!$J$9:$J$1208,0)),0))</f>
        <v/>
      </c>
      <c r="AJ1139" s="10">
        <f>IF($A1139="","",MAX(0,IFERROR(INDEX('2_IMPORTAR_EJECUCION'!$H$9:$H$1208,MATCH($AQ1139,'2_IMPORTAR_EJECUCION'!$J$9:$J$1208,0)),0)-$AI1139))</f>
        <v/>
      </c>
      <c r="AK1139" s="10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2">
        <f>IF($J1140="","",TODAY()-$J1140)</f>
        <v/>
      </c>
      <c r="AB1140" s="12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F$4:$F$339,MATCH($O1140&amp;"|"&amp;$R1140&amp;"|"&amp;$AE1140,'ASIGNACIONES'!$J$4:$J$339,0)),""))=0,"",IFERROR(INDEX('ASIGNACIONES'!$F$4:$F$339,MATCH($O1140&amp;"|"&amp;$R1140&amp;"|"&amp;$AE1140,'ASIGNACIONES'!$J$4:$J$339,0)),"")))</f>
        <v/>
      </c>
      <c r="AG1140" s="13">
        <f>IF($AE1140="","",SUMIFS('ORDENES'!$M$4:$M$1203,'ORDENES'!$AE$4:$AE$1203,$AE1140,'ORDENES'!$O$4:$O$1203,$O1140,'ORDENES'!$R$4:$R$1203,$R1140))</f>
        <v/>
      </c>
      <c r="AH1140" s="13">
        <f>IF($AG1140="","",p_factor_productividad*IFERROR(INDEX('ASIGNACIONES'!$I$4:$I$339,MATCH($O1140&amp;"|"&amp;$R1140&amp;"|"&amp;$AE1140,'ASIGNACIONES'!$J$4:$J$339,0)),0)-$AG1140)</f>
        <v/>
      </c>
      <c r="AI1140" s="10">
        <f>IF($A1140="","",IFERROR(INDEX('2_IMPORTAR_EJECUCION'!$F$9:$F$1208,MATCH($AQ1140,'2_IMPORTAR_EJECUCION'!$J$9:$J$1208,0)),0))</f>
        <v/>
      </c>
      <c r="AJ1140" s="10">
        <f>IF($A1140="","",MAX(0,IFERROR(INDEX('2_IMPORTAR_EJECUCION'!$H$9:$H$1208,MATCH($AQ1140,'2_IMPORTAR_EJECUCION'!$J$9:$J$1208,0)),0)-$AI1140))</f>
        <v/>
      </c>
      <c r="AK1140" s="10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2">
        <f>IF($J1141="","",TODAY()-$J1141)</f>
        <v/>
      </c>
      <c r="AB1141" s="12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F$4:$F$339,MATCH($O1141&amp;"|"&amp;$R1141&amp;"|"&amp;$AE1141,'ASIGNACIONES'!$J$4:$J$339,0)),""))=0,"",IFERROR(INDEX('ASIGNACIONES'!$F$4:$F$339,MATCH($O1141&amp;"|"&amp;$R1141&amp;"|"&amp;$AE1141,'ASIGNACIONES'!$J$4:$J$339,0)),"")))</f>
        <v/>
      </c>
      <c r="AG1141" s="13">
        <f>IF($AE1141="","",SUMIFS('ORDENES'!$M$4:$M$1203,'ORDENES'!$AE$4:$AE$1203,$AE1141,'ORDENES'!$O$4:$O$1203,$O1141,'ORDENES'!$R$4:$R$1203,$R1141))</f>
        <v/>
      </c>
      <c r="AH1141" s="13">
        <f>IF($AG1141="","",p_factor_productividad*IFERROR(INDEX('ASIGNACIONES'!$I$4:$I$339,MATCH($O1141&amp;"|"&amp;$R1141&amp;"|"&amp;$AE1141,'ASIGNACIONES'!$J$4:$J$339,0)),0)-$AG1141)</f>
        <v/>
      </c>
      <c r="AI1141" s="10">
        <f>IF($A1141="","",IFERROR(INDEX('2_IMPORTAR_EJECUCION'!$F$9:$F$1208,MATCH($AQ1141,'2_IMPORTAR_EJECUCION'!$J$9:$J$1208,0)),0))</f>
        <v/>
      </c>
      <c r="AJ1141" s="10">
        <f>IF($A1141="","",MAX(0,IFERROR(INDEX('2_IMPORTAR_EJECUCION'!$H$9:$H$1208,MATCH($AQ1141,'2_IMPORTAR_EJECUCION'!$J$9:$J$1208,0)),0)-$AI1141))</f>
        <v/>
      </c>
      <c r="AK1141" s="10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2">
        <f>IF($J1142="","",TODAY()-$J1142)</f>
        <v/>
      </c>
      <c r="AB1142" s="12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F$4:$F$339,MATCH($O1142&amp;"|"&amp;$R1142&amp;"|"&amp;$AE1142,'ASIGNACIONES'!$J$4:$J$339,0)),""))=0,"",IFERROR(INDEX('ASIGNACIONES'!$F$4:$F$339,MATCH($O1142&amp;"|"&amp;$R1142&amp;"|"&amp;$AE1142,'ASIGNACIONES'!$J$4:$J$339,0)),"")))</f>
        <v/>
      </c>
      <c r="AG1142" s="13">
        <f>IF($AE1142="","",SUMIFS('ORDENES'!$M$4:$M$1203,'ORDENES'!$AE$4:$AE$1203,$AE1142,'ORDENES'!$O$4:$O$1203,$O1142,'ORDENES'!$R$4:$R$1203,$R1142))</f>
        <v/>
      </c>
      <c r="AH1142" s="13">
        <f>IF($AG1142="","",p_factor_productividad*IFERROR(INDEX('ASIGNACIONES'!$I$4:$I$339,MATCH($O1142&amp;"|"&amp;$R1142&amp;"|"&amp;$AE1142,'ASIGNACIONES'!$J$4:$J$339,0)),0)-$AG1142)</f>
        <v/>
      </c>
      <c r="AI1142" s="10">
        <f>IF($A1142="","",IFERROR(INDEX('2_IMPORTAR_EJECUCION'!$F$9:$F$1208,MATCH($AQ1142,'2_IMPORTAR_EJECUCION'!$J$9:$J$1208,0)),0))</f>
        <v/>
      </c>
      <c r="AJ1142" s="10">
        <f>IF($A1142="","",MAX(0,IFERROR(INDEX('2_IMPORTAR_EJECUCION'!$H$9:$H$1208,MATCH($AQ1142,'2_IMPORTAR_EJECUCION'!$J$9:$J$1208,0)),0)-$AI1142))</f>
        <v/>
      </c>
      <c r="AK1142" s="10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2">
        <f>IF($J1143="","",TODAY()-$J1143)</f>
        <v/>
      </c>
      <c r="AB1143" s="12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F$4:$F$339,MATCH($O1143&amp;"|"&amp;$R1143&amp;"|"&amp;$AE1143,'ASIGNACIONES'!$J$4:$J$339,0)),""))=0,"",IFERROR(INDEX('ASIGNACIONES'!$F$4:$F$339,MATCH($O1143&amp;"|"&amp;$R1143&amp;"|"&amp;$AE1143,'ASIGNACIONES'!$J$4:$J$339,0)),"")))</f>
        <v/>
      </c>
      <c r="AG1143" s="13">
        <f>IF($AE1143="","",SUMIFS('ORDENES'!$M$4:$M$1203,'ORDENES'!$AE$4:$AE$1203,$AE1143,'ORDENES'!$O$4:$O$1203,$O1143,'ORDENES'!$R$4:$R$1203,$R1143))</f>
        <v/>
      </c>
      <c r="AH1143" s="13">
        <f>IF($AG1143="","",p_factor_productividad*IFERROR(INDEX('ASIGNACIONES'!$I$4:$I$339,MATCH($O1143&amp;"|"&amp;$R1143&amp;"|"&amp;$AE1143,'ASIGNACIONES'!$J$4:$J$339,0)),0)-$AG1143)</f>
        <v/>
      </c>
      <c r="AI1143" s="10">
        <f>IF($A1143="","",IFERROR(INDEX('2_IMPORTAR_EJECUCION'!$F$9:$F$1208,MATCH($AQ1143,'2_IMPORTAR_EJECUCION'!$J$9:$J$1208,0)),0))</f>
        <v/>
      </c>
      <c r="AJ1143" s="10">
        <f>IF($A1143="","",MAX(0,IFERROR(INDEX('2_IMPORTAR_EJECUCION'!$H$9:$H$1208,MATCH($AQ1143,'2_IMPORTAR_EJECUCION'!$J$9:$J$1208,0)),0)-$AI1143))</f>
        <v/>
      </c>
      <c r="AK1143" s="10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2">
        <f>IF($J1144="","",TODAY()-$J1144)</f>
        <v/>
      </c>
      <c r="AB1144" s="12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F$4:$F$339,MATCH($O1144&amp;"|"&amp;$R1144&amp;"|"&amp;$AE1144,'ASIGNACIONES'!$J$4:$J$339,0)),""))=0,"",IFERROR(INDEX('ASIGNACIONES'!$F$4:$F$339,MATCH($O1144&amp;"|"&amp;$R1144&amp;"|"&amp;$AE1144,'ASIGNACIONES'!$J$4:$J$339,0)),"")))</f>
        <v/>
      </c>
      <c r="AG1144" s="13">
        <f>IF($AE1144="","",SUMIFS('ORDENES'!$M$4:$M$1203,'ORDENES'!$AE$4:$AE$1203,$AE1144,'ORDENES'!$O$4:$O$1203,$O1144,'ORDENES'!$R$4:$R$1203,$R1144))</f>
        <v/>
      </c>
      <c r="AH1144" s="13">
        <f>IF($AG1144="","",p_factor_productividad*IFERROR(INDEX('ASIGNACIONES'!$I$4:$I$339,MATCH($O1144&amp;"|"&amp;$R1144&amp;"|"&amp;$AE1144,'ASIGNACIONES'!$J$4:$J$339,0)),0)-$AG1144)</f>
        <v/>
      </c>
      <c r="AI1144" s="10">
        <f>IF($A1144="","",IFERROR(INDEX('2_IMPORTAR_EJECUCION'!$F$9:$F$1208,MATCH($AQ1144,'2_IMPORTAR_EJECUCION'!$J$9:$J$1208,0)),0))</f>
        <v/>
      </c>
      <c r="AJ1144" s="10">
        <f>IF($A1144="","",MAX(0,IFERROR(INDEX('2_IMPORTAR_EJECUCION'!$H$9:$H$1208,MATCH($AQ1144,'2_IMPORTAR_EJECUCION'!$J$9:$J$1208,0)),0)-$AI1144))</f>
        <v/>
      </c>
      <c r="AK1144" s="10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2">
        <f>IF($J1145="","",TODAY()-$J1145)</f>
        <v/>
      </c>
      <c r="AB1145" s="12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F$4:$F$339,MATCH($O1145&amp;"|"&amp;$R1145&amp;"|"&amp;$AE1145,'ASIGNACIONES'!$J$4:$J$339,0)),""))=0,"",IFERROR(INDEX('ASIGNACIONES'!$F$4:$F$339,MATCH($O1145&amp;"|"&amp;$R1145&amp;"|"&amp;$AE1145,'ASIGNACIONES'!$J$4:$J$339,0)),"")))</f>
        <v/>
      </c>
      <c r="AG1145" s="13">
        <f>IF($AE1145="","",SUMIFS('ORDENES'!$M$4:$M$1203,'ORDENES'!$AE$4:$AE$1203,$AE1145,'ORDENES'!$O$4:$O$1203,$O1145,'ORDENES'!$R$4:$R$1203,$R1145))</f>
        <v/>
      </c>
      <c r="AH1145" s="13">
        <f>IF($AG1145="","",p_factor_productividad*IFERROR(INDEX('ASIGNACIONES'!$I$4:$I$339,MATCH($O1145&amp;"|"&amp;$R1145&amp;"|"&amp;$AE1145,'ASIGNACIONES'!$J$4:$J$339,0)),0)-$AG1145)</f>
        <v/>
      </c>
      <c r="AI1145" s="10">
        <f>IF($A1145="","",IFERROR(INDEX('2_IMPORTAR_EJECUCION'!$F$9:$F$1208,MATCH($AQ1145,'2_IMPORTAR_EJECUCION'!$J$9:$J$1208,0)),0))</f>
        <v/>
      </c>
      <c r="AJ1145" s="10">
        <f>IF($A1145="","",MAX(0,IFERROR(INDEX('2_IMPORTAR_EJECUCION'!$H$9:$H$1208,MATCH($AQ1145,'2_IMPORTAR_EJECUCION'!$J$9:$J$1208,0)),0)-$AI1145))</f>
        <v/>
      </c>
      <c r="AK1145" s="10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2">
        <f>IF($J1146="","",TODAY()-$J1146)</f>
        <v/>
      </c>
      <c r="AB1146" s="12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F$4:$F$339,MATCH($O1146&amp;"|"&amp;$R1146&amp;"|"&amp;$AE1146,'ASIGNACIONES'!$J$4:$J$339,0)),""))=0,"",IFERROR(INDEX('ASIGNACIONES'!$F$4:$F$339,MATCH($O1146&amp;"|"&amp;$R1146&amp;"|"&amp;$AE1146,'ASIGNACIONES'!$J$4:$J$339,0)),"")))</f>
        <v/>
      </c>
      <c r="AG1146" s="13">
        <f>IF($AE1146="","",SUMIFS('ORDENES'!$M$4:$M$1203,'ORDENES'!$AE$4:$AE$1203,$AE1146,'ORDENES'!$O$4:$O$1203,$O1146,'ORDENES'!$R$4:$R$1203,$R1146))</f>
        <v/>
      </c>
      <c r="AH1146" s="13">
        <f>IF($AG1146="","",p_factor_productividad*IFERROR(INDEX('ASIGNACIONES'!$I$4:$I$339,MATCH($O1146&amp;"|"&amp;$R1146&amp;"|"&amp;$AE1146,'ASIGNACIONES'!$J$4:$J$339,0)),0)-$AG1146)</f>
        <v/>
      </c>
      <c r="AI1146" s="10">
        <f>IF($A1146="","",IFERROR(INDEX('2_IMPORTAR_EJECUCION'!$F$9:$F$1208,MATCH($AQ1146,'2_IMPORTAR_EJECUCION'!$J$9:$J$1208,0)),0))</f>
        <v/>
      </c>
      <c r="AJ1146" s="10">
        <f>IF($A1146="","",MAX(0,IFERROR(INDEX('2_IMPORTAR_EJECUCION'!$H$9:$H$1208,MATCH($AQ1146,'2_IMPORTAR_EJECUCION'!$J$9:$J$1208,0)),0)-$AI1146))</f>
        <v/>
      </c>
      <c r="AK1146" s="10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2">
        <f>IF($J1147="","",TODAY()-$J1147)</f>
        <v/>
      </c>
      <c r="AB1147" s="12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F$4:$F$339,MATCH($O1147&amp;"|"&amp;$R1147&amp;"|"&amp;$AE1147,'ASIGNACIONES'!$J$4:$J$339,0)),""))=0,"",IFERROR(INDEX('ASIGNACIONES'!$F$4:$F$339,MATCH($O1147&amp;"|"&amp;$R1147&amp;"|"&amp;$AE1147,'ASIGNACIONES'!$J$4:$J$339,0)),"")))</f>
        <v/>
      </c>
      <c r="AG1147" s="13">
        <f>IF($AE1147="","",SUMIFS('ORDENES'!$M$4:$M$1203,'ORDENES'!$AE$4:$AE$1203,$AE1147,'ORDENES'!$O$4:$O$1203,$O1147,'ORDENES'!$R$4:$R$1203,$R1147))</f>
        <v/>
      </c>
      <c r="AH1147" s="13">
        <f>IF($AG1147="","",p_factor_productividad*IFERROR(INDEX('ASIGNACIONES'!$I$4:$I$339,MATCH($O1147&amp;"|"&amp;$R1147&amp;"|"&amp;$AE1147,'ASIGNACIONES'!$J$4:$J$339,0)),0)-$AG1147)</f>
        <v/>
      </c>
      <c r="AI1147" s="10">
        <f>IF($A1147="","",IFERROR(INDEX('2_IMPORTAR_EJECUCION'!$F$9:$F$1208,MATCH($AQ1147,'2_IMPORTAR_EJECUCION'!$J$9:$J$1208,0)),0))</f>
        <v/>
      </c>
      <c r="AJ1147" s="10">
        <f>IF($A1147="","",MAX(0,IFERROR(INDEX('2_IMPORTAR_EJECUCION'!$H$9:$H$1208,MATCH($AQ1147,'2_IMPORTAR_EJECUCION'!$J$9:$J$1208,0)),0)-$AI1147))</f>
        <v/>
      </c>
      <c r="AK1147" s="10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2">
        <f>IF($J1148="","",TODAY()-$J1148)</f>
        <v/>
      </c>
      <c r="AB1148" s="12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F$4:$F$339,MATCH($O1148&amp;"|"&amp;$R1148&amp;"|"&amp;$AE1148,'ASIGNACIONES'!$J$4:$J$339,0)),""))=0,"",IFERROR(INDEX('ASIGNACIONES'!$F$4:$F$339,MATCH($O1148&amp;"|"&amp;$R1148&amp;"|"&amp;$AE1148,'ASIGNACIONES'!$J$4:$J$339,0)),"")))</f>
        <v/>
      </c>
      <c r="AG1148" s="13">
        <f>IF($AE1148="","",SUMIFS('ORDENES'!$M$4:$M$1203,'ORDENES'!$AE$4:$AE$1203,$AE1148,'ORDENES'!$O$4:$O$1203,$O1148,'ORDENES'!$R$4:$R$1203,$R1148))</f>
        <v/>
      </c>
      <c r="AH1148" s="13">
        <f>IF($AG1148="","",p_factor_productividad*IFERROR(INDEX('ASIGNACIONES'!$I$4:$I$339,MATCH($O1148&amp;"|"&amp;$R1148&amp;"|"&amp;$AE1148,'ASIGNACIONES'!$J$4:$J$339,0)),0)-$AG1148)</f>
        <v/>
      </c>
      <c r="AI1148" s="10">
        <f>IF($A1148="","",IFERROR(INDEX('2_IMPORTAR_EJECUCION'!$F$9:$F$1208,MATCH($AQ1148,'2_IMPORTAR_EJECUCION'!$J$9:$J$1208,0)),0))</f>
        <v/>
      </c>
      <c r="AJ1148" s="10">
        <f>IF($A1148="","",MAX(0,IFERROR(INDEX('2_IMPORTAR_EJECUCION'!$H$9:$H$1208,MATCH($AQ1148,'2_IMPORTAR_EJECUCION'!$J$9:$J$1208,0)),0)-$AI1148))</f>
        <v/>
      </c>
      <c r="AK1148" s="10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2">
        <f>IF($J1149="","",TODAY()-$J1149)</f>
        <v/>
      </c>
      <c r="AB1149" s="12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F$4:$F$339,MATCH($O1149&amp;"|"&amp;$R1149&amp;"|"&amp;$AE1149,'ASIGNACIONES'!$J$4:$J$339,0)),""))=0,"",IFERROR(INDEX('ASIGNACIONES'!$F$4:$F$339,MATCH($O1149&amp;"|"&amp;$R1149&amp;"|"&amp;$AE1149,'ASIGNACIONES'!$J$4:$J$339,0)),"")))</f>
        <v/>
      </c>
      <c r="AG1149" s="13">
        <f>IF($AE1149="","",SUMIFS('ORDENES'!$M$4:$M$1203,'ORDENES'!$AE$4:$AE$1203,$AE1149,'ORDENES'!$O$4:$O$1203,$O1149,'ORDENES'!$R$4:$R$1203,$R1149))</f>
        <v/>
      </c>
      <c r="AH1149" s="13">
        <f>IF($AG1149="","",p_factor_productividad*IFERROR(INDEX('ASIGNACIONES'!$I$4:$I$339,MATCH($O1149&amp;"|"&amp;$R1149&amp;"|"&amp;$AE1149,'ASIGNACIONES'!$J$4:$J$339,0)),0)-$AG1149)</f>
        <v/>
      </c>
      <c r="AI1149" s="10">
        <f>IF($A1149="","",IFERROR(INDEX('2_IMPORTAR_EJECUCION'!$F$9:$F$1208,MATCH($AQ1149,'2_IMPORTAR_EJECUCION'!$J$9:$J$1208,0)),0))</f>
        <v/>
      </c>
      <c r="AJ1149" s="10">
        <f>IF($A1149="","",MAX(0,IFERROR(INDEX('2_IMPORTAR_EJECUCION'!$H$9:$H$1208,MATCH($AQ1149,'2_IMPORTAR_EJECUCION'!$J$9:$J$1208,0)),0)-$AI1149))</f>
        <v/>
      </c>
      <c r="AK1149" s="10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2">
        <f>IF($J1150="","",TODAY()-$J1150)</f>
        <v/>
      </c>
      <c r="AB1150" s="12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F$4:$F$339,MATCH($O1150&amp;"|"&amp;$R1150&amp;"|"&amp;$AE1150,'ASIGNACIONES'!$J$4:$J$339,0)),""))=0,"",IFERROR(INDEX('ASIGNACIONES'!$F$4:$F$339,MATCH($O1150&amp;"|"&amp;$R1150&amp;"|"&amp;$AE1150,'ASIGNACIONES'!$J$4:$J$339,0)),"")))</f>
        <v/>
      </c>
      <c r="AG1150" s="13">
        <f>IF($AE1150="","",SUMIFS('ORDENES'!$M$4:$M$1203,'ORDENES'!$AE$4:$AE$1203,$AE1150,'ORDENES'!$O$4:$O$1203,$O1150,'ORDENES'!$R$4:$R$1203,$R1150))</f>
        <v/>
      </c>
      <c r="AH1150" s="13">
        <f>IF($AG1150="","",p_factor_productividad*IFERROR(INDEX('ASIGNACIONES'!$I$4:$I$339,MATCH($O1150&amp;"|"&amp;$R1150&amp;"|"&amp;$AE1150,'ASIGNACIONES'!$J$4:$J$339,0)),0)-$AG1150)</f>
        <v/>
      </c>
      <c r="AI1150" s="10">
        <f>IF($A1150="","",IFERROR(INDEX('2_IMPORTAR_EJECUCION'!$F$9:$F$1208,MATCH($AQ1150,'2_IMPORTAR_EJECUCION'!$J$9:$J$1208,0)),0))</f>
        <v/>
      </c>
      <c r="AJ1150" s="10">
        <f>IF($A1150="","",MAX(0,IFERROR(INDEX('2_IMPORTAR_EJECUCION'!$H$9:$H$1208,MATCH($AQ1150,'2_IMPORTAR_EJECUCION'!$J$9:$J$1208,0)),0)-$AI1150))</f>
        <v/>
      </c>
      <c r="AK1150" s="10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2">
        <f>IF($J1151="","",TODAY()-$J1151)</f>
        <v/>
      </c>
      <c r="AB1151" s="12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F$4:$F$339,MATCH($O1151&amp;"|"&amp;$R1151&amp;"|"&amp;$AE1151,'ASIGNACIONES'!$J$4:$J$339,0)),""))=0,"",IFERROR(INDEX('ASIGNACIONES'!$F$4:$F$339,MATCH($O1151&amp;"|"&amp;$R1151&amp;"|"&amp;$AE1151,'ASIGNACIONES'!$J$4:$J$339,0)),"")))</f>
        <v/>
      </c>
      <c r="AG1151" s="13">
        <f>IF($AE1151="","",SUMIFS('ORDENES'!$M$4:$M$1203,'ORDENES'!$AE$4:$AE$1203,$AE1151,'ORDENES'!$O$4:$O$1203,$O1151,'ORDENES'!$R$4:$R$1203,$R1151))</f>
        <v/>
      </c>
      <c r="AH1151" s="13">
        <f>IF($AG1151="","",p_factor_productividad*IFERROR(INDEX('ASIGNACIONES'!$I$4:$I$339,MATCH($O1151&amp;"|"&amp;$R1151&amp;"|"&amp;$AE1151,'ASIGNACIONES'!$J$4:$J$339,0)),0)-$AG1151)</f>
        <v/>
      </c>
      <c r="AI1151" s="10">
        <f>IF($A1151="","",IFERROR(INDEX('2_IMPORTAR_EJECUCION'!$F$9:$F$1208,MATCH($AQ1151,'2_IMPORTAR_EJECUCION'!$J$9:$J$1208,0)),0))</f>
        <v/>
      </c>
      <c r="AJ1151" s="10">
        <f>IF($A1151="","",MAX(0,IFERROR(INDEX('2_IMPORTAR_EJECUCION'!$H$9:$H$1208,MATCH($AQ1151,'2_IMPORTAR_EJECUCION'!$J$9:$J$1208,0)),0)-$AI1151))</f>
        <v/>
      </c>
      <c r="AK1151" s="10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2">
        <f>IF($J1152="","",TODAY()-$J1152)</f>
        <v/>
      </c>
      <c r="AB1152" s="12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F$4:$F$339,MATCH($O1152&amp;"|"&amp;$R1152&amp;"|"&amp;$AE1152,'ASIGNACIONES'!$J$4:$J$339,0)),""))=0,"",IFERROR(INDEX('ASIGNACIONES'!$F$4:$F$339,MATCH($O1152&amp;"|"&amp;$R1152&amp;"|"&amp;$AE1152,'ASIGNACIONES'!$J$4:$J$339,0)),"")))</f>
        <v/>
      </c>
      <c r="AG1152" s="13">
        <f>IF($AE1152="","",SUMIFS('ORDENES'!$M$4:$M$1203,'ORDENES'!$AE$4:$AE$1203,$AE1152,'ORDENES'!$O$4:$O$1203,$O1152,'ORDENES'!$R$4:$R$1203,$R1152))</f>
        <v/>
      </c>
      <c r="AH1152" s="13">
        <f>IF($AG1152="","",p_factor_productividad*IFERROR(INDEX('ASIGNACIONES'!$I$4:$I$339,MATCH($O1152&amp;"|"&amp;$R1152&amp;"|"&amp;$AE1152,'ASIGNACIONES'!$J$4:$J$339,0)),0)-$AG1152)</f>
        <v/>
      </c>
      <c r="AI1152" s="10">
        <f>IF($A1152="","",IFERROR(INDEX('2_IMPORTAR_EJECUCION'!$F$9:$F$1208,MATCH($AQ1152,'2_IMPORTAR_EJECUCION'!$J$9:$J$1208,0)),0))</f>
        <v/>
      </c>
      <c r="AJ1152" s="10">
        <f>IF($A1152="","",MAX(0,IFERROR(INDEX('2_IMPORTAR_EJECUCION'!$H$9:$H$1208,MATCH($AQ1152,'2_IMPORTAR_EJECUCION'!$J$9:$J$1208,0)),0)-$AI1152))</f>
        <v/>
      </c>
      <c r="AK1152" s="10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2">
        <f>IF($J1153="","",TODAY()-$J1153)</f>
        <v/>
      </c>
      <c r="AB1153" s="12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F$4:$F$339,MATCH($O1153&amp;"|"&amp;$R1153&amp;"|"&amp;$AE1153,'ASIGNACIONES'!$J$4:$J$339,0)),""))=0,"",IFERROR(INDEX('ASIGNACIONES'!$F$4:$F$339,MATCH($O1153&amp;"|"&amp;$R1153&amp;"|"&amp;$AE1153,'ASIGNACIONES'!$J$4:$J$339,0)),"")))</f>
        <v/>
      </c>
      <c r="AG1153" s="13">
        <f>IF($AE1153="","",SUMIFS('ORDENES'!$M$4:$M$1203,'ORDENES'!$AE$4:$AE$1203,$AE1153,'ORDENES'!$O$4:$O$1203,$O1153,'ORDENES'!$R$4:$R$1203,$R1153))</f>
        <v/>
      </c>
      <c r="AH1153" s="13">
        <f>IF($AG1153="","",p_factor_productividad*IFERROR(INDEX('ASIGNACIONES'!$I$4:$I$339,MATCH($O1153&amp;"|"&amp;$R1153&amp;"|"&amp;$AE1153,'ASIGNACIONES'!$J$4:$J$339,0)),0)-$AG1153)</f>
        <v/>
      </c>
      <c r="AI1153" s="10">
        <f>IF($A1153="","",IFERROR(INDEX('2_IMPORTAR_EJECUCION'!$F$9:$F$1208,MATCH($AQ1153,'2_IMPORTAR_EJECUCION'!$J$9:$J$1208,0)),0))</f>
        <v/>
      </c>
      <c r="AJ1153" s="10">
        <f>IF($A1153="","",MAX(0,IFERROR(INDEX('2_IMPORTAR_EJECUCION'!$H$9:$H$1208,MATCH($AQ1153,'2_IMPORTAR_EJECUCION'!$J$9:$J$1208,0)),0)-$AI1153))</f>
        <v/>
      </c>
      <c r="AK1153" s="10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2">
        <f>IF($J1154="","",TODAY()-$J1154)</f>
        <v/>
      </c>
      <c r="AB1154" s="12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F$4:$F$339,MATCH($O1154&amp;"|"&amp;$R1154&amp;"|"&amp;$AE1154,'ASIGNACIONES'!$J$4:$J$339,0)),""))=0,"",IFERROR(INDEX('ASIGNACIONES'!$F$4:$F$339,MATCH($O1154&amp;"|"&amp;$R1154&amp;"|"&amp;$AE1154,'ASIGNACIONES'!$J$4:$J$339,0)),"")))</f>
        <v/>
      </c>
      <c r="AG1154" s="13">
        <f>IF($AE1154="","",SUMIFS('ORDENES'!$M$4:$M$1203,'ORDENES'!$AE$4:$AE$1203,$AE1154,'ORDENES'!$O$4:$O$1203,$O1154,'ORDENES'!$R$4:$R$1203,$R1154))</f>
        <v/>
      </c>
      <c r="AH1154" s="13">
        <f>IF($AG1154="","",p_factor_productividad*IFERROR(INDEX('ASIGNACIONES'!$I$4:$I$339,MATCH($O1154&amp;"|"&amp;$R1154&amp;"|"&amp;$AE1154,'ASIGNACIONES'!$J$4:$J$339,0)),0)-$AG1154)</f>
        <v/>
      </c>
      <c r="AI1154" s="10">
        <f>IF($A1154="","",IFERROR(INDEX('2_IMPORTAR_EJECUCION'!$F$9:$F$1208,MATCH($AQ1154,'2_IMPORTAR_EJECUCION'!$J$9:$J$1208,0)),0))</f>
        <v/>
      </c>
      <c r="AJ1154" s="10">
        <f>IF($A1154="","",MAX(0,IFERROR(INDEX('2_IMPORTAR_EJECUCION'!$H$9:$H$1208,MATCH($AQ1154,'2_IMPORTAR_EJECUCION'!$J$9:$J$1208,0)),0)-$AI1154))</f>
        <v/>
      </c>
      <c r="AK1154" s="10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2">
        <f>IF($J1155="","",TODAY()-$J1155)</f>
        <v/>
      </c>
      <c r="AB1155" s="12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F$4:$F$339,MATCH($O1155&amp;"|"&amp;$R1155&amp;"|"&amp;$AE1155,'ASIGNACIONES'!$J$4:$J$339,0)),""))=0,"",IFERROR(INDEX('ASIGNACIONES'!$F$4:$F$339,MATCH($O1155&amp;"|"&amp;$R1155&amp;"|"&amp;$AE1155,'ASIGNACIONES'!$J$4:$J$339,0)),"")))</f>
        <v/>
      </c>
      <c r="AG1155" s="13">
        <f>IF($AE1155="","",SUMIFS('ORDENES'!$M$4:$M$1203,'ORDENES'!$AE$4:$AE$1203,$AE1155,'ORDENES'!$O$4:$O$1203,$O1155,'ORDENES'!$R$4:$R$1203,$R1155))</f>
        <v/>
      </c>
      <c r="AH1155" s="13">
        <f>IF($AG1155="","",p_factor_productividad*IFERROR(INDEX('ASIGNACIONES'!$I$4:$I$339,MATCH($O1155&amp;"|"&amp;$R1155&amp;"|"&amp;$AE1155,'ASIGNACIONES'!$J$4:$J$339,0)),0)-$AG1155)</f>
        <v/>
      </c>
      <c r="AI1155" s="10">
        <f>IF($A1155="","",IFERROR(INDEX('2_IMPORTAR_EJECUCION'!$F$9:$F$1208,MATCH($AQ1155,'2_IMPORTAR_EJECUCION'!$J$9:$J$1208,0)),0))</f>
        <v/>
      </c>
      <c r="AJ1155" s="10">
        <f>IF($A1155="","",MAX(0,IFERROR(INDEX('2_IMPORTAR_EJECUCION'!$H$9:$H$1208,MATCH($AQ1155,'2_IMPORTAR_EJECUCION'!$J$9:$J$1208,0)),0)-$AI1155))</f>
        <v/>
      </c>
      <c r="AK1155" s="10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2">
        <f>IF($J1156="","",TODAY()-$J1156)</f>
        <v/>
      </c>
      <c r="AB1156" s="12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F$4:$F$339,MATCH($O1156&amp;"|"&amp;$R1156&amp;"|"&amp;$AE1156,'ASIGNACIONES'!$J$4:$J$339,0)),""))=0,"",IFERROR(INDEX('ASIGNACIONES'!$F$4:$F$339,MATCH($O1156&amp;"|"&amp;$R1156&amp;"|"&amp;$AE1156,'ASIGNACIONES'!$J$4:$J$339,0)),"")))</f>
        <v/>
      </c>
      <c r="AG1156" s="13">
        <f>IF($AE1156="","",SUMIFS('ORDENES'!$M$4:$M$1203,'ORDENES'!$AE$4:$AE$1203,$AE1156,'ORDENES'!$O$4:$O$1203,$O1156,'ORDENES'!$R$4:$R$1203,$R1156))</f>
        <v/>
      </c>
      <c r="AH1156" s="13">
        <f>IF($AG1156="","",p_factor_productividad*IFERROR(INDEX('ASIGNACIONES'!$I$4:$I$339,MATCH($O1156&amp;"|"&amp;$R1156&amp;"|"&amp;$AE1156,'ASIGNACIONES'!$J$4:$J$339,0)),0)-$AG1156)</f>
        <v/>
      </c>
      <c r="AI1156" s="10">
        <f>IF($A1156="","",IFERROR(INDEX('2_IMPORTAR_EJECUCION'!$F$9:$F$1208,MATCH($AQ1156,'2_IMPORTAR_EJECUCION'!$J$9:$J$1208,0)),0))</f>
        <v/>
      </c>
      <c r="AJ1156" s="10">
        <f>IF($A1156="","",MAX(0,IFERROR(INDEX('2_IMPORTAR_EJECUCION'!$H$9:$H$1208,MATCH($AQ1156,'2_IMPORTAR_EJECUCION'!$J$9:$J$1208,0)),0)-$AI1156))</f>
        <v/>
      </c>
      <c r="AK1156" s="10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2">
        <f>IF($J1157="","",TODAY()-$J1157)</f>
        <v/>
      </c>
      <c r="AB1157" s="12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F$4:$F$339,MATCH($O1157&amp;"|"&amp;$R1157&amp;"|"&amp;$AE1157,'ASIGNACIONES'!$J$4:$J$339,0)),""))=0,"",IFERROR(INDEX('ASIGNACIONES'!$F$4:$F$339,MATCH($O1157&amp;"|"&amp;$R1157&amp;"|"&amp;$AE1157,'ASIGNACIONES'!$J$4:$J$339,0)),"")))</f>
        <v/>
      </c>
      <c r="AG1157" s="13">
        <f>IF($AE1157="","",SUMIFS('ORDENES'!$M$4:$M$1203,'ORDENES'!$AE$4:$AE$1203,$AE1157,'ORDENES'!$O$4:$O$1203,$O1157,'ORDENES'!$R$4:$R$1203,$R1157))</f>
        <v/>
      </c>
      <c r="AH1157" s="13">
        <f>IF($AG1157="","",p_factor_productividad*IFERROR(INDEX('ASIGNACIONES'!$I$4:$I$339,MATCH($O1157&amp;"|"&amp;$R1157&amp;"|"&amp;$AE1157,'ASIGNACIONES'!$J$4:$J$339,0)),0)-$AG1157)</f>
        <v/>
      </c>
      <c r="AI1157" s="10">
        <f>IF($A1157="","",IFERROR(INDEX('2_IMPORTAR_EJECUCION'!$F$9:$F$1208,MATCH($AQ1157,'2_IMPORTAR_EJECUCION'!$J$9:$J$1208,0)),0))</f>
        <v/>
      </c>
      <c r="AJ1157" s="10">
        <f>IF($A1157="","",MAX(0,IFERROR(INDEX('2_IMPORTAR_EJECUCION'!$H$9:$H$1208,MATCH($AQ1157,'2_IMPORTAR_EJECUCION'!$J$9:$J$1208,0)),0)-$AI1157))</f>
        <v/>
      </c>
      <c r="AK1157" s="10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2">
        <f>IF($J1158="","",TODAY()-$J1158)</f>
        <v/>
      </c>
      <c r="AB1158" s="12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F$4:$F$339,MATCH($O1158&amp;"|"&amp;$R1158&amp;"|"&amp;$AE1158,'ASIGNACIONES'!$J$4:$J$339,0)),""))=0,"",IFERROR(INDEX('ASIGNACIONES'!$F$4:$F$339,MATCH($O1158&amp;"|"&amp;$R1158&amp;"|"&amp;$AE1158,'ASIGNACIONES'!$J$4:$J$339,0)),"")))</f>
        <v/>
      </c>
      <c r="AG1158" s="13">
        <f>IF($AE1158="","",SUMIFS('ORDENES'!$M$4:$M$1203,'ORDENES'!$AE$4:$AE$1203,$AE1158,'ORDENES'!$O$4:$O$1203,$O1158,'ORDENES'!$R$4:$R$1203,$R1158))</f>
        <v/>
      </c>
      <c r="AH1158" s="13">
        <f>IF($AG1158="","",p_factor_productividad*IFERROR(INDEX('ASIGNACIONES'!$I$4:$I$339,MATCH($O1158&amp;"|"&amp;$R1158&amp;"|"&amp;$AE1158,'ASIGNACIONES'!$J$4:$J$339,0)),0)-$AG1158)</f>
        <v/>
      </c>
      <c r="AI1158" s="10">
        <f>IF($A1158="","",IFERROR(INDEX('2_IMPORTAR_EJECUCION'!$F$9:$F$1208,MATCH($AQ1158,'2_IMPORTAR_EJECUCION'!$J$9:$J$1208,0)),0))</f>
        <v/>
      </c>
      <c r="AJ1158" s="10">
        <f>IF($A1158="","",MAX(0,IFERROR(INDEX('2_IMPORTAR_EJECUCION'!$H$9:$H$1208,MATCH($AQ1158,'2_IMPORTAR_EJECUCION'!$J$9:$J$1208,0)),0)-$AI1158))</f>
        <v/>
      </c>
      <c r="AK1158" s="10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2">
        <f>IF($J1159="","",TODAY()-$J1159)</f>
        <v/>
      </c>
      <c r="AB1159" s="12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F$4:$F$339,MATCH($O1159&amp;"|"&amp;$R1159&amp;"|"&amp;$AE1159,'ASIGNACIONES'!$J$4:$J$339,0)),""))=0,"",IFERROR(INDEX('ASIGNACIONES'!$F$4:$F$339,MATCH($O1159&amp;"|"&amp;$R1159&amp;"|"&amp;$AE1159,'ASIGNACIONES'!$J$4:$J$339,0)),"")))</f>
        <v/>
      </c>
      <c r="AG1159" s="13">
        <f>IF($AE1159="","",SUMIFS('ORDENES'!$M$4:$M$1203,'ORDENES'!$AE$4:$AE$1203,$AE1159,'ORDENES'!$O$4:$O$1203,$O1159,'ORDENES'!$R$4:$R$1203,$R1159))</f>
        <v/>
      </c>
      <c r="AH1159" s="13">
        <f>IF($AG1159="","",p_factor_productividad*IFERROR(INDEX('ASIGNACIONES'!$I$4:$I$339,MATCH($O1159&amp;"|"&amp;$R1159&amp;"|"&amp;$AE1159,'ASIGNACIONES'!$J$4:$J$339,0)),0)-$AG1159)</f>
        <v/>
      </c>
      <c r="AI1159" s="10">
        <f>IF($A1159="","",IFERROR(INDEX('2_IMPORTAR_EJECUCION'!$F$9:$F$1208,MATCH($AQ1159,'2_IMPORTAR_EJECUCION'!$J$9:$J$1208,0)),0))</f>
        <v/>
      </c>
      <c r="AJ1159" s="10">
        <f>IF($A1159="","",MAX(0,IFERROR(INDEX('2_IMPORTAR_EJECUCION'!$H$9:$H$1208,MATCH($AQ1159,'2_IMPORTAR_EJECUCION'!$J$9:$J$1208,0)),0)-$AI1159))</f>
        <v/>
      </c>
      <c r="AK1159" s="10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2">
        <f>IF($J1160="","",TODAY()-$J1160)</f>
        <v/>
      </c>
      <c r="AB1160" s="12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F$4:$F$339,MATCH($O1160&amp;"|"&amp;$R1160&amp;"|"&amp;$AE1160,'ASIGNACIONES'!$J$4:$J$339,0)),""))=0,"",IFERROR(INDEX('ASIGNACIONES'!$F$4:$F$339,MATCH($O1160&amp;"|"&amp;$R1160&amp;"|"&amp;$AE1160,'ASIGNACIONES'!$J$4:$J$339,0)),"")))</f>
        <v/>
      </c>
      <c r="AG1160" s="13">
        <f>IF($AE1160="","",SUMIFS('ORDENES'!$M$4:$M$1203,'ORDENES'!$AE$4:$AE$1203,$AE1160,'ORDENES'!$O$4:$O$1203,$O1160,'ORDENES'!$R$4:$R$1203,$R1160))</f>
        <v/>
      </c>
      <c r="AH1160" s="13">
        <f>IF($AG1160="","",p_factor_productividad*IFERROR(INDEX('ASIGNACIONES'!$I$4:$I$339,MATCH($O1160&amp;"|"&amp;$R1160&amp;"|"&amp;$AE1160,'ASIGNACIONES'!$J$4:$J$339,0)),0)-$AG1160)</f>
        <v/>
      </c>
      <c r="AI1160" s="10">
        <f>IF($A1160="","",IFERROR(INDEX('2_IMPORTAR_EJECUCION'!$F$9:$F$1208,MATCH($AQ1160,'2_IMPORTAR_EJECUCION'!$J$9:$J$1208,0)),0))</f>
        <v/>
      </c>
      <c r="AJ1160" s="10">
        <f>IF($A1160="","",MAX(0,IFERROR(INDEX('2_IMPORTAR_EJECUCION'!$H$9:$H$1208,MATCH($AQ1160,'2_IMPORTAR_EJECUCION'!$J$9:$J$1208,0)),0)-$AI1160))</f>
        <v/>
      </c>
      <c r="AK1160" s="10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2">
        <f>IF($J1161="","",TODAY()-$J1161)</f>
        <v/>
      </c>
      <c r="AB1161" s="12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F$4:$F$339,MATCH($O1161&amp;"|"&amp;$R1161&amp;"|"&amp;$AE1161,'ASIGNACIONES'!$J$4:$J$339,0)),""))=0,"",IFERROR(INDEX('ASIGNACIONES'!$F$4:$F$339,MATCH($O1161&amp;"|"&amp;$R1161&amp;"|"&amp;$AE1161,'ASIGNACIONES'!$J$4:$J$339,0)),"")))</f>
        <v/>
      </c>
      <c r="AG1161" s="13">
        <f>IF($AE1161="","",SUMIFS('ORDENES'!$M$4:$M$1203,'ORDENES'!$AE$4:$AE$1203,$AE1161,'ORDENES'!$O$4:$O$1203,$O1161,'ORDENES'!$R$4:$R$1203,$R1161))</f>
        <v/>
      </c>
      <c r="AH1161" s="13">
        <f>IF($AG1161="","",p_factor_productividad*IFERROR(INDEX('ASIGNACIONES'!$I$4:$I$339,MATCH($O1161&amp;"|"&amp;$R1161&amp;"|"&amp;$AE1161,'ASIGNACIONES'!$J$4:$J$339,0)),0)-$AG1161)</f>
        <v/>
      </c>
      <c r="AI1161" s="10">
        <f>IF($A1161="","",IFERROR(INDEX('2_IMPORTAR_EJECUCION'!$F$9:$F$1208,MATCH($AQ1161,'2_IMPORTAR_EJECUCION'!$J$9:$J$1208,0)),0))</f>
        <v/>
      </c>
      <c r="AJ1161" s="10">
        <f>IF($A1161="","",MAX(0,IFERROR(INDEX('2_IMPORTAR_EJECUCION'!$H$9:$H$1208,MATCH($AQ1161,'2_IMPORTAR_EJECUCION'!$J$9:$J$1208,0)),0)-$AI1161))</f>
        <v/>
      </c>
      <c r="AK1161" s="10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2">
        <f>IF($J1162="","",TODAY()-$J1162)</f>
        <v/>
      </c>
      <c r="AB1162" s="12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F$4:$F$339,MATCH($O1162&amp;"|"&amp;$R1162&amp;"|"&amp;$AE1162,'ASIGNACIONES'!$J$4:$J$339,0)),""))=0,"",IFERROR(INDEX('ASIGNACIONES'!$F$4:$F$339,MATCH($O1162&amp;"|"&amp;$R1162&amp;"|"&amp;$AE1162,'ASIGNACIONES'!$J$4:$J$339,0)),"")))</f>
        <v/>
      </c>
      <c r="AG1162" s="13">
        <f>IF($AE1162="","",SUMIFS('ORDENES'!$M$4:$M$1203,'ORDENES'!$AE$4:$AE$1203,$AE1162,'ORDENES'!$O$4:$O$1203,$O1162,'ORDENES'!$R$4:$R$1203,$R1162))</f>
        <v/>
      </c>
      <c r="AH1162" s="13">
        <f>IF($AG1162="","",p_factor_productividad*IFERROR(INDEX('ASIGNACIONES'!$I$4:$I$339,MATCH($O1162&amp;"|"&amp;$R1162&amp;"|"&amp;$AE1162,'ASIGNACIONES'!$J$4:$J$339,0)),0)-$AG1162)</f>
        <v/>
      </c>
      <c r="AI1162" s="10">
        <f>IF($A1162="","",IFERROR(INDEX('2_IMPORTAR_EJECUCION'!$F$9:$F$1208,MATCH($AQ1162,'2_IMPORTAR_EJECUCION'!$J$9:$J$1208,0)),0))</f>
        <v/>
      </c>
      <c r="AJ1162" s="10">
        <f>IF($A1162="","",MAX(0,IFERROR(INDEX('2_IMPORTAR_EJECUCION'!$H$9:$H$1208,MATCH($AQ1162,'2_IMPORTAR_EJECUCION'!$J$9:$J$1208,0)),0)-$AI1162))</f>
        <v/>
      </c>
      <c r="AK1162" s="10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2">
        <f>IF($J1163="","",TODAY()-$J1163)</f>
        <v/>
      </c>
      <c r="AB1163" s="12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F$4:$F$339,MATCH($O1163&amp;"|"&amp;$R1163&amp;"|"&amp;$AE1163,'ASIGNACIONES'!$J$4:$J$339,0)),""))=0,"",IFERROR(INDEX('ASIGNACIONES'!$F$4:$F$339,MATCH($O1163&amp;"|"&amp;$R1163&amp;"|"&amp;$AE1163,'ASIGNACIONES'!$J$4:$J$339,0)),"")))</f>
        <v/>
      </c>
      <c r="AG1163" s="13">
        <f>IF($AE1163="","",SUMIFS('ORDENES'!$M$4:$M$1203,'ORDENES'!$AE$4:$AE$1203,$AE1163,'ORDENES'!$O$4:$O$1203,$O1163,'ORDENES'!$R$4:$R$1203,$R1163))</f>
        <v/>
      </c>
      <c r="AH1163" s="13">
        <f>IF($AG1163="","",p_factor_productividad*IFERROR(INDEX('ASIGNACIONES'!$I$4:$I$339,MATCH($O1163&amp;"|"&amp;$R1163&amp;"|"&amp;$AE1163,'ASIGNACIONES'!$J$4:$J$339,0)),0)-$AG1163)</f>
        <v/>
      </c>
      <c r="AI1163" s="10">
        <f>IF($A1163="","",IFERROR(INDEX('2_IMPORTAR_EJECUCION'!$F$9:$F$1208,MATCH($AQ1163,'2_IMPORTAR_EJECUCION'!$J$9:$J$1208,0)),0))</f>
        <v/>
      </c>
      <c r="AJ1163" s="10">
        <f>IF($A1163="","",MAX(0,IFERROR(INDEX('2_IMPORTAR_EJECUCION'!$H$9:$H$1208,MATCH($AQ1163,'2_IMPORTAR_EJECUCION'!$J$9:$J$1208,0)),0)-$AI1163))</f>
        <v/>
      </c>
      <c r="AK1163" s="10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2">
        <f>IF($J1164="","",TODAY()-$J1164)</f>
        <v/>
      </c>
      <c r="AB1164" s="12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F$4:$F$339,MATCH($O1164&amp;"|"&amp;$R1164&amp;"|"&amp;$AE1164,'ASIGNACIONES'!$J$4:$J$339,0)),""))=0,"",IFERROR(INDEX('ASIGNACIONES'!$F$4:$F$339,MATCH($O1164&amp;"|"&amp;$R1164&amp;"|"&amp;$AE1164,'ASIGNACIONES'!$J$4:$J$339,0)),"")))</f>
        <v/>
      </c>
      <c r="AG1164" s="13">
        <f>IF($AE1164="","",SUMIFS('ORDENES'!$M$4:$M$1203,'ORDENES'!$AE$4:$AE$1203,$AE1164,'ORDENES'!$O$4:$O$1203,$O1164,'ORDENES'!$R$4:$R$1203,$R1164))</f>
        <v/>
      </c>
      <c r="AH1164" s="13">
        <f>IF($AG1164="","",p_factor_productividad*IFERROR(INDEX('ASIGNACIONES'!$I$4:$I$339,MATCH($O1164&amp;"|"&amp;$R1164&amp;"|"&amp;$AE1164,'ASIGNACIONES'!$J$4:$J$339,0)),0)-$AG1164)</f>
        <v/>
      </c>
      <c r="AI1164" s="10">
        <f>IF($A1164="","",IFERROR(INDEX('2_IMPORTAR_EJECUCION'!$F$9:$F$1208,MATCH($AQ1164,'2_IMPORTAR_EJECUCION'!$J$9:$J$1208,0)),0))</f>
        <v/>
      </c>
      <c r="AJ1164" s="10">
        <f>IF($A1164="","",MAX(0,IFERROR(INDEX('2_IMPORTAR_EJECUCION'!$H$9:$H$1208,MATCH($AQ1164,'2_IMPORTAR_EJECUCION'!$J$9:$J$1208,0)),0)-$AI1164))</f>
        <v/>
      </c>
      <c r="AK1164" s="10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2">
        <f>IF($J1165="","",TODAY()-$J1165)</f>
        <v/>
      </c>
      <c r="AB1165" s="12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F$4:$F$339,MATCH($O1165&amp;"|"&amp;$R1165&amp;"|"&amp;$AE1165,'ASIGNACIONES'!$J$4:$J$339,0)),""))=0,"",IFERROR(INDEX('ASIGNACIONES'!$F$4:$F$339,MATCH($O1165&amp;"|"&amp;$R1165&amp;"|"&amp;$AE1165,'ASIGNACIONES'!$J$4:$J$339,0)),"")))</f>
        <v/>
      </c>
      <c r="AG1165" s="13">
        <f>IF($AE1165="","",SUMIFS('ORDENES'!$M$4:$M$1203,'ORDENES'!$AE$4:$AE$1203,$AE1165,'ORDENES'!$O$4:$O$1203,$O1165,'ORDENES'!$R$4:$R$1203,$R1165))</f>
        <v/>
      </c>
      <c r="AH1165" s="13">
        <f>IF($AG1165="","",p_factor_productividad*IFERROR(INDEX('ASIGNACIONES'!$I$4:$I$339,MATCH($O1165&amp;"|"&amp;$R1165&amp;"|"&amp;$AE1165,'ASIGNACIONES'!$J$4:$J$339,0)),0)-$AG1165)</f>
        <v/>
      </c>
      <c r="AI1165" s="10">
        <f>IF($A1165="","",IFERROR(INDEX('2_IMPORTAR_EJECUCION'!$F$9:$F$1208,MATCH($AQ1165,'2_IMPORTAR_EJECUCION'!$J$9:$J$1208,0)),0))</f>
        <v/>
      </c>
      <c r="AJ1165" s="10">
        <f>IF($A1165="","",MAX(0,IFERROR(INDEX('2_IMPORTAR_EJECUCION'!$H$9:$H$1208,MATCH($AQ1165,'2_IMPORTAR_EJECUCION'!$J$9:$J$1208,0)),0)-$AI1165))</f>
        <v/>
      </c>
      <c r="AK1165" s="10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2">
        <f>IF($J1166="","",TODAY()-$J1166)</f>
        <v/>
      </c>
      <c r="AB1166" s="12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F$4:$F$339,MATCH($O1166&amp;"|"&amp;$R1166&amp;"|"&amp;$AE1166,'ASIGNACIONES'!$J$4:$J$339,0)),""))=0,"",IFERROR(INDEX('ASIGNACIONES'!$F$4:$F$339,MATCH($O1166&amp;"|"&amp;$R1166&amp;"|"&amp;$AE1166,'ASIGNACIONES'!$J$4:$J$339,0)),"")))</f>
        <v/>
      </c>
      <c r="AG1166" s="13">
        <f>IF($AE1166="","",SUMIFS('ORDENES'!$M$4:$M$1203,'ORDENES'!$AE$4:$AE$1203,$AE1166,'ORDENES'!$O$4:$O$1203,$O1166,'ORDENES'!$R$4:$R$1203,$R1166))</f>
        <v/>
      </c>
      <c r="AH1166" s="13">
        <f>IF($AG1166="","",p_factor_productividad*IFERROR(INDEX('ASIGNACIONES'!$I$4:$I$339,MATCH($O1166&amp;"|"&amp;$R1166&amp;"|"&amp;$AE1166,'ASIGNACIONES'!$J$4:$J$339,0)),0)-$AG1166)</f>
        <v/>
      </c>
      <c r="AI1166" s="10">
        <f>IF($A1166="","",IFERROR(INDEX('2_IMPORTAR_EJECUCION'!$F$9:$F$1208,MATCH($AQ1166,'2_IMPORTAR_EJECUCION'!$J$9:$J$1208,0)),0))</f>
        <v/>
      </c>
      <c r="AJ1166" s="10">
        <f>IF($A1166="","",MAX(0,IFERROR(INDEX('2_IMPORTAR_EJECUCION'!$H$9:$H$1208,MATCH($AQ1166,'2_IMPORTAR_EJECUCION'!$J$9:$J$1208,0)),0)-$AI1166))</f>
        <v/>
      </c>
      <c r="AK1166" s="10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2">
        <f>IF($J1167="","",TODAY()-$J1167)</f>
        <v/>
      </c>
      <c r="AB1167" s="12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F$4:$F$339,MATCH($O1167&amp;"|"&amp;$R1167&amp;"|"&amp;$AE1167,'ASIGNACIONES'!$J$4:$J$339,0)),""))=0,"",IFERROR(INDEX('ASIGNACIONES'!$F$4:$F$339,MATCH($O1167&amp;"|"&amp;$R1167&amp;"|"&amp;$AE1167,'ASIGNACIONES'!$J$4:$J$339,0)),"")))</f>
        <v/>
      </c>
      <c r="AG1167" s="13">
        <f>IF($AE1167="","",SUMIFS('ORDENES'!$M$4:$M$1203,'ORDENES'!$AE$4:$AE$1203,$AE1167,'ORDENES'!$O$4:$O$1203,$O1167,'ORDENES'!$R$4:$R$1203,$R1167))</f>
        <v/>
      </c>
      <c r="AH1167" s="13">
        <f>IF($AG1167="","",p_factor_productividad*IFERROR(INDEX('ASIGNACIONES'!$I$4:$I$339,MATCH($O1167&amp;"|"&amp;$R1167&amp;"|"&amp;$AE1167,'ASIGNACIONES'!$J$4:$J$339,0)),0)-$AG1167)</f>
        <v/>
      </c>
      <c r="AI1167" s="10">
        <f>IF($A1167="","",IFERROR(INDEX('2_IMPORTAR_EJECUCION'!$F$9:$F$1208,MATCH($AQ1167,'2_IMPORTAR_EJECUCION'!$J$9:$J$1208,0)),0))</f>
        <v/>
      </c>
      <c r="AJ1167" s="10">
        <f>IF($A1167="","",MAX(0,IFERROR(INDEX('2_IMPORTAR_EJECUCION'!$H$9:$H$1208,MATCH($AQ1167,'2_IMPORTAR_EJECUCION'!$J$9:$J$1208,0)),0)-$AI1167))</f>
        <v/>
      </c>
      <c r="AK1167" s="10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2">
        <f>IF($J1168="","",TODAY()-$J1168)</f>
        <v/>
      </c>
      <c r="AB1168" s="12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F$4:$F$339,MATCH($O1168&amp;"|"&amp;$R1168&amp;"|"&amp;$AE1168,'ASIGNACIONES'!$J$4:$J$339,0)),""))=0,"",IFERROR(INDEX('ASIGNACIONES'!$F$4:$F$339,MATCH($O1168&amp;"|"&amp;$R1168&amp;"|"&amp;$AE1168,'ASIGNACIONES'!$J$4:$J$339,0)),"")))</f>
        <v/>
      </c>
      <c r="AG1168" s="13">
        <f>IF($AE1168="","",SUMIFS('ORDENES'!$M$4:$M$1203,'ORDENES'!$AE$4:$AE$1203,$AE1168,'ORDENES'!$O$4:$O$1203,$O1168,'ORDENES'!$R$4:$R$1203,$R1168))</f>
        <v/>
      </c>
      <c r="AH1168" s="13">
        <f>IF($AG1168="","",p_factor_productividad*IFERROR(INDEX('ASIGNACIONES'!$I$4:$I$339,MATCH($O1168&amp;"|"&amp;$R1168&amp;"|"&amp;$AE1168,'ASIGNACIONES'!$J$4:$J$339,0)),0)-$AG1168)</f>
        <v/>
      </c>
      <c r="AI1168" s="10">
        <f>IF($A1168="","",IFERROR(INDEX('2_IMPORTAR_EJECUCION'!$F$9:$F$1208,MATCH($AQ1168,'2_IMPORTAR_EJECUCION'!$J$9:$J$1208,0)),0))</f>
        <v/>
      </c>
      <c r="AJ1168" s="10">
        <f>IF($A1168="","",MAX(0,IFERROR(INDEX('2_IMPORTAR_EJECUCION'!$H$9:$H$1208,MATCH($AQ1168,'2_IMPORTAR_EJECUCION'!$J$9:$J$1208,0)),0)-$AI1168))</f>
        <v/>
      </c>
      <c r="AK1168" s="10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2">
        <f>IF($J1169="","",TODAY()-$J1169)</f>
        <v/>
      </c>
      <c r="AB1169" s="12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F$4:$F$339,MATCH($O1169&amp;"|"&amp;$R1169&amp;"|"&amp;$AE1169,'ASIGNACIONES'!$J$4:$J$339,0)),""))=0,"",IFERROR(INDEX('ASIGNACIONES'!$F$4:$F$339,MATCH($O1169&amp;"|"&amp;$R1169&amp;"|"&amp;$AE1169,'ASIGNACIONES'!$J$4:$J$339,0)),"")))</f>
        <v/>
      </c>
      <c r="AG1169" s="13">
        <f>IF($AE1169="","",SUMIFS('ORDENES'!$M$4:$M$1203,'ORDENES'!$AE$4:$AE$1203,$AE1169,'ORDENES'!$O$4:$O$1203,$O1169,'ORDENES'!$R$4:$R$1203,$R1169))</f>
        <v/>
      </c>
      <c r="AH1169" s="13">
        <f>IF($AG1169="","",p_factor_productividad*IFERROR(INDEX('ASIGNACIONES'!$I$4:$I$339,MATCH($O1169&amp;"|"&amp;$R1169&amp;"|"&amp;$AE1169,'ASIGNACIONES'!$J$4:$J$339,0)),0)-$AG1169)</f>
        <v/>
      </c>
      <c r="AI1169" s="10">
        <f>IF($A1169="","",IFERROR(INDEX('2_IMPORTAR_EJECUCION'!$F$9:$F$1208,MATCH($AQ1169,'2_IMPORTAR_EJECUCION'!$J$9:$J$1208,0)),0))</f>
        <v/>
      </c>
      <c r="AJ1169" s="10">
        <f>IF($A1169="","",MAX(0,IFERROR(INDEX('2_IMPORTAR_EJECUCION'!$H$9:$H$1208,MATCH($AQ1169,'2_IMPORTAR_EJECUCION'!$J$9:$J$1208,0)),0)-$AI1169))</f>
        <v/>
      </c>
      <c r="AK1169" s="10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2">
        <f>IF($J1170="","",TODAY()-$J1170)</f>
        <v/>
      </c>
      <c r="AB1170" s="12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F$4:$F$339,MATCH($O1170&amp;"|"&amp;$R1170&amp;"|"&amp;$AE1170,'ASIGNACIONES'!$J$4:$J$339,0)),""))=0,"",IFERROR(INDEX('ASIGNACIONES'!$F$4:$F$339,MATCH($O1170&amp;"|"&amp;$R1170&amp;"|"&amp;$AE1170,'ASIGNACIONES'!$J$4:$J$339,0)),"")))</f>
        <v/>
      </c>
      <c r="AG1170" s="13">
        <f>IF($AE1170="","",SUMIFS('ORDENES'!$M$4:$M$1203,'ORDENES'!$AE$4:$AE$1203,$AE1170,'ORDENES'!$O$4:$O$1203,$O1170,'ORDENES'!$R$4:$R$1203,$R1170))</f>
        <v/>
      </c>
      <c r="AH1170" s="13">
        <f>IF($AG1170="","",p_factor_productividad*IFERROR(INDEX('ASIGNACIONES'!$I$4:$I$339,MATCH($O1170&amp;"|"&amp;$R1170&amp;"|"&amp;$AE1170,'ASIGNACIONES'!$J$4:$J$339,0)),0)-$AG1170)</f>
        <v/>
      </c>
      <c r="AI1170" s="10">
        <f>IF($A1170="","",IFERROR(INDEX('2_IMPORTAR_EJECUCION'!$F$9:$F$1208,MATCH($AQ1170,'2_IMPORTAR_EJECUCION'!$J$9:$J$1208,0)),0))</f>
        <v/>
      </c>
      <c r="AJ1170" s="10">
        <f>IF($A1170="","",MAX(0,IFERROR(INDEX('2_IMPORTAR_EJECUCION'!$H$9:$H$1208,MATCH($AQ1170,'2_IMPORTAR_EJECUCION'!$J$9:$J$1208,0)),0)-$AI1170))</f>
        <v/>
      </c>
      <c r="AK1170" s="10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2">
        <f>IF($J1171="","",TODAY()-$J1171)</f>
        <v/>
      </c>
      <c r="AB1171" s="12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F$4:$F$339,MATCH($O1171&amp;"|"&amp;$R1171&amp;"|"&amp;$AE1171,'ASIGNACIONES'!$J$4:$J$339,0)),""))=0,"",IFERROR(INDEX('ASIGNACIONES'!$F$4:$F$339,MATCH($O1171&amp;"|"&amp;$R1171&amp;"|"&amp;$AE1171,'ASIGNACIONES'!$J$4:$J$339,0)),"")))</f>
        <v/>
      </c>
      <c r="AG1171" s="13">
        <f>IF($AE1171="","",SUMIFS('ORDENES'!$M$4:$M$1203,'ORDENES'!$AE$4:$AE$1203,$AE1171,'ORDENES'!$O$4:$O$1203,$O1171,'ORDENES'!$R$4:$R$1203,$R1171))</f>
        <v/>
      </c>
      <c r="AH1171" s="13">
        <f>IF($AG1171="","",p_factor_productividad*IFERROR(INDEX('ASIGNACIONES'!$I$4:$I$339,MATCH($O1171&amp;"|"&amp;$R1171&amp;"|"&amp;$AE1171,'ASIGNACIONES'!$J$4:$J$339,0)),0)-$AG1171)</f>
        <v/>
      </c>
      <c r="AI1171" s="10">
        <f>IF($A1171="","",IFERROR(INDEX('2_IMPORTAR_EJECUCION'!$F$9:$F$1208,MATCH($AQ1171,'2_IMPORTAR_EJECUCION'!$J$9:$J$1208,0)),0))</f>
        <v/>
      </c>
      <c r="AJ1171" s="10">
        <f>IF($A1171="","",MAX(0,IFERROR(INDEX('2_IMPORTAR_EJECUCION'!$H$9:$H$1208,MATCH($AQ1171,'2_IMPORTAR_EJECUCION'!$J$9:$J$1208,0)),0)-$AI1171))</f>
        <v/>
      </c>
      <c r="AK1171" s="10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2">
        <f>IF($J1172="","",TODAY()-$J1172)</f>
        <v/>
      </c>
      <c r="AB1172" s="12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F$4:$F$339,MATCH($O1172&amp;"|"&amp;$R1172&amp;"|"&amp;$AE1172,'ASIGNACIONES'!$J$4:$J$339,0)),""))=0,"",IFERROR(INDEX('ASIGNACIONES'!$F$4:$F$339,MATCH($O1172&amp;"|"&amp;$R1172&amp;"|"&amp;$AE1172,'ASIGNACIONES'!$J$4:$J$339,0)),"")))</f>
        <v/>
      </c>
      <c r="AG1172" s="13">
        <f>IF($AE1172="","",SUMIFS('ORDENES'!$M$4:$M$1203,'ORDENES'!$AE$4:$AE$1203,$AE1172,'ORDENES'!$O$4:$O$1203,$O1172,'ORDENES'!$R$4:$R$1203,$R1172))</f>
        <v/>
      </c>
      <c r="AH1172" s="13">
        <f>IF($AG1172="","",p_factor_productividad*IFERROR(INDEX('ASIGNACIONES'!$I$4:$I$339,MATCH($O1172&amp;"|"&amp;$R1172&amp;"|"&amp;$AE1172,'ASIGNACIONES'!$J$4:$J$339,0)),0)-$AG1172)</f>
        <v/>
      </c>
      <c r="AI1172" s="10">
        <f>IF($A1172="","",IFERROR(INDEX('2_IMPORTAR_EJECUCION'!$F$9:$F$1208,MATCH($AQ1172,'2_IMPORTAR_EJECUCION'!$J$9:$J$1208,0)),0))</f>
        <v/>
      </c>
      <c r="AJ1172" s="10">
        <f>IF($A1172="","",MAX(0,IFERROR(INDEX('2_IMPORTAR_EJECUCION'!$H$9:$H$1208,MATCH($AQ1172,'2_IMPORTAR_EJECUCION'!$J$9:$J$1208,0)),0)-$AI1172))</f>
        <v/>
      </c>
      <c r="AK1172" s="10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2">
        <f>IF($J1173="","",TODAY()-$J1173)</f>
        <v/>
      </c>
      <c r="AB1173" s="12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F$4:$F$339,MATCH($O1173&amp;"|"&amp;$R1173&amp;"|"&amp;$AE1173,'ASIGNACIONES'!$J$4:$J$339,0)),""))=0,"",IFERROR(INDEX('ASIGNACIONES'!$F$4:$F$339,MATCH($O1173&amp;"|"&amp;$R1173&amp;"|"&amp;$AE1173,'ASIGNACIONES'!$J$4:$J$339,0)),"")))</f>
        <v/>
      </c>
      <c r="AG1173" s="13">
        <f>IF($AE1173="","",SUMIFS('ORDENES'!$M$4:$M$1203,'ORDENES'!$AE$4:$AE$1203,$AE1173,'ORDENES'!$O$4:$O$1203,$O1173,'ORDENES'!$R$4:$R$1203,$R1173))</f>
        <v/>
      </c>
      <c r="AH1173" s="13">
        <f>IF($AG1173="","",p_factor_productividad*IFERROR(INDEX('ASIGNACIONES'!$I$4:$I$339,MATCH($O1173&amp;"|"&amp;$R1173&amp;"|"&amp;$AE1173,'ASIGNACIONES'!$J$4:$J$339,0)),0)-$AG1173)</f>
        <v/>
      </c>
      <c r="AI1173" s="10">
        <f>IF($A1173="","",IFERROR(INDEX('2_IMPORTAR_EJECUCION'!$F$9:$F$1208,MATCH($AQ1173,'2_IMPORTAR_EJECUCION'!$J$9:$J$1208,0)),0))</f>
        <v/>
      </c>
      <c r="AJ1173" s="10">
        <f>IF($A1173="","",MAX(0,IFERROR(INDEX('2_IMPORTAR_EJECUCION'!$H$9:$H$1208,MATCH($AQ1173,'2_IMPORTAR_EJECUCION'!$J$9:$J$1208,0)),0)-$AI1173))</f>
        <v/>
      </c>
      <c r="AK1173" s="10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2">
        <f>IF($J1174="","",TODAY()-$J1174)</f>
        <v/>
      </c>
      <c r="AB1174" s="12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F$4:$F$339,MATCH($O1174&amp;"|"&amp;$R1174&amp;"|"&amp;$AE1174,'ASIGNACIONES'!$J$4:$J$339,0)),""))=0,"",IFERROR(INDEX('ASIGNACIONES'!$F$4:$F$339,MATCH($O1174&amp;"|"&amp;$R1174&amp;"|"&amp;$AE1174,'ASIGNACIONES'!$J$4:$J$339,0)),"")))</f>
        <v/>
      </c>
      <c r="AG1174" s="13">
        <f>IF($AE1174="","",SUMIFS('ORDENES'!$M$4:$M$1203,'ORDENES'!$AE$4:$AE$1203,$AE1174,'ORDENES'!$O$4:$O$1203,$O1174,'ORDENES'!$R$4:$R$1203,$R1174))</f>
        <v/>
      </c>
      <c r="AH1174" s="13">
        <f>IF($AG1174="","",p_factor_productividad*IFERROR(INDEX('ASIGNACIONES'!$I$4:$I$339,MATCH($O1174&amp;"|"&amp;$R1174&amp;"|"&amp;$AE1174,'ASIGNACIONES'!$J$4:$J$339,0)),0)-$AG1174)</f>
        <v/>
      </c>
      <c r="AI1174" s="10">
        <f>IF($A1174="","",IFERROR(INDEX('2_IMPORTAR_EJECUCION'!$F$9:$F$1208,MATCH($AQ1174,'2_IMPORTAR_EJECUCION'!$J$9:$J$1208,0)),0))</f>
        <v/>
      </c>
      <c r="AJ1174" s="10">
        <f>IF($A1174="","",MAX(0,IFERROR(INDEX('2_IMPORTAR_EJECUCION'!$H$9:$H$1208,MATCH($AQ1174,'2_IMPORTAR_EJECUCION'!$J$9:$J$1208,0)),0)-$AI1174))</f>
        <v/>
      </c>
      <c r="AK1174" s="10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2">
        <f>IF($J1175="","",TODAY()-$J1175)</f>
        <v/>
      </c>
      <c r="AB1175" s="12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F$4:$F$339,MATCH($O1175&amp;"|"&amp;$R1175&amp;"|"&amp;$AE1175,'ASIGNACIONES'!$J$4:$J$339,0)),""))=0,"",IFERROR(INDEX('ASIGNACIONES'!$F$4:$F$339,MATCH($O1175&amp;"|"&amp;$R1175&amp;"|"&amp;$AE1175,'ASIGNACIONES'!$J$4:$J$339,0)),"")))</f>
        <v/>
      </c>
      <c r="AG1175" s="13">
        <f>IF($AE1175="","",SUMIFS('ORDENES'!$M$4:$M$1203,'ORDENES'!$AE$4:$AE$1203,$AE1175,'ORDENES'!$O$4:$O$1203,$O1175,'ORDENES'!$R$4:$R$1203,$R1175))</f>
        <v/>
      </c>
      <c r="AH1175" s="13">
        <f>IF($AG1175="","",p_factor_productividad*IFERROR(INDEX('ASIGNACIONES'!$I$4:$I$339,MATCH($O1175&amp;"|"&amp;$R1175&amp;"|"&amp;$AE1175,'ASIGNACIONES'!$J$4:$J$339,0)),0)-$AG1175)</f>
        <v/>
      </c>
      <c r="AI1175" s="10">
        <f>IF($A1175="","",IFERROR(INDEX('2_IMPORTAR_EJECUCION'!$F$9:$F$1208,MATCH($AQ1175,'2_IMPORTAR_EJECUCION'!$J$9:$J$1208,0)),0))</f>
        <v/>
      </c>
      <c r="AJ1175" s="10">
        <f>IF($A1175="","",MAX(0,IFERROR(INDEX('2_IMPORTAR_EJECUCION'!$H$9:$H$1208,MATCH($AQ1175,'2_IMPORTAR_EJECUCION'!$J$9:$J$1208,0)),0)-$AI1175))</f>
        <v/>
      </c>
      <c r="AK1175" s="10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2">
        <f>IF($J1176="","",TODAY()-$J1176)</f>
        <v/>
      </c>
      <c r="AB1176" s="12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F$4:$F$339,MATCH($O1176&amp;"|"&amp;$R1176&amp;"|"&amp;$AE1176,'ASIGNACIONES'!$J$4:$J$339,0)),""))=0,"",IFERROR(INDEX('ASIGNACIONES'!$F$4:$F$339,MATCH($O1176&amp;"|"&amp;$R1176&amp;"|"&amp;$AE1176,'ASIGNACIONES'!$J$4:$J$339,0)),"")))</f>
        <v/>
      </c>
      <c r="AG1176" s="13">
        <f>IF($AE1176="","",SUMIFS('ORDENES'!$M$4:$M$1203,'ORDENES'!$AE$4:$AE$1203,$AE1176,'ORDENES'!$O$4:$O$1203,$O1176,'ORDENES'!$R$4:$R$1203,$R1176))</f>
        <v/>
      </c>
      <c r="AH1176" s="13">
        <f>IF($AG1176="","",p_factor_productividad*IFERROR(INDEX('ASIGNACIONES'!$I$4:$I$339,MATCH($O1176&amp;"|"&amp;$R1176&amp;"|"&amp;$AE1176,'ASIGNACIONES'!$J$4:$J$339,0)),0)-$AG1176)</f>
        <v/>
      </c>
      <c r="AI1176" s="10">
        <f>IF($A1176="","",IFERROR(INDEX('2_IMPORTAR_EJECUCION'!$F$9:$F$1208,MATCH($AQ1176,'2_IMPORTAR_EJECUCION'!$J$9:$J$1208,0)),0))</f>
        <v/>
      </c>
      <c r="AJ1176" s="10">
        <f>IF($A1176="","",MAX(0,IFERROR(INDEX('2_IMPORTAR_EJECUCION'!$H$9:$H$1208,MATCH($AQ1176,'2_IMPORTAR_EJECUCION'!$J$9:$J$1208,0)),0)-$AI1176))</f>
        <v/>
      </c>
      <c r="AK1176" s="10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2">
        <f>IF($J1177="","",TODAY()-$J1177)</f>
        <v/>
      </c>
      <c r="AB1177" s="12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F$4:$F$339,MATCH($O1177&amp;"|"&amp;$R1177&amp;"|"&amp;$AE1177,'ASIGNACIONES'!$J$4:$J$339,0)),""))=0,"",IFERROR(INDEX('ASIGNACIONES'!$F$4:$F$339,MATCH($O1177&amp;"|"&amp;$R1177&amp;"|"&amp;$AE1177,'ASIGNACIONES'!$J$4:$J$339,0)),"")))</f>
        <v/>
      </c>
      <c r="AG1177" s="13">
        <f>IF($AE1177="","",SUMIFS('ORDENES'!$M$4:$M$1203,'ORDENES'!$AE$4:$AE$1203,$AE1177,'ORDENES'!$O$4:$O$1203,$O1177,'ORDENES'!$R$4:$R$1203,$R1177))</f>
        <v/>
      </c>
      <c r="AH1177" s="13">
        <f>IF($AG1177="","",p_factor_productividad*IFERROR(INDEX('ASIGNACIONES'!$I$4:$I$339,MATCH($O1177&amp;"|"&amp;$R1177&amp;"|"&amp;$AE1177,'ASIGNACIONES'!$J$4:$J$339,0)),0)-$AG1177)</f>
        <v/>
      </c>
      <c r="AI1177" s="10">
        <f>IF($A1177="","",IFERROR(INDEX('2_IMPORTAR_EJECUCION'!$F$9:$F$1208,MATCH($AQ1177,'2_IMPORTAR_EJECUCION'!$J$9:$J$1208,0)),0))</f>
        <v/>
      </c>
      <c r="AJ1177" s="10">
        <f>IF($A1177="","",MAX(0,IFERROR(INDEX('2_IMPORTAR_EJECUCION'!$H$9:$H$1208,MATCH($AQ1177,'2_IMPORTAR_EJECUCION'!$J$9:$J$1208,0)),0)-$AI1177))</f>
        <v/>
      </c>
      <c r="AK1177" s="10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2">
        <f>IF($J1178="","",TODAY()-$J1178)</f>
        <v/>
      </c>
      <c r="AB1178" s="12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F$4:$F$339,MATCH($O1178&amp;"|"&amp;$R1178&amp;"|"&amp;$AE1178,'ASIGNACIONES'!$J$4:$J$339,0)),""))=0,"",IFERROR(INDEX('ASIGNACIONES'!$F$4:$F$339,MATCH($O1178&amp;"|"&amp;$R1178&amp;"|"&amp;$AE1178,'ASIGNACIONES'!$J$4:$J$339,0)),"")))</f>
        <v/>
      </c>
      <c r="AG1178" s="13">
        <f>IF($AE1178="","",SUMIFS('ORDENES'!$M$4:$M$1203,'ORDENES'!$AE$4:$AE$1203,$AE1178,'ORDENES'!$O$4:$O$1203,$O1178,'ORDENES'!$R$4:$R$1203,$R1178))</f>
        <v/>
      </c>
      <c r="AH1178" s="13">
        <f>IF($AG1178="","",p_factor_productividad*IFERROR(INDEX('ASIGNACIONES'!$I$4:$I$339,MATCH($O1178&amp;"|"&amp;$R1178&amp;"|"&amp;$AE1178,'ASIGNACIONES'!$J$4:$J$339,0)),0)-$AG1178)</f>
        <v/>
      </c>
      <c r="AI1178" s="10">
        <f>IF($A1178="","",IFERROR(INDEX('2_IMPORTAR_EJECUCION'!$F$9:$F$1208,MATCH($AQ1178,'2_IMPORTAR_EJECUCION'!$J$9:$J$1208,0)),0))</f>
        <v/>
      </c>
      <c r="AJ1178" s="10">
        <f>IF($A1178="","",MAX(0,IFERROR(INDEX('2_IMPORTAR_EJECUCION'!$H$9:$H$1208,MATCH($AQ1178,'2_IMPORTAR_EJECUCION'!$J$9:$J$1208,0)),0)-$AI1178))</f>
        <v/>
      </c>
      <c r="AK1178" s="10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2">
        <f>IF($J1179="","",TODAY()-$J1179)</f>
        <v/>
      </c>
      <c r="AB1179" s="12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F$4:$F$339,MATCH($O1179&amp;"|"&amp;$R1179&amp;"|"&amp;$AE1179,'ASIGNACIONES'!$J$4:$J$339,0)),""))=0,"",IFERROR(INDEX('ASIGNACIONES'!$F$4:$F$339,MATCH($O1179&amp;"|"&amp;$R1179&amp;"|"&amp;$AE1179,'ASIGNACIONES'!$J$4:$J$339,0)),"")))</f>
        <v/>
      </c>
      <c r="AG1179" s="13">
        <f>IF($AE1179="","",SUMIFS('ORDENES'!$M$4:$M$1203,'ORDENES'!$AE$4:$AE$1203,$AE1179,'ORDENES'!$O$4:$O$1203,$O1179,'ORDENES'!$R$4:$R$1203,$R1179))</f>
        <v/>
      </c>
      <c r="AH1179" s="13">
        <f>IF($AG1179="","",p_factor_productividad*IFERROR(INDEX('ASIGNACIONES'!$I$4:$I$339,MATCH($O1179&amp;"|"&amp;$R1179&amp;"|"&amp;$AE1179,'ASIGNACIONES'!$J$4:$J$339,0)),0)-$AG1179)</f>
        <v/>
      </c>
      <c r="AI1179" s="10">
        <f>IF($A1179="","",IFERROR(INDEX('2_IMPORTAR_EJECUCION'!$F$9:$F$1208,MATCH($AQ1179,'2_IMPORTAR_EJECUCION'!$J$9:$J$1208,0)),0))</f>
        <v/>
      </c>
      <c r="AJ1179" s="10">
        <f>IF($A1179="","",MAX(0,IFERROR(INDEX('2_IMPORTAR_EJECUCION'!$H$9:$H$1208,MATCH($AQ1179,'2_IMPORTAR_EJECUCION'!$J$9:$J$1208,0)),0)-$AI1179))</f>
        <v/>
      </c>
      <c r="AK1179" s="10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2">
        <f>IF($J1180="","",TODAY()-$J1180)</f>
        <v/>
      </c>
      <c r="AB1180" s="12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F$4:$F$339,MATCH($O1180&amp;"|"&amp;$R1180&amp;"|"&amp;$AE1180,'ASIGNACIONES'!$J$4:$J$339,0)),""))=0,"",IFERROR(INDEX('ASIGNACIONES'!$F$4:$F$339,MATCH($O1180&amp;"|"&amp;$R1180&amp;"|"&amp;$AE1180,'ASIGNACIONES'!$J$4:$J$339,0)),"")))</f>
        <v/>
      </c>
      <c r="AG1180" s="13">
        <f>IF($AE1180="","",SUMIFS('ORDENES'!$M$4:$M$1203,'ORDENES'!$AE$4:$AE$1203,$AE1180,'ORDENES'!$O$4:$O$1203,$O1180,'ORDENES'!$R$4:$R$1203,$R1180))</f>
        <v/>
      </c>
      <c r="AH1180" s="13">
        <f>IF($AG1180="","",p_factor_productividad*IFERROR(INDEX('ASIGNACIONES'!$I$4:$I$339,MATCH($O1180&amp;"|"&amp;$R1180&amp;"|"&amp;$AE1180,'ASIGNACIONES'!$J$4:$J$339,0)),0)-$AG1180)</f>
        <v/>
      </c>
      <c r="AI1180" s="10">
        <f>IF($A1180="","",IFERROR(INDEX('2_IMPORTAR_EJECUCION'!$F$9:$F$1208,MATCH($AQ1180,'2_IMPORTAR_EJECUCION'!$J$9:$J$1208,0)),0))</f>
        <v/>
      </c>
      <c r="AJ1180" s="10">
        <f>IF($A1180="","",MAX(0,IFERROR(INDEX('2_IMPORTAR_EJECUCION'!$H$9:$H$1208,MATCH($AQ1180,'2_IMPORTAR_EJECUCION'!$J$9:$J$1208,0)),0)-$AI1180))</f>
        <v/>
      </c>
      <c r="AK1180" s="10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2">
        <f>IF($J1181="","",TODAY()-$J1181)</f>
        <v/>
      </c>
      <c r="AB1181" s="12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F$4:$F$339,MATCH($O1181&amp;"|"&amp;$R1181&amp;"|"&amp;$AE1181,'ASIGNACIONES'!$J$4:$J$339,0)),""))=0,"",IFERROR(INDEX('ASIGNACIONES'!$F$4:$F$339,MATCH($O1181&amp;"|"&amp;$R1181&amp;"|"&amp;$AE1181,'ASIGNACIONES'!$J$4:$J$339,0)),"")))</f>
        <v/>
      </c>
      <c r="AG1181" s="13">
        <f>IF($AE1181="","",SUMIFS('ORDENES'!$M$4:$M$1203,'ORDENES'!$AE$4:$AE$1203,$AE1181,'ORDENES'!$O$4:$O$1203,$O1181,'ORDENES'!$R$4:$R$1203,$R1181))</f>
        <v/>
      </c>
      <c r="AH1181" s="13">
        <f>IF($AG1181="","",p_factor_productividad*IFERROR(INDEX('ASIGNACIONES'!$I$4:$I$339,MATCH($O1181&amp;"|"&amp;$R1181&amp;"|"&amp;$AE1181,'ASIGNACIONES'!$J$4:$J$339,0)),0)-$AG1181)</f>
        <v/>
      </c>
      <c r="AI1181" s="10">
        <f>IF($A1181="","",IFERROR(INDEX('2_IMPORTAR_EJECUCION'!$F$9:$F$1208,MATCH($AQ1181,'2_IMPORTAR_EJECUCION'!$J$9:$J$1208,0)),0))</f>
        <v/>
      </c>
      <c r="AJ1181" s="10">
        <f>IF($A1181="","",MAX(0,IFERROR(INDEX('2_IMPORTAR_EJECUCION'!$H$9:$H$1208,MATCH($AQ1181,'2_IMPORTAR_EJECUCION'!$J$9:$J$1208,0)),0)-$AI1181))</f>
        <v/>
      </c>
      <c r="AK1181" s="10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2">
        <f>IF($J1182="","",TODAY()-$J1182)</f>
        <v/>
      </c>
      <c r="AB1182" s="12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F$4:$F$339,MATCH($O1182&amp;"|"&amp;$R1182&amp;"|"&amp;$AE1182,'ASIGNACIONES'!$J$4:$J$339,0)),""))=0,"",IFERROR(INDEX('ASIGNACIONES'!$F$4:$F$339,MATCH($O1182&amp;"|"&amp;$R1182&amp;"|"&amp;$AE1182,'ASIGNACIONES'!$J$4:$J$339,0)),"")))</f>
        <v/>
      </c>
      <c r="AG1182" s="13">
        <f>IF($AE1182="","",SUMIFS('ORDENES'!$M$4:$M$1203,'ORDENES'!$AE$4:$AE$1203,$AE1182,'ORDENES'!$O$4:$O$1203,$O1182,'ORDENES'!$R$4:$R$1203,$R1182))</f>
        <v/>
      </c>
      <c r="AH1182" s="13">
        <f>IF($AG1182="","",p_factor_productividad*IFERROR(INDEX('ASIGNACIONES'!$I$4:$I$339,MATCH($O1182&amp;"|"&amp;$R1182&amp;"|"&amp;$AE1182,'ASIGNACIONES'!$J$4:$J$339,0)),0)-$AG1182)</f>
        <v/>
      </c>
      <c r="AI1182" s="10">
        <f>IF($A1182="","",IFERROR(INDEX('2_IMPORTAR_EJECUCION'!$F$9:$F$1208,MATCH($AQ1182,'2_IMPORTAR_EJECUCION'!$J$9:$J$1208,0)),0))</f>
        <v/>
      </c>
      <c r="AJ1182" s="10">
        <f>IF($A1182="","",MAX(0,IFERROR(INDEX('2_IMPORTAR_EJECUCION'!$H$9:$H$1208,MATCH($AQ1182,'2_IMPORTAR_EJECUCION'!$J$9:$J$1208,0)),0)-$AI1182))</f>
        <v/>
      </c>
      <c r="AK1182" s="10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2">
        <f>IF($J1183="","",TODAY()-$J1183)</f>
        <v/>
      </c>
      <c r="AB1183" s="12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F$4:$F$339,MATCH($O1183&amp;"|"&amp;$R1183&amp;"|"&amp;$AE1183,'ASIGNACIONES'!$J$4:$J$339,0)),""))=0,"",IFERROR(INDEX('ASIGNACIONES'!$F$4:$F$339,MATCH($O1183&amp;"|"&amp;$R1183&amp;"|"&amp;$AE1183,'ASIGNACIONES'!$J$4:$J$339,0)),"")))</f>
        <v/>
      </c>
      <c r="AG1183" s="13">
        <f>IF($AE1183="","",SUMIFS('ORDENES'!$M$4:$M$1203,'ORDENES'!$AE$4:$AE$1203,$AE1183,'ORDENES'!$O$4:$O$1203,$O1183,'ORDENES'!$R$4:$R$1203,$R1183))</f>
        <v/>
      </c>
      <c r="AH1183" s="13">
        <f>IF($AG1183="","",p_factor_productividad*IFERROR(INDEX('ASIGNACIONES'!$I$4:$I$339,MATCH($O1183&amp;"|"&amp;$R1183&amp;"|"&amp;$AE1183,'ASIGNACIONES'!$J$4:$J$339,0)),0)-$AG1183)</f>
        <v/>
      </c>
      <c r="AI1183" s="10">
        <f>IF($A1183="","",IFERROR(INDEX('2_IMPORTAR_EJECUCION'!$F$9:$F$1208,MATCH($AQ1183,'2_IMPORTAR_EJECUCION'!$J$9:$J$1208,0)),0))</f>
        <v/>
      </c>
      <c r="AJ1183" s="10">
        <f>IF($A1183="","",MAX(0,IFERROR(INDEX('2_IMPORTAR_EJECUCION'!$H$9:$H$1208,MATCH($AQ1183,'2_IMPORTAR_EJECUCION'!$J$9:$J$1208,0)),0)-$AI1183))</f>
        <v/>
      </c>
      <c r="AK1183" s="10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2">
        <f>IF($J1184="","",TODAY()-$J1184)</f>
        <v/>
      </c>
      <c r="AB1184" s="12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F$4:$F$339,MATCH($O1184&amp;"|"&amp;$R1184&amp;"|"&amp;$AE1184,'ASIGNACIONES'!$J$4:$J$339,0)),""))=0,"",IFERROR(INDEX('ASIGNACIONES'!$F$4:$F$339,MATCH($O1184&amp;"|"&amp;$R1184&amp;"|"&amp;$AE1184,'ASIGNACIONES'!$J$4:$J$339,0)),"")))</f>
        <v/>
      </c>
      <c r="AG1184" s="13">
        <f>IF($AE1184="","",SUMIFS('ORDENES'!$M$4:$M$1203,'ORDENES'!$AE$4:$AE$1203,$AE1184,'ORDENES'!$O$4:$O$1203,$O1184,'ORDENES'!$R$4:$R$1203,$R1184))</f>
        <v/>
      </c>
      <c r="AH1184" s="13">
        <f>IF($AG1184="","",p_factor_productividad*IFERROR(INDEX('ASIGNACIONES'!$I$4:$I$339,MATCH($O1184&amp;"|"&amp;$R1184&amp;"|"&amp;$AE1184,'ASIGNACIONES'!$J$4:$J$339,0)),0)-$AG1184)</f>
        <v/>
      </c>
      <c r="AI1184" s="10">
        <f>IF($A1184="","",IFERROR(INDEX('2_IMPORTAR_EJECUCION'!$F$9:$F$1208,MATCH($AQ1184,'2_IMPORTAR_EJECUCION'!$J$9:$J$1208,0)),0))</f>
        <v/>
      </c>
      <c r="AJ1184" s="10">
        <f>IF($A1184="","",MAX(0,IFERROR(INDEX('2_IMPORTAR_EJECUCION'!$H$9:$H$1208,MATCH($AQ1184,'2_IMPORTAR_EJECUCION'!$J$9:$J$1208,0)),0)-$AI1184))</f>
        <v/>
      </c>
      <c r="AK1184" s="10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2">
        <f>IF($J1185="","",TODAY()-$J1185)</f>
        <v/>
      </c>
      <c r="AB1185" s="12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F$4:$F$339,MATCH($O1185&amp;"|"&amp;$R1185&amp;"|"&amp;$AE1185,'ASIGNACIONES'!$J$4:$J$339,0)),""))=0,"",IFERROR(INDEX('ASIGNACIONES'!$F$4:$F$339,MATCH($O1185&amp;"|"&amp;$R1185&amp;"|"&amp;$AE1185,'ASIGNACIONES'!$J$4:$J$339,0)),"")))</f>
        <v/>
      </c>
      <c r="AG1185" s="13">
        <f>IF($AE1185="","",SUMIFS('ORDENES'!$M$4:$M$1203,'ORDENES'!$AE$4:$AE$1203,$AE1185,'ORDENES'!$O$4:$O$1203,$O1185,'ORDENES'!$R$4:$R$1203,$R1185))</f>
        <v/>
      </c>
      <c r="AH1185" s="13">
        <f>IF($AG1185="","",p_factor_productividad*IFERROR(INDEX('ASIGNACIONES'!$I$4:$I$339,MATCH($O1185&amp;"|"&amp;$R1185&amp;"|"&amp;$AE1185,'ASIGNACIONES'!$J$4:$J$339,0)),0)-$AG1185)</f>
        <v/>
      </c>
      <c r="AI1185" s="10">
        <f>IF($A1185="","",IFERROR(INDEX('2_IMPORTAR_EJECUCION'!$F$9:$F$1208,MATCH($AQ1185,'2_IMPORTAR_EJECUCION'!$J$9:$J$1208,0)),0))</f>
        <v/>
      </c>
      <c r="AJ1185" s="10">
        <f>IF($A1185="","",MAX(0,IFERROR(INDEX('2_IMPORTAR_EJECUCION'!$H$9:$H$1208,MATCH($AQ1185,'2_IMPORTAR_EJECUCION'!$J$9:$J$1208,0)),0)-$AI1185))</f>
        <v/>
      </c>
      <c r="AK1185" s="10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2">
        <f>IF($J1186="","",TODAY()-$J1186)</f>
        <v/>
      </c>
      <c r="AB1186" s="12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F$4:$F$339,MATCH($O1186&amp;"|"&amp;$R1186&amp;"|"&amp;$AE1186,'ASIGNACIONES'!$J$4:$J$339,0)),""))=0,"",IFERROR(INDEX('ASIGNACIONES'!$F$4:$F$339,MATCH($O1186&amp;"|"&amp;$R1186&amp;"|"&amp;$AE1186,'ASIGNACIONES'!$J$4:$J$339,0)),"")))</f>
        <v/>
      </c>
      <c r="AG1186" s="13">
        <f>IF($AE1186="","",SUMIFS('ORDENES'!$M$4:$M$1203,'ORDENES'!$AE$4:$AE$1203,$AE1186,'ORDENES'!$O$4:$O$1203,$O1186,'ORDENES'!$R$4:$R$1203,$R1186))</f>
        <v/>
      </c>
      <c r="AH1186" s="13">
        <f>IF($AG1186="","",p_factor_productividad*IFERROR(INDEX('ASIGNACIONES'!$I$4:$I$339,MATCH($O1186&amp;"|"&amp;$R1186&amp;"|"&amp;$AE1186,'ASIGNACIONES'!$J$4:$J$339,0)),0)-$AG1186)</f>
        <v/>
      </c>
      <c r="AI1186" s="10">
        <f>IF($A1186="","",IFERROR(INDEX('2_IMPORTAR_EJECUCION'!$F$9:$F$1208,MATCH($AQ1186,'2_IMPORTAR_EJECUCION'!$J$9:$J$1208,0)),0))</f>
        <v/>
      </c>
      <c r="AJ1186" s="10">
        <f>IF($A1186="","",MAX(0,IFERROR(INDEX('2_IMPORTAR_EJECUCION'!$H$9:$H$1208,MATCH($AQ1186,'2_IMPORTAR_EJECUCION'!$J$9:$J$1208,0)),0)-$AI1186))</f>
        <v/>
      </c>
      <c r="AK1186" s="10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2">
        <f>IF($J1187="","",TODAY()-$J1187)</f>
        <v/>
      </c>
      <c r="AB1187" s="12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F$4:$F$339,MATCH($O1187&amp;"|"&amp;$R1187&amp;"|"&amp;$AE1187,'ASIGNACIONES'!$J$4:$J$339,0)),""))=0,"",IFERROR(INDEX('ASIGNACIONES'!$F$4:$F$339,MATCH($O1187&amp;"|"&amp;$R1187&amp;"|"&amp;$AE1187,'ASIGNACIONES'!$J$4:$J$339,0)),"")))</f>
        <v/>
      </c>
      <c r="AG1187" s="13">
        <f>IF($AE1187="","",SUMIFS('ORDENES'!$M$4:$M$1203,'ORDENES'!$AE$4:$AE$1203,$AE1187,'ORDENES'!$O$4:$O$1203,$O1187,'ORDENES'!$R$4:$R$1203,$R1187))</f>
        <v/>
      </c>
      <c r="AH1187" s="13">
        <f>IF($AG1187="","",p_factor_productividad*IFERROR(INDEX('ASIGNACIONES'!$I$4:$I$339,MATCH($O1187&amp;"|"&amp;$R1187&amp;"|"&amp;$AE1187,'ASIGNACIONES'!$J$4:$J$339,0)),0)-$AG1187)</f>
        <v/>
      </c>
      <c r="AI1187" s="10">
        <f>IF($A1187="","",IFERROR(INDEX('2_IMPORTAR_EJECUCION'!$F$9:$F$1208,MATCH($AQ1187,'2_IMPORTAR_EJECUCION'!$J$9:$J$1208,0)),0))</f>
        <v/>
      </c>
      <c r="AJ1187" s="10">
        <f>IF($A1187="","",MAX(0,IFERROR(INDEX('2_IMPORTAR_EJECUCION'!$H$9:$H$1208,MATCH($AQ1187,'2_IMPORTAR_EJECUCION'!$J$9:$J$1208,0)),0)-$AI1187))</f>
        <v/>
      </c>
      <c r="AK1187" s="10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2">
        <f>IF($J1188="","",TODAY()-$J1188)</f>
        <v/>
      </c>
      <c r="AB1188" s="12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F$4:$F$339,MATCH($O1188&amp;"|"&amp;$R1188&amp;"|"&amp;$AE1188,'ASIGNACIONES'!$J$4:$J$339,0)),""))=0,"",IFERROR(INDEX('ASIGNACIONES'!$F$4:$F$339,MATCH($O1188&amp;"|"&amp;$R1188&amp;"|"&amp;$AE1188,'ASIGNACIONES'!$J$4:$J$339,0)),"")))</f>
        <v/>
      </c>
      <c r="AG1188" s="13">
        <f>IF($AE1188="","",SUMIFS('ORDENES'!$M$4:$M$1203,'ORDENES'!$AE$4:$AE$1203,$AE1188,'ORDENES'!$O$4:$O$1203,$O1188,'ORDENES'!$R$4:$R$1203,$R1188))</f>
        <v/>
      </c>
      <c r="AH1188" s="13">
        <f>IF($AG1188="","",p_factor_productividad*IFERROR(INDEX('ASIGNACIONES'!$I$4:$I$339,MATCH($O1188&amp;"|"&amp;$R1188&amp;"|"&amp;$AE1188,'ASIGNACIONES'!$J$4:$J$339,0)),0)-$AG1188)</f>
        <v/>
      </c>
      <c r="AI1188" s="10">
        <f>IF($A1188="","",IFERROR(INDEX('2_IMPORTAR_EJECUCION'!$F$9:$F$1208,MATCH($AQ1188,'2_IMPORTAR_EJECUCION'!$J$9:$J$1208,0)),0))</f>
        <v/>
      </c>
      <c r="AJ1188" s="10">
        <f>IF($A1188="","",MAX(0,IFERROR(INDEX('2_IMPORTAR_EJECUCION'!$H$9:$H$1208,MATCH($AQ1188,'2_IMPORTAR_EJECUCION'!$J$9:$J$1208,0)),0)-$AI1188))</f>
        <v/>
      </c>
      <c r="AK1188" s="10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2">
        <f>IF($J1189="","",TODAY()-$J1189)</f>
        <v/>
      </c>
      <c r="AB1189" s="12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F$4:$F$339,MATCH($O1189&amp;"|"&amp;$R1189&amp;"|"&amp;$AE1189,'ASIGNACIONES'!$J$4:$J$339,0)),""))=0,"",IFERROR(INDEX('ASIGNACIONES'!$F$4:$F$339,MATCH($O1189&amp;"|"&amp;$R1189&amp;"|"&amp;$AE1189,'ASIGNACIONES'!$J$4:$J$339,0)),"")))</f>
        <v/>
      </c>
      <c r="AG1189" s="13">
        <f>IF($AE1189="","",SUMIFS('ORDENES'!$M$4:$M$1203,'ORDENES'!$AE$4:$AE$1203,$AE1189,'ORDENES'!$O$4:$O$1203,$O1189,'ORDENES'!$R$4:$R$1203,$R1189))</f>
        <v/>
      </c>
      <c r="AH1189" s="13">
        <f>IF($AG1189="","",p_factor_productividad*IFERROR(INDEX('ASIGNACIONES'!$I$4:$I$339,MATCH($O1189&amp;"|"&amp;$R1189&amp;"|"&amp;$AE1189,'ASIGNACIONES'!$J$4:$J$339,0)),0)-$AG1189)</f>
        <v/>
      </c>
      <c r="AI1189" s="10">
        <f>IF($A1189="","",IFERROR(INDEX('2_IMPORTAR_EJECUCION'!$F$9:$F$1208,MATCH($AQ1189,'2_IMPORTAR_EJECUCION'!$J$9:$J$1208,0)),0))</f>
        <v/>
      </c>
      <c r="AJ1189" s="10">
        <f>IF($A1189="","",MAX(0,IFERROR(INDEX('2_IMPORTAR_EJECUCION'!$H$9:$H$1208,MATCH($AQ1189,'2_IMPORTAR_EJECUCION'!$J$9:$J$1208,0)),0)-$AI1189))</f>
        <v/>
      </c>
      <c r="AK1189" s="10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2">
        <f>IF($J1190="","",TODAY()-$J1190)</f>
        <v/>
      </c>
      <c r="AB1190" s="12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F$4:$F$339,MATCH($O1190&amp;"|"&amp;$R1190&amp;"|"&amp;$AE1190,'ASIGNACIONES'!$J$4:$J$339,0)),""))=0,"",IFERROR(INDEX('ASIGNACIONES'!$F$4:$F$339,MATCH($O1190&amp;"|"&amp;$R1190&amp;"|"&amp;$AE1190,'ASIGNACIONES'!$J$4:$J$339,0)),"")))</f>
        <v/>
      </c>
      <c r="AG1190" s="13">
        <f>IF($AE1190="","",SUMIFS('ORDENES'!$M$4:$M$1203,'ORDENES'!$AE$4:$AE$1203,$AE1190,'ORDENES'!$O$4:$O$1203,$O1190,'ORDENES'!$R$4:$R$1203,$R1190))</f>
        <v/>
      </c>
      <c r="AH1190" s="13">
        <f>IF($AG1190="","",p_factor_productividad*IFERROR(INDEX('ASIGNACIONES'!$I$4:$I$339,MATCH($O1190&amp;"|"&amp;$R1190&amp;"|"&amp;$AE1190,'ASIGNACIONES'!$J$4:$J$339,0)),0)-$AG1190)</f>
        <v/>
      </c>
      <c r="AI1190" s="10">
        <f>IF($A1190="","",IFERROR(INDEX('2_IMPORTAR_EJECUCION'!$F$9:$F$1208,MATCH($AQ1190,'2_IMPORTAR_EJECUCION'!$J$9:$J$1208,0)),0))</f>
        <v/>
      </c>
      <c r="AJ1190" s="10">
        <f>IF($A1190="","",MAX(0,IFERROR(INDEX('2_IMPORTAR_EJECUCION'!$H$9:$H$1208,MATCH($AQ1190,'2_IMPORTAR_EJECUCION'!$J$9:$J$1208,0)),0)-$AI1190))</f>
        <v/>
      </c>
      <c r="AK1190" s="10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2">
        <f>IF($J1191="","",TODAY()-$J1191)</f>
        <v/>
      </c>
      <c r="AB1191" s="12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F$4:$F$339,MATCH($O1191&amp;"|"&amp;$R1191&amp;"|"&amp;$AE1191,'ASIGNACIONES'!$J$4:$J$339,0)),""))=0,"",IFERROR(INDEX('ASIGNACIONES'!$F$4:$F$339,MATCH($O1191&amp;"|"&amp;$R1191&amp;"|"&amp;$AE1191,'ASIGNACIONES'!$J$4:$J$339,0)),"")))</f>
        <v/>
      </c>
      <c r="AG1191" s="13">
        <f>IF($AE1191="","",SUMIFS('ORDENES'!$M$4:$M$1203,'ORDENES'!$AE$4:$AE$1203,$AE1191,'ORDENES'!$O$4:$O$1203,$O1191,'ORDENES'!$R$4:$R$1203,$R1191))</f>
        <v/>
      </c>
      <c r="AH1191" s="13">
        <f>IF($AG1191="","",p_factor_productividad*IFERROR(INDEX('ASIGNACIONES'!$I$4:$I$339,MATCH($O1191&amp;"|"&amp;$R1191&amp;"|"&amp;$AE1191,'ASIGNACIONES'!$J$4:$J$339,0)),0)-$AG1191)</f>
        <v/>
      </c>
      <c r="AI1191" s="10">
        <f>IF($A1191="","",IFERROR(INDEX('2_IMPORTAR_EJECUCION'!$F$9:$F$1208,MATCH($AQ1191,'2_IMPORTAR_EJECUCION'!$J$9:$J$1208,0)),0))</f>
        <v/>
      </c>
      <c r="AJ1191" s="10">
        <f>IF($A1191="","",MAX(0,IFERROR(INDEX('2_IMPORTAR_EJECUCION'!$H$9:$H$1208,MATCH($AQ1191,'2_IMPORTAR_EJECUCION'!$J$9:$J$1208,0)),0)-$AI1191))</f>
        <v/>
      </c>
      <c r="AK1191" s="10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2">
        <f>IF($J1192="","",TODAY()-$J1192)</f>
        <v/>
      </c>
      <c r="AB1192" s="12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F$4:$F$339,MATCH($O1192&amp;"|"&amp;$R1192&amp;"|"&amp;$AE1192,'ASIGNACIONES'!$J$4:$J$339,0)),""))=0,"",IFERROR(INDEX('ASIGNACIONES'!$F$4:$F$339,MATCH($O1192&amp;"|"&amp;$R1192&amp;"|"&amp;$AE1192,'ASIGNACIONES'!$J$4:$J$339,0)),"")))</f>
        <v/>
      </c>
      <c r="AG1192" s="13">
        <f>IF($AE1192="","",SUMIFS('ORDENES'!$M$4:$M$1203,'ORDENES'!$AE$4:$AE$1203,$AE1192,'ORDENES'!$O$4:$O$1203,$O1192,'ORDENES'!$R$4:$R$1203,$R1192))</f>
        <v/>
      </c>
      <c r="AH1192" s="13">
        <f>IF($AG1192="","",p_factor_productividad*IFERROR(INDEX('ASIGNACIONES'!$I$4:$I$339,MATCH($O1192&amp;"|"&amp;$R1192&amp;"|"&amp;$AE1192,'ASIGNACIONES'!$J$4:$J$339,0)),0)-$AG1192)</f>
        <v/>
      </c>
      <c r="AI1192" s="10">
        <f>IF($A1192="","",IFERROR(INDEX('2_IMPORTAR_EJECUCION'!$F$9:$F$1208,MATCH($AQ1192,'2_IMPORTAR_EJECUCION'!$J$9:$J$1208,0)),0))</f>
        <v/>
      </c>
      <c r="AJ1192" s="10">
        <f>IF($A1192="","",MAX(0,IFERROR(INDEX('2_IMPORTAR_EJECUCION'!$H$9:$H$1208,MATCH($AQ1192,'2_IMPORTAR_EJECUCION'!$J$9:$J$1208,0)),0)-$AI1192))</f>
        <v/>
      </c>
      <c r="AK1192" s="10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2">
        <f>IF($J1193="","",TODAY()-$J1193)</f>
        <v/>
      </c>
      <c r="AB1193" s="12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F$4:$F$339,MATCH($O1193&amp;"|"&amp;$R1193&amp;"|"&amp;$AE1193,'ASIGNACIONES'!$J$4:$J$339,0)),""))=0,"",IFERROR(INDEX('ASIGNACIONES'!$F$4:$F$339,MATCH($O1193&amp;"|"&amp;$R1193&amp;"|"&amp;$AE1193,'ASIGNACIONES'!$J$4:$J$339,0)),"")))</f>
        <v/>
      </c>
      <c r="AG1193" s="13">
        <f>IF($AE1193="","",SUMIFS('ORDENES'!$M$4:$M$1203,'ORDENES'!$AE$4:$AE$1203,$AE1193,'ORDENES'!$O$4:$O$1203,$O1193,'ORDENES'!$R$4:$R$1203,$R1193))</f>
        <v/>
      </c>
      <c r="AH1193" s="13">
        <f>IF($AG1193="","",p_factor_productividad*IFERROR(INDEX('ASIGNACIONES'!$I$4:$I$339,MATCH($O1193&amp;"|"&amp;$R1193&amp;"|"&amp;$AE1193,'ASIGNACIONES'!$J$4:$J$339,0)),0)-$AG1193)</f>
        <v/>
      </c>
      <c r="AI1193" s="10">
        <f>IF($A1193="","",IFERROR(INDEX('2_IMPORTAR_EJECUCION'!$F$9:$F$1208,MATCH($AQ1193,'2_IMPORTAR_EJECUCION'!$J$9:$J$1208,0)),0))</f>
        <v/>
      </c>
      <c r="AJ1193" s="10">
        <f>IF($A1193="","",MAX(0,IFERROR(INDEX('2_IMPORTAR_EJECUCION'!$H$9:$H$1208,MATCH($AQ1193,'2_IMPORTAR_EJECUCION'!$J$9:$J$1208,0)),0)-$AI1193))</f>
        <v/>
      </c>
      <c r="AK1193" s="10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2">
        <f>IF($J1194="","",TODAY()-$J1194)</f>
        <v/>
      </c>
      <c r="AB1194" s="12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F$4:$F$339,MATCH($O1194&amp;"|"&amp;$R1194&amp;"|"&amp;$AE1194,'ASIGNACIONES'!$J$4:$J$339,0)),""))=0,"",IFERROR(INDEX('ASIGNACIONES'!$F$4:$F$339,MATCH($O1194&amp;"|"&amp;$R1194&amp;"|"&amp;$AE1194,'ASIGNACIONES'!$J$4:$J$339,0)),"")))</f>
        <v/>
      </c>
      <c r="AG1194" s="13">
        <f>IF($AE1194="","",SUMIFS('ORDENES'!$M$4:$M$1203,'ORDENES'!$AE$4:$AE$1203,$AE1194,'ORDENES'!$O$4:$O$1203,$O1194,'ORDENES'!$R$4:$R$1203,$R1194))</f>
        <v/>
      </c>
      <c r="AH1194" s="13">
        <f>IF($AG1194="","",p_factor_productividad*IFERROR(INDEX('ASIGNACIONES'!$I$4:$I$339,MATCH($O1194&amp;"|"&amp;$R1194&amp;"|"&amp;$AE1194,'ASIGNACIONES'!$J$4:$J$339,0)),0)-$AG1194)</f>
        <v/>
      </c>
      <c r="AI1194" s="10">
        <f>IF($A1194="","",IFERROR(INDEX('2_IMPORTAR_EJECUCION'!$F$9:$F$1208,MATCH($AQ1194,'2_IMPORTAR_EJECUCION'!$J$9:$J$1208,0)),0))</f>
        <v/>
      </c>
      <c r="AJ1194" s="10">
        <f>IF($A1194="","",MAX(0,IFERROR(INDEX('2_IMPORTAR_EJECUCION'!$H$9:$H$1208,MATCH($AQ1194,'2_IMPORTAR_EJECUCION'!$J$9:$J$1208,0)),0)-$AI1194))</f>
        <v/>
      </c>
      <c r="AK1194" s="10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2">
        <f>IF($J1195="","",TODAY()-$J1195)</f>
        <v/>
      </c>
      <c r="AB1195" s="12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F$4:$F$339,MATCH($O1195&amp;"|"&amp;$R1195&amp;"|"&amp;$AE1195,'ASIGNACIONES'!$J$4:$J$339,0)),""))=0,"",IFERROR(INDEX('ASIGNACIONES'!$F$4:$F$339,MATCH($O1195&amp;"|"&amp;$R1195&amp;"|"&amp;$AE1195,'ASIGNACIONES'!$J$4:$J$339,0)),"")))</f>
        <v/>
      </c>
      <c r="AG1195" s="13">
        <f>IF($AE1195="","",SUMIFS('ORDENES'!$M$4:$M$1203,'ORDENES'!$AE$4:$AE$1203,$AE1195,'ORDENES'!$O$4:$O$1203,$O1195,'ORDENES'!$R$4:$R$1203,$R1195))</f>
        <v/>
      </c>
      <c r="AH1195" s="13">
        <f>IF($AG1195="","",p_factor_productividad*IFERROR(INDEX('ASIGNACIONES'!$I$4:$I$339,MATCH($O1195&amp;"|"&amp;$R1195&amp;"|"&amp;$AE1195,'ASIGNACIONES'!$J$4:$J$339,0)),0)-$AG1195)</f>
        <v/>
      </c>
      <c r="AI1195" s="10">
        <f>IF($A1195="","",IFERROR(INDEX('2_IMPORTAR_EJECUCION'!$F$9:$F$1208,MATCH($AQ1195,'2_IMPORTAR_EJECUCION'!$J$9:$J$1208,0)),0))</f>
        <v/>
      </c>
      <c r="AJ1195" s="10">
        <f>IF($A1195="","",MAX(0,IFERROR(INDEX('2_IMPORTAR_EJECUCION'!$H$9:$H$1208,MATCH($AQ1195,'2_IMPORTAR_EJECUCION'!$J$9:$J$1208,0)),0)-$AI1195))</f>
        <v/>
      </c>
      <c r="AK1195" s="10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2">
        <f>IF($J1196="","",TODAY()-$J1196)</f>
        <v/>
      </c>
      <c r="AB1196" s="12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F$4:$F$339,MATCH($O1196&amp;"|"&amp;$R1196&amp;"|"&amp;$AE1196,'ASIGNACIONES'!$J$4:$J$339,0)),""))=0,"",IFERROR(INDEX('ASIGNACIONES'!$F$4:$F$339,MATCH($O1196&amp;"|"&amp;$R1196&amp;"|"&amp;$AE1196,'ASIGNACIONES'!$J$4:$J$339,0)),"")))</f>
        <v/>
      </c>
      <c r="AG1196" s="13">
        <f>IF($AE1196="","",SUMIFS('ORDENES'!$M$4:$M$1203,'ORDENES'!$AE$4:$AE$1203,$AE1196,'ORDENES'!$O$4:$O$1203,$O1196,'ORDENES'!$R$4:$R$1203,$R1196))</f>
        <v/>
      </c>
      <c r="AH1196" s="13">
        <f>IF($AG1196="","",p_factor_productividad*IFERROR(INDEX('ASIGNACIONES'!$I$4:$I$339,MATCH($O1196&amp;"|"&amp;$R1196&amp;"|"&amp;$AE1196,'ASIGNACIONES'!$J$4:$J$339,0)),0)-$AG1196)</f>
        <v/>
      </c>
      <c r="AI1196" s="10">
        <f>IF($A1196="","",IFERROR(INDEX('2_IMPORTAR_EJECUCION'!$F$9:$F$1208,MATCH($AQ1196,'2_IMPORTAR_EJECUCION'!$J$9:$J$1208,0)),0))</f>
        <v/>
      </c>
      <c r="AJ1196" s="10">
        <f>IF($A1196="","",MAX(0,IFERROR(INDEX('2_IMPORTAR_EJECUCION'!$H$9:$H$1208,MATCH($AQ1196,'2_IMPORTAR_EJECUCION'!$J$9:$J$1208,0)),0)-$AI1196))</f>
        <v/>
      </c>
      <c r="AK1196" s="10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2">
        <f>IF($J1197="","",TODAY()-$J1197)</f>
        <v/>
      </c>
      <c r="AB1197" s="12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F$4:$F$339,MATCH($O1197&amp;"|"&amp;$R1197&amp;"|"&amp;$AE1197,'ASIGNACIONES'!$J$4:$J$339,0)),""))=0,"",IFERROR(INDEX('ASIGNACIONES'!$F$4:$F$339,MATCH($O1197&amp;"|"&amp;$R1197&amp;"|"&amp;$AE1197,'ASIGNACIONES'!$J$4:$J$339,0)),"")))</f>
        <v/>
      </c>
      <c r="AG1197" s="13">
        <f>IF($AE1197="","",SUMIFS('ORDENES'!$M$4:$M$1203,'ORDENES'!$AE$4:$AE$1203,$AE1197,'ORDENES'!$O$4:$O$1203,$O1197,'ORDENES'!$R$4:$R$1203,$R1197))</f>
        <v/>
      </c>
      <c r="AH1197" s="13">
        <f>IF($AG1197="","",p_factor_productividad*IFERROR(INDEX('ASIGNACIONES'!$I$4:$I$339,MATCH($O1197&amp;"|"&amp;$R1197&amp;"|"&amp;$AE1197,'ASIGNACIONES'!$J$4:$J$339,0)),0)-$AG1197)</f>
        <v/>
      </c>
      <c r="AI1197" s="10">
        <f>IF($A1197="","",IFERROR(INDEX('2_IMPORTAR_EJECUCION'!$F$9:$F$1208,MATCH($AQ1197,'2_IMPORTAR_EJECUCION'!$J$9:$J$1208,0)),0))</f>
        <v/>
      </c>
      <c r="AJ1197" s="10">
        <f>IF($A1197="","",MAX(0,IFERROR(INDEX('2_IMPORTAR_EJECUCION'!$H$9:$H$1208,MATCH($AQ1197,'2_IMPORTAR_EJECUCION'!$J$9:$J$1208,0)),0)-$AI1197))</f>
        <v/>
      </c>
      <c r="AK1197" s="10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2">
        <f>IF($J1198="","",TODAY()-$J1198)</f>
        <v/>
      </c>
      <c r="AB1198" s="12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F$4:$F$339,MATCH($O1198&amp;"|"&amp;$R1198&amp;"|"&amp;$AE1198,'ASIGNACIONES'!$J$4:$J$339,0)),""))=0,"",IFERROR(INDEX('ASIGNACIONES'!$F$4:$F$339,MATCH($O1198&amp;"|"&amp;$R1198&amp;"|"&amp;$AE1198,'ASIGNACIONES'!$J$4:$J$339,0)),"")))</f>
        <v/>
      </c>
      <c r="AG1198" s="13">
        <f>IF($AE1198="","",SUMIFS('ORDENES'!$M$4:$M$1203,'ORDENES'!$AE$4:$AE$1203,$AE1198,'ORDENES'!$O$4:$O$1203,$O1198,'ORDENES'!$R$4:$R$1203,$R1198))</f>
        <v/>
      </c>
      <c r="AH1198" s="13">
        <f>IF($AG1198="","",p_factor_productividad*IFERROR(INDEX('ASIGNACIONES'!$I$4:$I$339,MATCH($O1198&amp;"|"&amp;$R1198&amp;"|"&amp;$AE1198,'ASIGNACIONES'!$J$4:$J$339,0)),0)-$AG1198)</f>
        <v/>
      </c>
      <c r="AI1198" s="10">
        <f>IF($A1198="","",IFERROR(INDEX('2_IMPORTAR_EJECUCION'!$F$9:$F$1208,MATCH($AQ1198,'2_IMPORTAR_EJECUCION'!$J$9:$J$1208,0)),0))</f>
        <v/>
      </c>
      <c r="AJ1198" s="10">
        <f>IF($A1198="","",MAX(0,IFERROR(INDEX('2_IMPORTAR_EJECUCION'!$H$9:$H$1208,MATCH($AQ1198,'2_IMPORTAR_EJECUCION'!$J$9:$J$1208,0)),0)-$AI1198))</f>
        <v/>
      </c>
      <c r="AK1198" s="10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2">
        <f>IF($J1199="","",TODAY()-$J1199)</f>
        <v/>
      </c>
      <c r="AB1199" s="12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F$4:$F$339,MATCH($O1199&amp;"|"&amp;$R1199&amp;"|"&amp;$AE1199,'ASIGNACIONES'!$J$4:$J$339,0)),""))=0,"",IFERROR(INDEX('ASIGNACIONES'!$F$4:$F$339,MATCH($O1199&amp;"|"&amp;$R1199&amp;"|"&amp;$AE1199,'ASIGNACIONES'!$J$4:$J$339,0)),"")))</f>
        <v/>
      </c>
      <c r="AG1199" s="13">
        <f>IF($AE1199="","",SUMIFS('ORDENES'!$M$4:$M$1203,'ORDENES'!$AE$4:$AE$1203,$AE1199,'ORDENES'!$O$4:$O$1203,$O1199,'ORDENES'!$R$4:$R$1203,$R1199))</f>
        <v/>
      </c>
      <c r="AH1199" s="13">
        <f>IF($AG1199="","",p_factor_productividad*IFERROR(INDEX('ASIGNACIONES'!$I$4:$I$339,MATCH($O1199&amp;"|"&amp;$R1199&amp;"|"&amp;$AE1199,'ASIGNACIONES'!$J$4:$J$339,0)),0)-$AG1199)</f>
        <v/>
      </c>
      <c r="AI1199" s="10">
        <f>IF($A1199="","",IFERROR(INDEX('2_IMPORTAR_EJECUCION'!$F$9:$F$1208,MATCH($AQ1199,'2_IMPORTAR_EJECUCION'!$J$9:$J$1208,0)),0))</f>
        <v/>
      </c>
      <c r="AJ1199" s="10">
        <f>IF($A1199="","",MAX(0,IFERROR(INDEX('2_IMPORTAR_EJECUCION'!$H$9:$H$1208,MATCH($AQ1199,'2_IMPORTAR_EJECUCION'!$J$9:$J$1208,0)),0)-$AI1199))</f>
        <v/>
      </c>
      <c r="AK1199" s="10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2">
        <f>IF($J1200="","",TODAY()-$J1200)</f>
        <v/>
      </c>
      <c r="AB1200" s="12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F$4:$F$339,MATCH($O1200&amp;"|"&amp;$R1200&amp;"|"&amp;$AE1200,'ASIGNACIONES'!$J$4:$J$339,0)),""))=0,"",IFERROR(INDEX('ASIGNACIONES'!$F$4:$F$339,MATCH($O1200&amp;"|"&amp;$R1200&amp;"|"&amp;$AE1200,'ASIGNACIONES'!$J$4:$J$339,0)),"")))</f>
        <v/>
      </c>
      <c r="AG1200" s="13">
        <f>IF($AE1200="","",SUMIFS('ORDENES'!$M$4:$M$1203,'ORDENES'!$AE$4:$AE$1203,$AE1200,'ORDENES'!$O$4:$O$1203,$O1200,'ORDENES'!$R$4:$R$1203,$R1200))</f>
        <v/>
      </c>
      <c r="AH1200" s="13">
        <f>IF($AG1200="","",p_factor_productividad*IFERROR(INDEX('ASIGNACIONES'!$I$4:$I$339,MATCH($O1200&amp;"|"&amp;$R1200&amp;"|"&amp;$AE1200,'ASIGNACIONES'!$J$4:$J$339,0)),0)-$AG1200)</f>
        <v/>
      </c>
      <c r="AI1200" s="10">
        <f>IF($A1200="","",IFERROR(INDEX('2_IMPORTAR_EJECUCION'!$F$9:$F$1208,MATCH($AQ1200,'2_IMPORTAR_EJECUCION'!$J$9:$J$1208,0)),0))</f>
        <v/>
      </c>
      <c r="AJ1200" s="10">
        <f>IF($A1200="","",MAX(0,IFERROR(INDEX('2_IMPORTAR_EJECUCION'!$H$9:$H$1208,MATCH($AQ1200,'2_IMPORTAR_EJECUCION'!$J$9:$J$1208,0)),0)-$AI1200))</f>
        <v/>
      </c>
      <c r="AK1200" s="10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2">
        <f>IF($J1201="","",TODAY()-$J1201)</f>
        <v/>
      </c>
      <c r="AB1201" s="12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F$4:$F$339,MATCH($O1201&amp;"|"&amp;$R1201&amp;"|"&amp;$AE1201,'ASIGNACIONES'!$J$4:$J$339,0)),""))=0,"",IFERROR(INDEX('ASIGNACIONES'!$F$4:$F$339,MATCH($O1201&amp;"|"&amp;$R1201&amp;"|"&amp;$AE1201,'ASIGNACIONES'!$J$4:$J$339,0)),"")))</f>
        <v/>
      </c>
      <c r="AG1201" s="13">
        <f>IF($AE1201="","",SUMIFS('ORDENES'!$M$4:$M$1203,'ORDENES'!$AE$4:$AE$1203,$AE1201,'ORDENES'!$O$4:$O$1203,$O1201,'ORDENES'!$R$4:$R$1203,$R1201))</f>
        <v/>
      </c>
      <c r="AH1201" s="13">
        <f>IF($AG1201="","",p_factor_productividad*IFERROR(INDEX('ASIGNACIONES'!$I$4:$I$339,MATCH($O1201&amp;"|"&amp;$R1201&amp;"|"&amp;$AE1201,'ASIGNACIONES'!$J$4:$J$339,0)),0)-$AG1201)</f>
        <v/>
      </c>
      <c r="AI1201" s="10">
        <f>IF($A1201="","",IFERROR(INDEX('2_IMPORTAR_EJECUCION'!$F$9:$F$1208,MATCH($AQ1201,'2_IMPORTAR_EJECUCION'!$J$9:$J$1208,0)),0))</f>
        <v/>
      </c>
      <c r="AJ1201" s="10">
        <f>IF($A1201="","",MAX(0,IFERROR(INDEX('2_IMPORTAR_EJECUCION'!$H$9:$H$1208,MATCH($AQ1201,'2_IMPORTAR_EJECUCION'!$J$9:$J$1208,0)),0)-$AI1201))</f>
        <v/>
      </c>
      <c r="AK1201" s="10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2">
        <f>IF($J1202="","",TODAY()-$J1202)</f>
        <v/>
      </c>
      <c r="AB1202" s="12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F$4:$F$339,MATCH($O1202&amp;"|"&amp;$R1202&amp;"|"&amp;$AE1202,'ASIGNACIONES'!$J$4:$J$339,0)),""))=0,"",IFERROR(INDEX('ASIGNACIONES'!$F$4:$F$339,MATCH($O1202&amp;"|"&amp;$R1202&amp;"|"&amp;$AE1202,'ASIGNACIONES'!$J$4:$J$339,0)),"")))</f>
        <v/>
      </c>
      <c r="AG1202" s="13">
        <f>IF($AE1202="","",SUMIFS('ORDENES'!$M$4:$M$1203,'ORDENES'!$AE$4:$AE$1203,$AE1202,'ORDENES'!$O$4:$O$1203,$O1202,'ORDENES'!$R$4:$R$1203,$R1202))</f>
        <v/>
      </c>
      <c r="AH1202" s="13">
        <f>IF($AG1202="","",p_factor_productividad*IFERROR(INDEX('ASIGNACIONES'!$I$4:$I$339,MATCH($O1202&amp;"|"&amp;$R1202&amp;"|"&amp;$AE1202,'ASIGNACIONES'!$J$4:$J$339,0)),0)-$AG1202)</f>
        <v/>
      </c>
      <c r="AI1202" s="10">
        <f>IF($A1202="","",IFERROR(INDEX('2_IMPORTAR_EJECUCION'!$F$9:$F$1208,MATCH($AQ1202,'2_IMPORTAR_EJECUCION'!$J$9:$J$1208,0)),0))</f>
        <v/>
      </c>
      <c r="AJ1202" s="10">
        <f>IF($A1202="","",MAX(0,IFERROR(INDEX('2_IMPORTAR_EJECUCION'!$H$9:$H$1208,MATCH($AQ1202,'2_IMPORTAR_EJECUCION'!$J$9:$J$1208,0)),0)-$AI1202))</f>
        <v/>
      </c>
      <c r="AK1202" s="10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2">
        <f>IF($J1203="","",TODAY()-$J1203)</f>
        <v/>
      </c>
      <c r="AB1203" s="12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F$4:$F$339,MATCH($O1203&amp;"|"&amp;$R1203&amp;"|"&amp;$AE1203,'ASIGNACIONES'!$J$4:$J$339,0)),""))=0,"",IFERROR(INDEX('ASIGNACIONES'!$F$4:$F$339,MATCH($O1203&amp;"|"&amp;$R1203&amp;"|"&amp;$AE1203,'ASIGNACIONES'!$J$4:$J$339,0)),"")))</f>
        <v/>
      </c>
      <c r="AG1203" s="13">
        <f>IF($AE1203="","",SUMIFS('ORDENES'!$M$4:$M$1203,'ORDENES'!$AE$4:$AE$1203,$AE1203,'ORDENES'!$O$4:$O$1203,$O1203,'ORDENES'!$R$4:$R$1203,$R1203))</f>
        <v/>
      </c>
      <c r="AH1203" s="13">
        <f>IF($AG1203="","",p_factor_productividad*IFERROR(INDEX('ASIGNACIONES'!$I$4:$I$339,MATCH($O1203&amp;"|"&amp;$R1203&amp;"|"&amp;$AE1203,'ASIGNACIONES'!$J$4:$J$339,0)),0)-$AG1203)</f>
        <v/>
      </c>
      <c r="AI1203" s="10">
        <f>IF($A1203="","",IFERROR(INDEX('2_IMPORTAR_EJECUCION'!$F$9:$F$1208,MATCH($AQ1203,'2_IMPORTAR_EJECUCION'!$J$9:$J$1208,0)),0))</f>
        <v/>
      </c>
      <c r="AJ1203" s="10">
        <f>IF($A1203="","",MAX(0,IFERROR(INDEX('2_IMPORTAR_EJECUCION'!$H$9:$H$1208,MATCH($AQ1203,'2_IMPORTAR_EJECUCION'!$J$9:$J$1208,0)),0)-$AI1203))</f>
        <v/>
      </c>
      <c r="AK1203" s="10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J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11">
        <f>IF($A4="","",DATE(VALUE(LEFT($A4,4)),1,4)-WEEKDAY(DATE(VALUE(LEFT($A4,4)),1,4),2)+1+(VALUE(MID($A4,7,2))-1)*7+MATCH($B4,lista_dias,0)-1)</f>
        <v/>
      </c>
      <c r="I4" s="3">
        <f>IF(OR($F4="",ISNUMBER(MATCH($F4,lista_no_disponible,0)),(IFERROR(INDEX('CALENDARIO'!$C$15:$C$214,MATCH(TEXT($H4,"yyyy-mm-dd")&amp;"|"&amp;$D4&amp;"|"&amp;"",'CALENDARIO'!$G$15:$G$214,0)),IFERROR(INDEX('CALENDARIO'!$C$15:$C$214,MATCH(TEXT($H4,"yyyy-mm-dd")&amp;"|"&amp;$D4&amp;"|",'CALENDARIO'!$G$15:$G$214,0)),IFERROR(INDEX('CALENDARIO'!$C$15:$C$214,MATCH(TEXT($H4,"yyyy-mm-dd")&amp;"||",'CALENDARIO'!$G$15:$G$214,0)),INDEX(patronHabil,WEEKDAY($H4,2))))))&lt;&gt;"sí"),0,p_horas_jornada)</f>
        <v/>
      </c>
      <c r="J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11">
        <f>IF($A5="","",DATE(VALUE(LEFT($A5,4)),1,4)-WEEKDAY(DATE(VALUE(LEFT($A5,4)),1,4),2)+1+(VALUE(MID($A5,7,2))-1)*7+MATCH($B5,lista_dias,0)-1)</f>
        <v/>
      </c>
      <c r="I5" s="3">
        <f>IF(OR($F5="",ISNUMBER(MATCH($F5,lista_no_disponible,0)),(IFERROR(INDEX('CALENDARIO'!$C$15:$C$214,MATCH(TEXT($H5,"yyyy-mm-dd")&amp;"|"&amp;$D5&amp;"|"&amp;"",'CALENDARIO'!$G$15:$G$214,0)),IFERROR(INDEX('CALENDARIO'!$C$15:$C$214,MATCH(TEXT($H5,"yyyy-mm-dd")&amp;"|"&amp;$D5&amp;"|",'CALENDARIO'!$G$15:$G$214,0)),IFERROR(INDEX('CALENDARIO'!$C$15:$C$214,MATCH(TEXT($H5,"yyyy-mm-dd")&amp;"||",'CALENDARIO'!$G$15:$G$214,0)),INDEX(patronHabil,WEEKDAY($H5,2))))))&lt;&gt;"sí"),0,p_horas_jornada)</f>
        <v/>
      </c>
      <c r="J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11">
        <f>IF($A6="","",DATE(VALUE(LEFT($A6,4)),1,4)-WEEKDAY(DATE(VALUE(LEFT($A6,4)),1,4),2)+1+(VALUE(MID($A6,7,2))-1)*7+MATCH($B6,lista_dias,0)-1)</f>
        <v/>
      </c>
      <c r="I6" s="3">
        <f>IF(OR($F6="",ISNUMBER(MATCH($F6,lista_no_disponible,0)),(IFERROR(INDEX('CALENDARIO'!$C$15:$C$214,MATCH(TEXT($H6,"yyyy-mm-dd")&amp;"|"&amp;$D6&amp;"|"&amp;"",'CALENDARIO'!$G$15:$G$214,0)),IFERROR(INDEX('CALENDARIO'!$C$15:$C$214,MATCH(TEXT($H6,"yyyy-mm-dd")&amp;"|"&amp;$D6&amp;"|",'CALENDARIO'!$G$15:$G$214,0)),IFERROR(INDEX('CALENDARIO'!$C$15:$C$214,MATCH(TEXT($H6,"yyyy-mm-dd")&amp;"||",'CALENDARIO'!$G$15:$G$214,0)),INDEX(patronHabil,WEEKDAY($H6,2))))))&lt;&gt;"sí"),0,p_horas_jornada)</f>
        <v/>
      </c>
      <c r="J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11">
        <f>IF($A7="","",DATE(VALUE(LEFT($A7,4)),1,4)-WEEKDAY(DATE(VALUE(LEFT($A7,4)),1,4),2)+1+(VALUE(MID($A7,7,2))-1)*7+MATCH($B7,lista_dias,0)-1)</f>
        <v/>
      </c>
      <c r="I7" s="3">
        <f>IF(OR($F7="",ISNUMBER(MATCH($F7,lista_no_disponible,0)),(IFERROR(INDEX('CALENDARIO'!$C$15:$C$214,MATCH(TEXT($H7,"yyyy-mm-dd")&amp;"|"&amp;$D7&amp;"|"&amp;"",'CALENDARIO'!$G$15:$G$214,0)),IFERROR(INDEX('CALENDARIO'!$C$15:$C$214,MATCH(TEXT($H7,"yyyy-mm-dd")&amp;"|"&amp;$D7&amp;"|",'CALENDARIO'!$G$15:$G$214,0)),IFERROR(INDEX('CALENDARIO'!$C$15:$C$214,MATCH(TEXT($H7,"yyyy-mm-dd")&amp;"||",'CALENDARIO'!$G$15:$G$214,0)),INDEX(patronHabil,WEEKDAY($H7,2))))))&lt;&gt;"sí"),0,p_horas_jornada)</f>
        <v/>
      </c>
      <c r="J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11">
        <f>IF($A8="","",DATE(VALUE(LEFT($A8,4)),1,4)-WEEKDAY(DATE(VALUE(LEFT($A8,4)),1,4),2)+1+(VALUE(MID($A8,7,2))-1)*7+MATCH($B8,lista_dias,0)-1)</f>
        <v/>
      </c>
      <c r="I8" s="3">
        <f>IF(OR($F8="",ISNUMBER(MATCH($F8,lista_no_disponible,0)),(IFERROR(INDEX('CALENDARIO'!$C$15:$C$214,MATCH(TEXT($H8,"yyyy-mm-dd")&amp;"|"&amp;$D8&amp;"|"&amp;"",'CALENDARIO'!$G$15:$G$214,0)),IFERROR(INDEX('CALENDARIO'!$C$15:$C$214,MATCH(TEXT($H8,"yyyy-mm-dd")&amp;"|"&amp;$D8&amp;"|",'CALENDARIO'!$G$15:$G$214,0)),IFERROR(INDEX('CALENDARIO'!$C$15:$C$214,MATCH(TEXT($H8,"yyyy-mm-dd")&amp;"||",'CALENDARIO'!$G$15:$G$214,0)),INDEX(patronHabil,WEEKDAY($H8,2))))))&lt;&gt;"sí"),0,p_horas_jornada)</f>
        <v/>
      </c>
      <c r="J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>
        <is>
          <t>T1</t>
        </is>
      </c>
      <c r="G9" s="3">
        <f>IFERROR(INDEX('TECNICOS'!$E$4:$E$15,MATCH($C9,'TECNICOS'!$B$4:$B$15,0)),"")</f>
        <v/>
      </c>
      <c r="H9" s="11">
        <f>IF($A9="","",DATE(VALUE(LEFT($A9,4)),1,4)-WEEKDAY(DATE(VALUE(LEFT($A9,4)),1,4),2)+1+(VALUE(MID($A9,7,2))-1)*7+MATCH($B9,lista_dias,0)-1)</f>
        <v/>
      </c>
      <c r="I9" s="3">
        <f>IF(OR($F9="",ISNUMBER(MATCH($F9,lista_no_disponible,0)),(IFERROR(INDEX('CALENDARIO'!$C$15:$C$214,MATCH(TEXT($H9,"yyyy-mm-dd")&amp;"|"&amp;$D9&amp;"|"&amp;"",'CALENDARIO'!$G$15:$G$214,0)),IFERROR(INDEX('CALENDARIO'!$C$15:$C$214,MATCH(TEXT($H9,"yyyy-mm-dd")&amp;"|"&amp;$D9&amp;"|",'CALENDARIO'!$G$15:$G$214,0)),IFERROR(INDEX('CALENDARIO'!$C$15:$C$214,MATCH(TEXT($H9,"yyyy-mm-dd")&amp;"||",'CALENDARIO'!$G$15:$G$214,0)),INDEX(patronHabil,WEEKDAY($H9,2))))))&lt;&gt;"sí"),0,p_horas_jornada)</f>
        <v/>
      </c>
      <c r="J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11">
        <f>IF($A10="","",DATE(VALUE(LEFT($A10,4)),1,4)-WEEKDAY(DATE(VALUE(LEFT($A10,4)),1,4),2)+1+(VALUE(MID($A10,7,2))-1)*7+MATCH($B10,lista_dias,0)-1)</f>
        <v/>
      </c>
      <c r="I10" s="3">
        <f>IF(OR($F10="",ISNUMBER(MATCH($F10,lista_no_disponible,0)),(IFERROR(INDEX('CALENDARIO'!$C$15:$C$214,MATCH(TEXT($H10,"yyyy-mm-dd")&amp;"|"&amp;$D10&amp;"|"&amp;"",'CALENDARIO'!$G$15:$G$214,0)),IFERROR(INDEX('CALENDARIO'!$C$15:$C$214,MATCH(TEXT($H10,"yyyy-mm-dd")&amp;"|"&amp;$D10&amp;"|",'CALENDARIO'!$G$15:$G$214,0)),IFERROR(INDEX('CALENDARIO'!$C$15:$C$214,MATCH(TEXT($H10,"yyyy-mm-dd")&amp;"||",'CALENDARIO'!$G$15:$G$214,0)),INDEX(patronHabil,WEEKDAY($H10,2))))))&lt;&gt;"sí"),0,p_horas_jornada)</f>
        <v/>
      </c>
      <c r="J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11">
        <f>IF($A11="","",DATE(VALUE(LEFT($A11,4)),1,4)-WEEKDAY(DATE(VALUE(LEFT($A11,4)),1,4),2)+1+(VALUE(MID($A11,7,2))-1)*7+MATCH($B11,lista_dias,0)-1)</f>
        <v/>
      </c>
      <c r="I11" s="3">
        <f>IF(OR($F11="",ISNUMBER(MATCH($F11,lista_no_disponible,0)),(IFERROR(INDEX('CALENDARIO'!$C$15:$C$214,MATCH(TEXT($H11,"yyyy-mm-dd")&amp;"|"&amp;$D11&amp;"|"&amp;"",'CALENDARIO'!$G$15:$G$214,0)),IFERROR(INDEX('CALENDARIO'!$C$15:$C$214,MATCH(TEXT($H11,"yyyy-mm-dd")&amp;"|"&amp;$D11&amp;"|",'CALENDARIO'!$G$15:$G$214,0)),IFERROR(INDEX('CALENDARIO'!$C$15:$C$214,MATCH(TEXT($H11,"yyyy-mm-dd")&amp;"||",'CALENDARIO'!$G$15:$G$214,0)),INDEX(patronHabil,WEEKDAY($H11,2))))))&lt;&gt;"sí"),0,p_horas_jornada)</f>
        <v/>
      </c>
      <c r="J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11">
        <f>IF($A12="","",DATE(VALUE(LEFT($A12,4)),1,4)-WEEKDAY(DATE(VALUE(LEFT($A12,4)),1,4),2)+1+(VALUE(MID($A12,7,2))-1)*7+MATCH($B12,lista_dias,0)-1)</f>
        <v/>
      </c>
      <c r="I12" s="3">
        <f>IF(OR($F12="",ISNUMBER(MATCH($F12,lista_no_disponible,0)),(IFERROR(INDEX('CALENDARIO'!$C$15:$C$214,MATCH(TEXT($H12,"yyyy-mm-dd")&amp;"|"&amp;$D12&amp;"|"&amp;"",'CALENDARIO'!$G$15:$G$214,0)),IFERROR(INDEX('CALENDARIO'!$C$15:$C$214,MATCH(TEXT($H12,"yyyy-mm-dd")&amp;"|"&amp;$D12&amp;"|",'CALENDARIO'!$G$15:$G$214,0)),IFERROR(INDEX('CALENDARIO'!$C$15:$C$214,MATCH(TEXT($H12,"yyyy-mm-dd")&amp;"||",'CALENDARIO'!$G$15:$G$214,0)),INDEX(patronHabil,WEEKDAY($H12,2))))))&lt;&gt;"sí"),0,p_horas_jornada)</f>
        <v/>
      </c>
      <c r="J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11">
        <f>IF($A13="","",DATE(VALUE(LEFT($A13,4)),1,4)-WEEKDAY(DATE(VALUE(LEFT($A13,4)),1,4),2)+1+(VALUE(MID($A13,7,2))-1)*7+MATCH($B13,lista_dias,0)-1)</f>
        <v/>
      </c>
      <c r="I13" s="3">
        <f>IF(OR($F13="",ISNUMBER(MATCH($F13,lista_no_disponible,0)),(IFERROR(INDEX('CALENDARIO'!$C$15:$C$214,MATCH(TEXT($H13,"yyyy-mm-dd")&amp;"|"&amp;$D13&amp;"|"&amp;"",'CALENDARIO'!$G$15:$G$214,0)),IFERROR(INDEX('CALENDARIO'!$C$15:$C$214,MATCH(TEXT($H13,"yyyy-mm-dd")&amp;"|"&amp;$D13&amp;"|",'CALENDARIO'!$G$15:$G$214,0)),IFERROR(INDEX('CALENDARIO'!$C$15:$C$214,MATCH(TEXT($H13,"yyyy-mm-dd")&amp;"||",'CALENDARIO'!$G$15:$G$214,0)),INDEX(patronHabil,WEEKDAY($H13,2))))))&lt;&gt;"sí"),0,p_horas_jornada)</f>
        <v/>
      </c>
      <c r="J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11">
        <f>IF($A14="","",DATE(VALUE(LEFT($A14,4)),1,4)-WEEKDAY(DATE(VALUE(LEFT($A14,4)),1,4),2)+1+(VALUE(MID($A14,7,2))-1)*7+MATCH($B14,lista_dias,0)-1)</f>
        <v/>
      </c>
      <c r="I14" s="3">
        <f>IF(OR($F14="",ISNUMBER(MATCH($F14,lista_no_disponible,0)),(IFERROR(INDEX('CALENDARIO'!$C$15:$C$214,MATCH(TEXT($H14,"yyyy-mm-dd")&amp;"|"&amp;$D14&amp;"|"&amp;"",'CALENDARIO'!$G$15:$G$214,0)),IFERROR(INDEX('CALENDARIO'!$C$15:$C$214,MATCH(TEXT($H14,"yyyy-mm-dd")&amp;"|"&amp;$D14&amp;"|",'CALENDARIO'!$G$15:$G$214,0)),IFERROR(INDEX('CALENDARIO'!$C$15:$C$214,MATCH(TEXT($H14,"yyyy-mm-dd")&amp;"||",'CALENDARIO'!$G$15:$G$214,0)),INDEX(patronHabil,WEEKDAY($H14,2))))))&lt;&gt;"sí"),0,p_horas_jornada)</f>
        <v/>
      </c>
      <c r="J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11">
        <f>IF($A15="","",DATE(VALUE(LEFT($A15,4)),1,4)-WEEKDAY(DATE(VALUE(LEFT($A15,4)),1,4),2)+1+(VALUE(MID($A15,7,2))-1)*7+MATCH($B15,lista_dias,0)-1)</f>
        <v/>
      </c>
      <c r="I15" s="3">
        <f>IF(OR($F15="",ISNUMBER(MATCH($F15,lista_no_disponible,0)),(IFERROR(INDEX('CALENDARIO'!$C$15:$C$214,MATCH(TEXT($H15,"yyyy-mm-dd")&amp;"|"&amp;$D15&amp;"|"&amp;"",'CALENDARIO'!$G$15:$G$214,0)),IFERROR(INDEX('CALENDARIO'!$C$15:$C$214,MATCH(TEXT($H15,"yyyy-mm-dd")&amp;"|"&amp;$D15&amp;"|",'CALENDARIO'!$G$15:$G$214,0)),IFERROR(INDEX('CALENDARIO'!$C$15:$C$214,MATCH(TEXT($H15,"yyyy-mm-dd")&amp;"||",'CALENDARIO'!$G$15:$G$214,0)),INDEX(patronHabil,WEEKDAY($H15,2))))))&lt;&gt;"sí"),0,p_horas_jornada)</f>
        <v/>
      </c>
      <c r="J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>
        <is>
          <t>T2</t>
        </is>
      </c>
      <c r="G16" s="3">
        <f>IFERROR(INDEX('TECNICOS'!$E$4:$E$15,MATCH($C16,'TECNICOS'!$B$4:$B$15,0)),"")</f>
        <v/>
      </c>
      <c r="H16" s="11">
        <f>IF($A16="","",DATE(VALUE(LEFT($A16,4)),1,4)-WEEKDAY(DATE(VALUE(LEFT($A16,4)),1,4),2)+1+(VALUE(MID($A16,7,2))-1)*7+MATCH($B16,lista_dias,0)-1)</f>
        <v/>
      </c>
      <c r="I16" s="3">
        <f>IF(OR($F16="",ISNUMBER(MATCH($F16,lista_no_disponible,0)),(IFERROR(INDEX('CALENDARIO'!$C$15:$C$214,MATCH(TEXT($H16,"yyyy-mm-dd")&amp;"|"&amp;$D16&amp;"|"&amp;"",'CALENDARIO'!$G$15:$G$214,0)),IFERROR(INDEX('CALENDARIO'!$C$15:$C$214,MATCH(TEXT($H16,"yyyy-mm-dd")&amp;"|"&amp;$D16&amp;"|",'CALENDARIO'!$G$15:$G$214,0)),IFERROR(INDEX('CALENDARIO'!$C$15:$C$214,MATCH(TEXT($H16,"yyyy-mm-dd")&amp;"||",'CALENDARIO'!$G$15:$G$214,0)),INDEX(patronHabil,WEEKDAY($H16,2))))))&lt;&gt;"sí"),0,p_horas_jornada)</f>
        <v/>
      </c>
      <c r="J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11">
        <f>IF($A17="","",DATE(VALUE(LEFT($A17,4)),1,4)-WEEKDAY(DATE(VALUE(LEFT($A17,4)),1,4),2)+1+(VALUE(MID($A17,7,2))-1)*7+MATCH($B17,lista_dias,0)-1)</f>
        <v/>
      </c>
      <c r="I17" s="3">
        <f>IF(OR($F17="",ISNUMBER(MATCH($F17,lista_no_disponible,0)),(IFERROR(INDEX('CALENDARIO'!$C$15:$C$214,MATCH(TEXT($H17,"yyyy-mm-dd")&amp;"|"&amp;$D17&amp;"|"&amp;"",'CALENDARIO'!$G$15:$G$214,0)),IFERROR(INDEX('CALENDARIO'!$C$15:$C$214,MATCH(TEXT($H17,"yyyy-mm-dd")&amp;"|"&amp;$D17&amp;"|",'CALENDARIO'!$G$15:$G$214,0)),IFERROR(INDEX('CALENDARIO'!$C$15:$C$214,MATCH(TEXT($H17,"yyyy-mm-dd")&amp;"||",'CALENDARIO'!$G$15:$G$214,0)),INDEX(patronHabil,WEEKDAY($H17,2))))))&lt;&gt;"sí"),0,p_horas_jornada)</f>
        <v/>
      </c>
      <c r="J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11">
        <f>IF($A18="","",DATE(VALUE(LEFT($A18,4)),1,4)-WEEKDAY(DATE(VALUE(LEFT($A18,4)),1,4),2)+1+(VALUE(MID($A18,7,2))-1)*7+MATCH($B18,lista_dias,0)-1)</f>
        <v/>
      </c>
      <c r="I18" s="3">
        <f>IF(OR($F18="",ISNUMBER(MATCH($F18,lista_no_disponible,0)),(IFERROR(INDEX('CALENDARIO'!$C$15:$C$214,MATCH(TEXT($H18,"yyyy-mm-dd")&amp;"|"&amp;$D18&amp;"|"&amp;"",'CALENDARIO'!$G$15:$G$214,0)),IFERROR(INDEX('CALENDARIO'!$C$15:$C$214,MATCH(TEXT($H18,"yyyy-mm-dd")&amp;"|"&amp;$D18&amp;"|",'CALENDARIO'!$G$15:$G$214,0)),IFERROR(INDEX('CALENDARIO'!$C$15:$C$214,MATCH(TEXT($H18,"yyyy-mm-dd")&amp;"||",'CALENDARIO'!$G$15:$G$214,0)),INDEX(patronHabil,WEEKDAY($H18,2))))))&lt;&gt;"sí"),0,p_horas_jornada)</f>
        <v/>
      </c>
      <c r="J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11">
        <f>IF($A19="","",DATE(VALUE(LEFT($A19,4)),1,4)-WEEKDAY(DATE(VALUE(LEFT($A19,4)),1,4),2)+1+(VALUE(MID($A19,7,2))-1)*7+MATCH($B19,lista_dias,0)-1)</f>
        <v/>
      </c>
      <c r="I19" s="3">
        <f>IF(OR($F19="",ISNUMBER(MATCH($F19,lista_no_disponible,0)),(IFERROR(INDEX('CALENDARIO'!$C$15:$C$214,MATCH(TEXT($H19,"yyyy-mm-dd")&amp;"|"&amp;$D19&amp;"|"&amp;"",'CALENDARIO'!$G$15:$G$214,0)),IFERROR(INDEX('CALENDARIO'!$C$15:$C$214,MATCH(TEXT($H19,"yyyy-mm-dd")&amp;"|"&amp;$D19&amp;"|",'CALENDARIO'!$G$15:$G$214,0)),IFERROR(INDEX('CALENDARIO'!$C$15:$C$214,MATCH(TEXT($H19,"yyyy-mm-dd")&amp;"||",'CALENDARIO'!$G$15:$G$214,0)),INDEX(patronHabil,WEEKDAY($H19,2))))))&lt;&gt;"sí"),0,p_horas_jornada)</f>
        <v/>
      </c>
      <c r="J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11">
        <f>IF($A20="","",DATE(VALUE(LEFT($A20,4)),1,4)-WEEKDAY(DATE(VALUE(LEFT($A20,4)),1,4),2)+1+(VALUE(MID($A20,7,2))-1)*7+MATCH($B20,lista_dias,0)-1)</f>
        <v/>
      </c>
      <c r="I20" s="3">
        <f>IF(OR($F20="",ISNUMBER(MATCH($F20,lista_no_disponible,0)),(IFERROR(INDEX('CALENDARIO'!$C$15:$C$214,MATCH(TEXT($H20,"yyyy-mm-dd")&amp;"|"&amp;$D20&amp;"|"&amp;"",'CALENDARIO'!$G$15:$G$214,0)),IFERROR(INDEX('CALENDARIO'!$C$15:$C$214,MATCH(TEXT($H20,"yyyy-mm-dd")&amp;"|"&amp;$D20&amp;"|",'CALENDARIO'!$G$15:$G$214,0)),IFERROR(INDEX('CALENDARIO'!$C$15:$C$214,MATCH(TEXT($H20,"yyyy-mm-dd")&amp;"||",'CALENDARIO'!$G$15:$G$214,0)),INDEX(patronHabil,WEEKDAY($H20,2))))))&lt;&gt;"sí"),0,p_horas_jornada)</f>
        <v/>
      </c>
      <c r="J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11">
        <f>IF($A21="","",DATE(VALUE(LEFT($A21,4)),1,4)-WEEKDAY(DATE(VALUE(LEFT($A21,4)),1,4),2)+1+(VALUE(MID($A21,7,2))-1)*7+MATCH($B21,lista_dias,0)-1)</f>
        <v/>
      </c>
      <c r="I21" s="3">
        <f>IF(OR($F21="",ISNUMBER(MATCH($F21,lista_no_disponible,0)),(IFERROR(INDEX('CALENDARIO'!$C$15:$C$214,MATCH(TEXT($H21,"yyyy-mm-dd")&amp;"|"&amp;$D21&amp;"|"&amp;"",'CALENDARIO'!$G$15:$G$214,0)),IFERROR(INDEX('CALENDARIO'!$C$15:$C$214,MATCH(TEXT($H21,"yyyy-mm-dd")&amp;"|"&amp;$D21&amp;"|",'CALENDARIO'!$G$15:$G$214,0)),IFERROR(INDEX('CALENDARIO'!$C$15:$C$214,MATCH(TEXT($H21,"yyyy-mm-dd")&amp;"||",'CALENDARIO'!$G$15:$G$214,0)),INDEX(patronHabil,WEEKDAY($H21,2))))))&lt;&gt;"sí"),0,p_horas_jornada)</f>
        <v/>
      </c>
      <c r="J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11">
        <f>IF($A22="","",DATE(VALUE(LEFT($A22,4)),1,4)-WEEKDAY(DATE(VALUE(LEFT($A22,4)),1,4),2)+1+(VALUE(MID($A22,7,2))-1)*7+MATCH($B22,lista_dias,0)-1)</f>
        <v/>
      </c>
      <c r="I22" s="3">
        <f>IF(OR($F22="",ISNUMBER(MATCH($F22,lista_no_disponible,0)),(IFERROR(INDEX('CALENDARIO'!$C$15:$C$214,MATCH(TEXT($H22,"yyyy-mm-dd")&amp;"|"&amp;$D22&amp;"|"&amp;"",'CALENDARIO'!$G$15:$G$214,0)),IFERROR(INDEX('CALENDARIO'!$C$15:$C$214,MATCH(TEXT($H22,"yyyy-mm-dd")&amp;"|"&amp;$D22&amp;"|",'CALENDARIO'!$G$15:$G$214,0)),IFERROR(INDEX('CALENDARIO'!$C$15:$C$214,MATCH(TEXT($H22,"yyyy-mm-dd")&amp;"||",'CALENDARIO'!$G$15:$G$214,0)),INDEX(patronHabil,WEEKDAY($H22,2))))))&lt;&gt;"sí"),0,p_horas_jornada)</f>
        <v/>
      </c>
      <c r="J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>
        <is>
          <t>T1</t>
        </is>
      </c>
      <c r="G23" s="3">
        <f>IFERROR(INDEX('TECNICOS'!$E$4:$E$15,MATCH($C23,'TECNICOS'!$B$4:$B$15,0)),"")</f>
        <v/>
      </c>
      <c r="H23" s="11">
        <f>IF($A23="","",DATE(VALUE(LEFT($A23,4)),1,4)-WEEKDAY(DATE(VALUE(LEFT($A23,4)),1,4),2)+1+(VALUE(MID($A23,7,2))-1)*7+MATCH($B23,lista_dias,0)-1)</f>
        <v/>
      </c>
      <c r="I23" s="3">
        <f>IF(OR($F23="",ISNUMBER(MATCH($F23,lista_no_disponible,0)),(IFERROR(INDEX('CALENDARIO'!$C$15:$C$214,MATCH(TEXT($H23,"yyyy-mm-dd")&amp;"|"&amp;$D23&amp;"|"&amp;"",'CALENDARIO'!$G$15:$G$214,0)),IFERROR(INDEX('CALENDARIO'!$C$15:$C$214,MATCH(TEXT($H23,"yyyy-mm-dd")&amp;"|"&amp;$D23&amp;"|",'CALENDARIO'!$G$15:$G$214,0)),IFERROR(INDEX('CALENDARIO'!$C$15:$C$214,MATCH(TEXT($H23,"yyyy-mm-dd")&amp;"||",'CALENDARIO'!$G$15:$G$214,0)),INDEX(patronHabil,WEEKDAY($H23,2))))))&lt;&gt;"sí"),0,p_horas_jornada)</f>
        <v/>
      </c>
      <c r="J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11">
        <f>IF($A24="","",DATE(VALUE(LEFT($A24,4)),1,4)-WEEKDAY(DATE(VALUE(LEFT($A24,4)),1,4),2)+1+(VALUE(MID($A24,7,2))-1)*7+MATCH($B24,lista_dias,0)-1)</f>
        <v/>
      </c>
      <c r="I24" s="3">
        <f>IF(OR($F24="",ISNUMBER(MATCH($F24,lista_no_disponible,0)),(IFERROR(INDEX('CALENDARIO'!$C$15:$C$214,MATCH(TEXT($H24,"yyyy-mm-dd")&amp;"|"&amp;$D24&amp;"|"&amp;"",'CALENDARIO'!$G$15:$G$214,0)),IFERROR(INDEX('CALENDARIO'!$C$15:$C$214,MATCH(TEXT($H24,"yyyy-mm-dd")&amp;"|"&amp;$D24&amp;"|",'CALENDARIO'!$G$15:$G$214,0)),IFERROR(INDEX('CALENDARIO'!$C$15:$C$214,MATCH(TEXT($H24,"yyyy-mm-dd")&amp;"||",'CALENDARIO'!$G$15:$G$214,0)),INDEX(patronHabil,WEEKDAY($H24,2))))))&lt;&gt;"sí"),0,p_horas_jornada)</f>
        <v/>
      </c>
      <c r="J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11">
        <f>IF($A25="","",DATE(VALUE(LEFT($A25,4)),1,4)-WEEKDAY(DATE(VALUE(LEFT($A25,4)),1,4),2)+1+(VALUE(MID($A25,7,2))-1)*7+MATCH($B25,lista_dias,0)-1)</f>
        <v/>
      </c>
      <c r="I25" s="3">
        <f>IF(OR($F25="",ISNUMBER(MATCH($F25,lista_no_disponible,0)),(IFERROR(INDEX('CALENDARIO'!$C$15:$C$214,MATCH(TEXT($H25,"yyyy-mm-dd")&amp;"|"&amp;$D25&amp;"|"&amp;"",'CALENDARIO'!$G$15:$G$214,0)),IFERROR(INDEX('CALENDARIO'!$C$15:$C$214,MATCH(TEXT($H25,"yyyy-mm-dd")&amp;"|"&amp;$D25&amp;"|",'CALENDARIO'!$G$15:$G$214,0)),IFERROR(INDEX('CALENDARIO'!$C$15:$C$214,MATCH(TEXT($H25,"yyyy-mm-dd")&amp;"||",'CALENDARIO'!$G$15:$G$214,0)),INDEX(patronHabil,WEEKDAY($H25,2))))))&lt;&gt;"sí"),0,p_horas_jornada)</f>
        <v/>
      </c>
      <c r="J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11">
        <f>IF($A26="","",DATE(VALUE(LEFT($A26,4)),1,4)-WEEKDAY(DATE(VALUE(LEFT($A26,4)),1,4),2)+1+(VALUE(MID($A26,7,2))-1)*7+MATCH($B26,lista_dias,0)-1)</f>
        <v/>
      </c>
      <c r="I26" s="3">
        <f>IF(OR($F26="",ISNUMBER(MATCH($F26,lista_no_disponible,0)),(IFERROR(INDEX('CALENDARIO'!$C$15:$C$214,MATCH(TEXT($H26,"yyyy-mm-dd")&amp;"|"&amp;$D26&amp;"|"&amp;"",'CALENDARIO'!$G$15:$G$214,0)),IFERROR(INDEX('CALENDARIO'!$C$15:$C$214,MATCH(TEXT($H26,"yyyy-mm-dd")&amp;"|"&amp;$D26&amp;"|",'CALENDARIO'!$G$15:$G$214,0)),IFERROR(INDEX('CALENDARIO'!$C$15:$C$214,MATCH(TEXT($H26,"yyyy-mm-dd")&amp;"||",'CALENDARIO'!$G$15:$G$214,0)),INDEX(patronHabil,WEEKDAY($H26,2))))))&lt;&gt;"sí"),0,p_horas_jornada)</f>
        <v/>
      </c>
      <c r="J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11">
        <f>IF($A27="","",DATE(VALUE(LEFT($A27,4)),1,4)-WEEKDAY(DATE(VALUE(LEFT($A27,4)),1,4),2)+1+(VALUE(MID($A27,7,2))-1)*7+MATCH($B27,lista_dias,0)-1)</f>
        <v/>
      </c>
      <c r="I27" s="3">
        <f>IF(OR($F27="",ISNUMBER(MATCH($F27,lista_no_disponible,0)),(IFERROR(INDEX('CALENDARIO'!$C$15:$C$214,MATCH(TEXT($H27,"yyyy-mm-dd")&amp;"|"&amp;$D27&amp;"|"&amp;"",'CALENDARIO'!$G$15:$G$214,0)),IFERROR(INDEX('CALENDARIO'!$C$15:$C$214,MATCH(TEXT($H27,"yyyy-mm-dd")&amp;"|"&amp;$D27&amp;"|",'CALENDARIO'!$G$15:$G$214,0)),IFERROR(INDEX('CALENDARIO'!$C$15:$C$214,MATCH(TEXT($H27,"yyyy-mm-dd")&amp;"||",'CALENDARIO'!$G$15:$G$214,0)),INDEX(patronHabil,WEEKDAY($H27,2))))))&lt;&gt;"sí"),0,p_horas_jornada)</f>
        <v/>
      </c>
      <c r="J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11">
        <f>IF($A28="","",DATE(VALUE(LEFT($A28,4)),1,4)-WEEKDAY(DATE(VALUE(LEFT($A28,4)),1,4),2)+1+(VALUE(MID($A28,7,2))-1)*7+MATCH($B28,lista_dias,0)-1)</f>
        <v/>
      </c>
      <c r="I28" s="3">
        <f>IF(OR($F28="",ISNUMBER(MATCH($F28,lista_no_disponible,0)),(IFERROR(INDEX('CALENDARIO'!$C$15:$C$214,MATCH(TEXT($H28,"yyyy-mm-dd")&amp;"|"&amp;$D28&amp;"|"&amp;"",'CALENDARIO'!$G$15:$G$214,0)),IFERROR(INDEX('CALENDARIO'!$C$15:$C$214,MATCH(TEXT($H28,"yyyy-mm-dd")&amp;"|"&amp;$D28&amp;"|",'CALENDARIO'!$G$15:$G$214,0)),IFERROR(INDEX('CALENDARIO'!$C$15:$C$214,MATCH(TEXT($H28,"yyyy-mm-dd")&amp;"||",'CALENDARIO'!$G$15:$G$214,0)),INDEX(patronHabil,WEEKDAY($H28,2))))))&lt;&gt;"sí"),0,p_horas_jornada)</f>
        <v/>
      </c>
      <c r="J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11">
        <f>IF($A29="","",DATE(VALUE(LEFT($A29,4)),1,4)-WEEKDAY(DATE(VALUE(LEFT($A29,4)),1,4),2)+1+(VALUE(MID($A29,7,2))-1)*7+MATCH($B29,lista_dias,0)-1)</f>
        <v/>
      </c>
      <c r="I29" s="3">
        <f>IF(OR($F29="",ISNUMBER(MATCH($F29,lista_no_disponible,0)),(IFERROR(INDEX('CALENDARIO'!$C$15:$C$214,MATCH(TEXT($H29,"yyyy-mm-dd")&amp;"|"&amp;$D29&amp;"|"&amp;"",'CALENDARIO'!$G$15:$G$214,0)),IFERROR(INDEX('CALENDARIO'!$C$15:$C$214,MATCH(TEXT($H29,"yyyy-mm-dd")&amp;"|"&amp;$D29&amp;"|",'CALENDARIO'!$G$15:$G$214,0)),IFERROR(INDEX('CALENDARIO'!$C$15:$C$214,MATCH(TEXT($H29,"yyyy-mm-dd")&amp;"||",'CALENDARIO'!$G$15:$G$214,0)),INDEX(patronHabil,WEEKDAY($H29,2))))))&lt;&gt;"sí"),0,p_horas_jornada)</f>
        <v/>
      </c>
      <c r="J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>
        <is>
          <t>T1</t>
        </is>
      </c>
      <c r="G30" s="3">
        <f>IFERROR(INDEX('TECNICOS'!$E$4:$E$15,MATCH($C30,'TECNICOS'!$B$4:$B$15,0)),"")</f>
        <v/>
      </c>
      <c r="H30" s="11">
        <f>IF($A30="","",DATE(VALUE(LEFT($A30,4)),1,4)-WEEKDAY(DATE(VALUE(LEFT($A30,4)),1,4),2)+1+(VALUE(MID($A30,7,2))-1)*7+MATCH($B30,lista_dias,0)-1)</f>
        <v/>
      </c>
      <c r="I30" s="3">
        <f>IF(OR($F30="",ISNUMBER(MATCH($F30,lista_no_disponible,0)),(IFERROR(INDEX('CALENDARIO'!$C$15:$C$214,MATCH(TEXT($H30,"yyyy-mm-dd")&amp;"|"&amp;$D30&amp;"|"&amp;"",'CALENDARIO'!$G$15:$G$214,0)),IFERROR(INDEX('CALENDARIO'!$C$15:$C$214,MATCH(TEXT($H30,"yyyy-mm-dd")&amp;"|"&amp;$D30&amp;"|",'CALENDARIO'!$G$15:$G$214,0)),IFERROR(INDEX('CALENDARIO'!$C$15:$C$214,MATCH(TEXT($H30,"yyyy-mm-dd")&amp;"||",'CALENDARIO'!$G$15:$G$214,0)),INDEX(patronHabil,WEEKDAY($H30,2))))))&lt;&gt;"sí"),0,p_horas_jornada)</f>
        <v/>
      </c>
      <c r="J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11">
        <f>IF($A31="","",DATE(VALUE(LEFT($A31,4)),1,4)-WEEKDAY(DATE(VALUE(LEFT($A31,4)),1,4),2)+1+(VALUE(MID($A31,7,2))-1)*7+MATCH($B31,lista_dias,0)-1)</f>
        <v/>
      </c>
      <c r="I31" s="3">
        <f>IF(OR($F31="",ISNUMBER(MATCH($F31,lista_no_disponible,0)),(IFERROR(INDEX('CALENDARIO'!$C$15:$C$214,MATCH(TEXT($H31,"yyyy-mm-dd")&amp;"|"&amp;$D31&amp;"|"&amp;"",'CALENDARIO'!$G$15:$G$214,0)),IFERROR(INDEX('CALENDARIO'!$C$15:$C$214,MATCH(TEXT($H31,"yyyy-mm-dd")&amp;"|"&amp;$D31&amp;"|",'CALENDARIO'!$G$15:$G$214,0)),IFERROR(INDEX('CALENDARIO'!$C$15:$C$214,MATCH(TEXT($H31,"yyyy-mm-dd")&amp;"||",'CALENDARIO'!$G$15:$G$214,0)),INDEX(patronHabil,WEEKDAY($H31,2))))))&lt;&gt;"sí"),0,p_horas_jornada)</f>
        <v/>
      </c>
      <c r="J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11">
        <f>IF($A32="","",DATE(VALUE(LEFT($A32,4)),1,4)-WEEKDAY(DATE(VALUE(LEFT($A32,4)),1,4),2)+1+(VALUE(MID($A32,7,2))-1)*7+MATCH($B32,lista_dias,0)-1)</f>
        <v/>
      </c>
      <c r="I32" s="3">
        <f>IF(OR($F32="",ISNUMBER(MATCH($F32,lista_no_disponible,0)),(IFERROR(INDEX('CALENDARIO'!$C$15:$C$214,MATCH(TEXT($H32,"yyyy-mm-dd")&amp;"|"&amp;$D32&amp;"|"&amp;"",'CALENDARIO'!$G$15:$G$214,0)),IFERROR(INDEX('CALENDARIO'!$C$15:$C$214,MATCH(TEXT($H32,"yyyy-mm-dd")&amp;"|"&amp;$D32&amp;"|",'CALENDARIO'!$G$15:$G$214,0)),IFERROR(INDEX('CALENDARIO'!$C$15:$C$214,MATCH(TEXT($H32,"yyyy-mm-dd")&amp;"||",'CALENDARIO'!$G$15:$G$214,0)),INDEX(patronHabil,WEEKDAY($H32,2))))))&lt;&gt;"sí"),0,p_horas_jornada)</f>
        <v/>
      </c>
      <c r="J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11">
        <f>IF($A33="","",DATE(VALUE(LEFT($A33,4)),1,4)-WEEKDAY(DATE(VALUE(LEFT($A33,4)),1,4),2)+1+(VALUE(MID($A33,7,2))-1)*7+MATCH($B33,lista_dias,0)-1)</f>
        <v/>
      </c>
      <c r="I33" s="3">
        <f>IF(OR($F33="",ISNUMBER(MATCH($F33,lista_no_disponible,0)),(IFERROR(INDEX('CALENDARIO'!$C$15:$C$214,MATCH(TEXT($H33,"yyyy-mm-dd")&amp;"|"&amp;$D33&amp;"|"&amp;"",'CALENDARIO'!$G$15:$G$214,0)),IFERROR(INDEX('CALENDARIO'!$C$15:$C$214,MATCH(TEXT($H33,"yyyy-mm-dd")&amp;"|"&amp;$D33&amp;"|",'CALENDARIO'!$G$15:$G$214,0)),IFERROR(INDEX('CALENDARIO'!$C$15:$C$214,MATCH(TEXT($H33,"yyyy-mm-dd")&amp;"||",'CALENDARIO'!$G$15:$G$214,0)),INDEX(patronHabil,WEEKDAY($H33,2))))))&lt;&gt;"sí"),0,p_horas_jornada)</f>
        <v/>
      </c>
      <c r="J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11">
        <f>IF($A34="","",DATE(VALUE(LEFT($A34,4)),1,4)-WEEKDAY(DATE(VALUE(LEFT($A34,4)),1,4),2)+1+(VALUE(MID($A34,7,2))-1)*7+MATCH($B34,lista_dias,0)-1)</f>
        <v/>
      </c>
      <c r="I34" s="3">
        <f>IF(OR($F34="",ISNUMBER(MATCH($F34,lista_no_disponible,0)),(IFERROR(INDEX('CALENDARIO'!$C$15:$C$214,MATCH(TEXT($H34,"yyyy-mm-dd")&amp;"|"&amp;$D34&amp;"|"&amp;"",'CALENDARIO'!$G$15:$G$214,0)),IFERROR(INDEX('CALENDARIO'!$C$15:$C$214,MATCH(TEXT($H34,"yyyy-mm-dd")&amp;"|"&amp;$D34&amp;"|",'CALENDARIO'!$G$15:$G$214,0)),IFERROR(INDEX('CALENDARIO'!$C$15:$C$214,MATCH(TEXT($H34,"yyyy-mm-dd")&amp;"||",'CALENDARIO'!$G$15:$G$214,0)),INDEX(patronHabil,WEEKDAY($H34,2))))))&lt;&gt;"sí"),0,p_horas_jornada)</f>
        <v/>
      </c>
      <c r="J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11">
        <f>IF($A35="","",DATE(VALUE(LEFT($A35,4)),1,4)-WEEKDAY(DATE(VALUE(LEFT($A35,4)),1,4),2)+1+(VALUE(MID($A35,7,2))-1)*7+MATCH($B35,lista_dias,0)-1)</f>
        <v/>
      </c>
      <c r="I35" s="3">
        <f>IF(OR($F35="",ISNUMBER(MATCH($F35,lista_no_disponible,0)),(IFERROR(INDEX('CALENDARIO'!$C$15:$C$214,MATCH(TEXT($H35,"yyyy-mm-dd")&amp;"|"&amp;$D35&amp;"|"&amp;"",'CALENDARIO'!$G$15:$G$214,0)),IFERROR(INDEX('CALENDARIO'!$C$15:$C$214,MATCH(TEXT($H35,"yyyy-mm-dd")&amp;"|"&amp;$D35&amp;"|",'CALENDARIO'!$G$15:$G$214,0)),IFERROR(INDEX('CALENDARIO'!$C$15:$C$214,MATCH(TEXT($H35,"yyyy-mm-dd")&amp;"||",'CALENDARIO'!$G$15:$G$214,0)),INDEX(patronHabil,WEEKDAY($H35,2))))))&lt;&gt;"sí"),0,p_horas_jornada)</f>
        <v/>
      </c>
      <c r="J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11">
        <f>IF($A36="","",DATE(VALUE(LEFT($A36,4)),1,4)-WEEKDAY(DATE(VALUE(LEFT($A36,4)),1,4),2)+1+(VALUE(MID($A36,7,2))-1)*7+MATCH($B36,lista_dias,0)-1)</f>
        <v/>
      </c>
      <c r="I36" s="3">
        <f>IF(OR($F36="",ISNUMBER(MATCH($F36,lista_no_disponible,0)),(IFERROR(INDEX('CALENDARIO'!$C$15:$C$214,MATCH(TEXT($H36,"yyyy-mm-dd")&amp;"|"&amp;$D36&amp;"|"&amp;"",'CALENDARIO'!$G$15:$G$214,0)),IFERROR(INDEX('CALENDARIO'!$C$15:$C$214,MATCH(TEXT($H36,"yyyy-mm-dd")&amp;"|"&amp;$D36&amp;"|",'CALENDARIO'!$G$15:$G$214,0)),IFERROR(INDEX('CALENDARIO'!$C$15:$C$214,MATCH(TEXT($H36,"yyyy-mm-dd")&amp;"||",'CALENDARIO'!$G$15:$G$214,0)),INDEX(patronHabil,WEEKDAY($H36,2))))))&lt;&gt;"sí"),0,p_horas_jornada)</f>
        <v/>
      </c>
      <c r="J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>
        <is>
          <t>T1</t>
        </is>
      </c>
      <c r="G37" s="3">
        <f>IFERROR(INDEX('TECNICOS'!$E$4:$E$15,MATCH($C37,'TECNICOS'!$B$4:$B$15,0)),"")</f>
        <v/>
      </c>
      <c r="H37" s="11">
        <f>IF($A37="","",DATE(VALUE(LEFT($A37,4)),1,4)-WEEKDAY(DATE(VALUE(LEFT($A37,4)),1,4),2)+1+(VALUE(MID($A37,7,2))-1)*7+MATCH($B37,lista_dias,0)-1)</f>
        <v/>
      </c>
      <c r="I37" s="3">
        <f>IF(OR($F37="",ISNUMBER(MATCH($F37,lista_no_disponible,0)),(IFERROR(INDEX('CALENDARIO'!$C$15:$C$214,MATCH(TEXT($H37,"yyyy-mm-dd")&amp;"|"&amp;$D37&amp;"|"&amp;"",'CALENDARIO'!$G$15:$G$214,0)),IFERROR(INDEX('CALENDARIO'!$C$15:$C$214,MATCH(TEXT($H37,"yyyy-mm-dd")&amp;"|"&amp;$D37&amp;"|",'CALENDARIO'!$G$15:$G$214,0)),IFERROR(INDEX('CALENDARIO'!$C$15:$C$214,MATCH(TEXT($H37,"yyyy-mm-dd")&amp;"||",'CALENDARIO'!$G$15:$G$214,0)),INDEX(patronHabil,WEEKDAY($H37,2))))))&lt;&gt;"sí"),0,p_horas_jornada)</f>
        <v/>
      </c>
      <c r="J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11">
        <f>IF($A38="","",DATE(VALUE(LEFT($A38,4)),1,4)-WEEKDAY(DATE(VALUE(LEFT($A38,4)),1,4),2)+1+(VALUE(MID($A38,7,2))-1)*7+MATCH($B38,lista_dias,0)-1)</f>
        <v/>
      </c>
      <c r="I38" s="3">
        <f>IF(OR($F38="",ISNUMBER(MATCH($F38,lista_no_disponible,0)),(IFERROR(INDEX('CALENDARIO'!$C$15:$C$214,MATCH(TEXT($H38,"yyyy-mm-dd")&amp;"|"&amp;$D38&amp;"|"&amp;"",'CALENDARIO'!$G$15:$G$214,0)),IFERROR(INDEX('CALENDARIO'!$C$15:$C$214,MATCH(TEXT($H38,"yyyy-mm-dd")&amp;"|"&amp;$D38&amp;"|",'CALENDARIO'!$G$15:$G$214,0)),IFERROR(INDEX('CALENDARIO'!$C$15:$C$214,MATCH(TEXT($H38,"yyyy-mm-dd")&amp;"||",'CALENDARIO'!$G$15:$G$214,0)),INDEX(patronHabil,WEEKDAY($H38,2))))))&lt;&gt;"sí"),0,p_horas_jornada)</f>
        <v/>
      </c>
      <c r="J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11">
        <f>IF($A39="","",DATE(VALUE(LEFT($A39,4)),1,4)-WEEKDAY(DATE(VALUE(LEFT($A39,4)),1,4),2)+1+(VALUE(MID($A39,7,2))-1)*7+MATCH($B39,lista_dias,0)-1)</f>
        <v/>
      </c>
      <c r="I39" s="3">
        <f>IF(OR($F39="",ISNUMBER(MATCH($F39,lista_no_disponible,0)),(IFERROR(INDEX('CALENDARIO'!$C$15:$C$214,MATCH(TEXT($H39,"yyyy-mm-dd")&amp;"|"&amp;$D39&amp;"|"&amp;"",'CALENDARIO'!$G$15:$G$214,0)),IFERROR(INDEX('CALENDARIO'!$C$15:$C$214,MATCH(TEXT($H39,"yyyy-mm-dd")&amp;"|"&amp;$D39&amp;"|",'CALENDARIO'!$G$15:$G$214,0)),IFERROR(INDEX('CALENDARIO'!$C$15:$C$214,MATCH(TEXT($H39,"yyyy-mm-dd")&amp;"||",'CALENDARIO'!$G$15:$G$214,0)),INDEX(patronHabil,WEEKDAY($H39,2))))))&lt;&gt;"sí"),0,p_horas_jornada)</f>
        <v/>
      </c>
      <c r="J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11">
        <f>IF($A40="","",DATE(VALUE(LEFT($A40,4)),1,4)-WEEKDAY(DATE(VALUE(LEFT($A40,4)),1,4),2)+1+(VALUE(MID($A40,7,2))-1)*7+MATCH($B40,lista_dias,0)-1)</f>
        <v/>
      </c>
      <c r="I40" s="3">
        <f>IF(OR($F40="",ISNUMBER(MATCH($F40,lista_no_disponible,0)),(IFERROR(INDEX('CALENDARIO'!$C$15:$C$214,MATCH(TEXT($H40,"yyyy-mm-dd")&amp;"|"&amp;$D40&amp;"|"&amp;"",'CALENDARIO'!$G$15:$G$214,0)),IFERROR(INDEX('CALENDARIO'!$C$15:$C$214,MATCH(TEXT($H40,"yyyy-mm-dd")&amp;"|"&amp;$D40&amp;"|",'CALENDARIO'!$G$15:$G$214,0)),IFERROR(INDEX('CALENDARIO'!$C$15:$C$214,MATCH(TEXT($H40,"yyyy-mm-dd")&amp;"||",'CALENDARIO'!$G$15:$G$214,0)),INDEX(patronHabil,WEEKDAY($H40,2))))))&lt;&gt;"sí"),0,p_horas_jornada)</f>
        <v/>
      </c>
      <c r="J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11">
        <f>IF($A41="","",DATE(VALUE(LEFT($A41,4)),1,4)-WEEKDAY(DATE(VALUE(LEFT($A41,4)),1,4),2)+1+(VALUE(MID($A41,7,2))-1)*7+MATCH($B41,lista_dias,0)-1)</f>
        <v/>
      </c>
      <c r="I41" s="3">
        <f>IF(OR($F41="",ISNUMBER(MATCH($F41,lista_no_disponible,0)),(IFERROR(INDEX('CALENDARIO'!$C$15:$C$214,MATCH(TEXT($H41,"yyyy-mm-dd")&amp;"|"&amp;$D41&amp;"|"&amp;"",'CALENDARIO'!$G$15:$G$214,0)),IFERROR(INDEX('CALENDARIO'!$C$15:$C$214,MATCH(TEXT($H41,"yyyy-mm-dd")&amp;"|"&amp;$D41&amp;"|",'CALENDARIO'!$G$15:$G$214,0)),IFERROR(INDEX('CALENDARIO'!$C$15:$C$214,MATCH(TEXT($H41,"yyyy-mm-dd")&amp;"||",'CALENDARIO'!$G$15:$G$214,0)),INDEX(patronHabil,WEEKDAY($H41,2))))))&lt;&gt;"sí"),0,p_horas_jornada)</f>
        <v/>
      </c>
      <c r="J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11">
        <f>IF($A42="","",DATE(VALUE(LEFT($A42,4)),1,4)-WEEKDAY(DATE(VALUE(LEFT($A42,4)),1,4),2)+1+(VALUE(MID($A42,7,2))-1)*7+MATCH($B42,lista_dias,0)-1)</f>
        <v/>
      </c>
      <c r="I42" s="3">
        <f>IF(OR($F42="",ISNUMBER(MATCH($F42,lista_no_disponible,0)),(IFERROR(INDEX('CALENDARIO'!$C$15:$C$214,MATCH(TEXT($H42,"yyyy-mm-dd")&amp;"|"&amp;$D42&amp;"|"&amp;"",'CALENDARIO'!$G$15:$G$214,0)),IFERROR(INDEX('CALENDARIO'!$C$15:$C$214,MATCH(TEXT($H42,"yyyy-mm-dd")&amp;"|"&amp;$D42&amp;"|",'CALENDARIO'!$G$15:$G$214,0)),IFERROR(INDEX('CALENDARIO'!$C$15:$C$214,MATCH(TEXT($H42,"yyyy-mm-dd")&amp;"||",'CALENDARIO'!$G$15:$G$214,0)),INDEX(patronHabil,WEEKDAY($H42,2))))))&lt;&gt;"sí"),0,p_horas_jornada)</f>
        <v/>
      </c>
      <c r="J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11">
        <f>IF($A43="","",DATE(VALUE(LEFT($A43,4)),1,4)-WEEKDAY(DATE(VALUE(LEFT($A43,4)),1,4),2)+1+(VALUE(MID($A43,7,2))-1)*7+MATCH($B43,lista_dias,0)-1)</f>
        <v/>
      </c>
      <c r="I43" s="3">
        <f>IF(OR($F43="",ISNUMBER(MATCH($F43,lista_no_disponible,0)),(IFERROR(INDEX('CALENDARIO'!$C$15:$C$214,MATCH(TEXT($H43,"yyyy-mm-dd")&amp;"|"&amp;$D43&amp;"|"&amp;"",'CALENDARIO'!$G$15:$G$214,0)),IFERROR(INDEX('CALENDARIO'!$C$15:$C$214,MATCH(TEXT($H43,"yyyy-mm-dd")&amp;"|"&amp;$D43&amp;"|",'CALENDARIO'!$G$15:$G$214,0)),IFERROR(INDEX('CALENDARIO'!$C$15:$C$214,MATCH(TEXT($H43,"yyyy-mm-dd")&amp;"||",'CALENDARIO'!$G$15:$G$214,0)),INDEX(patronHabil,WEEKDAY($H43,2))))))&lt;&gt;"sí"),0,p_horas_jornada)</f>
        <v/>
      </c>
      <c r="J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>
        <is>
          <t>T1</t>
        </is>
      </c>
      <c r="G44" s="3">
        <f>IFERROR(INDEX('TECNICOS'!$E$4:$E$15,MATCH($C44,'TECNICOS'!$B$4:$B$15,0)),"")</f>
        <v/>
      </c>
      <c r="H44" s="11">
        <f>IF($A44="","",DATE(VALUE(LEFT($A44,4)),1,4)-WEEKDAY(DATE(VALUE(LEFT($A44,4)),1,4),2)+1+(VALUE(MID($A44,7,2))-1)*7+MATCH($B44,lista_dias,0)-1)</f>
        <v/>
      </c>
      <c r="I44" s="3">
        <f>IF(OR($F44="",ISNUMBER(MATCH($F44,lista_no_disponible,0)),(IFERROR(INDEX('CALENDARIO'!$C$15:$C$214,MATCH(TEXT($H44,"yyyy-mm-dd")&amp;"|"&amp;$D44&amp;"|"&amp;"",'CALENDARIO'!$G$15:$G$214,0)),IFERROR(INDEX('CALENDARIO'!$C$15:$C$214,MATCH(TEXT($H44,"yyyy-mm-dd")&amp;"|"&amp;$D44&amp;"|",'CALENDARIO'!$G$15:$G$214,0)),IFERROR(INDEX('CALENDARIO'!$C$15:$C$214,MATCH(TEXT($H44,"yyyy-mm-dd")&amp;"||",'CALENDARIO'!$G$15:$G$214,0)),INDEX(patronHabil,WEEKDAY($H44,2))))))&lt;&gt;"sí"),0,p_horas_jornada)</f>
        <v/>
      </c>
      <c r="J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11">
        <f>IF($A45="","",DATE(VALUE(LEFT($A45,4)),1,4)-WEEKDAY(DATE(VALUE(LEFT($A45,4)),1,4),2)+1+(VALUE(MID($A45,7,2))-1)*7+MATCH($B45,lista_dias,0)-1)</f>
        <v/>
      </c>
      <c r="I45" s="3">
        <f>IF(OR($F45="",ISNUMBER(MATCH($F45,lista_no_disponible,0)),(IFERROR(INDEX('CALENDARIO'!$C$15:$C$214,MATCH(TEXT($H45,"yyyy-mm-dd")&amp;"|"&amp;$D45&amp;"|"&amp;"",'CALENDARIO'!$G$15:$G$214,0)),IFERROR(INDEX('CALENDARIO'!$C$15:$C$214,MATCH(TEXT($H45,"yyyy-mm-dd")&amp;"|"&amp;$D45&amp;"|",'CALENDARIO'!$G$15:$G$214,0)),IFERROR(INDEX('CALENDARIO'!$C$15:$C$214,MATCH(TEXT($H45,"yyyy-mm-dd")&amp;"||",'CALENDARIO'!$G$15:$G$214,0)),INDEX(patronHabil,WEEKDAY($H45,2))))))&lt;&gt;"sí"),0,p_horas_jornada)</f>
        <v/>
      </c>
      <c r="J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11">
        <f>IF($A46="","",DATE(VALUE(LEFT($A46,4)),1,4)-WEEKDAY(DATE(VALUE(LEFT($A46,4)),1,4),2)+1+(VALUE(MID($A46,7,2))-1)*7+MATCH($B46,lista_dias,0)-1)</f>
        <v/>
      </c>
      <c r="I46" s="3">
        <f>IF(OR($F46="",ISNUMBER(MATCH($F46,lista_no_disponible,0)),(IFERROR(INDEX('CALENDARIO'!$C$15:$C$214,MATCH(TEXT($H46,"yyyy-mm-dd")&amp;"|"&amp;$D46&amp;"|"&amp;"",'CALENDARIO'!$G$15:$G$214,0)),IFERROR(INDEX('CALENDARIO'!$C$15:$C$214,MATCH(TEXT($H46,"yyyy-mm-dd")&amp;"|"&amp;$D46&amp;"|",'CALENDARIO'!$G$15:$G$214,0)),IFERROR(INDEX('CALENDARIO'!$C$15:$C$214,MATCH(TEXT($H46,"yyyy-mm-dd")&amp;"||",'CALENDARIO'!$G$15:$G$214,0)),INDEX(patronHabil,WEEKDAY($H46,2))))))&lt;&gt;"sí"),0,p_horas_jornada)</f>
        <v/>
      </c>
      <c r="J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11">
        <f>IF($A47="","",DATE(VALUE(LEFT($A47,4)),1,4)-WEEKDAY(DATE(VALUE(LEFT($A47,4)),1,4),2)+1+(VALUE(MID($A47,7,2))-1)*7+MATCH($B47,lista_dias,0)-1)</f>
        <v/>
      </c>
      <c r="I47" s="3">
        <f>IF(OR($F47="",ISNUMBER(MATCH($F47,lista_no_disponible,0)),(IFERROR(INDEX('CALENDARIO'!$C$15:$C$214,MATCH(TEXT($H47,"yyyy-mm-dd")&amp;"|"&amp;$D47&amp;"|"&amp;"",'CALENDARIO'!$G$15:$G$214,0)),IFERROR(INDEX('CALENDARIO'!$C$15:$C$214,MATCH(TEXT($H47,"yyyy-mm-dd")&amp;"|"&amp;$D47&amp;"|",'CALENDARIO'!$G$15:$G$214,0)),IFERROR(INDEX('CALENDARIO'!$C$15:$C$214,MATCH(TEXT($H47,"yyyy-mm-dd")&amp;"||",'CALENDARIO'!$G$15:$G$214,0)),INDEX(patronHabil,WEEKDAY($H47,2))))))&lt;&gt;"sí"),0,p_horas_jornada)</f>
        <v/>
      </c>
      <c r="J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11">
        <f>IF($A48="","",DATE(VALUE(LEFT($A48,4)),1,4)-WEEKDAY(DATE(VALUE(LEFT($A48,4)),1,4),2)+1+(VALUE(MID($A48,7,2))-1)*7+MATCH($B48,lista_dias,0)-1)</f>
        <v/>
      </c>
      <c r="I48" s="3">
        <f>IF(OR($F48="",ISNUMBER(MATCH($F48,lista_no_disponible,0)),(IFERROR(INDEX('CALENDARIO'!$C$15:$C$214,MATCH(TEXT($H48,"yyyy-mm-dd")&amp;"|"&amp;$D48&amp;"|"&amp;"",'CALENDARIO'!$G$15:$G$214,0)),IFERROR(INDEX('CALENDARIO'!$C$15:$C$214,MATCH(TEXT($H48,"yyyy-mm-dd")&amp;"|"&amp;$D48&amp;"|",'CALENDARIO'!$G$15:$G$214,0)),IFERROR(INDEX('CALENDARIO'!$C$15:$C$214,MATCH(TEXT($H48,"yyyy-mm-dd")&amp;"||",'CALENDARIO'!$G$15:$G$214,0)),INDEX(patronHabil,WEEKDAY($H48,2))))))&lt;&gt;"sí"),0,p_horas_jornada)</f>
        <v/>
      </c>
      <c r="J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11">
        <f>IF($A49="","",DATE(VALUE(LEFT($A49,4)),1,4)-WEEKDAY(DATE(VALUE(LEFT($A49,4)),1,4),2)+1+(VALUE(MID($A49,7,2))-1)*7+MATCH($B49,lista_dias,0)-1)</f>
        <v/>
      </c>
      <c r="I49" s="3">
        <f>IF(OR($F49="",ISNUMBER(MATCH($F49,lista_no_disponible,0)),(IFERROR(INDEX('CALENDARIO'!$C$15:$C$214,MATCH(TEXT($H49,"yyyy-mm-dd")&amp;"|"&amp;$D49&amp;"|"&amp;"",'CALENDARIO'!$G$15:$G$214,0)),IFERROR(INDEX('CALENDARIO'!$C$15:$C$214,MATCH(TEXT($H49,"yyyy-mm-dd")&amp;"|"&amp;$D49&amp;"|",'CALENDARIO'!$G$15:$G$214,0)),IFERROR(INDEX('CALENDARIO'!$C$15:$C$214,MATCH(TEXT($H49,"yyyy-mm-dd")&amp;"||",'CALENDARIO'!$G$15:$G$214,0)),INDEX(patronHabil,WEEKDAY($H49,2))))))&lt;&gt;"sí"),0,p_horas_jornada)</f>
        <v/>
      </c>
      <c r="J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11">
        <f>IF($A50="","",DATE(VALUE(LEFT($A50,4)),1,4)-WEEKDAY(DATE(VALUE(LEFT($A50,4)),1,4),2)+1+(VALUE(MID($A50,7,2))-1)*7+MATCH($B50,lista_dias,0)-1)</f>
        <v/>
      </c>
      <c r="I50" s="3">
        <f>IF(OR($F50="",ISNUMBER(MATCH($F50,lista_no_disponible,0)),(IFERROR(INDEX('CALENDARIO'!$C$15:$C$214,MATCH(TEXT($H50,"yyyy-mm-dd")&amp;"|"&amp;$D50&amp;"|"&amp;"",'CALENDARIO'!$G$15:$G$214,0)),IFERROR(INDEX('CALENDARIO'!$C$15:$C$214,MATCH(TEXT($H50,"yyyy-mm-dd")&amp;"|"&amp;$D50&amp;"|",'CALENDARIO'!$G$15:$G$214,0)),IFERROR(INDEX('CALENDARIO'!$C$15:$C$214,MATCH(TEXT($H50,"yyyy-mm-dd")&amp;"||",'CALENDARIO'!$G$15:$G$214,0)),INDEX(patronHabil,WEEKDAY($H50,2))))))&lt;&gt;"sí"),0,p_horas_jornada)</f>
        <v/>
      </c>
      <c r="J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>
        <is>
          <t>T1</t>
        </is>
      </c>
      <c r="G51" s="3">
        <f>IFERROR(INDEX('TECNICOS'!$E$4:$E$15,MATCH($C51,'TECNICOS'!$B$4:$B$15,0)),"")</f>
        <v/>
      </c>
      <c r="H51" s="11">
        <f>IF($A51="","",DATE(VALUE(LEFT($A51,4)),1,4)-WEEKDAY(DATE(VALUE(LEFT($A51,4)),1,4),2)+1+(VALUE(MID($A51,7,2))-1)*7+MATCH($B51,lista_dias,0)-1)</f>
        <v/>
      </c>
      <c r="I51" s="3">
        <f>IF(OR($F51="",ISNUMBER(MATCH($F51,lista_no_disponible,0)),(IFERROR(INDEX('CALENDARIO'!$C$15:$C$214,MATCH(TEXT($H51,"yyyy-mm-dd")&amp;"|"&amp;$D51&amp;"|"&amp;"",'CALENDARIO'!$G$15:$G$214,0)),IFERROR(INDEX('CALENDARIO'!$C$15:$C$214,MATCH(TEXT($H51,"yyyy-mm-dd")&amp;"|"&amp;$D51&amp;"|",'CALENDARIO'!$G$15:$G$214,0)),IFERROR(INDEX('CALENDARIO'!$C$15:$C$214,MATCH(TEXT($H51,"yyyy-mm-dd")&amp;"||",'CALENDARIO'!$G$15:$G$214,0)),INDEX(patronHabil,WEEKDAY($H51,2))))))&lt;&gt;"sí"),0,p_horas_jornada)</f>
        <v/>
      </c>
      <c r="J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11">
        <f>IF($A52="","",DATE(VALUE(LEFT($A52,4)),1,4)-WEEKDAY(DATE(VALUE(LEFT($A52,4)),1,4),2)+1+(VALUE(MID($A52,7,2))-1)*7+MATCH($B52,lista_dias,0)-1)</f>
        <v/>
      </c>
      <c r="I52" s="3">
        <f>IF(OR($F52="",ISNUMBER(MATCH($F52,lista_no_disponible,0)),(IFERROR(INDEX('CALENDARIO'!$C$15:$C$214,MATCH(TEXT($H52,"yyyy-mm-dd")&amp;"|"&amp;$D52&amp;"|"&amp;"",'CALENDARIO'!$G$15:$G$214,0)),IFERROR(INDEX('CALENDARIO'!$C$15:$C$214,MATCH(TEXT($H52,"yyyy-mm-dd")&amp;"|"&amp;$D52&amp;"|",'CALENDARIO'!$G$15:$G$214,0)),IFERROR(INDEX('CALENDARIO'!$C$15:$C$214,MATCH(TEXT($H52,"yyyy-mm-dd")&amp;"||",'CALENDARIO'!$G$15:$G$214,0)),INDEX(patronHabil,WEEKDAY($H52,2))))))&lt;&gt;"sí"),0,p_horas_jornada)</f>
        <v/>
      </c>
      <c r="J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11">
        <f>IF($A53="","",DATE(VALUE(LEFT($A53,4)),1,4)-WEEKDAY(DATE(VALUE(LEFT($A53,4)),1,4),2)+1+(VALUE(MID($A53,7,2))-1)*7+MATCH($B53,lista_dias,0)-1)</f>
        <v/>
      </c>
      <c r="I53" s="3">
        <f>IF(OR($F53="",ISNUMBER(MATCH($F53,lista_no_disponible,0)),(IFERROR(INDEX('CALENDARIO'!$C$15:$C$214,MATCH(TEXT($H53,"yyyy-mm-dd")&amp;"|"&amp;$D53&amp;"|"&amp;"",'CALENDARIO'!$G$15:$G$214,0)),IFERROR(INDEX('CALENDARIO'!$C$15:$C$214,MATCH(TEXT($H53,"yyyy-mm-dd")&amp;"|"&amp;$D53&amp;"|",'CALENDARIO'!$G$15:$G$214,0)),IFERROR(INDEX('CALENDARIO'!$C$15:$C$214,MATCH(TEXT($H53,"yyyy-mm-dd")&amp;"||",'CALENDARIO'!$G$15:$G$214,0)),INDEX(patronHabil,WEEKDAY($H53,2))))))&lt;&gt;"sí"),0,p_horas_jornada)</f>
        <v/>
      </c>
      <c r="J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11">
        <f>IF($A54="","",DATE(VALUE(LEFT($A54,4)),1,4)-WEEKDAY(DATE(VALUE(LEFT($A54,4)),1,4),2)+1+(VALUE(MID($A54,7,2))-1)*7+MATCH($B54,lista_dias,0)-1)</f>
        <v/>
      </c>
      <c r="I54" s="3">
        <f>IF(OR($F54="",ISNUMBER(MATCH($F54,lista_no_disponible,0)),(IFERROR(INDEX('CALENDARIO'!$C$15:$C$214,MATCH(TEXT($H54,"yyyy-mm-dd")&amp;"|"&amp;$D54&amp;"|"&amp;"",'CALENDARIO'!$G$15:$G$214,0)),IFERROR(INDEX('CALENDARIO'!$C$15:$C$214,MATCH(TEXT($H54,"yyyy-mm-dd")&amp;"|"&amp;$D54&amp;"|",'CALENDARIO'!$G$15:$G$214,0)),IFERROR(INDEX('CALENDARIO'!$C$15:$C$214,MATCH(TEXT($H54,"yyyy-mm-dd")&amp;"||",'CALENDARIO'!$G$15:$G$214,0)),INDEX(patronHabil,WEEKDAY($H54,2))))))&lt;&gt;"sí"),0,p_horas_jornada)</f>
        <v/>
      </c>
      <c r="J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11">
        <f>IF($A55="","",DATE(VALUE(LEFT($A55,4)),1,4)-WEEKDAY(DATE(VALUE(LEFT($A55,4)),1,4),2)+1+(VALUE(MID($A55,7,2))-1)*7+MATCH($B55,lista_dias,0)-1)</f>
        <v/>
      </c>
      <c r="I55" s="3">
        <f>IF(OR($F55="",ISNUMBER(MATCH($F55,lista_no_disponible,0)),(IFERROR(INDEX('CALENDARIO'!$C$15:$C$214,MATCH(TEXT($H55,"yyyy-mm-dd")&amp;"|"&amp;$D55&amp;"|"&amp;"",'CALENDARIO'!$G$15:$G$214,0)),IFERROR(INDEX('CALENDARIO'!$C$15:$C$214,MATCH(TEXT($H55,"yyyy-mm-dd")&amp;"|"&amp;$D55&amp;"|",'CALENDARIO'!$G$15:$G$214,0)),IFERROR(INDEX('CALENDARIO'!$C$15:$C$214,MATCH(TEXT($H55,"yyyy-mm-dd")&amp;"||",'CALENDARIO'!$G$15:$G$214,0)),INDEX(patronHabil,WEEKDAY($H55,2))))))&lt;&gt;"sí"),0,p_horas_jornada)</f>
        <v/>
      </c>
      <c r="J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11">
        <f>IF($A56="","",DATE(VALUE(LEFT($A56,4)),1,4)-WEEKDAY(DATE(VALUE(LEFT($A56,4)),1,4),2)+1+(VALUE(MID($A56,7,2))-1)*7+MATCH($B56,lista_dias,0)-1)</f>
        <v/>
      </c>
      <c r="I56" s="3">
        <f>IF(OR($F56="",ISNUMBER(MATCH($F56,lista_no_disponible,0)),(IFERROR(INDEX('CALENDARIO'!$C$15:$C$214,MATCH(TEXT($H56,"yyyy-mm-dd")&amp;"|"&amp;$D56&amp;"|"&amp;"",'CALENDARIO'!$G$15:$G$214,0)),IFERROR(INDEX('CALENDARIO'!$C$15:$C$214,MATCH(TEXT($H56,"yyyy-mm-dd")&amp;"|"&amp;$D56&amp;"|",'CALENDARIO'!$G$15:$G$214,0)),IFERROR(INDEX('CALENDARIO'!$C$15:$C$214,MATCH(TEXT($H56,"yyyy-mm-dd")&amp;"||",'CALENDARIO'!$G$15:$G$214,0)),INDEX(patronHabil,WEEKDAY($H56,2))))))&lt;&gt;"sí"),0,p_horas_jornada)</f>
        <v/>
      </c>
      <c r="J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11">
        <f>IF($A57="","",DATE(VALUE(LEFT($A57,4)),1,4)-WEEKDAY(DATE(VALUE(LEFT($A57,4)),1,4),2)+1+(VALUE(MID($A57,7,2))-1)*7+MATCH($B57,lista_dias,0)-1)</f>
        <v/>
      </c>
      <c r="I57" s="3">
        <f>IF(OR($F57="",ISNUMBER(MATCH($F57,lista_no_disponible,0)),(IFERROR(INDEX('CALENDARIO'!$C$15:$C$214,MATCH(TEXT($H57,"yyyy-mm-dd")&amp;"|"&amp;$D57&amp;"|"&amp;"",'CALENDARIO'!$G$15:$G$214,0)),IFERROR(INDEX('CALENDARIO'!$C$15:$C$214,MATCH(TEXT($H57,"yyyy-mm-dd")&amp;"|"&amp;$D57&amp;"|",'CALENDARIO'!$G$15:$G$214,0)),IFERROR(INDEX('CALENDARIO'!$C$15:$C$214,MATCH(TEXT($H57,"yyyy-mm-dd")&amp;"||",'CALENDARIO'!$G$15:$G$214,0)),INDEX(patronHabil,WEEKDAY($H57,2))))))&lt;&gt;"sí"),0,p_horas_jornada)</f>
        <v/>
      </c>
      <c r="J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>
        <is>
          <t>T3</t>
        </is>
      </c>
      <c r="G58" s="3">
        <f>IFERROR(INDEX('TECNICOS'!$E$4:$E$15,MATCH($C58,'TECNICOS'!$B$4:$B$15,0)),"")</f>
        <v/>
      </c>
      <c r="H58" s="11">
        <f>IF($A58="","",DATE(VALUE(LEFT($A58,4)),1,4)-WEEKDAY(DATE(VALUE(LEFT($A58,4)),1,4),2)+1+(VALUE(MID($A58,7,2))-1)*7+MATCH($B58,lista_dias,0)-1)</f>
        <v/>
      </c>
      <c r="I58" s="3">
        <f>IF(OR($F58="",ISNUMBER(MATCH($F58,lista_no_disponible,0)),(IFERROR(INDEX('CALENDARIO'!$C$15:$C$214,MATCH(TEXT($H58,"yyyy-mm-dd")&amp;"|"&amp;$D58&amp;"|"&amp;"",'CALENDARIO'!$G$15:$G$214,0)),IFERROR(INDEX('CALENDARIO'!$C$15:$C$214,MATCH(TEXT($H58,"yyyy-mm-dd")&amp;"|"&amp;$D58&amp;"|",'CALENDARIO'!$G$15:$G$214,0)),IFERROR(INDEX('CALENDARIO'!$C$15:$C$214,MATCH(TEXT($H58,"yyyy-mm-dd")&amp;"||",'CALENDARIO'!$G$15:$G$214,0)),INDEX(patronHabil,WEEKDAY($H58,2))))))&lt;&gt;"sí"),0,p_horas_jornada)</f>
        <v/>
      </c>
      <c r="J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11">
        <f>IF($A59="","",DATE(VALUE(LEFT($A59,4)),1,4)-WEEKDAY(DATE(VALUE(LEFT($A59,4)),1,4),2)+1+(VALUE(MID($A59,7,2))-1)*7+MATCH($B59,lista_dias,0)-1)</f>
        <v/>
      </c>
      <c r="I59" s="3">
        <f>IF(OR($F59="",ISNUMBER(MATCH($F59,lista_no_disponible,0)),(IFERROR(INDEX('CALENDARIO'!$C$15:$C$214,MATCH(TEXT($H59,"yyyy-mm-dd")&amp;"|"&amp;$D59&amp;"|"&amp;"",'CALENDARIO'!$G$15:$G$214,0)),IFERROR(INDEX('CALENDARIO'!$C$15:$C$214,MATCH(TEXT($H59,"yyyy-mm-dd")&amp;"|"&amp;$D59&amp;"|",'CALENDARIO'!$G$15:$G$214,0)),IFERROR(INDEX('CALENDARIO'!$C$15:$C$214,MATCH(TEXT($H59,"yyyy-mm-dd")&amp;"||",'CALENDARIO'!$G$15:$G$214,0)),INDEX(patronHabil,WEEKDAY($H59,2))))))&lt;&gt;"sí"),0,p_horas_jornada)</f>
        <v/>
      </c>
      <c r="J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11">
        <f>IF($A60="","",DATE(VALUE(LEFT($A60,4)),1,4)-WEEKDAY(DATE(VALUE(LEFT($A60,4)),1,4),2)+1+(VALUE(MID($A60,7,2))-1)*7+MATCH($B60,lista_dias,0)-1)</f>
        <v/>
      </c>
      <c r="I60" s="3">
        <f>IF(OR($F60="",ISNUMBER(MATCH($F60,lista_no_disponible,0)),(IFERROR(INDEX('CALENDARIO'!$C$15:$C$214,MATCH(TEXT($H60,"yyyy-mm-dd")&amp;"|"&amp;$D60&amp;"|"&amp;"",'CALENDARIO'!$G$15:$G$214,0)),IFERROR(INDEX('CALENDARIO'!$C$15:$C$214,MATCH(TEXT($H60,"yyyy-mm-dd")&amp;"|"&amp;$D60&amp;"|",'CALENDARIO'!$G$15:$G$214,0)),IFERROR(INDEX('CALENDARIO'!$C$15:$C$214,MATCH(TEXT($H60,"yyyy-mm-dd")&amp;"||",'CALENDARIO'!$G$15:$G$214,0)),INDEX(patronHabil,WEEKDAY($H60,2))))))&lt;&gt;"sí"),0,p_horas_jornada)</f>
        <v/>
      </c>
      <c r="J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11">
        <f>IF($A61="","",DATE(VALUE(LEFT($A61,4)),1,4)-WEEKDAY(DATE(VALUE(LEFT($A61,4)),1,4),2)+1+(VALUE(MID($A61,7,2))-1)*7+MATCH($B61,lista_dias,0)-1)</f>
        <v/>
      </c>
      <c r="I61" s="3">
        <f>IF(OR($F61="",ISNUMBER(MATCH($F61,lista_no_disponible,0)),(IFERROR(INDEX('CALENDARIO'!$C$15:$C$214,MATCH(TEXT($H61,"yyyy-mm-dd")&amp;"|"&amp;$D61&amp;"|"&amp;"",'CALENDARIO'!$G$15:$G$214,0)),IFERROR(INDEX('CALENDARIO'!$C$15:$C$214,MATCH(TEXT($H61,"yyyy-mm-dd")&amp;"|"&amp;$D61&amp;"|",'CALENDARIO'!$G$15:$G$214,0)),IFERROR(INDEX('CALENDARIO'!$C$15:$C$214,MATCH(TEXT($H61,"yyyy-mm-dd")&amp;"||",'CALENDARIO'!$G$15:$G$214,0)),INDEX(patronHabil,WEEKDAY($H61,2))))))&lt;&gt;"sí"),0,p_horas_jornada)</f>
        <v/>
      </c>
      <c r="J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11">
        <f>IF($A62="","",DATE(VALUE(LEFT($A62,4)),1,4)-WEEKDAY(DATE(VALUE(LEFT($A62,4)),1,4),2)+1+(VALUE(MID($A62,7,2))-1)*7+MATCH($B62,lista_dias,0)-1)</f>
        <v/>
      </c>
      <c r="I62" s="3">
        <f>IF(OR($F62="",ISNUMBER(MATCH($F62,lista_no_disponible,0)),(IFERROR(INDEX('CALENDARIO'!$C$15:$C$214,MATCH(TEXT($H62,"yyyy-mm-dd")&amp;"|"&amp;$D62&amp;"|"&amp;"",'CALENDARIO'!$G$15:$G$214,0)),IFERROR(INDEX('CALENDARIO'!$C$15:$C$214,MATCH(TEXT($H62,"yyyy-mm-dd")&amp;"|"&amp;$D62&amp;"|",'CALENDARIO'!$G$15:$G$214,0)),IFERROR(INDEX('CALENDARIO'!$C$15:$C$214,MATCH(TEXT($H62,"yyyy-mm-dd")&amp;"||",'CALENDARIO'!$G$15:$G$214,0)),INDEX(patronHabil,WEEKDAY($H62,2))))))&lt;&gt;"sí"),0,p_horas_jornada)</f>
        <v/>
      </c>
      <c r="J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11">
        <f>IF($A63="","",DATE(VALUE(LEFT($A63,4)),1,4)-WEEKDAY(DATE(VALUE(LEFT($A63,4)),1,4),2)+1+(VALUE(MID($A63,7,2))-1)*7+MATCH($B63,lista_dias,0)-1)</f>
        <v/>
      </c>
      <c r="I63" s="3">
        <f>IF(OR($F63="",ISNUMBER(MATCH($F63,lista_no_disponible,0)),(IFERROR(INDEX('CALENDARIO'!$C$15:$C$214,MATCH(TEXT($H63,"yyyy-mm-dd")&amp;"|"&amp;$D63&amp;"|"&amp;"",'CALENDARIO'!$G$15:$G$214,0)),IFERROR(INDEX('CALENDARIO'!$C$15:$C$214,MATCH(TEXT($H63,"yyyy-mm-dd")&amp;"|"&amp;$D63&amp;"|",'CALENDARIO'!$G$15:$G$214,0)),IFERROR(INDEX('CALENDARIO'!$C$15:$C$214,MATCH(TEXT($H63,"yyyy-mm-dd")&amp;"||",'CALENDARIO'!$G$15:$G$214,0)),INDEX(patronHabil,WEEKDAY($H63,2))))))&lt;&gt;"sí"),0,p_horas_jornada)</f>
        <v/>
      </c>
      <c r="J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11">
        <f>IF($A64="","",DATE(VALUE(LEFT($A64,4)),1,4)-WEEKDAY(DATE(VALUE(LEFT($A64,4)),1,4),2)+1+(VALUE(MID($A64,7,2))-1)*7+MATCH($B64,lista_dias,0)-1)</f>
        <v/>
      </c>
      <c r="I64" s="3">
        <f>IF(OR($F64="",ISNUMBER(MATCH($F64,lista_no_disponible,0)),(IFERROR(INDEX('CALENDARIO'!$C$15:$C$214,MATCH(TEXT($H64,"yyyy-mm-dd")&amp;"|"&amp;$D64&amp;"|"&amp;"",'CALENDARIO'!$G$15:$G$214,0)),IFERROR(INDEX('CALENDARIO'!$C$15:$C$214,MATCH(TEXT($H64,"yyyy-mm-dd")&amp;"|"&amp;$D64&amp;"|",'CALENDARIO'!$G$15:$G$214,0)),IFERROR(INDEX('CALENDARIO'!$C$15:$C$214,MATCH(TEXT($H64,"yyyy-mm-dd")&amp;"||",'CALENDARIO'!$G$15:$G$214,0)),INDEX(patronHabil,WEEKDAY($H64,2))))))&lt;&gt;"sí"),0,p_horas_jornada)</f>
        <v/>
      </c>
      <c r="J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>
        <is>
          <t>T1</t>
        </is>
      </c>
      <c r="G65" s="3">
        <f>IFERROR(INDEX('TECNICOS'!$E$4:$E$15,MATCH($C65,'TECNICOS'!$B$4:$B$15,0)),"")</f>
        <v/>
      </c>
      <c r="H65" s="11">
        <f>IF($A65="","",DATE(VALUE(LEFT($A65,4)),1,4)-WEEKDAY(DATE(VALUE(LEFT($A65,4)),1,4),2)+1+(VALUE(MID($A65,7,2))-1)*7+MATCH($B65,lista_dias,0)-1)</f>
        <v/>
      </c>
      <c r="I65" s="3">
        <f>IF(OR($F65="",ISNUMBER(MATCH($F65,lista_no_disponible,0)),(IFERROR(INDEX('CALENDARIO'!$C$15:$C$214,MATCH(TEXT($H65,"yyyy-mm-dd")&amp;"|"&amp;$D65&amp;"|"&amp;"",'CALENDARIO'!$G$15:$G$214,0)),IFERROR(INDEX('CALENDARIO'!$C$15:$C$214,MATCH(TEXT($H65,"yyyy-mm-dd")&amp;"|"&amp;$D65&amp;"|",'CALENDARIO'!$G$15:$G$214,0)),IFERROR(INDEX('CALENDARIO'!$C$15:$C$214,MATCH(TEXT($H65,"yyyy-mm-dd")&amp;"||",'CALENDARIO'!$G$15:$G$214,0)),INDEX(patronHabil,WEEKDAY($H65,2))))))&lt;&gt;"sí"),0,p_horas_jornada)</f>
        <v/>
      </c>
      <c r="J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11">
        <f>IF($A66="","",DATE(VALUE(LEFT($A66,4)),1,4)-WEEKDAY(DATE(VALUE(LEFT($A66,4)),1,4),2)+1+(VALUE(MID($A66,7,2))-1)*7+MATCH($B66,lista_dias,0)-1)</f>
        <v/>
      </c>
      <c r="I66" s="3">
        <f>IF(OR($F66="",ISNUMBER(MATCH($F66,lista_no_disponible,0)),(IFERROR(INDEX('CALENDARIO'!$C$15:$C$214,MATCH(TEXT($H66,"yyyy-mm-dd")&amp;"|"&amp;$D66&amp;"|"&amp;"",'CALENDARIO'!$G$15:$G$214,0)),IFERROR(INDEX('CALENDARIO'!$C$15:$C$214,MATCH(TEXT($H66,"yyyy-mm-dd")&amp;"|"&amp;$D66&amp;"|",'CALENDARIO'!$G$15:$G$214,0)),IFERROR(INDEX('CALENDARIO'!$C$15:$C$214,MATCH(TEXT($H66,"yyyy-mm-dd")&amp;"||",'CALENDARIO'!$G$15:$G$214,0)),INDEX(patronHabil,WEEKDAY($H66,2))))))&lt;&gt;"sí"),0,p_horas_jornada)</f>
        <v/>
      </c>
      <c r="J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11">
        <f>IF($A67="","",DATE(VALUE(LEFT($A67,4)),1,4)-WEEKDAY(DATE(VALUE(LEFT($A67,4)),1,4),2)+1+(VALUE(MID($A67,7,2))-1)*7+MATCH($B67,lista_dias,0)-1)</f>
        <v/>
      </c>
      <c r="I67" s="3">
        <f>IF(OR($F67="",ISNUMBER(MATCH($F67,lista_no_disponible,0)),(IFERROR(INDEX('CALENDARIO'!$C$15:$C$214,MATCH(TEXT($H67,"yyyy-mm-dd")&amp;"|"&amp;$D67&amp;"|"&amp;"",'CALENDARIO'!$G$15:$G$214,0)),IFERROR(INDEX('CALENDARIO'!$C$15:$C$214,MATCH(TEXT($H67,"yyyy-mm-dd")&amp;"|"&amp;$D67&amp;"|",'CALENDARIO'!$G$15:$G$214,0)),IFERROR(INDEX('CALENDARIO'!$C$15:$C$214,MATCH(TEXT($H67,"yyyy-mm-dd")&amp;"||",'CALENDARIO'!$G$15:$G$214,0)),INDEX(patronHabil,WEEKDAY($H67,2))))))&lt;&gt;"sí"),0,p_horas_jornada)</f>
        <v/>
      </c>
      <c r="J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11">
        <f>IF($A68="","",DATE(VALUE(LEFT($A68,4)),1,4)-WEEKDAY(DATE(VALUE(LEFT($A68,4)),1,4),2)+1+(VALUE(MID($A68,7,2))-1)*7+MATCH($B68,lista_dias,0)-1)</f>
        <v/>
      </c>
      <c r="I68" s="3">
        <f>IF(OR($F68="",ISNUMBER(MATCH($F68,lista_no_disponible,0)),(IFERROR(INDEX('CALENDARIO'!$C$15:$C$214,MATCH(TEXT($H68,"yyyy-mm-dd")&amp;"|"&amp;$D68&amp;"|"&amp;"",'CALENDARIO'!$G$15:$G$214,0)),IFERROR(INDEX('CALENDARIO'!$C$15:$C$214,MATCH(TEXT($H68,"yyyy-mm-dd")&amp;"|"&amp;$D68&amp;"|",'CALENDARIO'!$G$15:$G$214,0)),IFERROR(INDEX('CALENDARIO'!$C$15:$C$214,MATCH(TEXT($H68,"yyyy-mm-dd")&amp;"||",'CALENDARIO'!$G$15:$G$214,0)),INDEX(patronHabil,WEEKDAY($H68,2))))))&lt;&gt;"sí"),0,p_horas_jornada)</f>
        <v/>
      </c>
      <c r="J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11">
        <f>IF($A69="","",DATE(VALUE(LEFT($A69,4)),1,4)-WEEKDAY(DATE(VALUE(LEFT($A69,4)),1,4),2)+1+(VALUE(MID($A69,7,2))-1)*7+MATCH($B69,lista_dias,0)-1)</f>
        <v/>
      </c>
      <c r="I69" s="3">
        <f>IF(OR($F69="",ISNUMBER(MATCH($F69,lista_no_disponible,0)),(IFERROR(INDEX('CALENDARIO'!$C$15:$C$214,MATCH(TEXT($H69,"yyyy-mm-dd")&amp;"|"&amp;$D69&amp;"|"&amp;"",'CALENDARIO'!$G$15:$G$214,0)),IFERROR(INDEX('CALENDARIO'!$C$15:$C$214,MATCH(TEXT($H69,"yyyy-mm-dd")&amp;"|"&amp;$D69&amp;"|",'CALENDARIO'!$G$15:$G$214,0)),IFERROR(INDEX('CALENDARIO'!$C$15:$C$214,MATCH(TEXT($H69,"yyyy-mm-dd")&amp;"||",'CALENDARIO'!$G$15:$G$214,0)),INDEX(patronHabil,WEEKDAY($H69,2))))))&lt;&gt;"sí"),0,p_horas_jornada)</f>
        <v/>
      </c>
      <c r="J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11">
        <f>IF($A70="","",DATE(VALUE(LEFT($A70,4)),1,4)-WEEKDAY(DATE(VALUE(LEFT($A70,4)),1,4),2)+1+(VALUE(MID($A70,7,2))-1)*7+MATCH($B70,lista_dias,0)-1)</f>
        <v/>
      </c>
      <c r="I70" s="3">
        <f>IF(OR($F70="",ISNUMBER(MATCH($F70,lista_no_disponible,0)),(IFERROR(INDEX('CALENDARIO'!$C$15:$C$214,MATCH(TEXT($H70,"yyyy-mm-dd")&amp;"|"&amp;$D70&amp;"|"&amp;"",'CALENDARIO'!$G$15:$G$214,0)),IFERROR(INDEX('CALENDARIO'!$C$15:$C$214,MATCH(TEXT($H70,"yyyy-mm-dd")&amp;"|"&amp;$D70&amp;"|",'CALENDARIO'!$G$15:$G$214,0)),IFERROR(INDEX('CALENDARIO'!$C$15:$C$214,MATCH(TEXT($H70,"yyyy-mm-dd")&amp;"||",'CALENDARIO'!$G$15:$G$214,0)),INDEX(patronHabil,WEEKDAY($H70,2))))))&lt;&gt;"sí"),0,p_horas_jornada)</f>
        <v/>
      </c>
      <c r="J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11">
        <f>IF($A71="","",DATE(VALUE(LEFT($A71,4)),1,4)-WEEKDAY(DATE(VALUE(LEFT($A71,4)),1,4),2)+1+(VALUE(MID($A71,7,2))-1)*7+MATCH($B71,lista_dias,0)-1)</f>
        <v/>
      </c>
      <c r="I71" s="3">
        <f>IF(OR($F71="",ISNUMBER(MATCH($F71,lista_no_disponible,0)),(IFERROR(INDEX('CALENDARIO'!$C$15:$C$214,MATCH(TEXT($H71,"yyyy-mm-dd")&amp;"|"&amp;$D71&amp;"|"&amp;"",'CALENDARIO'!$G$15:$G$214,0)),IFERROR(INDEX('CALENDARIO'!$C$15:$C$214,MATCH(TEXT($H71,"yyyy-mm-dd")&amp;"|"&amp;$D71&amp;"|",'CALENDARIO'!$G$15:$G$214,0)),IFERROR(INDEX('CALENDARIO'!$C$15:$C$214,MATCH(TEXT($H71,"yyyy-mm-dd")&amp;"||",'CALENDARIO'!$G$15:$G$214,0)),INDEX(patronHabil,WEEKDAY($H71,2))))))&lt;&gt;"sí"),0,p_horas_jornada)</f>
        <v/>
      </c>
      <c r="J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>
        <is>
          <t>B1</t>
        </is>
      </c>
      <c r="G72" s="3">
        <f>IFERROR(INDEX('TECNICOS'!$E$4:$E$15,MATCH($C72,'TECNICOS'!$B$4:$B$15,0)),"")</f>
        <v/>
      </c>
      <c r="H72" s="11">
        <f>IF($A72="","",DATE(VALUE(LEFT($A72,4)),1,4)-WEEKDAY(DATE(VALUE(LEFT($A72,4)),1,4),2)+1+(VALUE(MID($A72,7,2))-1)*7+MATCH($B72,lista_dias,0)-1)</f>
        <v/>
      </c>
      <c r="I72" s="3">
        <f>IF(OR($F72="",ISNUMBER(MATCH($F72,lista_no_disponible,0)),(IFERROR(INDEX('CALENDARIO'!$C$15:$C$214,MATCH(TEXT($H72,"yyyy-mm-dd")&amp;"|"&amp;$D72&amp;"|"&amp;"",'CALENDARIO'!$G$15:$G$214,0)),IFERROR(INDEX('CALENDARIO'!$C$15:$C$214,MATCH(TEXT($H72,"yyyy-mm-dd")&amp;"|"&amp;$D72&amp;"|",'CALENDARIO'!$G$15:$G$214,0)),IFERROR(INDEX('CALENDARIO'!$C$15:$C$214,MATCH(TEXT($H72,"yyyy-mm-dd")&amp;"||",'CALENDARIO'!$G$15:$G$214,0)),INDEX(patronHabil,WEEKDAY($H72,2))))))&lt;&gt;"sí"),0,p_horas_jornada)</f>
        <v/>
      </c>
      <c r="J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11">
        <f>IF($A73="","",DATE(VALUE(LEFT($A73,4)),1,4)-WEEKDAY(DATE(VALUE(LEFT($A73,4)),1,4),2)+1+(VALUE(MID($A73,7,2))-1)*7+MATCH($B73,lista_dias,0)-1)</f>
        <v/>
      </c>
      <c r="I73" s="3">
        <f>IF(OR($F73="",ISNUMBER(MATCH($F73,lista_no_disponible,0)),(IFERROR(INDEX('CALENDARIO'!$C$15:$C$214,MATCH(TEXT($H73,"yyyy-mm-dd")&amp;"|"&amp;$D73&amp;"|"&amp;"",'CALENDARIO'!$G$15:$G$214,0)),IFERROR(INDEX('CALENDARIO'!$C$15:$C$214,MATCH(TEXT($H73,"yyyy-mm-dd")&amp;"|"&amp;$D73&amp;"|",'CALENDARIO'!$G$15:$G$214,0)),IFERROR(INDEX('CALENDARIO'!$C$15:$C$214,MATCH(TEXT($H73,"yyyy-mm-dd")&amp;"||",'CALENDARIO'!$G$15:$G$214,0)),INDEX(patronHabil,WEEKDAY($H73,2))))))&lt;&gt;"sí"),0,p_horas_jornada)</f>
        <v/>
      </c>
      <c r="J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11">
        <f>IF($A74="","",DATE(VALUE(LEFT($A74,4)),1,4)-WEEKDAY(DATE(VALUE(LEFT($A74,4)),1,4),2)+1+(VALUE(MID($A74,7,2))-1)*7+MATCH($B74,lista_dias,0)-1)</f>
        <v/>
      </c>
      <c r="I74" s="3">
        <f>IF(OR($F74="",ISNUMBER(MATCH($F74,lista_no_disponible,0)),(IFERROR(INDEX('CALENDARIO'!$C$15:$C$214,MATCH(TEXT($H74,"yyyy-mm-dd")&amp;"|"&amp;$D74&amp;"|"&amp;"",'CALENDARIO'!$G$15:$G$214,0)),IFERROR(INDEX('CALENDARIO'!$C$15:$C$214,MATCH(TEXT($H74,"yyyy-mm-dd")&amp;"|"&amp;$D74&amp;"|",'CALENDARIO'!$G$15:$G$214,0)),IFERROR(INDEX('CALENDARIO'!$C$15:$C$214,MATCH(TEXT($H74,"yyyy-mm-dd")&amp;"||",'CALENDARIO'!$G$15:$G$214,0)),INDEX(patronHabil,WEEKDAY($H74,2))))))&lt;&gt;"sí"),0,p_horas_jornada)</f>
        <v/>
      </c>
      <c r="J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11">
        <f>IF($A75="","",DATE(VALUE(LEFT($A75,4)),1,4)-WEEKDAY(DATE(VALUE(LEFT($A75,4)),1,4),2)+1+(VALUE(MID($A75,7,2))-1)*7+MATCH($B75,lista_dias,0)-1)</f>
        <v/>
      </c>
      <c r="I75" s="3">
        <f>IF(OR($F75="",ISNUMBER(MATCH($F75,lista_no_disponible,0)),(IFERROR(INDEX('CALENDARIO'!$C$15:$C$214,MATCH(TEXT($H75,"yyyy-mm-dd")&amp;"|"&amp;$D75&amp;"|"&amp;"",'CALENDARIO'!$G$15:$G$214,0)),IFERROR(INDEX('CALENDARIO'!$C$15:$C$214,MATCH(TEXT($H75,"yyyy-mm-dd")&amp;"|"&amp;$D75&amp;"|",'CALENDARIO'!$G$15:$G$214,0)),IFERROR(INDEX('CALENDARIO'!$C$15:$C$214,MATCH(TEXT($H75,"yyyy-mm-dd")&amp;"||",'CALENDARIO'!$G$15:$G$214,0)),INDEX(patronHabil,WEEKDAY($H75,2))))))&lt;&gt;"sí"),0,p_horas_jornada)</f>
        <v/>
      </c>
      <c r="J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11">
        <f>IF($A76="","",DATE(VALUE(LEFT($A76,4)),1,4)-WEEKDAY(DATE(VALUE(LEFT($A76,4)),1,4),2)+1+(VALUE(MID($A76,7,2))-1)*7+MATCH($B76,lista_dias,0)-1)</f>
        <v/>
      </c>
      <c r="I76" s="3">
        <f>IF(OR($F76="",ISNUMBER(MATCH($F76,lista_no_disponible,0)),(IFERROR(INDEX('CALENDARIO'!$C$15:$C$214,MATCH(TEXT($H76,"yyyy-mm-dd")&amp;"|"&amp;$D76&amp;"|"&amp;"",'CALENDARIO'!$G$15:$G$214,0)),IFERROR(INDEX('CALENDARIO'!$C$15:$C$214,MATCH(TEXT($H76,"yyyy-mm-dd")&amp;"|"&amp;$D76&amp;"|",'CALENDARIO'!$G$15:$G$214,0)),IFERROR(INDEX('CALENDARIO'!$C$15:$C$214,MATCH(TEXT($H76,"yyyy-mm-dd")&amp;"||",'CALENDARIO'!$G$15:$G$214,0)),INDEX(patronHabil,WEEKDAY($H76,2))))))&lt;&gt;"sí"),0,p_horas_jornada)</f>
        <v/>
      </c>
      <c r="J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11">
        <f>IF($A77="","",DATE(VALUE(LEFT($A77,4)),1,4)-WEEKDAY(DATE(VALUE(LEFT($A77,4)),1,4),2)+1+(VALUE(MID($A77,7,2))-1)*7+MATCH($B77,lista_dias,0)-1)</f>
        <v/>
      </c>
      <c r="I77" s="3">
        <f>IF(OR($F77="",ISNUMBER(MATCH($F77,lista_no_disponible,0)),(IFERROR(INDEX('CALENDARIO'!$C$15:$C$214,MATCH(TEXT($H77,"yyyy-mm-dd")&amp;"|"&amp;$D77&amp;"|"&amp;"",'CALENDARIO'!$G$15:$G$214,0)),IFERROR(INDEX('CALENDARIO'!$C$15:$C$214,MATCH(TEXT($H77,"yyyy-mm-dd")&amp;"|"&amp;$D77&amp;"|",'CALENDARIO'!$G$15:$G$214,0)),IFERROR(INDEX('CALENDARIO'!$C$15:$C$214,MATCH(TEXT($H77,"yyyy-mm-dd")&amp;"||",'CALENDARIO'!$G$15:$G$214,0)),INDEX(patronHabil,WEEKDAY($H77,2))))))&lt;&gt;"sí"),0,p_horas_jornada)</f>
        <v/>
      </c>
      <c r="J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11">
        <f>IF($A78="","",DATE(VALUE(LEFT($A78,4)),1,4)-WEEKDAY(DATE(VALUE(LEFT($A78,4)),1,4),2)+1+(VALUE(MID($A78,7,2))-1)*7+MATCH($B78,lista_dias,0)-1)</f>
        <v/>
      </c>
      <c r="I78" s="3">
        <f>IF(OR($F78="",ISNUMBER(MATCH($F78,lista_no_disponible,0)),(IFERROR(INDEX('CALENDARIO'!$C$15:$C$214,MATCH(TEXT($H78,"yyyy-mm-dd")&amp;"|"&amp;$D78&amp;"|"&amp;"",'CALENDARIO'!$G$15:$G$214,0)),IFERROR(INDEX('CALENDARIO'!$C$15:$C$214,MATCH(TEXT($H78,"yyyy-mm-dd")&amp;"|"&amp;$D78&amp;"|",'CALENDARIO'!$G$15:$G$214,0)),IFERROR(INDEX('CALENDARIO'!$C$15:$C$214,MATCH(TEXT($H78,"yyyy-mm-dd")&amp;"||",'CALENDARIO'!$G$15:$G$214,0)),INDEX(patronHabil,WEEKDAY($H78,2))))))&lt;&gt;"sí"),0,p_horas_jornada)</f>
        <v/>
      </c>
      <c r="J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>
        <is>
          <t>T1</t>
        </is>
      </c>
      <c r="G79" s="3">
        <f>IFERROR(INDEX('TECNICOS'!$E$4:$E$15,MATCH($C79,'TECNICOS'!$B$4:$B$15,0)),"")</f>
        <v/>
      </c>
      <c r="H79" s="11">
        <f>IF($A79="","",DATE(VALUE(LEFT($A79,4)),1,4)-WEEKDAY(DATE(VALUE(LEFT($A79,4)),1,4),2)+1+(VALUE(MID($A79,7,2))-1)*7+MATCH($B79,lista_dias,0)-1)</f>
        <v/>
      </c>
      <c r="I79" s="3">
        <f>IF(OR($F79="",ISNUMBER(MATCH($F79,lista_no_disponible,0)),(IFERROR(INDEX('CALENDARIO'!$C$15:$C$214,MATCH(TEXT($H79,"yyyy-mm-dd")&amp;"|"&amp;$D79&amp;"|"&amp;"",'CALENDARIO'!$G$15:$G$214,0)),IFERROR(INDEX('CALENDARIO'!$C$15:$C$214,MATCH(TEXT($H79,"yyyy-mm-dd")&amp;"|"&amp;$D79&amp;"|",'CALENDARIO'!$G$15:$G$214,0)),IFERROR(INDEX('CALENDARIO'!$C$15:$C$214,MATCH(TEXT($H79,"yyyy-mm-dd")&amp;"||",'CALENDARIO'!$G$15:$G$214,0)),INDEX(patronHabil,WEEKDAY($H79,2))))))&lt;&gt;"sí"),0,p_horas_jornada)</f>
        <v/>
      </c>
      <c r="J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11">
        <f>IF($A80="","",DATE(VALUE(LEFT($A80,4)),1,4)-WEEKDAY(DATE(VALUE(LEFT($A80,4)),1,4),2)+1+(VALUE(MID($A80,7,2))-1)*7+MATCH($B80,lista_dias,0)-1)</f>
        <v/>
      </c>
      <c r="I80" s="3">
        <f>IF(OR($F80="",ISNUMBER(MATCH($F80,lista_no_disponible,0)),(IFERROR(INDEX('CALENDARIO'!$C$15:$C$214,MATCH(TEXT($H80,"yyyy-mm-dd")&amp;"|"&amp;$D80&amp;"|"&amp;"",'CALENDARIO'!$G$15:$G$214,0)),IFERROR(INDEX('CALENDARIO'!$C$15:$C$214,MATCH(TEXT($H80,"yyyy-mm-dd")&amp;"|"&amp;$D80&amp;"|",'CALENDARIO'!$G$15:$G$214,0)),IFERROR(INDEX('CALENDARIO'!$C$15:$C$214,MATCH(TEXT($H80,"yyyy-mm-dd")&amp;"||",'CALENDARIO'!$G$15:$G$214,0)),INDEX(patronHabil,WEEKDAY($H80,2))))))&lt;&gt;"sí"),0,p_horas_jornada)</f>
        <v/>
      </c>
      <c r="J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11">
        <f>IF($A81="","",DATE(VALUE(LEFT($A81,4)),1,4)-WEEKDAY(DATE(VALUE(LEFT($A81,4)),1,4),2)+1+(VALUE(MID($A81,7,2))-1)*7+MATCH($B81,lista_dias,0)-1)</f>
        <v/>
      </c>
      <c r="I81" s="3">
        <f>IF(OR($F81="",ISNUMBER(MATCH($F81,lista_no_disponible,0)),(IFERROR(INDEX('CALENDARIO'!$C$15:$C$214,MATCH(TEXT($H81,"yyyy-mm-dd")&amp;"|"&amp;$D81&amp;"|"&amp;"",'CALENDARIO'!$G$15:$G$214,0)),IFERROR(INDEX('CALENDARIO'!$C$15:$C$214,MATCH(TEXT($H81,"yyyy-mm-dd")&amp;"|"&amp;$D81&amp;"|",'CALENDARIO'!$G$15:$G$214,0)),IFERROR(INDEX('CALENDARIO'!$C$15:$C$214,MATCH(TEXT($H81,"yyyy-mm-dd")&amp;"||",'CALENDARIO'!$G$15:$G$214,0)),INDEX(patronHabil,WEEKDAY($H81,2))))))&lt;&gt;"sí"),0,p_horas_jornada)</f>
        <v/>
      </c>
      <c r="J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11">
        <f>IF($A82="","",DATE(VALUE(LEFT($A82,4)),1,4)-WEEKDAY(DATE(VALUE(LEFT($A82,4)),1,4),2)+1+(VALUE(MID($A82,7,2))-1)*7+MATCH($B82,lista_dias,0)-1)</f>
        <v/>
      </c>
      <c r="I82" s="3">
        <f>IF(OR($F82="",ISNUMBER(MATCH($F82,lista_no_disponible,0)),(IFERROR(INDEX('CALENDARIO'!$C$15:$C$214,MATCH(TEXT($H82,"yyyy-mm-dd")&amp;"|"&amp;$D82&amp;"|"&amp;"",'CALENDARIO'!$G$15:$G$214,0)),IFERROR(INDEX('CALENDARIO'!$C$15:$C$214,MATCH(TEXT($H82,"yyyy-mm-dd")&amp;"|"&amp;$D82&amp;"|",'CALENDARIO'!$G$15:$G$214,0)),IFERROR(INDEX('CALENDARIO'!$C$15:$C$214,MATCH(TEXT($H82,"yyyy-mm-dd")&amp;"||",'CALENDARIO'!$G$15:$G$214,0)),INDEX(patronHabil,WEEKDAY($H82,2))))))&lt;&gt;"sí"),0,p_horas_jornada)</f>
        <v/>
      </c>
      <c r="J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11">
        <f>IF($A83="","",DATE(VALUE(LEFT($A83,4)),1,4)-WEEKDAY(DATE(VALUE(LEFT($A83,4)),1,4),2)+1+(VALUE(MID($A83,7,2))-1)*7+MATCH($B83,lista_dias,0)-1)</f>
        <v/>
      </c>
      <c r="I83" s="3">
        <f>IF(OR($F83="",ISNUMBER(MATCH($F83,lista_no_disponible,0)),(IFERROR(INDEX('CALENDARIO'!$C$15:$C$214,MATCH(TEXT($H83,"yyyy-mm-dd")&amp;"|"&amp;$D83&amp;"|"&amp;"",'CALENDARIO'!$G$15:$G$214,0)),IFERROR(INDEX('CALENDARIO'!$C$15:$C$214,MATCH(TEXT($H83,"yyyy-mm-dd")&amp;"|"&amp;$D83&amp;"|",'CALENDARIO'!$G$15:$G$214,0)),IFERROR(INDEX('CALENDARIO'!$C$15:$C$214,MATCH(TEXT($H83,"yyyy-mm-dd")&amp;"||",'CALENDARIO'!$G$15:$G$214,0)),INDEX(patronHabil,WEEKDAY($H83,2))))))&lt;&gt;"sí"),0,p_horas_jornada)</f>
        <v/>
      </c>
      <c r="J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11">
        <f>IF($A84="","",DATE(VALUE(LEFT($A84,4)),1,4)-WEEKDAY(DATE(VALUE(LEFT($A84,4)),1,4),2)+1+(VALUE(MID($A84,7,2))-1)*7+MATCH($B84,lista_dias,0)-1)</f>
        <v/>
      </c>
      <c r="I84" s="3">
        <f>IF(OR($F84="",ISNUMBER(MATCH($F84,lista_no_disponible,0)),(IFERROR(INDEX('CALENDARIO'!$C$15:$C$214,MATCH(TEXT($H84,"yyyy-mm-dd")&amp;"|"&amp;$D84&amp;"|"&amp;"",'CALENDARIO'!$G$15:$G$214,0)),IFERROR(INDEX('CALENDARIO'!$C$15:$C$214,MATCH(TEXT($H84,"yyyy-mm-dd")&amp;"|"&amp;$D84&amp;"|",'CALENDARIO'!$G$15:$G$214,0)),IFERROR(INDEX('CALENDARIO'!$C$15:$C$214,MATCH(TEXT($H84,"yyyy-mm-dd")&amp;"||",'CALENDARIO'!$G$15:$G$214,0)),INDEX(patronHabil,WEEKDAY($H84,2))))))&lt;&gt;"sí"),0,p_horas_jornada)</f>
        <v/>
      </c>
      <c r="J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11">
        <f>IF($A85="","",DATE(VALUE(LEFT($A85,4)),1,4)-WEEKDAY(DATE(VALUE(LEFT($A85,4)),1,4),2)+1+(VALUE(MID($A85,7,2))-1)*7+MATCH($B85,lista_dias,0)-1)</f>
        <v/>
      </c>
      <c r="I85" s="3">
        <f>IF(OR($F85="",ISNUMBER(MATCH($F85,lista_no_disponible,0)),(IFERROR(INDEX('CALENDARIO'!$C$15:$C$214,MATCH(TEXT($H85,"yyyy-mm-dd")&amp;"|"&amp;$D85&amp;"|"&amp;"",'CALENDARIO'!$G$15:$G$214,0)),IFERROR(INDEX('CALENDARIO'!$C$15:$C$214,MATCH(TEXT($H85,"yyyy-mm-dd")&amp;"|"&amp;$D85&amp;"|",'CALENDARIO'!$G$15:$G$214,0)),IFERROR(INDEX('CALENDARIO'!$C$15:$C$214,MATCH(TEXT($H85,"yyyy-mm-dd")&amp;"||",'CALENDARIO'!$G$15:$G$214,0)),INDEX(patronHabil,WEEKDAY($H85,2))))))&lt;&gt;"sí"),0,p_horas_jornada)</f>
        <v/>
      </c>
      <c r="J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>
        <is>
          <t>T1</t>
        </is>
      </c>
      <c r="G86" s="3">
        <f>IFERROR(INDEX('TECNICOS'!$E$4:$E$15,MATCH($C86,'TECNICOS'!$B$4:$B$15,0)),"")</f>
        <v/>
      </c>
      <c r="H86" s="11">
        <f>IF($A86="","",DATE(VALUE(LEFT($A86,4)),1,4)-WEEKDAY(DATE(VALUE(LEFT($A86,4)),1,4),2)+1+(VALUE(MID($A86,7,2))-1)*7+MATCH($B86,lista_dias,0)-1)</f>
        <v/>
      </c>
      <c r="I86" s="3">
        <f>IF(OR($F86="",ISNUMBER(MATCH($F86,lista_no_disponible,0)),(IFERROR(INDEX('CALENDARIO'!$C$15:$C$214,MATCH(TEXT($H86,"yyyy-mm-dd")&amp;"|"&amp;$D86&amp;"|"&amp;"",'CALENDARIO'!$G$15:$G$214,0)),IFERROR(INDEX('CALENDARIO'!$C$15:$C$214,MATCH(TEXT($H86,"yyyy-mm-dd")&amp;"|"&amp;$D86&amp;"|",'CALENDARIO'!$G$15:$G$214,0)),IFERROR(INDEX('CALENDARIO'!$C$15:$C$214,MATCH(TEXT($H86,"yyyy-mm-dd")&amp;"||",'CALENDARIO'!$G$15:$G$214,0)),INDEX(patronHabil,WEEKDAY($H86,2))))))&lt;&gt;"sí"),0,p_horas_jornada)</f>
        <v/>
      </c>
      <c r="J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11">
        <f>IF($A87="","",DATE(VALUE(LEFT($A87,4)),1,4)-WEEKDAY(DATE(VALUE(LEFT($A87,4)),1,4),2)+1+(VALUE(MID($A87,7,2))-1)*7+MATCH($B87,lista_dias,0)-1)</f>
        <v/>
      </c>
      <c r="I87" s="3">
        <f>IF(OR($F87="",ISNUMBER(MATCH($F87,lista_no_disponible,0)),(IFERROR(INDEX('CALENDARIO'!$C$15:$C$214,MATCH(TEXT($H87,"yyyy-mm-dd")&amp;"|"&amp;$D87&amp;"|"&amp;"",'CALENDARIO'!$G$15:$G$214,0)),IFERROR(INDEX('CALENDARIO'!$C$15:$C$214,MATCH(TEXT($H87,"yyyy-mm-dd")&amp;"|"&amp;$D87&amp;"|",'CALENDARIO'!$G$15:$G$214,0)),IFERROR(INDEX('CALENDARIO'!$C$15:$C$214,MATCH(TEXT($H87,"yyyy-mm-dd")&amp;"||",'CALENDARIO'!$G$15:$G$214,0)),INDEX(patronHabil,WEEKDAY($H87,2))))))&lt;&gt;"sí"),0,p_horas_jornada)</f>
        <v/>
      </c>
      <c r="J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11">
        <f>IF($A88="","",DATE(VALUE(LEFT($A88,4)),1,4)-WEEKDAY(DATE(VALUE(LEFT($A88,4)),1,4),2)+1+(VALUE(MID($A88,7,2))-1)*7+MATCH($B88,lista_dias,0)-1)</f>
        <v/>
      </c>
      <c r="I88" s="3">
        <f>IF(OR($F88="",ISNUMBER(MATCH($F88,lista_no_disponible,0)),(IFERROR(INDEX('CALENDARIO'!$C$15:$C$214,MATCH(TEXT($H88,"yyyy-mm-dd")&amp;"|"&amp;$D88&amp;"|"&amp;"",'CALENDARIO'!$G$15:$G$214,0)),IFERROR(INDEX('CALENDARIO'!$C$15:$C$214,MATCH(TEXT($H88,"yyyy-mm-dd")&amp;"|"&amp;$D88&amp;"|",'CALENDARIO'!$G$15:$G$214,0)),IFERROR(INDEX('CALENDARIO'!$C$15:$C$214,MATCH(TEXT($H88,"yyyy-mm-dd")&amp;"||",'CALENDARIO'!$G$15:$G$214,0)),INDEX(patronHabil,WEEKDAY($H88,2))))))&lt;&gt;"sí"),0,p_horas_jornada)</f>
        <v/>
      </c>
      <c r="J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11">
        <f>IF($A89="","",DATE(VALUE(LEFT($A89,4)),1,4)-WEEKDAY(DATE(VALUE(LEFT($A89,4)),1,4),2)+1+(VALUE(MID($A89,7,2))-1)*7+MATCH($B89,lista_dias,0)-1)</f>
        <v/>
      </c>
      <c r="I89" s="3">
        <f>IF(OR($F89="",ISNUMBER(MATCH($F89,lista_no_disponible,0)),(IFERROR(INDEX('CALENDARIO'!$C$15:$C$214,MATCH(TEXT($H89,"yyyy-mm-dd")&amp;"|"&amp;$D89&amp;"|"&amp;"",'CALENDARIO'!$G$15:$G$214,0)),IFERROR(INDEX('CALENDARIO'!$C$15:$C$214,MATCH(TEXT($H89,"yyyy-mm-dd")&amp;"|"&amp;$D89&amp;"|",'CALENDARIO'!$G$15:$G$214,0)),IFERROR(INDEX('CALENDARIO'!$C$15:$C$214,MATCH(TEXT($H89,"yyyy-mm-dd")&amp;"||",'CALENDARIO'!$G$15:$G$214,0)),INDEX(patronHabil,WEEKDAY($H89,2))))))&lt;&gt;"sí"),0,p_horas_jornada)</f>
        <v/>
      </c>
      <c r="J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11">
        <f>IF($A90="","",DATE(VALUE(LEFT($A90,4)),1,4)-WEEKDAY(DATE(VALUE(LEFT($A90,4)),1,4),2)+1+(VALUE(MID($A90,7,2))-1)*7+MATCH($B90,lista_dias,0)-1)</f>
        <v/>
      </c>
      <c r="I90" s="3">
        <f>IF(OR($F90="",ISNUMBER(MATCH($F90,lista_no_disponible,0)),(IFERROR(INDEX('CALENDARIO'!$C$15:$C$214,MATCH(TEXT($H90,"yyyy-mm-dd")&amp;"|"&amp;$D90&amp;"|"&amp;"",'CALENDARIO'!$G$15:$G$214,0)),IFERROR(INDEX('CALENDARIO'!$C$15:$C$214,MATCH(TEXT($H90,"yyyy-mm-dd")&amp;"|"&amp;$D90&amp;"|",'CALENDARIO'!$G$15:$G$214,0)),IFERROR(INDEX('CALENDARIO'!$C$15:$C$214,MATCH(TEXT($H90,"yyyy-mm-dd")&amp;"||",'CALENDARIO'!$G$15:$G$214,0)),INDEX(patronHabil,WEEKDAY($H90,2))))))&lt;&gt;"sí"),0,p_horas_jornada)</f>
        <v/>
      </c>
      <c r="J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11">
        <f>IF($A91="","",DATE(VALUE(LEFT($A91,4)),1,4)-WEEKDAY(DATE(VALUE(LEFT($A91,4)),1,4),2)+1+(VALUE(MID($A91,7,2))-1)*7+MATCH($B91,lista_dias,0)-1)</f>
        <v/>
      </c>
      <c r="I91" s="3">
        <f>IF(OR($F91="",ISNUMBER(MATCH($F91,lista_no_disponible,0)),(IFERROR(INDEX('CALENDARIO'!$C$15:$C$214,MATCH(TEXT($H91,"yyyy-mm-dd")&amp;"|"&amp;$D91&amp;"|"&amp;"",'CALENDARIO'!$G$15:$G$214,0)),IFERROR(INDEX('CALENDARIO'!$C$15:$C$214,MATCH(TEXT($H91,"yyyy-mm-dd")&amp;"|"&amp;$D91&amp;"|",'CALENDARIO'!$G$15:$G$214,0)),IFERROR(INDEX('CALENDARIO'!$C$15:$C$214,MATCH(TEXT($H91,"yyyy-mm-dd")&amp;"||",'CALENDARIO'!$G$15:$G$214,0)),INDEX(patronHabil,WEEKDAY($H91,2))))))&lt;&gt;"sí"),0,p_horas_jornada)</f>
        <v/>
      </c>
      <c r="J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11">
        <f>IF($A92="","",DATE(VALUE(LEFT($A92,4)),1,4)-WEEKDAY(DATE(VALUE(LEFT($A92,4)),1,4),2)+1+(VALUE(MID($A92,7,2))-1)*7+MATCH($B92,lista_dias,0)-1)</f>
        <v/>
      </c>
      <c r="I92" s="3">
        <f>IF(OR($F92="",ISNUMBER(MATCH($F92,lista_no_disponible,0)),(IFERROR(INDEX('CALENDARIO'!$C$15:$C$214,MATCH(TEXT($H92,"yyyy-mm-dd")&amp;"|"&amp;$D92&amp;"|"&amp;"",'CALENDARIO'!$G$15:$G$214,0)),IFERROR(INDEX('CALENDARIO'!$C$15:$C$214,MATCH(TEXT($H92,"yyyy-mm-dd")&amp;"|"&amp;$D92&amp;"|",'CALENDARIO'!$G$15:$G$214,0)),IFERROR(INDEX('CALENDARIO'!$C$15:$C$214,MATCH(TEXT($H92,"yyyy-mm-dd")&amp;"||",'CALENDARIO'!$G$15:$G$214,0)),INDEX(patronHabil,WEEKDAY($H92,2))))))&lt;&gt;"sí"),0,p_horas_jornada)</f>
        <v/>
      </c>
      <c r="J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>
        <is>
          <t>T1</t>
        </is>
      </c>
      <c r="G93" s="3">
        <f>IFERROR(INDEX('TECNICOS'!$E$4:$E$15,MATCH($C93,'TECNICOS'!$B$4:$B$15,0)),"")</f>
        <v/>
      </c>
      <c r="H93" s="11">
        <f>IF($A93="","",DATE(VALUE(LEFT($A93,4)),1,4)-WEEKDAY(DATE(VALUE(LEFT($A93,4)),1,4),2)+1+(VALUE(MID($A93,7,2))-1)*7+MATCH($B93,lista_dias,0)-1)</f>
        <v/>
      </c>
      <c r="I93" s="3">
        <f>IF(OR($F93="",ISNUMBER(MATCH($F93,lista_no_disponible,0)),(IFERROR(INDEX('CALENDARIO'!$C$15:$C$214,MATCH(TEXT($H93,"yyyy-mm-dd")&amp;"|"&amp;$D93&amp;"|"&amp;"",'CALENDARIO'!$G$15:$G$214,0)),IFERROR(INDEX('CALENDARIO'!$C$15:$C$214,MATCH(TEXT($H93,"yyyy-mm-dd")&amp;"|"&amp;$D93&amp;"|",'CALENDARIO'!$G$15:$G$214,0)),IFERROR(INDEX('CALENDARIO'!$C$15:$C$214,MATCH(TEXT($H93,"yyyy-mm-dd")&amp;"||",'CALENDARIO'!$G$15:$G$214,0)),INDEX(patronHabil,WEEKDAY($H93,2))))))&lt;&gt;"sí"),0,p_horas_jornada)</f>
        <v/>
      </c>
      <c r="J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11">
        <f>IF($A94="","",DATE(VALUE(LEFT($A94,4)),1,4)-WEEKDAY(DATE(VALUE(LEFT($A94,4)),1,4),2)+1+(VALUE(MID($A94,7,2))-1)*7+MATCH($B94,lista_dias,0)-1)</f>
        <v/>
      </c>
      <c r="I94" s="3">
        <f>IF(OR($F94="",ISNUMBER(MATCH($F94,lista_no_disponible,0)),(IFERROR(INDEX('CALENDARIO'!$C$15:$C$214,MATCH(TEXT($H94,"yyyy-mm-dd")&amp;"|"&amp;$D94&amp;"|"&amp;"",'CALENDARIO'!$G$15:$G$214,0)),IFERROR(INDEX('CALENDARIO'!$C$15:$C$214,MATCH(TEXT($H94,"yyyy-mm-dd")&amp;"|"&amp;$D94&amp;"|",'CALENDARIO'!$G$15:$G$214,0)),IFERROR(INDEX('CALENDARIO'!$C$15:$C$214,MATCH(TEXT($H94,"yyyy-mm-dd")&amp;"||",'CALENDARIO'!$G$15:$G$214,0)),INDEX(patronHabil,WEEKDAY($H94,2))))))&lt;&gt;"sí"),0,p_horas_jornada)</f>
        <v/>
      </c>
      <c r="J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11">
        <f>IF($A95="","",DATE(VALUE(LEFT($A95,4)),1,4)-WEEKDAY(DATE(VALUE(LEFT($A95,4)),1,4),2)+1+(VALUE(MID($A95,7,2))-1)*7+MATCH($B95,lista_dias,0)-1)</f>
        <v/>
      </c>
      <c r="I95" s="3">
        <f>IF(OR($F95="",ISNUMBER(MATCH($F95,lista_no_disponible,0)),(IFERROR(INDEX('CALENDARIO'!$C$15:$C$214,MATCH(TEXT($H95,"yyyy-mm-dd")&amp;"|"&amp;$D95&amp;"|"&amp;"",'CALENDARIO'!$G$15:$G$214,0)),IFERROR(INDEX('CALENDARIO'!$C$15:$C$214,MATCH(TEXT($H95,"yyyy-mm-dd")&amp;"|"&amp;$D95&amp;"|",'CALENDARIO'!$G$15:$G$214,0)),IFERROR(INDEX('CALENDARIO'!$C$15:$C$214,MATCH(TEXT($H95,"yyyy-mm-dd")&amp;"||",'CALENDARIO'!$G$15:$G$214,0)),INDEX(patronHabil,WEEKDAY($H95,2))))))&lt;&gt;"sí"),0,p_horas_jornada)</f>
        <v/>
      </c>
      <c r="J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11">
        <f>IF($A96="","",DATE(VALUE(LEFT($A96,4)),1,4)-WEEKDAY(DATE(VALUE(LEFT($A96,4)),1,4),2)+1+(VALUE(MID($A96,7,2))-1)*7+MATCH($B96,lista_dias,0)-1)</f>
        <v/>
      </c>
      <c r="I96" s="3">
        <f>IF(OR($F96="",ISNUMBER(MATCH($F96,lista_no_disponible,0)),(IFERROR(INDEX('CALENDARIO'!$C$15:$C$214,MATCH(TEXT($H96,"yyyy-mm-dd")&amp;"|"&amp;$D96&amp;"|"&amp;"",'CALENDARIO'!$G$15:$G$214,0)),IFERROR(INDEX('CALENDARIO'!$C$15:$C$214,MATCH(TEXT($H96,"yyyy-mm-dd")&amp;"|"&amp;$D96&amp;"|",'CALENDARIO'!$G$15:$G$214,0)),IFERROR(INDEX('CALENDARIO'!$C$15:$C$214,MATCH(TEXT($H96,"yyyy-mm-dd")&amp;"||",'CALENDARIO'!$G$15:$G$214,0)),INDEX(patronHabil,WEEKDAY($H96,2))))))&lt;&gt;"sí"),0,p_horas_jornada)</f>
        <v/>
      </c>
      <c r="J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11">
        <f>IF($A97="","",DATE(VALUE(LEFT($A97,4)),1,4)-WEEKDAY(DATE(VALUE(LEFT($A97,4)),1,4),2)+1+(VALUE(MID($A97,7,2))-1)*7+MATCH($B97,lista_dias,0)-1)</f>
        <v/>
      </c>
      <c r="I97" s="3">
        <f>IF(OR($F97="",ISNUMBER(MATCH($F97,lista_no_disponible,0)),(IFERROR(INDEX('CALENDARIO'!$C$15:$C$214,MATCH(TEXT($H97,"yyyy-mm-dd")&amp;"|"&amp;$D97&amp;"|"&amp;"",'CALENDARIO'!$G$15:$G$214,0)),IFERROR(INDEX('CALENDARIO'!$C$15:$C$214,MATCH(TEXT($H97,"yyyy-mm-dd")&amp;"|"&amp;$D97&amp;"|",'CALENDARIO'!$G$15:$G$214,0)),IFERROR(INDEX('CALENDARIO'!$C$15:$C$214,MATCH(TEXT($H97,"yyyy-mm-dd")&amp;"||",'CALENDARIO'!$G$15:$G$214,0)),INDEX(patronHabil,WEEKDAY($H97,2))))))&lt;&gt;"sí"),0,p_horas_jornada)</f>
        <v/>
      </c>
      <c r="J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11">
        <f>IF($A98="","",DATE(VALUE(LEFT($A98,4)),1,4)-WEEKDAY(DATE(VALUE(LEFT($A98,4)),1,4),2)+1+(VALUE(MID($A98,7,2))-1)*7+MATCH($B98,lista_dias,0)-1)</f>
        <v/>
      </c>
      <c r="I98" s="3">
        <f>IF(OR($F98="",ISNUMBER(MATCH($F98,lista_no_disponible,0)),(IFERROR(INDEX('CALENDARIO'!$C$15:$C$214,MATCH(TEXT($H98,"yyyy-mm-dd")&amp;"|"&amp;$D98&amp;"|"&amp;"",'CALENDARIO'!$G$15:$G$214,0)),IFERROR(INDEX('CALENDARIO'!$C$15:$C$214,MATCH(TEXT($H98,"yyyy-mm-dd")&amp;"|"&amp;$D98&amp;"|",'CALENDARIO'!$G$15:$G$214,0)),IFERROR(INDEX('CALENDARIO'!$C$15:$C$214,MATCH(TEXT($H98,"yyyy-mm-dd")&amp;"||",'CALENDARIO'!$G$15:$G$214,0)),INDEX(patronHabil,WEEKDAY($H98,2))))))&lt;&gt;"sí"),0,p_horas_jornada)</f>
        <v/>
      </c>
      <c r="J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11">
        <f>IF($A99="","",DATE(VALUE(LEFT($A99,4)),1,4)-WEEKDAY(DATE(VALUE(LEFT($A99,4)),1,4),2)+1+(VALUE(MID($A99,7,2))-1)*7+MATCH($B99,lista_dias,0)-1)</f>
        <v/>
      </c>
      <c r="I99" s="3">
        <f>IF(OR($F99="",ISNUMBER(MATCH($F99,lista_no_disponible,0)),(IFERROR(INDEX('CALENDARIO'!$C$15:$C$214,MATCH(TEXT($H99,"yyyy-mm-dd")&amp;"|"&amp;$D99&amp;"|"&amp;"",'CALENDARIO'!$G$15:$G$214,0)),IFERROR(INDEX('CALENDARIO'!$C$15:$C$214,MATCH(TEXT($H99,"yyyy-mm-dd")&amp;"|"&amp;$D99&amp;"|",'CALENDARIO'!$G$15:$G$214,0)),IFERROR(INDEX('CALENDARIO'!$C$15:$C$214,MATCH(TEXT($H99,"yyyy-mm-dd")&amp;"||",'CALENDARIO'!$G$15:$G$214,0)),INDEX(patronHabil,WEEKDAY($H99,2))))))&lt;&gt;"sí"),0,p_horas_jornada)</f>
        <v/>
      </c>
      <c r="J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>
        <is>
          <t>T2</t>
        </is>
      </c>
      <c r="G100" s="3">
        <f>IFERROR(INDEX('TECNICOS'!$E$4:$E$15,MATCH($C100,'TECNICOS'!$B$4:$B$15,0)),"")</f>
        <v/>
      </c>
      <c r="H100" s="11">
        <f>IF($A100="","",DATE(VALUE(LEFT($A100,4)),1,4)-WEEKDAY(DATE(VALUE(LEFT($A100,4)),1,4),2)+1+(VALUE(MID($A100,7,2))-1)*7+MATCH($B100,lista_dias,0)-1)</f>
        <v/>
      </c>
      <c r="I100" s="3">
        <f>IF(OR($F100="",ISNUMBER(MATCH($F100,lista_no_disponible,0)),(IFERROR(INDEX('CALENDARIO'!$C$15:$C$214,MATCH(TEXT($H100,"yyyy-mm-dd")&amp;"|"&amp;$D100&amp;"|"&amp;"",'CALENDARIO'!$G$15:$G$214,0)),IFERROR(INDEX('CALENDARIO'!$C$15:$C$214,MATCH(TEXT($H100,"yyyy-mm-dd")&amp;"|"&amp;$D100&amp;"|",'CALENDARIO'!$G$15:$G$214,0)),IFERROR(INDEX('CALENDARIO'!$C$15:$C$214,MATCH(TEXT($H100,"yyyy-mm-dd")&amp;"||",'CALENDARIO'!$G$15:$G$214,0)),INDEX(patronHabil,WEEKDAY($H100,2))))))&lt;&gt;"sí"),0,p_horas_jornada)</f>
        <v/>
      </c>
      <c r="J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11">
        <f>IF($A101="","",DATE(VALUE(LEFT($A101,4)),1,4)-WEEKDAY(DATE(VALUE(LEFT($A101,4)),1,4),2)+1+(VALUE(MID($A101,7,2))-1)*7+MATCH($B101,lista_dias,0)-1)</f>
        <v/>
      </c>
      <c r="I101" s="3">
        <f>IF(OR($F101="",ISNUMBER(MATCH($F101,lista_no_disponible,0)),(IFERROR(INDEX('CALENDARIO'!$C$15:$C$214,MATCH(TEXT($H101,"yyyy-mm-dd")&amp;"|"&amp;$D101&amp;"|"&amp;"",'CALENDARIO'!$G$15:$G$214,0)),IFERROR(INDEX('CALENDARIO'!$C$15:$C$214,MATCH(TEXT($H101,"yyyy-mm-dd")&amp;"|"&amp;$D101&amp;"|",'CALENDARIO'!$G$15:$G$214,0)),IFERROR(INDEX('CALENDARIO'!$C$15:$C$214,MATCH(TEXT($H101,"yyyy-mm-dd")&amp;"||",'CALENDARIO'!$G$15:$G$214,0)),INDEX(patronHabil,WEEKDAY($H101,2))))))&lt;&gt;"sí"),0,p_horas_jornada)</f>
        <v/>
      </c>
      <c r="J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11">
        <f>IF($A102="","",DATE(VALUE(LEFT($A102,4)),1,4)-WEEKDAY(DATE(VALUE(LEFT($A102,4)),1,4),2)+1+(VALUE(MID($A102,7,2))-1)*7+MATCH($B102,lista_dias,0)-1)</f>
        <v/>
      </c>
      <c r="I102" s="3">
        <f>IF(OR($F102="",ISNUMBER(MATCH($F102,lista_no_disponible,0)),(IFERROR(INDEX('CALENDARIO'!$C$15:$C$214,MATCH(TEXT($H102,"yyyy-mm-dd")&amp;"|"&amp;$D102&amp;"|"&amp;"",'CALENDARIO'!$G$15:$G$214,0)),IFERROR(INDEX('CALENDARIO'!$C$15:$C$214,MATCH(TEXT($H102,"yyyy-mm-dd")&amp;"|"&amp;$D102&amp;"|",'CALENDARIO'!$G$15:$G$214,0)),IFERROR(INDEX('CALENDARIO'!$C$15:$C$214,MATCH(TEXT($H102,"yyyy-mm-dd")&amp;"||",'CALENDARIO'!$G$15:$G$214,0)),INDEX(patronHabil,WEEKDAY($H102,2))))))&lt;&gt;"sí"),0,p_horas_jornada)</f>
        <v/>
      </c>
      <c r="J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11">
        <f>IF($A103="","",DATE(VALUE(LEFT($A103,4)),1,4)-WEEKDAY(DATE(VALUE(LEFT($A103,4)),1,4),2)+1+(VALUE(MID($A103,7,2))-1)*7+MATCH($B103,lista_dias,0)-1)</f>
        <v/>
      </c>
      <c r="I103" s="3">
        <f>IF(OR($F103="",ISNUMBER(MATCH($F103,lista_no_disponible,0)),(IFERROR(INDEX('CALENDARIO'!$C$15:$C$214,MATCH(TEXT($H103,"yyyy-mm-dd")&amp;"|"&amp;$D103&amp;"|"&amp;"",'CALENDARIO'!$G$15:$G$214,0)),IFERROR(INDEX('CALENDARIO'!$C$15:$C$214,MATCH(TEXT($H103,"yyyy-mm-dd")&amp;"|"&amp;$D103&amp;"|",'CALENDARIO'!$G$15:$G$214,0)),IFERROR(INDEX('CALENDARIO'!$C$15:$C$214,MATCH(TEXT($H103,"yyyy-mm-dd")&amp;"||",'CALENDARIO'!$G$15:$G$214,0)),INDEX(patronHabil,WEEKDAY($H103,2))))))&lt;&gt;"sí"),0,p_horas_jornada)</f>
        <v/>
      </c>
      <c r="J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11">
        <f>IF($A104="","",DATE(VALUE(LEFT($A104,4)),1,4)-WEEKDAY(DATE(VALUE(LEFT($A104,4)),1,4),2)+1+(VALUE(MID($A104,7,2))-1)*7+MATCH($B104,lista_dias,0)-1)</f>
        <v/>
      </c>
      <c r="I104" s="3">
        <f>IF(OR($F104="",ISNUMBER(MATCH($F104,lista_no_disponible,0)),(IFERROR(INDEX('CALENDARIO'!$C$15:$C$214,MATCH(TEXT($H104,"yyyy-mm-dd")&amp;"|"&amp;$D104&amp;"|"&amp;"",'CALENDARIO'!$G$15:$G$214,0)),IFERROR(INDEX('CALENDARIO'!$C$15:$C$214,MATCH(TEXT($H104,"yyyy-mm-dd")&amp;"|"&amp;$D104&amp;"|",'CALENDARIO'!$G$15:$G$214,0)),IFERROR(INDEX('CALENDARIO'!$C$15:$C$214,MATCH(TEXT($H104,"yyyy-mm-dd")&amp;"||",'CALENDARIO'!$G$15:$G$214,0)),INDEX(patronHabil,WEEKDAY($H104,2))))))&lt;&gt;"sí"),0,p_horas_jornada)</f>
        <v/>
      </c>
      <c r="J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11">
        <f>IF($A105="","",DATE(VALUE(LEFT($A105,4)),1,4)-WEEKDAY(DATE(VALUE(LEFT($A105,4)),1,4),2)+1+(VALUE(MID($A105,7,2))-1)*7+MATCH($B105,lista_dias,0)-1)</f>
        <v/>
      </c>
      <c r="I105" s="3">
        <f>IF(OR($F105="",ISNUMBER(MATCH($F105,lista_no_disponible,0)),(IFERROR(INDEX('CALENDARIO'!$C$15:$C$214,MATCH(TEXT($H105,"yyyy-mm-dd")&amp;"|"&amp;$D105&amp;"|"&amp;"",'CALENDARIO'!$G$15:$G$214,0)),IFERROR(INDEX('CALENDARIO'!$C$15:$C$214,MATCH(TEXT($H105,"yyyy-mm-dd")&amp;"|"&amp;$D105&amp;"|",'CALENDARIO'!$G$15:$G$214,0)),IFERROR(INDEX('CALENDARIO'!$C$15:$C$214,MATCH(TEXT($H105,"yyyy-mm-dd")&amp;"||",'CALENDARIO'!$G$15:$G$214,0)),INDEX(patronHabil,WEEKDAY($H105,2))))))&lt;&gt;"sí"),0,p_horas_jornada)</f>
        <v/>
      </c>
      <c r="J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11">
        <f>IF($A106="","",DATE(VALUE(LEFT($A106,4)),1,4)-WEEKDAY(DATE(VALUE(LEFT($A106,4)),1,4),2)+1+(VALUE(MID($A106,7,2))-1)*7+MATCH($B106,lista_dias,0)-1)</f>
        <v/>
      </c>
      <c r="I106" s="3">
        <f>IF(OR($F106="",ISNUMBER(MATCH($F106,lista_no_disponible,0)),(IFERROR(INDEX('CALENDARIO'!$C$15:$C$214,MATCH(TEXT($H106,"yyyy-mm-dd")&amp;"|"&amp;$D106&amp;"|"&amp;"",'CALENDARIO'!$G$15:$G$214,0)),IFERROR(INDEX('CALENDARIO'!$C$15:$C$214,MATCH(TEXT($H106,"yyyy-mm-dd")&amp;"|"&amp;$D106&amp;"|",'CALENDARIO'!$G$15:$G$214,0)),IFERROR(INDEX('CALENDARIO'!$C$15:$C$214,MATCH(TEXT($H106,"yyyy-mm-dd")&amp;"||",'CALENDARIO'!$G$15:$G$214,0)),INDEX(patronHabil,WEEKDAY($H106,2))))))&lt;&gt;"sí"),0,p_horas_jornada)</f>
        <v/>
      </c>
      <c r="J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>
        <is>
          <t>T1</t>
        </is>
      </c>
      <c r="G107" s="3">
        <f>IFERROR(INDEX('TECNICOS'!$E$4:$E$15,MATCH($C107,'TECNICOS'!$B$4:$B$15,0)),"")</f>
        <v/>
      </c>
      <c r="H107" s="11">
        <f>IF($A107="","",DATE(VALUE(LEFT($A107,4)),1,4)-WEEKDAY(DATE(VALUE(LEFT($A107,4)),1,4),2)+1+(VALUE(MID($A107,7,2))-1)*7+MATCH($B107,lista_dias,0)-1)</f>
        <v/>
      </c>
      <c r="I107" s="3">
        <f>IF(OR($F107="",ISNUMBER(MATCH($F107,lista_no_disponible,0)),(IFERROR(INDEX('CALENDARIO'!$C$15:$C$214,MATCH(TEXT($H107,"yyyy-mm-dd")&amp;"|"&amp;$D107&amp;"|"&amp;"",'CALENDARIO'!$G$15:$G$214,0)),IFERROR(INDEX('CALENDARIO'!$C$15:$C$214,MATCH(TEXT($H107,"yyyy-mm-dd")&amp;"|"&amp;$D107&amp;"|",'CALENDARIO'!$G$15:$G$214,0)),IFERROR(INDEX('CALENDARIO'!$C$15:$C$214,MATCH(TEXT($H107,"yyyy-mm-dd")&amp;"||",'CALENDARIO'!$G$15:$G$214,0)),INDEX(patronHabil,WEEKDAY($H107,2))))))&lt;&gt;"sí"),0,p_horas_jornada)</f>
        <v/>
      </c>
      <c r="J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11">
        <f>IF($A108="","",DATE(VALUE(LEFT($A108,4)),1,4)-WEEKDAY(DATE(VALUE(LEFT($A108,4)),1,4),2)+1+(VALUE(MID($A108,7,2))-1)*7+MATCH($B108,lista_dias,0)-1)</f>
        <v/>
      </c>
      <c r="I108" s="3">
        <f>IF(OR($F108="",ISNUMBER(MATCH($F108,lista_no_disponible,0)),(IFERROR(INDEX('CALENDARIO'!$C$15:$C$214,MATCH(TEXT($H108,"yyyy-mm-dd")&amp;"|"&amp;$D108&amp;"|"&amp;"",'CALENDARIO'!$G$15:$G$214,0)),IFERROR(INDEX('CALENDARIO'!$C$15:$C$214,MATCH(TEXT($H108,"yyyy-mm-dd")&amp;"|"&amp;$D108&amp;"|",'CALENDARIO'!$G$15:$G$214,0)),IFERROR(INDEX('CALENDARIO'!$C$15:$C$214,MATCH(TEXT($H108,"yyyy-mm-dd")&amp;"||",'CALENDARIO'!$G$15:$G$214,0)),INDEX(patronHabil,WEEKDAY($H108,2))))))&lt;&gt;"sí"),0,p_horas_jornada)</f>
        <v/>
      </c>
      <c r="J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11">
        <f>IF($A109="","",DATE(VALUE(LEFT($A109,4)),1,4)-WEEKDAY(DATE(VALUE(LEFT($A109,4)),1,4),2)+1+(VALUE(MID($A109,7,2))-1)*7+MATCH($B109,lista_dias,0)-1)</f>
        <v/>
      </c>
      <c r="I109" s="3">
        <f>IF(OR($F109="",ISNUMBER(MATCH($F109,lista_no_disponible,0)),(IFERROR(INDEX('CALENDARIO'!$C$15:$C$214,MATCH(TEXT($H109,"yyyy-mm-dd")&amp;"|"&amp;$D109&amp;"|"&amp;"",'CALENDARIO'!$G$15:$G$214,0)),IFERROR(INDEX('CALENDARIO'!$C$15:$C$214,MATCH(TEXT($H109,"yyyy-mm-dd")&amp;"|"&amp;$D109&amp;"|",'CALENDARIO'!$G$15:$G$214,0)),IFERROR(INDEX('CALENDARIO'!$C$15:$C$214,MATCH(TEXT($H109,"yyyy-mm-dd")&amp;"||",'CALENDARIO'!$G$15:$G$214,0)),INDEX(patronHabil,WEEKDAY($H109,2))))))&lt;&gt;"sí"),0,p_horas_jornada)</f>
        <v/>
      </c>
      <c r="J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11">
        <f>IF($A110="","",DATE(VALUE(LEFT($A110,4)),1,4)-WEEKDAY(DATE(VALUE(LEFT($A110,4)),1,4),2)+1+(VALUE(MID($A110,7,2))-1)*7+MATCH($B110,lista_dias,0)-1)</f>
        <v/>
      </c>
      <c r="I110" s="3">
        <f>IF(OR($F110="",ISNUMBER(MATCH($F110,lista_no_disponible,0)),(IFERROR(INDEX('CALENDARIO'!$C$15:$C$214,MATCH(TEXT($H110,"yyyy-mm-dd")&amp;"|"&amp;$D110&amp;"|"&amp;"",'CALENDARIO'!$G$15:$G$214,0)),IFERROR(INDEX('CALENDARIO'!$C$15:$C$214,MATCH(TEXT($H110,"yyyy-mm-dd")&amp;"|"&amp;$D110&amp;"|",'CALENDARIO'!$G$15:$G$214,0)),IFERROR(INDEX('CALENDARIO'!$C$15:$C$214,MATCH(TEXT($H110,"yyyy-mm-dd")&amp;"||",'CALENDARIO'!$G$15:$G$214,0)),INDEX(patronHabil,WEEKDAY($H110,2))))))&lt;&gt;"sí"),0,p_horas_jornada)</f>
        <v/>
      </c>
      <c r="J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11">
        <f>IF($A111="","",DATE(VALUE(LEFT($A111,4)),1,4)-WEEKDAY(DATE(VALUE(LEFT($A111,4)),1,4),2)+1+(VALUE(MID($A111,7,2))-1)*7+MATCH($B111,lista_dias,0)-1)</f>
        <v/>
      </c>
      <c r="I111" s="3">
        <f>IF(OR($F111="",ISNUMBER(MATCH($F111,lista_no_disponible,0)),(IFERROR(INDEX('CALENDARIO'!$C$15:$C$214,MATCH(TEXT($H111,"yyyy-mm-dd")&amp;"|"&amp;$D111&amp;"|"&amp;"",'CALENDARIO'!$G$15:$G$214,0)),IFERROR(INDEX('CALENDARIO'!$C$15:$C$214,MATCH(TEXT($H111,"yyyy-mm-dd")&amp;"|"&amp;$D111&amp;"|",'CALENDARIO'!$G$15:$G$214,0)),IFERROR(INDEX('CALENDARIO'!$C$15:$C$214,MATCH(TEXT($H111,"yyyy-mm-dd")&amp;"||",'CALENDARIO'!$G$15:$G$214,0)),INDEX(patronHabil,WEEKDAY($H111,2))))))&lt;&gt;"sí"),0,p_horas_jornada)</f>
        <v/>
      </c>
      <c r="J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11">
        <f>IF($A112="","",DATE(VALUE(LEFT($A112,4)),1,4)-WEEKDAY(DATE(VALUE(LEFT($A112,4)),1,4),2)+1+(VALUE(MID($A112,7,2))-1)*7+MATCH($B112,lista_dias,0)-1)</f>
        <v/>
      </c>
      <c r="I112" s="3">
        <f>IF(OR($F112="",ISNUMBER(MATCH($F112,lista_no_disponible,0)),(IFERROR(INDEX('CALENDARIO'!$C$15:$C$214,MATCH(TEXT($H112,"yyyy-mm-dd")&amp;"|"&amp;$D112&amp;"|"&amp;"",'CALENDARIO'!$G$15:$G$214,0)),IFERROR(INDEX('CALENDARIO'!$C$15:$C$214,MATCH(TEXT($H112,"yyyy-mm-dd")&amp;"|"&amp;$D112&amp;"|",'CALENDARIO'!$G$15:$G$214,0)),IFERROR(INDEX('CALENDARIO'!$C$15:$C$214,MATCH(TEXT($H112,"yyyy-mm-dd")&amp;"||",'CALENDARIO'!$G$15:$G$214,0)),INDEX(patronHabil,WEEKDAY($H112,2))))))&lt;&gt;"sí"),0,p_horas_jornada)</f>
        <v/>
      </c>
      <c r="J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11">
        <f>IF($A113="","",DATE(VALUE(LEFT($A113,4)),1,4)-WEEKDAY(DATE(VALUE(LEFT($A113,4)),1,4),2)+1+(VALUE(MID($A113,7,2))-1)*7+MATCH($B113,lista_dias,0)-1)</f>
        <v/>
      </c>
      <c r="I113" s="3">
        <f>IF(OR($F113="",ISNUMBER(MATCH($F113,lista_no_disponible,0)),(IFERROR(INDEX('CALENDARIO'!$C$15:$C$214,MATCH(TEXT($H113,"yyyy-mm-dd")&amp;"|"&amp;$D113&amp;"|"&amp;"",'CALENDARIO'!$G$15:$G$214,0)),IFERROR(INDEX('CALENDARIO'!$C$15:$C$214,MATCH(TEXT($H113,"yyyy-mm-dd")&amp;"|"&amp;$D113&amp;"|",'CALENDARIO'!$G$15:$G$214,0)),IFERROR(INDEX('CALENDARIO'!$C$15:$C$214,MATCH(TEXT($H113,"yyyy-mm-dd")&amp;"||",'CALENDARIO'!$G$15:$G$214,0)),INDEX(patronHabil,WEEKDAY($H113,2))))))&lt;&gt;"sí"),0,p_horas_jornada)</f>
        <v/>
      </c>
      <c r="J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>
        <is>
          <t>T1</t>
        </is>
      </c>
      <c r="G114" s="3">
        <f>IFERROR(INDEX('TECNICOS'!$E$4:$E$15,MATCH($C114,'TECNICOS'!$B$4:$B$15,0)),"")</f>
        <v/>
      </c>
      <c r="H114" s="11">
        <f>IF($A114="","",DATE(VALUE(LEFT($A114,4)),1,4)-WEEKDAY(DATE(VALUE(LEFT($A114,4)),1,4),2)+1+(VALUE(MID($A114,7,2))-1)*7+MATCH($B114,lista_dias,0)-1)</f>
        <v/>
      </c>
      <c r="I114" s="3">
        <f>IF(OR($F114="",ISNUMBER(MATCH($F114,lista_no_disponible,0)),(IFERROR(INDEX('CALENDARIO'!$C$15:$C$214,MATCH(TEXT($H114,"yyyy-mm-dd")&amp;"|"&amp;$D114&amp;"|"&amp;"",'CALENDARIO'!$G$15:$G$214,0)),IFERROR(INDEX('CALENDARIO'!$C$15:$C$214,MATCH(TEXT($H114,"yyyy-mm-dd")&amp;"|"&amp;$D114&amp;"|",'CALENDARIO'!$G$15:$G$214,0)),IFERROR(INDEX('CALENDARIO'!$C$15:$C$214,MATCH(TEXT($H114,"yyyy-mm-dd")&amp;"||",'CALENDARIO'!$G$15:$G$214,0)),INDEX(patronHabil,WEEKDAY($H114,2))))))&lt;&gt;"sí"),0,p_horas_jornada)</f>
        <v/>
      </c>
      <c r="J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11">
        <f>IF($A115="","",DATE(VALUE(LEFT($A115,4)),1,4)-WEEKDAY(DATE(VALUE(LEFT($A115,4)),1,4),2)+1+(VALUE(MID($A115,7,2))-1)*7+MATCH($B115,lista_dias,0)-1)</f>
        <v/>
      </c>
      <c r="I115" s="3">
        <f>IF(OR($F115="",ISNUMBER(MATCH($F115,lista_no_disponible,0)),(IFERROR(INDEX('CALENDARIO'!$C$15:$C$214,MATCH(TEXT($H115,"yyyy-mm-dd")&amp;"|"&amp;$D115&amp;"|"&amp;"",'CALENDARIO'!$G$15:$G$214,0)),IFERROR(INDEX('CALENDARIO'!$C$15:$C$214,MATCH(TEXT($H115,"yyyy-mm-dd")&amp;"|"&amp;$D115&amp;"|",'CALENDARIO'!$G$15:$G$214,0)),IFERROR(INDEX('CALENDARIO'!$C$15:$C$214,MATCH(TEXT($H115,"yyyy-mm-dd")&amp;"||",'CALENDARIO'!$G$15:$G$214,0)),INDEX(patronHabil,WEEKDAY($H115,2))))))&lt;&gt;"sí"),0,p_horas_jornada)</f>
        <v/>
      </c>
      <c r="J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11">
        <f>IF($A116="","",DATE(VALUE(LEFT($A116,4)),1,4)-WEEKDAY(DATE(VALUE(LEFT($A116,4)),1,4),2)+1+(VALUE(MID($A116,7,2))-1)*7+MATCH($B116,lista_dias,0)-1)</f>
        <v/>
      </c>
      <c r="I116" s="3">
        <f>IF(OR($F116="",ISNUMBER(MATCH($F116,lista_no_disponible,0)),(IFERROR(INDEX('CALENDARIO'!$C$15:$C$214,MATCH(TEXT($H116,"yyyy-mm-dd")&amp;"|"&amp;$D116&amp;"|"&amp;"",'CALENDARIO'!$G$15:$G$214,0)),IFERROR(INDEX('CALENDARIO'!$C$15:$C$214,MATCH(TEXT($H116,"yyyy-mm-dd")&amp;"|"&amp;$D116&amp;"|",'CALENDARIO'!$G$15:$G$214,0)),IFERROR(INDEX('CALENDARIO'!$C$15:$C$214,MATCH(TEXT($H116,"yyyy-mm-dd")&amp;"||",'CALENDARIO'!$G$15:$G$214,0)),INDEX(patronHabil,WEEKDAY($H116,2))))))&lt;&gt;"sí"),0,p_horas_jornada)</f>
        <v/>
      </c>
      <c r="J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11">
        <f>IF($A117="","",DATE(VALUE(LEFT($A117,4)),1,4)-WEEKDAY(DATE(VALUE(LEFT($A117,4)),1,4),2)+1+(VALUE(MID($A117,7,2))-1)*7+MATCH($B117,lista_dias,0)-1)</f>
        <v/>
      </c>
      <c r="I117" s="3">
        <f>IF(OR($F117="",ISNUMBER(MATCH($F117,lista_no_disponible,0)),(IFERROR(INDEX('CALENDARIO'!$C$15:$C$214,MATCH(TEXT($H117,"yyyy-mm-dd")&amp;"|"&amp;$D117&amp;"|"&amp;"",'CALENDARIO'!$G$15:$G$214,0)),IFERROR(INDEX('CALENDARIO'!$C$15:$C$214,MATCH(TEXT($H117,"yyyy-mm-dd")&amp;"|"&amp;$D117&amp;"|",'CALENDARIO'!$G$15:$G$214,0)),IFERROR(INDEX('CALENDARIO'!$C$15:$C$214,MATCH(TEXT($H117,"yyyy-mm-dd")&amp;"||",'CALENDARIO'!$G$15:$G$214,0)),INDEX(patronHabil,WEEKDAY($H117,2))))))&lt;&gt;"sí"),0,p_horas_jornada)</f>
        <v/>
      </c>
      <c r="J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11">
        <f>IF($A118="","",DATE(VALUE(LEFT($A118,4)),1,4)-WEEKDAY(DATE(VALUE(LEFT($A118,4)),1,4),2)+1+(VALUE(MID($A118,7,2))-1)*7+MATCH($B118,lista_dias,0)-1)</f>
        <v/>
      </c>
      <c r="I118" s="3">
        <f>IF(OR($F118="",ISNUMBER(MATCH($F118,lista_no_disponible,0)),(IFERROR(INDEX('CALENDARIO'!$C$15:$C$214,MATCH(TEXT($H118,"yyyy-mm-dd")&amp;"|"&amp;$D118&amp;"|"&amp;"",'CALENDARIO'!$G$15:$G$214,0)),IFERROR(INDEX('CALENDARIO'!$C$15:$C$214,MATCH(TEXT($H118,"yyyy-mm-dd")&amp;"|"&amp;$D118&amp;"|",'CALENDARIO'!$G$15:$G$214,0)),IFERROR(INDEX('CALENDARIO'!$C$15:$C$214,MATCH(TEXT($H118,"yyyy-mm-dd")&amp;"||",'CALENDARIO'!$G$15:$G$214,0)),INDEX(patronHabil,WEEKDAY($H118,2))))))&lt;&gt;"sí"),0,p_horas_jornada)</f>
        <v/>
      </c>
      <c r="J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11">
        <f>IF($A119="","",DATE(VALUE(LEFT($A119,4)),1,4)-WEEKDAY(DATE(VALUE(LEFT($A119,4)),1,4),2)+1+(VALUE(MID($A119,7,2))-1)*7+MATCH($B119,lista_dias,0)-1)</f>
        <v/>
      </c>
      <c r="I119" s="3">
        <f>IF(OR($F119="",ISNUMBER(MATCH($F119,lista_no_disponible,0)),(IFERROR(INDEX('CALENDARIO'!$C$15:$C$214,MATCH(TEXT($H119,"yyyy-mm-dd")&amp;"|"&amp;$D119&amp;"|"&amp;"",'CALENDARIO'!$G$15:$G$214,0)),IFERROR(INDEX('CALENDARIO'!$C$15:$C$214,MATCH(TEXT($H119,"yyyy-mm-dd")&amp;"|"&amp;$D119&amp;"|",'CALENDARIO'!$G$15:$G$214,0)),IFERROR(INDEX('CALENDARIO'!$C$15:$C$214,MATCH(TEXT($H119,"yyyy-mm-dd")&amp;"||",'CALENDARIO'!$G$15:$G$214,0)),INDEX(patronHabil,WEEKDAY($H119,2))))))&lt;&gt;"sí"),0,p_horas_jornada)</f>
        <v/>
      </c>
      <c r="J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11">
        <f>IF($A120="","",DATE(VALUE(LEFT($A120,4)),1,4)-WEEKDAY(DATE(VALUE(LEFT($A120,4)),1,4),2)+1+(VALUE(MID($A120,7,2))-1)*7+MATCH($B120,lista_dias,0)-1)</f>
        <v/>
      </c>
      <c r="I120" s="3">
        <f>IF(OR($F120="",ISNUMBER(MATCH($F120,lista_no_disponible,0)),(IFERROR(INDEX('CALENDARIO'!$C$15:$C$214,MATCH(TEXT($H120,"yyyy-mm-dd")&amp;"|"&amp;$D120&amp;"|"&amp;"",'CALENDARIO'!$G$15:$G$214,0)),IFERROR(INDEX('CALENDARIO'!$C$15:$C$214,MATCH(TEXT($H120,"yyyy-mm-dd")&amp;"|"&amp;$D120&amp;"|",'CALENDARIO'!$G$15:$G$214,0)),IFERROR(INDEX('CALENDARIO'!$C$15:$C$214,MATCH(TEXT($H120,"yyyy-mm-dd")&amp;"||",'CALENDARIO'!$G$15:$G$214,0)),INDEX(patronHabil,WEEKDAY($H120,2))))))&lt;&gt;"sí"),0,p_horas_jornada)</f>
        <v/>
      </c>
      <c r="J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>
        <is>
          <t>T1</t>
        </is>
      </c>
      <c r="G121" s="3">
        <f>IFERROR(INDEX('TECNICOS'!$E$4:$E$15,MATCH($C121,'TECNICOS'!$B$4:$B$15,0)),"")</f>
        <v/>
      </c>
      <c r="H121" s="11">
        <f>IF($A121="","",DATE(VALUE(LEFT($A121,4)),1,4)-WEEKDAY(DATE(VALUE(LEFT($A121,4)),1,4),2)+1+(VALUE(MID($A121,7,2))-1)*7+MATCH($B121,lista_dias,0)-1)</f>
        <v/>
      </c>
      <c r="I121" s="3">
        <f>IF(OR($F121="",ISNUMBER(MATCH($F121,lista_no_disponible,0)),(IFERROR(INDEX('CALENDARIO'!$C$15:$C$214,MATCH(TEXT($H121,"yyyy-mm-dd")&amp;"|"&amp;$D121&amp;"|"&amp;"",'CALENDARIO'!$G$15:$G$214,0)),IFERROR(INDEX('CALENDARIO'!$C$15:$C$214,MATCH(TEXT($H121,"yyyy-mm-dd")&amp;"|"&amp;$D121&amp;"|",'CALENDARIO'!$G$15:$G$214,0)),IFERROR(INDEX('CALENDARIO'!$C$15:$C$214,MATCH(TEXT($H121,"yyyy-mm-dd")&amp;"||",'CALENDARIO'!$G$15:$G$214,0)),INDEX(patronHabil,WEEKDAY($H121,2))))))&lt;&gt;"sí"),0,p_horas_jornada)</f>
        <v/>
      </c>
      <c r="J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11">
        <f>IF($A122="","",DATE(VALUE(LEFT($A122,4)),1,4)-WEEKDAY(DATE(VALUE(LEFT($A122,4)),1,4),2)+1+(VALUE(MID($A122,7,2))-1)*7+MATCH($B122,lista_dias,0)-1)</f>
        <v/>
      </c>
      <c r="I122" s="3">
        <f>IF(OR($F122="",ISNUMBER(MATCH($F122,lista_no_disponible,0)),(IFERROR(INDEX('CALENDARIO'!$C$15:$C$214,MATCH(TEXT($H122,"yyyy-mm-dd")&amp;"|"&amp;$D122&amp;"|"&amp;"",'CALENDARIO'!$G$15:$G$214,0)),IFERROR(INDEX('CALENDARIO'!$C$15:$C$214,MATCH(TEXT($H122,"yyyy-mm-dd")&amp;"|"&amp;$D122&amp;"|",'CALENDARIO'!$G$15:$G$214,0)),IFERROR(INDEX('CALENDARIO'!$C$15:$C$214,MATCH(TEXT($H122,"yyyy-mm-dd")&amp;"||",'CALENDARIO'!$G$15:$G$214,0)),INDEX(patronHabil,WEEKDAY($H122,2))))))&lt;&gt;"sí"),0,p_horas_jornada)</f>
        <v/>
      </c>
      <c r="J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11">
        <f>IF($A123="","",DATE(VALUE(LEFT($A123,4)),1,4)-WEEKDAY(DATE(VALUE(LEFT($A123,4)),1,4),2)+1+(VALUE(MID($A123,7,2))-1)*7+MATCH($B123,lista_dias,0)-1)</f>
        <v/>
      </c>
      <c r="I123" s="3">
        <f>IF(OR($F123="",ISNUMBER(MATCH($F123,lista_no_disponible,0)),(IFERROR(INDEX('CALENDARIO'!$C$15:$C$214,MATCH(TEXT($H123,"yyyy-mm-dd")&amp;"|"&amp;$D123&amp;"|"&amp;"",'CALENDARIO'!$G$15:$G$214,0)),IFERROR(INDEX('CALENDARIO'!$C$15:$C$214,MATCH(TEXT($H123,"yyyy-mm-dd")&amp;"|"&amp;$D123&amp;"|",'CALENDARIO'!$G$15:$G$214,0)),IFERROR(INDEX('CALENDARIO'!$C$15:$C$214,MATCH(TEXT($H123,"yyyy-mm-dd")&amp;"||",'CALENDARIO'!$G$15:$G$214,0)),INDEX(patronHabil,WEEKDAY($H123,2))))))&lt;&gt;"sí"),0,p_horas_jornada)</f>
        <v/>
      </c>
      <c r="J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11">
        <f>IF($A124="","",DATE(VALUE(LEFT($A124,4)),1,4)-WEEKDAY(DATE(VALUE(LEFT($A124,4)),1,4),2)+1+(VALUE(MID($A124,7,2))-1)*7+MATCH($B124,lista_dias,0)-1)</f>
        <v/>
      </c>
      <c r="I124" s="3">
        <f>IF(OR($F124="",ISNUMBER(MATCH($F124,lista_no_disponible,0)),(IFERROR(INDEX('CALENDARIO'!$C$15:$C$214,MATCH(TEXT($H124,"yyyy-mm-dd")&amp;"|"&amp;$D124&amp;"|"&amp;"",'CALENDARIO'!$G$15:$G$214,0)),IFERROR(INDEX('CALENDARIO'!$C$15:$C$214,MATCH(TEXT($H124,"yyyy-mm-dd")&amp;"|"&amp;$D124&amp;"|",'CALENDARIO'!$G$15:$G$214,0)),IFERROR(INDEX('CALENDARIO'!$C$15:$C$214,MATCH(TEXT($H124,"yyyy-mm-dd")&amp;"||",'CALENDARIO'!$G$15:$G$214,0)),INDEX(patronHabil,WEEKDAY($H124,2))))))&lt;&gt;"sí"),0,p_horas_jornada)</f>
        <v/>
      </c>
      <c r="J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11">
        <f>IF($A125="","",DATE(VALUE(LEFT($A125,4)),1,4)-WEEKDAY(DATE(VALUE(LEFT($A125,4)),1,4),2)+1+(VALUE(MID($A125,7,2))-1)*7+MATCH($B125,lista_dias,0)-1)</f>
        <v/>
      </c>
      <c r="I125" s="3">
        <f>IF(OR($F125="",ISNUMBER(MATCH($F125,lista_no_disponible,0)),(IFERROR(INDEX('CALENDARIO'!$C$15:$C$214,MATCH(TEXT($H125,"yyyy-mm-dd")&amp;"|"&amp;$D125&amp;"|"&amp;"",'CALENDARIO'!$G$15:$G$214,0)),IFERROR(INDEX('CALENDARIO'!$C$15:$C$214,MATCH(TEXT($H125,"yyyy-mm-dd")&amp;"|"&amp;$D125&amp;"|",'CALENDARIO'!$G$15:$G$214,0)),IFERROR(INDEX('CALENDARIO'!$C$15:$C$214,MATCH(TEXT($H125,"yyyy-mm-dd")&amp;"||",'CALENDARIO'!$G$15:$G$214,0)),INDEX(patronHabil,WEEKDAY($H125,2))))))&lt;&gt;"sí"),0,p_horas_jornada)</f>
        <v/>
      </c>
      <c r="J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11">
        <f>IF($A126="","",DATE(VALUE(LEFT($A126,4)),1,4)-WEEKDAY(DATE(VALUE(LEFT($A126,4)),1,4),2)+1+(VALUE(MID($A126,7,2))-1)*7+MATCH($B126,lista_dias,0)-1)</f>
        <v/>
      </c>
      <c r="I126" s="3">
        <f>IF(OR($F126="",ISNUMBER(MATCH($F126,lista_no_disponible,0)),(IFERROR(INDEX('CALENDARIO'!$C$15:$C$214,MATCH(TEXT($H126,"yyyy-mm-dd")&amp;"|"&amp;$D126&amp;"|"&amp;"",'CALENDARIO'!$G$15:$G$214,0)),IFERROR(INDEX('CALENDARIO'!$C$15:$C$214,MATCH(TEXT($H126,"yyyy-mm-dd")&amp;"|"&amp;$D126&amp;"|",'CALENDARIO'!$G$15:$G$214,0)),IFERROR(INDEX('CALENDARIO'!$C$15:$C$214,MATCH(TEXT($H126,"yyyy-mm-dd")&amp;"||",'CALENDARIO'!$G$15:$G$214,0)),INDEX(patronHabil,WEEKDAY($H126,2))))))&lt;&gt;"sí"),0,p_horas_jornada)</f>
        <v/>
      </c>
      <c r="J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11">
        <f>IF($A127="","",DATE(VALUE(LEFT($A127,4)),1,4)-WEEKDAY(DATE(VALUE(LEFT($A127,4)),1,4),2)+1+(VALUE(MID($A127,7,2))-1)*7+MATCH($B127,lista_dias,0)-1)</f>
        <v/>
      </c>
      <c r="I127" s="3">
        <f>IF(OR($F127="",ISNUMBER(MATCH($F127,lista_no_disponible,0)),(IFERROR(INDEX('CALENDARIO'!$C$15:$C$214,MATCH(TEXT($H127,"yyyy-mm-dd")&amp;"|"&amp;$D127&amp;"|"&amp;"",'CALENDARIO'!$G$15:$G$214,0)),IFERROR(INDEX('CALENDARIO'!$C$15:$C$214,MATCH(TEXT($H127,"yyyy-mm-dd")&amp;"|"&amp;$D127&amp;"|",'CALENDARIO'!$G$15:$G$214,0)),IFERROR(INDEX('CALENDARIO'!$C$15:$C$214,MATCH(TEXT($H127,"yyyy-mm-dd")&amp;"||",'CALENDARIO'!$G$15:$G$214,0)),INDEX(patronHabil,WEEKDAY($H127,2))))))&lt;&gt;"sí"),0,p_horas_jornada)</f>
        <v/>
      </c>
      <c r="J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>
        <is>
          <t>T1</t>
        </is>
      </c>
      <c r="G128" s="3">
        <f>IFERROR(INDEX('TECNICOS'!$E$4:$E$15,MATCH($C128,'TECNICOS'!$B$4:$B$15,0)),"")</f>
        <v/>
      </c>
      <c r="H128" s="11">
        <f>IF($A128="","",DATE(VALUE(LEFT($A128,4)),1,4)-WEEKDAY(DATE(VALUE(LEFT($A128,4)),1,4),2)+1+(VALUE(MID($A128,7,2))-1)*7+MATCH($B128,lista_dias,0)-1)</f>
        <v/>
      </c>
      <c r="I128" s="3">
        <f>IF(OR($F128="",ISNUMBER(MATCH($F128,lista_no_disponible,0)),(IFERROR(INDEX('CALENDARIO'!$C$15:$C$214,MATCH(TEXT($H128,"yyyy-mm-dd")&amp;"|"&amp;$D128&amp;"|"&amp;"",'CALENDARIO'!$G$15:$G$214,0)),IFERROR(INDEX('CALENDARIO'!$C$15:$C$214,MATCH(TEXT($H128,"yyyy-mm-dd")&amp;"|"&amp;$D128&amp;"|",'CALENDARIO'!$G$15:$G$214,0)),IFERROR(INDEX('CALENDARIO'!$C$15:$C$214,MATCH(TEXT($H128,"yyyy-mm-dd")&amp;"||",'CALENDARIO'!$G$15:$G$214,0)),INDEX(patronHabil,WEEKDAY($H128,2))))))&lt;&gt;"sí"),0,p_horas_jornada)</f>
        <v/>
      </c>
      <c r="J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11">
        <f>IF($A129="","",DATE(VALUE(LEFT($A129,4)),1,4)-WEEKDAY(DATE(VALUE(LEFT($A129,4)),1,4),2)+1+(VALUE(MID($A129,7,2))-1)*7+MATCH($B129,lista_dias,0)-1)</f>
        <v/>
      </c>
      <c r="I129" s="3">
        <f>IF(OR($F129="",ISNUMBER(MATCH($F129,lista_no_disponible,0)),(IFERROR(INDEX('CALENDARIO'!$C$15:$C$214,MATCH(TEXT($H129,"yyyy-mm-dd")&amp;"|"&amp;$D129&amp;"|"&amp;"",'CALENDARIO'!$G$15:$G$214,0)),IFERROR(INDEX('CALENDARIO'!$C$15:$C$214,MATCH(TEXT($H129,"yyyy-mm-dd")&amp;"|"&amp;$D129&amp;"|",'CALENDARIO'!$G$15:$G$214,0)),IFERROR(INDEX('CALENDARIO'!$C$15:$C$214,MATCH(TEXT($H129,"yyyy-mm-dd")&amp;"||",'CALENDARIO'!$G$15:$G$214,0)),INDEX(patronHabil,WEEKDAY($H129,2))))))&lt;&gt;"sí"),0,p_horas_jornada)</f>
        <v/>
      </c>
      <c r="J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11">
        <f>IF($A130="","",DATE(VALUE(LEFT($A130,4)),1,4)-WEEKDAY(DATE(VALUE(LEFT($A130,4)),1,4),2)+1+(VALUE(MID($A130,7,2))-1)*7+MATCH($B130,lista_dias,0)-1)</f>
        <v/>
      </c>
      <c r="I130" s="3">
        <f>IF(OR($F130="",ISNUMBER(MATCH($F130,lista_no_disponible,0)),(IFERROR(INDEX('CALENDARIO'!$C$15:$C$214,MATCH(TEXT($H130,"yyyy-mm-dd")&amp;"|"&amp;$D130&amp;"|"&amp;"",'CALENDARIO'!$G$15:$G$214,0)),IFERROR(INDEX('CALENDARIO'!$C$15:$C$214,MATCH(TEXT($H130,"yyyy-mm-dd")&amp;"|"&amp;$D130&amp;"|",'CALENDARIO'!$G$15:$G$214,0)),IFERROR(INDEX('CALENDARIO'!$C$15:$C$214,MATCH(TEXT($H130,"yyyy-mm-dd")&amp;"||",'CALENDARIO'!$G$15:$G$214,0)),INDEX(patronHabil,WEEKDAY($H130,2))))))&lt;&gt;"sí"),0,p_horas_jornada)</f>
        <v/>
      </c>
      <c r="J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11">
        <f>IF($A131="","",DATE(VALUE(LEFT($A131,4)),1,4)-WEEKDAY(DATE(VALUE(LEFT($A131,4)),1,4),2)+1+(VALUE(MID($A131,7,2))-1)*7+MATCH($B131,lista_dias,0)-1)</f>
        <v/>
      </c>
      <c r="I131" s="3">
        <f>IF(OR($F131="",ISNUMBER(MATCH($F131,lista_no_disponible,0)),(IFERROR(INDEX('CALENDARIO'!$C$15:$C$214,MATCH(TEXT($H131,"yyyy-mm-dd")&amp;"|"&amp;$D131&amp;"|"&amp;"",'CALENDARIO'!$G$15:$G$214,0)),IFERROR(INDEX('CALENDARIO'!$C$15:$C$214,MATCH(TEXT($H131,"yyyy-mm-dd")&amp;"|"&amp;$D131&amp;"|",'CALENDARIO'!$G$15:$G$214,0)),IFERROR(INDEX('CALENDARIO'!$C$15:$C$214,MATCH(TEXT($H131,"yyyy-mm-dd")&amp;"||",'CALENDARIO'!$G$15:$G$214,0)),INDEX(patronHabil,WEEKDAY($H131,2))))))&lt;&gt;"sí"),0,p_horas_jornada)</f>
        <v/>
      </c>
      <c r="J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11">
        <f>IF($A132="","",DATE(VALUE(LEFT($A132,4)),1,4)-WEEKDAY(DATE(VALUE(LEFT($A132,4)),1,4),2)+1+(VALUE(MID($A132,7,2))-1)*7+MATCH($B132,lista_dias,0)-1)</f>
        <v/>
      </c>
      <c r="I132" s="3">
        <f>IF(OR($F132="",ISNUMBER(MATCH($F132,lista_no_disponible,0)),(IFERROR(INDEX('CALENDARIO'!$C$15:$C$214,MATCH(TEXT($H132,"yyyy-mm-dd")&amp;"|"&amp;$D132&amp;"|"&amp;"",'CALENDARIO'!$G$15:$G$214,0)),IFERROR(INDEX('CALENDARIO'!$C$15:$C$214,MATCH(TEXT($H132,"yyyy-mm-dd")&amp;"|"&amp;$D132&amp;"|",'CALENDARIO'!$G$15:$G$214,0)),IFERROR(INDEX('CALENDARIO'!$C$15:$C$214,MATCH(TEXT($H132,"yyyy-mm-dd")&amp;"||",'CALENDARIO'!$G$15:$G$214,0)),INDEX(patronHabil,WEEKDAY($H132,2))))))&lt;&gt;"sí"),0,p_horas_jornada)</f>
        <v/>
      </c>
      <c r="J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11">
        <f>IF($A133="","",DATE(VALUE(LEFT($A133,4)),1,4)-WEEKDAY(DATE(VALUE(LEFT($A133,4)),1,4),2)+1+(VALUE(MID($A133,7,2))-1)*7+MATCH($B133,lista_dias,0)-1)</f>
        <v/>
      </c>
      <c r="I133" s="3">
        <f>IF(OR($F133="",ISNUMBER(MATCH($F133,lista_no_disponible,0)),(IFERROR(INDEX('CALENDARIO'!$C$15:$C$214,MATCH(TEXT($H133,"yyyy-mm-dd")&amp;"|"&amp;$D133&amp;"|"&amp;"",'CALENDARIO'!$G$15:$G$214,0)),IFERROR(INDEX('CALENDARIO'!$C$15:$C$214,MATCH(TEXT($H133,"yyyy-mm-dd")&amp;"|"&amp;$D133&amp;"|",'CALENDARIO'!$G$15:$G$214,0)),IFERROR(INDEX('CALENDARIO'!$C$15:$C$214,MATCH(TEXT($H133,"yyyy-mm-dd")&amp;"||",'CALENDARIO'!$G$15:$G$214,0)),INDEX(patronHabil,WEEKDAY($H133,2))))))&lt;&gt;"sí"),0,p_horas_jornada)</f>
        <v/>
      </c>
      <c r="J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11">
        <f>IF($A134="","",DATE(VALUE(LEFT($A134,4)),1,4)-WEEKDAY(DATE(VALUE(LEFT($A134,4)),1,4),2)+1+(VALUE(MID($A134,7,2))-1)*7+MATCH($B134,lista_dias,0)-1)</f>
        <v/>
      </c>
      <c r="I134" s="3">
        <f>IF(OR($F134="",ISNUMBER(MATCH($F134,lista_no_disponible,0)),(IFERROR(INDEX('CALENDARIO'!$C$15:$C$214,MATCH(TEXT($H134,"yyyy-mm-dd")&amp;"|"&amp;$D134&amp;"|"&amp;"",'CALENDARIO'!$G$15:$G$214,0)),IFERROR(INDEX('CALENDARIO'!$C$15:$C$214,MATCH(TEXT($H134,"yyyy-mm-dd")&amp;"|"&amp;$D134&amp;"|",'CALENDARIO'!$G$15:$G$214,0)),IFERROR(INDEX('CALENDARIO'!$C$15:$C$214,MATCH(TEXT($H134,"yyyy-mm-dd")&amp;"||",'CALENDARIO'!$G$15:$G$214,0)),INDEX(patronHabil,WEEKDAY($H134,2))))))&lt;&gt;"sí"),0,p_horas_jornada)</f>
        <v/>
      </c>
      <c r="J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>
        <is>
          <t>T1</t>
        </is>
      </c>
      <c r="G135" s="3">
        <f>IFERROR(INDEX('TECNICOS'!$E$4:$E$15,MATCH($C135,'TECNICOS'!$B$4:$B$15,0)),"")</f>
        <v/>
      </c>
      <c r="H135" s="11">
        <f>IF($A135="","",DATE(VALUE(LEFT($A135,4)),1,4)-WEEKDAY(DATE(VALUE(LEFT($A135,4)),1,4),2)+1+(VALUE(MID($A135,7,2))-1)*7+MATCH($B135,lista_dias,0)-1)</f>
        <v/>
      </c>
      <c r="I135" s="3">
        <f>IF(OR($F135="",ISNUMBER(MATCH($F135,lista_no_disponible,0)),(IFERROR(INDEX('CALENDARIO'!$C$15:$C$214,MATCH(TEXT($H135,"yyyy-mm-dd")&amp;"|"&amp;$D135&amp;"|"&amp;"",'CALENDARIO'!$G$15:$G$214,0)),IFERROR(INDEX('CALENDARIO'!$C$15:$C$214,MATCH(TEXT($H135,"yyyy-mm-dd")&amp;"|"&amp;$D135&amp;"|",'CALENDARIO'!$G$15:$G$214,0)),IFERROR(INDEX('CALENDARIO'!$C$15:$C$214,MATCH(TEXT($H135,"yyyy-mm-dd")&amp;"||",'CALENDARIO'!$G$15:$G$214,0)),INDEX(patronHabil,WEEKDAY($H135,2))))))&lt;&gt;"sí"),0,p_horas_jornada)</f>
        <v/>
      </c>
      <c r="J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11">
        <f>IF($A136="","",DATE(VALUE(LEFT($A136,4)),1,4)-WEEKDAY(DATE(VALUE(LEFT($A136,4)),1,4),2)+1+(VALUE(MID($A136,7,2))-1)*7+MATCH($B136,lista_dias,0)-1)</f>
        <v/>
      </c>
      <c r="I136" s="3">
        <f>IF(OR($F136="",ISNUMBER(MATCH($F136,lista_no_disponible,0)),(IFERROR(INDEX('CALENDARIO'!$C$15:$C$214,MATCH(TEXT($H136,"yyyy-mm-dd")&amp;"|"&amp;$D136&amp;"|"&amp;"",'CALENDARIO'!$G$15:$G$214,0)),IFERROR(INDEX('CALENDARIO'!$C$15:$C$214,MATCH(TEXT($H136,"yyyy-mm-dd")&amp;"|"&amp;$D136&amp;"|",'CALENDARIO'!$G$15:$G$214,0)),IFERROR(INDEX('CALENDARIO'!$C$15:$C$214,MATCH(TEXT($H136,"yyyy-mm-dd")&amp;"||",'CALENDARIO'!$G$15:$G$214,0)),INDEX(patronHabil,WEEKDAY($H136,2))))))&lt;&gt;"sí"),0,p_horas_jornada)</f>
        <v/>
      </c>
      <c r="J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11">
        <f>IF($A137="","",DATE(VALUE(LEFT($A137,4)),1,4)-WEEKDAY(DATE(VALUE(LEFT($A137,4)),1,4),2)+1+(VALUE(MID($A137,7,2))-1)*7+MATCH($B137,lista_dias,0)-1)</f>
        <v/>
      </c>
      <c r="I137" s="3">
        <f>IF(OR($F137="",ISNUMBER(MATCH($F137,lista_no_disponible,0)),(IFERROR(INDEX('CALENDARIO'!$C$15:$C$214,MATCH(TEXT($H137,"yyyy-mm-dd")&amp;"|"&amp;$D137&amp;"|"&amp;"",'CALENDARIO'!$G$15:$G$214,0)),IFERROR(INDEX('CALENDARIO'!$C$15:$C$214,MATCH(TEXT($H137,"yyyy-mm-dd")&amp;"|"&amp;$D137&amp;"|",'CALENDARIO'!$G$15:$G$214,0)),IFERROR(INDEX('CALENDARIO'!$C$15:$C$214,MATCH(TEXT($H137,"yyyy-mm-dd")&amp;"||",'CALENDARIO'!$G$15:$G$214,0)),INDEX(patronHabil,WEEKDAY($H137,2))))))&lt;&gt;"sí"),0,p_horas_jornada)</f>
        <v/>
      </c>
      <c r="J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11">
        <f>IF($A138="","",DATE(VALUE(LEFT($A138,4)),1,4)-WEEKDAY(DATE(VALUE(LEFT($A138,4)),1,4),2)+1+(VALUE(MID($A138,7,2))-1)*7+MATCH($B138,lista_dias,0)-1)</f>
        <v/>
      </c>
      <c r="I138" s="3">
        <f>IF(OR($F138="",ISNUMBER(MATCH($F138,lista_no_disponible,0)),(IFERROR(INDEX('CALENDARIO'!$C$15:$C$214,MATCH(TEXT($H138,"yyyy-mm-dd")&amp;"|"&amp;$D138&amp;"|"&amp;"",'CALENDARIO'!$G$15:$G$214,0)),IFERROR(INDEX('CALENDARIO'!$C$15:$C$214,MATCH(TEXT($H138,"yyyy-mm-dd")&amp;"|"&amp;$D138&amp;"|",'CALENDARIO'!$G$15:$G$214,0)),IFERROR(INDEX('CALENDARIO'!$C$15:$C$214,MATCH(TEXT($H138,"yyyy-mm-dd")&amp;"||",'CALENDARIO'!$G$15:$G$214,0)),INDEX(patronHabil,WEEKDAY($H138,2))))))&lt;&gt;"sí"),0,p_horas_jornada)</f>
        <v/>
      </c>
      <c r="J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11">
        <f>IF($A139="","",DATE(VALUE(LEFT($A139,4)),1,4)-WEEKDAY(DATE(VALUE(LEFT($A139,4)),1,4),2)+1+(VALUE(MID($A139,7,2))-1)*7+MATCH($B139,lista_dias,0)-1)</f>
        <v/>
      </c>
      <c r="I139" s="3">
        <f>IF(OR($F139="",ISNUMBER(MATCH($F139,lista_no_disponible,0)),(IFERROR(INDEX('CALENDARIO'!$C$15:$C$214,MATCH(TEXT($H139,"yyyy-mm-dd")&amp;"|"&amp;$D139&amp;"|"&amp;"",'CALENDARIO'!$G$15:$G$214,0)),IFERROR(INDEX('CALENDARIO'!$C$15:$C$214,MATCH(TEXT($H139,"yyyy-mm-dd")&amp;"|"&amp;$D139&amp;"|",'CALENDARIO'!$G$15:$G$214,0)),IFERROR(INDEX('CALENDARIO'!$C$15:$C$214,MATCH(TEXT($H139,"yyyy-mm-dd")&amp;"||",'CALENDARIO'!$G$15:$G$214,0)),INDEX(patronHabil,WEEKDAY($H139,2))))))&lt;&gt;"sí"),0,p_horas_jornada)</f>
        <v/>
      </c>
      <c r="J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11">
        <f>IF($A140="","",DATE(VALUE(LEFT($A140,4)),1,4)-WEEKDAY(DATE(VALUE(LEFT($A140,4)),1,4),2)+1+(VALUE(MID($A140,7,2))-1)*7+MATCH($B140,lista_dias,0)-1)</f>
        <v/>
      </c>
      <c r="I140" s="3">
        <f>IF(OR($F140="",ISNUMBER(MATCH($F140,lista_no_disponible,0)),(IFERROR(INDEX('CALENDARIO'!$C$15:$C$214,MATCH(TEXT($H140,"yyyy-mm-dd")&amp;"|"&amp;$D140&amp;"|"&amp;"",'CALENDARIO'!$G$15:$G$214,0)),IFERROR(INDEX('CALENDARIO'!$C$15:$C$214,MATCH(TEXT($H140,"yyyy-mm-dd")&amp;"|"&amp;$D140&amp;"|",'CALENDARIO'!$G$15:$G$214,0)),IFERROR(INDEX('CALENDARIO'!$C$15:$C$214,MATCH(TEXT($H140,"yyyy-mm-dd")&amp;"||",'CALENDARIO'!$G$15:$G$214,0)),INDEX(patronHabil,WEEKDAY($H140,2))))))&lt;&gt;"sí"),0,p_horas_jornada)</f>
        <v/>
      </c>
      <c r="J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11">
        <f>IF($A141="","",DATE(VALUE(LEFT($A141,4)),1,4)-WEEKDAY(DATE(VALUE(LEFT($A141,4)),1,4),2)+1+(VALUE(MID($A141,7,2))-1)*7+MATCH($B141,lista_dias,0)-1)</f>
        <v/>
      </c>
      <c r="I141" s="3">
        <f>IF(OR($F141="",ISNUMBER(MATCH($F141,lista_no_disponible,0)),(IFERROR(INDEX('CALENDARIO'!$C$15:$C$214,MATCH(TEXT($H141,"yyyy-mm-dd")&amp;"|"&amp;$D141&amp;"|"&amp;"",'CALENDARIO'!$G$15:$G$214,0)),IFERROR(INDEX('CALENDARIO'!$C$15:$C$214,MATCH(TEXT($H141,"yyyy-mm-dd")&amp;"|"&amp;$D141&amp;"|",'CALENDARIO'!$G$15:$G$214,0)),IFERROR(INDEX('CALENDARIO'!$C$15:$C$214,MATCH(TEXT($H141,"yyyy-mm-dd")&amp;"||",'CALENDARIO'!$G$15:$G$214,0)),INDEX(patronHabil,WEEKDAY($H141,2))))))&lt;&gt;"sí"),0,p_horas_jornada)</f>
        <v/>
      </c>
      <c r="J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>
        <is>
          <t>T3</t>
        </is>
      </c>
      <c r="G142" s="3">
        <f>IFERROR(INDEX('TECNICOS'!$E$4:$E$15,MATCH($C142,'TECNICOS'!$B$4:$B$15,0)),"")</f>
        <v/>
      </c>
      <c r="H142" s="11">
        <f>IF($A142="","",DATE(VALUE(LEFT($A142,4)),1,4)-WEEKDAY(DATE(VALUE(LEFT($A142,4)),1,4),2)+1+(VALUE(MID($A142,7,2))-1)*7+MATCH($B142,lista_dias,0)-1)</f>
        <v/>
      </c>
      <c r="I142" s="3">
        <f>IF(OR($F142="",ISNUMBER(MATCH($F142,lista_no_disponible,0)),(IFERROR(INDEX('CALENDARIO'!$C$15:$C$214,MATCH(TEXT($H142,"yyyy-mm-dd")&amp;"|"&amp;$D142&amp;"|"&amp;"",'CALENDARIO'!$G$15:$G$214,0)),IFERROR(INDEX('CALENDARIO'!$C$15:$C$214,MATCH(TEXT($H142,"yyyy-mm-dd")&amp;"|"&amp;$D142&amp;"|",'CALENDARIO'!$G$15:$G$214,0)),IFERROR(INDEX('CALENDARIO'!$C$15:$C$214,MATCH(TEXT($H142,"yyyy-mm-dd")&amp;"||",'CALENDARIO'!$G$15:$G$214,0)),INDEX(patronHabil,WEEKDAY($H142,2))))))&lt;&gt;"sí"),0,p_horas_jornada)</f>
        <v/>
      </c>
      <c r="J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11">
        <f>IF($A143="","",DATE(VALUE(LEFT($A143,4)),1,4)-WEEKDAY(DATE(VALUE(LEFT($A143,4)),1,4),2)+1+(VALUE(MID($A143,7,2))-1)*7+MATCH($B143,lista_dias,0)-1)</f>
        <v/>
      </c>
      <c r="I143" s="3">
        <f>IF(OR($F143="",ISNUMBER(MATCH($F143,lista_no_disponible,0)),(IFERROR(INDEX('CALENDARIO'!$C$15:$C$214,MATCH(TEXT($H143,"yyyy-mm-dd")&amp;"|"&amp;$D143&amp;"|"&amp;"",'CALENDARIO'!$G$15:$G$214,0)),IFERROR(INDEX('CALENDARIO'!$C$15:$C$214,MATCH(TEXT($H143,"yyyy-mm-dd")&amp;"|"&amp;$D143&amp;"|",'CALENDARIO'!$G$15:$G$214,0)),IFERROR(INDEX('CALENDARIO'!$C$15:$C$214,MATCH(TEXT($H143,"yyyy-mm-dd")&amp;"||",'CALENDARIO'!$G$15:$G$214,0)),INDEX(patronHabil,WEEKDAY($H143,2))))))&lt;&gt;"sí"),0,p_horas_jornada)</f>
        <v/>
      </c>
      <c r="J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11">
        <f>IF($A144="","",DATE(VALUE(LEFT($A144,4)),1,4)-WEEKDAY(DATE(VALUE(LEFT($A144,4)),1,4),2)+1+(VALUE(MID($A144,7,2))-1)*7+MATCH($B144,lista_dias,0)-1)</f>
        <v/>
      </c>
      <c r="I144" s="3">
        <f>IF(OR($F144="",ISNUMBER(MATCH($F144,lista_no_disponible,0)),(IFERROR(INDEX('CALENDARIO'!$C$15:$C$214,MATCH(TEXT($H144,"yyyy-mm-dd")&amp;"|"&amp;$D144&amp;"|"&amp;"",'CALENDARIO'!$G$15:$G$214,0)),IFERROR(INDEX('CALENDARIO'!$C$15:$C$214,MATCH(TEXT($H144,"yyyy-mm-dd")&amp;"|"&amp;$D144&amp;"|",'CALENDARIO'!$G$15:$G$214,0)),IFERROR(INDEX('CALENDARIO'!$C$15:$C$214,MATCH(TEXT($H144,"yyyy-mm-dd")&amp;"||",'CALENDARIO'!$G$15:$G$214,0)),INDEX(patronHabil,WEEKDAY($H144,2))))))&lt;&gt;"sí"),0,p_horas_jornada)</f>
        <v/>
      </c>
      <c r="J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11">
        <f>IF($A145="","",DATE(VALUE(LEFT($A145,4)),1,4)-WEEKDAY(DATE(VALUE(LEFT($A145,4)),1,4),2)+1+(VALUE(MID($A145,7,2))-1)*7+MATCH($B145,lista_dias,0)-1)</f>
        <v/>
      </c>
      <c r="I145" s="3">
        <f>IF(OR($F145="",ISNUMBER(MATCH($F145,lista_no_disponible,0)),(IFERROR(INDEX('CALENDARIO'!$C$15:$C$214,MATCH(TEXT($H145,"yyyy-mm-dd")&amp;"|"&amp;$D145&amp;"|"&amp;"",'CALENDARIO'!$G$15:$G$214,0)),IFERROR(INDEX('CALENDARIO'!$C$15:$C$214,MATCH(TEXT($H145,"yyyy-mm-dd")&amp;"|"&amp;$D145&amp;"|",'CALENDARIO'!$G$15:$G$214,0)),IFERROR(INDEX('CALENDARIO'!$C$15:$C$214,MATCH(TEXT($H145,"yyyy-mm-dd")&amp;"||",'CALENDARIO'!$G$15:$G$214,0)),INDEX(patronHabil,WEEKDAY($H145,2))))))&lt;&gt;"sí"),0,p_horas_jornada)</f>
        <v/>
      </c>
      <c r="J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11">
        <f>IF($A146="","",DATE(VALUE(LEFT($A146,4)),1,4)-WEEKDAY(DATE(VALUE(LEFT($A146,4)),1,4),2)+1+(VALUE(MID($A146,7,2))-1)*7+MATCH($B146,lista_dias,0)-1)</f>
        <v/>
      </c>
      <c r="I146" s="3">
        <f>IF(OR($F146="",ISNUMBER(MATCH($F146,lista_no_disponible,0)),(IFERROR(INDEX('CALENDARIO'!$C$15:$C$214,MATCH(TEXT($H146,"yyyy-mm-dd")&amp;"|"&amp;$D146&amp;"|"&amp;"",'CALENDARIO'!$G$15:$G$214,0)),IFERROR(INDEX('CALENDARIO'!$C$15:$C$214,MATCH(TEXT($H146,"yyyy-mm-dd")&amp;"|"&amp;$D146&amp;"|",'CALENDARIO'!$G$15:$G$214,0)),IFERROR(INDEX('CALENDARIO'!$C$15:$C$214,MATCH(TEXT($H146,"yyyy-mm-dd")&amp;"||",'CALENDARIO'!$G$15:$G$214,0)),INDEX(patronHabil,WEEKDAY($H146,2))))))&lt;&gt;"sí"),0,p_horas_jornada)</f>
        <v/>
      </c>
      <c r="J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11">
        <f>IF($A147="","",DATE(VALUE(LEFT($A147,4)),1,4)-WEEKDAY(DATE(VALUE(LEFT($A147,4)),1,4),2)+1+(VALUE(MID($A147,7,2))-1)*7+MATCH($B147,lista_dias,0)-1)</f>
        <v/>
      </c>
      <c r="I147" s="3">
        <f>IF(OR($F147="",ISNUMBER(MATCH($F147,lista_no_disponible,0)),(IFERROR(INDEX('CALENDARIO'!$C$15:$C$214,MATCH(TEXT($H147,"yyyy-mm-dd")&amp;"|"&amp;$D147&amp;"|"&amp;"",'CALENDARIO'!$G$15:$G$214,0)),IFERROR(INDEX('CALENDARIO'!$C$15:$C$214,MATCH(TEXT($H147,"yyyy-mm-dd")&amp;"|"&amp;$D147&amp;"|",'CALENDARIO'!$G$15:$G$214,0)),IFERROR(INDEX('CALENDARIO'!$C$15:$C$214,MATCH(TEXT($H147,"yyyy-mm-dd")&amp;"||",'CALENDARIO'!$G$15:$G$214,0)),INDEX(patronHabil,WEEKDAY($H147,2))))))&lt;&gt;"sí"),0,p_horas_jornada)</f>
        <v/>
      </c>
      <c r="J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11">
        <f>IF($A148="","",DATE(VALUE(LEFT($A148,4)),1,4)-WEEKDAY(DATE(VALUE(LEFT($A148,4)),1,4),2)+1+(VALUE(MID($A148,7,2))-1)*7+MATCH($B148,lista_dias,0)-1)</f>
        <v/>
      </c>
      <c r="I148" s="3">
        <f>IF(OR($F148="",ISNUMBER(MATCH($F148,lista_no_disponible,0)),(IFERROR(INDEX('CALENDARIO'!$C$15:$C$214,MATCH(TEXT($H148,"yyyy-mm-dd")&amp;"|"&amp;$D148&amp;"|"&amp;"",'CALENDARIO'!$G$15:$G$214,0)),IFERROR(INDEX('CALENDARIO'!$C$15:$C$214,MATCH(TEXT($H148,"yyyy-mm-dd")&amp;"|"&amp;$D148&amp;"|",'CALENDARIO'!$G$15:$G$214,0)),IFERROR(INDEX('CALENDARIO'!$C$15:$C$214,MATCH(TEXT($H148,"yyyy-mm-dd")&amp;"||",'CALENDARIO'!$G$15:$G$214,0)),INDEX(patronHabil,WEEKDAY($H148,2))))))&lt;&gt;"sí"),0,p_horas_jornada)</f>
        <v/>
      </c>
      <c r="J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>
        <is>
          <t>T1</t>
        </is>
      </c>
      <c r="G149" s="3">
        <f>IFERROR(INDEX('TECNICOS'!$E$4:$E$15,MATCH($C149,'TECNICOS'!$B$4:$B$15,0)),"")</f>
        <v/>
      </c>
      <c r="H149" s="11">
        <f>IF($A149="","",DATE(VALUE(LEFT($A149,4)),1,4)-WEEKDAY(DATE(VALUE(LEFT($A149,4)),1,4),2)+1+(VALUE(MID($A149,7,2))-1)*7+MATCH($B149,lista_dias,0)-1)</f>
        <v/>
      </c>
      <c r="I149" s="3">
        <f>IF(OR($F149="",ISNUMBER(MATCH($F149,lista_no_disponible,0)),(IFERROR(INDEX('CALENDARIO'!$C$15:$C$214,MATCH(TEXT($H149,"yyyy-mm-dd")&amp;"|"&amp;$D149&amp;"|"&amp;"",'CALENDARIO'!$G$15:$G$214,0)),IFERROR(INDEX('CALENDARIO'!$C$15:$C$214,MATCH(TEXT($H149,"yyyy-mm-dd")&amp;"|"&amp;$D149&amp;"|",'CALENDARIO'!$G$15:$G$214,0)),IFERROR(INDEX('CALENDARIO'!$C$15:$C$214,MATCH(TEXT($H149,"yyyy-mm-dd")&amp;"||",'CALENDARIO'!$G$15:$G$214,0)),INDEX(patronHabil,WEEKDAY($H149,2))))))&lt;&gt;"sí"),0,p_horas_jornada)</f>
        <v/>
      </c>
      <c r="J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11">
        <f>IF($A150="","",DATE(VALUE(LEFT($A150,4)),1,4)-WEEKDAY(DATE(VALUE(LEFT($A150,4)),1,4),2)+1+(VALUE(MID($A150,7,2))-1)*7+MATCH($B150,lista_dias,0)-1)</f>
        <v/>
      </c>
      <c r="I150" s="3">
        <f>IF(OR($F150="",ISNUMBER(MATCH($F150,lista_no_disponible,0)),(IFERROR(INDEX('CALENDARIO'!$C$15:$C$214,MATCH(TEXT($H150,"yyyy-mm-dd")&amp;"|"&amp;$D150&amp;"|"&amp;"",'CALENDARIO'!$G$15:$G$214,0)),IFERROR(INDEX('CALENDARIO'!$C$15:$C$214,MATCH(TEXT($H150,"yyyy-mm-dd")&amp;"|"&amp;$D150&amp;"|",'CALENDARIO'!$G$15:$G$214,0)),IFERROR(INDEX('CALENDARIO'!$C$15:$C$214,MATCH(TEXT($H150,"yyyy-mm-dd")&amp;"||",'CALENDARIO'!$G$15:$G$214,0)),INDEX(patronHabil,WEEKDAY($H150,2))))))&lt;&gt;"sí"),0,p_horas_jornada)</f>
        <v/>
      </c>
      <c r="J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11">
        <f>IF($A151="","",DATE(VALUE(LEFT($A151,4)),1,4)-WEEKDAY(DATE(VALUE(LEFT($A151,4)),1,4),2)+1+(VALUE(MID($A151,7,2))-1)*7+MATCH($B151,lista_dias,0)-1)</f>
        <v/>
      </c>
      <c r="I151" s="3">
        <f>IF(OR($F151="",ISNUMBER(MATCH($F151,lista_no_disponible,0)),(IFERROR(INDEX('CALENDARIO'!$C$15:$C$214,MATCH(TEXT($H151,"yyyy-mm-dd")&amp;"|"&amp;$D151&amp;"|"&amp;"",'CALENDARIO'!$G$15:$G$214,0)),IFERROR(INDEX('CALENDARIO'!$C$15:$C$214,MATCH(TEXT($H151,"yyyy-mm-dd")&amp;"|"&amp;$D151&amp;"|",'CALENDARIO'!$G$15:$G$214,0)),IFERROR(INDEX('CALENDARIO'!$C$15:$C$214,MATCH(TEXT($H151,"yyyy-mm-dd")&amp;"||",'CALENDARIO'!$G$15:$G$214,0)),INDEX(patronHabil,WEEKDAY($H151,2))))))&lt;&gt;"sí"),0,p_horas_jornada)</f>
        <v/>
      </c>
      <c r="J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11">
        <f>IF($A152="","",DATE(VALUE(LEFT($A152,4)),1,4)-WEEKDAY(DATE(VALUE(LEFT($A152,4)),1,4),2)+1+(VALUE(MID($A152,7,2))-1)*7+MATCH($B152,lista_dias,0)-1)</f>
        <v/>
      </c>
      <c r="I152" s="3">
        <f>IF(OR($F152="",ISNUMBER(MATCH($F152,lista_no_disponible,0)),(IFERROR(INDEX('CALENDARIO'!$C$15:$C$214,MATCH(TEXT($H152,"yyyy-mm-dd")&amp;"|"&amp;$D152&amp;"|"&amp;"",'CALENDARIO'!$G$15:$G$214,0)),IFERROR(INDEX('CALENDARIO'!$C$15:$C$214,MATCH(TEXT($H152,"yyyy-mm-dd")&amp;"|"&amp;$D152&amp;"|",'CALENDARIO'!$G$15:$G$214,0)),IFERROR(INDEX('CALENDARIO'!$C$15:$C$214,MATCH(TEXT($H152,"yyyy-mm-dd")&amp;"||",'CALENDARIO'!$G$15:$G$214,0)),INDEX(patronHabil,WEEKDAY($H152,2))))))&lt;&gt;"sí"),0,p_horas_jornada)</f>
        <v/>
      </c>
      <c r="J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11">
        <f>IF($A153="","",DATE(VALUE(LEFT($A153,4)),1,4)-WEEKDAY(DATE(VALUE(LEFT($A153,4)),1,4),2)+1+(VALUE(MID($A153,7,2))-1)*7+MATCH($B153,lista_dias,0)-1)</f>
        <v/>
      </c>
      <c r="I153" s="3">
        <f>IF(OR($F153="",ISNUMBER(MATCH($F153,lista_no_disponible,0)),(IFERROR(INDEX('CALENDARIO'!$C$15:$C$214,MATCH(TEXT($H153,"yyyy-mm-dd")&amp;"|"&amp;$D153&amp;"|"&amp;"",'CALENDARIO'!$G$15:$G$214,0)),IFERROR(INDEX('CALENDARIO'!$C$15:$C$214,MATCH(TEXT($H153,"yyyy-mm-dd")&amp;"|"&amp;$D153&amp;"|",'CALENDARIO'!$G$15:$G$214,0)),IFERROR(INDEX('CALENDARIO'!$C$15:$C$214,MATCH(TEXT($H153,"yyyy-mm-dd")&amp;"||",'CALENDARIO'!$G$15:$G$214,0)),INDEX(patronHabil,WEEKDAY($H153,2))))))&lt;&gt;"sí"),0,p_horas_jornada)</f>
        <v/>
      </c>
      <c r="J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11">
        <f>IF($A154="","",DATE(VALUE(LEFT($A154,4)),1,4)-WEEKDAY(DATE(VALUE(LEFT($A154,4)),1,4),2)+1+(VALUE(MID($A154,7,2))-1)*7+MATCH($B154,lista_dias,0)-1)</f>
        <v/>
      </c>
      <c r="I154" s="3">
        <f>IF(OR($F154="",ISNUMBER(MATCH($F154,lista_no_disponible,0)),(IFERROR(INDEX('CALENDARIO'!$C$15:$C$214,MATCH(TEXT($H154,"yyyy-mm-dd")&amp;"|"&amp;$D154&amp;"|"&amp;"",'CALENDARIO'!$G$15:$G$214,0)),IFERROR(INDEX('CALENDARIO'!$C$15:$C$214,MATCH(TEXT($H154,"yyyy-mm-dd")&amp;"|"&amp;$D154&amp;"|",'CALENDARIO'!$G$15:$G$214,0)),IFERROR(INDEX('CALENDARIO'!$C$15:$C$214,MATCH(TEXT($H154,"yyyy-mm-dd")&amp;"||",'CALENDARIO'!$G$15:$G$214,0)),INDEX(patronHabil,WEEKDAY($H154,2))))))&lt;&gt;"sí"),0,p_horas_jornada)</f>
        <v/>
      </c>
      <c r="J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11">
        <f>IF($A155="","",DATE(VALUE(LEFT($A155,4)),1,4)-WEEKDAY(DATE(VALUE(LEFT($A155,4)),1,4),2)+1+(VALUE(MID($A155,7,2))-1)*7+MATCH($B155,lista_dias,0)-1)</f>
        <v/>
      </c>
      <c r="I155" s="3">
        <f>IF(OR($F155="",ISNUMBER(MATCH($F155,lista_no_disponible,0)),(IFERROR(INDEX('CALENDARIO'!$C$15:$C$214,MATCH(TEXT($H155,"yyyy-mm-dd")&amp;"|"&amp;$D155&amp;"|"&amp;"",'CALENDARIO'!$G$15:$G$214,0)),IFERROR(INDEX('CALENDARIO'!$C$15:$C$214,MATCH(TEXT($H155,"yyyy-mm-dd")&amp;"|"&amp;$D155&amp;"|",'CALENDARIO'!$G$15:$G$214,0)),IFERROR(INDEX('CALENDARIO'!$C$15:$C$214,MATCH(TEXT($H155,"yyyy-mm-dd")&amp;"||",'CALENDARIO'!$G$15:$G$214,0)),INDEX(patronHabil,WEEKDAY($H155,2))))))&lt;&gt;"sí"),0,p_horas_jornada)</f>
        <v/>
      </c>
      <c r="J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>
        <is>
          <t>B1</t>
        </is>
      </c>
      <c r="G156" s="3">
        <f>IFERROR(INDEX('TECNICOS'!$E$4:$E$15,MATCH($C156,'TECNICOS'!$B$4:$B$15,0)),"")</f>
        <v/>
      </c>
      <c r="H156" s="11">
        <f>IF($A156="","",DATE(VALUE(LEFT($A156,4)),1,4)-WEEKDAY(DATE(VALUE(LEFT($A156,4)),1,4),2)+1+(VALUE(MID($A156,7,2))-1)*7+MATCH($B156,lista_dias,0)-1)</f>
        <v/>
      </c>
      <c r="I156" s="3">
        <f>IF(OR($F156="",ISNUMBER(MATCH($F156,lista_no_disponible,0)),(IFERROR(INDEX('CALENDARIO'!$C$15:$C$214,MATCH(TEXT($H156,"yyyy-mm-dd")&amp;"|"&amp;$D156&amp;"|"&amp;"",'CALENDARIO'!$G$15:$G$214,0)),IFERROR(INDEX('CALENDARIO'!$C$15:$C$214,MATCH(TEXT($H156,"yyyy-mm-dd")&amp;"|"&amp;$D156&amp;"|",'CALENDARIO'!$G$15:$G$214,0)),IFERROR(INDEX('CALENDARIO'!$C$15:$C$214,MATCH(TEXT($H156,"yyyy-mm-dd")&amp;"||",'CALENDARIO'!$G$15:$G$214,0)),INDEX(patronHabil,WEEKDAY($H156,2))))))&lt;&gt;"sí"),0,p_horas_jornada)</f>
        <v/>
      </c>
      <c r="J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11">
        <f>IF($A157="","",DATE(VALUE(LEFT($A157,4)),1,4)-WEEKDAY(DATE(VALUE(LEFT($A157,4)),1,4),2)+1+(VALUE(MID($A157,7,2))-1)*7+MATCH($B157,lista_dias,0)-1)</f>
        <v/>
      </c>
      <c r="I157" s="3">
        <f>IF(OR($F157="",ISNUMBER(MATCH($F157,lista_no_disponible,0)),(IFERROR(INDEX('CALENDARIO'!$C$15:$C$214,MATCH(TEXT($H157,"yyyy-mm-dd")&amp;"|"&amp;$D157&amp;"|"&amp;"",'CALENDARIO'!$G$15:$G$214,0)),IFERROR(INDEX('CALENDARIO'!$C$15:$C$214,MATCH(TEXT($H157,"yyyy-mm-dd")&amp;"|"&amp;$D157&amp;"|",'CALENDARIO'!$G$15:$G$214,0)),IFERROR(INDEX('CALENDARIO'!$C$15:$C$214,MATCH(TEXT($H157,"yyyy-mm-dd")&amp;"||",'CALENDARIO'!$G$15:$G$214,0)),INDEX(patronHabil,WEEKDAY($H157,2))))))&lt;&gt;"sí"),0,p_horas_jornada)</f>
        <v/>
      </c>
      <c r="J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11">
        <f>IF($A158="","",DATE(VALUE(LEFT($A158,4)),1,4)-WEEKDAY(DATE(VALUE(LEFT($A158,4)),1,4),2)+1+(VALUE(MID($A158,7,2))-1)*7+MATCH($B158,lista_dias,0)-1)</f>
        <v/>
      </c>
      <c r="I158" s="3">
        <f>IF(OR($F158="",ISNUMBER(MATCH($F158,lista_no_disponible,0)),(IFERROR(INDEX('CALENDARIO'!$C$15:$C$214,MATCH(TEXT($H158,"yyyy-mm-dd")&amp;"|"&amp;$D158&amp;"|"&amp;"",'CALENDARIO'!$G$15:$G$214,0)),IFERROR(INDEX('CALENDARIO'!$C$15:$C$214,MATCH(TEXT($H158,"yyyy-mm-dd")&amp;"|"&amp;$D158&amp;"|",'CALENDARIO'!$G$15:$G$214,0)),IFERROR(INDEX('CALENDARIO'!$C$15:$C$214,MATCH(TEXT($H158,"yyyy-mm-dd")&amp;"||",'CALENDARIO'!$G$15:$G$214,0)),INDEX(patronHabil,WEEKDAY($H158,2))))))&lt;&gt;"sí"),0,p_horas_jornada)</f>
        <v/>
      </c>
      <c r="J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11">
        <f>IF($A159="","",DATE(VALUE(LEFT($A159,4)),1,4)-WEEKDAY(DATE(VALUE(LEFT($A159,4)),1,4),2)+1+(VALUE(MID($A159,7,2))-1)*7+MATCH($B159,lista_dias,0)-1)</f>
        <v/>
      </c>
      <c r="I159" s="3">
        <f>IF(OR($F159="",ISNUMBER(MATCH($F159,lista_no_disponible,0)),(IFERROR(INDEX('CALENDARIO'!$C$15:$C$214,MATCH(TEXT($H159,"yyyy-mm-dd")&amp;"|"&amp;$D159&amp;"|"&amp;"",'CALENDARIO'!$G$15:$G$214,0)),IFERROR(INDEX('CALENDARIO'!$C$15:$C$214,MATCH(TEXT($H159,"yyyy-mm-dd")&amp;"|"&amp;$D159&amp;"|",'CALENDARIO'!$G$15:$G$214,0)),IFERROR(INDEX('CALENDARIO'!$C$15:$C$214,MATCH(TEXT($H159,"yyyy-mm-dd")&amp;"||",'CALENDARIO'!$G$15:$G$214,0)),INDEX(patronHabil,WEEKDAY($H159,2))))))&lt;&gt;"sí"),0,p_horas_jornada)</f>
        <v/>
      </c>
      <c r="J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11">
        <f>IF($A160="","",DATE(VALUE(LEFT($A160,4)),1,4)-WEEKDAY(DATE(VALUE(LEFT($A160,4)),1,4),2)+1+(VALUE(MID($A160,7,2))-1)*7+MATCH($B160,lista_dias,0)-1)</f>
        <v/>
      </c>
      <c r="I160" s="3">
        <f>IF(OR($F160="",ISNUMBER(MATCH($F160,lista_no_disponible,0)),(IFERROR(INDEX('CALENDARIO'!$C$15:$C$214,MATCH(TEXT($H160,"yyyy-mm-dd")&amp;"|"&amp;$D160&amp;"|"&amp;"",'CALENDARIO'!$G$15:$G$214,0)),IFERROR(INDEX('CALENDARIO'!$C$15:$C$214,MATCH(TEXT($H160,"yyyy-mm-dd")&amp;"|"&amp;$D160&amp;"|",'CALENDARIO'!$G$15:$G$214,0)),IFERROR(INDEX('CALENDARIO'!$C$15:$C$214,MATCH(TEXT($H160,"yyyy-mm-dd")&amp;"||",'CALENDARIO'!$G$15:$G$214,0)),INDEX(patronHabil,WEEKDAY($H160,2))))))&lt;&gt;"sí"),0,p_horas_jornada)</f>
        <v/>
      </c>
      <c r="J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11">
        <f>IF($A161="","",DATE(VALUE(LEFT($A161,4)),1,4)-WEEKDAY(DATE(VALUE(LEFT($A161,4)),1,4),2)+1+(VALUE(MID($A161,7,2))-1)*7+MATCH($B161,lista_dias,0)-1)</f>
        <v/>
      </c>
      <c r="I161" s="3">
        <f>IF(OR($F161="",ISNUMBER(MATCH($F161,lista_no_disponible,0)),(IFERROR(INDEX('CALENDARIO'!$C$15:$C$214,MATCH(TEXT($H161,"yyyy-mm-dd")&amp;"|"&amp;$D161&amp;"|"&amp;"",'CALENDARIO'!$G$15:$G$214,0)),IFERROR(INDEX('CALENDARIO'!$C$15:$C$214,MATCH(TEXT($H161,"yyyy-mm-dd")&amp;"|"&amp;$D161&amp;"|",'CALENDARIO'!$G$15:$G$214,0)),IFERROR(INDEX('CALENDARIO'!$C$15:$C$214,MATCH(TEXT($H161,"yyyy-mm-dd")&amp;"||",'CALENDARIO'!$G$15:$G$214,0)),INDEX(patronHabil,WEEKDAY($H161,2))))))&lt;&gt;"sí"),0,p_horas_jornada)</f>
        <v/>
      </c>
      <c r="J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11">
        <f>IF($A162="","",DATE(VALUE(LEFT($A162,4)),1,4)-WEEKDAY(DATE(VALUE(LEFT($A162,4)),1,4),2)+1+(VALUE(MID($A162,7,2))-1)*7+MATCH($B162,lista_dias,0)-1)</f>
        <v/>
      </c>
      <c r="I162" s="3">
        <f>IF(OR($F162="",ISNUMBER(MATCH($F162,lista_no_disponible,0)),(IFERROR(INDEX('CALENDARIO'!$C$15:$C$214,MATCH(TEXT($H162,"yyyy-mm-dd")&amp;"|"&amp;$D162&amp;"|"&amp;"",'CALENDARIO'!$G$15:$G$214,0)),IFERROR(INDEX('CALENDARIO'!$C$15:$C$214,MATCH(TEXT($H162,"yyyy-mm-dd")&amp;"|"&amp;$D162&amp;"|",'CALENDARIO'!$G$15:$G$214,0)),IFERROR(INDEX('CALENDARIO'!$C$15:$C$214,MATCH(TEXT($H162,"yyyy-mm-dd")&amp;"||",'CALENDARIO'!$G$15:$G$214,0)),INDEX(patronHabil,WEEKDAY($H162,2))))))&lt;&gt;"sí"),0,p_horas_jornada)</f>
        <v/>
      </c>
      <c r="J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>
        <is>
          <t>T1</t>
        </is>
      </c>
      <c r="G163" s="3">
        <f>IFERROR(INDEX('TECNICOS'!$E$4:$E$15,MATCH($C163,'TECNICOS'!$B$4:$B$15,0)),"")</f>
        <v/>
      </c>
      <c r="H163" s="11">
        <f>IF($A163="","",DATE(VALUE(LEFT($A163,4)),1,4)-WEEKDAY(DATE(VALUE(LEFT($A163,4)),1,4),2)+1+(VALUE(MID($A163,7,2))-1)*7+MATCH($B163,lista_dias,0)-1)</f>
        <v/>
      </c>
      <c r="I163" s="3">
        <f>IF(OR($F163="",ISNUMBER(MATCH($F163,lista_no_disponible,0)),(IFERROR(INDEX('CALENDARIO'!$C$15:$C$214,MATCH(TEXT($H163,"yyyy-mm-dd")&amp;"|"&amp;$D163&amp;"|"&amp;"",'CALENDARIO'!$G$15:$G$214,0)),IFERROR(INDEX('CALENDARIO'!$C$15:$C$214,MATCH(TEXT($H163,"yyyy-mm-dd")&amp;"|"&amp;$D163&amp;"|",'CALENDARIO'!$G$15:$G$214,0)),IFERROR(INDEX('CALENDARIO'!$C$15:$C$214,MATCH(TEXT($H163,"yyyy-mm-dd")&amp;"||",'CALENDARIO'!$G$15:$G$214,0)),INDEX(patronHabil,WEEKDAY($H163,2))))))&lt;&gt;"sí"),0,p_horas_jornada)</f>
        <v/>
      </c>
      <c r="J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11">
        <f>IF($A164="","",DATE(VALUE(LEFT($A164,4)),1,4)-WEEKDAY(DATE(VALUE(LEFT($A164,4)),1,4),2)+1+(VALUE(MID($A164,7,2))-1)*7+MATCH($B164,lista_dias,0)-1)</f>
        <v/>
      </c>
      <c r="I164" s="3">
        <f>IF(OR($F164="",ISNUMBER(MATCH($F164,lista_no_disponible,0)),(IFERROR(INDEX('CALENDARIO'!$C$15:$C$214,MATCH(TEXT($H164,"yyyy-mm-dd")&amp;"|"&amp;$D164&amp;"|"&amp;"",'CALENDARIO'!$G$15:$G$214,0)),IFERROR(INDEX('CALENDARIO'!$C$15:$C$214,MATCH(TEXT($H164,"yyyy-mm-dd")&amp;"|"&amp;$D164&amp;"|",'CALENDARIO'!$G$15:$G$214,0)),IFERROR(INDEX('CALENDARIO'!$C$15:$C$214,MATCH(TEXT($H164,"yyyy-mm-dd")&amp;"||",'CALENDARIO'!$G$15:$G$214,0)),INDEX(patronHabil,WEEKDAY($H164,2))))))&lt;&gt;"sí"),0,p_horas_jornada)</f>
        <v/>
      </c>
      <c r="J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11">
        <f>IF($A165="","",DATE(VALUE(LEFT($A165,4)),1,4)-WEEKDAY(DATE(VALUE(LEFT($A165,4)),1,4),2)+1+(VALUE(MID($A165,7,2))-1)*7+MATCH($B165,lista_dias,0)-1)</f>
        <v/>
      </c>
      <c r="I165" s="3">
        <f>IF(OR($F165="",ISNUMBER(MATCH($F165,lista_no_disponible,0)),(IFERROR(INDEX('CALENDARIO'!$C$15:$C$214,MATCH(TEXT($H165,"yyyy-mm-dd")&amp;"|"&amp;$D165&amp;"|"&amp;"",'CALENDARIO'!$G$15:$G$214,0)),IFERROR(INDEX('CALENDARIO'!$C$15:$C$214,MATCH(TEXT($H165,"yyyy-mm-dd")&amp;"|"&amp;$D165&amp;"|",'CALENDARIO'!$G$15:$G$214,0)),IFERROR(INDEX('CALENDARIO'!$C$15:$C$214,MATCH(TEXT($H165,"yyyy-mm-dd")&amp;"||",'CALENDARIO'!$G$15:$G$214,0)),INDEX(patronHabil,WEEKDAY($H165,2))))))&lt;&gt;"sí"),0,p_horas_jornada)</f>
        <v/>
      </c>
      <c r="J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11">
        <f>IF($A166="","",DATE(VALUE(LEFT($A166,4)),1,4)-WEEKDAY(DATE(VALUE(LEFT($A166,4)),1,4),2)+1+(VALUE(MID($A166,7,2))-1)*7+MATCH($B166,lista_dias,0)-1)</f>
        <v/>
      </c>
      <c r="I166" s="3">
        <f>IF(OR($F166="",ISNUMBER(MATCH($F166,lista_no_disponible,0)),(IFERROR(INDEX('CALENDARIO'!$C$15:$C$214,MATCH(TEXT($H166,"yyyy-mm-dd")&amp;"|"&amp;$D166&amp;"|"&amp;"",'CALENDARIO'!$G$15:$G$214,0)),IFERROR(INDEX('CALENDARIO'!$C$15:$C$214,MATCH(TEXT($H166,"yyyy-mm-dd")&amp;"|"&amp;$D166&amp;"|",'CALENDARIO'!$G$15:$G$214,0)),IFERROR(INDEX('CALENDARIO'!$C$15:$C$214,MATCH(TEXT($H166,"yyyy-mm-dd")&amp;"||",'CALENDARIO'!$G$15:$G$214,0)),INDEX(patronHabil,WEEKDAY($H166,2))))))&lt;&gt;"sí"),0,p_horas_jornada)</f>
        <v/>
      </c>
      <c r="J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11">
        <f>IF($A167="","",DATE(VALUE(LEFT($A167,4)),1,4)-WEEKDAY(DATE(VALUE(LEFT($A167,4)),1,4),2)+1+(VALUE(MID($A167,7,2))-1)*7+MATCH($B167,lista_dias,0)-1)</f>
        <v/>
      </c>
      <c r="I167" s="3">
        <f>IF(OR($F167="",ISNUMBER(MATCH($F167,lista_no_disponible,0)),(IFERROR(INDEX('CALENDARIO'!$C$15:$C$214,MATCH(TEXT($H167,"yyyy-mm-dd")&amp;"|"&amp;$D167&amp;"|"&amp;"",'CALENDARIO'!$G$15:$G$214,0)),IFERROR(INDEX('CALENDARIO'!$C$15:$C$214,MATCH(TEXT($H167,"yyyy-mm-dd")&amp;"|"&amp;$D167&amp;"|",'CALENDARIO'!$G$15:$G$214,0)),IFERROR(INDEX('CALENDARIO'!$C$15:$C$214,MATCH(TEXT($H167,"yyyy-mm-dd")&amp;"||",'CALENDARIO'!$G$15:$G$214,0)),INDEX(patronHabil,WEEKDAY($H167,2))))))&lt;&gt;"sí"),0,p_horas_jornada)</f>
        <v/>
      </c>
      <c r="J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11">
        <f>IF($A168="","",DATE(VALUE(LEFT($A168,4)),1,4)-WEEKDAY(DATE(VALUE(LEFT($A168,4)),1,4),2)+1+(VALUE(MID($A168,7,2))-1)*7+MATCH($B168,lista_dias,0)-1)</f>
        <v/>
      </c>
      <c r="I168" s="3">
        <f>IF(OR($F168="",ISNUMBER(MATCH($F168,lista_no_disponible,0)),(IFERROR(INDEX('CALENDARIO'!$C$15:$C$214,MATCH(TEXT($H168,"yyyy-mm-dd")&amp;"|"&amp;$D168&amp;"|"&amp;"",'CALENDARIO'!$G$15:$G$214,0)),IFERROR(INDEX('CALENDARIO'!$C$15:$C$214,MATCH(TEXT($H168,"yyyy-mm-dd")&amp;"|"&amp;$D168&amp;"|",'CALENDARIO'!$G$15:$G$214,0)),IFERROR(INDEX('CALENDARIO'!$C$15:$C$214,MATCH(TEXT($H168,"yyyy-mm-dd")&amp;"||",'CALENDARIO'!$G$15:$G$214,0)),INDEX(patronHabil,WEEKDAY($H168,2))))))&lt;&gt;"sí"),0,p_horas_jornada)</f>
        <v/>
      </c>
      <c r="J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11">
        <f>IF($A169="","",DATE(VALUE(LEFT($A169,4)),1,4)-WEEKDAY(DATE(VALUE(LEFT($A169,4)),1,4),2)+1+(VALUE(MID($A169,7,2))-1)*7+MATCH($B169,lista_dias,0)-1)</f>
        <v/>
      </c>
      <c r="I169" s="3">
        <f>IF(OR($F169="",ISNUMBER(MATCH($F169,lista_no_disponible,0)),(IFERROR(INDEX('CALENDARIO'!$C$15:$C$214,MATCH(TEXT($H169,"yyyy-mm-dd")&amp;"|"&amp;$D169&amp;"|"&amp;"",'CALENDARIO'!$G$15:$G$214,0)),IFERROR(INDEX('CALENDARIO'!$C$15:$C$214,MATCH(TEXT($H169,"yyyy-mm-dd")&amp;"|"&amp;$D169&amp;"|",'CALENDARIO'!$G$15:$G$214,0)),IFERROR(INDEX('CALENDARIO'!$C$15:$C$214,MATCH(TEXT($H169,"yyyy-mm-dd")&amp;"||",'CALENDARIO'!$G$15:$G$214,0)),INDEX(patronHabil,WEEKDAY($H169,2))))))&lt;&gt;"sí"),0,p_horas_jornada)</f>
        <v/>
      </c>
      <c r="J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>
        <is>
          <t>T1</t>
        </is>
      </c>
      <c r="G170" s="3">
        <f>IFERROR(INDEX('TECNICOS'!$E$4:$E$15,MATCH($C170,'TECNICOS'!$B$4:$B$15,0)),"")</f>
        <v/>
      </c>
      <c r="H170" s="11">
        <f>IF($A170="","",DATE(VALUE(LEFT($A170,4)),1,4)-WEEKDAY(DATE(VALUE(LEFT($A170,4)),1,4),2)+1+(VALUE(MID($A170,7,2))-1)*7+MATCH($B170,lista_dias,0)-1)</f>
        <v/>
      </c>
      <c r="I170" s="3">
        <f>IF(OR($F170="",ISNUMBER(MATCH($F170,lista_no_disponible,0)),(IFERROR(INDEX('CALENDARIO'!$C$15:$C$214,MATCH(TEXT($H170,"yyyy-mm-dd")&amp;"|"&amp;$D170&amp;"|"&amp;"",'CALENDARIO'!$G$15:$G$214,0)),IFERROR(INDEX('CALENDARIO'!$C$15:$C$214,MATCH(TEXT($H170,"yyyy-mm-dd")&amp;"|"&amp;$D170&amp;"|",'CALENDARIO'!$G$15:$G$214,0)),IFERROR(INDEX('CALENDARIO'!$C$15:$C$214,MATCH(TEXT($H170,"yyyy-mm-dd")&amp;"||",'CALENDARIO'!$G$15:$G$214,0)),INDEX(patronHabil,WEEKDAY($H170,2))))))&lt;&gt;"sí"),0,p_horas_jornada)</f>
        <v/>
      </c>
      <c r="J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11">
        <f>IF($A171="","",DATE(VALUE(LEFT($A171,4)),1,4)-WEEKDAY(DATE(VALUE(LEFT($A171,4)),1,4),2)+1+(VALUE(MID($A171,7,2))-1)*7+MATCH($B171,lista_dias,0)-1)</f>
        <v/>
      </c>
      <c r="I171" s="3">
        <f>IF(OR($F171="",ISNUMBER(MATCH($F171,lista_no_disponible,0)),(IFERROR(INDEX('CALENDARIO'!$C$15:$C$214,MATCH(TEXT($H171,"yyyy-mm-dd")&amp;"|"&amp;$D171&amp;"|"&amp;"",'CALENDARIO'!$G$15:$G$214,0)),IFERROR(INDEX('CALENDARIO'!$C$15:$C$214,MATCH(TEXT($H171,"yyyy-mm-dd")&amp;"|"&amp;$D171&amp;"|",'CALENDARIO'!$G$15:$G$214,0)),IFERROR(INDEX('CALENDARIO'!$C$15:$C$214,MATCH(TEXT($H171,"yyyy-mm-dd")&amp;"||",'CALENDARIO'!$G$15:$G$214,0)),INDEX(patronHabil,WEEKDAY($H171,2))))))&lt;&gt;"sí"),0,p_horas_jornada)</f>
        <v/>
      </c>
      <c r="J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11">
        <f>IF($A172="","",DATE(VALUE(LEFT($A172,4)),1,4)-WEEKDAY(DATE(VALUE(LEFT($A172,4)),1,4),2)+1+(VALUE(MID($A172,7,2))-1)*7+MATCH($B172,lista_dias,0)-1)</f>
        <v/>
      </c>
      <c r="I172" s="3">
        <f>IF(OR($F172="",ISNUMBER(MATCH($F172,lista_no_disponible,0)),(IFERROR(INDEX('CALENDARIO'!$C$15:$C$214,MATCH(TEXT($H172,"yyyy-mm-dd")&amp;"|"&amp;$D172&amp;"|"&amp;"",'CALENDARIO'!$G$15:$G$214,0)),IFERROR(INDEX('CALENDARIO'!$C$15:$C$214,MATCH(TEXT($H172,"yyyy-mm-dd")&amp;"|"&amp;$D172&amp;"|",'CALENDARIO'!$G$15:$G$214,0)),IFERROR(INDEX('CALENDARIO'!$C$15:$C$214,MATCH(TEXT($H172,"yyyy-mm-dd")&amp;"||",'CALENDARIO'!$G$15:$G$214,0)),INDEX(patronHabil,WEEKDAY($H172,2))))))&lt;&gt;"sí"),0,p_horas_jornada)</f>
        <v/>
      </c>
      <c r="J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11">
        <f>IF($A173="","",DATE(VALUE(LEFT($A173,4)),1,4)-WEEKDAY(DATE(VALUE(LEFT($A173,4)),1,4),2)+1+(VALUE(MID($A173,7,2))-1)*7+MATCH($B173,lista_dias,0)-1)</f>
        <v/>
      </c>
      <c r="I173" s="3">
        <f>IF(OR($F173="",ISNUMBER(MATCH($F173,lista_no_disponible,0)),(IFERROR(INDEX('CALENDARIO'!$C$15:$C$214,MATCH(TEXT($H173,"yyyy-mm-dd")&amp;"|"&amp;$D173&amp;"|"&amp;"",'CALENDARIO'!$G$15:$G$214,0)),IFERROR(INDEX('CALENDARIO'!$C$15:$C$214,MATCH(TEXT($H173,"yyyy-mm-dd")&amp;"|"&amp;$D173&amp;"|",'CALENDARIO'!$G$15:$G$214,0)),IFERROR(INDEX('CALENDARIO'!$C$15:$C$214,MATCH(TEXT($H173,"yyyy-mm-dd")&amp;"||",'CALENDARIO'!$G$15:$G$214,0)),INDEX(patronHabil,WEEKDAY($H173,2))))))&lt;&gt;"sí"),0,p_horas_jornada)</f>
        <v/>
      </c>
      <c r="J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11">
        <f>IF($A174="","",DATE(VALUE(LEFT($A174,4)),1,4)-WEEKDAY(DATE(VALUE(LEFT($A174,4)),1,4),2)+1+(VALUE(MID($A174,7,2))-1)*7+MATCH($B174,lista_dias,0)-1)</f>
        <v/>
      </c>
      <c r="I174" s="3">
        <f>IF(OR($F174="",ISNUMBER(MATCH($F174,lista_no_disponible,0)),(IFERROR(INDEX('CALENDARIO'!$C$15:$C$214,MATCH(TEXT($H174,"yyyy-mm-dd")&amp;"|"&amp;$D174&amp;"|"&amp;"",'CALENDARIO'!$G$15:$G$214,0)),IFERROR(INDEX('CALENDARIO'!$C$15:$C$214,MATCH(TEXT($H174,"yyyy-mm-dd")&amp;"|"&amp;$D174&amp;"|",'CALENDARIO'!$G$15:$G$214,0)),IFERROR(INDEX('CALENDARIO'!$C$15:$C$214,MATCH(TEXT($H174,"yyyy-mm-dd")&amp;"||",'CALENDARIO'!$G$15:$G$214,0)),INDEX(patronHabil,WEEKDAY($H174,2))))))&lt;&gt;"sí"),0,p_horas_jornada)</f>
        <v/>
      </c>
      <c r="J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11">
        <f>IF($A175="","",DATE(VALUE(LEFT($A175,4)),1,4)-WEEKDAY(DATE(VALUE(LEFT($A175,4)),1,4),2)+1+(VALUE(MID($A175,7,2))-1)*7+MATCH($B175,lista_dias,0)-1)</f>
        <v/>
      </c>
      <c r="I175" s="3">
        <f>IF(OR($F175="",ISNUMBER(MATCH($F175,lista_no_disponible,0)),(IFERROR(INDEX('CALENDARIO'!$C$15:$C$214,MATCH(TEXT($H175,"yyyy-mm-dd")&amp;"|"&amp;$D175&amp;"|"&amp;"",'CALENDARIO'!$G$15:$G$214,0)),IFERROR(INDEX('CALENDARIO'!$C$15:$C$214,MATCH(TEXT($H175,"yyyy-mm-dd")&amp;"|"&amp;$D175&amp;"|",'CALENDARIO'!$G$15:$G$214,0)),IFERROR(INDEX('CALENDARIO'!$C$15:$C$214,MATCH(TEXT($H175,"yyyy-mm-dd")&amp;"||",'CALENDARIO'!$G$15:$G$214,0)),INDEX(patronHabil,WEEKDAY($H175,2))))))&lt;&gt;"sí"),0,p_horas_jornada)</f>
        <v/>
      </c>
      <c r="J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11">
        <f>IF($A176="","",DATE(VALUE(LEFT($A176,4)),1,4)-WEEKDAY(DATE(VALUE(LEFT($A176,4)),1,4),2)+1+(VALUE(MID($A176,7,2))-1)*7+MATCH($B176,lista_dias,0)-1)</f>
        <v/>
      </c>
      <c r="I176" s="3">
        <f>IF(OR($F176="",ISNUMBER(MATCH($F176,lista_no_disponible,0)),(IFERROR(INDEX('CALENDARIO'!$C$15:$C$214,MATCH(TEXT($H176,"yyyy-mm-dd")&amp;"|"&amp;$D176&amp;"|"&amp;"",'CALENDARIO'!$G$15:$G$214,0)),IFERROR(INDEX('CALENDARIO'!$C$15:$C$214,MATCH(TEXT($H176,"yyyy-mm-dd")&amp;"|"&amp;$D176&amp;"|",'CALENDARIO'!$G$15:$G$214,0)),IFERROR(INDEX('CALENDARIO'!$C$15:$C$214,MATCH(TEXT($H176,"yyyy-mm-dd")&amp;"||",'CALENDARIO'!$G$15:$G$214,0)),INDEX(patronHabil,WEEKDAY($H176,2))))))&lt;&gt;"sí"),0,p_horas_jornada)</f>
        <v/>
      </c>
      <c r="J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>
        <is>
          <t>T1</t>
        </is>
      </c>
      <c r="G177" s="3">
        <f>IFERROR(INDEX('TECNICOS'!$E$4:$E$15,MATCH($C177,'TECNICOS'!$B$4:$B$15,0)),"")</f>
        <v/>
      </c>
      <c r="H177" s="11">
        <f>IF($A177="","",DATE(VALUE(LEFT($A177,4)),1,4)-WEEKDAY(DATE(VALUE(LEFT($A177,4)),1,4),2)+1+(VALUE(MID($A177,7,2))-1)*7+MATCH($B177,lista_dias,0)-1)</f>
        <v/>
      </c>
      <c r="I177" s="3">
        <f>IF(OR($F177="",ISNUMBER(MATCH($F177,lista_no_disponible,0)),(IFERROR(INDEX('CALENDARIO'!$C$15:$C$214,MATCH(TEXT($H177,"yyyy-mm-dd")&amp;"|"&amp;$D177&amp;"|"&amp;"",'CALENDARIO'!$G$15:$G$214,0)),IFERROR(INDEX('CALENDARIO'!$C$15:$C$214,MATCH(TEXT($H177,"yyyy-mm-dd")&amp;"|"&amp;$D177&amp;"|",'CALENDARIO'!$G$15:$G$214,0)),IFERROR(INDEX('CALENDARIO'!$C$15:$C$214,MATCH(TEXT($H177,"yyyy-mm-dd")&amp;"||",'CALENDARIO'!$G$15:$G$214,0)),INDEX(patronHabil,WEEKDAY($H177,2))))))&lt;&gt;"sí"),0,p_horas_jornada)</f>
        <v/>
      </c>
      <c r="J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11">
        <f>IF($A178="","",DATE(VALUE(LEFT($A178,4)),1,4)-WEEKDAY(DATE(VALUE(LEFT($A178,4)),1,4),2)+1+(VALUE(MID($A178,7,2))-1)*7+MATCH($B178,lista_dias,0)-1)</f>
        <v/>
      </c>
      <c r="I178" s="3">
        <f>IF(OR($F178="",ISNUMBER(MATCH($F178,lista_no_disponible,0)),(IFERROR(INDEX('CALENDARIO'!$C$15:$C$214,MATCH(TEXT($H178,"yyyy-mm-dd")&amp;"|"&amp;$D178&amp;"|"&amp;"",'CALENDARIO'!$G$15:$G$214,0)),IFERROR(INDEX('CALENDARIO'!$C$15:$C$214,MATCH(TEXT($H178,"yyyy-mm-dd")&amp;"|"&amp;$D178&amp;"|",'CALENDARIO'!$G$15:$G$214,0)),IFERROR(INDEX('CALENDARIO'!$C$15:$C$214,MATCH(TEXT($H178,"yyyy-mm-dd")&amp;"||",'CALENDARIO'!$G$15:$G$214,0)),INDEX(patronHabil,WEEKDAY($H178,2))))))&lt;&gt;"sí"),0,p_horas_jornada)</f>
        <v/>
      </c>
      <c r="J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11">
        <f>IF($A179="","",DATE(VALUE(LEFT($A179,4)),1,4)-WEEKDAY(DATE(VALUE(LEFT($A179,4)),1,4),2)+1+(VALUE(MID($A179,7,2))-1)*7+MATCH($B179,lista_dias,0)-1)</f>
        <v/>
      </c>
      <c r="I179" s="3">
        <f>IF(OR($F179="",ISNUMBER(MATCH($F179,lista_no_disponible,0)),(IFERROR(INDEX('CALENDARIO'!$C$15:$C$214,MATCH(TEXT($H179,"yyyy-mm-dd")&amp;"|"&amp;$D179&amp;"|"&amp;"",'CALENDARIO'!$G$15:$G$214,0)),IFERROR(INDEX('CALENDARIO'!$C$15:$C$214,MATCH(TEXT($H179,"yyyy-mm-dd")&amp;"|"&amp;$D179&amp;"|",'CALENDARIO'!$G$15:$G$214,0)),IFERROR(INDEX('CALENDARIO'!$C$15:$C$214,MATCH(TEXT($H179,"yyyy-mm-dd")&amp;"||",'CALENDARIO'!$G$15:$G$214,0)),INDEX(patronHabil,WEEKDAY($H179,2))))))&lt;&gt;"sí"),0,p_horas_jornada)</f>
        <v/>
      </c>
      <c r="J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11">
        <f>IF($A180="","",DATE(VALUE(LEFT($A180,4)),1,4)-WEEKDAY(DATE(VALUE(LEFT($A180,4)),1,4),2)+1+(VALUE(MID($A180,7,2))-1)*7+MATCH($B180,lista_dias,0)-1)</f>
        <v/>
      </c>
      <c r="I180" s="3">
        <f>IF(OR($F180="",ISNUMBER(MATCH($F180,lista_no_disponible,0)),(IFERROR(INDEX('CALENDARIO'!$C$15:$C$214,MATCH(TEXT($H180,"yyyy-mm-dd")&amp;"|"&amp;$D180&amp;"|"&amp;"",'CALENDARIO'!$G$15:$G$214,0)),IFERROR(INDEX('CALENDARIO'!$C$15:$C$214,MATCH(TEXT($H180,"yyyy-mm-dd")&amp;"|"&amp;$D180&amp;"|",'CALENDARIO'!$G$15:$G$214,0)),IFERROR(INDEX('CALENDARIO'!$C$15:$C$214,MATCH(TEXT($H180,"yyyy-mm-dd")&amp;"||",'CALENDARIO'!$G$15:$G$214,0)),INDEX(patronHabil,WEEKDAY($H180,2))))))&lt;&gt;"sí"),0,p_horas_jornada)</f>
        <v/>
      </c>
      <c r="J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11">
        <f>IF($A181="","",DATE(VALUE(LEFT($A181,4)),1,4)-WEEKDAY(DATE(VALUE(LEFT($A181,4)),1,4),2)+1+(VALUE(MID($A181,7,2))-1)*7+MATCH($B181,lista_dias,0)-1)</f>
        <v/>
      </c>
      <c r="I181" s="3">
        <f>IF(OR($F181="",ISNUMBER(MATCH($F181,lista_no_disponible,0)),(IFERROR(INDEX('CALENDARIO'!$C$15:$C$214,MATCH(TEXT($H181,"yyyy-mm-dd")&amp;"|"&amp;$D181&amp;"|"&amp;"",'CALENDARIO'!$G$15:$G$214,0)),IFERROR(INDEX('CALENDARIO'!$C$15:$C$214,MATCH(TEXT($H181,"yyyy-mm-dd")&amp;"|"&amp;$D181&amp;"|",'CALENDARIO'!$G$15:$G$214,0)),IFERROR(INDEX('CALENDARIO'!$C$15:$C$214,MATCH(TEXT($H181,"yyyy-mm-dd")&amp;"||",'CALENDARIO'!$G$15:$G$214,0)),INDEX(patronHabil,WEEKDAY($H181,2))))))&lt;&gt;"sí"),0,p_horas_jornada)</f>
        <v/>
      </c>
      <c r="J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11">
        <f>IF($A182="","",DATE(VALUE(LEFT($A182,4)),1,4)-WEEKDAY(DATE(VALUE(LEFT($A182,4)),1,4),2)+1+(VALUE(MID($A182,7,2))-1)*7+MATCH($B182,lista_dias,0)-1)</f>
        <v/>
      </c>
      <c r="I182" s="3">
        <f>IF(OR($F182="",ISNUMBER(MATCH($F182,lista_no_disponible,0)),(IFERROR(INDEX('CALENDARIO'!$C$15:$C$214,MATCH(TEXT($H182,"yyyy-mm-dd")&amp;"|"&amp;$D182&amp;"|"&amp;"",'CALENDARIO'!$G$15:$G$214,0)),IFERROR(INDEX('CALENDARIO'!$C$15:$C$214,MATCH(TEXT($H182,"yyyy-mm-dd")&amp;"|"&amp;$D182&amp;"|",'CALENDARIO'!$G$15:$G$214,0)),IFERROR(INDEX('CALENDARIO'!$C$15:$C$214,MATCH(TEXT($H182,"yyyy-mm-dd")&amp;"||",'CALENDARIO'!$G$15:$G$214,0)),INDEX(patronHabil,WEEKDAY($H182,2))))))&lt;&gt;"sí"),0,p_horas_jornada)</f>
        <v/>
      </c>
      <c r="J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11">
        <f>IF($A183="","",DATE(VALUE(LEFT($A183,4)),1,4)-WEEKDAY(DATE(VALUE(LEFT($A183,4)),1,4),2)+1+(VALUE(MID($A183,7,2))-1)*7+MATCH($B183,lista_dias,0)-1)</f>
        <v/>
      </c>
      <c r="I183" s="3">
        <f>IF(OR($F183="",ISNUMBER(MATCH($F183,lista_no_disponible,0)),(IFERROR(INDEX('CALENDARIO'!$C$15:$C$214,MATCH(TEXT($H183,"yyyy-mm-dd")&amp;"|"&amp;$D183&amp;"|"&amp;"",'CALENDARIO'!$G$15:$G$214,0)),IFERROR(INDEX('CALENDARIO'!$C$15:$C$214,MATCH(TEXT($H183,"yyyy-mm-dd")&amp;"|"&amp;$D183&amp;"|",'CALENDARIO'!$G$15:$G$214,0)),IFERROR(INDEX('CALENDARIO'!$C$15:$C$214,MATCH(TEXT($H183,"yyyy-mm-dd")&amp;"||",'CALENDARIO'!$G$15:$G$214,0)),INDEX(patronHabil,WEEKDAY($H183,2))))))&lt;&gt;"sí"),0,p_horas_jornada)</f>
        <v/>
      </c>
      <c r="J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>
        <is>
          <t>T2</t>
        </is>
      </c>
      <c r="G184" s="3">
        <f>IFERROR(INDEX('TECNICOS'!$E$4:$E$15,MATCH($C184,'TECNICOS'!$B$4:$B$15,0)),"")</f>
        <v/>
      </c>
      <c r="H184" s="11">
        <f>IF($A184="","",DATE(VALUE(LEFT($A184,4)),1,4)-WEEKDAY(DATE(VALUE(LEFT($A184,4)),1,4),2)+1+(VALUE(MID($A184,7,2))-1)*7+MATCH($B184,lista_dias,0)-1)</f>
        <v/>
      </c>
      <c r="I184" s="3">
        <f>IF(OR($F184="",ISNUMBER(MATCH($F184,lista_no_disponible,0)),(IFERROR(INDEX('CALENDARIO'!$C$15:$C$214,MATCH(TEXT($H184,"yyyy-mm-dd")&amp;"|"&amp;$D184&amp;"|"&amp;"",'CALENDARIO'!$G$15:$G$214,0)),IFERROR(INDEX('CALENDARIO'!$C$15:$C$214,MATCH(TEXT($H184,"yyyy-mm-dd")&amp;"|"&amp;$D184&amp;"|",'CALENDARIO'!$G$15:$G$214,0)),IFERROR(INDEX('CALENDARIO'!$C$15:$C$214,MATCH(TEXT($H184,"yyyy-mm-dd")&amp;"||",'CALENDARIO'!$G$15:$G$214,0)),INDEX(patronHabil,WEEKDAY($H184,2))))))&lt;&gt;"sí"),0,p_horas_jornada)</f>
        <v/>
      </c>
      <c r="J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11">
        <f>IF($A185="","",DATE(VALUE(LEFT($A185,4)),1,4)-WEEKDAY(DATE(VALUE(LEFT($A185,4)),1,4),2)+1+(VALUE(MID($A185,7,2))-1)*7+MATCH($B185,lista_dias,0)-1)</f>
        <v/>
      </c>
      <c r="I185" s="3">
        <f>IF(OR($F185="",ISNUMBER(MATCH($F185,lista_no_disponible,0)),(IFERROR(INDEX('CALENDARIO'!$C$15:$C$214,MATCH(TEXT($H185,"yyyy-mm-dd")&amp;"|"&amp;$D185&amp;"|"&amp;"",'CALENDARIO'!$G$15:$G$214,0)),IFERROR(INDEX('CALENDARIO'!$C$15:$C$214,MATCH(TEXT($H185,"yyyy-mm-dd")&amp;"|"&amp;$D185&amp;"|",'CALENDARIO'!$G$15:$G$214,0)),IFERROR(INDEX('CALENDARIO'!$C$15:$C$214,MATCH(TEXT($H185,"yyyy-mm-dd")&amp;"||",'CALENDARIO'!$G$15:$G$214,0)),INDEX(patronHabil,WEEKDAY($H185,2))))))&lt;&gt;"sí"),0,p_horas_jornada)</f>
        <v/>
      </c>
      <c r="J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11">
        <f>IF($A186="","",DATE(VALUE(LEFT($A186,4)),1,4)-WEEKDAY(DATE(VALUE(LEFT($A186,4)),1,4),2)+1+(VALUE(MID($A186,7,2))-1)*7+MATCH($B186,lista_dias,0)-1)</f>
        <v/>
      </c>
      <c r="I186" s="3">
        <f>IF(OR($F186="",ISNUMBER(MATCH($F186,lista_no_disponible,0)),(IFERROR(INDEX('CALENDARIO'!$C$15:$C$214,MATCH(TEXT($H186,"yyyy-mm-dd")&amp;"|"&amp;$D186&amp;"|"&amp;"",'CALENDARIO'!$G$15:$G$214,0)),IFERROR(INDEX('CALENDARIO'!$C$15:$C$214,MATCH(TEXT($H186,"yyyy-mm-dd")&amp;"|"&amp;$D186&amp;"|",'CALENDARIO'!$G$15:$G$214,0)),IFERROR(INDEX('CALENDARIO'!$C$15:$C$214,MATCH(TEXT($H186,"yyyy-mm-dd")&amp;"||",'CALENDARIO'!$G$15:$G$214,0)),INDEX(patronHabil,WEEKDAY($H186,2))))))&lt;&gt;"sí"),0,p_horas_jornada)</f>
        <v/>
      </c>
      <c r="J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11">
        <f>IF($A187="","",DATE(VALUE(LEFT($A187,4)),1,4)-WEEKDAY(DATE(VALUE(LEFT($A187,4)),1,4),2)+1+(VALUE(MID($A187,7,2))-1)*7+MATCH($B187,lista_dias,0)-1)</f>
        <v/>
      </c>
      <c r="I187" s="3">
        <f>IF(OR($F187="",ISNUMBER(MATCH($F187,lista_no_disponible,0)),(IFERROR(INDEX('CALENDARIO'!$C$15:$C$214,MATCH(TEXT($H187,"yyyy-mm-dd")&amp;"|"&amp;$D187&amp;"|"&amp;"",'CALENDARIO'!$G$15:$G$214,0)),IFERROR(INDEX('CALENDARIO'!$C$15:$C$214,MATCH(TEXT($H187,"yyyy-mm-dd")&amp;"|"&amp;$D187&amp;"|",'CALENDARIO'!$G$15:$G$214,0)),IFERROR(INDEX('CALENDARIO'!$C$15:$C$214,MATCH(TEXT($H187,"yyyy-mm-dd")&amp;"||",'CALENDARIO'!$G$15:$G$214,0)),INDEX(patronHabil,WEEKDAY($H187,2))))))&lt;&gt;"sí"),0,p_horas_jornada)</f>
        <v/>
      </c>
      <c r="J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11">
        <f>IF($A188="","",DATE(VALUE(LEFT($A188,4)),1,4)-WEEKDAY(DATE(VALUE(LEFT($A188,4)),1,4),2)+1+(VALUE(MID($A188,7,2))-1)*7+MATCH($B188,lista_dias,0)-1)</f>
        <v/>
      </c>
      <c r="I188" s="3">
        <f>IF(OR($F188="",ISNUMBER(MATCH($F188,lista_no_disponible,0)),(IFERROR(INDEX('CALENDARIO'!$C$15:$C$214,MATCH(TEXT($H188,"yyyy-mm-dd")&amp;"|"&amp;$D188&amp;"|"&amp;"",'CALENDARIO'!$G$15:$G$214,0)),IFERROR(INDEX('CALENDARIO'!$C$15:$C$214,MATCH(TEXT($H188,"yyyy-mm-dd")&amp;"|"&amp;$D188&amp;"|",'CALENDARIO'!$G$15:$G$214,0)),IFERROR(INDEX('CALENDARIO'!$C$15:$C$214,MATCH(TEXT($H188,"yyyy-mm-dd")&amp;"||",'CALENDARIO'!$G$15:$G$214,0)),INDEX(patronHabil,WEEKDAY($H188,2))))))&lt;&gt;"sí"),0,p_horas_jornada)</f>
        <v/>
      </c>
      <c r="J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11">
        <f>IF($A189="","",DATE(VALUE(LEFT($A189,4)),1,4)-WEEKDAY(DATE(VALUE(LEFT($A189,4)),1,4),2)+1+(VALUE(MID($A189,7,2))-1)*7+MATCH($B189,lista_dias,0)-1)</f>
        <v/>
      </c>
      <c r="I189" s="3">
        <f>IF(OR($F189="",ISNUMBER(MATCH($F189,lista_no_disponible,0)),(IFERROR(INDEX('CALENDARIO'!$C$15:$C$214,MATCH(TEXT($H189,"yyyy-mm-dd")&amp;"|"&amp;$D189&amp;"|"&amp;"",'CALENDARIO'!$G$15:$G$214,0)),IFERROR(INDEX('CALENDARIO'!$C$15:$C$214,MATCH(TEXT($H189,"yyyy-mm-dd")&amp;"|"&amp;$D189&amp;"|",'CALENDARIO'!$G$15:$G$214,0)),IFERROR(INDEX('CALENDARIO'!$C$15:$C$214,MATCH(TEXT($H189,"yyyy-mm-dd")&amp;"||",'CALENDARIO'!$G$15:$G$214,0)),INDEX(patronHabil,WEEKDAY($H189,2))))))&lt;&gt;"sí"),0,p_horas_jornada)</f>
        <v/>
      </c>
      <c r="J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11">
        <f>IF($A190="","",DATE(VALUE(LEFT($A190,4)),1,4)-WEEKDAY(DATE(VALUE(LEFT($A190,4)),1,4),2)+1+(VALUE(MID($A190,7,2))-1)*7+MATCH($B190,lista_dias,0)-1)</f>
        <v/>
      </c>
      <c r="I190" s="3">
        <f>IF(OR($F190="",ISNUMBER(MATCH($F190,lista_no_disponible,0)),(IFERROR(INDEX('CALENDARIO'!$C$15:$C$214,MATCH(TEXT($H190,"yyyy-mm-dd")&amp;"|"&amp;$D190&amp;"|"&amp;"",'CALENDARIO'!$G$15:$G$214,0)),IFERROR(INDEX('CALENDARIO'!$C$15:$C$214,MATCH(TEXT($H190,"yyyy-mm-dd")&amp;"|"&amp;$D190&amp;"|",'CALENDARIO'!$G$15:$G$214,0)),IFERROR(INDEX('CALENDARIO'!$C$15:$C$214,MATCH(TEXT($H190,"yyyy-mm-dd")&amp;"||",'CALENDARIO'!$G$15:$G$214,0)),INDEX(patronHabil,WEEKDAY($H190,2))))))&lt;&gt;"sí"),0,p_horas_jornada)</f>
        <v/>
      </c>
      <c r="J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>
        <is>
          <t>T1</t>
        </is>
      </c>
      <c r="G191" s="3">
        <f>IFERROR(INDEX('TECNICOS'!$E$4:$E$15,MATCH($C191,'TECNICOS'!$B$4:$B$15,0)),"")</f>
        <v/>
      </c>
      <c r="H191" s="11">
        <f>IF($A191="","",DATE(VALUE(LEFT($A191,4)),1,4)-WEEKDAY(DATE(VALUE(LEFT($A191,4)),1,4),2)+1+(VALUE(MID($A191,7,2))-1)*7+MATCH($B191,lista_dias,0)-1)</f>
        <v/>
      </c>
      <c r="I191" s="3">
        <f>IF(OR($F191="",ISNUMBER(MATCH($F191,lista_no_disponible,0)),(IFERROR(INDEX('CALENDARIO'!$C$15:$C$214,MATCH(TEXT($H191,"yyyy-mm-dd")&amp;"|"&amp;$D191&amp;"|"&amp;"",'CALENDARIO'!$G$15:$G$214,0)),IFERROR(INDEX('CALENDARIO'!$C$15:$C$214,MATCH(TEXT($H191,"yyyy-mm-dd")&amp;"|"&amp;$D191&amp;"|",'CALENDARIO'!$G$15:$G$214,0)),IFERROR(INDEX('CALENDARIO'!$C$15:$C$214,MATCH(TEXT($H191,"yyyy-mm-dd")&amp;"||",'CALENDARIO'!$G$15:$G$214,0)),INDEX(patronHabil,WEEKDAY($H191,2))))))&lt;&gt;"sí"),0,p_horas_jornada)</f>
        <v/>
      </c>
      <c r="J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11">
        <f>IF($A192="","",DATE(VALUE(LEFT($A192,4)),1,4)-WEEKDAY(DATE(VALUE(LEFT($A192,4)),1,4),2)+1+(VALUE(MID($A192,7,2))-1)*7+MATCH($B192,lista_dias,0)-1)</f>
        <v/>
      </c>
      <c r="I192" s="3">
        <f>IF(OR($F192="",ISNUMBER(MATCH($F192,lista_no_disponible,0)),(IFERROR(INDEX('CALENDARIO'!$C$15:$C$214,MATCH(TEXT($H192,"yyyy-mm-dd")&amp;"|"&amp;$D192&amp;"|"&amp;"",'CALENDARIO'!$G$15:$G$214,0)),IFERROR(INDEX('CALENDARIO'!$C$15:$C$214,MATCH(TEXT($H192,"yyyy-mm-dd")&amp;"|"&amp;$D192&amp;"|",'CALENDARIO'!$G$15:$G$214,0)),IFERROR(INDEX('CALENDARIO'!$C$15:$C$214,MATCH(TEXT($H192,"yyyy-mm-dd")&amp;"||",'CALENDARIO'!$G$15:$G$214,0)),INDEX(patronHabil,WEEKDAY($H192,2))))))&lt;&gt;"sí"),0,p_horas_jornada)</f>
        <v/>
      </c>
      <c r="J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11">
        <f>IF($A193="","",DATE(VALUE(LEFT($A193,4)),1,4)-WEEKDAY(DATE(VALUE(LEFT($A193,4)),1,4),2)+1+(VALUE(MID($A193,7,2))-1)*7+MATCH($B193,lista_dias,0)-1)</f>
        <v/>
      </c>
      <c r="I193" s="3">
        <f>IF(OR($F193="",ISNUMBER(MATCH($F193,lista_no_disponible,0)),(IFERROR(INDEX('CALENDARIO'!$C$15:$C$214,MATCH(TEXT($H193,"yyyy-mm-dd")&amp;"|"&amp;$D193&amp;"|"&amp;"",'CALENDARIO'!$G$15:$G$214,0)),IFERROR(INDEX('CALENDARIO'!$C$15:$C$214,MATCH(TEXT($H193,"yyyy-mm-dd")&amp;"|"&amp;$D193&amp;"|",'CALENDARIO'!$G$15:$G$214,0)),IFERROR(INDEX('CALENDARIO'!$C$15:$C$214,MATCH(TEXT($H193,"yyyy-mm-dd")&amp;"||",'CALENDARIO'!$G$15:$G$214,0)),INDEX(patronHabil,WEEKDAY($H193,2))))))&lt;&gt;"sí"),0,p_horas_jornada)</f>
        <v/>
      </c>
      <c r="J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11">
        <f>IF($A194="","",DATE(VALUE(LEFT($A194,4)),1,4)-WEEKDAY(DATE(VALUE(LEFT($A194,4)),1,4),2)+1+(VALUE(MID($A194,7,2))-1)*7+MATCH($B194,lista_dias,0)-1)</f>
        <v/>
      </c>
      <c r="I194" s="3">
        <f>IF(OR($F194="",ISNUMBER(MATCH($F194,lista_no_disponible,0)),(IFERROR(INDEX('CALENDARIO'!$C$15:$C$214,MATCH(TEXT($H194,"yyyy-mm-dd")&amp;"|"&amp;$D194&amp;"|"&amp;"",'CALENDARIO'!$G$15:$G$214,0)),IFERROR(INDEX('CALENDARIO'!$C$15:$C$214,MATCH(TEXT($H194,"yyyy-mm-dd")&amp;"|"&amp;$D194&amp;"|",'CALENDARIO'!$G$15:$G$214,0)),IFERROR(INDEX('CALENDARIO'!$C$15:$C$214,MATCH(TEXT($H194,"yyyy-mm-dd")&amp;"||",'CALENDARIO'!$G$15:$G$214,0)),INDEX(patronHabil,WEEKDAY($H194,2))))))&lt;&gt;"sí"),0,p_horas_jornada)</f>
        <v/>
      </c>
      <c r="J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11">
        <f>IF($A195="","",DATE(VALUE(LEFT($A195,4)),1,4)-WEEKDAY(DATE(VALUE(LEFT($A195,4)),1,4),2)+1+(VALUE(MID($A195,7,2))-1)*7+MATCH($B195,lista_dias,0)-1)</f>
        <v/>
      </c>
      <c r="I195" s="3">
        <f>IF(OR($F195="",ISNUMBER(MATCH($F195,lista_no_disponible,0)),(IFERROR(INDEX('CALENDARIO'!$C$15:$C$214,MATCH(TEXT($H195,"yyyy-mm-dd")&amp;"|"&amp;$D195&amp;"|"&amp;"",'CALENDARIO'!$G$15:$G$214,0)),IFERROR(INDEX('CALENDARIO'!$C$15:$C$214,MATCH(TEXT($H195,"yyyy-mm-dd")&amp;"|"&amp;$D195&amp;"|",'CALENDARIO'!$G$15:$G$214,0)),IFERROR(INDEX('CALENDARIO'!$C$15:$C$214,MATCH(TEXT($H195,"yyyy-mm-dd")&amp;"||",'CALENDARIO'!$G$15:$G$214,0)),INDEX(patronHabil,WEEKDAY($H195,2))))))&lt;&gt;"sí"),0,p_horas_jornada)</f>
        <v/>
      </c>
      <c r="J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11">
        <f>IF($A196="","",DATE(VALUE(LEFT($A196,4)),1,4)-WEEKDAY(DATE(VALUE(LEFT($A196,4)),1,4),2)+1+(VALUE(MID($A196,7,2))-1)*7+MATCH($B196,lista_dias,0)-1)</f>
        <v/>
      </c>
      <c r="I196" s="3">
        <f>IF(OR($F196="",ISNUMBER(MATCH($F196,lista_no_disponible,0)),(IFERROR(INDEX('CALENDARIO'!$C$15:$C$214,MATCH(TEXT($H196,"yyyy-mm-dd")&amp;"|"&amp;$D196&amp;"|"&amp;"",'CALENDARIO'!$G$15:$G$214,0)),IFERROR(INDEX('CALENDARIO'!$C$15:$C$214,MATCH(TEXT($H196,"yyyy-mm-dd")&amp;"|"&amp;$D196&amp;"|",'CALENDARIO'!$G$15:$G$214,0)),IFERROR(INDEX('CALENDARIO'!$C$15:$C$214,MATCH(TEXT($H196,"yyyy-mm-dd")&amp;"||",'CALENDARIO'!$G$15:$G$214,0)),INDEX(patronHabil,WEEKDAY($H196,2))))))&lt;&gt;"sí"),0,p_horas_jornada)</f>
        <v/>
      </c>
      <c r="J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11">
        <f>IF($A197="","",DATE(VALUE(LEFT($A197,4)),1,4)-WEEKDAY(DATE(VALUE(LEFT($A197,4)),1,4),2)+1+(VALUE(MID($A197,7,2))-1)*7+MATCH($B197,lista_dias,0)-1)</f>
        <v/>
      </c>
      <c r="I197" s="3">
        <f>IF(OR($F197="",ISNUMBER(MATCH($F197,lista_no_disponible,0)),(IFERROR(INDEX('CALENDARIO'!$C$15:$C$214,MATCH(TEXT($H197,"yyyy-mm-dd")&amp;"|"&amp;$D197&amp;"|"&amp;"",'CALENDARIO'!$G$15:$G$214,0)),IFERROR(INDEX('CALENDARIO'!$C$15:$C$214,MATCH(TEXT($H197,"yyyy-mm-dd")&amp;"|"&amp;$D197&amp;"|",'CALENDARIO'!$G$15:$G$214,0)),IFERROR(INDEX('CALENDARIO'!$C$15:$C$214,MATCH(TEXT($H197,"yyyy-mm-dd")&amp;"||",'CALENDARIO'!$G$15:$G$214,0)),INDEX(patronHabil,WEEKDAY($H197,2))))))&lt;&gt;"sí"),0,p_horas_jornada)</f>
        <v/>
      </c>
      <c r="J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>
        <is>
          <t>VAC</t>
        </is>
      </c>
      <c r="G198" s="3">
        <f>IFERROR(INDEX('TECNICOS'!$E$4:$E$15,MATCH($C198,'TECNICOS'!$B$4:$B$15,0)),"")</f>
        <v/>
      </c>
      <c r="H198" s="11">
        <f>IF($A198="","",DATE(VALUE(LEFT($A198,4)),1,4)-WEEKDAY(DATE(VALUE(LEFT($A198,4)),1,4),2)+1+(VALUE(MID($A198,7,2))-1)*7+MATCH($B198,lista_dias,0)-1)</f>
        <v/>
      </c>
      <c r="I198" s="3">
        <f>IF(OR($F198="",ISNUMBER(MATCH($F198,lista_no_disponible,0)),(IFERROR(INDEX('CALENDARIO'!$C$15:$C$214,MATCH(TEXT($H198,"yyyy-mm-dd")&amp;"|"&amp;$D198&amp;"|"&amp;"",'CALENDARIO'!$G$15:$G$214,0)),IFERROR(INDEX('CALENDARIO'!$C$15:$C$214,MATCH(TEXT($H198,"yyyy-mm-dd")&amp;"|"&amp;$D198&amp;"|",'CALENDARIO'!$G$15:$G$214,0)),IFERROR(INDEX('CALENDARIO'!$C$15:$C$214,MATCH(TEXT($H198,"yyyy-mm-dd")&amp;"||",'CALENDARIO'!$G$15:$G$214,0)),INDEX(patronHabil,WEEKDAY($H198,2))))))&lt;&gt;"sí"),0,p_horas_jornada)</f>
        <v/>
      </c>
      <c r="J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11">
        <f>IF($A199="","",DATE(VALUE(LEFT($A199,4)),1,4)-WEEKDAY(DATE(VALUE(LEFT($A199,4)),1,4),2)+1+(VALUE(MID($A199,7,2))-1)*7+MATCH($B199,lista_dias,0)-1)</f>
        <v/>
      </c>
      <c r="I199" s="3">
        <f>IF(OR($F199="",ISNUMBER(MATCH($F199,lista_no_disponible,0)),(IFERROR(INDEX('CALENDARIO'!$C$15:$C$214,MATCH(TEXT($H199,"yyyy-mm-dd")&amp;"|"&amp;$D199&amp;"|"&amp;"",'CALENDARIO'!$G$15:$G$214,0)),IFERROR(INDEX('CALENDARIO'!$C$15:$C$214,MATCH(TEXT($H199,"yyyy-mm-dd")&amp;"|"&amp;$D199&amp;"|",'CALENDARIO'!$G$15:$G$214,0)),IFERROR(INDEX('CALENDARIO'!$C$15:$C$214,MATCH(TEXT($H199,"yyyy-mm-dd")&amp;"||",'CALENDARIO'!$G$15:$G$214,0)),INDEX(patronHabil,WEEKDAY($H199,2))))))&lt;&gt;"sí"),0,p_horas_jornada)</f>
        <v/>
      </c>
      <c r="J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11">
        <f>IF($A200="","",DATE(VALUE(LEFT($A200,4)),1,4)-WEEKDAY(DATE(VALUE(LEFT($A200,4)),1,4),2)+1+(VALUE(MID($A200,7,2))-1)*7+MATCH($B200,lista_dias,0)-1)</f>
        <v/>
      </c>
      <c r="I200" s="3">
        <f>IF(OR($F200="",ISNUMBER(MATCH($F200,lista_no_disponible,0)),(IFERROR(INDEX('CALENDARIO'!$C$15:$C$214,MATCH(TEXT($H200,"yyyy-mm-dd")&amp;"|"&amp;$D200&amp;"|"&amp;"",'CALENDARIO'!$G$15:$G$214,0)),IFERROR(INDEX('CALENDARIO'!$C$15:$C$214,MATCH(TEXT($H200,"yyyy-mm-dd")&amp;"|"&amp;$D200&amp;"|",'CALENDARIO'!$G$15:$G$214,0)),IFERROR(INDEX('CALENDARIO'!$C$15:$C$214,MATCH(TEXT($H200,"yyyy-mm-dd")&amp;"||",'CALENDARIO'!$G$15:$G$214,0)),INDEX(patronHabil,WEEKDAY($H200,2))))))&lt;&gt;"sí"),0,p_horas_jornada)</f>
        <v/>
      </c>
      <c r="J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11">
        <f>IF($A201="","",DATE(VALUE(LEFT($A201,4)),1,4)-WEEKDAY(DATE(VALUE(LEFT($A201,4)),1,4),2)+1+(VALUE(MID($A201,7,2))-1)*7+MATCH($B201,lista_dias,0)-1)</f>
        <v/>
      </c>
      <c r="I201" s="3">
        <f>IF(OR($F201="",ISNUMBER(MATCH($F201,lista_no_disponible,0)),(IFERROR(INDEX('CALENDARIO'!$C$15:$C$214,MATCH(TEXT($H201,"yyyy-mm-dd")&amp;"|"&amp;$D201&amp;"|"&amp;"",'CALENDARIO'!$G$15:$G$214,0)),IFERROR(INDEX('CALENDARIO'!$C$15:$C$214,MATCH(TEXT($H201,"yyyy-mm-dd")&amp;"|"&amp;$D201&amp;"|",'CALENDARIO'!$G$15:$G$214,0)),IFERROR(INDEX('CALENDARIO'!$C$15:$C$214,MATCH(TEXT($H201,"yyyy-mm-dd")&amp;"||",'CALENDARIO'!$G$15:$G$214,0)),INDEX(patronHabil,WEEKDAY($H201,2))))))&lt;&gt;"sí"),0,p_horas_jornada)</f>
        <v/>
      </c>
      <c r="J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11">
        <f>IF($A202="","",DATE(VALUE(LEFT($A202,4)),1,4)-WEEKDAY(DATE(VALUE(LEFT($A202,4)),1,4),2)+1+(VALUE(MID($A202,7,2))-1)*7+MATCH($B202,lista_dias,0)-1)</f>
        <v/>
      </c>
      <c r="I202" s="3">
        <f>IF(OR($F202="",ISNUMBER(MATCH($F202,lista_no_disponible,0)),(IFERROR(INDEX('CALENDARIO'!$C$15:$C$214,MATCH(TEXT($H202,"yyyy-mm-dd")&amp;"|"&amp;$D202&amp;"|"&amp;"",'CALENDARIO'!$G$15:$G$214,0)),IFERROR(INDEX('CALENDARIO'!$C$15:$C$214,MATCH(TEXT($H202,"yyyy-mm-dd")&amp;"|"&amp;$D202&amp;"|",'CALENDARIO'!$G$15:$G$214,0)),IFERROR(INDEX('CALENDARIO'!$C$15:$C$214,MATCH(TEXT($H202,"yyyy-mm-dd")&amp;"||",'CALENDARIO'!$G$15:$G$214,0)),INDEX(patronHabil,WEEKDAY($H202,2))))))&lt;&gt;"sí"),0,p_horas_jornada)</f>
        <v/>
      </c>
      <c r="J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11">
        <f>IF($A203="","",DATE(VALUE(LEFT($A203,4)),1,4)-WEEKDAY(DATE(VALUE(LEFT($A203,4)),1,4),2)+1+(VALUE(MID($A203,7,2))-1)*7+MATCH($B203,lista_dias,0)-1)</f>
        <v/>
      </c>
      <c r="I203" s="3">
        <f>IF(OR($F203="",ISNUMBER(MATCH($F203,lista_no_disponible,0)),(IFERROR(INDEX('CALENDARIO'!$C$15:$C$214,MATCH(TEXT($H203,"yyyy-mm-dd")&amp;"|"&amp;$D203&amp;"|"&amp;"",'CALENDARIO'!$G$15:$G$214,0)),IFERROR(INDEX('CALENDARIO'!$C$15:$C$214,MATCH(TEXT($H203,"yyyy-mm-dd")&amp;"|"&amp;$D203&amp;"|",'CALENDARIO'!$G$15:$G$214,0)),IFERROR(INDEX('CALENDARIO'!$C$15:$C$214,MATCH(TEXT($H203,"yyyy-mm-dd")&amp;"||",'CALENDARIO'!$G$15:$G$214,0)),INDEX(patronHabil,WEEKDAY($H203,2))))))&lt;&gt;"sí"),0,p_horas_jornada)</f>
        <v/>
      </c>
      <c r="J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11">
        <f>IF($A204="","",DATE(VALUE(LEFT($A204,4)),1,4)-WEEKDAY(DATE(VALUE(LEFT($A204,4)),1,4),2)+1+(VALUE(MID($A204,7,2))-1)*7+MATCH($B204,lista_dias,0)-1)</f>
        <v/>
      </c>
      <c r="I204" s="3">
        <f>IF(OR($F204="",ISNUMBER(MATCH($F204,lista_no_disponible,0)),(IFERROR(INDEX('CALENDARIO'!$C$15:$C$214,MATCH(TEXT($H204,"yyyy-mm-dd")&amp;"|"&amp;$D204&amp;"|"&amp;"",'CALENDARIO'!$G$15:$G$214,0)),IFERROR(INDEX('CALENDARIO'!$C$15:$C$214,MATCH(TEXT($H204,"yyyy-mm-dd")&amp;"|"&amp;$D204&amp;"|",'CALENDARIO'!$G$15:$G$214,0)),IFERROR(INDEX('CALENDARIO'!$C$15:$C$214,MATCH(TEXT($H204,"yyyy-mm-dd")&amp;"||",'CALENDARIO'!$G$15:$G$214,0)),INDEX(patronHabil,WEEKDAY($H204,2))))))&lt;&gt;"sí"),0,p_horas_jornada)</f>
        <v/>
      </c>
      <c r="J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>
        <is>
          <t>T1</t>
        </is>
      </c>
      <c r="G205" s="3">
        <f>IFERROR(INDEX('TECNICOS'!$E$4:$E$15,MATCH($C205,'TECNICOS'!$B$4:$B$15,0)),"")</f>
        <v/>
      </c>
      <c r="H205" s="11">
        <f>IF($A205="","",DATE(VALUE(LEFT($A205,4)),1,4)-WEEKDAY(DATE(VALUE(LEFT($A205,4)),1,4),2)+1+(VALUE(MID($A205,7,2))-1)*7+MATCH($B205,lista_dias,0)-1)</f>
        <v/>
      </c>
      <c r="I205" s="3">
        <f>IF(OR($F205="",ISNUMBER(MATCH($F205,lista_no_disponible,0)),(IFERROR(INDEX('CALENDARIO'!$C$15:$C$214,MATCH(TEXT($H205,"yyyy-mm-dd")&amp;"|"&amp;$D205&amp;"|"&amp;"",'CALENDARIO'!$G$15:$G$214,0)),IFERROR(INDEX('CALENDARIO'!$C$15:$C$214,MATCH(TEXT($H205,"yyyy-mm-dd")&amp;"|"&amp;$D205&amp;"|",'CALENDARIO'!$G$15:$G$214,0)),IFERROR(INDEX('CALENDARIO'!$C$15:$C$214,MATCH(TEXT($H205,"yyyy-mm-dd")&amp;"||",'CALENDARIO'!$G$15:$G$214,0)),INDEX(patronHabil,WEEKDAY($H205,2))))))&lt;&gt;"sí"),0,p_horas_jornada)</f>
        <v/>
      </c>
      <c r="J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11">
        <f>IF($A206="","",DATE(VALUE(LEFT($A206,4)),1,4)-WEEKDAY(DATE(VALUE(LEFT($A206,4)),1,4),2)+1+(VALUE(MID($A206,7,2))-1)*7+MATCH($B206,lista_dias,0)-1)</f>
        <v/>
      </c>
      <c r="I206" s="3">
        <f>IF(OR($F206="",ISNUMBER(MATCH($F206,lista_no_disponible,0)),(IFERROR(INDEX('CALENDARIO'!$C$15:$C$214,MATCH(TEXT($H206,"yyyy-mm-dd")&amp;"|"&amp;$D206&amp;"|"&amp;"",'CALENDARIO'!$G$15:$G$214,0)),IFERROR(INDEX('CALENDARIO'!$C$15:$C$214,MATCH(TEXT($H206,"yyyy-mm-dd")&amp;"|"&amp;$D206&amp;"|",'CALENDARIO'!$G$15:$G$214,0)),IFERROR(INDEX('CALENDARIO'!$C$15:$C$214,MATCH(TEXT($H206,"yyyy-mm-dd")&amp;"||",'CALENDARIO'!$G$15:$G$214,0)),INDEX(patronHabil,WEEKDAY($H206,2))))))&lt;&gt;"sí"),0,p_horas_jornada)</f>
        <v/>
      </c>
      <c r="J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11">
        <f>IF($A207="","",DATE(VALUE(LEFT($A207,4)),1,4)-WEEKDAY(DATE(VALUE(LEFT($A207,4)),1,4),2)+1+(VALUE(MID($A207,7,2))-1)*7+MATCH($B207,lista_dias,0)-1)</f>
        <v/>
      </c>
      <c r="I207" s="3">
        <f>IF(OR($F207="",ISNUMBER(MATCH($F207,lista_no_disponible,0)),(IFERROR(INDEX('CALENDARIO'!$C$15:$C$214,MATCH(TEXT($H207,"yyyy-mm-dd")&amp;"|"&amp;$D207&amp;"|"&amp;"",'CALENDARIO'!$G$15:$G$214,0)),IFERROR(INDEX('CALENDARIO'!$C$15:$C$214,MATCH(TEXT($H207,"yyyy-mm-dd")&amp;"|"&amp;$D207&amp;"|",'CALENDARIO'!$G$15:$G$214,0)),IFERROR(INDEX('CALENDARIO'!$C$15:$C$214,MATCH(TEXT($H207,"yyyy-mm-dd")&amp;"||",'CALENDARIO'!$G$15:$G$214,0)),INDEX(patronHabil,WEEKDAY($H207,2))))))&lt;&gt;"sí"),0,p_horas_jornada)</f>
        <v/>
      </c>
      <c r="J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11">
        <f>IF($A208="","",DATE(VALUE(LEFT($A208,4)),1,4)-WEEKDAY(DATE(VALUE(LEFT($A208,4)),1,4),2)+1+(VALUE(MID($A208,7,2))-1)*7+MATCH($B208,lista_dias,0)-1)</f>
        <v/>
      </c>
      <c r="I208" s="3">
        <f>IF(OR($F208="",ISNUMBER(MATCH($F208,lista_no_disponible,0)),(IFERROR(INDEX('CALENDARIO'!$C$15:$C$214,MATCH(TEXT($H208,"yyyy-mm-dd")&amp;"|"&amp;$D208&amp;"|"&amp;"",'CALENDARIO'!$G$15:$G$214,0)),IFERROR(INDEX('CALENDARIO'!$C$15:$C$214,MATCH(TEXT($H208,"yyyy-mm-dd")&amp;"|"&amp;$D208&amp;"|",'CALENDARIO'!$G$15:$G$214,0)),IFERROR(INDEX('CALENDARIO'!$C$15:$C$214,MATCH(TEXT($H208,"yyyy-mm-dd")&amp;"||",'CALENDARIO'!$G$15:$G$214,0)),INDEX(patronHabil,WEEKDAY($H208,2))))))&lt;&gt;"sí"),0,p_horas_jornada)</f>
        <v/>
      </c>
      <c r="J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11">
        <f>IF($A209="","",DATE(VALUE(LEFT($A209,4)),1,4)-WEEKDAY(DATE(VALUE(LEFT($A209,4)),1,4),2)+1+(VALUE(MID($A209,7,2))-1)*7+MATCH($B209,lista_dias,0)-1)</f>
        <v/>
      </c>
      <c r="I209" s="3">
        <f>IF(OR($F209="",ISNUMBER(MATCH($F209,lista_no_disponible,0)),(IFERROR(INDEX('CALENDARIO'!$C$15:$C$214,MATCH(TEXT($H209,"yyyy-mm-dd")&amp;"|"&amp;$D209&amp;"|"&amp;"",'CALENDARIO'!$G$15:$G$214,0)),IFERROR(INDEX('CALENDARIO'!$C$15:$C$214,MATCH(TEXT($H209,"yyyy-mm-dd")&amp;"|"&amp;$D209&amp;"|",'CALENDARIO'!$G$15:$G$214,0)),IFERROR(INDEX('CALENDARIO'!$C$15:$C$214,MATCH(TEXT($H209,"yyyy-mm-dd")&amp;"||",'CALENDARIO'!$G$15:$G$214,0)),INDEX(patronHabil,WEEKDAY($H209,2))))))&lt;&gt;"sí"),0,p_horas_jornada)</f>
        <v/>
      </c>
      <c r="J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11">
        <f>IF($A210="","",DATE(VALUE(LEFT($A210,4)),1,4)-WEEKDAY(DATE(VALUE(LEFT($A210,4)),1,4),2)+1+(VALUE(MID($A210,7,2))-1)*7+MATCH($B210,lista_dias,0)-1)</f>
        <v/>
      </c>
      <c r="I210" s="3">
        <f>IF(OR($F210="",ISNUMBER(MATCH($F210,lista_no_disponible,0)),(IFERROR(INDEX('CALENDARIO'!$C$15:$C$214,MATCH(TEXT($H210,"yyyy-mm-dd")&amp;"|"&amp;$D210&amp;"|"&amp;"",'CALENDARIO'!$G$15:$G$214,0)),IFERROR(INDEX('CALENDARIO'!$C$15:$C$214,MATCH(TEXT($H210,"yyyy-mm-dd")&amp;"|"&amp;$D210&amp;"|",'CALENDARIO'!$G$15:$G$214,0)),IFERROR(INDEX('CALENDARIO'!$C$15:$C$214,MATCH(TEXT($H210,"yyyy-mm-dd")&amp;"||",'CALENDARIO'!$G$15:$G$214,0)),INDEX(patronHabil,WEEKDAY($H210,2))))))&lt;&gt;"sí"),0,p_horas_jornada)</f>
        <v/>
      </c>
      <c r="J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11">
        <f>IF($A211="","",DATE(VALUE(LEFT($A211,4)),1,4)-WEEKDAY(DATE(VALUE(LEFT($A211,4)),1,4),2)+1+(VALUE(MID($A211,7,2))-1)*7+MATCH($B211,lista_dias,0)-1)</f>
        <v/>
      </c>
      <c r="I211" s="3">
        <f>IF(OR($F211="",ISNUMBER(MATCH($F211,lista_no_disponible,0)),(IFERROR(INDEX('CALENDARIO'!$C$15:$C$214,MATCH(TEXT($H211,"yyyy-mm-dd")&amp;"|"&amp;$D211&amp;"|"&amp;"",'CALENDARIO'!$G$15:$G$214,0)),IFERROR(INDEX('CALENDARIO'!$C$15:$C$214,MATCH(TEXT($H211,"yyyy-mm-dd")&amp;"|"&amp;$D211&amp;"|",'CALENDARIO'!$G$15:$G$214,0)),IFERROR(INDEX('CALENDARIO'!$C$15:$C$214,MATCH(TEXT($H211,"yyyy-mm-dd")&amp;"||",'CALENDARIO'!$G$15:$G$214,0)),INDEX(patronHabil,WEEKDAY($H211,2))))))&lt;&gt;"sí"),0,p_horas_jornada)</f>
        <v/>
      </c>
      <c r="J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>
        <is>
          <t>T1</t>
        </is>
      </c>
      <c r="G212" s="3">
        <f>IFERROR(INDEX('TECNICOS'!$E$4:$E$15,MATCH($C212,'TECNICOS'!$B$4:$B$15,0)),"")</f>
        <v/>
      </c>
      <c r="H212" s="11">
        <f>IF($A212="","",DATE(VALUE(LEFT($A212,4)),1,4)-WEEKDAY(DATE(VALUE(LEFT($A212,4)),1,4),2)+1+(VALUE(MID($A212,7,2))-1)*7+MATCH($B212,lista_dias,0)-1)</f>
        <v/>
      </c>
      <c r="I212" s="3">
        <f>IF(OR($F212="",ISNUMBER(MATCH($F212,lista_no_disponible,0)),(IFERROR(INDEX('CALENDARIO'!$C$15:$C$214,MATCH(TEXT($H212,"yyyy-mm-dd")&amp;"|"&amp;$D212&amp;"|"&amp;"",'CALENDARIO'!$G$15:$G$214,0)),IFERROR(INDEX('CALENDARIO'!$C$15:$C$214,MATCH(TEXT($H212,"yyyy-mm-dd")&amp;"|"&amp;$D212&amp;"|",'CALENDARIO'!$G$15:$G$214,0)),IFERROR(INDEX('CALENDARIO'!$C$15:$C$214,MATCH(TEXT($H212,"yyyy-mm-dd")&amp;"||",'CALENDARIO'!$G$15:$G$214,0)),INDEX(patronHabil,WEEKDAY($H212,2))))))&lt;&gt;"sí"),0,p_horas_jornada)</f>
        <v/>
      </c>
      <c r="J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11">
        <f>IF($A213="","",DATE(VALUE(LEFT($A213,4)),1,4)-WEEKDAY(DATE(VALUE(LEFT($A213,4)),1,4),2)+1+(VALUE(MID($A213,7,2))-1)*7+MATCH($B213,lista_dias,0)-1)</f>
        <v/>
      </c>
      <c r="I213" s="3">
        <f>IF(OR($F213="",ISNUMBER(MATCH($F213,lista_no_disponible,0)),(IFERROR(INDEX('CALENDARIO'!$C$15:$C$214,MATCH(TEXT($H213,"yyyy-mm-dd")&amp;"|"&amp;$D213&amp;"|"&amp;"",'CALENDARIO'!$G$15:$G$214,0)),IFERROR(INDEX('CALENDARIO'!$C$15:$C$214,MATCH(TEXT($H213,"yyyy-mm-dd")&amp;"|"&amp;$D213&amp;"|",'CALENDARIO'!$G$15:$G$214,0)),IFERROR(INDEX('CALENDARIO'!$C$15:$C$214,MATCH(TEXT($H213,"yyyy-mm-dd")&amp;"||",'CALENDARIO'!$G$15:$G$214,0)),INDEX(patronHabil,WEEKDAY($H213,2))))))&lt;&gt;"sí"),0,p_horas_jornada)</f>
        <v/>
      </c>
      <c r="J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11">
        <f>IF($A214="","",DATE(VALUE(LEFT($A214,4)),1,4)-WEEKDAY(DATE(VALUE(LEFT($A214,4)),1,4),2)+1+(VALUE(MID($A214,7,2))-1)*7+MATCH($B214,lista_dias,0)-1)</f>
        <v/>
      </c>
      <c r="I214" s="3">
        <f>IF(OR($F214="",ISNUMBER(MATCH($F214,lista_no_disponible,0)),(IFERROR(INDEX('CALENDARIO'!$C$15:$C$214,MATCH(TEXT($H214,"yyyy-mm-dd")&amp;"|"&amp;$D214&amp;"|"&amp;"",'CALENDARIO'!$G$15:$G$214,0)),IFERROR(INDEX('CALENDARIO'!$C$15:$C$214,MATCH(TEXT($H214,"yyyy-mm-dd")&amp;"|"&amp;$D214&amp;"|",'CALENDARIO'!$G$15:$G$214,0)),IFERROR(INDEX('CALENDARIO'!$C$15:$C$214,MATCH(TEXT($H214,"yyyy-mm-dd")&amp;"||",'CALENDARIO'!$G$15:$G$214,0)),INDEX(patronHabil,WEEKDAY($H214,2))))))&lt;&gt;"sí"),0,p_horas_jornada)</f>
        <v/>
      </c>
      <c r="J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11">
        <f>IF($A215="","",DATE(VALUE(LEFT($A215,4)),1,4)-WEEKDAY(DATE(VALUE(LEFT($A215,4)),1,4),2)+1+(VALUE(MID($A215,7,2))-1)*7+MATCH($B215,lista_dias,0)-1)</f>
        <v/>
      </c>
      <c r="I215" s="3">
        <f>IF(OR($F215="",ISNUMBER(MATCH($F215,lista_no_disponible,0)),(IFERROR(INDEX('CALENDARIO'!$C$15:$C$214,MATCH(TEXT($H215,"yyyy-mm-dd")&amp;"|"&amp;$D215&amp;"|"&amp;"",'CALENDARIO'!$G$15:$G$214,0)),IFERROR(INDEX('CALENDARIO'!$C$15:$C$214,MATCH(TEXT($H215,"yyyy-mm-dd")&amp;"|"&amp;$D215&amp;"|",'CALENDARIO'!$G$15:$G$214,0)),IFERROR(INDEX('CALENDARIO'!$C$15:$C$214,MATCH(TEXT($H215,"yyyy-mm-dd")&amp;"||",'CALENDARIO'!$G$15:$G$214,0)),INDEX(patronHabil,WEEKDAY($H215,2))))))&lt;&gt;"sí"),0,p_horas_jornada)</f>
        <v/>
      </c>
      <c r="J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11">
        <f>IF($A216="","",DATE(VALUE(LEFT($A216,4)),1,4)-WEEKDAY(DATE(VALUE(LEFT($A216,4)),1,4),2)+1+(VALUE(MID($A216,7,2))-1)*7+MATCH($B216,lista_dias,0)-1)</f>
        <v/>
      </c>
      <c r="I216" s="3">
        <f>IF(OR($F216="",ISNUMBER(MATCH($F216,lista_no_disponible,0)),(IFERROR(INDEX('CALENDARIO'!$C$15:$C$214,MATCH(TEXT($H216,"yyyy-mm-dd")&amp;"|"&amp;$D216&amp;"|"&amp;"",'CALENDARIO'!$G$15:$G$214,0)),IFERROR(INDEX('CALENDARIO'!$C$15:$C$214,MATCH(TEXT($H216,"yyyy-mm-dd")&amp;"|"&amp;$D216&amp;"|",'CALENDARIO'!$G$15:$G$214,0)),IFERROR(INDEX('CALENDARIO'!$C$15:$C$214,MATCH(TEXT($H216,"yyyy-mm-dd")&amp;"||",'CALENDARIO'!$G$15:$G$214,0)),INDEX(patronHabil,WEEKDAY($H216,2))))))&lt;&gt;"sí"),0,p_horas_jornada)</f>
        <v/>
      </c>
      <c r="J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11">
        <f>IF($A217="","",DATE(VALUE(LEFT($A217,4)),1,4)-WEEKDAY(DATE(VALUE(LEFT($A217,4)),1,4),2)+1+(VALUE(MID($A217,7,2))-1)*7+MATCH($B217,lista_dias,0)-1)</f>
        <v/>
      </c>
      <c r="I217" s="3">
        <f>IF(OR($F217="",ISNUMBER(MATCH($F217,lista_no_disponible,0)),(IFERROR(INDEX('CALENDARIO'!$C$15:$C$214,MATCH(TEXT($H217,"yyyy-mm-dd")&amp;"|"&amp;$D217&amp;"|"&amp;"",'CALENDARIO'!$G$15:$G$214,0)),IFERROR(INDEX('CALENDARIO'!$C$15:$C$214,MATCH(TEXT($H217,"yyyy-mm-dd")&amp;"|"&amp;$D217&amp;"|",'CALENDARIO'!$G$15:$G$214,0)),IFERROR(INDEX('CALENDARIO'!$C$15:$C$214,MATCH(TEXT($H217,"yyyy-mm-dd")&amp;"||",'CALENDARIO'!$G$15:$G$214,0)),INDEX(patronHabil,WEEKDAY($H217,2))))))&lt;&gt;"sí"),0,p_horas_jornada)</f>
        <v/>
      </c>
      <c r="J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11">
        <f>IF($A218="","",DATE(VALUE(LEFT($A218,4)),1,4)-WEEKDAY(DATE(VALUE(LEFT($A218,4)),1,4),2)+1+(VALUE(MID($A218,7,2))-1)*7+MATCH($B218,lista_dias,0)-1)</f>
        <v/>
      </c>
      <c r="I218" s="3">
        <f>IF(OR($F218="",ISNUMBER(MATCH($F218,lista_no_disponible,0)),(IFERROR(INDEX('CALENDARIO'!$C$15:$C$214,MATCH(TEXT($H218,"yyyy-mm-dd")&amp;"|"&amp;$D218&amp;"|"&amp;"",'CALENDARIO'!$G$15:$G$214,0)),IFERROR(INDEX('CALENDARIO'!$C$15:$C$214,MATCH(TEXT($H218,"yyyy-mm-dd")&amp;"|"&amp;$D218&amp;"|",'CALENDARIO'!$G$15:$G$214,0)),IFERROR(INDEX('CALENDARIO'!$C$15:$C$214,MATCH(TEXT($H218,"yyyy-mm-dd")&amp;"||",'CALENDARIO'!$G$15:$G$214,0)),INDEX(patronHabil,WEEKDAY($H218,2))))))&lt;&gt;"sí"),0,p_horas_jornada)</f>
        <v/>
      </c>
      <c r="J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>
        <is>
          <t>T1</t>
        </is>
      </c>
      <c r="G219" s="3">
        <f>IFERROR(INDEX('TECNICOS'!$E$4:$E$15,MATCH($C219,'TECNICOS'!$B$4:$B$15,0)),"")</f>
        <v/>
      </c>
      <c r="H219" s="11">
        <f>IF($A219="","",DATE(VALUE(LEFT($A219,4)),1,4)-WEEKDAY(DATE(VALUE(LEFT($A219,4)),1,4),2)+1+(VALUE(MID($A219,7,2))-1)*7+MATCH($B219,lista_dias,0)-1)</f>
        <v/>
      </c>
      <c r="I219" s="3">
        <f>IF(OR($F219="",ISNUMBER(MATCH($F219,lista_no_disponible,0)),(IFERROR(INDEX('CALENDARIO'!$C$15:$C$214,MATCH(TEXT($H219,"yyyy-mm-dd")&amp;"|"&amp;$D219&amp;"|"&amp;"",'CALENDARIO'!$G$15:$G$214,0)),IFERROR(INDEX('CALENDARIO'!$C$15:$C$214,MATCH(TEXT($H219,"yyyy-mm-dd")&amp;"|"&amp;$D219&amp;"|",'CALENDARIO'!$G$15:$G$214,0)),IFERROR(INDEX('CALENDARIO'!$C$15:$C$214,MATCH(TEXT($H219,"yyyy-mm-dd")&amp;"||",'CALENDARIO'!$G$15:$G$214,0)),INDEX(patronHabil,WEEKDAY($H219,2))))))&lt;&gt;"sí"),0,p_horas_jornada)</f>
        <v/>
      </c>
      <c r="J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11">
        <f>IF($A220="","",DATE(VALUE(LEFT($A220,4)),1,4)-WEEKDAY(DATE(VALUE(LEFT($A220,4)),1,4),2)+1+(VALUE(MID($A220,7,2))-1)*7+MATCH($B220,lista_dias,0)-1)</f>
        <v/>
      </c>
      <c r="I220" s="3">
        <f>IF(OR($F220="",ISNUMBER(MATCH($F220,lista_no_disponible,0)),(IFERROR(INDEX('CALENDARIO'!$C$15:$C$214,MATCH(TEXT($H220,"yyyy-mm-dd")&amp;"|"&amp;$D220&amp;"|"&amp;"",'CALENDARIO'!$G$15:$G$214,0)),IFERROR(INDEX('CALENDARIO'!$C$15:$C$214,MATCH(TEXT($H220,"yyyy-mm-dd")&amp;"|"&amp;$D220&amp;"|",'CALENDARIO'!$G$15:$G$214,0)),IFERROR(INDEX('CALENDARIO'!$C$15:$C$214,MATCH(TEXT($H220,"yyyy-mm-dd")&amp;"||",'CALENDARIO'!$G$15:$G$214,0)),INDEX(patronHabil,WEEKDAY($H220,2))))))&lt;&gt;"sí"),0,p_horas_jornada)</f>
        <v/>
      </c>
      <c r="J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11">
        <f>IF($A221="","",DATE(VALUE(LEFT($A221,4)),1,4)-WEEKDAY(DATE(VALUE(LEFT($A221,4)),1,4),2)+1+(VALUE(MID($A221,7,2))-1)*7+MATCH($B221,lista_dias,0)-1)</f>
        <v/>
      </c>
      <c r="I221" s="3">
        <f>IF(OR($F221="",ISNUMBER(MATCH($F221,lista_no_disponible,0)),(IFERROR(INDEX('CALENDARIO'!$C$15:$C$214,MATCH(TEXT($H221,"yyyy-mm-dd")&amp;"|"&amp;$D221&amp;"|"&amp;"",'CALENDARIO'!$G$15:$G$214,0)),IFERROR(INDEX('CALENDARIO'!$C$15:$C$214,MATCH(TEXT($H221,"yyyy-mm-dd")&amp;"|"&amp;$D221&amp;"|",'CALENDARIO'!$G$15:$G$214,0)),IFERROR(INDEX('CALENDARIO'!$C$15:$C$214,MATCH(TEXT($H221,"yyyy-mm-dd")&amp;"||",'CALENDARIO'!$G$15:$G$214,0)),INDEX(patronHabil,WEEKDAY($H221,2))))))&lt;&gt;"sí"),0,p_horas_jornada)</f>
        <v/>
      </c>
      <c r="J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11">
        <f>IF($A222="","",DATE(VALUE(LEFT($A222,4)),1,4)-WEEKDAY(DATE(VALUE(LEFT($A222,4)),1,4),2)+1+(VALUE(MID($A222,7,2))-1)*7+MATCH($B222,lista_dias,0)-1)</f>
        <v/>
      </c>
      <c r="I222" s="3">
        <f>IF(OR($F222="",ISNUMBER(MATCH($F222,lista_no_disponible,0)),(IFERROR(INDEX('CALENDARIO'!$C$15:$C$214,MATCH(TEXT($H222,"yyyy-mm-dd")&amp;"|"&amp;$D222&amp;"|"&amp;"",'CALENDARIO'!$G$15:$G$214,0)),IFERROR(INDEX('CALENDARIO'!$C$15:$C$214,MATCH(TEXT($H222,"yyyy-mm-dd")&amp;"|"&amp;$D222&amp;"|",'CALENDARIO'!$G$15:$G$214,0)),IFERROR(INDEX('CALENDARIO'!$C$15:$C$214,MATCH(TEXT($H222,"yyyy-mm-dd")&amp;"||",'CALENDARIO'!$G$15:$G$214,0)),INDEX(patronHabil,WEEKDAY($H222,2))))))&lt;&gt;"sí"),0,p_horas_jornada)</f>
        <v/>
      </c>
      <c r="J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11">
        <f>IF($A223="","",DATE(VALUE(LEFT($A223,4)),1,4)-WEEKDAY(DATE(VALUE(LEFT($A223,4)),1,4),2)+1+(VALUE(MID($A223,7,2))-1)*7+MATCH($B223,lista_dias,0)-1)</f>
        <v/>
      </c>
      <c r="I223" s="3">
        <f>IF(OR($F223="",ISNUMBER(MATCH($F223,lista_no_disponible,0)),(IFERROR(INDEX('CALENDARIO'!$C$15:$C$214,MATCH(TEXT($H223,"yyyy-mm-dd")&amp;"|"&amp;$D223&amp;"|"&amp;"",'CALENDARIO'!$G$15:$G$214,0)),IFERROR(INDEX('CALENDARIO'!$C$15:$C$214,MATCH(TEXT($H223,"yyyy-mm-dd")&amp;"|"&amp;$D223&amp;"|",'CALENDARIO'!$G$15:$G$214,0)),IFERROR(INDEX('CALENDARIO'!$C$15:$C$214,MATCH(TEXT($H223,"yyyy-mm-dd")&amp;"||",'CALENDARIO'!$G$15:$G$214,0)),INDEX(patronHabil,WEEKDAY($H223,2))))))&lt;&gt;"sí"),0,p_horas_jornada)</f>
        <v/>
      </c>
      <c r="J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11">
        <f>IF($A224="","",DATE(VALUE(LEFT($A224,4)),1,4)-WEEKDAY(DATE(VALUE(LEFT($A224,4)),1,4),2)+1+(VALUE(MID($A224,7,2))-1)*7+MATCH($B224,lista_dias,0)-1)</f>
        <v/>
      </c>
      <c r="I224" s="3">
        <f>IF(OR($F224="",ISNUMBER(MATCH($F224,lista_no_disponible,0)),(IFERROR(INDEX('CALENDARIO'!$C$15:$C$214,MATCH(TEXT($H224,"yyyy-mm-dd")&amp;"|"&amp;$D224&amp;"|"&amp;"",'CALENDARIO'!$G$15:$G$214,0)),IFERROR(INDEX('CALENDARIO'!$C$15:$C$214,MATCH(TEXT($H224,"yyyy-mm-dd")&amp;"|"&amp;$D224&amp;"|",'CALENDARIO'!$G$15:$G$214,0)),IFERROR(INDEX('CALENDARIO'!$C$15:$C$214,MATCH(TEXT($H224,"yyyy-mm-dd")&amp;"||",'CALENDARIO'!$G$15:$G$214,0)),INDEX(patronHabil,WEEKDAY($H224,2))))))&lt;&gt;"sí"),0,p_horas_jornada)</f>
        <v/>
      </c>
      <c r="J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11">
        <f>IF($A225="","",DATE(VALUE(LEFT($A225,4)),1,4)-WEEKDAY(DATE(VALUE(LEFT($A225,4)),1,4),2)+1+(VALUE(MID($A225,7,2))-1)*7+MATCH($B225,lista_dias,0)-1)</f>
        <v/>
      </c>
      <c r="I225" s="3">
        <f>IF(OR($F225="",ISNUMBER(MATCH($F225,lista_no_disponible,0)),(IFERROR(INDEX('CALENDARIO'!$C$15:$C$214,MATCH(TEXT($H225,"yyyy-mm-dd")&amp;"|"&amp;$D225&amp;"|"&amp;"",'CALENDARIO'!$G$15:$G$214,0)),IFERROR(INDEX('CALENDARIO'!$C$15:$C$214,MATCH(TEXT($H225,"yyyy-mm-dd")&amp;"|"&amp;$D225&amp;"|",'CALENDARIO'!$G$15:$G$214,0)),IFERROR(INDEX('CALENDARIO'!$C$15:$C$214,MATCH(TEXT($H225,"yyyy-mm-dd")&amp;"||",'CALENDARIO'!$G$15:$G$214,0)),INDEX(patronHabil,WEEKDAY($H225,2))))))&lt;&gt;"sí"),0,p_horas_jornada)</f>
        <v/>
      </c>
      <c r="J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>
        <is>
          <t>T3</t>
        </is>
      </c>
      <c r="G226" s="3">
        <f>IFERROR(INDEX('TECNICOS'!$E$4:$E$15,MATCH($C226,'TECNICOS'!$B$4:$B$15,0)),"")</f>
        <v/>
      </c>
      <c r="H226" s="11">
        <f>IF($A226="","",DATE(VALUE(LEFT($A226,4)),1,4)-WEEKDAY(DATE(VALUE(LEFT($A226,4)),1,4),2)+1+(VALUE(MID($A226,7,2))-1)*7+MATCH($B226,lista_dias,0)-1)</f>
        <v/>
      </c>
      <c r="I226" s="3">
        <f>IF(OR($F226="",ISNUMBER(MATCH($F226,lista_no_disponible,0)),(IFERROR(INDEX('CALENDARIO'!$C$15:$C$214,MATCH(TEXT($H226,"yyyy-mm-dd")&amp;"|"&amp;$D226&amp;"|"&amp;"",'CALENDARIO'!$G$15:$G$214,0)),IFERROR(INDEX('CALENDARIO'!$C$15:$C$214,MATCH(TEXT($H226,"yyyy-mm-dd")&amp;"|"&amp;$D226&amp;"|",'CALENDARIO'!$G$15:$G$214,0)),IFERROR(INDEX('CALENDARIO'!$C$15:$C$214,MATCH(TEXT($H226,"yyyy-mm-dd")&amp;"||",'CALENDARIO'!$G$15:$G$214,0)),INDEX(patronHabil,WEEKDAY($H226,2))))))&lt;&gt;"sí"),0,p_horas_jornada)</f>
        <v/>
      </c>
      <c r="J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11">
        <f>IF($A227="","",DATE(VALUE(LEFT($A227,4)),1,4)-WEEKDAY(DATE(VALUE(LEFT($A227,4)),1,4),2)+1+(VALUE(MID($A227,7,2))-1)*7+MATCH($B227,lista_dias,0)-1)</f>
        <v/>
      </c>
      <c r="I227" s="3">
        <f>IF(OR($F227="",ISNUMBER(MATCH($F227,lista_no_disponible,0)),(IFERROR(INDEX('CALENDARIO'!$C$15:$C$214,MATCH(TEXT($H227,"yyyy-mm-dd")&amp;"|"&amp;$D227&amp;"|"&amp;"",'CALENDARIO'!$G$15:$G$214,0)),IFERROR(INDEX('CALENDARIO'!$C$15:$C$214,MATCH(TEXT($H227,"yyyy-mm-dd")&amp;"|"&amp;$D227&amp;"|",'CALENDARIO'!$G$15:$G$214,0)),IFERROR(INDEX('CALENDARIO'!$C$15:$C$214,MATCH(TEXT($H227,"yyyy-mm-dd")&amp;"||",'CALENDARIO'!$G$15:$G$214,0)),INDEX(patronHabil,WEEKDAY($H227,2))))))&lt;&gt;"sí"),0,p_horas_jornada)</f>
        <v/>
      </c>
      <c r="J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11">
        <f>IF($A228="","",DATE(VALUE(LEFT($A228,4)),1,4)-WEEKDAY(DATE(VALUE(LEFT($A228,4)),1,4),2)+1+(VALUE(MID($A228,7,2))-1)*7+MATCH($B228,lista_dias,0)-1)</f>
        <v/>
      </c>
      <c r="I228" s="3">
        <f>IF(OR($F228="",ISNUMBER(MATCH($F228,lista_no_disponible,0)),(IFERROR(INDEX('CALENDARIO'!$C$15:$C$214,MATCH(TEXT($H228,"yyyy-mm-dd")&amp;"|"&amp;$D228&amp;"|"&amp;"",'CALENDARIO'!$G$15:$G$214,0)),IFERROR(INDEX('CALENDARIO'!$C$15:$C$214,MATCH(TEXT($H228,"yyyy-mm-dd")&amp;"|"&amp;$D228&amp;"|",'CALENDARIO'!$G$15:$G$214,0)),IFERROR(INDEX('CALENDARIO'!$C$15:$C$214,MATCH(TEXT($H228,"yyyy-mm-dd")&amp;"||",'CALENDARIO'!$G$15:$G$214,0)),INDEX(patronHabil,WEEKDAY($H228,2))))))&lt;&gt;"sí"),0,p_horas_jornada)</f>
        <v/>
      </c>
      <c r="J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11">
        <f>IF($A229="","",DATE(VALUE(LEFT($A229,4)),1,4)-WEEKDAY(DATE(VALUE(LEFT($A229,4)),1,4),2)+1+(VALUE(MID($A229,7,2))-1)*7+MATCH($B229,lista_dias,0)-1)</f>
        <v/>
      </c>
      <c r="I229" s="3">
        <f>IF(OR($F229="",ISNUMBER(MATCH($F229,lista_no_disponible,0)),(IFERROR(INDEX('CALENDARIO'!$C$15:$C$214,MATCH(TEXT($H229,"yyyy-mm-dd")&amp;"|"&amp;$D229&amp;"|"&amp;"",'CALENDARIO'!$G$15:$G$214,0)),IFERROR(INDEX('CALENDARIO'!$C$15:$C$214,MATCH(TEXT($H229,"yyyy-mm-dd")&amp;"|"&amp;$D229&amp;"|",'CALENDARIO'!$G$15:$G$214,0)),IFERROR(INDEX('CALENDARIO'!$C$15:$C$214,MATCH(TEXT($H229,"yyyy-mm-dd")&amp;"||",'CALENDARIO'!$G$15:$G$214,0)),INDEX(patronHabil,WEEKDAY($H229,2))))))&lt;&gt;"sí"),0,p_horas_jornada)</f>
        <v/>
      </c>
      <c r="J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11">
        <f>IF($A230="","",DATE(VALUE(LEFT($A230,4)),1,4)-WEEKDAY(DATE(VALUE(LEFT($A230,4)),1,4),2)+1+(VALUE(MID($A230,7,2))-1)*7+MATCH($B230,lista_dias,0)-1)</f>
        <v/>
      </c>
      <c r="I230" s="3">
        <f>IF(OR($F230="",ISNUMBER(MATCH($F230,lista_no_disponible,0)),(IFERROR(INDEX('CALENDARIO'!$C$15:$C$214,MATCH(TEXT($H230,"yyyy-mm-dd")&amp;"|"&amp;$D230&amp;"|"&amp;"",'CALENDARIO'!$G$15:$G$214,0)),IFERROR(INDEX('CALENDARIO'!$C$15:$C$214,MATCH(TEXT($H230,"yyyy-mm-dd")&amp;"|"&amp;$D230&amp;"|",'CALENDARIO'!$G$15:$G$214,0)),IFERROR(INDEX('CALENDARIO'!$C$15:$C$214,MATCH(TEXT($H230,"yyyy-mm-dd")&amp;"||",'CALENDARIO'!$G$15:$G$214,0)),INDEX(patronHabil,WEEKDAY($H230,2))))))&lt;&gt;"sí"),0,p_horas_jornada)</f>
        <v/>
      </c>
      <c r="J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11">
        <f>IF($A231="","",DATE(VALUE(LEFT($A231,4)),1,4)-WEEKDAY(DATE(VALUE(LEFT($A231,4)),1,4),2)+1+(VALUE(MID($A231,7,2))-1)*7+MATCH($B231,lista_dias,0)-1)</f>
        <v/>
      </c>
      <c r="I231" s="3">
        <f>IF(OR($F231="",ISNUMBER(MATCH($F231,lista_no_disponible,0)),(IFERROR(INDEX('CALENDARIO'!$C$15:$C$214,MATCH(TEXT($H231,"yyyy-mm-dd")&amp;"|"&amp;$D231&amp;"|"&amp;"",'CALENDARIO'!$G$15:$G$214,0)),IFERROR(INDEX('CALENDARIO'!$C$15:$C$214,MATCH(TEXT($H231,"yyyy-mm-dd")&amp;"|"&amp;$D231&amp;"|",'CALENDARIO'!$G$15:$G$214,0)),IFERROR(INDEX('CALENDARIO'!$C$15:$C$214,MATCH(TEXT($H231,"yyyy-mm-dd")&amp;"||",'CALENDARIO'!$G$15:$G$214,0)),INDEX(patronHabil,WEEKDAY($H231,2))))))&lt;&gt;"sí"),0,p_horas_jornada)</f>
        <v/>
      </c>
      <c r="J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11">
        <f>IF($A232="","",DATE(VALUE(LEFT($A232,4)),1,4)-WEEKDAY(DATE(VALUE(LEFT($A232,4)),1,4),2)+1+(VALUE(MID($A232,7,2))-1)*7+MATCH($B232,lista_dias,0)-1)</f>
        <v/>
      </c>
      <c r="I232" s="3">
        <f>IF(OR($F232="",ISNUMBER(MATCH($F232,lista_no_disponible,0)),(IFERROR(INDEX('CALENDARIO'!$C$15:$C$214,MATCH(TEXT($H232,"yyyy-mm-dd")&amp;"|"&amp;$D232&amp;"|"&amp;"",'CALENDARIO'!$G$15:$G$214,0)),IFERROR(INDEX('CALENDARIO'!$C$15:$C$214,MATCH(TEXT($H232,"yyyy-mm-dd")&amp;"|"&amp;$D232&amp;"|",'CALENDARIO'!$G$15:$G$214,0)),IFERROR(INDEX('CALENDARIO'!$C$15:$C$214,MATCH(TEXT($H232,"yyyy-mm-dd")&amp;"||",'CALENDARIO'!$G$15:$G$214,0)),INDEX(patronHabil,WEEKDAY($H232,2))))))&lt;&gt;"sí"),0,p_horas_jornada)</f>
        <v/>
      </c>
      <c r="J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>
        <is>
          <t>T1</t>
        </is>
      </c>
      <c r="G233" s="3">
        <f>IFERROR(INDEX('TECNICOS'!$E$4:$E$15,MATCH($C233,'TECNICOS'!$B$4:$B$15,0)),"")</f>
        <v/>
      </c>
      <c r="H233" s="11">
        <f>IF($A233="","",DATE(VALUE(LEFT($A233,4)),1,4)-WEEKDAY(DATE(VALUE(LEFT($A233,4)),1,4),2)+1+(VALUE(MID($A233,7,2))-1)*7+MATCH($B233,lista_dias,0)-1)</f>
        <v/>
      </c>
      <c r="I233" s="3">
        <f>IF(OR($F233="",ISNUMBER(MATCH($F233,lista_no_disponible,0)),(IFERROR(INDEX('CALENDARIO'!$C$15:$C$214,MATCH(TEXT($H233,"yyyy-mm-dd")&amp;"|"&amp;$D233&amp;"|"&amp;"",'CALENDARIO'!$G$15:$G$214,0)),IFERROR(INDEX('CALENDARIO'!$C$15:$C$214,MATCH(TEXT($H233,"yyyy-mm-dd")&amp;"|"&amp;$D233&amp;"|",'CALENDARIO'!$G$15:$G$214,0)),IFERROR(INDEX('CALENDARIO'!$C$15:$C$214,MATCH(TEXT($H233,"yyyy-mm-dd")&amp;"||",'CALENDARIO'!$G$15:$G$214,0)),INDEX(patronHabil,WEEKDAY($H233,2))))))&lt;&gt;"sí"),0,p_horas_jornada)</f>
        <v/>
      </c>
      <c r="J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11">
        <f>IF($A234="","",DATE(VALUE(LEFT($A234,4)),1,4)-WEEKDAY(DATE(VALUE(LEFT($A234,4)),1,4),2)+1+(VALUE(MID($A234,7,2))-1)*7+MATCH($B234,lista_dias,0)-1)</f>
        <v/>
      </c>
      <c r="I234" s="3">
        <f>IF(OR($F234="",ISNUMBER(MATCH($F234,lista_no_disponible,0)),(IFERROR(INDEX('CALENDARIO'!$C$15:$C$214,MATCH(TEXT($H234,"yyyy-mm-dd")&amp;"|"&amp;$D234&amp;"|"&amp;"",'CALENDARIO'!$G$15:$G$214,0)),IFERROR(INDEX('CALENDARIO'!$C$15:$C$214,MATCH(TEXT($H234,"yyyy-mm-dd")&amp;"|"&amp;$D234&amp;"|",'CALENDARIO'!$G$15:$G$214,0)),IFERROR(INDEX('CALENDARIO'!$C$15:$C$214,MATCH(TEXT($H234,"yyyy-mm-dd")&amp;"||",'CALENDARIO'!$G$15:$G$214,0)),INDEX(patronHabil,WEEKDAY($H234,2))))))&lt;&gt;"sí"),0,p_horas_jornada)</f>
        <v/>
      </c>
      <c r="J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11">
        <f>IF($A235="","",DATE(VALUE(LEFT($A235,4)),1,4)-WEEKDAY(DATE(VALUE(LEFT($A235,4)),1,4),2)+1+(VALUE(MID($A235,7,2))-1)*7+MATCH($B235,lista_dias,0)-1)</f>
        <v/>
      </c>
      <c r="I235" s="3">
        <f>IF(OR($F235="",ISNUMBER(MATCH($F235,lista_no_disponible,0)),(IFERROR(INDEX('CALENDARIO'!$C$15:$C$214,MATCH(TEXT($H235,"yyyy-mm-dd")&amp;"|"&amp;$D235&amp;"|"&amp;"",'CALENDARIO'!$G$15:$G$214,0)),IFERROR(INDEX('CALENDARIO'!$C$15:$C$214,MATCH(TEXT($H235,"yyyy-mm-dd")&amp;"|"&amp;$D235&amp;"|",'CALENDARIO'!$G$15:$G$214,0)),IFERROR(INDEX('CALENDARIO'!$C$15:$C$214,MATCH(TEXT($H235,"yyyy-mm-dd")&amp;"||",'CALENDARIO'!$G$15:$G$214,0)),INDEX(patronHabil,WEEKDAY($H235,2))))))&lt;&gt;"sí"),0,p_horas_jornada)</f>
        <v/>
      </c>
      <c r="J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11">
        <f>IF($A236="","",DATE(VALUE(LEFT($A236,4)),1,4)-WEEKDAY(DATE(VALUE(LEFT($A236,4)),1,4),2)+1+(VALUE(MID($A236,7,2))-1)*7+MATCH($B236,lista_dias,0)-1)</f>
        <v/>
      </c>
      <c r="I236" s="3">
        <f>IF(OR($F236="",ISNUMBER(MATCH($F236,lista_no_disponible,0)),(IFERROR(INDEX('CALENDARIO'!$C$15:$C$214,MATCH(TEXT($H236,"yyyy-mm-dd")&amp;"|"&amp;$D236&amp;"|"&amp;"",'CALENDARIO'!$G$15:$G$214,0)),IFERROR(INDEX('CALENDARIO'!$C$15:$C$214,MATCH(TEXT($H236,"yyyy-mm-dd")&amp;"|"&amp;$D236&amp;"|",'CALENDARIO'!$G$15:$G$214,0)),IFERROR(INDEX('CALENDARIO'!$C$15:$C$214,MATCH(TEXT($H236,"yyyy-mm-dd")&amp;"||",'CALENDARIO'!$G$15:$G$214,0)),INDEX(patronHabil,WEEKDAY($H236,2))))))&lt;&gt;"sí"),0,p_horas_jornada)</f>
        <v/>
      </c>
      <c r="J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11">
        <f>IF($A237="","",DATE(VALUE(LEFT($A237,4)),1,4)-WEEKDAY(DATE(VALUE(LEFT($A237,4)),1,4),2)+1+(VALUE(MID($A237,7,2))-1)*7+MATCH($B237,lista_dias,0)-1)</f>
        <v/>
      </c>
      <c r="I237" s="3">
        <f>IF(OR($F237="",ISNUMBER(MATCH($F237,lista_no_disponible,0)),(IFERROR(INDEX('CALENDARIO'!$C$15:$C$214,MATCH(TEXT($H237,"yyyy-mm-dd")&amp;"|"&amp;$D237&amp;"|"&amp;"",'CALENDARIO'!$G$15:$G$214,0)),IFERROR(INDEX('CALENDARIO'!$C$15:$C$214,MATCH(TEXT($H237,"yyyy-mm-dd")&amp;"|"&amp;$D237&amp;"|",'CALENDARIO'!$G$15:$G$214,0)),IFERROR(INDEX('CALENDARIO'!$C$15:$C$214,MATCH(TEXT($H237,"yyyy-mm-dd")&amp;"||",'CALENDARIO'!$G$15:$G$214,0)),INDEX(patronHabil,WEEKDAY($H237,2))))))&lt;&gt;"sí"),0,p_horas_jornada)</f>
        <v/>
      </c>
      <c r="J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11">
        <f>IF($A238="","",DATE(VALUE(LEFT($A238,4)),1,4)-WEEKDAY(DATE(VALUE(LEFT($A238,4)),1,4),2)+1+(VALUE(MID($A238,7,2))-1)*7+MATCH($B238,lista_dias,0)-1)</f>
        <v/>
      </c>
      <c r="I238" s="3">
        <f>IF(OR($F238="",ISNUMBER(MATCH($F238,lista_no_disponible,0)),(IFERROR(INDEX('CALENDARIO'!$C$15:$C$214,MATCH(TEXT($H238,"yyyy-mm-dd")&amp;"|"&amp;$D238&amp;"|"&amp;"",'CALENDARIO'!$G$15:$G$214,0)),IFERROR(INDEX('CALENDARIO'!$C$15:$C$214,MATCH(TEXT($H238,"yyyy-mm-dd")&amp;"|"&amp;$D238&amp;"|",'CALENDARIO'!$G$15:$G$214,0)),IFERROR(INDEX('CALENDARIO'!$C$15:$C$214,MATCH(TEXT($H238,"yyyy-mm-dd")&amp;"||",'CALENDARIO'!$G$15:$G$214,0)),INDEX(patronHabil,WEEKDAY($H238,2))))))&lt;&gt;"sí"),0,p_horas_jornada)</f>
        <v/>
      </c>
      <c r="J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11">
        <f>IF($A239="","",DATE(VALUE(LEFT($A239,4)),1,4)-WEEKDAY(DATE(VALUE(LEFT($A239,4)),1,4),2)+1+(VALUE(MID($A239,7,2))-1)*7+MATCH($B239,lista_dias,0)-1)</f>
        <v/>
      </c>
      <c r="I239" s="3">
        <f>IF(OR($F239="",ISNUMBER(MATCH($F239,lista_no_disponible,0)),(IFERROR(INDEX('CALENDARIO'!$C$15:$C$214,MATCH(TEXT($H239,"yyyy-mm-dd")&amp;"|"&amp;$D239&amp;"|"&amp;"",'CALENDARIO'!$G$15:$G$214,0)),IFERROR(INDEX('CALENDARIO'!$C$15:$C$214,MATCH(TEXT($H239,"yyyy-mm-dd")&amp;"|"&amp;$D239&amp;"|",'CALENDARIO'!$G$15:$G$214,0)),IFERROR(INDEX('CALENDARIO'!$C$15:$C$214,MATCH(TEXT($H239,"yyyy-mm-dd")&amp;"||",'CALENDARIO'!$G$15:$G$214,0)),INDEX(patronHabil,WEEKDAY($H239,2))))))&lt;&gt;"sí"),0,p_horas_jornada)</f>
        <v/>
      </c>
      <c r="J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>
        <is>
          <t>B1</t>
        </is>
      </c>
      <c r="G240" s="3">
        <f>IFERROR(INDEX('TECNICOS'!$E$4:$E$15,MATCH($C240,'TECNICOS'!$B$4:$B$15,0)),"")</f>
        <v/>
      </c>
      <c r="H240" s="11">
        <f>IF($A240="","",DATE(VALUE(LEFT($A240,4)),1,4)-WEEKDAY(DATE(VALUE(LEFT($A240,4)),1,4),2)+1+(VALUE(MID($A240,7,2))-1)*7+MATCH($B240,lista_dias,0)-1)</f>
        <v/>
      </c>
      <c r="I240" s="3">
        <f>IF(OR($F240="",ISNUMBER(MATCH($F240,lista_no_disponible,0)),(IFERROR(INDEX('CALENDARIO'!$C$15:$C$214,MATCH(TEXT($H240,"yyyy-mm-dd")&amp;"|"&amp;$D240&amp;"|"&amp;"",'CALENDARIO'!$G$15:$G$214,0)),IFERROR(INDEX('CALENDARIO'!$C$15:$C$214,MATCH(TEXT($H240,"yyyy-mm-dd")&amp;"|"&amp;$D240&amp;"|",'CALENDARIO'!$G$15:$G$214,0)),IFERROR(INDEX('CALENDARIO'!$C$15:$C$214,MATCH(TEXT($H240,"yyyy-mm-dd")&amp;"||",'CALENDARIO'!$G$15:$G$214,0)),INDEX(patronHabil,WEEKDAY($H240,2))))))&lt;&gt;"sí"),0,p_horas_jornada)</f>
        <v/>
      </c>
      <c r="J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11">
        <f>IF($A241="","",DATE(VALUE(LEFT($A241,4)),1,4)-WEEKDAY(DATE(VALUE(LEFT($A241,4)),1,4),2)+1+(VALUE(MID($A241,7,2))-1)*7+MATCH($B241,lista_dias,0)-1)</f>
        <v/>
      </c>
      <c r="I241" s="3">
        <f>IF(OR($F241="",ISNUMBER(MATCH($F241,lista_no_disponible,0)),(IFERROR(INDEX('CALENDARIO'!$C$15:$C$214,MATCH(TEXT($H241,"yyyy-mm-dd")&amp;"|"&amp;$D241&amp;"|"&amp;"",'CALENDARIO'!$G$15:$G$214,0)),IFERROR(INDEX('CALENDARIO'!$C$15:$C$214,MATCH(TEXT($H241,"yyyy-mm-dd")&amp;"|"&amp;$D241&amp;"|",'CALENDARIO'!$G$15:$G$214,0)),IFERROR(INDEX('CALENDARIO'!$C$15:$C$214,MATCH(TEXT($H241,"yyyy-mm-dd")&amp;"||",'CALENDARIO'!$G$15:$G$214,0)),INDEX(patronHabil,WEEKDAY($H241,2))))))&lt;&gt;"sí"),0,p_horas_jornada)</f>
        <v/>
      </c>
      <c r="J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11">
        <f>IF($A242="","",DATE(VALUE(LEFT($A242,4)),1,4)-WEEKDAY(DATE(VALUE(LEFT($A242,4)),1,4),2)+1+(VALUE(MID($A242,7,2))-1)*7+MATCH($B242,lista_dias,0)-1)</f>
        <v/>
      </c>
      <c r="I242" s="3">
        <f>IF(OR($F242="",ISNUMBER(MATCH($F242,lista_no_disponible,0)),(IFERROR(INDEX('CALENDARIO'!$C$15:$C$214,MATCH(TEXT($H242,"yyyy-mm-dd")&amp;"|"&amp;$D242&amp;"|"&amp;"",'CALENDARIO'!$G$15:$G$214,0)),IFERROR(INDEX('CALENDARIO'!$C$15:$C$214,MATCH(TEXT($H242,"yyyy-mm-dd")&amp;"|"&amp;$D242&amp;"|",'CALENDARIO'!$G$15:$G$214,0)),IFERROR(INDEX('CALENDARIO'!$C$15:$C$214,MATCH(TEXT($H242,"yyyy-mm-dd")&amp;"||",'CALENDARIO'!$G$15:$G$214,0)),INDEX(patronHabil,WEEKDAY($H242,2))))))&lt;&gt;"sí"),0,p_horas_jornada)</f>
        <v/>
      </c>
      <c r="J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11">
        <f>IF($A243="","",DATE(VALUE(LEFT($A243,4)),1,4)-WEEKDAY(DATE(VALUE(LEFT($A243,4)),1,4),2)+1+(VALUE(MID($A243,7,2))-1)*7+MATCH($B243,lista_dias,0)-1)</f>
        <v/>
      </c>
      <c r="I243" s="3">
        <f>IF(OR($F243="",ISNUMBER(MATCH($F243,lista_no_disponible,0)),(IFERROR(INDEX('CALENDARIO'!$C$15:$C$214,MATCH(TEXT($H243,"yyyy-mm-dd")&amp;"|"&amp;$D243&amp;"|"&amp;"",'CALENDARIO'!$G$15:$G$214,0)),IFERROR(INDEX('CALENDARIO'!$C$15:$C$214,MATCH(TEXT($H243,"yyyy-mm-dd")&amp;"|"&amp;$D243&amp;"|",'CALENDARIO'!$G$15:$G$214,0)),IFERROR(INDEX('CALENDARIO'!$C$15:$C$214,MATCH(TEXT($H243,"yyyy-mm-dd")&amp;"||",'CALENDARIO'!$G$15:$G$214,0)),INDEX(patronHabil,WEEKDAY($H243,2))))))&lt;&gt;"sí"),0,p_horas_jornada)</f>
        <v/>
      </c>
      <c r="J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11">
        <f>IF($A244="","",DATE(VALUE(LEFT($A244,4)),1,4)-WEEKDAY(DATE(VALUE(LEFT($A244,4)),1,4),2)+1+(VALUE(MID($A244,7,2))-1)*7+MATCH($B244,lista_dias,0)-1)</f>
        <v/>
      </c>
      <c r="I244" s="3">
        <f>IF(OR($F244="",ISNUMBER(MATCH($F244,lista_no_disponible,0)),(IFERROR(INDEX('CALENDARIO'!$C$15:$C$214,MATCH(TEXT($H244,"yyyy-mm-dd")&amp;"|"&amp;$D244&amp;"|"&amp;"",'CALENDARIO'!$G$15:$G$214,0)),IFERROR(INDEX('CALENDARIO'!$C$15:$C$214,MATCH(TEXT($H244,"yyyy-mm-dd")&amp;"|"&amp;$D244&amp;"|",'CALENDARIO'!$G$15:$G$214,0)),IFERROR(INDEX('CALENDARIO'!$C$15:$C$214,MATCH(TEXT($H244,"yyyy-mm-dd")&amp;"||",'CALENDARIO'!$G$15:$G$214,0)),INDEX(patronHabil,WEEKDAY($H244,2))))))&lt;&gt;"sí"),0,p_horas_jornada)</f>
        <v/>
      </c>
      <c r="J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11">
        <f>IF($A245="","",DATE(VALUE(LEFT($A245,4)),1,4)-WEEKDAY(DATE(VALUE(LEFT($A245,4)),1,4),2)+1+(VALUE(MID($A245,7,2))-1)*7+MATCH($B245,lista_dias,0)-1)</f>
        <v/>
      </c>
      <c r="I245" s="3">
        <f>IF(OR($F245="",ISNUMBER(MATCH($F245,lista_no_disponible,0)),(IFERROR(INDEX('CALENDARIO'!$C$15:$C$214,MATCH(TEXT($H245,"yyyy-mm-dd")&amp;"|"&amp;$D245&amp;"|"&amp;"",'CALENDARIO'!$G$15:$G$214,0)),IFERROR(INDEX('CALENDARIO'!$C$15:$C$214,MATCH(TEXT($H245,"yyyy-mm-dd")&amp;"|"&amp;$D245&amp;"|",'CALENDARIO'!$G$15:$G$214,0)),IFERROR(INDEX('CALENDARIO'!$C$15:$C$214,MATCH(TEXT($H245,"yyyy-mm-dd")&amp;"||",'CALENDARIO'!$G$15:$G$214,0)),INDEX(patronHabil,WEEKDAY($H245,2))))))&lt;&gt;"sí"),0,p_horas_jornada)</f>
        <v/>
      </c>
      <c r="J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11">
        <f>IF($A246="","",DATE(VALUE(LEFT($A246,4)),1,4)-WEEKDAY(DATE(VALUE(LEFT($A246,4)),1,4),2)+1+(VALUE(MID($A246,7,2))-1)*7+MATCH($B246,lista_dias,0)-1)</f>
        <v/>
      </c>
      <c r="I246" s="3">
        <f>IF(OR($F246="",ISNUMBER(MATCH($F246,lista_no_disponible,0)),(IFERROR(INDEX('CALENDARIO'!$C$15:$C$214,MATCH(TEXT($H246,"yyyy-mm-dd")&amp;"|"&amp;$D246&amp;"|"&amp;"",'CALENDARIO'!$G$15:$G$214,0)),IFERROR(INDEX('CALENDARIO'!$C$15:$C$214,MATCH(TEXT($H246,"yyyy-mm-dd")&amp;"|"&amp;$D246&amp;"|",'CALENDARIO'!$G$15:$G$214,0)),IFERROR(INDEX('CALENDARIO'!$C$15:$C$214,MATCH(TEXT($H246,"yyyy-mm-dd")&amp;"||",'CALENDARIO'!$G$15:$G$214,0)),INDEX(patronHabil,WEEKDAY($H246,2))))))&lt;&gt;"sí"),0,p_horas_jornada)</f>
        <v/>
      </c>
      <c r="J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>
        <is>
          <t>T1</t>
        </is>
      </c>
      <c r="G247" s="3">
        <f>IFERROR(INDEX('TECNICOS'!$E$4:$E$15,MATCH($C247,'TECNICOS'!$B$4:$B$15,0)),"")</f>
        <v/>
      </c>
      <c r="H247" s="11">
        <f>IF($A247="","",DATE(VALUE(LEFT($A247,4)),1,4)-WEEKDAY(DATE(VALUE(LEFT($A247,4)),1,4),2)+1+(VALUE(MID($A247,7,2))-1)*7+MATCH($B247,lista_dias,0)-1)</f>
        <v/>
      </c>
      <c r="I247" s="3">
        <f>IF(OR($F247="",ISNUMBER(MATCH($F247,lista_no_disponible,0)),(IFERROR(INDEX('CALENDARIO'!$C$15:$C$214,MATCH(TEXT($H247,"yyyy-mm-dd")&amp;"|"&amp;$D247&amp;"|"&amp;"",'CALENDARIO'!$G$15:$G$214,0)),IFERROR(INDEX('CALENDARIO'!$C$15:$C$214,MATCH(TEXT($H247,"yyyy-mm-dd")&amp;"|"&amp;$D247&amp;"|",'CALENDARIO'!$G$15:$G$214,0)),IFERROR(INDEX('CALENDARIO'!$C$15:$C$214,MATCH(TEXT($H247,"yyyy-mm-dd")&amp;"||",'CALENDARIO'!$G$15:$G$214,0)),INDEX(patronHabil,WEEKDAY($H247,2))))))&lt;&gt;"sí"),0,p_horas_jornada)</f>
        <v/>
      </c>
      <c r="J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11">
        <f>IF($A248="","",DATE(VALUE(LEFT($A248,4)),1,4)-WEEKDAY(DATE(VALUE(LEFT($A248,4)),1,4),2)+1+(VALUE(MID($A248,7,2))-1)*7+MATCH($B248,lista_dias,0)-1)</f>
        <v/>
      </c>
      <c r="I248" s="3">
        <f>IF(OR($F248="",ISNUMBER(MATCH($F248,lista_no_disponible,0)),(IFERROR(INDEX('CALENDARIO'!$C$15:$C$214,MATCH(TEXT($H248,"yyyy-mm-dd")&amp;"|"&amp;$D248&amp;"|"&amp;"",'CALENDARIO'!$G$15:$G$214,0)),IFERROR(INDEX('CALENDARIO'!$C$15:$C$214,MATCH(TEXT($H248,"yyyy-mm-dd")&amp;"|"&amp;$D248&amp;"|",'CALENDARIO'!$G$15:$G$214,0)),IFERROR(INDEX('CALENDARIO'!$C$15:$C$214,MATCH(TEXT($H248,"yyyy-mm-dd")&amp;"||",'CALENDARIO'!$G$15:$G$214,0)),INDEX(patronHabil,WEEKDAY($H248,2))))))&lt;&gt;"sí"),0,p_horas_jornada)</f>
        <v/>
      </c>
      <c r="J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11">
        <f>IF($A249="","",DATE(VALUE(LEFT($A249,4)),1,4)-WEEKDAY(DATE(VALUE(LEFT($A249,4)),1,4),2)+1+(VALUE(MID($A249,7,2))-1)*7+MATCH($B249,lista_dias,0)-1)</f>
        <v/>
      </c>
      <c r="I249" s="3">
        <f>IF(OR($F249="",ISNUMBER(MATCH($F249,lista_no_disponible,0)),(IFERROR(INDEX('CALENDARIO'!$C$15:$C$214,MATCH(TEXT($H249,"yyyy-mm-dd")&amp;"|"&amp;$D249&amp;"|"&amp;"",'CALENDARIO'!$G$15:$G$214,0)),IFERROR(INDEX('CALENDARIO'!$C$15:$C$214,MATCH(TEXT($H249,"yyyy-mm-dd")&amp;"|"&amp;$D249&amp;"|",'CALENDARIO'!$G$15:$G$214,0)),IFERROR(INDEX('CALENDARIO'!$C$15:$C$214,MATCH(TEXT($H249,"yyyy-mm-dd")&amp;"||",'CALENDARIO'!$G$15:$G$214,0)),INDEX(patronHabil,WEEKDAY($H249,2))))))&lt;&gt;"sí"),0,p_horas_jornada)</f>
        <v/>
      </c>
      <c r="J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11">
        <f>IF($A250="","",DATE(VALUE(LEFT($A250,4)),1,4)-WEEKDAY(DATE(VALUE(LEFT($A250,4)),1,4),2)+1+(VALUE(MID($A250,7,2))-1)*7+MATCH($B250,lista_dias,0)-1)</f>
        <v/>
      </c>
      <c r="I250" s="3">
        <f>IF(OR($F250="",ISNUMBER(MATCH($F250,lista_no_disponible,0)),(IFERROR(INDEX('CALENDARIO'!$C$15:$C$214,MATCH(TEXT($H250,"yyyy-mm-dd")&amp;"|"&amp;$D250&amp;"|"&amp;"",'CALENDARIO'!$G$15:$G$214,0)),IFERROR(INDEX('CALENDARIO'!$C$15:$C$214,MATCH(TEXT($H250,"yyyy-mm-dd")&amp;"|"&amp;$D250&amp;"|",'CALENDARIO'!$G$15:$G$214,0)),IFERROR(INDEX('CALENDARIO'!$C$15:$C$214,MATCH(TEXT($H250,"yyyy-mm-dd")&amp;"||",'CALENDARIO'!$G$15:$G$214,0)),INDEX(patronHabil,WEEKDAY($H250,2))))))&lt;&gt;"sí"),0,p_horas_jornada)</f>
        <v/>
      </c>
      <c r="J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11">
        <f>IF($A251="","",DATE(VALUE(LEFT($A251,4)),1,4)-WEEKDAY(DATE(VALUE(LEFT($A251,4)),1,4),2)+1+(VALUE(MID($A251,7,2))-1)*7+MATCH($B251,lista_dias,0)-1)</f>
        <v/>
      </c>
      <c r="I251" s="3">
        <f>IF(OR($F251="",ISNUMBER(MATCH($F251,lista_no_disponible,0)),(IFERROR(INDEX('CALENDARIO'!$C$15:$C$214,MATCH(TEXT($H251,"yyyy-mm-dd")&amp;"|"&amp;$D251&amp;"|"&amp;"",'CALENDARIO'!$G$15:$G$214,0)),IFERROR(INDEX('CALENDARIO'!$C$15:$C$214,MATCH(TEXT($H251,"yyyy-mm-dd")&amp;"|"&amp;$D251&amp;"|",'CALENDARIO'!$G$15:$G$214,0)),IFERROR(INDEX('CALENDARIO'!$C$15:$C$214,MATCH(TEXT($H251,"yyyy-mm-dd")&amp;"||",'CALENDARIO'!$G$15:$G$214,0)),INDEX(patronHabil,WEEKDAY($H251,2))))))&lt;&gt;"sí"),0,p_horas_jornada)</f>
        <v/>
      </c>
      <c r="J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11">
        <f>IF($A252="","",DATE(VALUE(LEFT($A252,4)),1,4)-WEEKDAY(DATE(VALUE(LEFT($A252,4)),1,4),2)+1+(VALUE(MID($A252,7,2))-1)*7+MATCH($B252,lista_dias,0)-1)</f>
        <v/>
      </c>
      <c r="I252" s="3">
        <f>IF(OR($F252="",ISNUMBER(MATCH($F252,lista_no_disponible,0)),(IFERROR(INDEX('CALENDARIO'!$C$15:$C$214,MATCH(TEXT($H252,"yyyy-mm-dd")&amp;"|"&amp;$D252&amp;"|"&amp;"",'CALENDARIO'!$G$15:$G$214,0)),IFERROR(INDEX('CALENDARIO'!$C$15:$C$214,MATCH(TEXT($H252,"yyyy-mm-dd")&amp;"|"&amp;$D252&amp;"|",'CALENDARIO'!$G$15:$G$214,0)),IFERROR(INDEX('CALENDARIO'!$C$15:$C$214,MATCH(TEXT($H252,"yyyy-mm-dd")&amp;"||",'CALENDARIO'!$G$15:$G$214,0)),INDEX(patronHabil,WEEKDAY($H252,2))))))&lt;&gt;"sí"),0,p_horas_jornada)</f>
        <v/>
      </c>
      <c r="J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11">
        <f>IF($A253="","",DATE(VALUE(LEFT($A253,4)),1,4)-WEEKDAY(DATE(VALUE(LEFT($A253,4)),1,4),2)+1+(VALUE(MID($A253,7,2))-1)*7+MATCH($B253,lista_dias,0)-1)</f>
        <v/>
      </c>
      <c r="I253" s="3">
        <f>IF(OR($F253="",ISNUMBER(MATCH($F253,lista_no_disponible,0)),(IFERROR(INDEX('CALENDARIO'!$C$15:$C$214,MATCH(TEXT($H253,"yyyy-mm-dd")&amp;"|"&amp;$D253&amp;"|"&amp;"",'CALENDARIO'!$G$15:$G$214,0)),IFERROR(INDEX('CALENDARIO'!$C$15:$C$214,MATCH(TEXT($H253,"yyyy-mm-dd")&amp;"|"&amp;$D253&amp;"|",'CALENDARIO'!$G$15:$G$214,0)),IFERROR(INDEX('CALENDARIO'!$C$15:$C$214,MATCH(TEXT($H253,"yyyy-mm-dd")&amp;"||",'CALENDARIO'!$G$15:$G$214,0)),INDEX(patronHabil,WEEKDAY($H253,2))))))&lt;&gt;"sí"),0,p_horas_jornada)</f>
        <v/>
      </c>
      <c r="J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>
        <is>
          <t>T1</t>
        </is>
      </c>
      <c r="G254" s="3">
        <f>IFERROR(INDEX('TECNICOS'!$E$4:$E$15,MATCH($C254,'TECNICOS'!$B$4:$B$15,0)),"")</f>
        <v/>
      </c>
      <c r="H254" s="11">
        <f>IF($A254="","",DATE(VALUE(LEFT($A254,4)),1,4)-WEEKDAY(DATE(VALUE(LEFT($A254,4)),1,4),2)+1+(VALUE(MID($A254,7,2))-1)*7+MATCH($B254,lista_dias,0)-1)</f>
        <v/>
      </c>
      <c r="I254" s="3">
        <f>IF(OR($F254="",ISNUMBER(MATCH($F254,lista_no_disponible,0)),(IFERROR(INDEX('CALENDARIO'!$C$15:$C$214,MATCH(TEXT($H254,"yyyy-mm-dd")&amp;"|"&amp;$D254&amp;"|"&amp;"",'CALENDARIO'!$G$15:$G$214,0)),IFERROR(INDEX('CALENDARIO'!$C$15:$C$214,MATCH(TEXT($H254,"yyyy-mm-dd")&amp;"|"&amp;$D254&amp;"|",'CALENDARIO'!$G$15:$G$214,0)),IFERROR(INDEX('CALENDARIO'!$C$15:$C$214,MATCH(TEXT($H254,"yyyy-mm-dd")&amp;"||",'CALENDARIO'!$G$15:$G$214,0)),INDEX(patronHabil,WEEKDAY($H254,2))))))&lt;&gt;"sí"),0,p_horas_jornada)</f>
        <v/>
      </c>
      <c r="J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>
        <is>
          <t>T1</t>
        </is>
      </c>
      <c r="G255" s="3">
        <f>IFERROR(INDEX('TECNICOS'!$E$4:$E$15,MATCH($C255,'TECNICOS'!$B$4:$B$15,0)),"")</f>
        <v/>
      </c>
      <c r="H255" s="11">
        <f>IF($A255="","",DATE(VALUE(LEFT($A255,4)),1,4)-WEEKDAY(DATE(VALUE(LEFT($A255,4)),1,4),2)+1+(VALUE(MID($A255,7,2))-1)*7+MATCH($B255,lista_dias,0)-1)</f>
        <v/>
      </c>
      <c r="I255" s="3">
        <f>IF(OR($F255="",ISNUMBER(MATCH($F255,lista_no_disponible,0)),(IFERROR(INDEX('CALENDARIO'!$C$15:$C$214,MATCH(TEXT($H255,"yyyy-mm-dd")&amp;"|"&amp;$D255&amp;"|"&amp;"",'CALENDARIO'!$G$15:$G$214,0)),IFERROR(INDEX('CALENDARIO'!$C$15:$C$214,MATCH(TEXT($H255,"yyyy-mm-dd")&amp;"|"&amp;$D255&amp;"|",'CALENDARIO'!$G$15:$G$214,0)),IFERROR(INDEX('CALENDARIO'!$C$15:$C$214,MATCH(TEXT($H255,"yyyy-mm-dd")&amp;"||",'CALENDARIO'!$G$15:$G$214,0)),INDEX(patronHabil,WEEKDAY($H255,2))))))&lt;&gt;"sí"),0,p_horas_jornada)</f>
        <v/>
      </c>
      <c r="J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11">
        <f>IF($A256="","",DATE(VALUE(LEFT($A256,4)),1,4)-WEEKDAY(DATE(VALUE(LEFT($A256,4)),1,4),2)+1+(VALUE(MID($A256,7,2))-1)*7+MATCH($B256,lista_dias,0)-1)</f>
        <v/>
      </c>
      <c r="I256" s="3">
        <f>IF(OR($F256="",ISNUMBER(MATCH($F256,lista_no_disponible,0)),(IFERROR(INDEX('CALENDARIO'!$C$15:$C$214,MATCH(TEXT($H256,"yyyy-mm-dd")&amp;"|"&amp;$D256&amp;"|"&amp;"",'CALENDARIO'!$G$15:$G$214,0)),IFERROR(INDEX('CALENDARIO'!$C$15:$C$214,MATCH(TEXT($H256,"yyyy-mm-dd")&amp;"|"&amp;$D256&amp;"|",'CALENDARIO'!$G$15:$G$214,0)),IFERROR(INDEX('CALENDARIO'!$C$15:$C$214,MATCH(TEXT($H256,"yyyy-mm-dd")&amp;"||",'CALENDARIO'!$G$15:$G$214,0)),INDEX(patronHabil,WEEKDAY($H256,2))))))&lt;&gt;"sí"),0,p_horas_jornada)</f>
        <v/>
      </c>
      <c r="J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11">
        <f>IF($A257="","",DATE(VALUE(LEFT($A257,4)),1,4)-WEEKDAY(DATE(VALUE(LEFT($A257,4)),1,4),2)+1+(VALUE(MID($A257,7,2))-1)*7+MATCH($B257,lista_dias,0)-1)</f>
        <v/>
      </c>
      <c r="I257" s="3">
        <f>IF(OR($F257="",ISNUMBER(MATCH($F257,lista_no_disponible,0)),(IFERROR(INDEX('CALENDARIO'!$C$15:$C$214,MATCH(TEXT($H257,"yyyy-mm-dd")&amp;"|"&amp;$D257&amp;"|"&amp;"",'CALENDARIO'!$G$15:$G$214,0)),IFERROR(INDEX('CALENDARIO'!$C$15:$C$214,MATCH(TEXT($H257,"yyyy-mm-dd")&amp;"|"&amp;$D257&amp;"|",'CALENDARIO'!$G$15:$G$214,0)),IFERROR(INDEX('CALENDARIO'!$C$15:$C$214,MATCH(TEXT($H257,"yyyy-mm-dd")&amp;"||",'CALENDARIO'!$G$15:$G$214,0)),INDEX(patronHabil,WEEKDAY($H257,2))))))&lt;&gt;"sí"),0,p_horas_jornada)</f>
        <v/>
      </c>
      <c r="J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11">
        <f>IF($A258="","",DATE(VALUE(LEFT($A258,4)),1,4)-WEEKDAY(DATE(VALUE(LEFT($A258,4)),1,4),2)+1+(VALUE(MID($A258,7,2))-1)*7+MATCH($B258,lista_dias,0)-1)</f>
        <v/>
      </c>
      <c r="I258" s="3">
        <f>IF(OR($F258="",ISNUMBER(MATCH($F258,lista_no_disponible,0)),(IFERROR(INDEX('CALENDARIO'!$C$15:$C$214,MATCH(TEXT($H258,"yyyy-mm-dd")&amp;"|"&amp;$D258&amp;"|"&amp;"",'CALENDARIO'!$G$15:$G$214,0)),IFERROR(INDEX('CALENDARIO'!$C$15:$C$214,MATCH(TEXT($H258,"yyyy-mm-dd")&amp;"|"&amp;$D258&amp;"|",'CALENDARIO'!$G$15:$G$214,0)),IFERROR(INDEX('CALENDARIO'!$C$15:$C$214,MATCH(TEXT($H258,"yyyy-mm-dd")&amp;"||",'CALENDARIO'!$G$15:$G$214,0)),INDEX(patronHabil,WEEKDAY($H258,2))))))&lt;&gt;"sí"),0,p_horas_jornada)</f>
        <v/>
      </c>
      <c r="J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11">
        <f>IF($A259="","",DATE(VALUE(LEFT($A259,4)),1,4)-WEEKDAY(DATE(VALUE(LEFT($A259,4)),1,4),2)+1+(VALUE(MID($A259,7,2))-1)*7+MATCH($B259,lista_dias,0)-1)</f>
        <v/>
      </c>
      <c r="I259" s="3">
        <f>IF(OR($F259="",ISNUMBER(MATCH($F259,lista_no_disponible,0)),(IFERROR(INDEX('CALENDARIO'!$C$15:$C$214,MATCH(TEXT($H259,"yyyy-mm-dd")&amp;"|"&amp;$D259&amp;"|"&amp;"",'CALENDARIO'!$G$15:$G$214,0)),IFERROR(INDEX('CALENDARIO'!$C$15:$C$214,MATCH(TEXT($H259,"yyyy-mm-dd")&amp;"|"&amp;$D259&amp;"|",'CALENDARIO'!$G$15:$G$214,0)),IFERROR(INDEX('CALENDARIO'!$C$15:$C$214,MATCH(TEXT($H259,"yyyy-mm-dd")&amp;"||",'CALENDARIO'!$G$15:$G$214,0)),INDEX(patronHabil,WEEKDAY($H259,2))))))&lt;&gt;"sí"),0,p_horas_jornada)</f>
        <v/>
      </c>
      <c r="J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11">
        <f>IF($A260="","",DATE(VALUE(LEFT($A260,4)),1,4)-WEEKDAY(DATE(VALUE(LEFT($A260,4)),1,4),2)+1+(VALUE(MID($A260,7,2))-1)*7+MATCH($B260,lista_dias,0)-1)</f>
        <v/>
      </c>
      <c r="I260" s="3">
        <f>IF(OR($F260="",ISNUMBER(MATCH($F260,lista_no_disponible,0)),(IFERROR(INDEX('CALENDARIO'!$C$15:$C$214,MATCH(TEXT($H260,"yyyy-mm-dd")&amp;"|"&amp;$D260&amp;"|"&amp;"",'CALENDARIO'!$G$15:$G$214,0)),IFERROR(INDEX('CALENDARIO'!$C$15:$C$214,MATCH(TEXT($H260,"yyyy-mm-dd")&amp;"|"&amp;$D260&amp;"|",'CALENDARIO'!$G$15:$G$214,0)),IFERROR(INDEX('CALENDARIO'!$C$15:$C$214,MATCH(TEXT($H260,"yyyy-mm-dd")&amp;"||",'CALENDARIO'!$G$15:$G$214,0)),INDEX(patronHabil,WEEKDAY($H260,2))))))&lt;&gt;"sí"),0,p_horas_jornada)</f>
        <v/>
      </c>
      <c r="J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>
        <is>
          <t>T1</t>
        </is>
      </c>
      <c r="G261" s="3">
        <f>IFERROR(INDEX('TECNICOS'!$E$4:$E$15,MATCH($C261,'TECNICOS'!$B$4:$B$15,0)),"")</f>
        <v/>
      </c>
      <c r="H261" s="11">
        <f>IF($A261="","",DATE(VALUE(LEFT($A261,4)),1,4)-WEEKDAY(DATE(VALUE(LEFT($A261,4)),1,4),2)+1+(VALUE(MID($A261,7,2))-1)*7+MATCH($B261,lista_dias,0)-1)</f>
        <v/>
      </c>
      <c r="I261" s="3">
        <f>IF(OR($F261="",ISNUMBER(MATCH($F261,lista_no_disponible,0)),(IFERROR(INDEX('CALENDARIO'!$C$15:$C$214,MATCH(TEXT($H261,"yyyy-mm-dd")&amp;"|"&amp;$D261&amp;"|"&amp;"",'CALENDARIO'!$G$15:$G$214,0)),IFERROR(INDEX('CALENDARIO'!$C$15:$C$214,MATCH(TEXT($H261,"yyyy-mm-dd")&amp;"|"&amp;$D261&amp;"|",'CALENDARIO'!$G$15:$G$214,0)),IFERROR(INDEX('CALENDARIO'!$C$15:$C$214,MATCH(TEXT($H261,"yyyy-mm-dd")&amp;"||",'CALENDARIO'!$G$15:$G$214,0)),INDEX(patronHabil,WEEKDAY($H261,2))))))&lt;&gt;"sí"),0,p_horas_jornada)</f>
        <v/>
      </c>
      <c r="J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11">
        <f>IF($A262="","",DATE(VALUE(LEFT($A262,4)),1,4)-WEEKDAY(DATE(VALUE(LEFT($A262,4)),1,4),2)+1+(VALUE(MID($A262,7,2))-1)*7+MATCH($B262,lista_dias,0)-1)</f>
        <v/>
      </c>
      <c r="I262" s="3">
        <f>IF(OR($F262="",ISNUMBER(MATCH($F262,lista_no_disponible,0)),(IFERROR(INDEX('CALENDARIO'!$C$15:$C$214,MATCH(TEXT($H262,"yyyy-mm-dd")&amp;"|"&amp;$D262&amp;"|"&amp;"",'CALENDARIO'!$G$15:$G$214,0)),IFERROR(INDEX('CALENDARIO'!$C$15:$C$214,MATCH(TEXT($H262,"yyyy-mm-dd")&amp;"|"&amp;$D262&amp;"|",'CALENDARIO'!$G$15:$G$214,0)),IFERROR(INDEX('CALENDARIO'!$C$15:$C$214,MATCH(TEXT($H262,"yyyy-mm-dd")&amp;"||",'CALENDARIO'!$G$15:$G$214,0)),INDEX(patronHabil,WEEKDAY($H262,2))))))&lt;&gt;"sí"),0,p_horas_jornada)</f>
        <v/>
      </c>
      <c r="J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11">
        <f>IF($A263="","",DATE(VALUE(LEFT($A263,4)),1,4)-WEEKDAY(DATE(VALUE(LEFT($A263,4)),1,4),2)+1+(VALUE(MID($A263,7,2))-1)*7+MATCH($B263,lista_dias,0)-1)</f>
        <v/>
      </c>
      <c r="I263" s="3">
        <f>IF(OR($F263="",ISNUMBER(MATCH($F263,lista_no_disponible,0)),(IFERROR(INDEX('CALENDARIO'!$C$15:$C$214,MATCH(TEXT($H263,"yyyy-mm-dd")&amp;"|"&amp;$D263&amp;"|"&amp;"",'CALENDARIO'!$G$15:$G$214,0)),IFERROR(INDEX('CALENDARIO'!$C$15:$C$214,MATCH(TEXT($H263,"yyyy-mm-dd")&amp;"|"&amp;$D263&amp;"|",'CALENDARIO'!$G$15:$G$214,0)),IFERROR(INDEX('CALENDARIO'!$C$15:$C$214,MATCH(TEXT($H263,"yyyy-mm-dd")&amp;"||",'CALENDARIO'!$G$15:$G$214,0)),INDEX(patronHabil,WEEKDAY($H263,2))))))&lt;&gt;"sí"),0,p_horas_jornada)</f>
        <v/>
      </c>
      <c r="J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11">
        <f>IF($A264="","",DATE(VALUE(LEFT($A264,4)),1,4)-WEEKDAY(DATE(VALUE(LEFT($A264,4)),1,4),2)+1+(VALUE(MID($A264,7,2))-1)*7+MATCH($B264,lista_dias,0)-1)</f>
        <v/>
      </c>
      <c r="I264" s="3">
        <f>IF(OR($F264="",ISNUMBER(MATCH($F264,lista_no_disponible,0)),(IFERROR(INDEX('CALENDARIO'!$C$15:$C$214,MATCH(TEXT($H264,"yyyy-mm-dd")&amp;"|"&amp;$D264&amp;"|"&amp;"",'CALENDARIO'!$G$15:$G$214,0)),IFERROR(INDEX('CALENDARIO'!$C$15:$C$214,MATCH(TEXT($H264,"yyyy-mm-dd")&amp;"|"&amp;$D264&amp;"|",'CALENDARIO'!$G$15:$G$214,0)),IFERROR(INDEX('CALENDARIO'!$C$15:$C$214,MATCH(TEXT($H264,"yyyy-mm-dd")&amp;"||",'CALENDARIO'!$G$15:$G$214,0)),INDEX(patronHabil,WEEKDAY($H264,2))))))&lt;&gt;"sí"),0,p_horas_jornada)</f>
        <v/>
      </c>
      <c r="J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11">
        <f>IF($A265="","",DATE(VALUE(LEFT($A265,4)),1,4)-WEEKDAY(DATE(VALUE(LEFT($A265,4)),1,4),2)+1+(VALUE(MID($A265,7,2))-1)*7+MATCH($B265,lista_dias,0)-1)</f>
        <v/>
      </c>
      <c r="I265" s="3">
        <f>IF(OR($F265="",ISNUMBER(MATCH($F265,lista_no_disponible,0)),(IFERROR(INDEX('CALENDARIO'!$C$15:$C$214,MATCH(TEXT($H265,"yyyy-mm-dd")&amp;"|"&amp;$D265&amp;"|"&amp;"",'CALENDARIO'!$G$15:$G$214,0)),IFERROR(INDEX('CALENDARIO'!$C$15:$C$214,MATCH(TEXT($H265,"yyyy-mm-dd")&amp;"|"&amp;$D265&amp;"|",'CALENDARIO'!$G$15:$G$214,0)),IFERROR(INDEX('CALENDARIO'!$C$15:$C$214,MATCH(TEXT($H265,"yyyy-mm-dd")&amp;"||",'CALENDARIO'!$G$15:$G$214,0)),INDEX(patronHabil,WEEKDAY($H265,2))))))&lt;&gt;"sí"),0,p_horas_jornada)</f>
        <v/>
      </c>
      <c r="J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11">
        <f>IF($A266="","",DATE(VALUE(LEFT($A266,4)),1,4)-WEEKDAY(DATE(VALUE(LEFT($A266,4)),1,4),2)+1+(VALUE(MID($A266,7,2))-1)*7+MATCH($B266,lista_dias,0)-1)</f>
        <v/>
      </c>
      <c r="I266" s="3">
        <f>IF(OR($F266="",ISNUMBER(MATCH($F266,lista_no_disponible,0)),(IFERROR(INDEX('CALENDARIO'!$C$15:$C$214,MATCH(TEXT($H266,"yyyy-mm-dd")&amp;"|"&amp;$D266&amp;"|"&amp;"",'CALENDARIO'!$G$15:$G$214,0)),IFERROR(INDEX('CALENDARIO'!$C$15:$C$214,MATCH(TEXT($H266,"yyyy-mm-dd")&amp;"|"&amp;$D266&amp;"|",'CALENDARIO'!$G$15:$G$214,0)),IFERROR(INDEX('CALENDARIO'!$C$15:$C$214,MATCH(TEXT($H266,"yyyy-mm-dd")&amp;"||",'CALENDARIO'!$G$15:$G$214,0)),INDEX(patronHabil,WEEKDAY($H266,2))))))&lt;&gt;"sí"),0,p_horas_jornada)</f>
        <v/>
      </c>
      <c r="J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11">
        <f>IF($A267="","",DATE(VALUE(LEFT($A267,4)),1,4)-WEEKDAY(DATE(VALUE(LEFT($A267,4)),1,4),2)+1+(VALUE(MID($A267,7,2))-1)*7+MATCH($B267,lista_dias,0)-1)</f>
        <v/>
      </c>
      <c r="I267" s="3">
        <f>IF(OR($F267="",ISNUMBER(MATCH($F267,lista_no_disponible,0)),(IFERROR(INDEX('CALENDARIO'!$C$15:$C$214,MATCH(TEXT($H267,"yyyy-mm-dd")&amp;"|"&amp;$D267&amp;"|"&amp;"",'CALENDARIO'!$G$15:$G$214,0)),IFERROR(INDEX('CALENDARIO'!$C$15:$C$214,MATCH(TEXT($H267,"yyyy-mm-dd")&amp;"|"&amp;$D267&amp;"|",'CALENDARIO'!$G$15:$G$214,0)),IFERROR(INDEX('CALENDARIO'!$C$15:$C$214,MATCH(TEXT($H267,"yyyy-mm-dd")&amp;"||",'CALENDARIO'!$G$15:$G$214,0)),INDEX(patronHabil,WEEKDAY($H267,2))))))&lt;&gt;"sí"),0,p_horas_jornada)</f>
        <v/>
      </c>
      <c r="J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>
        <is>
          <t>T2</t>
        </is>
      </c>
      <c r="G268" s="3">
        <f>IFERROR(INDEX('TECNICOS'!$E$4:$E$15,MATCH($C268,'TECNICOS'!$B$4:$B$15,0)),"")</f>
        <v/>
      </c>
      <c r="H268" s="11">
        <f>IF($A268="","",DATE(VALUE(LEFT($A268,4)),1,4)-WEEKDAY(DATE(VALUE(LEFT($A268,4)),1,4),2)+1+(VALUE(MID($A268,7,2))-1)*7+MATCH($B268,lista_dias,0)-1)</f>
        <v/>
      </c>
      <c r="I268" s="3">
        <f>IF(OR($F268="",ISNUMBER(MATCH($F268,lista_no_disponible,0)),(IFERROR(INDEX('CALENDARIO'!$C$15:$C$214,MATCH(TEXT($H268,"yyyy-mm-dd")&amp;"|"&amp;$D268&amp;"|"&amp;"",'CALENDARIO'!$G$15:$G$214,0)),IFERROR(INDEX('CALENDARIO'!$C$15:$C$214,MATCH(TEXT($H268,"yyyy-mm-dd")&amp;"|"&amp;$D268&amp;"|",'CALENDARIO'!$G$15:$G$214,0)),IFERROR(INDEX('CALENDARIO'!$C$15:$C$214,MATCH(TEXT($H268,"yyyy-mm-dd")&amp;"||",'CALENDARIO'!$G$15:$G$214,0)),INDEX(patronHabil,WEEKDAY($H268,2))))))&lt;&gt;"sí"),0,p_horas_jornada)</f>
        <v/>
      </c>
      <c r="J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11">
        <f>IF($A269="","",DATE(VALUE(LEFT($A269,4)),1,4)-WEEKDAY(DATE(VALUE(LEFT($A269,4)),1,4),2)+1+(VALUE(MID($A269,7,2))-1)*7+MATCH($B269,lista_dias,0)-1)</f>
        <v/>
      </c>
      <c r="I269" s="3">
        <f>IF(OR($F269="",ISNUMBER(MATCH($F269,lista_no_disponible,0)),(IFERROR(INDEX('CALENDARIO'!$C$15:$C$214,MATCH(TEXT($H269,"yyyy-mm-dd")&amp;"|"&amp;$D269&amp;"|"&amp;"",'CALENDARIO'!$G$15:$G$214,0)),IFERROR(INDEX('CALENDARIO'!$C$15:$C$214,MATCH(TEXT($H269,"yyyy-mm-dd")&amp;"|"&amp;$D269&amp;"|",'CALENDARIO'!$G$15:$G$214,0)),IFERROR(INDEX('CALENDARIO'!$C$15:$C$214,MATCH(TEXT($H269,"yyyy-mm-dd")&amp;"||",'CALENDARIO'!$G$15:$G$214,0)),INDEX(patronHabil,WEEKDAY($H269,2))))))&lt;&gt;"sí"),0,p_horas_jornada)</f>
        <v/>
      </c>
      <c r="J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11">
        <f>IF($A270="","",DATE(VALUE(LEFT($A270,4)),1,4)-WEEKDAY(DATE(VALUE(LEFT($A270,4)),1,4),2)+1+(VALUE(MID($A270,7,2))-1)*7+MATCH($B270,lista_dias,0)-1)</f>
        <v/>
      </c>
      <c r="I270" s="3">
        <f>IF(OR($F270="",ISNUMBER(MATCH($F270,lista_no_disponible,0)),(IFERROR(INDEX('CALENDARIO'!$C$15:$C$214,MATCH(TEXT($H270,"yyyy-mm-dd")&amp;"|"&amp;$D270&amp;"|"&amp;"",'CALENDARIO'!$G$15:$G$214,0)),IFERROR(INDEX('CALENDARIO'!$C$15:$C$214,MATCH(TEXT($H270,"yyyy-mm-dd")&amp;"|"&amp;$D270&amp;"|",'CALENDARIO'!$G$15:$G$214,0)),IFERROR(INDEX('CALENDARIO'!$C$15:$C$214,MATCH(TEXT($H270,"yyyy-mm-dd")&amp;"||",'CALENDARIO'!$G$15:$G$214,0)),INDEX(patronHabil,WEEKDAY($H270,2))))))&lt;&gt;"sí"),0,p_horas_jornada)</f>
        <v/>
      </c>
      <c r="J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11">
        <f>IF($A271="","",DATE(VALUE(LEFT($A271,4)),1,4)-WEEKDAY(DATE(VALUE(LEFT($A271,4)),1,4),2)+1+(VALUE(MID($A271,7,2))-1)*7+MATCH($B271,lista_dias,0)-1)</f>
        <v/>
      </c>
      <c r="I271" s="3">
        <f>IF(OR($F271="",ISNUMBER(MATCH($F271,lista_no_disponible,0)),(IFERROR(INDEX('CALENDARIO'!$C$15:$C$214,MATCH(TEXT($H271,"yyyy-mm-dd")&amp;"|"&amp;$D271&amp;"|"&amp;"",'CALENDARIO'!$G$15:$G$214,0)),IFERROR(INDEX('CALENDARIO'!$C$15:$C$214,MATCH(TEXT($H271,"yyyy-mm-dd")&amp;"|"&amp;$D271&amp;"|",'CALENDARIO'!$G$15:$G$214,0)),IFERROR(INDEX('CALENDARIO'!$C$15:$C$214,MATCH(TEXT($H271,"yyyy-mm-dd")&amp;"||",'CALENDARIO'!$G$15:$G$214,0)),INDEX(patronHabil,WEEKDAY($H271,2))))))&lt;&gt;"sí"),0,p_horas_jornada)</f>
        <v/>
      </c>
      <c r="J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11">
        <f>IF($A272="","",DATE(VALUE(LEFT($A272,4)),1,4)-WEEKDAY(DATE(VALUE(LEFT($A272,4)),1,4),2)+1+(VALUE(MID($A272,7,2))-1)*7+MATCH($B272,lista_dias,0)-1)</f>
        <v/>
      </c>
      <c r="I272" s="3">
        <f>IF(OR($F272="",ISNUMBER(MATCH($F272,lista_no_disponible,0)),(IFERROR(INDEX('CALENDARIO'!$C$15:$C$214,MATCH(TEXT($H272,"yyyy-mm-dd")&amp;"|"&amp;$D272&amp;"|"&amp;"",'CALENDARIO'!$G$15:$G$214,0)),IFERROR(INDEX('CALENDARIO'!$C$15:$C$214,MATCH(TEXT($H272,"yyyy-mm-dd")&amp;"|"&amp;$D272&amp;"|",'CALENDARIO'!$G$15:$G$214,0)),IFERROR(INDEX('CALENDARIO'!$C$15:$C$214,MATCH(TEXT($H272,"yyyy-mm-dd")&amp;"||",'CALENDARIO'!$G$15:$G$214,0)),INDEX(patronHabil,WEEKDAY($H272,2))))))&lt;&gt;"sí"),0,p_horas_jornada)</f>
        <v/>
      </c>
      <c r="J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11">
        <f>IF($A273="","",DATE(VALUE(LEFT($A273,4)),1,4)-WEEKDAY(DATE(VALUE(LEFT($A273,4)),1,4),2)+1+(VALUE(MID($A273,7,2))-1)*7+MATCH($B273,lista_dias,0)-1)</f>
        <v/>
      </c>
      <c r="I273" s="3">
        <f>IF(OR($F273="",ISNUMBER(MATCH($F273,lista_no_disponible,0)),(IFERROR(INDEX('CALENDARIO'!$C$15:$C$214,MATCH(TEXT($H273,"yyyy-mm-dd")&amp;"|"&amp;$D273&amp;"|"&amp;"",'CALENDARIO'!$G$15:$G$214,0)),IFERROR(INDEX('CALENDARIO'!$C$15:$C$214,MATCH(TEXT($H273,"yyyy-mm-dd")&amp;"|"&amp;$D273&amp;"|",'CALENDARIO'!$G$15:$G$214,0)),IFERROR(INDEX('CALENDARIO'!$C$15:$C$214,MATCH(TEXT($H273,"yyyy-mm-dd")&amp;"||",'CALENDARIO'!$G$15:$G$214,0)),INDEX(patronHabil,WEEKDAY($H273,2))))))&lt;&gt;"sí"),0,p_horas_jornada)</f>
        <v/>
      </c>
      <c r="J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11">
        <f>IF($A274="","",DATE(VALUE(LEFT($A274,4)),1,4)-WEEKDAY(DATE(VALUE(LEFT($A274,4)),1,4),2)+1+(VALUE(MID($A274,7,2))-1)*7+MATCH($B274,lista_dias,0)-1)</f>
        <v/>
      </c>
      <c r="I274" s="3">
        <f>IF(OR($F274="",ISNUMBER(MATCH($F274,lista_no_disponible,0)),(IFERROR(INDEX('CALENDARIO'!$C$15:$C$214,MATCH(TEXT($H274,"yyyy-mm-dd")&amp;"|"&amp;$D274&amp;"|"&amp;"",'CALENDARIO'!$G$15:$G$214,0)),IFERROR(INDEX('CALENDARIO'!$C$15:$C$214,MATCH(TEXT($H274,"yyyy-mm-dd")&amp;"|"&amp;$D274&amp;"|",'CALENDARIO'!$G$15:$G$214,0)),IFERROR(INDEX('CALENDARIO'!$C$15:$C$214,MATCH(TEXT($H274,"yyyy-mm-dd")&amp;"||",'CALENDARIO'!$G$15:$G$214,0)),INDEX(patronHabil,WEEKDAY($H274,2))))))&lt;&gt;"sí"),0,p_horas_jornada)</f>
        <v/>
      </c>
      <c r="J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>
        <is>
          <t>T1</t>
        </is>
      </c>
      <c r="G275" s="3">
        <f>IFERROR(INDEX('TECNICOS'!$E$4:$E$15,MATCH($C275,'TECNICOS'!$B$4:$B$15,0)),"")</f>
        <v/>
      </c>
      <c r="H275" s="11">
        <f>IF($A275="","",DATE(VALUE(LEFT($A275,4)),1,4)-WEEKDAY(DATE(VALUE(LEFT($A275,4)),1,4),2)+1+(VALUE(MID($A275,7,2))-1)*7+MATCH($B275,lista_dias,0)-1)</f>
        <v/>
      </c>
      <c r="I275" s="3">
        <f>IF(OR($F275="",ISNUMBER(MATCH($F275,lista_no_disponible,0)),(IFERROR(INDEX('CALENDARIO'!$C$15:$C$214,MATCH(TEXT($H275,"yyyy-mm-dd")&amp;"|"&amp;$D275&amp;"|"&amp;"",'CALENDARIO'!$G$15:$G$214,0)),IFERROR(INDEX('CALENDARIO'!$C$15:$C$214,MATCH(TEXT($H275,"yyyy-mm-dd")&amp;"|"&amp;$D275&amp;"|",'CALENDARIO'!$G$15:$G$214,0)),IFERROR(INDEX('CALENDARIO'!$C$15:$C$214,MATCH(TEXT($H275,"yyyy-mm-dd")&amp;"||",'CALENDARIO'!$G$15:$G$214,0)),INDEX(patronHabil,WEEKDAY($H275,2))))))&lt;&gt;"sí"),0,p_horas_jornada)</f>
        <v/>
      </c>
      <c r="J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11">
        <f>IF($A276="","",DATE(VALUE(LEFT($A276,4)),1,4)-WEEKDAY(DATE(VALUE(LEFT($A276,4)),1,4),2)+1+(VALUE(MID($A276,7,2))-1)*7+MATCH($B276,lista_dias,0)-1)</f>
        <v/>
      </c>
      <c r="I276" s="3">
        <f>IF(OR($F276="",ISNUMBER(MATCH($F276,lista_no_disponible,0)),(IFERROR(INDEX('CALENDARIO'!$C$15:$C$214,MATCH(TEXT($H276,"yyyy-mm-dd")&amp;"|"&amp;$D276&amp;"|"&amp;"",'CALENDARIO'!$G$15:$G$214,0)),IFERROR(INDEX('CALENDARIO'!$C$15:$C$214,MATCH(TEXT($H276,"yyyy-mm-dd")&amp;"|"&amp;$D276&amp;"|",'CALENDARIO'!$G$15:$G$214,0)),IFERROR(INDEX('CALENDARIO'!$C$15:$C$214,MATCH(TEXT($H276,"yyyy-mm-dd")&amp;"||",'CALENDARIO'!$G$15:$G$214,0)),INDEX(patronHabil,WEEKDAY($H276,2))))))&lt;&gt;"sí"),0,p_horas_jornada)</f>
        <v/>
      </c>
      <c r="J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11">
        <f>IF($A277="","",DATE(VALUE(LEFT($A277,4)),1,4)-WEEKDAY(DATE(VALUE(LEFT($A277,4)),1,4),2)+1+(VALUE(MID($A277,7,2))-1)*7+MATCH($B277,lista_dias,0)-1)</f>
        <v/>
      </c>
      <c r="I277" s="3">
        <f>IF(OR($F277="",ISNUMBER(MATCH($F277,lista_no_disponible,0)),(IFERROR(INDEX('CALENDARIO'!$C$15:$C$214,MATCH(TEXT($H277,"yyyy-mm-dd")&amp;"|"&amp;$D277&amp;"|"&amp;"",'CALENDARIO'!$G$15:$G$214,0)),IFERROR(INDEX('CALENDARIO'!$C$15:$C$214,MATCH(TEXT($H277,"yyyy-mm-dd")&amp;"|"&amp;$D277&amp;"|",'CALENDARIO'!$G$15:$G$214,0)),IFERROR(INDEX('CALENDARIO'!$C$15:$C$214,MATCH(TEXT($H277,"yyyy-mm-dd")&amp;"||",'CALENDARIO'!$G$15:$G$214,0)),INDEX(patronHabil,WEEKDAY($H277,2))))))&lt;&gt;"sí"),0,p_horas_jornada)</f>
        <v/>
      </c>
      <c r="J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11">
        <f>IF($A278="","",DATE(VALUE(LEFT($A278,4)),1,4)-WEEKDAY(DATE(VALUE(LEFT($A278,4)),1,4),2)+1+(VALUE(MID($A278,7,2))-1)*7+MATCH($B278,lista_dias,0)-1)</f>
        <v/>
      </c>
      <c r="I278" s="3">
        <f>IF(OR($F278="",ISNUMBER(MATCH($F278,lista_no_disponible,0)),(IFERROR(INDEX('CALENDARIO'!$C$15:$C$214,MATCH(TEXT($H278,"yyyy-mm-dd")&amp;"|"&amp;$D278&amp;"|"&amp;"",'CALENDARIO'!$G$15:$G$214,0)),IFERROR(INDEX('CALENDARIO'!$C$15:$C$214,MATCH(TEXT($H278,"yyyy-mm-dd")&amp;"|"&amp;$D278&amp;"|",'CALENDARIO'!$G$15:$G$214,0)),IFERROR(INDEX('CALENDARIO'!$C$15:$C$214,MATCH(TEXT($H278,"yyyy-mm-dd")&amp;"||",'CALENDARIO'!$G$15:$G$214,0)),INDEX(patronHabil,WEEKDAY($H278,2))))))&lt;&gt;"sí"),0,p_horas_jornada)</f>
        <v/>
      </c>
      <c r="J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11">
        <f>IF($A279="","",DATE(VALUE(LEFT($A279,4)),1,4)-WEEKDAY(DATE(VALUE(LEFT($A279,4)),1,4),2)+1+(VALUE(MID($A279,7,2))-1)*7+MATCH($B279,lista_dias,0)-1)</f>
        <v/>
      </c>
      <c r="I279" s="3">
        <f>IF(OR($F279="",ISNUMBER(MATCH($F279,lista_no_disponible,0)),(IFERROR(INDEX('CALENDARIO'!$C$15:$C$214,MATCH(TEXT($H279,"yyyy-mm-dd")&amp;"|"&amp;$D279&amp;"|"&amp;"",'CALENDARIO'!$G$15:$G$214,0)),IFERROR(INDEX('CALENDARIO'!$C$15:$C$214,MATCH(TEXT($H279,"yyyy-mm-dd")&amp;"|"&amp;$D279&amp;"|",'CALENDARIO'!$G$15:$G$214,0)),IFERROR(INDEX('CALENDARIO'!$C$15:$C$214,MATCH(TEXT($H279,"yyyy-mm-dd")&amp;"||",'CALENDARIO'!$G$15:$G$214,0)),INDEX(patronHabil,WEEKDAY($H279,2))))))&lt;&gt;"sí"),0,p_horas_jornada)</f>
        <v/>
      </c>
      <c r="J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11">
        <f>IF($A280="","",DATE(VALUE(LEFT($A280,4)),1,4)-WEEKDAY(DATE(VALUE(LEFT($A280,4)),1,4),2)+1+(VALUE(MID($A280,7,2))-1)*7+MATCH($B280,lista_dias,0)-1)</f>
        <v/>
      </c>
      <c r="I280" s="3">
        <f>IF(OR($F280="",ISNUMBER(MATCH($F280,lista_no_disponible,0)),(IFERROR(INDEX('CALENDARIO'!$C$15:$C$214,MATCH(TEXT($H280,"yyyy-mm-dd")&amp;"|"&amp;$D280&amp;"|"&amp;"",'CALENDARIO'!$G$15:$G$214,0)),IFERROR(INDEX('CALENDARIO'!$C$15:$C$214,MATCH(TEXT($H280,"yyyy-mm-dd")&amp;"|"&amp;$D280&amp;"|",'CALENDARIO'!$G$15:$G$214,0)),IFERROR(INDEX('CALENDARIO'!$C$15:$C$214,MATCH(TEXT($H280,"yyyy-mm-dd")&amp;"||",'CALENDARIO'!$G$15:$G$214,0)),INDEX(patronHabil,WEEKDAY($H280,2))))))&lt;&gt;"sí"),0,p_horas_jornada)</f>
        <v/>
      </c>
      <c r="J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11">
        <f>IF($A281="","",DATE(VALUE(LEFT($A281,4)),1,4)-WEEKDAY(DATE(VALUE(LEFT($A281,4)),1,4),2)+1+(VALUE(MID($A281,7,2))-1)*7+MATCH($B281,lista_dias,0)-1)</f>
        <v/>
      </c>
      <c r="I281" s="3">
        <f>IF(OR($F281="",ISNUMBER(MATCH($F281,lista_no_disponible,0)),(IFERROR(INDEX('CALENDARIO'!$C$15:$C$214,MATCH(TEXT($H281,"yyyy-mm-dd")&amp;"|"&amp;$D281&amp;"|"&amp;"",'CALENDARIO'!$G$15:$G$214,0)),IFERROR(INDEX('CALENDARIO'!$C$15:$C$214,MATCH(TEXT($H281,"yyyy-mm-dd")&amp;"|"&amp;$D281&amp;"|",'CALENDARIO'!$G$15:$G$214,0)),IFERROR(INDEX('CALENDARIO'!$C$15:$C$214,MATCH(TEXT($H281,"yyyy-mm-dd")&amp;"||",'CALENDARIO'!$G$15:$G$214,0)),INDEX(patronHabil,WEEKDAY($H281,2))))))&lt;&gt;"sí"),0,p_horas_jornada)</f>
        <v/>
      </c>
      <c r="J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>
        <is>
          <t>T1</t>
        </is>
      </c>
      <c r="G282" s="3">
        <f>IFERROR(INDEX('TECNICOS'!$E$4:$E$15,MATCH($C282,'TECNICOS'!$B$4:$B$15,0)),"")</f>
        <v/>
      </c>
      <c r="H282" s="11">
        <f>IF($A282="","",DATE(VALUE(LEFT($A282,4)),1,4)-WEEKDAY(DATE(VALUE(LEFT($A282,4)),1,4),2)+1+(VALUE(MID($A282,7,2))-1)*7+MATCH($B282,lista_dias,0)-1)</f>
        <v/>
      </c>
      <c r="I282" s="3">
        <f>IF(OR($F282="",ISNUMBER(MATCH($F282,lista_no_disponible,0)),(IFERROR(INDEX('CALENDARIO'!$C$15:$C$214,MATCH(TEXT($H282,"yyyy-mm-dd")&amp;"|"&amp;$D282&amp;"|"&amp;"",'CALENDARIO'!$G$15:$G$214,0)),IFERROR(INDEX('CALENDARIO'!$C$15:$C$214,MATCH(TEXT($H282,"yyyy-mm-dd")&amp;"|"&amp;$D282&amp;"|",'CALENDARIO'!$G$15:$G$214,0)),IFERROR(INDEX('CALENDARIO'!$C$15:$C$214,MATCH(TEXT($H282,"yyyy-mm-dd")&amp;"||",'CALENDARIO'!$G$15:$G$214,0)),INDEX(patronHabil,WEEKDAY($H282,2))))))&lt;&gt;"sí"),0,p_horas_jornada)</f>
        <v/>
      </c>
      <c r="J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11">
        <f>IF($A283="","",DATE(VALUE(LEFT($A283,4)),1,4)-WEEKDAY(DATE(VALUE(LEFT($A283,4)),1,4),2)+1+(VALUE(MID($A283,7,2))-1)*7+MATCH($B283,lista_dias,0)-1)</f>
        <v/>
      </c>
      <c r="I283" s="3">
        <f>IF(OR($F283="",ISNUMBER(MATCH($F283,lista_no_disponible,0)),(IFERROR(INDEX('CALENDARIO'!$C$15:$C$214,MATCH(TEXT($H283,"yyyy-mm-dd")&amp;"|"&amp;$D283&amp;"|"&amp;"",'CALENDARIO'!$G$15:$G$214,0)),IFERROR(INDEX('CALENDARIO'!$C$15:$C$214,MATCH(TEXT($H283,"yyyy-mm-dd")&amp;"|"&amp;$D283&amp;"|",'CALENDARIO'!$G$15:$G$214,0)),IFERROR(INDEX('CALENDARIO'!$C$15:$C$214,MATCH(TEXT($H283,"yyyy-mm-dd")&amp;"||",'CALENDARIO'!$G$15:$G$214,0)),INDEX(patronHabil,WEEKDAY($H283,2))))))&lt;&gt;"sí"),0,p_horas_jornada)</f>
        <v/>
      </c>
      <c r="J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11">
        <f>IF($A284="","",DATE(VALUE(LEFT($A284,4)),1,4)-WEEKDAY(DATE(VALUE(LEFT($A284,4)),1,4),2)+1+(VALUE(MID($A284,7,2))-1)*7+MATCH($B284,lista_dias,0)-1)</f>
        <v/>
      </c>
      <c r="I284" s="3">
        <f>IF(OR($F284="",ISNUMBER(MATCH($F284,lista_no_disponible,0)),(IFERROR(INDEX('CALENDARIO'!$C$15:$C$214,MATCH(TEXT($H284,"yyyy-mm-dd")&amp;"|"&amp;$D284&amp;"|"&amp;"",'CALENDARIO'!$G$15:$G$214,0)),IFERROR(INDEX('CALENDARIO'!$C$15:$C$214,MATCH(TEXT($H284,"yyyy-mm-dd")&amp;"|"&amp;$D284&amp;"|",'CALENDARIO'!$G$15:$G$214,0)),IFERROR(INDEX('CALENDARIO'!$C$15:$C$214,MATCH(TEXT($H284,"yyyy-mm-dd")&amp;"||",'CALENDARIO'!$G$15:$G$214,0)),INDEX(patronHabil,WEEKDAY($H284,2))))))&lt;&gt;"sí"),0,p_horas_jornada)</f>
        <v/>
      </c>
      <c r="J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11">
        <f>IF($A285="","",DATE(VALUE(LEFT($A285,4)),1,4)-WEEKDAY(DATE(VALUE(LEFT($A285,4)),1,4),2)+1+(VALUE(MID($A285,7,2))-1)*7+MATCH($B285,lista_dias,0)-1)</f>
        <v/>
      </c>
      <c r="I285" s="3">
        <f>IF(OR($F285="",ISNUMBER(MATCH($F285,lista_no_disponible,0)),(IFERROR(INDEX('CALENDARIO'!$C$15:$C$214,MATCH(TEXT($H285,"yyyy-mm-dd")&amp;"|"&amp;$D285&amp;"|"&amp;"",'CALENDARIO'!$G$15:$G$214,0)),IFERROR(INDEX('CALENDARIO'!$C$15:$C$214,MATCH(TEXT($H285,"yyyy-mm-dd")&amp;"|"&amp;$D285&amp;"|",'CALENDARIO'!$G$15:$G$214,0)),IFERROR(INDEX('CALENDARIO'!$C$15:$C$214,MATCH(TEXT($H285,"yyyy-mm-dd")&amp;"||",'CALENDARIO'!$G$15:$G$214,0)),INDEX(patronHabil,WEEKDAY($H285,2))))))&lt;&gt;"sí"),0,p_horas_jornada)</f>
        <v/>
      </c>
      <c r="J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11">
        <f>IF($A286="","",DATE(VALUE(LEFT($A286,4)),1,4)-WEEKDAY(DATE(VALUE(LEFT($A286,4)),1,4),2)+1+(VALUE(MID($A286,7,2))-1)*7+MATCH($B286,lista_dias,0)-1)</f>
        <v/>
      </c>
      <c r="I286" s="3">
        <f>IF(OR($F286="",ISNUMBER(MATCH($F286,lista_no_disponible,0)),(IFERROR(INDEX('CALENDARIO'!$C$15:$C$214,MATCH(TEXT($H286,"yyyy-mm-dd")&amp;"|"&amp;$D286&amp;"|"&amp;"",'CALENDARIO'!$G$15:$G$214,0)),IFERROR(INDEX('CALENDARIO'!$C$15:$C$214,MATCH(TEXT($H286,"yyyy-mm-dd")&amp;"|"&amp;$D286&amp;"|",'CALENDARIO'!$G$15:$G$214,0)),IFERROR(INDEX('CALENDARIO'!$C$15:$C$214,MATCH(TEXT($H286,"yyyy-mm-dd")&amp;"||",'CALENDARIO'!$G$15:$G$214,0)),INDEX(patronHabil,WEEKDAY($H286,2))))))&lt;&gt;"sí"),0,p_horas_jornada)</f>
        <v/>
      </c>
      <c r="J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11">
        <f>IF($A287="","",DATE(VALUE(LEFT($A287,4)),1,4)-WEEKDAY(DATE(VALUE(LEFT($A287,4)),1,4),2)+1+(VALUE(MID($A287,7,2))-1)*7+MATCH($B287,lista_dias,0)-1)</f>
        <v/>
      </c>
      <c r="I287" s="3">
        <f>IF(OR($F287="",ISNUMBER(MATCH($F287,lista_no_disponible,0)),(IFERROR(INDEX('CALENDARIO'!$C$15:$C$214,MATCH(TEXT($H287,"yyyy-mm-dd")&amp;"|"&amp;$D287&amp;"|"&amp;"",'CALENDARIO'!$G$15:$G$214,0)),IFERROR(INDEX('CALENDARIO'!$C$15:$C$214,MATCH(TEXT($H287,"yyyy-mm-dd")&amp;"|"&amp;$D287&amp;"|",'CALENDARIO'!$G$15:$G$214,0)),IFERROR(INDEX('CALENDARIO'!$C$15:$C$214,MATCH(TEXT($H287,"yyyy-mm-dd")&amp;"||",'CALENDARIO'!$G$15:$G$214,0)),INDEX(patronHabil,WEEKDAY($H287,2))))))&lt;&gt;"sí"),0,p_horas_jornada)</f>
        <v/>
      </c>
      <c r="J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11">
        <f>IF($A288="","",DATE(VALUE(LEFT($A288,4)),1,4)-WEEKDAY(DATE(VALUE(LEFT($A288,4)),1,4),2)+1+(VALUE(MID($A288,7,2))-1)*7+MATCH($B288,lista_dias,0)-1)</f>
        <v/>
      </c>
      <c r="I288" s="3">
        <f>IF(OR($F288="",ISNUMBER(MATCH($F288,lista_no_disponible,0)),(IFERROR(INDEX('CALENDARIO'!$C$15:$C$214,MATCH(TEXT($H288,"yyyy-mm-dd")&amp;"|"&amp;$D288&amp;"|"&amp;"",'CALENDARIO'!$G$15:$G$214,0)),IFERROR(INDEX('CALENDARIO'!$C$15:$C$214,MATCH(TEXT($H288,"yyyy-mm-dd")&amp;"|"&amp;$D288&amp;"|",'CALENDARIO'!$G$15:$G$214,0)),IFERROR(INDEX('CALENDARIO'!$C$15:$C$214,MATCH(TEXT($H288,"yyyy-mm-dd")&amp;"||",'CALENDARIO'!$G$15:$G$214,0)),INDEX(patronHabil,WEEKDAY($H288,2))))))&lt;&gt;"sí"),0,p_horas_jornada)</f>
        <v/>
      </c>
      <c r="J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>
        <is>
          <t>T1</t>
        </is>
      </c>
      <c r="G289" s="3">
        <f>IFERROR(INDEX('TECNICOS'!$E$4:$E$15,MATCH($C289,'TECNICOS'!$B$4:$B$15,0)),"")</f>
        <v/>
      </c>
      <c r="H289" s="11">
        <f>IF($A289="","",DATE(VALUE(LEFT($A289,4)),1,4)-WEEKDAY(DATE(VALUE(LEFT($A289,4)),1,4),2)+1+(VALUE(MID($A289,7,2))-1)*7+MATCH($B289,lista_dias,0)-1)</f>
        <v/>
      </c>
      <c r="I289" s="3">
        <f>IF(OR($F289="",ISNUMBER(MATCH($F289,lista_no_disponible,0)),(IFERROR(INDEX('CALENDARIO'!$C$15:$C$214,MATCH(TEXT($H289,"yyyy-mm-dd")&amp;"|"&amp;$D289&amp;"|"&amp;"",'CALENDARIO'!$G$15:$G$214,0)),IFERROR(INDEX('CALENDARIO'!$C$15:$C$214,MATCH(TEXT($H289,"yyyy-mm-dd")&amp;"|"&amp;$D289&amp;"|",'CALENDARIO'!$G$15:$G$214,0)),IFERROR(INDEX('CALENDARIO'!$C$15:$C$214,MATCH(TEXT($H289,"yyyy-mm-dd")&amp;"||",'CALENDARIO'!$G$15:$G$214,0)),INDEX(patronHabil,WEEKDAY($H289,2))))))&lt;&gt;"sí"),0,p_horas_jornada)</f>
        <v/>
      </c>
      <c r="J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11">
        <f>IF($A290="","",DATE(VALUE(LEFT($A290,4)),1,4)-WEEKDAY(DATE(VALUE(LEFT($A290,4)),1,4),2)+1+(VALUE(MID($A290,7,2))-1)*7+MATCH($B290,lista_dias,0)-1)</f>
        <v/>
      </c>
      <c r="I290" s="3">
        <f>IF(OR($F290="",ISNUMBER(MATCH($F290,lista_no_disponible,0)),(IFERROR(INDEX('CALENDARIO'!$C$15:$C$214,MATCH(TEXT($H290,"yyyy-mm-dd")&amp;"|"&amp;$D290&amp;"|"&amp;"",'CALENDARIO'!$G$15:$G$214,0)),IFERROR(INDEX('CALENDARIO'!$C$15:$C$214,MATCH(TEXT($H290,"yyyy-mm-dd")&amp;"|"&amp;$D290&amp;"|",'CALENDARIO'!$G$15:$G$214,0)),IFERROR(INDEX('CALENDARIO'!$C$15:$C$214,MATCH(TEXT($H290,"yyyy-mm-dd")&amp;"||",'CALENDARIO'!$G$15:$G$214,0)),INDEX(patronHabil,WEEKDAY($H290,2))))))&lt;&gt;"sí"),0,p_horas_jornada)</f>
        <v/>
      </c>
      <c r="J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11">
        <f>IF($A291="","",DATE(VALUE(LEFT($A291,4)),1,4)-WEEKDAY(DATE(VALUE(LEFT($A291,4)),1,4),2)+1+(VALUE(MID($A291,7,2))-1)*7+MATCH($B291,lista_dias,0)-1)</f>
        <v/>
      </c>
      <c r="I291" s="3">
        <f>IF(OR($F291="",ISNUMBER(MATCH($F291,lista_no_disponible,0)),(IFERROR(INDEX('CALENDARIO'!$C$15:$C$214,MATCH(TEXT($H291,"yyyy-mm-dd")&amp;"|"&amp;$D291&amp;"|"&amp;"",'CALENDARIO'!$G$15:$G$214,0)),IFERROR(INDEX('CALENDARIO'!$C$15:$C$214,MATCH(TEXT($H291,"yyyy-mm-dd")&amp;"|"&amp;$D291&amp;"|",'CALENDARIO'!$G$15:$G$214,0)),IFERROR(INDEX('CALENDARIO'!$C$15:$C$214,MATCH(TEXT($H291,"yyyy-mm-dd")&amp;"||",'CALENDARIO'!$G$15:$G$214,0)),INDEX(patronHabil,WEEKDAY($H291,2))))))&lt;&gt;"sí"),0,p_horas_jornada)</f>
        <v/>
      </c>
      <c r="J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11">
        <f>IF($A292="","",DATE(VALUE(LEFT($A292,4)),1,4)-WEEKDAY(DATE(VALUE(LEFT($A292,4)),1,4),2)+1+(VALUE(MID($A292,7,2))-1)*7+MATCH($B292,lista_dias,0)-1)</f>
        <v/>
      </c>
      <c r="I292" s="3">
        <f>IF(OR($F292="",ISNUMBER(MATCH($F292,lista_no_disponible,0)),(IFERROR(INDEX('CALENDARIO'!$C$15:$C$214,MATCH(TEXT($H292,"yyyy-mm-dd")&amp;"|"&amp;$D292&amp;"|"&amp;"",'CALENDARIO'!$G$15:$G$214,0)),IFERROR(INDEX('CALENDARIO'!$C$15:$C$214,MATCH(TEXT($H292,"yyyy-mm-dd")&amp;"|"&amp;$D292&amp;"|",'CALENDARIO'!$G$15:$G$214,0)),IFERROR(INDEX('CALENDARIO'!$C$15:$C$214,MATCH(TEXT($H292,"yyyy-mm-dd")&amp;"||",'CALENDARIO'!$G$15:$G$214,0)),INDEX(patronHabil,WEEKDAY($H292,2))))))&lt;&gt;"sí"),0,p_horas_jornada)</f>
        <v/>
      </c>
      <c r="J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11">
        <f>IF($A293="","",DATE(VALUE(LEFT($A293,4)),1,4)-WEEKDAY(DATE(VALUE(LEFT($A293,4)),1,4),2)+1+(VALUE(MID($A293,7,2))-1)*7+MATCH($B293,lista_dias,0)-1)</f>
        <v/>
      </c>
      <c r="I293" s="3">
        <f>IF(OR($F293="",ISNUMBER(MATCH($F293,lista_no_disponible,0)),(IFERROR(INDEX('CALENDARIO'!$C$15:$C$214,MATCH(TEXT($H293,"yyyy-mm-dd")&amp;"|"&amp;$D293&amp;"|"&amp;"",'CALENDARIO'!$G$15:$G$214,0)),IFERROR(INDEX('CALENDARIO'!$C$15:$C$214,MATCH(TEXT($H293,"yyyy-mm-dd")&amp;"|"&amp;$D293&amp;"|",'CALENDARIO'!$G$15:$G$214,0)),IFERROR(INDEX('CALENDARIO'!$C$15:$C$214,MATCH(TEXT($H293,"yyyy-mm-dd")&amp;"||",'CALENDARIO'!$G$15:$G$214,0)),INDEX(patronHabil,WEEKDAY($H293,2))))))&lt;&gt;"sí"),0,p_horas_jornada)</f>
        <v/>
      </c>
      <c r="J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11">
        <f>IF($A294="","",DATE(VALUE(LEFT($A294,4)),1,4)-WEEKDAY(DATE(VALUE(LEFT($A294,4)),1,4),2)+1+(VALUE(MID($A294,7,2))-1)*7+MATCH($B294,lista_dias,0)-1)</f>
        <v/>
      </c>
      <c r="I294" s="3">
        <f>IF(OR($F294="",ISNUMBER(MATCH($F294,lista_no_disponible,0)),(IFERROR(INDEX('CALENDARIO'!$C$15:$C$214,MATCH(TEXT($H294,"yyyy-mm-dd")&amp;"|"&amp;$D294&amp;"|"&amp;"",'CALENDARIO'!$G$15:$G$214,0)),IFERROR(INDEX('CALENDARIO'!$C$15:$C$214,MATCH(TEXT($H294,"yyyy-mm-dd")&amp;"|"&amp;$D294&amp;"|",'CALENDARIO'!$G$15:$G$214,0)),IFERROR(INDEX('CALENDARIO'!$C$15:$C$214,MATCH(TEXT($H294,"yyyy-mm-dd")&amp;"||",'CALENDARIO'!$G$15:$G$214,0)),INDEX(patronHabil,WEEKDAY($H294,2))))))&lt;&gt;"sí"),0,p_horas_jornada)</f>
        <v/>
      </c>
      <c r="J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11">
        <f>IF($A295="","",DATE(VALUE(LEFT($A295,4)),1,4)-WEEKDAY(DATE(VALUE(LEFT($A295,4)),1,4),2)+1+(VALUE(MID($A295,7,2))-1)*7+MATCH($B295,lista_dias,0)-1)</f>
        <v/>
      </c>
      <c r="I295" s="3">
        <f>IF(OR($F295="",ISNUMBER(MATCH($F295,lista_no_disponible,0)),(IFERROR(INDEX('CALENDARIO'!$C$15:$C$214,MATCH(TEXT($H295,"yyyy-mm-dd")&amp;"|"&amp;$D295&amp;"|"&amp;"",'CALENDARIO'!$G$15:$G$214,0)),IFERROR(INDEX('CALENDARIO'!$C$15:$C$214,MATCH(TEXT($H295,"yyyy-mm-dd")&amp;"|"&amp;$D295&amp;"|",'CALENDARIO'!$G$15:$G$214,0)),IFERROR(INDEX('CALENDARIO'!$C$15:$C$214,MATCH(TEXT($H295,"yyyy-mm-dd")&amp;"||",'CALENDARIO'!$G$15:$G$214,0)),INDEX(patronHabil,WEEKDAY($H295,2))))))&lt;&gt;"sí"),0,p_horas_jornada)</f>
        <v/>
      </c>
      <c r="J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>
        <is>
          <t>T1</t>
        </is>
      </c>
      <c r="G296" s="3">
        <f>IFERROR(INDEX('TECNICOS'!$E$4:$E$15,MATCH($C296,'TECNICOS'!$B$4:$B$15,0)),"")</f>
        <v/>
      </c>
      <c r="H296" s="11">
        <f>IF($A296="","",DATE(VALUE(LEFT($A296,4)),1,4)-WEEKDAY(DATE(VALUE(LEFT($A296,4)),1,4),2)+1+(VALUE(MID($A296,7,2))-1)*7+MATCH($B296,lista_dias,0)-1)</f>
        <v/>
      </c>
      <c r="I296" s="3">
        <f>IF(OR($F296="",ISNUMBER(MATCH($F296,lista_no_disponible,0)),(IFERROR(INDEX('CALENDARIO'!$C$15:$C$214,MATCH(TEXT($H296,"yyyy-mm-dd")&amp;"|"&amp;$D296&amp;"|"&amp;"",'CALENDARIO'!$G$15:$G$214,0)),IFERROR(INDEX('CALENDARIO'!$C$15:$C$214,MATCH(TEXT($H296,"yyyy-mm-dd")&amp;"|"&amp;$D296&amp;"|",'CALENDARIO'!$G$15:$G$214,0)),IFERROR(INDEX('CALENDARIO'!$C$15:$C$214,MATCH(TEXT($H296,"yyyy-mm-dd")&amp;"||",'CALENDARIO'!$G$15:$G$214,0)),INDEX(patronHabil,WEEKDAY($H296,2))))))&lt;&gt;"sí"),0,p_horas_jornada)</f>
        <v/>
      </c>
      <c r="J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11">
        <f>IF($A297="","",DATE(VALUE(LEFT($A297,4)),1,4)-WEEKDAY(DATE(VALUE(LEFT($A297,4)),1,4),2)+1+(VALUE(MID($A297,7,2))-1)*7+MATCH($B297,lista_dias,0)-1)</f>
        <v/>
      </c>
      <c r="I297" s="3">
        <f>IF(OR($F297="",ISNUMBER(MATCH($F297,lista_no_disponible,0)),(IFERROR(INDEX('CALENDARIO'!$C$15:$C$214,MATCH(TEXT($H297,"yyyy-mm-dd")&amp;"|"&amp;$D297&amp;"|"&amp;"",'CALENDARIO'!$G$15:$G$214,0)),IFERROR(INDEX('CALENDARIO'!$C$15:$C$214,MATCH(TEXT($H297,"yyyy-mm-dd")&amp;"|"&amp;$D297&amp;"|",'CALENDARIO'!$G$15:$G$214,0)),IFERROR(INDEX('CALENDARIO'!$C$15:$C$214,MATCH(TEXT($H297,"yyyy-mm-dd")&amp;"||",'CALENDARIO'!$G$15:$G$214,0)),INDEX(patronHabil,WEEKDAY($H297,2))))))&lt;&gt;"sí"),0,p_horas_jornada)</f>
        <v/>
      </c>
      <c r="J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11">
        <f>IF($A298="","",DATE(VALUE(LEFT($A298,4)),1,4)-WEEKDAY(DATE(VALUE(LEFT($A298,4)),1,4),2)+1+(VALUE(MID($A298,7,2))-1)*7+MATCH($B298,lista_dias,0)-1)</f>
        <v/>
      </c>
      <c r="I298" s="3">
        <f>IF(OR($F298="",ISNUMBER(MATCH($F298,lista_no_disponible,0)),(IFERROR(INDEX('CALENDARIO'!$C$15:$C$214,MATCH(TEXT($H298,"yyyy-mm-dd")&amp;"|"&amp;$D298&amp;"|"&amp;"",'CALENDARIO'!$G$15:$G$214,0)),IFERROR(INDEX('CALENDARIO'!$C$15:$C$214,MATCH(TEXT($H298,"yyyy-mm-dd")&amp;"|"&amp;$D298&amp;"|",'CALENDARIO'!$G$15:$G$214,0)),IFERROR(INDEX('CALENDARIO'!$C$15:$C$214,MATCH(TEXT($H298,"yyyy-mm-dd")&amp;"||",'CALENDARIO'!$G$15:$G$214,0)),INDEX(patronHabil,WEEKDAY($H298,2))))))&lt;&gt;"sí"),0,p_horas_jornada)</f>
        <v/>
      </c>
      <c r="J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11">
        <f>IF($A299="","",DATE(VALUE(LEFT($A299,4)),1,4)-WEEKDAY(DATE(VALUE(LEFT($A299,4)),1,4),2)+1+(VALUE(MID($A299,7,2))-1)*7+MATCH($B299,lista_dias,0)-1)</f>
        <v/>
      </c>
      <c r="I299" s="3">
        <f>IF(OR($F299="",ISNUMBER(MATCH($F299,lista_no_disponible,0)),(IFERROR(INDEX('CALENDARIO'!$C$15:$C$214,MATCH(TEXT($H299,"yyyy-mm-dd")&amp;"|"&amp;$D299&amp;"|"&amp;"",'CALENDARIO'!$G$15:$G$214,0)),IFERROR(INDEX('CALENDARIO'!$C$15:$C$214,MATCH(TEXT($H299,"yyyy-mm-dd")&amp;"|"&amp;$D299&amp;"|",'CALENDARIO'!$G$15:$G$214,0)),IFERROR(INDEX('CALENDARIO'!$C$15:$C$214,MATCH(TEXT($H299,"yyyy-mm-dd")&amp;"||",'CALENDARIO'!$G$15:$G$214,0)),INDEX(patronHabil,WEEKDAY($H299,2))))))&lt;&gt;"sí"),0,p_horas_jornada)</f>
        <v/>
      </c>
      <c r="J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11">
        <f>IF($A300="","",DATE(VALUE(LEFT($A300,4)),1,4)-WEEKDAY(DATE(VALUE(LEFT($A300,4)),1,4),2)+1+(VALUE(MID($A300,7,2))-1)*7+MATCH($B300,lista_dias,0)-1)</f>
        <v/>
      </c>
      <c r="I300" s="3">
        <f>IF(OR($F300="",ISNUMBER(MATCH($F300,lista_no_disponible,0)),(IFERROR(INDEX('CALENDARIO'!$C$15:$C$214,MATCH(TEXT($H300,"yyyy-mm-dd")&amp;"|"&amp;$D300&amp;"|"&amp;"",'CALENDARIO'!$G$15:$G$214,0)),IFERROR(INDEX('CALENDARIO'!$C$15:$C$214,MATCH(TEXT($H300,"yyyy-mm-dd")&amp;"|"&amp;$D300&amp;"|",'CALENDARIO'!$G$15:$G$214,0)),IFERROR(INDEX('CALENDARIO'!$C$15:$C$214,MATCH(TEXT($H300,"yyyy-mm-dd")&amp;"||",'CALENDARIO'!$G$15:$G$214,0)),INDEX(patronHabil,WEEKDAY($H300,2))))))&lt;&gt;"sí"),0,p_horas_jornada)</f>
        <v/>
      </c>
      <c r="J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11">
        <f>IF($A301="","",DATE(VALUE(LEFT($A301,4)),1,4)-WEEKDAY(DATE(VALUE(LEFT($A301,4)),1,4),2)+1+(VALUE(MID($A301,7,2))-1)*7+MATCH($B301,lista_dias,0)-1)</f>
        <v/>
      </c>
      <c r="I301" s="3">
        <f>IF(OR($F301="",ISNUMBER(MATCH($F301,lista_no_disponible,0)),(IFERROR(INDEX('CALENDARIO'!$C$15:$C$214,MATCH(TEXT($H301,"yyyy-mm-dd")&amp;"|"&amp;$D301&amp;"|"&amp;"",'CALENDARIO'!$G$15:$G$214,0)),IFERROR(INDEX('CALENDARIO'!$C$15:$C$214,MATCH(TEXT($H301,"yyyy-mm-dd")&amp;"|"&amp;$D301&amp;"|",'CALENDARIO'!$G$15:$G$214,0)),IFERROR(INDEX('CALENDARIO'!$C$15:$C$214,MATCH(TEXT($H301,"yyyy-mm-dd")&amp;"||",'CALENDARIO'!$G$15:$G$214,0)),INDEX(patronHabil,WEEKDAY($H301,2))))))&lt;&gt;"sí"),0,p_horas_jornada)</f>
        <v/>
      </c>
      <c r="J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11">
        <f>IF($A302="","",DATE(VALUE(LEFT($A302,4)),1,4)-WEEKDAY(DATE(VALUE(LEFT($A302,4)),1,4),2)+1+(VALUE(MID($A302,7,2))-1)*7+MATCH($B302,lista_dias,0)-1)</f>
        <v/>
      </c>
      <c r="I302" s="3">
        <f>IF(OR($F302="",ISNUMBER(MATCH($F302,lista_no_disponible,0)),(IFERROR(INDEX('CALENDARIO'!$C$15:$C$214,MATCH(TEXT($H302,"yyyy-mm-dd")&amp;"|"&amp;$D302&amp;"|"&amp;"",'CALENDARIO'!$G$15:$G$214,0)),IFERROR(INDEX('CALENDARIO'!$C$15:$C$214,MATCH(TEXT($H302,"yyyy-mm-dd")&amp;"|"&amp;$D302&amp;"|",'CALENDARIO'!$G$15:$G$214,0)),IFERROR(INDEX('CALENDARIO'!$C$15:$C$214,MATCH(TEXT($H302,"yyyy-mm-dd")&amp;"||",'CALENDARIO'!$G$15:$G$214,0)),INDEX(patronHabil,WEEKDAY($H302,2))))))&lt;&gt;"sí"),0,p_horas_jornada)</f>
        <v/>
      </c>
      <c r="J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>
        <is>
          <t>T1</t>
        </is>
      </c>
      <c r="G303" s="3">
        <f>IFERROR(INDEX('TECNICOS'!$E$4:$E$15,MATCH($C303,'TECNICOS'!$B$4:$B$15,0)),"")</f>
        <v/>
      </c>
      <c r="H303" s="11">
        <f>IF($A303="","",DATE(VALUE(LEFT($A303,4)),1,4)-WEEKDAY(DATE(VALUE(LEFT($A303,4)),1,4),2)+1+(VALUE(MID($A303,7,2))-1)*7+MATCH($B303,lista_dias,0)-1)</f>
        <v/>
      </c>
      <c r="I303" s="3">
        <f>IF(OR($F303="",ISNUMBER(MATCH($F303,lista_no_disponible,0)),(IFERROR(INDEX('CALENDARIO'!$C$15:$C$214,MATCH(TEXT($H303,"yyyy-mm-dd")&amp;"|"&amp;$D303&amp;"|"&amp;"",'CALENDARIO'!$G$15:$G$214,0)),IFERROR(INDEX('CALENDARIO'!$C$15:$C$214,MATCH(TEXT($H303,"yyyy-mm-dd")&amp;"|"&amp;$D303&amp;"|",'CALENDARIO'!$G$15:$G$214,0)),IFERROR(INDEX('CALENDARIO'!$C$15:$C$214,MATCH(TEXT($H303,"yyyy-mm-dd")&amp;"||",'CALENDARIO'!$G$15:$G$214,0)),INDEX(patronHabil,WEEKDAY($H303,2))))))&lt;&gt;"sí"),0,p_horas_jornada)</f>
        <v/>
      </c>
      <c r="J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11">
        <f>IF($A304="","",DATE(VALUE(LEFT($A304,4)),1,4)-WEEKDAY(DATE(VALUE(LEFT($A304,4)),1,4),2)+1+(VALUE(MID($A304,7,2))-1)*7+MATCH($B304,lista_dias,0)-1)</f>
        <v/>
      </c>
      <c r="I304" s="3">
        <f>IF(OR($F304="",ISNUMBER(MATCH($F304,lista_no_disponible,0)),(IFERROR(INDEX('CALENDARIO'!$C$15:$C$214,MATCH(TEXT($H304,"yyyy-mm-dd")&amp;"|"&amp;$D304&amp;"|"&amp;"",'CALENDARIO'!$G$15:$G$214,0)),IFERROR(INDEX('CALENDARIO'!$C$15:$C$214,MATCH(TEXT($H304,"yyyy-mm-dd")&amp;"|"&amp;$D304&amp;"|",'CALENDARIO'!$G$15:$G$214,0)),IFERROR(INDEX('CALENDARIO'!$C$15:$C$214,MATCH(TEXT($H304,"yyyy-mm-dd")&amp;"||",'CALENDARIO'!$G$15:$G$214,0)),INDEX(patronHabil,WEEKDAY($H304,2))))))&lt;&gt;"sí"),0,p_horas_jornada)</f>
        <v/>
      </c>
      <c r="J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11">
        <f>IF($A305="","",DATE(VALUE(LEFT($A305,4)),1,4)-WEEKDAY(DATE(VALUE(LEFT($A305,4)),1,4),2)+1+(VALUE(MID($A305,7,2))-1)*7+MATCH($B305,lista_dias,0)-1)</f>
        <v/>
      </c>
      <c r="I305" s="3">
        <f>IF(OR($F305="",ISNUMBER(MATCH($F305,lista_no_disponible,0)),(IFERROR(INDEX('CALENDARIO'!$C$15:$C$214,MATCH(TEXT($H305,"yyyy-mm-dd")&amp;"|"&amp;$D305&amp;"|"&amp;"",'CALENDARIO'!$G$15:$G$214,0)),IFERROR(INDEX('CALENDARIO'!$C$15:$C$214,MATCH(TEXT($H305,"yyyy-mm-dd")&amp;"|"&amp;$D305&amp;"|",'CALENDARIO'!$G$15:$G$214,0)),IFERROR(INDEX('CALENDARIO'!$C$15:$C$214,MATCH(TEXT($H305,"yyyy-mm-dd")&amp;"||",'CALENDARIO'!$G$15:$G$214,0)),INDEX(patronHabil,WEEKDAY($H305,2))))))&lt;&gt;"sí"),0,p_horas_jornada)</f>
        <v/>
      </c>
      <c r="J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11">
        <f>IF($A306="","",DATE(VALUE(LEFT($A306,4)),1,4)-WEEKDAY(DATE(VALUE(LEFT($A306,4)),1,4),2)+1+(VALUE(MID($A306,7,2))-1)*7+MATCH($B306,lista_dias,0)-1)</f>
        <v/>
      </c>
      <c r="I306" s="3">
        <f>IF(OR($F306="",ISNUMBER(MATCH($F306,lista_no_disponible,0)),(IFERROR(INDEX('CALENDARIO'!$C$15:$C$214,MATCH(TEXT($H306,"yyyy-mm-dd")&amp;"|"&amp;$D306&amp;"|"&amp;"",'CALENDARIO'!$G$15:$G$214,0)),IFERROR(INDEX('CALENDARIO'!$C$15:$C$214,MATCH(TEXT($H306,"yyyy-mm-dd")&amp;"|"&amp;$D306&amp;"|",'CALENDARIO'!$G$15:$G$214,0)),IFERROR(INDEX('CALENDARIO'!$C$15:$C$214,MATCH(TEXT($H306,"yyyy-mm-dd")&amp;"||",'CALENDARIO'!$G$15:$G$214,0)),INDEX(patronHabil,WEEKDAY($H306,2))))))&lt;&gt;"sí"),0,p_horas_jornada)</f>
        <v/>
      </c>
      <c r="J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11">
        <f>IF($A307="","",DATE(VALUE(LEFT($A307,4)),1,4)-WEEKDAY(DATE(VALUE(LEFT($A307,4)),1,4),2)+1+(VALUE(MID($A307,7,2))-1)*7+MATCH($B307,lista_dias,0)-1)</f>
        <v/>
      </c>
      <c r="I307" s="3">
        <f>IF(OR($F307="",ISNUMBER(MATCH($F307,lista_no_disponible,0)),(IFERROR(INDEX('CALENDARIO'!$C$15:$C$214,MATCH(TEXT($H307,"yyyy-mm-dd")&amp;"|"&amp;$D307&amp;"|"&amp;"",'CALENDARIO'!$G$15:$G$214,0)),IFERROR(INDEX('CALENDARIO'!$C$15:$C$214,MATCH(TEXT($H307,"yyyy-mm-dd")&amp;"|"&amp;$D307&amp;"|",'CALENDARIO'!$G$15:$G$214,0)),IFERROR(INDEX('CALENDARIO'!$C$15:$C$214,MATCH(TEXT($H307,"yyyy-mm-dd")&amp;"||",'CALENDARIO'!$G$15:$G$214,0)),INDEX(patronHabil,WEEKDAY($H307,2))))))&lt;&gt;"sí"),0,p_horas_jornada)</f>
        <v/>
      </c>
      <c r="J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11">
        <f>IF($A308="","",DATE(VALUE(LEFT($A308,4)),1,4)-WEEKDAY(DATE(VALUE(LEFT($A308,4)),1,4),2)+1+(VALUE(MID($A308,7,2))-1)*7+MATCH($B308,lista_dias,0)-1)</f>
        <v/>
      </c>
      <c r="I308" s="3">
        <f>IF(OR($F308="",ISNUMBER(MATCH($F308,lista_no_disponible,0)),(IFERROR(INDEX('CALENDARIO'!$C$15:$C$214,MATCH(TEXT($H308,"yyyy-mm-dd")&amp;"|"&amp;$D308&amp;"|"&amp;"",'CALENDARIO'!$G$15:$G$214,0)),IFERROR(INDEX('CALENDARIO'!$C$15:$C$214,MATCH(TEXT($H308,"yyyy-mm-dd")&amp;"|"&amp;$D308&amp;"|",'CALENDARIO'!$G$15:$G$214,0)),IFERROR(INDEX('CALENDARIO'!$C$15:$C$214,MATCH(TEXT($H308,"yyyy-mm-dd")&amp;"||",'CALENDARIO'!$G$15:$G$214,0)),INDEX(patronHabil,WEEKDAY($H308,2))))))&lt;&gt;"sí"),0,p_horas_jornada)</f>
        <v/>
      </c>
      <c r="J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11">
        <f>IF($A309="","",DATE(VALUE(LEFT($A309,4)),1,4)-WEEKDAY(DATE(VALUE(LEFT($A309,4)),1,4),2)+1+(VALUE(MID($A309,7,2))-1)*7+MATCH($B309,lista_dias,0)-1)</f>
        <v/>
      </c>
      <c r="I309" s="3">
        <f>IF(OR($F309="",ISNUMBER(MATCH($F309,lista_no_disponible,0)),(IFERROR(INDEX('CALENDARIO'!$C$15:$C$214,MATCH(TEXT($H309,"yyyy-mm-dd")&amp;"|"&amp;$D309&amp;"|"&amp;"",'CALENDARIO'!$G$15:$G$214,0)),IFERROR(INDEX('CALENDARIO'!$C$15:$C$214,MATCH(TEXT($H309,"yyyy-mm-dd")&amp;"|"&amp;$D309&amp;"|",'CALENDARIO'!$G$15:$G$214,0)),IFERROR(INDEX('CALENDARIO'!$C$15:$C$214,MATCH(TEXT($H309,"yyyy-mm-dd")&amp;"||",'CALENDARIO'!$G$15:$G$214,0)),INDEX(patronHabil,WEEKDAY($H309,2))))))&lt;&gt;"sí"),0,p_horas_jornada)</f>
        <v/>
      </c>
      <c r="J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>
        <is>
          <t>T3</t>
        </is>
      </c>
      <c r="G310" s="3">
        <f>IFERROR(INDEX('TECNICOS'!$E$4:$E$15,MATCH($C310,'TECNICOS'!$B$4:$B$15,0)),"")</f>
        <v/>
      </c>
      <c r="H310" s="11">
        <f>IF($A310="","",DATE(VALUE(LEFT($A310,4)),1,4)-WEEKDAY(DATE(VALUE(LEFT($A310,4)),1,4),2)+1+(VALUE(MID($A310,7,2))-1)*7+MATCH($B310,lista_dias,0)-1)</f>
        <v/>
      </c>
      <c r="I310" s="3">
        <f>IF(OR($F310="",ISNUMBER(MATCH($F310,lista_no_disponible,0)),(IFERROR(INDEX('CALENDARIO'!$C$15:$C$214,MATCH(TEXT($H310,"yyyy-mm-dd")&amp;"|"&amp;$D310&amp;"|"&amp;"",'CALENDARIO'!$G$15:$G$214,0)),IFERROR(INDEX('CALENDARIO'!$C$15:$C$214,MATCH(TEXT($H310,"yyyy-mm-dd")&amp;"|"&amp;$D310&amp;"|",'CALENDARIO'!$G$15:$G$214,0)),IFERROR(INDEX('CALENDARIO'!$C$15:$C$214,MATCH(TEXT($H310,"yyyy-mm-dd")&amp;"||",'CALENDARIO'!$G$15:$G$214,0)),INDEX(patronHabil,WEEKDAY($H310,2))))))&lt;&gt;"sí"),0,p_horas_jornada)</f>
        <v/>
      </c>
      <c r="J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11">
        <f>IF($A311="","",DATE(VALUE(LEFT($A311,4)),1,4)-WEEKDAY(DATE(VALUE(LEFT($A311,4)),1,4),2)+1+(VALUE(MID($A311,7,2))-1)*7+MATCH($B311,lista_dias,0)-1)</f>
        <v/>
      </c>
      <c r="I311" s="3">
        <f>IF(OR($F311="",ISNUMBER(MATCH($F311,lista_no_disponible,0)),(IFERROR(INDEX('CALENDARIO'!$C$15:$C$214,MATCH(TEXT($H311,"yyyy-mm-dd")&amp;"|"&amp;$D311&amp;"|"&amp;"",'CALENDARIO'!$G$15:$G$214,0)),IFERROR(INDEX('CALENDARIO'!$C$15:$C$214,MATCH(TEXT($H311,"yyyy-mm-dd")&amp;"|"&amp;$D311&amp;"|",'CALENDARIO'!$G$15:$G$214,0)),IFERROR(INDEX('CALENDARIO'!$C$15:$C$214,MATCH(TEXT($H311,"yyyy-mm-dd")&amp;"||",'CALENDARIO'!$G$15:$G$214,0)),INDEX(patronHabil,WEEKDAY($H311,2))))))&lt;&gt;"sí"),0,p_horas_jornada)</f>
        <v/>
      </c>
      <c r="J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11">
        <f>IF($A312="","",DATE(VALUE(LEFT($A312,4)),1,4)-WEEKDAY(DATE(VALUE(LEFT($A312,4)),1,4),2)+1+(VALUE(MID($A312,7,2))-1)*7+MATCH($B312,lista_dias,0)-1)</f>
        <v/>
      </c>
      <c r="I312" s="3">
        <f>IF(OR($F312="",ISNUMBER(MATCH($F312,lista_no_disponible,0)),(IFERROR(INDEX('CALENDARIO'!$C$15:$C$214,MATCH(TEXT($H312,"yyyy-mm-dd")&amp;"|"&amp;$D312&amp;"|"&amp;"",'CALENDARIO'!$G$15:$G$214,0)),IFERROR(INDEX('CALENDARIO'!$C$15:$C$214,MATCH(TEXT($H312,"yyyy-mm-dd")&amp;"|"&amp;$D312&amp;"|",'CALENDARIO'!$G$15:$G$214,0)),IFERROR(INDEX('CALENDARIO'!$C$15:$C$214,MATCH(TEXT($H312,"yyyy-mm-dd")&amp;"||",'CALENDARIO'!$G$15:$G$214,0)),INDEX(patronHabil,WEEKDAY($H312,2))))))&lt;&gt;"sí"),0,p_horas_jornada)</f>
        <v/>
      </c>
      <c r="J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11">
        <f>IF($A313="","",DATE(VALUE(LEFT($A313,4)),1,4)-WEEKDAY(DATE(VALUE(LEFT($A313,4)),1,4),2)+1+(VALUE(MID($A313,7,2))-1)*7+MATCH($B313,lista_dias,0)-1)</f>
        <v/>
      </c>
      <c r="I313" s="3">
        <f>IF(OR($F313="",ISNUMBER(MATCH($F313,lista_no_disponible,0)),(IFERROR(INDEX('CALENDARIO'!$C$15:$C$214,MATCH(TEXT($H313,"yyyy-mm-dd")&amp;"|"&amp;$D313&amp;"|"&amp;"",'CALENDARIO'!$G$15:$G$214,0)),IFERROR(INDEX('CALENDARIO'!$C$15:$C$214,MATCH(TEXT($H313,"yyyy-mm-dd")&amp;"|"&amp;$D313&amp;"|",'CALENDARIO'!$G$15:$G$214,0)),IFERROR(INDEX('CALENDARIO'!$C$15:$C$214,MATCH(TEXT($H313,"yyyy-mm-dd")&amp;"||",'CALENDARIO'!$G$15:$G$214,0)),INDEX(patronHabil,WEEKDAY($H313,2))))))&lt;&gt;"sí"),0,p_horas_jornada)</f>
        <v/>
      </c>
      <c r="J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11">
        <f>IF($A314="","",DATE(VALUE(LEFT($A314,4)),1,4)-WEEKDAY(DATE(VALUE(LEFT($A314,4)),1,4),2)+1+(VALUE(MID($A314,7,2))-1)*7+MATCH($B314,lista_dias,0)-1)</f>
        <v/>
      </c>
      <c r="I314" s="3">
        <f>IF(OR($F314="",ISNUMBER(MATCH($F314,lista_no_disponible,0)),(IFERROR(INDEX('CALENDARIO'!$C$15:$C$214,MATCH(TEXT($H314,"yyyy-mm-dd")&amp;"|"&amp;$D314&amp;"|"&amp;"",'CALENDARIO'!$G$15:$G$214,0)),IFERROR(INDEX('CALENDARIO'!$C$15:$C$214,MATCH(TEXT($H314,"yyyy-mm-dd")&amp;"|"&amp;$D314&amp;"|",'CALENDARIO'!$G$15:$G$214,0)),IFERROR(INDEX('CALENDARIO'!$C$15:$C$214,MATCH(TEXT($H314,"yyyy-mm-dd")&amp;"||",'CALENDARIO'!$G$15:$G$214,0)),INDEX(patronHabil,WEEKDAY($H314,2))))))&lt;&gt;"sí"),0,p_horas_jornada)</f>
        <v/>
      </c>
      <c r="J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11">
        <f>IF($A315="","",DATE(VALUE(LEFT($A315,4)),1,4)-WEEKDAY(DATE(VALUE(LEFT($A315,4)),1,4),2)+1+(VALUE(MID($A315,7,2))-1)*7+MATCH($B315,lista_dias,0)-1)</f>
        <v/>
      </c>
      <c r="I315" s="3">
        <f>IF(OR($F315="",ISNUMBER(MATCH($F315,lista_no_disponible,0)),(IFERROR(INDEX('CALENDARIO'!$C$15:$C$214,MATCH(TEXT($H315,"yyyy-mm-dd")&amp;"|"&amp;$D315&amp;"|"&amp;"",'CALENDARIO'!$G$15:$G$214,0)),IFERROR(INDEX('CALENDARIO'!$C$15:$C$214,MATCH(TEXT($H315,"yyyy-mm-dd")&amp;"|"&amp;$D315&amp;"|",'CALENDARIO'!$G$15:$G$214,0)),IFERROR(INDEX('CALENDARIO'!$C$15:$C$214,MATCH(TEXT($H315,"yyyy-mm-dd")&amp;"||",'CALENDARIO'!$G$15:$G$214,0)),INDEX(patronHabil,WEEKDAY($H315,2))))))&lt;&gt;"sí"),0,p_horas_jornada)</f>
        <v/>
      </c>
      <c r="J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11">
        <f>IF($A316="","",DATE(VALUE(LEFT($A316,4)),1,4)-WEEKDAY(DATE(VALUE(LEFT($A316,4)),1,4),2)+1+(VALUE(MID($A316,7,2))-1)*7+MATCH($B316,lista_dias,0)-1)</f>
        <v/>
      </c>
      <c r="I316" s="3">
        <f>IF(OR($F316="",ISNUMBER(MATCH($F316,lista_no_disponible,0)),(IFERROR(INDEX('CALENDARIO'!$C$15:$C$214,MATCH(TEXT($H316,"yyyy-mm-dd")&amp;"|"&amp;$D316&amp;"|"&amp;"",'CALENDARIO'!$G$15:$G$214,0)),IFERROR(INDEX('CALENDARIO'!$C$15:$C$214,MATCH(TEXT($H316,"yyyy-mm-dd")&amp;"|"&amp;$D316&amp;"|",'CALENDARIO'!$G$15:$G$214,0)),IFERROR(INDEX('CALENDARIO'!$C$15:$C$214,MATCH(TEXT($H316,"yyyy-mm-dd")&amp;"||",'CALENDARIO'!$G$15:$G$214,0)),INDEX(patronHabil,WEEKDAY($H316,2))))))&lt;&gt;"sí"),0,p_horas_jornada)</f>
        <v/>
      </c>
      <c r="J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>
        <is>
          <t>T1</t>
        </is>
      </c>
      <c r="G317" s="3">
        <f>IFERROR(INDEX('TECNICOS'!$E$4:$E$15,MATCH($C317,'TECNICOS'!$B$4:$B$15,0)),"")</f>
        <v/>
      </c>
      <c r="H317" s="11">
        <f>IF($A317="","",DATE(VALUE(LEFT($A317,4)),1,4)-WEEKDAY(DATE(VALUE(LEFT($A317,4)),1,4),2)+1+(VALUE(MID($A317,7,2))-1)*7+MATCH($B317,lista_dias,0)-1)</f>
        <v/>
      </c>
      <c r="I317" s="3">
        <f>IF(OR($F317="",ISNUMBER(MATCH($F317,lista_no_disponible,0)),(IFERROR(INDEX('CALENDARIO'!$C$15:$C$214,MATCH(TEXT($H317,"yyyy-mm-dd")&amp;"|"&amp;$D317&amp;"|"&amp;"",'CALENDARIO'!$G$15:$G$214,0)),IFERROR(INDEX('CALENDARIO'!$C$15:$C$214,MATCH(TEXT($H317,"yyyy-mm-dd")&amp;"|"&amp;$D317&amp;"|",'CALENDARIO'!$G$15:$G$214,0)),IFERROR(INDEX('CALENDARIO'!$C$15:$C$214,MATCH(TEXT($H317,"yyyy-mm-dd")&amp;"||",'CALENDARIO'!$G$15:$G$214,0)),INDEX(patronHabil,WEEKDAY($H317,2))))))&lt;&gt;"sí"),0,p_horas_jornada)</f>
        <v/>
      </c>
      <c r="J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11">
        <f>IF($A318="","",DATE(VALUE(LEFT($A318,4)),1,4)-WEEKDAY(DATE(VALUE(LEFT($A318,4)),1,4),2)+1+(VALUE(MID($A318,7,2))-1)*7+MATCH($B318,lista_dias,0)-1)</f>
        <v/>
      </c>
      <c r="I318" s="3">
        <f>IF(OR($F318="",ISNUMBER(MATCH($F318,lista_no_disponible,0)),(IFERROR(INDEX('CALENDARIO'!$C$15:$C$214,MATCH(TEXT($H318,"yyyy-mm-dd")&amp;"|"&amp;$D318&amp;"|"&amp;"",'CALENDARIO'!$G$15:$G$214,0)),IFERROR(INDEX('CALENDARIO'!$C$15:$C$214,MATCH(TEXT($H318,"yyyy-mm-dd")&amp;"|"&amp;$D318&amp;"|",'CALENDARIO'!$G$15:$G$214,0)),IFERROR(INDEX('CALENDARIO'!$C$15:$C$214,MATCH(TEXT($H318,"yyyy-mm-dd")&amp;"||",'CALENDARIO'!$G$15:$G$214,0)),INDEX(patronHabil,WEEKDAY($H318,2))))))&lt;&gt;"sí"),0,p_horas_jornada)</f>
        <v/>
      </c>
      <c r="J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11">
        <f>IF($A319="","",DATE(VALUE(LEFT($A319,4)),1,4)-WEEKDAY(DATE(VALUE(LEFT($A319,4)),1,4),2)+1+(VALUE(MID($A319,7,2))-1)*7+MATCH($B319,lista_dias,0)-1)</f>
        <v/>
      </c>
      <c r="I319" s="3">
        <f>IF(OR($F319="",ISNUMBER(MATCH($F319,lista_no_disponible,0)),(IFERROR(INDEX('CALENDARIO'!$C$15:$C$214,MATCH(TEXT($H319,"yyyy-mm-dd")&amp;"|"&amp;$D319&amp;"|"&amp;"",'CALENDARIO'!$G$15:$G$214,0)),IFERROR(INDEX('CALENDARIO'!$C$15:$C$214,MATCH(TEXT($H319,"yyyy-mm-dd")&amp;"|"&amp;$D319&amp;"|",'CALENDARIO'!$G$15:$G$214,0)),IFERROR(INDEX('CALENDARIO'!$C$15:$C$214,MATCH(TEXT($H319,"yyyy-mm-dd")&amp;"||",'CALENDARIO'!$G$15:$G$214,0)),INDEX(patronHabil,WEEKDAY($H319,2))))))&lt;&gt;"sí"),0,p_horas_jornada)</f>
        <v/>
      </c>
      <c r="J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11">
        <f>IF($A320="","",DATE(VALUE(LEFT($A320,4)),1,4)-WEEKDAY(DATE(VALUE(LEFT($A320,4)),1,4),2)+1+(VALUE(MID($A320,7,2))-1)*7+MATCH($B320,lista_dias,0)-1)</f>
        <v/>
      </c>
      <c r="I320" s="3">
        <f>IF(OR($F320="",ISNUMBER(MATCH($F320,lista_no_disponible,0)),(IFERROR(INDEX('CALENDARIO'!$C$15:$C$214,MATCH(TEXT($H320,"yyyy-mm-dd")&amp;"|"&amp;$D320&amp;"|"&amp;"",'CALENDARIO'!$G$15:$G$214,0)),IFERROR(INDEX('CALENDARIO'!$C$15:$C$214,MATCH(TEXT($H320,"yyyy-mm-dd")&amp;"|"&amp;$D320&amp;"|",'CALENDARIO'!$G$15:$G$214,0)),IFERROR(INDEX('CALENDARIO'!$C$15:$C$214,MATCH(TEXT($H320,"yyyy-mm-dd")&amp;"||",'CALENDARIO'!$G$15:$G$214,0)),INDEX(patronHabil,WEEKDAY($H320,2))))))&lt;&gt;"sí"),0,p_horas_jornada)</f>
        <v/>
      </c>
      <c r="J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11">
        <f>IF($A321="","",DATE(VALUE(LEFT($A321,4)),1,4)-WEEKDAY(DATE(VALUE(LEFT($A321,4)),1,4),2)+1+(VALUE(MID($A321,7,2))-1)*7+MATCH($B321,lista_dias,0)-1)</f>
        <v/>
      </c>
      <c r="I321" s="3">
        <f>IF(OR($F321="",ISNUMBER(MATCH($F321,lista_no_disponible,0)),(IFERROR(INDEX('CALENDARIO'!$C$15:$C$214,MATCH(TEXT($H321,"yyyy-mm-dd")&amp;"|"&amp;$D321&amp;"|"&amp;"",'CALENDARIO'!$G$15:$G$214,0)),IFERROR(INDEX('CALENDARIO'!$C$15:$C$214,MATCH(TEXT($H321,"yyyy-mm-dd")&amp;"|"&amp;$D321&amp;"|",'CALENDARIO'!$G$15:$G$214,0)),IFERROR(INDEX('CALENDARIO'!$C$15:$C$214,MATCH(TEXT($H321,"yyyy-mm-dd")&amp;"||",'CALENDARIO'!$G$15:$G$214,0)),INDEX(patronHabil,WEEKDAY($H321,2))))))&lt;&gt;"sí"),0,p_horas_jornada)</f>
        <v/>
      </c>
      <c r="J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11">
        <f>IF($A322="","",DATE(VALUE(LEFT($A322,4)),1,4)-WEEKDAY(DATE(VALUE(LEFT($A322,4)),1,4),2)+1+(VALUE(MID($A322,7,2))-1)*7+MATCH($B322,lista_dias,0)-1)</f>
        <v/>
      </c>
      <c r="I322" s="3">
        <f>IF(OR($F322="",ISNUMBER(MATCH($F322,lista_no_disponible,0)),(IFERROR(INDEX('CALENDARIO'!$C$15:$C$214,MATCH(TEXT($H322,"yyyy-mm-dd")&amp;"|"&amp;$D322&amp;"|"&amp;"",'CALENDARIO'!$G$15:$G$214,0)),IFERROR(INDEX('CALENDARIO'!$C$15:$C$214,MATCH(TEXT($H322,"yyyy-mm-dd")&amp;"|"&amp;$D322&amp;"|",'CALENDARIO'!$G$15:$G$214,0)),IFERROR(INDEX('CALENDARIO'!$C$15:$C$214,MATCH(TEXT($H322,"yyyy-mm-dd")&amp;"||",'CALENDARIO'!$G$15:$G$214,0)),INDEX(patronHabil,WEEKDAY($H322,2))))))&lt;&gt;"sí"),0,p_horas_jornada)</f>
        <v/>
      </c>
      <c r="J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11">
        <f>IF($A323="","",DATE(VALUE(LEFT($A323,4)),1,4)-WEEKDAY(DATE(VALUE(LEFT($A323,4)),1,4),2)+1+(VALUE(MID($A323,7,2))-1)*7+MATCH($B323,lista_dias,0)-1)</f>
        <v/>
      </c>
      <c r="I323" s="3">
        <f>IF(OR($F323="",ISNUMBER(MATCH($F323,lista_no_disponible,0)),(IFERROR(INDEX('CALENDARIO'!$C$15:$C$214,MATCH(TEXT($H323,"yyyy-mm-dd")&amp;"|"&amp;$D323&amp;"|"&amp;"",'CALENDARIO'!$G$15:$G$214,0)),IFERROR(INDEX('CALENDARIO'!$C$15:$C$214,MATCH(TEXT($H323,"yyyy-mm-dd")&amp;"|"&amp;$D323&amp;"|",'CALENDARIO'!$G$15:$G$214,0)),IFERROR(INDEX('CALENDARIO'!$C$15:$C$214,MATCH(TEXT($H323,"yyyy-mm-dd")&amp;"||",'CALENDARIO'!$G$15:$G$214,0)),INDEX(patronHabil,WEEKDAY($H323,2))))))&lt;&gt;"sí"),0,p_horas_jornada)</f>
        <v/>
      </c>
      <c r="J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>
        <is>
          <t>B1</t>
        </is>
      </c>
      <c r="G324" s="3">
        <f>IFERROR(INDEX('TECNICOS'!$E$4:$E$15,MATCH($C324,'TECNICOS'!$B$4:$B$15,0)),"")</f>
        <v/>
      </c>
      <c r="H324" s="11">
        <f>IF($A324="","",DATE(VALUE(LEFT($A324,4)),1,4)-WEEKDAY(DATE(VALUE(LEFT($A324,4)),1,4),2)+1+(VALUE(MID($A324,7,2))-1)*7+MATCH($B324,lista_dias,0)-1)</f>
        <v/>
      </c>
      <c r="I324" s="3">
        <f>IF(OR($F324="",ISNUMBER(MATCH($F324,lista_no_disponible,0)),(IFERROR(INDEX('CALENDARIO'!$C$15:$C$214,MATCH(TEXT($H324,"yyyy-mm-dd")&amp;"|"&amp;$D324&amp;"|"&amp;"",'CALENDARIO'!$G$15:$G$214,0)),IFERROR(INDEX('CALENDARIO'!$C$15:$C$214,MATCH(TEXT($H324,"yyyy-mm-dd")&amp;"|"&amp;$D324&amp;"|",'CALENDARIO'!$G$15:$G$214,0)),IFERROR(INDEX('CALENDARIO'!$C$15:$C$214,MATCH(TEXT($H324,"yyyy-mm-dd")&amp;"||",'CALENDARIO'!$G$15:$G$214,0)),INDEX(patronHabil,WEEKDAY($H324,2))))))&lt;&gt;"sí"),0,p_horas_jornada)</f>
        <v/>
      </c>
      <c r="J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11">
        <f>IF($A325="","",DATE(VALUE(LEFT($A325,4)),1,4)-WEEKDAY(DATE(VALUE(LEFT($A325,4)),1,4),2)+1+(VALUE(MID($A325,7,2))-1)*7+MATCH($B325,lista_dias,0)-1)</f>
        <v/>
      </c>
      <c r="I325" s="3">
        <f>IF(OR($F325="",ISNUMBER(MATCH($F325,lista_no_disponible,0)),(IFERROR(INDEX('CALENDARIO'!$C$15:$C$214,MATCH(TEXT($H325,"yyyy-mm-dd")&amp;"|"&amp;$D325&amp;"|"&amp;"",'CALENDARIO'!$G$15:$G$214,0)),IFERROR(INDEX('CALENDARIO'!$C$15:$C$214,MATCH(TEXT($H325,"yyyy-mm-dd")&amp;"|"&amp;$D325&amp;"|",'CALENDARIO'!$G$15:$G$214,0)),IFERROR(INDEX('CALENDARIO'!$C$15:$C$214,MATCH(TEXT($H325,"yyyy-mm-dd")&amp;"||",'CALENDARIO'!$G$15:$G$214,0)),INDEX(patronHabil,WEEKDAY($H325,2))))))&lt;&gt;"sí"),0,p_horas_jornada)</f>
        <v/>
      </c>
      <c r="J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11">
        <f>IF($A326="","",DATE(VALUE(LEFT($A326,4)),1,4)-WEEKDAY(DATE(VALUE(LEFT($A326,4)),1,4),2)+1+(VALUE(MID($A326,7,2))-1)*7+MATCH($B326,lista_dias,0)-1)</f>
        <v/>
      </c>
      <c r="I326" s="3">
        <f>IF(OR($F326="",ISNUMBER(MATCH($F326,lista_no_disponible,0)),(IFERROR(INDEX('CALENDARIO'!$C$15:$C$214,MATCH(TEXT($H326,"yyyy-mm-dd")&amp;"|"&amp;$D326&amp;"|"&amp;"",'CALENDARIO'!$G$15:$G$214,0)),IFERROR(INDEX('CALENDARIO'!$C$15:$C$214,MATCH(TEXT($H326,"yyyy-mm-dd")&amp;"|"&amp;$D326&amp;"|",'CALENDARIO'!$G$15:$G$214,0)),IFERROR(INDEX('CALENDARIO'!$C$15:$C$214,MATCH(TEXT($H326,"yyyy-mm-dd")&amp;"||",'CALENDARIO'!$G$15:$G$214,0)),INDEX(patronHabil,WEEKDAY($H326,2))))))&lt;&gt;"sí"),0,p_horas_jornada)</f>
        <v/>
      </c>
      <c r="J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11">
        <f>IF($A327="","",DATE(VALUE(LEFT($A327,4)),1,4)-WEEKDAY(DATE(VALUE(LEFT($A327,4)),1,4),2)+1+(VALUE(MID($A327,7,2))-1)*7+MATCH($B327,lista_dias,0)-1)</f>
        <v/>
      </c>
      <c r="I327" s="3">
        <f>IF(OR($F327="",ISNUMBER(MATCH($F327,lista_no_disponible,0)),(IFERROR(INDEX('CALENDARIO'!$C$15:$C$214,MATCH(TEXT($H327,"yyyy-mm-dd")&amp;"|"&amp;$D327&amp;"|"&amp;"",'CALENDARIO'!$G$15:$G$214,0)),IFERROR(INDEX('CALENDARIO'!$C$15:$C$214,MATCH(TEXT($H327,"yyyy-mm-dd")&amp;"|"&amp;$D327&amp;"|",'CALENDARIO'!$G$15:$G$214,0)),IFERROR(INDEX('CALENDARIO'!$C$15:$C$214,MATCH(TEXT($H327,"yyyy-mm-dd")&amp;"||",'CALENDARIO'!$G$15:$G$214,0)),INDEX(patronHabil,WEEKDAY($H327,2))))))&lt;&gt;"sí"),0,p_horas_jornada)</f>
        <v/>
      </c>
      <c r="J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11">
        <f>IF($A328="","",DATE(VALUE(LEFT($A328,4)),1,4)-WEEKDAY(DATE(VALUE(LEFT($A328,4)),1,4),2)+1+(VALUE(MID($A328,7,2))-1)*7+MATCH($B328,lista_dias,0)-1)</f>
        <v/>
      </c>
      <c r="I328" s="3">
        <f>IF(OR($F328="",ISNUMBER(MATCH($F328,lista_no_disponible,0)),(IFERROR(INDEX('CALENDARIO'!$C$15:$C$214,MATCH(TEXT($H328,"yyyy-mm-dd")&amp;"|"&amp;$D328&amp;"|"&amp;"",'CALENDARIO'!$G$15:$G$214,0)),IFERROR(INDEX('CALENDARIO'!$C$15:$C$214,MATCH(TEXT($H328,"yyyy-mm-dd")&amp;"|"&amp;$D328&amp;"|",'CALENDARIO'!$G$15:$G$214,0)),IFERROR(INDEX('CALENDARIO'!$C$15:$C$214,MATCH(TEXT($H328,"yyyy-mm-dd")&amp;"||",'CALENDARIO'!$G$15:$G$214,0)),INDEX(patronHabil,WEEKDAY($H328,2))))))&lt;&gt;"sí"),0,p_horas_jornada)</f>
        <v/>
      </c>
      <c r="J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11">
        <f>IF($A329="","",DATE(VALUE(LEFT($A329,4)),1,4)-WEEKDAY(DATE(VALUE(LEFT($A329,4)),1,4),2)+1+(VALUE(MID($A329,7,2))-1)*7+MATCH($B329,lista_dias,0)-1)</f>
        <v/>
      </c>
      <c r="I329" s="3">
        <f>IF(OR($F329="",ISNUMBER(MATCH($F329,lista_no_disponible,0)),(IFERROR(INDEX('CALENDARIO'!$C$15:$C$214,MATCH(TEXT($H329,"yyyy-mm-dd")&amp;"|"&amp;$D329&amp;"|"&amp;"",'CALENDARIO'!$G$15:$G$214,0)),IFERROR(INDEX('CALENDARIO'!$C$15:$C$214,MATCH(TEXT($H329,"yyyy-mm-dd")&amp;"|"&amp;$D329&amp;"|",'CALENDARIO'!$G$15:$G$214,0)),IFERROR(INDEX('CALENDARIO'!$C$15:$C$214,MATCH(TEXT($H329,"yyyy-mm-dd")&amp;"||",'CALENDARIO'!$G$15:$G$214,0)),INDEX(patronHabil,WEEKDAY($H329,2))))))&lt;&gt;"sí"),0,p_horas_jornada)</f>
        <v/>
      </c>
      <c r="J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11">
        <f>IF($A330="","",DATE(VALUE(LEFT($A330,4)),1,4)-WEEKDAY(DATE(VALUE(LEFT($A330,4)),1,4),2)+1+(VALUE(MID($A330,7,2))-1)*7+MATCH($B330,lista_dias,0)-1)</f>
        <v/>
      </c>
      <c r="I330" s="3">
        <f>IF(OR($F330="",ISNUMBER(MATCH($F330,lista_no_disponible,0)),(IFERROR(INDEX('CALENDARIO'!$C$15:$C$214,MATCH(TEXT($H330,"yyyy-mm-dd")&amp;"|"&amp;$D330&amp;"|"&amp;"",'CALENDARIO'!$G$15:$G$214,0)),IFERROR(INDEX('CALENDARIO'!$C$15:$C$214,MATCH(TEXT($H330,"yyyy-mm-dd")&amp;"|"&amp;$D330&amp;"|",'CALENDARIO'!$G$15:$G$214,0)),IFERROR(INDEX('CALENDARIO'!$C$15:$C$214,MATCH(TEXT($H330,"yyyy-mm-dd")&amp;"||",'CALENDARIO'!$G$15:$G$214,0)),INDEX(patronHabil,WEEKDAY($H330,2))))))&lt;&gt;"sí"),0,p_horas_jornada)</f>
        <v/>
      </c>
      <c r="J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>
        <is>
          <t>T1</t>
        </is>
      </c>
      <c r="G331" s="3">
        <f>IFERROR(INDEX('TECNICOS'!$E$4:$E$15,MATCH($C331,'TECNICOS'!$B$4:$B$15,0)),"")</f>
        <v/>
      </c>
      <c r="H331" s="11">
        <f>IF($A331="","",DATE(VALUE(LEFT($A331,4)),1,4)-WEEKDAY(DATE(VALUE(LEFT($A331,4)),1,4),2)+1+(VALUE(MID($A331,7,2))-1)*7+MATCH($B331,lista_dias,0)-1)</f>
        <v/>
      </c>
      <c r="I331" s="3">
        <f>IF(OR($F331="",ISNUMBER(MATCH($F331,lista_no_disponible,0)),(IFERROR(INDEX('CALENDARIO'!$C$15:$C$214,MATCH(TEXT($H331,"yyyy-mm-dd")&amp;"|"&amp;$D331&amp;"|"&amp;"",'CALENDARIO'!$G$15:$G$214,0)),IFERROR(INDEX('CALENDARIO'!$C$15:$C$214,MATCH(TEXT($H331,"yyyy-mm-dd")&amp;"|"&amp;$D331&amp;"|",'CALENDARIO'!$G$15:$G$214,0)),IFERROR(INDEX('CALENDARIO'!$C$15:$C$214,MATCH(TEXT($H331,"yyyy-mm-dd")&amp;"||",'CALENDARIO'!$G$15:$G$214,0)),INDEX(patronHabil,WEEKDAY($H331,2))))))&lt;&gt;"sí"),0,p_horas_jornada)</f>
        <v/>
      </c>
      <c r="J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11">
        <f>IF($A332="","",DATE(VALUE(LEFT($A332,4)),1,4)-WEEKDAY(DATE(VALUE(LEFT($A332,4)),1,4),2)+1+(VALUE(MID($A332,7,2))-1)*7+MATCH($B332,lista_dias,0)-1)</f>
        <v/>
      </c>
      <c r="I332" s="3">
        <f>IF(OR($F332="",ISNUMBER(MATCH($F332,lista_no_disponible,0)),(IFERROR(INDEX('CALENDARIO'!$C$15:$C$214,MATCH(TEXT($H332,"yyyy-mm-dd")&amp;"|"&amp;$D332&amp;"|"&amp;"",'CALENDARIO'!$G$15:$G$214,0)),IFERROR(INDEX('CALENDARIO'!$C$15:$C$214,MATCH(TEXT($H332,"yyyy-mm-dd")&amp;"|"&amp;$D332&amp;"|",'CALENDARIO'!$G$15:$G$214,0)),IFERROR(INDEX('CALENDARIO'!$C$15:$C$214,MATCH(TEXT($H332,"yyyy-mm-dd")&amp;"||",'CALENDARIO'!$G$15:$G$214,0)),INDEX(patronHabil,WEEKDAY($H332,2))))))&lt;&gt;"sí"),0,p_horas_jornada)</f>
        <v/>
      </c>
      <c r="J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11">
        <f>IF($A333="","",DATE(VALUE(LEFT($A333,4)),1,4)-WEEKDAY(DATE(VALUE(LEFT($A333,4)),1,4),2)+1+(VALUE(MID($A333,7,2))-1)*7+MATCH($B333,lista_dias,0)-1)</f>
        <v/>
      </c>
      <c r="I333" s="3">
        <f>IF(OR($F333="",ISNUMBER(MATCH($F333,lista_no_disponible,0)),(IFERROR(INDEX('CALENDARIO'!$C$15:$C$214,MATCH(TEXT($H333,"yyyy-mm-dd")&amp;"|"&amp;$D333&amp;"|"&amp;"",'CALENDARIO'!$G$15:$G$214,0)),IFERROR(INDEX('CALENDARIO'!$C$15:$C$214,MATCH(TEXT($H333,"yyyy-mm-dd")&amp;"|"&amp;$D333&amp;"|",'CALENDARIO'!$G$15:$G$214,0)),IFERROR(INDEX('CALENDARIO'!$C$15:$C$214,MATCH(TEXT($H333,"yyyy-mm-dd")&amp;"||",'CALENDARIO'!$G$15:$G$214,0)),INDEX(patronHabil,WEEKDAY($H333,2))))))&lt;&gt;"sí"),0,p_horas_jornada)</f>
        <v/>
      </c>
      <c r="J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11">
        <f>IF($A334="","",DATE(VALUE(LEFT($A334,4)),1,4)-WEEKDAY(DATE(VALUE(LEFT($A334,4)),1,4),2)+1+(VALUE(MID($A334,7,2))-1)*7+MATCH($B334,lista_dias,0)-1)</f>
        <v/>
      </c>
      <c r="I334" s="3">
        <f>IF(OR($F334="",ISNUMBER(MATCH($F334,lista_no_disponible,0)),(IFERROR(INDEX('CALENDARIO'!$C$15:$C$214,MATCH(TEXT($H334,"yyyy-mm-dd")&amp;"|"&amp;$D334&amp;"|"&amp;"",'CALENDARIO'!$G$15:$G$214,0)),IFERROR(INDEX('CALENDARIO'!$C$15:$C$214,MATCH(TEXT($H334,"yyyy-mm-dd")&amp;"|"&amp;$D334&amp;"|",'CALENDARIO'!$G$15:$G$214,0)),IFERROR(INDEX('CALENDARIO'!$C$15:$C$214,MATCH(TEXT($H334,"yyyy-mm-dd")&amp;"||",'CALENDARIO'!$G$15:$G$214,0)),INDEX(patronHabil,WEEKDAY($H334,2))))))&lt;&gt;"sí"),0,p_horas_jornada)</f>
        <v/>
      </c>
      <c r="J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11">
        <f>IF($A335="","",DATE(VALUE(LEFT($A335,4)),1,4)-WEEKDAY(DATE(VALUE(LEFT($A335,4)),1,4),2)+1+(VALUE(MID($A335,7,2))-1)*7+MATCH($B335,lista_dias,0)-1)</f>
        <v/>
      </c>
      <c r="I335" s="3">
        <f>IF(OR($F335="",ISNUMBER(MATCH($F335,lista_no_disponible,0)),(IFERROR(INDEX('CALENDARIO'!$C$15:$C$214,MATCH(TEXT($H335,"yyyy-mm-dd")&amp;"|"&amp;$D335&amp;"|"&amp;"",'CALENDARIO'!$G$15:$G$214,0)),IFERROR(INDEX('CALENDARIO'!$C$15:$C$214,MATCH(TEXT($H335,"yyyy-mm-dd")&amp;"|"&amp;$D335&amp;"|",'CALENDARIO'!$G$15:$G$214,0)),IFERROR(INDEX('CALENDARIO'!$C$15:$C$214,MATCH(TEXT($H335,"yyyy-mm-dd")&amp;"||",'CALENDARIO'!$G$15:$G$214,0)),INDEX(patronHabil,WEEKDAY($H335,2))))))&lt;&gt;"sí"),0,p_horas_jornada)</f>
        <v/>
      </c>
      <c r="J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11">
        <f>IF($A336="","",DATE(VALUE(LEFT($A336,4)),1,4)-WEEKDAY(DATE(VALUE(LEFT($A336,4)),1,4),2)+1+(VALUE(MID($A336,7,2))-1)*7+MATCH($B336,lista_dias,0)-1)</f>
        <v/>
      </c>
      <c r="I336" s="3">
        <f>IF(OR($F336="",ISNUMBER(MATCH($F336,lista_no_disponible,0)),(IFERROR(INDEX('CALENDARIO'!$C$15:$C$214,MATCH(TEXT($H336,"yyyy-mm-dd")&amp;"|"&amp;$D336&amp;"|"&amp;"",'CALENDARIO'!$G$15:$G$214,0)),IFERROR(INDEX('CALENDARIO'!$C$15:$C$214,MATCH(TEXT($H336,"yyyy-mm-dd")&amp;"|"&amp;$D336&amp;"|",'CALENDARIO'!$G$15:$G$214,0)),IFERROR(INDEX('CALENDARIO'!$C$15:$C$214,MATCH(TEXT($H336,"yyyy-mm-dd")&amp;"||",'CALENDARIO'!$G$15:$G$214,0)),INDEX(patronHabil,WEEKDAY($H336,2))))))&lt;&gt;"sí"),0,p_horas_jornada)</f>
        <v/>
      </c>
      <c r="J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11">
        <f>IF($A337="","",DATE(VALUE(LEFT($A337,4)),1,4)-WEEKDAY(DATE(VALUE(LEFT($A337,4)),1,4),2)+1+(VALUE(MID($A337,7,2))-1)*7+MATCH($B337,lista_dias,0)-1)</f>
        <v/>
      </c>
      <c r="I337" s="3">
        <f>IF(OR($F337="",ISNUMBER(MATCH($F337,lista_no_disponible,0)),(IFERROR(INDEX('CALENDARIO'!$C$15:$C$214,MATCH(TEXT($H337,"yyyy-mm-dd")&amp;"|"&amp;$D337&amp;"|"&amp;"",'CALENDARIO'!$G$15:$G$214,0)),IFERROR(INDEX('CALENDARIO'!$C$15:$C$214,MATCH(TEXT($H337,"yyyy-mm-dd")&amp;"|"&amp;$D337&amp;"|",'CALENDARIO'!$G$15:$G$214,0)),IFERROR(INDEX('CALENDARIO'!$C$15:$C$214,MATCH(TEXT($H337,"yyyy-mm-dd")&amp;"||",'CALENDARIO'!$G$15:$G$214,0)),INDEX(patronHabil,WEEKDAY($H337,2))))))&lt;&gt;"sí"),0,p_horas_jornada)</f>
        <v/>
      </c>
      <c r="J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>
        <is>
          <t>T1</t>
        </is>
      </c>
      <c r="G338" s="3">
        <f>IFERROR(INDEX('TECNICOS'!$E$4:$E$15,MATCH($C338,'TECNICOS'!$B$4:$B$15,0)),"")</f>
        <v/>
      </c>
      <c r="H338" s="11">
        <f>IF($A338="","",DATE(VALUE(LEFT($A338,4)),1,4)-WEEKDAY(DATE(VALUE(LEFT($A338,4)),1,4),2)+1+(VALUE(MID($A338,7,2))-1)*7+MATCH($B338,lista_dias,0)-1)</f>
        <v/>
      </c>
      <c r="I338" s="3">
        <f>IF(OR($F338="",ISNUMBER(MATCH($F338,lista_no_disponible,0)),(IFERROR(INDEX('CALENDARIO'!$C$15:$C$214,MATCH(TEXT($H338,"yyyy-mm-dd")&amp;"|"&amp;$D338&amp;"|"&amp;"",'CALENDARIO'!$G$15:$G$214,0)),IFERROR(INDEX('CALENDARIO'!$C$15:$C$214,MATCH(TEXT($H338,"yyyy-mm-dd")&amp;"|"&amp;$D338&amp;"|",'CALENDARIO'!$G$15:$G$214,0)),IFERROR(INDEX('CALENDARIO'!$C$15:$C$214,MATCH(TEXT($H338,"yyyy-mm-dd")&amp;"||",'CALENDARIO'!$G$15:$G$214,0)),INDEX(patronHabil,WEEKDAY($H338,2))))))&lt;&gt;"sí"),0,p_horas_jornada)</f>
        <v/>
      </c>
      <c r="J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11">
        <f>IF($A339="","",DATE(VALUE(LEFT($A339,4)),1,4)-WEEKDAY(DATE(VALUE(LEFT($A339,4)),1,4),2)+1+(VALUE(MID($A339,7,2))-1)*7+MATCH($B339,lista_dias,0)-1)</f>
        <v/>
      </c>
      <c r="I339" s="3">
        <f>IF(OR($F339="",ISNUMBER(MATCH($F339,lista_no_disponible,0)),(IFERROR(INDEX('CALENDARIO'!$C$15:$C$214,MATCH(TEXT($H339,"yyyy-mm-dd")&amp;"|"&amp;$D339&amp;"|"&amp;"",'CALENDARIO'!$G$15:$G$214,0)),IFERROR(INDEX('CALENDARIO'!$C$15:$C$214,MATCH(TEXT($H339,"yyyy-mm-dd")&amp;"|"&amp;$D339&amp;"|",'CALENDARIO'!$G$15:$G$214,0)),IFERROR(INDEX('CALENDARIO'!$C$15:$C$214,MATCH(TEXT($H339,"yyyy-mm-dd")&amp;"||",'CALENDARIO'!$G$15:$G$214,0)),INDEX(patronHabil,WEEKDAY($H339,2))))))&lt;&gt;"sí"),0,p_horas_jornada)</f>
        <v/>
      </c>
      <c r="J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46225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46225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46225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46225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1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1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1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1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1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1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1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1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1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1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1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1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1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1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1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1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1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1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1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1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1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1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1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1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1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1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1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1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1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1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1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1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1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1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1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1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1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1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1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1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1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1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1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1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1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1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1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1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1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1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1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1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1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1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1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1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1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1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1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1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1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1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1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1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1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1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1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1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1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1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1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1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1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1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1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1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1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1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1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1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1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1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1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1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1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1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1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1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1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1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1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1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1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1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1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1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1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1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1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1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1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1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1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1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1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1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1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1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1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1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1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1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1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1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1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1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1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1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1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1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1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1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1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1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1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1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1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1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1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1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1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1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1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1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1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1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1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1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1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1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1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1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1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1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1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1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1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1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1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1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1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1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1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1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1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1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1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1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1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1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1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1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1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1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1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1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1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1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1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1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1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1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1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1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1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1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1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1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1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1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1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1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1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1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1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1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1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1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1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1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1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1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1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1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1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1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1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1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1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1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1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SUMIFS('ASIGNACIONES'!$I$4:$I$339,'ASIGNACIONES'!$E$4:$E$339,$A4,'ASIGNACIONES'!$A$4:$A$339,$B4)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SUMIFS('ASIGNACIONES'!$I$4:$I$339,'ASIGNACIONES'!$E$4:$E$339,$A5,'ASIGNACIONES'!$A$4:$A$339,$B5)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SUMIFS('ASIGNACIONES'!$I$4:$I$339,'ASIGNACIONES'!$E$4:$E$339,$A6,'ASIGNACIONES'!$A$4:$A$339,$B6)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SUMIFS('ASIGNACIONES'!$I$4:$I$339,'ASIGNACIONES'!$E$4:$E$339,$A7,'ASIGNACIONES'!$A$4:$A$339,$B7)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SUMIFS('ASIGNACIONES'!$I$4:$I$339,'ASIGNACIONES'!$E$4:$E$339,$A8,'ASIGNACIONES'!$A$4:$A$339,$B8)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SUMIFS('ASIGNACIONES'!$I$4:$I$339,'ASIGNACIONES'!$E$4:$E$339,$A9,'ASIGNACIONES'!$A$4:$A$339,$B9)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SUMIFS('ASIGNACIONES'!$I$4:$I$339,'ASIGNACIONES'!$E$4:$E$339,$A10,'ASIGNACIONES'!$A$4:$A$339,$B10)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SUMIFS('ASIGNACIONES'!$I$4:$I$339,'ASIGNACIONES'!$E$4:$E$339,$A11,'ASIGNACIONES'!$A$4:$A$339,$B11)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SUMIFS('ASIGNACIONES'!$I$4:$I$339,'ASIGNACIONES'!$E$4:$E$339,$A12,'ASIGNACIONES'!$A$4:$A$339,$B12)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SUMIFS('ASIGNACIONES'!$I$4:$I$339,'ASIGNACIONES'!$E$4:$E$339,$A13,'ASIGNACIONES'!$A$4:$A$339,$B13)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SUMIFS('ASIGNACIONES'!$I$4:$I$339,'ASIGNACIONES'!$E$4:$E$339,$A14,'ASIGNACIONES'!$A$4:$A$339,$B14)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SUMIFS('ASIGNACIONES'!$I$4:$I$339,'ASIGNACIONES'!$E$4:$E$339,$A15,'ASIGNACIONES'!$A$4:$A$339,$B15)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SUMIFS('ASIGNACIONES'!$I$4:$I$339,'ASIGNACIONES'!$E$4:$E$339,$A16,'ASIGNACIONES'!$A$4:$A$339,$B16)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SUMIFS('ASIGNACIONES'!$I$4:$I$339,'ASIGNACIONES'!$E$4:$E$339,$A17,'ASIGNACIONES'!$A$4:$A$339,$B17)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SUMIFS('ASIGNACIONES'!$I$4:$I$339,'ASIGNACIONES'!$E$4:$E$339,$A18,'ASIGNACIONES'!$A$4:$A$339,$B18)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SUMIFS('ASIGNACIONES'!$I$4:$I$339,'ASIGNACIONES'!$E$4:$E$339,$A19,'ASIGNACIONES'!$A$4:$A$339,$B19)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SUMIFS('ASIGNACIONES'!$I$4:$I$339,'ASIGNACIONES'!$E$4:$E$339,$A20,'ASIGNACIONES'!$A$4:$A$339,$B20)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SUMIFS('ASIGNACIONES'!$I$4:$I$339,'ASIGNACIONES'!$E$4:$E$339,$A21,'ASIGNACIONES'!$A$4:$A$339,$B21)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SUMIFS('ASIGNACIONES'!$I$4:$I$339,'ASIGNACIONES'!$E$4:$E$339,$A22,'ASIGNACIONES'!$A$4:$A$339,$B22)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SUMIFS('ASIGNACIONES'!$I$4:$I$339,'ASIGNACIONES'!$E$4:$E$339,$A23,'ASIGNACIONES'!$A$4:$A$339,$B23)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SUMIFS('ASIGNACIONES'!$I$4:$I$339,'ASIGNACIONES'!$E$4:$E$339,$A24,'ASIGNACIONES'!$A$4:$A$339,$B24)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SUMIFS('ASIGNACIONES'!$I$4:$I$339,'ASIGNACIONES'!$E$4:$E$339,$A25,'ASIGNACIONES'!$A$4:$A$339,$B25)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SUMIFS('ASIGNACIONES'!$I$4:$I$339,'ASIGNACIONES'!$E$4:$E$339,$A26,'ASIGNACIONES'!$A$4:$A$339,$B26)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SUMIFS('ASIGNACIONES'!$I$4:$I$339,'ASIGNACIONES'!$E$4:$E$339,$A27,'ASIGNACIONES'!$A$4:$A$339,$B27)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SUMIFS('ASIGNACIONES'!$I$4:$I$339,'ASIGNACIONES'!$E$4:$E$339,$A28,'ASIGNACIONES'!$A$4:$A$339,$B28)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SUMIFS('ASIGNACIONES'!$I$4:$I$339,'ASIGNACIONES'!$E$4:$E$339,$A29,'ASIGNACIONES'!$A$4:$A$339,$B29)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SUMIFS('ASIGNACIONES'!$I$4:$I$339,'ASIGNACIONES'!$E$4:$E$339,$A30,'ASIGNACIONES'!$A$4:$A$339,$B30)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SUMIFS('ASIGNACIONES'!$I$4:$I$339,'ASIGNACIONES'!$E$4:$E$339,$A31,'ASIGNACIONES'!$A$4:$A$339,$B31)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SUMIFS('ASIGNACIONES'!$I$4:$I$339,'ASIGNACIONES'!$E$4:$E$339,$A32,'ASIGNACIONES'!$A$4:$A$339,$B32)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SUMIFS('ASIGNACIONES'!$I$4:$I$339,'ASIGNACIONES'!$E$4:$E$339,$A33,'ASIGNACIONES'!$A$4:$A$339,$B33)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SUMIFS('ASIGNACIONES'!$I$4:$I$339,'ASIGNACIONES'!$E$4:$E$339,$A34,'ASIGNACIONES'!$A$4:$A$339,$B34)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SUMIFS('ASIGNACIONES'!$I$4:$I$339,'ASIGNACIONES'!$E$4:$E$339,$A35,'ASIGNACIONES'!$A$4:$A$339,$B35)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SUMIFS('ASIGNACIONES'!$I$4:$I$339,'ASIGNACIONES'!$E$4:$E$339,$A36,'ASIGNACIONES'!$A$4:$A$339,$B36)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SUMIFS('ASIGNACIONES'!$I$4:$I$339,'ASIGNACIONES'!$E$4:$E$339,$A37,'ASIGNACIONES'!$A$4:$A$339,$B37)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SUMIFS('ASIGNACIONES'!$I$4:$I$339,'ASIGNACIONES'!$E$4:$E$339,$A38,'ASIGNACIONES'!$A$4:$A$339,$B38)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SUMIFS('ASIGNACIONES'!$I$4:$I$339,'ASIGNACIONES'!$E$4:$E$339,$A39,'ASIGNACIONES'!$A$4:$A$339,$B39)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SUMIFS('ASIGNACIONES'!$I$4:$I$339,'ASIGNACIONES'!$E$4:$E$339,$A40,'ASIGNACIONES'!$A$4:$A$339,$B40)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SUMIFS('ASIGNACIONES'!$I$4:$I$339,'ASIGNACIONES'!$E$4:$E$339,$A41,'ASIGNACIONES'!$A$4:$A$339,$B41)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SUMIFS('ASIGNACIONES'!$I$4:$I$339,'ASIGNACIONES'!$E$4:$E$339,$A42,'ASIGNACIONES'!$A$4:$A$339,$B42)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SUMIFS('ASIGNACIONES'!$I$4:$I$339,'ASIGNACIONES'!$E$4:$E$339,$A43,'ASIGNACIONES'!$A$4:$A$339,$B43)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SUMIFS('ASIGNACIONES'!$I$4:$I$339,'ASIGNACIONES'!$E$4:$E$339,$A44,'ASIGNACIONES'!$A$4:$A$339,$B44)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SUMIFS('ASIGNACIONES'!$I$4:$I$339,'ASIGNACIONES'!$E$4:$E$339,$A45,'ASIGNACIONES'!$A$4:$A$339,$B45)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SUMIFS('ASIGNACIONES'!$I$4:$I$339,'ASIGNACIONES'!$E$4:$E$339,$A46,'ASIGNACIONES'!$A$4:$A$339,$B46)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SUMIFS('ASIGNACIONES'!$I$4:$I$339,'ASIGNACIONES'!$E$4:$E$339,$A47,'ASIGNACIONES'!$A$4:$A$339,$B47)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SUMIFS('ASIGNACIONES'!$I$4:$I$339,'ASIGNACIONES'!$E$4:$E$339,$A48,'ASIGNACIONES'!$A$4:$A$339,$B48)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SUMIFS('ASIGNACIONES'!$I$4:$I$339,'ASIGNACIONES'!$E$4:$E$339,$A49,'ASIGNACIONES'!$A$4:$A$339,$B49)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SUMIFS('ASIGNACIONES'!$I$4:$I$339,'ASIGNACIONES'!$E$4:$E$339,$A50,'ASIGNACIONES'!$A$4:$A$339,$B50)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SUMIFS('ASIGNACIONES'!$I$4:$I$339,'ASIGNACIONES'!$E$4:$E$339,$A51,'ASIGNACIONES'!$A$4:$A$339,$B51)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SUMIFS('ASIGNACIONES'!$I$4:$I$339,'ASIGNACIONES'!$E$4:$E$339,$A52,'ASIGNACIONES'!$A$4:$A$339,$B52)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SUMIFS('ASIGNACIONES'!$I$4:$I$339,'ASIGNACIONES'!$E$4:$E$339,$A53,'ASIGNACIONES'!$A$4:$A$339,$B53)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SUMIFS('ASIGNACIONES'!$I$4:$I$339,'ASIGNACIONES'!$E$4:$E$339,$A54,'ASIGNACIONES'!$A$4:$A$339,$B54)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SUMIFS('ASIGNACIONES'!$I$4:$I$339,'ASIGNACIONES'!$E$4:$E$339,$A55,'ASIGNACIONES'!$A$4:$A$339,$B55)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SUMIFS('ASIGNACIONES'!$I$4:$I$339,'ASIGNACIONES'!$E$4:$E$339,$A56,'ASIGNACIONES'!$A$4:$A$339,$B56)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SUMIFS('ASIGNACIONES'!$I$4:$I$339,'ASIGNACIONES'!$E$4:$E$339,$A57,'ASIGNACIONES'!$A$4:$A$339,$B57)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SUMIFS('ASIGNACIONES'!$I$4:$I$339,'ASIGNACIONES'!$E$4:$E$339,$A58,'ASIGNACIONES'!$A$4:$A$339,$B58)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SUMIFS('ASIGNACIONES'!$I$4:$I$339,'ASIGNACIONES'!$E$4:$E$339,$A59,'ASIGNACIONES'!$A$4:$A$339,$B59)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SUMIFS('ASIGNACIONES'!$I$4:$I$339,'ASIGNACIONES'!$E$4:$E$339,$A60,'ASIGNACIONES'!$A$4:$A$339,$B60)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SUMIFS('ASIGNACIONES'!$I$4:$I$339,'ASIGNACIONES'!$E$4:$E$339,$A61,'ASIGNACIONES'!$A$4:$A$339,$B61)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SUMIFS('ASIGNACIONES'!$I$4:$I$339,'ASIGNACIONES'!$E$4:$E$339,$A62,'ASIGNACIONES'!$A$4:$A$339,$B62)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SUMIFS('ASIGNACIONES'!$I$4:$I$339,'ASIGNACIONES'!$E$4:$E$339,$A63,'ASIGNACIONES'!$A$4:$A$339,$B63)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SUMIFS('ASIGNACIONES'!$I$4:$I$339,'ASIGNACIONES'!$E$4:$E$339,$A64,'ASIGNACIONES'!$A$4:$A$339,$B64)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SUMIFS('ASIGNACIONES'!$I$4:$I$339,'ASIGNACIONES'!$E$4:$E$339,$A65,'ASIGNACIONES'!$A$4:$A$339,$B65)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SUMIFS('ASIGNACIONES'!$I$4:$I$339,'ASIGNACIONES'!$E$4:$E$339,$A66,'ASIGNACIONES'!$A$4:$A$339,$B66)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SUMIFS('ASIGNACIONES'!$I$4:$I$339,'ASIGNACIONES'!$E$4:$E$339,$A67,'ASIGNACIONES'!$A$4:$A$339,$B67)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SUMIFS('ASIGNACIONES'!$I$4:$I$339,'ASIGNACIONES'!$E$4:$E$339,$A68,'ASIGNACIONES'!$A$4:$A$339,$B68)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SUMIFS('ASIGNACIONES'!$I$4:$I$339,'ASIGNACIONES'!$E$4:$E$339,$A69,'ASIGNACIONES'!$A$4:$A$339,$B69)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SUMIFS('ASIGNACIONES'!$I$4:$I$339,'ASIGNACIONES'!$E$4:$E$339,$A70,'ASIGNACIONES'!$A$4:$A$339,$B70)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SUMIFS('ASIGNACIONES'!$I$4:$I$339,'ASIGNACIONES'!$E$4:$E$339,$A71,'ASIGNACIONES'!$A$4:$A$339,$B71)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SUMIFS('ASIGNACIONES'!$I$4:$I$339,'ASIGNACIONES'!$E$4:$E$339,$A72,'ASIGNACIONES'!$A$4:$A$339,$B72)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SUMIFS('ASIGNACIONES'!$I$4:$I$339,'ASIGNACIONES'!$E$4:$E$339,$A73,'ASIGNACIONES'!$A$4:$A$339,$B73)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SUMIFS('ASIGNACIONES'!$I$4:$I$339,'ASIGNACIONES'!$E$4:$E$339,$A74,'ASIGNACIONES'!$A$4:$A$339,$B74)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SUMIFS('ASIGNACIONES'!$I$4:$I$339,'ASIGNACIONES'!$E$4:$E$339,$A75,'ASIGNACIONES'!$A$4:$A$339,$B75)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SUMIFS('ASIGNACIONES'!$I$4:$I$339,'ASIGNACIONES'!$E$4:$E$339,$A76,'ASIGNACIONES'!$A$4:$A$339,$B76)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SUMIFS('ASIGNACIONES'!$I$4:$I$339,'ASIGNACIONES'!$E$4:$E$339,$A77,'ASIGNACIONES'!$A$4:$A$339,$B77)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SUMIFS('ASIGNACIONES'!$I$4:$I$339,'ASIGNACIONES'!$E$4:$E$339,$A78,'ASIGNACIONES'!$A$4:$A$339,$B78)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SUMIFS('ASIGNACIONES'!$I$4:$I$339,'ASIGNACIONES'!$E$4:$E$339,$A79,'ASIGNACIONES'!$A$4:$A$339,$B79)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SUMIFS('ASIGNACIONES'!$I$4:$I$339,'ASIGNACIONES'!$E$4:$E$339,$A80,'ASIGNACIONES'!$A$4:$A$339,$B80)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SUMIFS('ASIGNACIONES'!$I$4:$I$339,'ASIGNACIONES'!$E$4:$E$339,$A81,'ASIGNACIONES'!$A$4:$A$339,$B81)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SUMIFS('ASIGNACIONES'!$I$4:$I$339,'ASIGNACIONES'!$E$4:$E$339,$A82,'ASIGNACIONES'!$A$4:$A$339,$B82)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SUMIFS('ASIGNACIONES'!$I$4:$I$339,'ASIGNACIONES'!$E$4:$E$339,$A83,'ASIGNACIONES'!$A$4:$A$339,$B83)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SUMIFS('ASIGNACIONES'!$I$4:$I$339,'ASIGNACIONES'!$E$4:$E$339,$A84,'ASIGNACIONES'!$A$4:$A$339,$B84)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SUMIFS('ASIGNACIONES'!$I$4:$I$339,'ASIGNACIONES'!$E$4:$E$339,$A85,'ASIGNACIONES'!$A$4:$A$339,$B85)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SUMIFS('ASIGNACIONES'!$I$4:$I$339,'ASIGNACIONES'!$E$4:$E$339,$A86,'ASIGNACIONES'!$A$4:$A$339,$B86)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SUMIFS('ASIGNACIONES'!$I$4:$I$339,'ASIGNACIONES'!$E$4:$E$339,$A87,'ASIGNACIONES'!$A$4:$A$339,$B87)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SUMIFS('ASIGNACIONES'!$I$4:$I$339,'ASIGNACIONES'!$E$4:$E$339,$A88,'ASIGNACIONES'!$A$4:$A$339,$B88)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SUMIFS('ASIGNACIONES'!$I$4:$I$339,'ASIGNACIONES'!$E$4:$E$339,$A89,'ASIGNACIONES'!$A$4:$A$339,$B89)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SUMIFS('ASIGNACIONES'!$I$4:$I$339,'ASIGNACIONES'!$E$4:$E$339,$A90,'ASIGNACIONES'!$A$4:$A$339,$B90)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SUMIFS('ASIGNACIONES'!$I$4:$I$339,'ASIGNACIONES'!$E$4:$E$339,$A91,'ASIGNACIONES'!$A$4:$A$339,$B91)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SUMIFS('ASIGNACIONES'!$I$4:$I$339,'ASIGNACIONES'!$E$4:$E$339,$A92,'ASIGNACIONES'!$A$4:$A$339,$B92)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SUMIFS('ASIGNACIONES'!$I$4:$I$339,'ASIGNACIONES'!$E$4:$E$339,$A93,'ASIGNACIONES'!$A$4:$A$339,$B93)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SUMIFS('ASIGNACIONES'!$I$4:$I$339,'ASIGNACIONES'!$E$4:$E$339,$A94,'ASIGNACIONES'!$A$4:$A$339,$B94)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SUMIFS('ASIGNACIONES'!$I$4:$I$339,'ASIGNACIONES'!$E$4:$E$339,$A95,'ASIGNACIONES'!$A$4:$A$339,$B95)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SUMIFS('ASIGNACIONES'!$I$4:$I$339,'ASIGNACIONES'!$E$4:$E$339,$A96,'ASIGNACIONES'!$A$4:$A$339,$B96)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SUMIFS('ASIGNACIONES'!$I$4:$I$339,'ASIGNACIONES'!$E$4:$E$339,$A97,'ASIGNACIONES'!$A$4:$A$339,$B97)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SUMIFS('ASIGNACIONES'!$I$4:$I$339,'ASIGNACIONES'!$E$4:$E$339,$A98,'ASIGNACIONES'!$A$4:$A$339,$B98)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SUMIFS('ASIGNACIONES'!$I$4:$I$339,'ASIGNACIONES'!$E$4:$E$339,$A99,'ASIGNACIONES'!$A$4:$A$339,$B99)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SUMIFS('ASIGNACIONES'!$I$4:$I$339,'ASIGNACIONES'!$E$4:$E$339,$A100,'ASIGNACIONES'!$A$4:$A$339,$B100)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SUMIFS('ASIGNACIONES'!$I$4:$I$339,'ASIGNACIONES'!$E$4:$E$339,$A101,'ASIGNACIONES'!$A$4:$A$339,$B101)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SUMIFS('ASIGNACIONES'!$I$4:$I$339,'ASIGNACIONES'!$E$4:$E$339,$A102,'ASIGNACIONES'!$A$4:$A$339,$B102)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SUMIFS('ASIGNACIONES'!$I$4:$I$339,'ASIGNACIONES'!$E$4:$E$339,$A103,'ASIGNACIONES'!$A$4:$A$339,$B103)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SUMIFS('ASIGNACIONES'!$I$4:$I$339,'ASIGNACIONES'!$E$4:$E$339,$A104,'ASIGNACIONES'!$A$4:$A$339,$B104)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SUMIFS('ASIGNACIONES'!$I$4:$I$339,'ASIGNACIONES'!$E$4:$E$339,$A105,'ASIGNACIONES'!$A$4:$A$339,$B105)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SUMIFS('ASIGNACIONES'!$I$4:$I$339,'ASIGNACIONES'!$E$4:$E$339,$A106,'ASIGNACIONES'!$A$4:$A$339,$B106)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SUMIFS('ASIGNACIONES'!$I$4:$I$339,'ASIGNACIONES'!$E$4:$E$339,$A107,'ASIGNACIONES'!$A$4:$A$339,$B107)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SUMIFS('ASIGNACIONES'!$I$4:$I$339,'ASIGNACIONES'!$E$4:$E$339,$A108,'ASIGNACIONES'!$A$4:$A$339,$B108)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SUMIFS('ASIGNACIONES'!$I$4:$I$339,'ASIGNACIONES'!$E$4:$E$339,$A109,'ASIGNACIONES'!$A$4:$A$339,$B109)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SUMIFS('ASIGNACIONES'!$I$4:$I$339,'ASIGNACIONES'!$E$4:$E$339,$A110,'ASIGNACIONES'!$A$4:$A$339,$B110)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SUMIFS('ASIGNACIONES'!$I$4:$I$339,'ASIGNACIONES'!$E$4:$E$339,$A111,'ASIGNACIONES'!$A$4:$A$339,$B111)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SUMIFS('ASIGNACIONES'!$I$4:$I$339,'ASIGNACIONES'!$E$4:$E$339,$A112,'ASIGNACIONES'!$A$4:$A$339,$B112)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SUMIFS('ASIGNACIONES'!$I$4:$I$339,'ASIGNACIONES'!$E$4:$E$339,$A113,'ASIGNACIONES'!$A$4:$A$339,$B113)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SUMIFS('ASIGNACIONES'!$I$4:$I$339,'ASIGNACIONES'!$E$4:$E$339,$A114,'ASIGNACIONES'!$A$4:$A$339,$B114)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SUMIFS('ASIGNACIONES'!$I$4:$I$339,'ASIGNACIONES'!$E$4:$E$339,$A115,'ASIGNACIONES'!$A$4:$A$339,$B115)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SUMIFS('ASIGNACIONES'!$I$4:$I$339,'ASIGNACIONES'!$E$4:$E$339,$A116,'ASIGNACIONES'!$A$4:$A$339,$B116)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SUMIFS('ASIGNACIONES'!$I$4:$I$339,'ASIGNACIONES'!$E$4:$E$339,$A117,'ASIGNACIONES'!$A$4:$A$339,$B117)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SUMIFS('ASIGNACIONES'!$I$4:$I$339,'ASIGNACIONES'!$E$4:$E$339,$A118,'ASIGNACIONES'!$A$4:$A$339,$B118)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SUMIFS('ASIGNACIONES'!$I$4:$I$339,'ASIGNACIONES'!$E$4:$E$339,$A119,'ASIGNACIONES'!$A$4:$A$339,$B119)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SUMIFS('ASIGNACIONES'!$I$4:$I$339,'ASIGNACIONES'!$E$4:$E$339,$A120,'ASIGNACIONES'!$A$4:$A$339,$B120)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SUMIFS('ASIGNACIONES'!$I$4:$I$339,'ASIGNACIONES'!$E$4:$E$339,$A121,'ASIGNACIONES'!$A$4:$A$339,$B121)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SUMIFS('ASIGNACIONES'!$I$4:$I$339,'ASIGNACIONES'!$E$4:$E$339,$A122,'ASIGNACIONES'!$A$4:$A$339,$B122)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SUMIFS('ASIGNACIONES'!$I$4:$I$339,'ASIGNACIONES'!$E$4:$E$339,$A123,'ASIGNACIONES'!$A$4:$A$339,$B123)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SUMIFS('ASIGNACIONES'!$I$4:$I$339,'ASIGNACIONES'!$E$4:$E$339,$A124,'ASIGNACIONES'!$A$4:$A$339,$B124)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SUMIFS('ASIGNACIONES'!$I$4:$I$339,'ASIGNACIONES'!$E$4:$E$339,$A125,'ASIGNACIONES'!$A$4:$A$339,$B125)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SUMIFS('ASIGNACIONES'!$I$4:$I$339,'ASIGNACIONES'!$E$4:$E$339,$A126,'ASIGNACIONES'!$A$4:$A$339,$B126)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SUMIFS('ASIGNACIONES'!$I$4:$I$339,'ASIGNACIONES'!$E$4:$E$339,$A127,'ASIGNACIONES'!$A$4:$A$339,$B127)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SUMIFS('ASIGNACIONES'!$I$4:$I$339,'ASIGNACIONES'!$E$4:$E$339,$A128,'ASIGNACIONES'!$A$4:$A$339,$B128)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SUMIFS('ASIGNACIONES'!$I$4:$I$339,'ASIGNACIONES'!$E$4:$E$339,$A129,'ASIGNACIONES'!$A$4:$A$339,$B129)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SUMIFS('ASIGNACIONES'!$I$4:$I$339,'ASIGNACIONES'!$E$4:$E$339,$A130,'ASIGNACIONES'!$A$4:$A$339,$B130)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SUMIFS('ASIGNACIONES'!$I$4:$I$339,'ASIGNACIONES'!$E$4:$E$339,$A131,'ASIGNACIONES'!$A$4:$A$339,$B131)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SUMIFS('ASIGNACIONES'!$I$4:$I$339,'ASIGNACIONES'!$E$4:$E$339,$A132,'ASIGNACIONES'!$A$4:$A$339,$B132)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SUMIFS('ASIGNACIONES'!$I$4:$I$339,'ASIGNACIONES'!$E$4:$E$339,$A133,'ASIGNACIONES'!$A$4:$A$339,$B133)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SUMIFS('ASIGNACIONES'!$I$4:$I$339,'ASIGNACIONES'!$E$4:$E$339,$A134,'ASIGNACIONES'!$A$4:$A$339,$B134)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SUMIFS('ASIGNACIONES'!$I$4:$I$339,'ASIGNACIONES'!$E$4:$E$339,$A135,'ASIGNACIONES'!$A$4:$A$339,$B135)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SUMIFS('ASIGNACIONES'!$I$4:$I$339,'ASIGNACIONES'!$E$4:$E$339,$A136,'ASIGNACIONES'!$A$4:$A$339,$B136)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SUMIFS('ASIGNACIONES'!$I$4:$I$339,'ASIGNACIONES'!$E$4:$E$339,$A137,'ASIGNACIONES'!$A$4:$A$339,$B137)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SUMIFS('ASIGNACIONES'!$I$4:$I$339,'ASIGNACIONES'!$E$4:$E$339,$A138,'ASIGNACIONES'!$A$4:$A$339,$B138)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MEC</t>
        </is>
      </c>
      <c r="B139" s="3">
        <f>$O$31</f>
        <v/>
      </c>
      <c r="C139" s="17">
        <f>SUMIFS('ASIGNACIONES'!$I$4:$I$339,'ASIGNACIONES'!$E$4:$E$339,$A139,'ASIGNACIONES'!$A$4:$A$339,$B139)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ELE</t>
        </is>
      </c>
      <c r="B140" s="3">
        <f>$O$31</f>
        <v/>
      </c>
      <c r="C140" s="17">
        <f>SUMIFS('ASIGNACIONES'!$I$4:$I$339,'ASIGNACIONES'!$E$4:$E$339,$A140,'ASIGNACIONES'!$A$4:$A$339,$B140)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AUT</t>
        </is>
      </c>
      <c r="B141" s="3">
        <f>$O$31</f>
        <v/>
      </c>
      <c r="C141" s="17">
        <f>SUMIFS('ASIGNACIONES'!$I$4:$I$339,'ASIGNACIONES'!$E$4:$E$339,$A141,'ASIGNACIONES'!$A$4:$A$339,$B141)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OP</t>
        </is>
      </c>
      <c r="B142" s="3">
        <f>$O$31</f>
        <v/>
      </c>
      <c r="C142" s="17">
        <f>SUMIFS('ASIGNACIONES'!$I$4:$I$339,'ASIGNACIONES'!$E$4:$E$339,$A142,'ASIGNACIONES'!$A$4:$A$339,$B142)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$O$31</f>
        <v/>
      </c>
      <c r="C143" s="17">
        <f>SUMIFS('ASIGNACIONES'!$I$4:$I$339,'ASIGNACIONES'!$E$4:$E$339,$A143,'ASIGNACIONES'!$A$4:$A$339,$B143)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$O$32</f>
        <v/>
      </c>
      <c r="C144" s="17">
        <f>SUMIFS('ASIGNACIONES'!$I$4:$I$339,'ASIGNACIONES'!$E$4:$E$339,$A144,'ASIGNACIONES'!$A$4:$A$339,$B144)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$O$32</f>
        <v/>
      </c>
      <c r="C145" s="17">
        <f>SUMIFS('ASIGNACIONES'!$I$4:$I$339,'ASIGNACIONES'!$E$4:$E$339,$A145,'ASIGNACIONES'!$A$4:$A$339,$B145)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$O$32</f>
        <v/>
      </c>
      <c r="C146" s="17">
        <f>SUMIFS('ASIGNACIONES'!$I$4:$I$339,'ASIGNACIONES'!$E$4:$E$339,$A146,'ASIGNACIONES'!$A$4:$A$339,$B146)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OP</t>
        </is>
      </c>
      <c r="B147" s="3">
        <f>$O$32</f>
        <v/>
      </c>
      <c r="C147" s="17">
        <f>SUMIFS('ASIGNACIONES'!$I$4:$I$339,'ASIGNACIONES'!$E$4:$E$339,$A147,'ASIGNACIONES'!$A$4:$A$339,$B147)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TERCERO</t>
        </is>
      </c>
      <c r="B148" s="3">
        <f>$O$32</f>
        <v/>
      </c>
      <c r="C148" s="17">
        <f>SUMIFS('ASIGNACIONES'!$I$4:$I$339,'ASIGNACIONES'!$E$4:$E$339,$A148,'ASIGNACIONES'!$A$4:$A$339,$B148)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SUMIFS('ASIGNACIONES'!$I$4:$I$339,'ASIGNACIONES'!$E$4:$E$339,$A149,'ASIGNACIONES'!$A$4:$A$339,$B149)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SUMIFS('ASIGNACIONES'!$I$4:$I$339,'ASIGNACIONES'!$E$4:$E$339,$A150,'ASIGNACIONES'!$A$4:$A$339,$B150)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SUMIFS('ASIGNACIONES'!$I$4:$I$339,'ASIGNACIONES'!$E$4:$E$339,$A151,'ASIGNACIONES'!$A$4:$A$339,$B151)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SUMIFS('ASIGNACIONES'!$I$4:$I$339,'ASIGNACIONES'!$E$4:$E$339,$A152,'ASIGNACIONES'!$A$4:$A$339,$B152)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SUMIFS('ASIGNACIONES'!$I$4:$I$339,'ASIGNACIONES'!$E$4:$E$339,$A153,'ASIGNACIONES'!$A$4:$A$339,$B153)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SUMIFS('ASIGNACIONES'!$I$4:$I$339,'ASIGNACIONES'!$E$4:$E$339,$A154,'ASIGNACIONES'!$A$4:$A$339,$B154)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SUMIFS('ASIGNACIONES'!$I$4:$I$339,'ASIGNACIONES'!$E$4:$E$339,$A155,'ASIGNACIONES'!$A$4:$A$339,$B155)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SUMIFS('ASIGNACIONES'!$I$4:$I$339,'ASIGNACIONES'!$E$4:$E$339,$A156,'ASIGNACIONES'!$A$4:$A$339,$B156)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SUMIFS('ASIGNACIONES'!$I$4:$I$339,'ASIGNACIONES'!$E$4:$E$339,$A157,'ASIGNACIONES'!$A$4:$A$339,$B157)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SUMIFS('ASIGNACIONES'!$I$4:$I$339,'ASIGNACIONES'!$E$4:$E$339,$A158,'ASIGNACIONES'!$A$4:$A$339,$B158)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SUMIFS('ASIGNACIONES'!$I$4:$I$339,'ASIGNACIONES'!$E$4:$E$339,$A159,'ASIGNACIONES'!$A$4:$A$339,$B159)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SUMIFS('ASIGNACIONES'!$I$4:$I$339,'ASIGNACIONES'!$E$4:$E$339,$A160,'ASIGNACIONES'!$A$4:$A$339,$B160)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SUMIFS('ASIGNACIONES'!$I$4:$I$339,'ASIGNACIONES'!$E$4:$E$339,$A161,'ASIGNACIONES'!$A$4:$A$339,$B161)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SUMIFS('ASIGNACIONES'!$I$4:$I$339,'ASIGNACIONES'!$E$4:$E$339,$A162,'ASIGNACIONES'!$A$4:$A$339,$B162)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SUMIFS('ASIGNACIONES'!$I$4:$I$339,'ASIGNACIONES'!$E$4:$E$339,$A163,'ASIGNACIONES'!$A$4:$A$339,$B163)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SUMIFS('ASIGNACIONES'!$I$4:$I$339,'ASIGNACIONES'!$E$4:$E$339,$A164,'ASIGNACIONES'!$A$4:$A$339,$B164)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SUMIFS('ASIGNACIONES'!$I$4:$I$339,'ASIGNACIONES'!$E$4:$E$339,$A165,'ASIGNACIONES'!$A$4:$A$339,$B165)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SUMIFS('ASIGNACIONES'!$I$4:$I$339,'ASIGNACIONES'!$E$4:$E$339,$A166,'ASIGNACIONES'!$A$4:$A$339,$B166)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SUMIFS('ASIGNACIONES'!$I$4:$I$339,'ASIGNACIONES'!$E$4:$E$339,$A167,'ASIGNACIONES'!$A$4:$A$339,$B167)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SUMIFS('ASIGNACIONES'!$I$4:$I$339,'ASIGNACIONES'!$E$4:$E$339,$A168,'ASIGNACIONES'!$A$4:$A$339,$B168)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SUMIFS('ASIGNACIONES'!$I$4:$I$339,'ASIGNACIONES'!$E$4:$E$339,$A169,'ASIGNACIONES'!$A$4:$A$339,$B169)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SUMIFS('ASIGNACIONES'!$I$4:$I$339,'ASIGNACIONES'!$E$4:$E$339,$A170,'ASIGNACIONES'!$A$4:$A$339,$B170)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SUMIFS('ASIGNACIONES'!$I$4:$I$339,'ASIGNACIONES'!$E$4:$E$339,$A171,'ASIGNACIONES'!$A$4:$A$339,$B171)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SUMIFS('ASIGNACIONES'!$I$4:$I$339,'ASIGNACIONES'!$E$4:$E$339,$A172,'ASIGNACIONES'!$A$4:$A$339,$B172)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SUMIFS('ASIGNACIONES'!$I$4:$I$339,'ASIGNACIONES'!$E$4:$E$339,$A173,'ASIGNACIONES'!$A$4:$A$339,$B173)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SUMIFS('ASIGNACIONES'!$I$4:$I$339,'ASIGNACIONES'!$E$4:$E$339,$A174,'ASIGNACIONES'!$A$4:$A$339,$B174)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SUMIFS('ASIGNACIONES'!$I$4:$I$339,'ASIGNACIONES'!$E$4:$E$339,$A175,'ASIGNACIONES'!$A$4:$A$339,$B175)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SUMIFS('ASIGNACIONES'!$I$4:$I$339,'ASIGNACIONES'!$E$4:$E$339,$A176,'ASIGNACIONES'!$A$4:$A$339,$B176)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SUMIFS('ASIGNACIONES'!$I$4:$I$339,'ASIGNACIONES'!$E$4:$E$339,$A177,'ASIGNACIONES'!$A$4:$A$339,$B177)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SUMIFS('ASIGNACIONES'!$I$4:$I$339,'ASIGNACIONES'!$E$4:$E$339,$A178,'ASIGNACIONES'!$A$4:$A$339,$B178)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SUMIFS('ASIGNACIONES'!$I$4:$I$339,'ASIGNACIONES'!$E$4:$E$339,$A179,'ASIGNACIONES'!$A$4:$A$339,$B179)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SUMIFS('ASIGNACIONES'!$I$4:$I$339,'ASIGNACIONES'!$E$4:$E$339,$A180,'ASIGNACIONES'!$A$4:$A$339,$B180)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SUMIFS('ASIGNACIONES'!$I$4:$I$339,'ASIGNACIONES'!$E$4:$E$339,$A181,'ASIGNACIONES'!$A$4:$A$339,$B181)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SUMIFS('ASIGNACIONES'!$I$4:$I$339,'ASIGNACIONES'!$E$4:$E$339,$A182,'ASIGNACIONES'!$A$4:$A$339,$B182)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SUMIFS('ASIGNACIONES'!$I$4:$I$339,'ASIGNACIONES'!$E$4:$E$339,$A183,'ASIGNACIONES'!$A$4:$A$339,$B183)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SUMIFS('ASIGNACIONES'!$I$4:$I$339,'ASIGNACIONES'!$E$4:$E$339,$A184,'ASIGNACIONES'!$A$4:$A$339,$B184)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SUMIFS('ASIGNACIONES'!$I$4:$I$339,'ASIGNACIONES'!$E$4:$E$339,$A185,'ASIGNACIONES'!$A$4:$A$339,$B185)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SUMIFS('ASIGNACIONES'!$I$4:$I$339,'ASIGNACIONES'!$E$4:$E$339,$A186,'ASIGNACIONES'!$A$4:$A$339,$B186)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SUMIFS('ASIGNACIONES'!$I$4:$I$339,'ASIGNACIONES'!$E$4:$E$339,$A187,'ASIGNACIONES'!$A$4:$A$339,$B187)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SUMIFS('ASIGNACIONES'!$I$4:$I$339,'ASIGNACIONES'!$E$4:$E$339,$A188,'ASIGNACIONES'!$A$4:$A$339,$B188)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SUMIFS('ASIGNACIONES'!$I$4:$I$339,'ASIGNACIONES'!$E$4:$E$339,$A189,'ASIGNACIONES'!$A$4:$A$339,$B189)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SUMIFS('ASIGNACIONES'!$I$4:$I$339,'ASIGNACIONES'!$E$4:$E$339,$A190,'ASIGNACIONES'!$A$4:$A$339,$B190)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SUMIFS('ASIGNACIONES'!$I$4:$I$339,'ASIGNACIONES'!$E$4:$E$339,$A191,'ASIGNACIONES'!$A$4:$A$339,$B191)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SUMIFS('ASIGNACIONES'!$I$4:$I$339,'ASIGNACIONES'!$E$4:$E$339,$A192,'ASIGNACIONES'!$A$4:$A$339,$B192)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SUMIFS('ASIGNACIONES'!$I$4:$I$339,'ASIGNACIONES'!$E$4:$E$339,$A193,'ASIGNACIONES'!$A$4:$A$339,$B193)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SUMIFS('ASIGNACIONES'!$I$4:$I$339,'ASIGNACIONES'!$E$4:$E$339,$A194,'ASIGNACIONES'!$A$4:$A$339,$B194)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SUMIFS('ASIGNACIONES'!$I$4:$I$339,'ASIGNACIONES'!$E$4:$E$339,$A195,'ASIGNACIONES'!$A$4:$A$339,$B195)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SUMIFS('ASIGNACIONES'!$I$4:$I$339,'ASIGNACIONES'!$E$4:$E$339,$A196,'ASIGNACIONES'!$A$4:$A$339,$B196)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SUMIFS('ASIGNACIONES'!$I$4:$I$339,'ASIGNACIONES'!$E$4:$E$339,$A197,'ASIGNACIONES'!$A$4:$A$339,$B197)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SUMIFS('ASIGNACIONES'!$I$4:$I$339,'ASIGNACIONES'!$E$4:$E$339,$A198,'ASIGNACIONES'!$A$4:$A$339,$B198)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SUMIFS('ASIGNACIONES'!$I$4:$I$339,'ASIGNACIONES'!$E$4:$E$339,$A199,'ASIGNACIONES'!$A$4:$A$339,$B199)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SUMIFS('ASIGNACIONES'!$I$4:$I$339,'ASIGNACIONES'!$E$4:$E$339,$A200,'ASIGNACIONES'!$A$4:$A$339,$B200)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SUMIFS('ASIGNACIONES'!$I$4:$I$339,'ASIGNACIONES'!$E$4:$E$339,$A201,'ASIGNACIONES'!$A$4:$A$339,$B201)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SUMIFS('ASIGNACIONES'!$I$4:$I$339,'ASIGNACIONES'!$E$4:$E$339,$A202,'ASIGNACIONES'!$A$4:$A$339,$B202)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SUMIFS('ASIGNACIONES'!$I$4:$I$339,'ASIGNACIONES'!$E$4:$E$339,$A203,'ASIGNACIONES'!$A$4:$A$339,$B203)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SUMIFS('ASIGNACIONES'!$I$4:$I$339,'ASIGNACIONES'!$E$4:$E$339,$A204,'ASIGNACIONES'!$A$4:$A$339,$B204)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SUMIFS('ASIGNACIONES'!$I$4:$I$339,'ASIGNACIONES'!$E$4:$E$339,$A205,'ASIGNACIONES'!$A$4:$A$339,$B205)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SUMIFS('ASIGNACIONES'!$I$4:$I$339,'ASIGNACIONES'!$E$4:$E$339,$A206,'ASIGNACIONES'!$A$4:$A$339,$B206)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SUMIFS('ASIGNACIONES'!$I$4:$I$339,'ASIGNACIONES'!$E$4:$E$339,$A207,'ASIGNACIONES'!$A$4:$A$339,$B207)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SUMIFS('ASIGNACIONES'!$I$4:$I$339,'ASIGNACIONES'!$E$4:$E$339,$A208,'ASIGNACIONES'!$A$4:$A$339,$B208)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SUMIFS('ASIGNACIONES'!$I$4:$I$339,'ASIGNACIONES'!$E$4:$E$339,$A209,'ASIGNACIONES'!$A$4:$A$339,$B209)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SUMIFS('ASIGNACIONES'!$I$4:$I$339,'ASIGNACIONES'!$E$4:$E$339,$A210,'ASIGNACIONES'!$A$4:$A$339,$B210)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SUMIFS('ASIGNACIONES'!$I$4:$I$339,'ASIGNACIONES'!$E$4:$E$339,$A211,'ASIGNACIONES'!$A$4:$A$339,$B211)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SUMIFS('ASIGNACIONES'!$I$4:$I$339,'ASIGNACIONES'!$E$4:$E$339,$A212,'ASIGNACIONES'!$A$4:$A$339,$B212)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SUMIFS('ASIGNACIONES'!$I$4:$I$339,'ASIGNACIONES'!$E$4:$E$339,$A213,'ASIGNACIONES'!$A$4:$A$339,$B213)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SUMIFS('ASIGNACIONES'!$I$4:$I$339,'ASIGNACIONES'!$E$4:$E$339,$A214,'ASIGNACIONES'!$A$4:$A$339,$B214)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SUMIFS('ASIGNACIONES'!$I$4:$I$339,'ASIGNACIONES'!$E$4:$E$339,$A215,'ASIGNACIONES'!$A$4:$A$339,$B215)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SUMIFS('ASIGNACIONES'!$I$4:$I$339,'ASIGNACIONES'!$E$4:$E$339,$A216,'ASIGNACIONES'!$A$4:$A$339,$B216)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SUMIFS('ASIGNACIONES'!$I$4:$I$339,'ASIGNACIONES'!$E$4:$E$339,$A217,'ASIGNACIONES'!$A$4:$A$339,$B217)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SUMIFS('ASIGNACIONES'!$I$4:$I$339,'ASIGNACIONES'!$E$4:$E$339,$A218,'ASIGNACIONES'!$A$4:$A$339,$B218)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SUMIFS('ASIGNACIONES'!$I$4:$I$339,'ASIGNACIONES'!$E$4:$E$339,$A219,'ASIGNACIONES'!$A$4:$A$339,$B219)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SUMIFS('ASIGNACIONES'!$I$4:$I$339,'ASIGNACIONES'!$E$4:$E$339,$A220,'ASIGNACIONES'!$A$4:$A$339,$B220)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SUMIFS('ASIGNACIONES'!$I$4:$I$339,'ASIGNACIONES'!$E$4:$E$339,$A221,'ASIGNACIONES'!$A$4:$A$339,$B221)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SUMIFS('ASIGNACIONES'!$I$4:$I$339,'ASIGNACIONES'!$E$4:$E$339,$A222,'ASIGNACIONES'!$A$4:$A$339,$B222)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SUMIFS('ASIGNACIONES'!$I$4:$I$339,'ASIGNACIONES'!$E$4:$E$339,$A223,'ASIGNACIONES'!$A$4:$A$339,$B223)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SUMIFS('ASIGNACIONES'!$I$4:$I$339,'ASIGNACIONES'!$E$4:$E$339,$A224,'ASIGNACIONES'!$A$4:$A$339,$B224)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SUMIFS('ASIGNACIONES'!$I$4:$I$339,'ASIGNACIONES'!$E$4:$E$339,$A225,'ASIGNACIONES'!$A$4:$A$339,$B225)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SUMIFS('ASIGNACIONES'!$I$4:$I$339,'ASIGNACIONES'!$E$4:$E$339,$A226,'ASIGNACIONES'!$A$4:$A$339,$B226)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SUMIFS('ASIGNACIONES'!$I$4:$I$339,'ASIGNACIONES'!$E$4:$E$339,$A227,'ASIGNACIONES'!$A$4:$A$339,$B227)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SUMIFS('ASIGNACIONES'!$I$4:$I$339,'ASIGNACIONES'!$E$4:$E$339,$A228,'ASIGNACIONES'!$A$4:$A$339,$B228)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SUMIFS('ASIGNACIONES'!$I$4:$I$339,'ASIGNACIONES'!$E$4:$E$339,$A229,'ASIGNACIONES'!$A$4:$A$339,$B229)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SUMIFS('ASIGNACIONES'!$I$4:$I$339,'ASIGNACIONES'!$E$4:$E$339,$A230,'ASIGNACIONES'!$A$4:$A$339,$B230)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SUMIFS('ASIGNACIONES'!$I$4:$I$339,'ASIGNACIONES'!$E$4:$E$339,$A231,'ASIGNACIONES'!$A$4:$A$339,$B231)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SUMIFS('ASIGNACIONES'!$I$4:$I$339,'ASIGNACIONES'!$E$4:$E$339,$A232,'ASIGNACIONES'!$A$4:$A$339,$B232)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SUMIFS('ASIGNACIONES'!$I$4:$I$339,'ASIGNACIONES'!$E$4:$E$339,$A233,'ASIGNACIONES'!$A$4:$A$339,$B233)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SUMIFS('ASIGNACIONES'!$I$4:$I$339,'ASIGNACIONES'!$E$4:$E$339,$A234,'ASIGNACIONES'!$A$4:$A$339,$B234)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SUMIFS('ASIGNACIONES'!$I$4:$I$339,'ASIGNACIONES'!$E$4:$E$339,$A235,'ASIGNACIONES'!$A$4:$A$339,$B235)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SUMIFS('ASIGNACIONES'!$I$4:$I$339,'ASIGNACIONES'!$E$4:$E$339,$A236,'ASIGNACIONES'!$A$4:$A$339,$B236)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SUMIFS('ASIGNACIONES'!$I$4:$I$339,'ASIGNACIONES'!$E$4:$E$339,$A237,'ASIGNACIONES'!$A$4:$A$339,$B237)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SUMIFS('ASIGNACIONES'!$I$4:$I$339,'ASIGNACIONES'!$E$4:$E$339,$A238,'ASIGNACIONES'!$A$4:$A$339,$B238)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SUMIFS('ASIGNACIONES'!$I$4:$I$339,'ASIGNACIONES'!$E$4:$E$339,$A239,'ASIGNACIONES'!$A$4:$A$339,$B239)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SUMIFS('ASIGNACIONES'!$I$4:$I$339,'ASIGNACIONES'!$E$4:$E$339,$A240,'ASIGNACIONES'!$A$4:$A$339,$B240)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SUMIFS('ASIGNACIONES'!$I$4:$I$339,'ASIGNACIONES'!$E$4:$E$339,$A241,'ASIGNACIONES'!$A$4:$A$339,$B241)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SUMIFS('ASIGNACIONES'!$I$4:$I$339,'ASIGNACIONES'!$E$4:$E$339,$A242,'ASIGNACIONES'!$A$4:$A$339,$B242)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SUMIFS('ASIGNACIONES'!$I$4:$I$339,'ASIGNACIONES'!$E$4:$E$339,$A243,'ASIGNACIONES'!$A$4:$A$339,$B243)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SUMIFS('ASIGNACIONES'!$I$4:$I$339,'ASIGNACIONES'!$E$4:$E$339,$A244,'ASIGNACIONES'!$A$4:$A$339,$B244)</f>
        <v/>
      </c>
      <c r="D244" s="17">
        <f>C244*p_factor_productividad</f>
        <v/>
      </c>
      <c r="E244" s="17">
        <f>SUMIFS('ORDENES'!$M$4:$M$1203,'ORDENES'!$Y$4:$Y$1203,$A244,'ORDENES'!$O$4:$O$1203,$B244,'ORDENES'!$T$4:$T$1203,"preventiva")</f>
        <v/>
      </c>
      <c r="F244" s="17">
        <f>SUMIFS('ORDENES'!$M$4:$M$1203,'ORDENES'!$Y$4:$Y$1203,$A244,'ORDENES'!$O$4:$O$1203,$B244,'ORDENES'!$T$4:$T$1203,"correctiva")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SUMIFS('ASIGNACIONES'!$I$4:$I$339,'ASIGNACIONES'!$E$4:$E$339,$A245,'ASIGNACIONES'!$A$4:$A$339,$B245)</f>
        <v/>
      </c>
      <c r="D245" s="17">
        <f>C245*p_factor_productividad</f>
        <v/>
      </c>
      <c r="E245" s="17">
        <f>SUMIFS('ORDENES'!$M$4:$M$1203,'ORDENES'!$Y$4:$Y$1203,$A245,'ORDENES'!$O$4:$O$1203,$B245,'ORDENES'!$T$4:$T$1203,"preventiva")</f>
        <v/>
      </c>
      <c r="F245" s="17">
        <f>SUMIFS('ORDENES'!$M$4:$M$1203,'ORDENES'!$Y$4:$Y$1203,$A245,'ORDENES'!$O$4:$O$1203,$B245,'ORDENES'!$T$4:$T$1203,"correctiva")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SUMIFS('ASIGNACIONES'!$I$4:$I$339,'ASIGNACIONES'!$E$4:$E$339,$A246,'ASIGNACIONES'!$A$4:$A$339,$B246)</f>
        <v/>
      </c>
      <c r="D246" s="17">
        <f>C246*p_factor_productividad</f>
        <v/>
      </c>
      <c r="E246" s="17">
        <f>SUMIFS('ORDENES'!$M$4:$M$1203,'ORDENES'!$Y$4:$Y$1203,$A246,'ORDENES'!$O$4:$O$1203,$B246,'ORDENES'!$T$4:$T$1203,"preventiva")</f>
        <v/>
      </c>
      <c r="F246" s="17">
        <f>SUMIFS('ORDENES'!$M$4:$M$1203,'ORDENES'!$Y$4:$Y$1203,$A246,'ORDENES'!$O$4:$O$1203,$B246,'ORDENES'!$T$4:$T$1203,"correctiva")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SUMIFS('ASIGNACIONES'!$I$4:$I$339,'ASIGNACIONES'!$E$4:$E$339,$A247,'ASIGNACIONES'!$A$4:$A$339,$B247)</f>
        <v/>
      </c>
      <c r="D247" s="17">
        <f>C247*p_factor_productividad</f>
        <v/>
      </c>
      <c r="E247" s="17">
        <f>SUMIFS('ORDENES'!$M$4:$M$1203,'ORDENES'!$Y$4:$Y$1203,$A247,'ORDENES'!$O$4:$O$1203,$B247,'ORDENES'!$T$4:$T$1203,"preventiva")</f>
        <v/>
      </c>
      <c r="F247" s="17">
        <f>SUMIFS('ORDENES'!$M$4:$M$1203,'ORDENES'!$Y$4:$Y$1203,$A247,'ORDENES'!$O$4:$O$1203,$B247,'ORDENES'!$T$4:$T$1203,"correctiva")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SUMIFS('ASIGNACIONES'!$I$4:$I$339,'ASIGNACIONES'!$E$4:$E$339,$A248,'ASIGNACIONES'!$A$4:$A$339,$B248)</f>
        <v/>
      </c>
      <c r="D248" s="17">
        <f>C248*p_factor_productividad</f>
        <v/>
      </c>
      <c r="E248" s="17">
        <f>SUMIFS('ORDENES'!$M$4:$M$1203,'ORDENES'!$Y$4:$Y$1203,$A248,'ORDENES'!$O$4:$O$1203,$B248,'ORDENES'!$T$4:$T$1203,"preventiva")</f>
        <v/>
      </c>
      <c r="F248" s="17">
        <f>SUMIFS('ORDENES'!$M$4:$M$1203,'ORDENES'!$Y$4:$Y$1203,$A248,'ORDENES'!$O$4:$O$1203,$B248,'ORDENES'!$T$4:$T$1203,"correctiva")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SUMIFS('ASIGNACIONES'!$I$4:$I$339,'ASIGNACIONES'!$E$4:$E$339,$A249,'ASIGNACIONES'!$A$4:$A$339,$B249)</f>
        <v/>
      </c>
      <c r="D249" s="17">
        <f>C249*p_factor_productividad</f>
        <v/>
      </c>
      <c r="E249" s="17">
        <f>SUMIFS('ORDENES'!$M$4:$M$1203,'ORDENES'!$Y$4:$Y$1203,$A249,'ORDENES'!$O$4:$O$1203,$B249,'ORDENES'!$T$4:$T$1203,"preventiva")</f>
        <v/>
      </c>
      <c r="F249" s="17">
        <f>SUMIFS('ORDENES'!$M$4:$M$1203,'ORDENES'!$Y$4:$Y$1203,$A249,'ORDENES'!$O$4:$O$1203,$B249,'ORDENES'!$T$4:$T$1203,"correctiva")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SUMIFS('ASIGNACIONES'!$I$4:$I$339,'ASIGNACIONES'!$E$4:$E$339,$A250,'ASIGNACIONES'!$A$4:$A$339,$B250)</f>
        <v/>
      </c>
      <c r="D250" s="17">
        <f>C250*p_factor_productividad</f>
        <v/>
      </c>
      <c r="E250" s="17">
        <f>SUMIFS('ORDENES'!$M$4:$M$1203,'ORDENES'!$Y$4:$Y$1203,$A250,'ORDENES'!$O$4:$O$1203,$B250,'ORDENES'!$T$4:$T$1203,"preventiva")</f>
        <v/>
      </c>
      <c r="F250" s="17">
        <f>SUMIFS('ORDENES'!$M$4:$M$1203,'ORDENES'!$Y$4:$Y$1203,$A250,'ORDENES'!$O$4:$O$1203,$B250,'ORDENES'!$T$4:$T$1203,"correctiva")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SUMIFS('ASIGNACIONES'!$I$4:$I$339,'ASIGNACIONES'!$E$4:$E$339,$A251,'ASIGNACIONES'!$A$4:$A$339,$B251)</f>
        <v/>
      </c>
      <c r="D251" s="17">
        <f>C251*p_factor_productividad</f>
        <v/>
      </c>
      <c r="E251" s="17">
        <f>SUMIFS('ORDENES'!$M$4:$M$1203,'ORDENES'!$Y$4:$Y$1203,$A251,'ORDENES'!$O$4:$O$1203,$B251,'ORDENES'!$T$4:$T$1203,"preventiva")</f>
        <v/>
      </c>
      <c r="F251" s="17">
        <f>SUMIFS('ORDENES'!$M$4:$M$1203,'ORDENES'!$Y$4:$Y$1203,$A251,'ORDENES'!$O$4:$O$1203,$B251,'ORDENES'!$T$4:$T$1203,"correctiva")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SUMIFS('ASIGNACIONES'!$I$4:$I$339,'ASIGNACIONES'!$E$4:$E$339,$A252,'ASIGNACIONES'!$A$4:$A$339,$B252)</f>
        <v/>
      </c>
      <c r="D252" s="17">
        <f>C252*p_factor_productividad</f>
        <v/>
      </c>
      <c r="E252" s="17">
        <f>SUMIFS('ORDENES'!$M$4:$M$1203,'ORDENES'!$Y$4:$Y$1203,$A252,'ORDENES'!$O$4:$O$1203,$B252,'ORDENES'!$T$4:$T$1203,"preventiva")</f>
        <v/>
      </c>
      <c r="F252" s="17">
        <f>SUMIFS('ORDENES'!$M$4:$M$1203,'ORDENES'!$Y$4:$Y$1203,$A252,'ORDENES'!$O$4:$O$1203,$B252,'ORDENES'!$T$4:$T$1203,"correctiva")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SUMIFS('ASIGNACIONES'!$I$4:$I$339,'ASIGNACIONES'!$E$4:$E$339,$A253,'ASIGNACIONES'!$A$4:$A$339,$B253)</f>
        <v/>
      </c>
      <c r="D253" s="17">
        <f>C253*p_factor_productividad</f>
        <v/>
      </c>
      <c r="E253" s="17">
        <f>SUMIFS('ORDENES'!$M$4:$M$1203,'ORDENES'!$Y$4:$Y$1203,$A253,'ORDENES'!$O$4:$O$1203,$B253,'ORDENES'!$T$4:$T$1203,"preventiva")</f>
        <v/>
      </c>
      <c r="F253" s="17">
        <f>SUMIFS('ORDENES'!$M$4:$M$1203,'ORDENES'!$Y$4:$Y$1203,$A253,'ORDENES'!$O$4:$O$1203,$B253,'ORDENES'!$T$4:$T$1203,"correctiva")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SUMIFS('ASIGNACIONES'!$I$4:$I$339,'ASIGNACIONES'!$E$4:$E$339,$A254,'ASIGNACIONES'!$A$4:$A$339,$B254)</f>
        <v/>
      </c>
      <c r="D254" s="17">
        <f>C254*p_factor_productividad</f>
        <v/>
      </c>
      <c r="E254" s="17">
        <f>SUMIFS('ORDENES'!$M$4:$M$1203,'ORDENES'!$Y$4:$Y$1203,$A254,'ORDENES'!$O$4:$O$1203,$B254,'ORDENES'!$T$4:$T$1203,"preventiva")</f>
        <v/>
      </c>
      <c r="F254" s="17">
        <f>SUMIFS('ORDENES'!$M$4:$M$1203,'ORDENES'!$Y$4:$Y$1203,$A254,'ORDENES'!$O$4:$O$1203,$B254,'ORDENES'!$T$4:$T$1203,"correctiva")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SUMIFS('ASIGNACIONES'!$I$4:$I$339,'ASIGNACIONES'!$E$4:$E$339,$A255,'ASIGNACIONES'!$A$4:$A$339,$B255)</f>
        <v/>
      </c>
      <c r="D255" s="17">
        <f>C255*p_factor_productividad</f>
        <v/>
      </c>
      <c r="E255" s="17">
        <f>SUMIFS('ORDENES'!$M$4:$M$1203,'ORDENES'!$Y$4:$Y$1203,$A255,'ORDENES'!$O$4:$O$1203,$B255,'ORDENES'!$T$4:$T$1203,"preventiva")</f>
        <v/>
      </c>
      <c r="F255" s="17">
        <f>SUMIFS('ORDENES'!$M$4:$M$1203,'ORDENES'!$Y$4:$Y$1203,$A255,'ORDENES'!$O$4:$O$1203,$B255,'ORDENES'!$T$4:$T$1203,"correctiva")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SUMIFS('ASIGNACIONES'!$I$4:$I$339,'ASIGNACIONES'!$E$4:$E$339,$A256,'ASIGNACIONES'!$A$4:$A$339,$B256)</f>
        <v/>
      </c>
      <c r="D256" s="17">
        <f>C256*p_factor_productividad</f>
        <v/>
      </c>
      <c r="E256" s="17">
        <f>SUMIFS('ORDENES'!$M$4:$M$1203,'ORDENES'!$Y$4:$Y$1203,$A256,'ORDENES'!$O$4:$O$1203,$B256,'ORDENES'!$T$4:$T$1203,"preventiva")</f>
        <v/>
      </c>
      <c r="F256" s="17">
        <f>SUMIFS('ORDENES'!$M$4:$M$1203,'ORDENES'!$Y$4:$Y$1203,$A256,'ORDENES'!$O$4:$O$1203,$B256,'ORDENES'!$T$4:$T$1203,"correctiva")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SUMIFS('ASIGNACIONES'!$I$4:$I$339,'ASIGNACIONES'!$E$4:$E$339,$A257,'ASIGNACIONES'!$A$4:$A$339,$B257)</f>
        <v/>
      </c>
      <c r="D257" s="17">
        <f>C257*p_factor_productividad</f>
        <v/>
      </c>
      <c r="E257" s="17">
        <f>SUMIFS('ORDENES'!$M$4:$M$1203,'ORDENES'!$Y$4:$Y$1203,$A257,'ORDENES'!$O$4:$O$1203,$B257,'ORDENES'!$T$4:$T$1203,"preventiva")</f>
        <v/>
      </c>
      <c r="F257" s="17">
        <f>SUMIFS('ORDENES'!$M$4:$M$1203,'ORDENES'!$Y$4:$Y$1203,$A257,'ORDENES'!$O$4:$O$1203,$B257,'ORDENES'!$T$4:$T$1203,"correctiva")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SUMIFS('ASIGNACIONES'!$I$4:$I$339,'ASIGNACIONES'!$E$4:$E$339,$A258,'ASIGNACIONES'!$A$4:$A$339,$B258)</f>
        <v/>
      </c>
      <c r="D258" s="17">
        <f>C258*p_factor_productividad</f>
        <v/>
      </c>
      <c r="E258" s="17">
        <f>SUMIFS('ORDENES'!$M$4:$M$1203,'ORDENES'!$Y$4:$Y$1203,$A258,'ORDENES'!$O$4:$O$1203,$B258,'ORDENES'!$T$4:$T$1203,"preventiva")</f>
        <v/>
      </c>
      <c r="F258" s="17">
        <f>SUMIFS('ORDENES'!$M$4:$M$1203,'ORDENES'!$Y$4:$Y$1203,$A258,'ORDENES'!$O$4:$O$1203,$B258,'ORDENES'!$T$4:$T$1203,"correctiva")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SUMIFS('ASIGNACIONES'!$I$4:$I$339,'ASIGNACIONES'!$E$4:$E$339,$A259,'ASIGNACIONES'!$A$4:$A$339,$B259)</f>
        <v/>
      </c>
      <c r="D259" s="17">
        <f>C259*p_factor_productividad</f>
        <v/>
      </c>
      <c r="E259" s="17">
        <f>SUMIFS('ORDENES'!$M$4:$M$1203,'ORDENES'!$Y$4:$Y$1203,$A259,'ORDENES'!$O$4:$O$1203,$B259,'ORDENES'!$T$4:$T$1203,"preventiva")</f>
        <v/>
      </c>
      <c r="F259" s="17">
        <f>SUMIFS('ORDENES'!$M$4:$M$1203,'ORDENES'!$Y$4:$Y$1203,$A259,'ORDENES'!$O$4:$O$1203,$B259,'ORDENES'!$T$4:$T$1203,"correctiva")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SUMIFS('ASIGNACIONES'!$I$4:$I$339,'ASIGNACIONES'!$E$4:$E$339,$A260,'ASIGNACIONES'!$A$4:$A$339,$B260)</f>
        <v/>
      </c>
      <c r="D260" s="17">
        <f>C260*p_factor_productividad</f>
        <v/>
      </c>
      <c r="E260" s="17">
        <f>SUMIFS('ORDENES'!$M$4:$M$1203,'ORDENES'!$Y$4:$Y$1203,$A260,'ORDENES'!$O$4:$O$1203,$B260,'ORDENES'!$T$4:$T$1203,"preventiva")</f>
        <v/>
      </c>
      <c r="F260" s="17">
        <f>SUMIFS('ORDENES'!$M$4:$M$1203,'ORDENES'!$Y$4:$Y$1203,$A260,'ORDENES'!$O$4:$O$1203,$B260,'ORDENES'!$T$4:$T$1203,"correctiva")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SUMIFS('ASIGNACIONES'!$I$4:$I$339,'ASIGNACIONES'!$E$4:$E$339,$A261,'ASIGNACIONES'!$A$4:$A$339,$B261)</f>
        <v/>
      </c>
      <c r="D261" s="17">
        <f>C261*p_factor_productividad</f>
        <v/>
      </c>
      <c r="E261" s="17">
        <f>SUMIFS('ORDENES'!$M$4:$M$1203,'ORDENES'!$Y$4:$Y$1203,$A261,'ORDENES'!$O$4:$O$1203,$B261,'ORDENES'!$T$4:$T$1203,"preventiva")</f>
        <v/>
      </c>
      <c r="F261" s="17">
        <f>SUMIFS('ORDENES'!$M$4:$M$1203,'ORDENES'!$Y$4:$Y$1203,$A261,'ORDENES'!$O$4:$O$1203,$B261,'ORDENES'!$T$4:$T$1203,"correctiva")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SUMIFS('ASIGNACIONES'!$I$4:$I$339,'ASIGNACIONES'!$E$4:$E$339,$A262,'ASIGNACIONES'!$A$4:$A$339,$B262)</f>
        <v/>
      </c>
      <c r="D262" s="17">
        <f>C262*p_factor_productividad</f>
        <v/>
      </c>
      <c r="E262" s="17">
        <f>SUMIFS('ORDENES'!$M$4:$M$1203,'ORDENES'!$Y$4:$Y$1203,$A262,'ORDENES'!$O$4:$O$1203,$B262,'ORDENES'!$T$4:$T$1203,"preventiva")</f>
        <v/>
      </c>
      <c r="F262" s="17">
        <f>SUMIFS('ORDENES'!$M$4:$M$1203,'ORDENES'!$Y$4:$Y$1203,$A262,'ORDENES'!$O$4:$O$1203,$B262,'ORDENES'!$T$4:$T$1203,"correctiva")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SUMIFS('ASIGNACIONES'!$I$4:$I$339,'ASIGNACIONES'!$E$4:$E$339,$A263,'ASIGNACIONES'!$A$4:$A$339,$B263)</f>
        <v/>
      </c>
      <c r="D263" s="17">
        <f>C263*p_factor_productividad</f>
        <v/>
      </c>
      <c r="E263" s="17">
        <f>SUMIFS('ORDENES'!$M$4:$M$1203,'ORDENES'!$Y$4:$Y$1203,$A263,'ORDENES'!$O$4:$O$1203,$B263,'ORDENES'!$T$4:$T$1203,"preventiva")</f>
        <v/>
      </c>
      <c r="F263" s="17">
        <f>SUMIFS('ORDENES'!$M$4:$M$1203,'ORDENES'!$Y$4:$Y$1203,$A263,'ORDENES'!$O$4:$O$1203,$B263,'ORDENES'!$T$4:$T$1203,"correctiva")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SUMIFS('ASIGNACIONES'!$I$4:$I$339,'ASIGNACIONES'!$E$4:$E$339,$A264,'ASIGNACIONES'!$A$4:$A$339,$B264)</f>
        <v/>
      </c>
      <c r="D264" s="17">
        <f>C264*p_factor_productividad</f>
        <v/>
      </c>
      <c r="E264" s="17">
        <f>SUMIFS('ORDENES'!$M$4:$M$1203,'ORDENES'!$Y$4:$Y$1203,$A264,'ORDENES'!$O$4:$O$1203,$B264,'ORDENES'!$T$4:$T$1203,"preventiva")</f>
        <v/>
      </c>
      <c r="F264" s="17">
        <f>SUMIFS('ORDENES'!$M$4:$M$1203,'ORDENES'!$Y$4:$Y$1203,$A264,'ORDENES'!$O$4:$O$1203,$B264,'ORDENES'!$T$4:$T$1203,"correctiva")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SUMIFS('ASIGNACIONES'!$I$4:$I$339,'ASIGNACIONES'!$E$4:$E$339,$A265,'ASIGNACIONES'!$A$4:$A$339,$B265)</f>
        <v/>
      </c>
      <c r="D265" s="17">
        <f>C265*p_factor_productividad</f>
        <v/>
      </c>
      <c r="E265" s="17">
        <f>SUMIFS('ORDENES'!$M$4:$M$1203,'ORDENES'!$Y$4:$Y$1203,$A265,'ORDENES'!$O$4:$O$1203,$B265,'ORDENES'!$T$4:$T$1203,"preventiva")</f>
        <v/>
      </c>
      <c r="F265" s="17">
        <f>SUMIFS('ORDENES'!$M$4:$M$1203,'ORDENES'!$Y$4:$Y$1203,$A265,'ORDENES'!$O$4:$O$1203,$B265,'ORDENES'!$T$4:$T$1203,"correctiva")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SUMIFS('ASIGNACIONES'!$I$4:$I$339,'ASIGNACIONES'!$E$4:$E$339,$A266,'ASIGNACIONES'!$A$4:$A$339,$B266)</f>
        <v/>
      </c>
      <c r="D266" s="17">
        <f>C266*p_factor_productividad</f>
        <v/>
      </c>
      <c r="E266" s="17">
        <f>SUMIFS('ORDENES'!$M$4:$M$1203,'ORDENES'!$Y$4:$Y$1203,$A266,'ORDENES'!$O$4:$O$1203,$B266,'ORDENES'!$T$4:$T$1203,"preventiva")</f>
        <v/>
      </c>
      <c r="F266" s="17">
        <f>SUMIFS('ORDENES'!$M$4:$M$1203,'ORDENES'!$Y$4:$Y$1203,$A266,'ORDENES'!$O$4:$O$1203,$B266,'ORDENES'!$T$4:$T$1203,"correctiva")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SUMIFS('ASIGNACIONES'!$I$4:$I$339,'ASIGNACIONES'!$E$4:$E$339,$A267,'ASIGNACIONES'!$A$4:$A$339,$B267)</f>
        <v/>
      </c>
      <c r="D267" s="17">
        <f>C267*p_factor_productividad</f>
        <v/>
      </c>
      <c r="E267" s="17">
        <f>SUMIFS('ORDENES'!$M$4:$M$1203,'ORDENES'!$Y$4:$Y$1203,$A267,'ORDENES'!$O$4:$O$1203,$B267,'ORDENES'!$T$4:$T$1203,"preventiva")</f>
        <v/>
      </c>
      <c r="F267" s="17">
        <f>SUMIFS('ORDENES'!$M$4:$M$1203,'ORDENES'!$Y$4:$Y$1203,$A267,'ORDENES'!$O$4:$O$1203,$B267,'ORDENES'!$T$4:$T$1203,"correctiva")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SUMIFS('ASIGNACIONES'!$I$4:$I$339,'ASIGNACIONES'!$E$4:$E$339,$A268,'ASIGNACIONES'!$A$4:$A$339,$B268)</f>
        <v/>
      </c>
      <c r="D268" s="17">
        <f>C268*p_factor_productividad</f>
        <v/>
      </c>
      <c r="E268" s="17">
        <f>SUMIFS('ORDENES'!$M$4:$M$1203,'ORDENES'!$Y$4:$Y$1203,$A268,'ORDENES'!$O$4:$O$1203,$B268,'ORDENES'!$T$4:$T$1203,"preventiva")</f>
        <v/>
      </c>
      <c r="F268" s="17">
        <f>SUMIFS('ORDENES'!$M$4:$M$1203,'ORDENES'!$Y$4:$Y$1203,$A268,'ORDENES'!$O$4:$O$1203,$B268,'ORDENES'!$T$4:$T$1203,"correctiva")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SUMIFS('ASIGNACIONES'!$I$4:$I$339,'ASIGNACIONES'!$E$4:$E$339,$A269,'ASIGNACIONES'!$A$4:$A$339,$B269)</f>
        <v/>
      </c>
      <c r="D269" s="17">
        <f>C269*p_factor_productividad</f>
        <v/>
      </c>
      <c r="E269" s="17">
        <f>SUMIFS('ORDENES'!$M$4:$M$1203,'ORDENES'!$Y$4:$Y$1203,$A269,'ORDENES'!$O$4:$O$1203,$B269,'ORDENES'!$T$4:$T$1203,"preventiva")</f>
        <v/>
      </c>
      <c r="F269" s="17">
        <f>SUMIFS('ORDENES'!$M$4:$M$1203,'ORDENES'!$Y$4:$Y$1203,$A269,'ORDENES'!$O$4:$O$1203,$B269,'ORDENES'!$T$4:$T$1203,"correctiva")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SUMIFS('ASIGNACIONES'!$I$4:$I$339,'ASIGNACIONES'!$E$4:$E$339,$A270,'ASIGNACIONES'!$A$4:$A$339,$B270)</f>
        <v/>
      </c>
      <c r="D270" s="17">
        <f>C270*p_factor_productividad</f>
        <v/>
      </c>
      <c r="E270" s="17">
        <f>SUMIFS('ORDENES'!$M$4:$M$1203,'ORDENES'!$Y$4:$Y$1203,$A270,'ORDENES'!$O$4:$O$1203,$B270,'ORDENES'!$T$4:$T$1203,"preventiva")</f>
        <v/>
      </c>
      <c r="F270" s="17">
        <f>SUMIFS('ORDENES'!$M$4:$M$1203,'ORDENES'!$Y$4:$Y$1203,$A270,'ORDENES'!$O$4:$O$1203,$B270,'ORDENES'!$T$4:$T$1203,"correctiva")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SUMIFS('ASIGNACIONES'!$I$4:$I$339,'ASIGNACIONES'!$E$4:$E$339,$A271,'ASIGNACIONES'!$A$4:$A$339,$B271)</f>
        <v/>
      </c>
      <c r="D271" s="17">
        <f>C271*p_factor_productividad</f>
        <v/>
      </c>
      <c r="E271" s="17">
        <f>SUMIFS('ORDENES'!$M$4:$M$1203,'ORDENES'!$Y$4:$Y$1203,$A271,'ORDENES'!$O$4:$O$1203,$B271,'ORDENES'!$T$4:$T$1203,"preventiva")</f>
        <v/>
      </c>
      <c r="F271" s="17">
        <f>SUMIFS('ORDENES'!$M$4:$M$1203,'ORDENES'!$Y$4:$Y$1203,$A271,'ORDENES'!$O$4:$O$1203,$B271,'ORDENES'!$T$4:$T$1203,"correctiva")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SUMIFS('ASIGNACIONES'!$I$4:$I$339,'ASIGNACIONES'!$E$4:$E$339,$A272,'ASIGNACIONES'!$A$4:$A$339,$B272)</f>
        <v/>
      </c>
      <c r="D272" s="17">
        <f>C272*p_factor_productividad</f>
        <v/>
      </c>
      <c r="E272" s="17">
        <f>SUMIFS('ORDENES'!$M$4:$M$1203,'ORDENES'!$Y$4:$Y$1203,$A272,'ORDENES'!$O$4:$O$1203,$B272,'ORDENES'!$T$4:$T$1203,"preventiva")</f>
        <v/>
      </c>
      <c r="F272" s="17">
        <f>SUMIFS('ORDENES'!$M$4:$M$1203,'ORDENES'!$Y$4:$Y$1203,$A272,'ORDENES'!$O$4:$O$1203,$B272,'ORDENES'!$T$4:$T$1203,"correctiva")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SUMIFS('ASIGNACIONES'!$I$4:$I$339,'ASIGNACIONES'!$E$4:$E$339,$A273,'ASIGNACIONES'!$A$4:$A$339,$B273)</f>
        <v/>
      </c>
      <c r="D273" s="17">
        <f>C273*p_factor_productividad</f>
        <v/>
      </c>
      <c r="E273" s="17">
        <f>SUMIFS('ORDENES'!$M$4:$M$1203,'ORDENES'!$Y$4:$Y$1203,$A273,'ORDENES'!$O$4:$O$1203,$B273,'ORDENES'!$T$4:$T$1203,"preventiva")</f>
        <v/>
      </c>
      <c r="F273" s="17">
        <f>SUMIFS('ORDENES'!$M$4:$M$1203,'ORDENES'!$Y$4:$Y$1203,$A273,'ORDENES'!$O$4:$O$1203,$B273,'ORDENES'!$T$4:$T$1203,"correctiva")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SUMIFS('ASIGNACIONES'!$I$4:$I$339,'ASIGNACIONES'!$E$4:$E$339,$A274,'ASIGNACIONES'!$A$4:$A$339,$B274)</f>
        <v/>
      </c>
      <c r="D274" s="17">
        <f>C274*p_factor_productividad</f>
        <v/>
      </c>
      <c r="E274" s="17">
        <f>SUMIFS('ORDENES'!$M$4:$M$1203,'ORDENES'!$Y$4:$Y$1203,$A274,'ORDENES'!$O$4:$O$1203,$B274,'ORDENES'!$T$4:$T$1203,"preventiva")</f>
        <v/>
      </c>
      <c r="F274" s="17">
        <f>SUMIFS('ORDENES'!$M$4:$M$1203,'ORDENES'!$Y$4:$Y$1203,$A274,'ORDENES'!$O$4:$O$1203,$B274,'ORDENES'!$T$4:$T$1203,"correctiva")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SUMIFS('ASIGNACIONES'!$I$4:$I$339,'ASIGNACIONES'!$E$4:$E$339,$A275,'ASIGNACIONES'!$A$4:$A$339,$B275)</f>
        <v/>
      </c>
      <c r="D275" s="17">
        <f>C275*p_factor_productividad</f>
        <v/>
      </c>
      <c r="E275" s="17">
        <f>SUMIFS('ORDENES'!$M$4:$M$1203,'ORDENES'!$Y$4:$Y$1203,$A275,'ORDENES'!$O$4:$O$1203,$B275,'ORDENES'!$T$4:$T$1203,"preventiva")</f>
        <v/>
      </c>
      <c r="F275" s="17">
        <f>SUMIFS('ORDENES'!$M$4:$M$1203,'ORDENES'!$Y$4:$Y$1203,$A275,'ORDENES'!$O$4:$O$1203,$B275,'ORDENES'!$T$4:$T$1203,"correctiva")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SUMIFS('ASIGNACIONES'!$I$4:$I$339,'ASIGNACIONES'!$E$4:$E$339,$A276,'ASIGNACIONES'!$A$4:$A$339,$B276)</f>
        <v/>
      </c>
      <c r="D276" s="17">
        <f>C276*p_factor_productividad</f>
        <v/>
      </c>
      <c r="E276" s="17">
        <f>SUMIFS('ORDENES'!$M$4:$M$1203,'ORDENES'!$Y$4:$Y$1203,$A276,'ORDENES'!$O$4:$O$1203,$B276,'ORDENES'!$T$4:$T$1203,"preventiva")</f>
        <v/>
      </c>
      <c r="F276" s="17">
        <f>SUMIFS('ORDENES'!$M$4:$M$1203,'ORDENES'!$Y$4:$Y$1203,$A276,'ORDENES'!$O$4:$O$1203,$B276,'ORDENES'!$T$4:$T$1203,"correctiva")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SUMIFS('ASIGNACIONES'!$I$4:$I$339,'ASIGNACIONES'!$E$4:$E$339,$A277,'ASIGNACIONES'!$A$4:$A$339,$B277)</f>
        <v/>
      </c>
      <c r="D277" s="17">
        <f>C277*p_factor_productividad</f>
        <v/>
      </c>
      <c r="E277" s="17">
        <f>SUMIFS('ORDENES'!$M$4:$M$1203,'ORDENES'!$Y$4:$Y$1203,$A277,'ORDENES'!$O$4:$O$1203,$B277,'ORDENES'!$T$4:$T$1203,"preventiva")</f>
        <v/>
      </c>
      <c r="F277" s="17">
        <f>SUMIFS('ORDENES'!$M$4:$M$1203,'ORDENES'!$Y$4:$Y$1203,$A277,'ORDENES'!$O$4:$O$1203,$B277,'ORDENES'!$T$4:$T$1203,"correctiva")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SUMIFS('ASIGNACIONES'!$I$4:$I$339,'ASIGNACIONES'!$E$4:$E$339,$A278,'ASIGNACIONES'!$A$4:$A$339,$B278)</f>
        <v/>
      </c>
      <c r="D278" s="17">
        <f>C278*p_factor_productividad</f>
        <v/>
      </c>
      <c r="E278" s="17">
        <f>SUMIFS('ORDENES'!$M$4:$M$1203,'ORDENES'!$Y$4:$Y$1203,$A278,'ORDENES'!$O$4:$O$1203,$B278,'ORDENES'!$T$4:$T$1203,"preventiva")</f>
        <v/>
      </c>
      <c r="F278" s="17">
        <f>SUMIFS('ORDENES'!$M$4:$M$1203,'ORDENES'!$Y$4:$Y$1203,$A278,'ORDENES'!$O$4:$O$1203,$B278,'ORDENES'!$T$4:$T$1203,"correctiva")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SUMIFS('ASIGNACIONES'!$I$4:$I$339,'ASIGNACIONES'!$E$4:$E$339,$A279,'ASIGNACIONES'!$A$4:$A$339,$B279)</f>
        <v/>
      </c>
      <c r="D279" s="17">
        <f>C279*p_factor_productividad</f>
        <v/>
      </c>
      <c r="E279" s="17">
        <f>SUMIFS('ORDENES'!$M$4:$M$1203,'ORDENES'!$Y$4:$Y$1203,$A279,'ORDENES'!$O$4:$O$1203,$B279,'ORDENES'!$T$4:$T$1203,"preventiva")</f>
        <v/>
      </c>
      <c r="F279" s="17">
        <f>SUMIFS('ORDENES'!$M$4:$M$1203,'ORDENES'!$Y$4:$Y$1203,$A279,'ORDENES'!$O$4:$O$1203,$B279,'ORDENES'!$T$4:$T$1203,"correctiva")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SUMIFS('ASIGNACIONES'!$I$4:$I$339,'ASIGNACIONES'!$E$4:$E$339,$A280,'ASIGNACIONES'!$A$4:$A$339,$B280)</f>
        <v/>
      </c>
      <c r="D280" s="17">
        <f>C280*p_factor_productividad</f>
        <v/>
      </c>
      <c r="E280" s="17">
        <f>SUMIFS('ORDENES'!$M$4:$M$1203,'ORDENES'!$Y$4:$Y$1203,$A280,'ORDENES'!$O$4:$O$1203,$B280,'ORDENES'!$T$4:$T$1203,"preventiva")</f>
        <v/>
      </c>
      <c r="F280" s="17">
        <f>SUMIFS('ORDENES'!$M$4:$M$1203,'ORDENES'!$Y$4:$Y$1203,$A280,'ORDENES'!$O$4:$O$1203,$B280,'ORDENES'!$T$4:$T$1203,"correctiva")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SUMIFS('ASIGNACIONES'!$I$4:$I$339,'ASIGNACIONES'!$E$4:$E$339,$A281,'ASIGNACIONES'!$A$4:$A$339,$B281)</f>
        <v/>
      </c>
      <c r="D281" s="17">
        <f>C281*p_factor_productividad</f>
        <v/>
      </c>
      <c r="E281" s="17">
        <f>SUMIFS('ORDENES'!$M$4:$M$1203,'ORDENES'!$Y$4:$Y$1203,$A281,'ORDENES'!$O$4:$O$1203,$B281,'ORDENES'!$T$4:$T$1203,"preventiva")</f>
        <v/>
      </c>
      <c r="F281" s="17">
        <f>SUMIFS('ORDENES'!$M$4:$M$1203,'ORDENES'!$Y$4:$Y$1203,$A281,'ORDENES'!$O$4:$O$1203,$B281,'ORDENES'!$T$4:$T$1203,"correctiva")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SUMIFS('ASIGNACIONES'!$I$4:$I$339,'ASIGNACIONES'!$E$4:$E$339,$A282,'ASIGNACIONES'!$A$4:$A$339,$B282)</f>
        <v/>
      </c>
      <c r="D282" s="17">
        <f>C282*p_factor_productividad</f>
        <v/>
      </c>
      <c r="E282" s="17">
        <f>SUMIFS('ORDENES'!$M$4:$M$1203,'ORDENES'!$Y$4:$Y$1203,$A282,'ORDENES'!$O$4:$O$1203,$B282,'ORDENES'!$T$4:$T$1203,"preventiva")</f>
        <v/>
      </c>
      <c r="F282" s="17">
        <f>SUMIFS('ORDENES'!$M$4:$M$1203,'ORDENES'!$Y$4:$Y$1203,$A282,'ORDENES'!$O$4:$O$1203,$B282,'ORDENES'!$T$4:$T$1203,"correctiva")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SUMIFS('ASIGNACIONES'!$I$4:$I$339,'ASIGNACIONES'!$E$4:$E$339,$A283,'ASIGNACIONES'!$A$4:$A$339,$B283)</f>
        <v/>
      </c>
      <c r="D283" s="17">
        <f>C283*p_factor_productividad</f>
        <v/>
      </c>
      <c r="E283" s="17">
        <f>SUMIFS('ORDENES'!$M$4:$M$1203,'ORDENES'!$Y$4:$Y$1203,$A283,'ORDENES'!$O$4:$O$1203,$B283,'ORDENES'!$T$4:$T$1203,"preventiva")</f>
        <v/>
      </c>
      <c r="F283" s="17">
        <f>SUMIFS('ORDENES'!$M$4:$M$1203,'ORDENES'!$Y$4:$Y$1203,$A283,'ORDENES'!$O$4:$O$1203,$B283,'ORDENES'!$T$4:$T$1203,"correctiva")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SUMIFS('ASIGNACIONES'!$I$4:$I$339,'ASIGNACIONES'!$E$4:$E$339,$A284,'ASIGNACIONES'!$A$4:$A$339,$B284)</f>
        <v/>
      </c>
      <c r="D284" s="17">
        <f>C284*p_factor_productividad</f>
        <v/>
      </c>
      <c r="E284" s="17">
        <f>SUMIFS('ORDENES'!$M$4:$M$1203,'ORDENES'!$Y$4:$Y$1203,$A284,'ORDENES'!$O$4:$O$1203,$B284,'ORDENES'!$T$4:$T$1203,"preventiva")</f>
        <v/>
      </c>
      <c r="F284" s="17">
        <f>SUMIFS('ORDENES'!$M$4:$M$1203,'ORDENES'!$Y$4:$Y$1203,$A284,'ORDENES'!$O$4:$O$1203,$B284,'ORDENES'!$T$4:$T$1203,"correctiva")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SUMIFS('ASIGNACIONES'!$I$4:$I$339,'ASIGNACIONES'!$E$4:$E$339,$A285,'ASIGNACIONES'!$A$4:$A$339,$B285)</f>
        <v/>
      </c>
      <c r="D285" s="17">
        <f>C285*p_factor_productividad</f>
        <v/>
      </c>
      <c r="E285" s="17">
        <f>SUMIFS('ORDENES'!$M$4:$M$1203,'ORDENES'!$Y$4:$Y$1203,$A285,'ORDENES'!$O$4:$O$1203,$B285,'ORDENES'!$T$4:$T$1203,"preventiva")</f>
        <v/>
      </c>
      <c r="F285" s="17">
        <f>SUMIFS('ORDENES'!$M$4:$M$1203,'ORDENES'!$Y$4:$Y$1203,$A285,'ORDENES'!$O$4:$O$1203,$B285,'ORDENES'!$T$4:$T$1203,"correctiva")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SUMIFS('ASIGNACIONES'!$I$4:$I$339,'ASIGNACIONES'!$E$4:$E$339,$A286,'ASIGNACIONES'!$A$4:$A$339,$B286)</f>
        <v/>
      </c>
      <c r="D286" s="17">
        <f>C286*p_factor_productividad</f>
        <v/>
      </c>
      <c r="E286" s="17">
        <f>SUMIFS('ORDENES'!$M$4:$M$1203,'ORDENES'!$Y$4:$Y$1203,$A286,'ORDENES'!$O$4:$O$1203,$B286,'ORDENES'!$T$4:$T$1203,"preventiva")</f>
        <v/>
      </c>
      <c r="F286" s="17">
        <f>SUMIFS('ORDENES'!$M$4:$M$1203,'ORDENES'!$Y$4:$Y$1203,$A286,'ORDENES'!$O$4:$O$1203,$B286,'ORDENES'!$T$4:$T$1203,"correctiva")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SUMIFS('ASIGNACIONES'!$I$4:$I$339,'ASIGNACIONES'!$E$4:$E$339,$A287,'ASIGNACIONES'!$A$4:$A$339,$B287)</f>
        <v/>
      </c>
      <c r="D287" s="17">
        <f>C287*p_factor_productividad</f>
        <v/>
      </c>
      <c r="E287" s="17">
        <f>SUMIFS('ORDENES'!$M$4:$M$1203,'ORDENES'!$Y$4:$Y$1203,$A287,'ORDENES'!$O$4:$O$1203,$B287,'ORDENES'!$T$4:$T$1203,"preventiva")</f>
        <v/>
      </c>
      <c r="F287" s="17">
        <f>SUMIFS('ORDENES'!$M$4:$M$1203,'ORDENES'!$Y$4:$Y$1203,$A287,'ORDENES'!$O$4:$O$1203,$B287,'ORDENES'!$T$4:$T$1203,"correctiva")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SUMIFS('ASIGNACIONES'!$I$4:$I$339,'ASIGNACIONES'!$E$4:$E$339,$A288,'ASIGNACIONES'!$A$4:$A$339,$B288)</f>
        <v/>
      </c>
      <c r="D288" s="17">
        <f>C288*p_factor_productividad</f>
        <v/>
      </c>
      <c r="E288" s="17">
        <f>SUMIFS('ORDENES'!$M$4:$M$1203,'ORDENES'!$Y$4:$Y$1203,$A288,'ORDENES'!$O$4:$O$1203,$B288,'ORDENES'!$T$4:$T$1203,"preventiva")</f>
        <v/>
      </c>
      <c r="F288" s="17">
        <f>SUMIFS('ORDENES'!$M$4:$M$1203,'ORDENES'!$Y$4:$Y$1203,$A288,'ORDENES'!$O$4:$O$1203,$B288,'ORDENES'!$T$4:$T$1203,"correctiva")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SUMIFS('ASIGNACIONES'!$I$4:$I$339,'ASIGNACIONES'!$E$4:$E$339,$A289,'ASIGNACIONES'!$A$4:$A$339,$B289)</f>
        <v/>
      </c>
      <c r="D289" s="17">
        <f>C289*p_factor_productividad</f>
        <v/>
      </c>
      <c r="E289" s="17">
        <f>SUMIFS('ORDENES'!$M$4:$M$1203,'ORDENES'!$Y$4:$Y$1203,$A289,'ORDENES'!$O$4:$O$1203,$B289,'ORDENES'!$T$4:$T$1203,"preventiva")</f>
        <v/>
      </c>
      <c r="F289" s="17">
        <f>SUMIFS('ORDENES'!$M$4:$M$1203,'ORDENES'!$Y$4:$Y$1203,$A289,'ORDENES'!$O$4:$O$1203,$B289,'ORDENES'!$T$4:$T$1203,"correctiva")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SUMIFS('ASIGNACIONES'!$I$4:$I$339,'ASIGNACIONES'!$E$4:$E$339,$A290,'ASIGNACIONES'!$A$4:$A$339,$B290)</f>
        <v/>
      </c>
      <c r="D290" s="17">
        <f>C290*p_factor_productividad</f>
        <v/>
      </c>
      <c r="E290" s="17">
        <f>SUMIFS('ORDENES'!$M$4:$M$1203,'ORDENES'!$Y$4:$Y$1203,$A290,'ORDENES'!$O$4:$O$1203,$B290,'ORDENES'!$T$4:$T$1203,"preventiva")</f>
        <v/>
      </c>
      <c r="F290" s="17">
        <f>SUMIFS('ORDENES'!$M$4:$M$1203,'ORDENES'!$Y$4:$Y$1203,$A290,'ORDENES'!$O$4:$O$1203,$B290,'ORDENES'!$T$4:$T$1203,"correctiva")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SUMIFS('ASIGNACIONES'!$I$4:$I$339,'ASIGNACIONES'!$E$4:$E$339,$A291,'ASIGNACIONES'!$A$4:$A$339,$B291)</f>
        <v/>
      </c>
      <c r="D291" s="17">
        <f>C291*p_factor_productividad</f>
        <v/>
      </c>
      <c r="E291" s="17">
        <f>SUMIFS('ORDENES'!$M$4:$M$1203,'ORDENES'!$Y$4:$Y$1203,$A291,'ORDENES'!$O$4:$O$1203,$B291,'ORDENES'!$T$4:$T$1203,"preventiva")</f>
        <v/>
      </c>
      <c r="F291" s="17">
        <f>SUMIFS('ORDENES'!$M$4:$M$1203,'ORDENES'!$Y$4:$Y$1203,$A291,'ORDENES'!$O$4:$O$1203,$B291,'ORDENES'!$T$4:$T$1203,"correctiva")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SUMIFS('ASIGNACIONES'!$I$4:$I$339,'ASIGNACIONES'!$E$4:$E$339,$A292,'ASIGNACIONES'!$A$4:$A$339,$B292)</f>
        <v/>
      </c>
      <c r="D292" s="17">
        <f>C292*p_factor_productividad</f>
        <v/>
      </c>
      <c r="E292" s="17">
        <f>SUMIFS('ORDENES'!$M$4:$M$1203,'ORDENES'!$Y$4:$Y$1203,$A292,'ORDENES'!$O$4:$O$1203,$B292,'ORDENES'!$T$4:$T$1203,"preventiva")</f>
        <v/>
      </c>
      <c r="F292" s="17">
        <f>SUMIFS('ORDENES'!$M$4:$M$1203,'ORDENES'!$Y$4:$Y$1203,$A292,'ORDENES'!$O$4:$O$1203,$B292,'ORDENES'!$T$4:$T$1203,"correctiva")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SUMIFS('ASIGNACIONES'!$I$4:$I$339,'ASIGNACIONES'!$E$4:$E$339,$A293,'ASIGNACIONES'!$A$4:$A$339,$B293)</f>
        <v/>
      </c>
      <c r="D293" s="17">
        <f>C293*p_factor_productividad</f>
        <v/>
      </c>
      <c r="E293" s="17">
        <f>SUMIFS('ORDENES'!$M$4:$M$1203,'ORDENES'!$Y$4:$Y$1203,$A293,'ORDENES'!$O$4:$O$1203,$B293,'ORDENES'!$T$4:$T$1203,"preventiva")</f>
        <v/>
      </c>
      <c r="F293" s="17">
        <f>SUMIFS('ORDENES'!$M$4:$M$1203,'ORDENES'!$Y$4:$Y$1203,$A293,'ORDENES'!$O$4:$O$1203,$B293,'ORDENES'!$T$4:$T$1203,"correctiva")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SUMIFS('ASIGNACIONES'!$I$4:$I$339,'ASIGNACIONES'!$E$4:$E$339,$A294,'ASIGNACIONES'!$A$4:$A$339,$B294)</f>
        <v/>
      </c>
      <c r="D294" s="17">
        <f>C294*p_factor_productividad</f>
        <v/>
      </c>
      <c r="E294" s="17">
        <f>SUMIFS('ORDENES'!$M$4:$M$1203,'ORDENES'!$Y$4:$Y$1203,$A294,'ORDENES'!$O$4:$O$1203,$B294,'ORDENES'!$T$4:$T$1203,"preventiva")</f>
        <v/>
      </c>
      <c r="F294" s="17">
        <f>SUMIFS('ORDENES'!$M$4:$M$1203,'ORDENES'!$Y$4:$Y$1203,$A294,'ORDENES'!$O$4:$O$1203,$B294,'ORDENES'!$T$4:$T$1203,"correctiva")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SUMIFS('ASIGNACIONES'!$I$4:$I$339,'ASIGNACIONES'!$E$4:$E$339,$A295,'ASIGNACIONES'!$A$4:$A$339,$B295)</f>
        <v/>
      </c>
      <c r="D295" s="17">
        <f>C295*p_factor_productividad</f>
        <v/>
      </c>
      <c r="E295" s="17">
        <f>SUMIFS('ORDENES'!$M$4:$M$1203,'ORDENES'!$Y$4:$Y$1203,$A295,'ORDENES'!$O$4:$O$1203,$B295,'ORDENES'!$T$4:$T$1203,"preventiva")</f>
        <v/>
      </c>
      <c r="F295" s="17">
        <f>SUMIFS('ORDENES'!$M$4:$M$1203,'ORDENES'!$Y$4:$Y$1203,$A295,'ORDENES'!$O$4:$O$1203,$B295,'ORDENES'!$T$4:$T$1203,"correctiva")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SUMIFS('ASIGNACIONES'!$I$4:$I$339,'ASIGNACIONES'!$E$4:$E$339,$A296,'ASIGNACIONES'!$A$4:$A$339,$B296)</f>
        <v/>
      </c>
      <c r="D296" s="17">
        <f>C296*p_factor_productividad</f>
        <v/>
      </c>
      <c r="E296" s="17">
        <f>SUMIFS('ORDENES'!$M$4:$M$1203,'ORDENES'!$Y$4:$Y$1203,$A296,'ORDENES'!$O$4:$O$1203,$B296,'ORDENES'!$T$4:$T$1203,"preventiva")</f>
        <v/>
      </c>
      <c r="F296" s="17">
        <f>SUMIFS('ORDENES'!$M$4:$M$1203,'ORDENES'!$Y$4:$Y$1203,$A296,'ORDENES'!$O$4:$O$1203,$B296,'ORDENES'!$T$4:$T$1203,"correctiva")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SUMIFS('ASIGNACIONES'!$I$4:$I$339,'ASIGNACIONES'!$E$4:$E$339,$A297,'ASIGNACIONES'!$A$4:$A$339,$B297)</f>
        <v/>
      </c>
      <c r="D297" s="17">
        <f>C297*p_factor_productividad</f>
        <v/>
      </c>
      <c r="E297" s="17">
        <f>SUMIFS('ORDENES'!$M$4:$M$1203,'ORDENES'!$Y$4:$Y$1203,$A297,'ORDENES'!$O$4:$O$1203,$B297,'ORDENES'!$T$4:$T$1203,"preventiva")</f>
        <v/>
      </c>
      <c r="F297" s="17">
        <f>SUMIFS('ORDENES'!$M$4:$M$1203,'ORDENES'!$Y$4:$Y$1203,$A297,'ORDENES'!$O$4:$O$1203,$B297,'ORDENES'!$T$4:$T$1203,"correctiva")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SUMIFS('ASIGNACIONES'!$I$4:$I$339,'ASIGNACIONES'!$E$4:$E$339,$A298,'ASIGNACIONES'!$A$4:$A$339,$B298)</f>
        <v/>
      </c>
      <c r="D298" s="17">
        <f>C298*p_factor_productividad</f>
        <v/>
      </c>
      <c r="E298" s="17">
        <f>SUMIFS('ORDENES'!$M$4:$M$1203,'ORDENES'!$Y$4:$Y$1203,$A298,'ORDENES'!$O$4:$O$1203,$B298,'ORDENES'!$T$4:$T$1203,"preventiva")</f>
        <v/>
      </c>
      <c r="F298" s="17">
        <f>SUMIFS('ORDENES'!$M$4:$M$1203,'ORDENES'!$Y$4:$Y$1203,$A298,'ORDENES'!$O$4:$O$1203,$B298,'ORDENES'!$T$4:$T$1203,"correctiva")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SUMIFS('ASIGNACIONES'!$I$4:$I$339,'ASIGNACIONES'!$E$4:$E$339,$A299,'ASIGNACIONES'!$A$4:$A$339,$B299)</f>
        <v/>
      </c>
      <c r="D299" s="17">
        <f>C299*p_factor_productividad</f>
        <v/>
      </c>
      <c r="E299" s="17">
        <f>SUMIFS('ORDENES'!$M$4:$M$1203,'ORDENES'!$Y$4:$Y$1203,$A299,'ORDENES'!$O$4:$O$1203,$B299,'ORDENES'!$T$4:$T$1203,"preventiva")</f>
        <v/>
      </c>
      <c r="F299" s="17">
        <f>SUMIFS('ORDENES'!$M$4:$M$1203,'ORDENES'!$Y$4:$Y$1203,$A299,'ORDENES'!$O$4:$O$1203,$B299,'ORDENES'!$T$4:$T$1203,"correctiva")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SUMIFS('ASIGNACIONES'!$I$4:$I$339,'ASIGNACIONES'!$E$4:$E$339,$A300,'ASIGNACIONES'!$A$4:$A$339,$B300)</f>
        <v/>
      </c>
      <c r="D300" s="17">
        <f>C300*p_factor_productividad</f>
        <v/>
      </c>
      <c r="E300" s="17">
        <f>SUMIFS('ORDENES'!$M$4:$M$1203,'ORDENES'!$Y$4:$Y$1203,$A300,'ORDENES'!$O$4:$O$1203,$B300,'ORDENES'!$T$4:$T$1203,"preventiva")</f>
        <v/>
      </c>
      <c r="F300" s="17">
        <f>SUMIFS('ORDENES'!$M$4:$M$1203,'ORDENES'!$Y$4:$Y$1203,$A300,'ORDENES'!$O$4:$O$1203,$B300,'ORDENES'!$T$4:$T$1203,"correctiva")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SUMIFS('ASIGNACIONES'!$I$4:$I$339,'ASIGNACIONES'!$E$4:$E$339,$A301,'ASIGNACIONES'!$A$4:$A$339,$B301)</f>
        <v/>
      </c>
      <c r="D301" s="17">
        <f>C301*p_factor_productividad</f>
        <v/>
      </c>
      <c r="E301" s="17">
        <f>SUMIFS('ORDENES'!$M$4:$M$1203,'ORDENES'!$Y$4:$Y$1203,$A301,'ORDENES'!$O$4:$O$1203,$B301,'ORDENES'!$T$4:$T$1203,"preventiva")</f>
        <v/>
      </c>
      <c r="F301" s="17">
        <f>SUMIFS('ORDENES'!$M$4:$M$1203,'ORDENES'!$Y$4:$Y$1203,$A301,'ORDENES'!$O$4:$O$1203,$B301,'ORDENES'!$T$4:$T$1203,"correctiva")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SUMIFS('ASIGNACIONES'!$I$4:$I$339,'ASIGNACIONES'!$E$4:$E$339,$A302,'ASIGNACIONES'!$A$4:$A$339,$B302)</f>
        <v/>
      </c>
      <c r="D302" s="17">
        <f>C302*p_factor_productividad</f>
        <v/>
      </c>
      <c r="E302" s="17">
        <f>SUMIFS('ORDENES'!$M$4:$M$1203,'ORDENES'!$Y$4:$Y$1203,$A302,'ORDENES'!$O$4:$O$1203,$B302,'ORDENES'!$T$4:$T$1203,"preventiva")</f>
        <v/>
      </c>
      <c r="F302" s="17">
        <f>SUMIFS('ORDENES'!$M$4:$M$1203,'ORDENES'!$Y$4:$Y$1203,$A302,'ORDENES'!$O$4:$O$1203,$B302,'ORDENES'!$T$4:$T$1203,"correctiva")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SUMIFS('ASIGNACIONES'!$I$4:$I$339,'ASIGNACIONES'!$E$4:$E$339,$A303,'ASIGNACIONES'!$A$4:$A$339,$B303)</f>
        <v/>
      </c>
      <c r="D303" s="17">
        <f>C303*p_factor_productividad</f>
        <v/>
      </c>
      <c r="E303" s="17">
        <f>SUMIFS('ORDENES'!$M$4:$M$1203,'ORDENES'!$Y$4:$Y$1203,$A303,'ORDENES'!$O$4:$O$1203,$B303,'ORDENES'!$T$4:$T$1203,"preventiva")</f>
        <v/>
      </c>
      <c r="F303" s="17">
        <f>SUMIFS('ORDENES'!$M$4:$M$1203,'ORDENES'!$Y$4:$Y$1203,$A303,'ORDENES'!$O$4:$O$1203,$B303,'ORDENES'!$T$4:$T$1203,"correctiva")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 hidden="1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SUMIFS('ORDENES'!$M$4:$M$1203,'ORDENES'!$O$4:$O$1203,$A370,'ORDENES'!$T$4:$T$1203,"preventiva")</f>
        <v/>
      </c>
      <c r="C370" s="17">
        <f>SUMIFS('ORDENES'!$M$4:$M$1203,'ORDENES'!$O$4:$O$1203,$A370,'ORDENES'!$T$4:$T$1203,"correctiva")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SUMIFS('ORDENES'!$M$4:$M$1203,'ORDENES'!$O$4:$O$1203,$A371,'ORDENES'!$T$4:$T$1203,"preventiva")</f>
        <v/>
      </c>
      <c r="C371" s="17">
        <f>SUMIFS('ORDENES'!$M$4:$M$1203,'ORDENES'!$O$4:$O$1203,$A371,'ORDENES'!$T$4:$T$1203,"correctiva")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SUMIFS('ORDENES'!$M$4:$M$1203,'ORDENES'!$O$4:$O$1203,$A372,'ORDENES'!$T$4:$T$1203,"preventiva")</f>
        <v/>
      </c>
      <c r="C372" s="17">
        <f>SUMIFS('ORDENES'!$M$4:$M$1203,'ORDENES'!$O$4:$O$1203,$A372,'ORDENES'!$T$4:$T$1203,"correctiva")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SUMIFS('ORDENES'!$M$4:$M$1203,'ORDENES'!$O$4:$O$1203,$A373,'ORDENES'!$T$4:$T$1203,"preventiva")</f>
        <v/>
      </c>
      <c r="C373" s="17">
        <f>SUMIFS('ORDENES'!$M$4:$M$1203,'ORDENES'!$O$4:$O$1203,$A373,'ORDENES'!$T$4:$T$1203,"correctiva")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SUMIFS('ORDENES'!$M$4:$M$1203,'ORDENES'!$O$4:$O$1203,$A374,'ORDENES'!$T$4:$T$1203,"preventiva")</f>
        <v/>
      </c>
      <c r="C374" s="17">
        <f>SUMIFS('ORDENES'!$M$4:$M$1203,'ORDENES'!$O$4:$O$1203,$A374,'ORDENES'!$T$4:$T$1203,"correctiva")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SUMIFS('ORDENES'!$M$4:$M$1203,'ORDENES'!$O$4:$O$1203,$A375,'ORDENES'!$T$4:$T$1203,"preventiva")</f>
        <v/>
      </c>
      <c r="C375" s="17">
        <f>SUMIFS('ORDENES'!$M$4:$M$1203,'ORDENES'!$O$4:$O$1203,$A375,'ORDENES'!$T$4:$T$1203,"correctiva")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SUMIFS('ORDENES'!$M$4:$M$1203,'ORDENES'!$O$4:$O$1203,$A376,'ORDENES'!$T$4:$T$1203,"preventiva")</f>
        <v/>
      </c>
      <c r="C376" s="17">
        <f>SUMIFS('ORDENES'!$M$4:$M$1203,'ORDENES'!$O$4:$O$1203,$A376,'ORDENES'!$T$4:$T$1203,"correctiva")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SUMIFS('ORDENES'!$M$4:$M$1203,'ORDENES'!$O$4:$O$1203,$A377,'ORDENES'!$T$4:$T$1203,"preventiva")</f>
        <v/>
      </c>
      <c r="C377" s="17">
        <f>SUMIFS('ORDENES'!$M$4:$M$1203,'ORDENES'!$O$4:$O$1203,$A377,'ORDENES'!$T$4:$T$1203,"correctiva")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SUMIFS('ORDENES'!$M$4:$M$1203,'ORDENES'!$O$4:$O$1203,$A378,'ORDENES'!$T$4:$T$1203,"preventiva")</f>
        <v/>
      </c>
      <c r="C378" s="17">
        <f>SUMIFS('ORDENES'!$M$4:$M$1203,'ORDENES'!$O$4:$O$1203,$A378,'ORDENES'!$T$4:$T$1203,"correctiva")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SUMIFS('ORDENES'!$M$4:$M$1203,'ORDENES'!$O$4:$O$1203,$A379,'ORDENES'!$T$4:$T$1203,"preventiva")</f>
        <v/>
      </c>
      <c r="C379" s="17">
        <f>SUMIFS('ORDENES'!$M$4:$M$1203,'ORDENES'!$O$4:$O$1203,$A379,'ORDENES'!$T$4:$T$1203,"correctiva")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SUMIFS('ORDENES'!$M$4:$M$1203,'ORDENES'!$O$4:$O$1203,$A380,'ORDENES'!$T$4:$T$1203,"preventiva")</f>
        <v/>
      </c>
      <c r="C380" s="17">
        <f>SUMIFS('ORDENES'!$M$4:$M$1203,'ORDENES'!$O$4:$O$1203,$A380,'ORDENES'!$T$4:$T$1203,"correctiva")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SUMIFS('ORDENES'!$M$4:$M$1203,'ORDENES'!$O$4:$O$1203,$A381,'ORDENES'!$T$4:$T$1203,"preventiva")</f>
        <v/>
      </c>
      <c r="C381" s="17">
        <f>SUMIFS('ORDENES'!$M$4:$M$1203,'ORDENES'!$O$4:$O$1203,$A381,'ORDENES'!$T$4:$T$1203,"correctiva")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SUMIFS('ORDENES'!$M$4:$M$1203,'ORDENES'!$O$4:$O$1203,$A382,'ORDENES'!$T$4:$T$1203,"preventiva")</f>
        <v/>
      </c>
      <c r="C382" s="17">
        <f>SUMIFS('ORDENES'!$M$4:$M$1203,'ORDENES'!$O$4:$O$1203,$A382,'ORDENES'!$T$4:$T$1203,"correctiva")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SUMIFS('ORDENES'!$M$4:$M$1203,'ORDENES'!$O$4:$O$1203,$A383,'ORDENES'!$T$4:$T$1203,"preventiva")</f>
        <v/>
      </c>
      <c r="C383" s="17">
        <f>SUMIFS('ORDENES'!$M$4:$M$1203,'ORDENES'!$O$4:$O$1203,$A383,'ORDENES'!$T$4:$T$1203,"correctiva")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SUMIFS('ORDENES'!$M$4:$M$1203,'ORDENES'!$O$4:$O$1203,$A384,'ORDENES'!$T$4:$T$1203,"preventiva")</f>
        <v/>
      </c>
      <c r="C384" s="17">
        <f>SUMIFS('ORDENES'!$M$4:$M$1203,'ORDENES'!$O$4:$O$1203,$A384,'ORDENES'!$T$4:$T$1203,"correctiva")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SUMIFS('ORDENES'!$M$4:$M$1203,'ORDENES'!$O$4:$O$1203,$A385,'ORDENES'!$T$4:$T$1203,"preventiva")</f>
        <v/>
      </c>
      <c r="C385" s="17">
        <f>SUMIFS('ORDENES'!$M$4:$M$1203,'ORDENES'!$O$4:$O$1203,$A385,'ORDENES'!$T$4:$T$1203,"correctiva")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SUMIFS('ORDENES'!$M$4:$M$1203,'ORDENES'!$O$4:$O$1203,$A386,'ORDENES'!$T$4:$T$1203,"preventiva")</f>
        <v/>
      </c>
      <c r="C386" s="17">
        <f>SUMIFS('ORDENES'!$M$4:$M$1203,'ORDENES'!$O$4:$O$1203,$A386,'ORDENES'!$T$4:$T$1203,"correctiva")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SUMIFS('ORDENES'!$M$4:$M$1203,'ORDENES'!$O$4:$O$1203,$A387,'ORDENES'!$T$4:$T$1203,"preventiva")</f>
        <v/>
      </c>
      <c r="C387" s="17">
        <f>SUMIFS('ORDENES'!$M$4:$M$1203,'ORDENES'!$O$4:$O$1203,$A387,'ORDENES'!$T$4:$T$1203,"correctiva")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SUMIFS('ORDENES'!$M$4:$M$1203,'ORDENES'!$O$4:$O$1203,$A388,'ORDENES'!$T$4:$T$1203,"preventiva")</f>
        <v/>
      </c>
      <c r="C388" s="17">
        <f>SUMIFS('ORDENES'!$M$4:$M$1203,'ORDENES'!$O$4:$O$1203,$A388,'ORDENES'!$T$4:$T$1203,"correctiva")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SUMIFS('ORDENES'!$M$4:$M$1203,'ORDENES'!$O$4:$O$1203,$A389,'ORDENES'!$T$4:$T$1203,"preventiva")</f>
        <v/>
      </c>
      <c r="C389" s="17">
        <f>SUMIFS('ORDENES'!$M$4:$M$1203,'ORDENES'!$O$4:$O$1203,$A389,'ORDENES'!$T$4:$T$1203,"correctiva")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SUMIFS('ORDENES'!$M$4:$M$1203,'ORDENES'!$O$4:$O$1203,$A390,'ORDENES'!$T$4:$T$1203,"preventiva")</f>
        <v/>
      </c>
      <c r="C390" s="17">
        <f>SUMIFS('ORDENES'!$M$4:$M$1203,'ORDENES'!$O$4:$O$1203,$A390,'ORDENES'!$T$4:$T$1203,"correctiva")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SUMIFS('ORDENES'!$M$4:$M$1203,'ORDENES'!$O$4:$O$1203,$A391,'ORDENES'!$T$4:$T$1203,"preventiva")</f>
        <v/>
      </c>
      <c r="C391" s="17">
        <f>SUMIFS('ORDENES'!$M$4:$M$1203,'ORDENES'!$O$4:$O$1203,$A391,'ORDENES'!$T$4:$T$1203,"correctiva")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SUMIFS('ORDENES'!$M$4:$M$1203,'ORDENES'!$O$4:$O$1203,$A392,'ORDENES'!$T$4:$T$1203,"preventiva")</f>
        <v/>
      </c>
      <c r="C392" s="17">
        <f>SUMIFS('ORDENES'!$M$4:$M$1203,'ORDENES'!$O$4:$O$1203,$A392,'ORDENES'!$T$4:$T$1203,"correctiva")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SUMIFS('ORDENES'!$M$4:$M$1203,'ORDENES'!$O$4:$O$1203,$A393,'ORDENES'!$T$4:$T$1203,"preventiva")</f>
        <v/>
      </c>
      <c r="C393" s="17">
        <f>SUMIFS('ORDENES'!$M$4:$M$1203,'ORDENES'!$O$4:$O$1203,$A393,'ORDENES'!$T$4:$T$1203,"correctiva")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SUMIFS('ORDENES'!$M$4:$M$1203,'ORDENES'!$O$4:$O$1203,$A394,'ORDENES'!$T$4:$T$1203,"preventiva")</f>
        <v/>
      </c>
      <c r="C394" s="17">
        <f>SUMIFS('ORDENES'!$M$4:$M$1203,'ORDENES'!$O$4:$O$1203,$A394,'ORDENES'!$T$4:$T$1203,"correctiva")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SUMIFS('ORDENES'!$M$4:$M$1203,'ORDENES'!$O$4:$O$1203,$A395,'ORDENES'!$T$4:$T$1203,"preventiva")</f>
        <v/>
      </c>
      <c r="C395" s="17">
        <f>SUMIFS('ORDENES'!$M$4:$M$1203,'ORDENES'!$O$4:$O$1203,$A395,'ORDENES'!$T$4:$T$1203,"correctiva")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SUMIFS('ORDENES'!$M$4:$M$1203,'ORDENES'!$O$4:$O$1203,$A396,'ORDENES'!$T$4:$T$1203,"preventiva")</f>
        <v/>
      </c>
      <c r="C396" s="17">
        <f>SUMIFS('ORDENES'!$M$4:$M$1203,'ORDENES'!$O$4:$O$1203,$A396,'ORDENES'!$T$4:$T$1203,"correctiva")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 hidden="1">
      <c r="A397" s="3">
        <f>$O$31</f>
        <v/>
      </c>
      <c r="B397" s="17">
        <f>SUMIFS('ORDENES'!$M$4:$M$1203,'ORDENES'!$O$4:$O$1203,$A397,'ORDENES'!$T$4:$T$1203,"preventiva")</f>
        <v/>
      </c>
      <c r="C397" s="17">
        <f>SUMIFS('ORDENES'!$M$4:$M$1203,'ORDENES'!$O$4:$O$1203,$A397,'ORDENES'!$T$4:$T$1203,"correctiva")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>
      <c r="A398" s="3">
        <f>$O$32</f>
        <v/>
      </c>
      <c r="B398" s="17">
        <f>SUMIFS('ORDENES'!$M$4:$M$1203,'ORDENES'!$O$4:$O$1203,$A398,'ORDENES'!$T$4:$T$1203,"preventiva")</f>
        <v/>
      </c>
      <c r="C398" s="17">
        <f>SUMIFS('ORDENES'!$M$4:$M$1203,'ORDENES'!$O$4:$O$1203,$A398,'ORDENES'!$T$4:$T$1203,"correctiva")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SUMIFS('ORDENES'!$M$4:$M$1203,'ORDENES'!$O$4:$O$1203,$A399,'ORDENES'!$T$4:$T$1203,"preventiva")</f>
        <v/>
      </c>
      <c r="C399" s="17">
        <f>SUMIFS('ORDENES'!$M$4:$M$1203,'ORDENES'!$O$4:$O$1203,$A399,'ORDENES'!$T$4:$T$1203,"correctiva")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SUMIFS('ORDENES'!$M$4:$M$1203,'ORDENES'!$O$4:$O$1203,$A400,'ORDENES'!$T$4:$T$1203,"preventiva")</f>
        <v/>
      </c>
      <c r="C400" s="17">
        <f>SUMIFS('ORDENES'!$M$4:$M$1203,'ORDENES'!$O$4:$O$1203,$A400,'ORDENES'!$T$4:$T$1203,"correctiva")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SUMIFS('ORDENES'!$M$4:$M$1203,'ORDENES'!$O$4:$O$1203,$A401,'ORDENES'!$T$4:$T$1203,"preventiva")</f>
        <v/>
      </c>
      <c r="C401" s="17">
        <f>SUMIFS('ORDENES'!$M$4:$M$1203,'ORDENES'!$O$4:$O$1203,$A401,'ORDENES'!$T$4:$T$1203,"correctiva")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SUMIFS('ORDENES'!$M$4:$M$1203,'ORDENES'!$O$4:$O$1203,$A402,'ORDENES'!$T$4:$T$1203,"preventiva")</f>
        <v/>
      </c>
      <c r="C402" s="17">
        <f>SUMIFS('ORDENES'!$M$4:$M$1203,'ORDENES'!$O$4:$O$1203,$A402,'ORDENES'!$T$4:$T$1203,"correctiva")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SUMIFS('ORDENES'!$M$4:$M$1203,'ORDENES'!$O$4:$O$1203,$A403,'ORDENES'!$T$4:$T$1203,"preventiva")</f>
        <v/>
      </c>
      <c r="C403" s="17">
        <f>SUMIFS('ORDENES'!$M$4:$M$1203,'ORDENES'!$O$4:$O$1203,$A403,'ORDENES'!$T$4:$T$1203,"correctiva")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SUMIFS('ORDENES'!$M$4:$M$1203,'ORDENES'!$O$4:$O$1203,$A404,'ORDENES'!$T$4:$T$1203,"preventiva")</f>
        <v/>
      </c>
      <c r="C404" s="17">
        <f>SUMIFS('ORDENES'!$M$4:$M$1203,'ORDENES'!$O$4:$O$1203,$A404,'ORDENES'!$T$4:$T$1203,"correctiva")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SUMIFS('ORDENES'!$M$4:$M$1203,'ORDENES'!$O$4:$O$1203,$A405,'ORDENES'!$T$4:$T$1203,"preventiva")</f>
        <v/>
      </c>
      <c r="C405" s="17">
        <f>SUMIFS('ORDENES'!$M$4:$M$1203,'ORDENES'!$O$4:$O$1203,$A405,'ORDENES'!$T$4:$T$1203,"correctiva")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SUMIFS('ORDENES'!$M$4:$M$1203,'ORDENES'!$O$4:$O$1203,$A406,'ORDENES'!$T$4:$T$1203,"preventiva")</f>
        <v/>
      </c>
      <c r="C406" s="17">
        <f>SUMIFS('ORDENES'!$M$4:$M$1203,'ORDENES'!$O$4:$O$1203,$A406,'ORDENES'!$T$4:$T$1203,"correctiva")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SUMIFS('ORDENES'!$M$4:$M$1203,'ORDENES'!$O$4:$O$1203,$A407,'ORDENES'!$T$4:$T$1203,"preventiva")</f>
        <v/>
      </c>
      <c r="C407" s="17">
        <f>SUMIFS('ORDENES'!$M$4:$M$1203,'ORDENES'!$O$4:$O$1203,$A407,'ORDENES'!$T$4:$T$1203,"correctiva")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SUMIFS('ORDENES'!$M$4:$M$1203,'ORDENES'!$O$4:$O$1203,$A408,'ORDENES'!$T$4:$T$1203,"preventiva")</f>
        <v/>
      </c>
      <c r="C408" s="17">
        <f>SUMIFS('ORDENES'!$M$4:$M$1203,'ORDENES'!$O$4:$O$1203,$A408,'ORDENES'!$T$4:$T$1203,"correctiva")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SUMIFS('ORDENES'!$M$4:$M$1203,'ORDENES'!$O$4:$O$1203,$A409,'ORDENES'!$T$4:$T$1203,"preventiva")</f>
        <v/>
      </c>
      <c r="C409" s="17">
        <f>SUMIFS('ORDENES'!$M$4:$M$1203,'ORDENES'!$O$4:$O$1203,$A409,'ORDENES'!$T$4:$T$1203,"correctiva")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SUMIFS('ORDENES'!$M$4:$M$1203,'ORDENES'!$O$4:$O$1203,$A410,'ORDENES'!$T$4:$T$1203,"preventiva")</f>
        <v/>
      </c>
      <c r="C410" s="17">
        <f>SUMIFS('ORDENES'!$M$4:$M$1203,'ORDENES'!$O$4:$O$1203,$A410,'ORDENES'!$T$4:$T$1203,"correctiva")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SUMIFS('ORDENES'!$M$4:$M$1203,'ORDENES'!$O$4:$O$1203,$A411,'ORDENES'!$T$4:$T$1203,"preventiva")</f>
        <v/>
      </c>
      <c r="C411" s="17">
        <f>SUMIFS('ORDENES'!$M$4:$M$1203,'ORDENES'!$O$4:$O$1203,$A411,'ORDENES'!$T$4:$T$1203,"correctiva")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SUMIFS('ORDENES'!$M$4:$M$1203,'ORDENES'!$O$4:$O$1203,$A412,'ORDENES'!$T$4:$T$1203,"preventiva")</f>
        <v/>
      </c>
      <c r="C412" s="17">
        <f>SUMIFS('ORDENES'!$M$4:$M$1203,'ORDENES'!$O$4:$O$1203,$A412,'ORDENES'!$T$4:$T$1203,"correctiva")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SUMIFS('ORDENES'!$M$4:$M$1203,'ORDENES'!$O$4:$O$1203,$A413,'ORDENES'!$T$4:$T$1203,"preventiva")</f>
        <v/>
      </c>
      <c r="C413" s="17">
        <f>SUMIFS('ORDENES'!$M$4:$M$1203,'ORDENES'!$O$4:$O$1203,$A413,'ORDENES'!$T$4:$T$1203,"correctiva")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SUMIFS('ORDENES'!$M$4:$M$1203,'ORDENES'!$O$4:$O$1203,$A414,'ORDENES'!$T$4:$T$1203,"preventiva")</f>
        <v/>
      </c>
      <c r="C414" s="17">
        <f>SUMIFS('ORDENES'!$M$4:$M$1203,'ORDENES'!$O$4:$O$1203,$A414,'ORDENES'!$T$4:$T$1203,"correctiva")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SUMIFS('ORDENES'!$M$4:$M$1203,'ORDENES'!$O$4:$O$1203,$A415,'ORDENES'!$T$4:$T$1203,"preventiva")</f>
        <v/>
      </c>
      <c r="C415" s="17">
        <f>SUMIFS('ORDENES'!$M$4:$M$1203,'ORDENES'!$O$4:$O$1203,$A415,'ORDENES'!$T$4:$T$1203,"correctiva")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SUMIFS('ORDENES'!$M$4:$M$1203,'ORDENES'!$O$4:$O$1203,$A416,'ORDENES'!$T$4:$T$1203,"preventiva")</f>
        <v/>
      </c>
      <c r="C416" s="17">
        <f>SUMIFS('ORDENES'!$M$4:$M$1203,'ORDENES'!$O$4:$O$1203,$A416,'ORDENES'!$T$4:$T$1203,"correctiva")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SUMIFS('ORDENES'!$M$4:$M$1203,'ORDENES'!$O$4:$O$1203,$A417,'ORDENES'!$T$4:$T$1203,"preventiva")</f>
        <v/>
      </c>
      <c r="C417" s="17">
        <f>SUMIFS('ORDENES'!$M$4:$M$1203,'ORDENES'!$O$4:$O$1203,$A417,'ORDENES'!$T$4:$T$1203,"correctiva")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SUMIFS('ORDENES'!$M$4:$M$1203,'ORDENES'!$O$4:$O$1203,$A418,'ORDENES'!$T$4:$T$1203,"preventiva")</f>
        <v/>
      </c>
      <c r="C418" s="17">
        <f>SUMIFS('ORDENES'!$M$4:$M$1203,'ORDENES'!$O$4:$O$1203,$A418,'ORDENES'!$T$4:$T$1203,"correctiva")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SUMIFS('ORDENES'!$M$4:$M$1203,'ORDENES'!$O$4:$O$1203,$A419,'ORDENES'!$T$4:$T$1203,"preventiva")</f>
        <v/>
      </c>
      <c r="C419" s="17">
        <f>SUMIFS('ORDENES'!$M$4:$M$1203,'ORDENES'!$O$4:$O$1203,$A419,'ORDENES'!$T$4:$T$1203,"correctiva")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SUMIFS('ORDENES'!$M$4:$M$1203,'ORDENES'!$O$4:$O$1203,$A420,'ORDENES'!$T$4:$T$1203,"preventiva")</f>
        <v/>
      </c>
      <c r="C420" s="17">
        <f>SUMIFS('ORDENES'!$M$4:$M$1203,'ORDENES'!$O$4:$O$1203,$A420,'ORDENES'!$T$4:$T$1203,"correctiva")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SUMIFS('ORDENES'!$M$4:$M$1203,'ORDENES'!$O$4:$O$1203,$A421,'ORDENES'!$T$4:$T$1203,"preventiva")</f>
        <v/>
      </c>
      <c r="C421" s="17">
        <f>SUMIFS('ORDENES'!$M$4:$M$1203,'ORDENES'!$O$4:$O$1203,$A421,'ORDENES'!$T$4:$T$1203,"correctiva")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SUMIFS('ORDENES'!$M$4:$M$1203,'ORDENES'!$O$4:$O$1203,$A422,'ORDENES'!$T$4:$T$1203,"preventiva")</f>
        <v/>
      </c>
      <c r="C422" s="17">
        <f>SUMIFS('ORDENES'!$M$4:$M$1203,'ORDENES'!$O$4:$O$1203,$A422,'ORDENES'!$T$4:$T$1203,"correctiva")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SUMIFS('ORDENES'!$M$4:$M$1203,'ORDENES'!$O$4:$O$1203,$A423,'ORDENES'!$T$4:$T$1203,"preventiva")</f>
        <v/>
      </c>
      <c r="C423" s="17">
        <f>SUMIFS('ORDENES'!$M$4:$M$1203,'ORDENES'!$O$4:$O$1203,$A423,'ORDENES'!$T$4:$T$1203,"correctiva")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SUMIFS('ORDENES'!$M$4:$M$1203,'ORDENES'!$O$4:$O$1203,$A424,'ORDENES'!$T$4:$T$1203,"preventiva")</f>
        <v/>
      </c>
      <c r="C424" s="17">
        <f>SUMIFS('ORDENES'!$M$4:$M$1203,'ORDENES'!$O$4:$O$1203,$A424,'ORDENES'!$T$4:$T$1203,"correctiva")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SUMIFS('ORDENES'!$M$4:$M$1203,'ORDENES'!$O$4:$O$1203,$A425,'ORDENES'!$T$4:$T$1203,"preventiva")</f>
        <v/>
      </c>
      <c r="C425" s="17">
        <f>SUMIFS('ORDENES'!$M$4:$M$1203,'ORDENES'!$O$4:$O$1203,$A425,'ORDENES'!$T$4:$T$1203,"correctiva")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SUMIFS('ORDENES'!$M$4:$M$1203,'ORDENES'!$O$4:$O$1203,$A426,'ORDENES'!$T$4:$T$1203,"preventiva")</f>
        <v/>
      </c>
      <c r="C426" s="17">
        <f>SUMIFS('ORDENES'!$M$4:$M$1203,'ORDENES'!$O$4:$O$1203,$A426,'ORDENES'!$T$4:$T$1203,"correctiva")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SUMIFS('ORDENES'!$M$4:$M$1203,'ORDENES'!$O$4:$O$1203,$A427,'ORDENES'!$T$4:$T$1203,"preventiva")</f>
        <v/>
      </c>
      <c r="C427" s="17">
        <f>SUMIFS('ORDENES'!$M$4:$M$1203,'ORDENES'!$O$4:$O$1203,$A427,'ORDENES'!$T$4:$T$1203,"correctiva")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SUMIFS('ORDENES'!$M$4:$M$1203,'ORDENES'!$O$4:$O$1203,$A428,'ORDENES'!$T$4:$T$1203,"preventiva")</f>
        <v/>
      </c>
      <c r="C428" s="17">
        <f>SUMIFS('ORDENES'!$M$4:$M$1203,'ORDENES'!$O$4:$O$1203,$A428,'ORDENES'!$T$4:$T$1203,"correctiva")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SUMIFS('ORDENES'!$M$4:$M$1203,'ORDENES'!$O$4:$O$1203,$A429,'ORDENES'!$T$4:$T$1203,"preventiva")</f>
        <v/>
      </c>
      <c r="C429" s="17">
        <f>SUMIFS('ORDENES'!$M$4:$M$1203,'ORDENES'!$O$4:$O$1203,$A429,'ORDENES'!$T$4:$T$1203,"correctiva")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("&amp;IFERROR(INDEX('ASIGNACIONES'!$F$4:$F$339,MATCH($B$3&amp;"|"&amp;$D$3&amp;"|"&amp;$P4,'ASIGNACIONES'!$J$4:$J$339,0)),"")&amp;")")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IF(AND($L$3&lt;&gt;"(todos)",$Q4&lt;&gt;$L$3),NA(),p_factor_productividad*SUMIFS('ASIGNACIONES'!$I$4:$I$339,'ASIGNACIONES'!$C$4:$C$339,$P4,'ASIGNACIONES'!$A$4:$A$339,IF($B$3="(todos)","*",$B$3),'ASIGNACIONES'!$B$4:$B$339,IF($D$3="(todos)","*",$D$3)))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("&amp;IFERROR(INDEX('ASIGNACIONES'!$F$4:$F$339,MATCH($B$3&amp;"|"&amp;$D$3&amp;"|"&amp;$P5,'ASIGNACIONES'!$J$4:$J$339,0)),"")&amp;")")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IF(AND($L$3&lt;&gt;"(todos)",$Q5&lt;&gt;$L$3),NA(),p_factor_productividad*SUMIFS('ASIGNACIONES'!$I$4:$I$339,'ASIGNACIONES'!$C$4:$C$339,$P5,'ASIGNACIONES'!$A$4:$A$339,IF($B$3="(todos)","*",$B$3),'ASIGNACIONES'!$B$4:$B$339,IF($D$3="(todos)","*",$D$3)))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("&amp;IFERROR(INDEX('ASIGNACIONES'!$F$4:$F$339,MATCH($B$3&amp;"|"&amp;$D$3&amp;"|"&amp;$P6,'ASIGNACIONES'!$J$4:$J$339,0)),"")&amp;")")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IF(AND($L$3&lt;&gt;"(todos)",$Q6&lt;&gt;$L$3),NA(),p_factor_productividad*SUMIFS('ASIGNACIONES'!$I$4:$I$339,'ASIGNACIONES'!$C$4:$C$339,$P6,'ASIGNACIONES'!$A$4:$A$339,IF($B$3="(todos)","*",$B$3),'ASIGNACIONES'!$B$4:$B$339,IF($D$3="(todos)","*",$D$3)))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("&amp;IFERROR(INDEX('ASIGNACIONES'!$F$4:$F$339,MATCH($B$3&amp;"|"&amp;$D$3&amp;"|"&amp;$P7,'ASIGNACIONES'!$J$4:$J$339,0)),"")&amp;")")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IF(AND($L$3&lt;&gt;"(todos)",$Q7&lt;&gt;$L$3),NA(),p_factor_productividad*SUMIFS('ASIGNACIONES'!$I$4:$I$339,'ASIGNACIONES'!$C$4:$C$339,$P7,'ASIGNACIONES'!$A$4:$A$339,IF($B$3="(todos)","*",$B$3),'ASIGNACIONES'!$B$4:$B$339,IF($D$3="(todos)","*",$D$3)))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("&amp;IFERROR(INDEX('ASIGNACIONES'!$F$4:$F$339,MATCH($B$3&amp;"|"&amp;$D$3&amp;"|"&amp;$P8,'ASIGNACIONES'!$J$4:$J$339,0)),"")&amp;")")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IF(AND($L$3&lt;&gt;"(todos)",$Q8&lt;&gt;$L$3),NA(),p_factor_productividad*SUMIFS('ASIGNACIONES'!$I$4:$I$339,'ASIGNACIONES'!$C$4:$C$339,$P8,'ASIGNACIONES'!$A$4:$A$339,IF($B$3="(todos)","*",$B$3),'ASIGNACIONES'!$B$4:$B$339,IF($D$3="(todos)","*",$D$3)))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("&amp;IFERROR(INDEX('ASIGNACIONES'!$F$4:$F$339,MATCH($B$3&amp;"|"&amp;$D$3&amp;"|"&amp;$P9,'ASIGNACIONES'!$J$4:$J$339,0)),"")&amp;")")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IF(AND($L$3&lt;&gt;"(todos)",$Q9&lt;&gt;$L$3),NA(),p_factor_productividad*SUMIFS('ASIGNACIONES'!$I$4:$I$339,'ASIGNACIONES'!$C$4:$C$339,$P9,'ASIGNACIONES'!$A$4:$A$339,IF($B$3="(todos)","*",$B$3),'ASIGNACIONES'!$B$4:$B$339,IF($D$3="(todos)","*",$D$3)))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("&amp;IFERROR(INDEX('ASIGNACIONES'!$F$4:$F$339,MATCH($B$3&amp;"|"&amp;$D$3&amp;"|"&amp;$P10,'ASIGNACIONES'!$J$4:$J$339,0)),"")&amp;")")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IF(AND($L$3&lt;&gt;"(todos)",$Q10&lt;&gt;$L$3),NA(),p_factor_productividad*SUMIFS('ASIGNACIONES'!$I$4:$I$339,'ASIGNACIONES'!$C$4:$C$339,$P10,'ASIGNACIONES'!$A$4:$A$339,IF($B$3="(todos)","*",$B$3),'ASIGNACIONES'!$B$4:$B$339,IF($D$3="(todos)","*",$D$3)))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("&amp;IFERROR(INDEX('ASIGNACIONES'!$F$4:$F$339,MATCH($B$3&amp;"|"&amp;$D$3&amp;"|"&amp;$P11,'ASIGNACIONES'!$J$4:$J$339,0)),"")&amp;")")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IF(AND($L$3&lt;&gt;"(todos)",$Q11&lt;&gt;$L$3),NA(),p_factor_productividad*SUMIFS('ASIGNACIONES'!$I$4:$I$339,'ASIGNACIONES'!$C$4:$C$339,$P11,'ASIGNACIONES'!$A$4:$A$339,IF($B$3="(todos)","*",$B$3),'ASIGNACIONES'!$B$4:$B$339,IF($D$3="(todos)","*",$D$3)))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("&amp;IFERROR(INDEX('ASIGNACIONES'!$F$4:$F$339,MATCH($B$3&amp;"|"&amp;$D$3&amp;"|"&amp;$P12,'ASIGNACIONES'!$J$4:$J$339,0)),"")&amp;")")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IF(AND($L$3&lt;&gt;"(todos)",$Q12&lt;&gt;$L$3),NA(),p_factor_productividad*SUMIFS('ASIGNACIONES'!$I$4:$I$339,'ASIGNACIONES'!$C$4:$C$339,$P12,'ASIGNACIONES'!$A$4:$A$339,IF($B$3="(todos)","*",$B$3),'ASIGNACIONES'!$B$4:$B$339,IF($D$3="(todos)","*",$D$3)))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("&amp;IFERROR(INDEX('ASIGNACIONES'!$F$4:$F$339,MATCH($B$3&amp;"|"&amp;$D$3&amp;"|"&amp;$P13,'ASIGNACIONES'!$J$4:$J$339,0)),"")&amp;")")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IF(AND($L$3&lt;&gt;"(todos)",$Q13&lt;&gt;$L$3),NA(),p_factor_productividad*SUMIFS('ASIGNACIONES'!$I$4:$I$339,'ASIGNACIONES'!$C$4:$C$339,$P13,'ASIGNACIONES'!$A$4:$A$339,IF($B$3="(todos)","*",$B$3),'ASIGNACIONES'!$B$4:$B$339,IF($D$3="(todos)","*",$D$3)))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("&amp;IFERROR(INDEX('ASIGNACIONES'!$F$4:$F$339,MATCH($B$3&amp;"|"&amp;$D$3&amp;"|"&amp;$P14,'ASIGNACIONES'!$J$4:$J$339,0)),"")&amp;")")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IF(AND($L$3&lt;&gt;"(todos)",$Q14&lt;&gt;$L$3),NA(),p_factor_productividad*SUMIFS('ASIGNACIONES'!$I$4:$I$339,'ASIGNACIONES'!$C$4:$C$339,$P14,'ASIGNACIONES'!$A$4:$A$339,IF($B$3="(todos)","*",$B$3),'ASIGNACIONES'!$B$4:$B$339,IF($D$3="(todos)","*",$D$3)))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("&amp;IFERROR(INDEX('ASIGNACIONES'!$F$4:$F$339,MATCH($B$3&amp;"|"&amp;$D$3&amp;"|"&amp;$P15,'ASIGNACIONES'!$J$4:$J$339,0)),"")&amp;")")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IF(AND($L$3&lt;&gt;"(todos)",$Q15&lt;&gt;$L$3),NA(),p_factor_productividad*SUMIFS('ASIGNACIONES'!$I$4:$I$339,'ASIGNACIONES'!$C$4:$C$339,$P15,'ASIGNACIONES'!$A$4:$A$339,IF($B$3="(todos)","*",$B$3),'ASIGNACIONES'!$B$4:$B$339,IF($D$3="(todos)","*",$D$3)))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 hidden="1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COUNTIFS('ORDENES'!$Y$4:$Y$1203,$A87,'ORDENES'!$S$4:$S$1203,"sí")</f>
        <v/>
      </c>
      <c r="C87" s="3">
        <f>COUNTIFS('ORDENES'!$Y$4:$Y$1203,$A87,'ORDENES'!$N$4:$N$1203,"Cerrada",'ORDENES'!$S$4:$S$1203,"sí")</f>
        <v/>
      </c>
      <c r="D87" s="18">
        <f>IF(B87=0,"",C87/B87)</f>
        <v/>
      </c>
      <c r="E87" s="17">
        <f>SUMIFS('ORDENES'!$M$4:$M$1203,'ORDENES'!$Y$4:$Y$1203,$A87,'ORDENES'!$S$4:$S$1203,"sí")</f>
        <v/>
      </c>
      <c r="F87" s="17">
        <f>SUMIFS('ORDENES'!$M$4:$M$1203,'ORDENES'!$Y$4:$Y$1203,$A87,'ORDENES'!$N$4:$N$1203,"Cerrada",'ORDENES'!$S$4:$S$1203,"sí")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COUNTIFS('ORDENES'!$X$4:$X$1203,$A93,'ORDENES'!$S$4:$S$1203,"sí")</f>
        <v/>
      </c>
      <c r="C93" s="3">
        <f>COUNTIFS('ORDENES'!$X$4:$X$1203,$A93,'ORDENES'!$N$4:$N$1203,"Cerrada",'ORDENES'!$S$4:$S$1203,"sí")</f>
        <v/>
      </c>
      <c r="D93" s="18">
        <f>IF(B93=0,"",C93/B93)</f>
        <v/>
      </c>
      <c r="E93" s="17">
        <f>SUMIFS('ORDENES'!$M$4:$M$1203,'ORDENES'!$X$4:$X$1203,$A93,'ORDENES'!$S$4:$S$1203,"sí")</f>
        <v/>
      </c>
      <c r="F93" s="17">
        <f>SUMIFS('ORDENES'!$M$4:$M$1203,'ORDENES'!$X$4:$X$1203,$A93,'ORDENES'!$N$4:$N$1203,"Cerrada",'ORDENES'!$S$4:$S$1203,"sí")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COUNTIFS('ORDENES'!$T$4:$T$1203,$A99,'ORDENES'!$S$4:$S$1203,"sí")</f>
        <v/>
      </c>
      <c r="C99" s="3">
        <f>COUNTIFS('ORDENES'!$T$4:$T$1203,$A99,'ORDENES'!$N$4:$N$1203,"Cerrada",'ORDENES'!$S$4:$S$1203,"sí")</f>
        <v/>
      </c>
      <c r="D99" s="18">
        <f>IF(B99=0,"",C99/B99)</f>
        <v/>
      </c>
      <c r="E99" s="17">
        <f>SUMIFS('ORDENES'!$M$4:$M$1203,'ORDENES'!$T$4:$T$1203,$A99,'ORDENES'!$S$4:$S$1203,"sí")</f>
        <v/>
      </c>
      <c r="F99" s="17">
        <f>SUMIFS('ORDENES'!$M$4:$M$1203,'ORDENES'!$T$4:$T$1203,$A99,'ORDENES'!$N$4:$N$1203,"Cerrada",'ORDENES'!$S$4:$S$1203,"sí")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SUMIFS('ORDENES'!$L$4:$L$1203,'ORDENES'!$V$4:$V$1203,$A6,'ORDENES'!$P$4:$P$1203,B$4,'ORDENES'!$Q$4:$Q$1203,B$5)</f>
        <v/>
      </c>
      <c r="C6" s="10">
        <f>SUMIFS('ORDENES'!$L$4:$L$1203,'ORDENES'!$V$4:$V$1203,$A6,'ORDENES'!$P$4:$P$1203,C$4,'ORDENES'!$Q$4:$Q$1203,C$5)</f>
        <v/>
      </c>
      <c r="D6" s="10">
        <f>SUMIFS('ORDENES'!$L$4:$L$1203,'ORDENES'!$V$4:$V$1203,$A6,'ORDENES'!$P$4:$P$1203,D$4,'ORDENES'!$Q$4:$Q$1203,D$5)</f>
        <v/>
      </c>
      <c r="E6" s="10">
        <f>SUMIFS('ORDENES'!$L$4:$L$1203,'ORDENES'!$V$4:$V$1203,$A6,'ORDENES'!$P$4:$P$1203,E$4,'ORDENES'!$Q$4:$Q$1203,E$5)</f>
        <v/>
      </c>
      <c r="F6" s="10">
        <f>SUMIFS('ORDENES'!$L$4:$L$1203,'ORDENES'!$V$4:$V$1203,$A6,'ORDENES'!$P$4:$P$1203,F$4,'ORDENES'!$Q$4:$Q$1203,F$5)</f>
        <v/>
      </c>
      <c r="G6" s="10">
        <f>SUMIFS('ORDENES'!$L$4:$L$1203,'ORDENES'!$V$4:$V$1203,$A6,'ORDENES'!$P$4:$P$1203,G$4,'ORDENES'!$Q$4:$Q$1203,G$5)</f>
        <v/>
      </c>
      <c r="H6" s="10">
        <f>SUMIFS('ORDENES'!$L$4:$L$1203,'ORDENES'!$V$4:$V$1203,$A6,'ORDENES'!$P$4:$P$1203,H$4,'ORDENES'!$Q$4:$Q$1203,H$5)</f>
        <v/>
      </c>
      <c r="I6" s="10">
        <f>SUMIFS('ORDENES'!$L$4:$L$1203,'ORDENES'!$V$4:$V$1203,$A6,'ORDENES'!$P$4:$P$1203,I$4,'ORDENES'!$Q$4:$Q$1203,I$5)</f>
        <v/>
      </c>
      <c r="J6" s="10">
        <f>SUMIFS('ORDENES'!$L$4:$L$1203,'ORDENES'!$V$4:$V$1203,$A6,'ORDENES'!$P$4:$P$1203,J$4,'ORDENES'!$Q$4:$Q$1203,J$5)</f>
        <v/>
      </c>
      <c r="K6" s="10">
        <f>SUMIFS('ORDENES'!$L$4:$L$1203,'ORDENES'!$V$4:$V$1203,$A6,'ORDENES'!$P$4:$P$1203,K$4,'ORDENES'!$Q$4:$Q$1203,K$5)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SUMIFS('ORDENES'!$L$4:$L$1203,'ORDENES'!$V$4:$V$1203,$A7,'ORDENES'!$P$4:$P$1203,B$4,'ORDENES'!$Q$4:$Q$1203,B$5)</f>
        <v/>
      </c>
      <c r="C7" s="10">
        <f>SUMIFS('ORDENES'!$L$4:$L$1203,'ORDENES'!$V$4:$V$1203,$A7,'ORDENES'!$P$4:$P$1203,C$4,'ORDENES'!$Q$4:$Q$1203,C$5)</f>
        <v/>
      </c>
      <c r="D7" s="10">
        <f>SUMIFS('ORDENES'!$L$4:$L$1203,'ORDENES'!$V$4:$V$1203,$A7,'ORDENES'!$P$4:$P$1203,D$4,'ORDENES'!$Q$4:$Q$1203,D$5)</f>
        <v/>
      </c>
      <c r="E7" s="10">
        <f>SUMIFS('ORDENES'!$L$4:$L$1203,'ORDENES'!$V$4:$V$1203,$A7,'ORDENES'!$P$4:$P$1203,E$4,'ORDENES'!$Q$4:$Q$1203,E$5)</f>
        <v/>
      </c>
      <c r="F7" s="10">
        <f>SUMIFS('ORDENES'!$L$4:$L$1203,'ORDENES'!$V$4:$V$1203,$A7,'ORDENES'!$P$4:$P$1203,F$4,'ORDENES'!$Q$4:$Q$1203,F$5)</f>
        <v/>
      </c>
      <c r="G7" s="10">
        <f>SUMIFS('ORDENES'!$L$4:$L$1203,'ORDENES'!$V$4:$V$1203,$A7,'ORDENES'!$P$4:$P$1203,G$4,'ORDENES'!$Q$4:$Q$1203,G$5)</f>
        <v/>
      </c>
      <c r="H7" s="10">
        <f>SUMIFS('ORDENES'!$L$4:$L$1203,'ORDENES'!$V$4:$V$1203,$A7,'ORDENES'!$P$4:$P$1203,H$4,'ORDENES'!$Q$4:$Q$1203,H$5)</f>
        <v/>
      </c>
      <c r="I7" s="10">
        <f>SUMIFS('ORDENES'!$L$4:$L$1203,'ORDENES'!$V$4:$V$1203,$A7,'ORDENES'!$P$4:$P$1203,I$4,'ORDENES'!$Q$4:$Q$1203,I$5)</f>
        <v/>
      </c>
      <c r="J7" s="10">
        <f>SUMIFS('ORDENES'!$L$4:$L$1203,'ORDENES'!$V$4:$V$1203,$A7,'ORDENES'!$P$4:$P$1203,J$4,'ORDENES'!$Q$4:$Q$1203,J$5)</f>
        <v/>
      </c>
      <c r="K7" s="10">
        <f>SUMIFS('ORDENES'!$L$4:$L$1203,'ORDENES'!$V$4:$V$1203,$A7,'ORDENES'!$P$4:$P$1203,K$4,'ORDENES'!$Q$4:$Q$1203,K$5)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SUMIFS('ORDENES'!$L$4:$L$1203,'ORDENES'!$V$4:$V$1203,$A8,'ORDENES'!$P$4:$P$1203,B$4,'ORDENES'!$Q$4:$Q$1203,B$5)</f>
        <v/>
      </c>
      <c r="C8" s="10">
        <f>SUMIFS('ORDENES'!$L$4:$L$1203,'ORDENES'!$V$4:$V$1203,$A8,'ORDENES'!$P$4:$P$1203,C$4,'ORDENES'!$Q$4:$Q$1203,C$5)</f>
        <v/>
      </c>
      <c r="D8" s="10">
        <f>SUMIFS('ORDENES'!$L$4:$L$1203,'ORDENES'!$V$4:$V$1203,$A8,'ORDENES'!$P$4:$P$1203,D$4,'ORDENES'!$Q$4:$Q$1203,D$5)</f>
        <v/>
      </c>
      <c r="E8" s="10">
        <f>SUMIFS('ORDENES'!$L$4:$L$1203,'ORDENES'!$V$4:$V$1203,$A8,'ORDENES'!$P$4:$P$1203,E$4,'ORDENES'!$Q$4:$Q$1203,E$5)</f>
        <v/>
      </c>
      <c r="F8" s="10">
        <f>SUMIFS('ORDENES'!$L$4:$L$1203,'ORDENES'!$V$4:$V$1203,$A8,'ORDENES'!$P$4:$P$1203,F$4,'ORDENES'!$Q$4:$Q$1203,F$5)</f>
        <v/>
      </c>
      <c r="G8" s="10">
        <f>SUMIFS('ORDENES'!$L$4:$L$1203,'ORDENES'!$V$4:$V$1203,$A8,'ORDENES'!$P$4:$P$1203,G$4,'ORDENES'!$Q$4:$Q$1203,G$5)</f>
        <v/>
      </c>
      <c r="H8" s="10">
        <f>SUMIFS('ORDENES'!$L$4:$L$1203,'ORDENES'!$V$4:$V$1203,$A8,'ORDENES'!$P$4:$P$1203,H$4,'ORDENES'!$Q$4:$Q$1203,H$5)</f>
        <v/>
      </c>
      <c r="I8" s="10">
        <f>SUMIFS('ORDENES'!$L$4:$L$1203,'ORDENES'!$V$4:$V$1203,$A8,'ORDENES'!$P$4:$P$1203,I$4,'ORDENES'!$Q$4:$Q$1203,I$5)</f>
        <v/>
      </c>
      <c r="J8" s="10">
        <f>SUMIFS('ORDENES'!$L$4:$L$1203,'ORDENES'!$V$4:$V$1203,$A8,'ORDENES'!$P$4:$P$1203,J$4,'ORDENES'!$Q$4:$Q$1203,J$5)</f>
        <v/>
      </c>
      <c r="K8" s="10">
        <f>SUMIFS('ORDENES'!$L$4:$L$1203,'ORDENES'!$V$4:$V$1203,$A8,'ORDENES'!$P$4:$P$1203,K$4,'ORDENES'!$Q$4:$Q$1203,K$5)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SUMIFS('ORDENES'!$AK$4:$AK$1203,'ORDENES'!$V$4:$V$1203,$A14,'ORDENES'!$P$4:$P$1203,B$12,'ORDENES'!$Q$4:$Q$1203,B$13)</f>
        <v/>
      </c>
      <c r="C14" s="10">
        <f>SUMIFS('ORDENES'!$AK$4:$AK$1203,'ORDENES'!$V$4:$V$1203,$A14,'ORDENES'!$P$4:$P$1203,C$12,'ORDENES'!$Q$4:$Q$1203,C$13)</f>
        <v/>
      </c>
      <c r="D14" s="10">
        <f>SUMIFS('ORDENES'!$AK$4:$AK$1203,'ORDENES'!$V$4:$V$1203,$A14,'ORDENES'!$P$4:$P$1203,D$12,'ORDENES'!$Q$4:$Q$1203,D$13)</f>
        <v/>
      </c>
      <c r="E14" s="10">
        <f>SUMIFS('ORDENES'!$AK$4:$AK$1203,'ORDENES'!$V$4:$V$1203,$A14,'ORDENES'!$P$4:$P$1203,E$12,'ORDENES'!$Q$4:$Q$1203,E$13)</f>
        <v/>
      </c>
      <c r="F14" s="10">
        <f>SUMIFS('ORDENES'!$AK$4:$AK$1203,'ORDENES'!$V$4:$V$1203,$A14,'ORDENES'!$P$4:$P$1203,F$12,'ORDENES'!$Q$4:$Q$1203,F$13)</f>
        <v/>
      </c>
      <c r="G14" s="10">
        <f>SUMIFS('ORDENES'!$AK$4:$AK$1203,'ORDENES'!$V$4:$V$1203,$A14,'ORDENES'!$P$4:$P$1203,G$12,'ORDENES'!$Q$4:$Q$1203,G$13)</f>
        <v/>
      </c>
      <c r="H14" s="10">
        <f>SUMIFS('ORDENES'!$AK$4:$AK$1203,'ORDENES'!$V$4:$V$1203,$A14,'ORDENES'!$P$4:$P$1203,H$12,'ORDENES'!$Q$4:$Q$1203,H$13)</f>
        <v/>
      </c>
      <c r="I14" s="10">
        <f>SUMIFS('ORDENES'!$AK$4:$AK$1203,'ORDENES'!$V$4:$V$1203,$A14,'ORDENES'!$P$4:$P$1203,I$12,'ORDENES'!$Q$4:$Q$1203,I$13)</f>
        <v/>
      </c>
      <c r="J14" s="10">
        <f>SUMIFS('ORDENES'!$AK$4:$AK$1203,'ORDENES'!$V$4:$V$1203,$A14,'ORDENES'!$P$4:$P$1203,J$12,'ORDENES'!$Q$4:$Q$1203,J$13)</f>
        <v/>
      </c>
      <c r="K14" s="10">
        <f>SUMIFS('ORDENES'!$AK$4:$AK$1203,'ORDENES'!$V$4:$V$1203,$A14,'ORDENES'!$P$4:$P$1203,K$12,'ORDENES'!$Q$4:$Q$1203,K$13)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SUMIFS('ORDENES'!$AK$4:$AK$1203,'ORDENES'!$V$4:$V$1203,$A15,'ORDENES'!$P$4:$P$1203,B$12,'ORDENES'!$Q$4:$Q$1203,B$13)</f>
        <v/>
      </c>
      <c r="C15" s="10">
        <f>SUMIFS('ORDENES'!$AK$4:$AK$1203,'ORDENES'!$V$4:$V$1203,$A15,'ORDENES'!$P$4:$P$1203,C$12,'ORDENES'!$Q$4:$Q$1203,C$13)</f>
        <v/>
      </c>
      <c r="D15" s="10">
        <f>SUMIFS('ORDENES'!$AK$4:$AK$1203,'ORDENES'!$V$4:$V$1203,$A15,'ORDENES'!$P$4:$P$1203,D$12,'ORDENES'!$Q$4:$Q$1203,D$13)</f>
        <v/>
      </c>
      <c r="E15" s="10">
        <f>SUMIFS('ORDENES'!$AK$4:$AK$1203,'ORDENES'!$V$4:$V$1203,$A15,'ORDENES'!$P$4:$P$1203,E$12,'ORDENES'!$Q$4:$Q$1203,E$13)</f>
        <v/>
      </c>
      <c r="F15" s="10">
        <f>SUMIFS('ORDENES'!$AK$4:$AK$1203,'ORDENES'!$V$4:$V$1203,$A15,'ORDENES'!$P$4:$P$1203,F$12,'ORDENES'!$Q$4:$Q$1203,F$13)</f>
        <v/>
      </c>
      <c r="G15" s="10">
        <f>SUMIFS('ORDENES'!$AK$4:$AK$1203,'ORDENES'!$V$4:$V$1203,$A15,'ORDENES'!$P$4:$P$1203,G$12,'ORDENES'!$Q$4:$Q$1203,G$13)</f>
        <v/>
      </c>
      <c r="H15" s="10">
        <f>SUMIFS('ORDENES'!$AK$4:$AK$1203,'ORDENES'!$V$4:$V$1203,$A15,'ORDENES'!$P$4:$P$1203,H$12,'ORDENES'!$Q$4:$Q$1203,H$13)</f>
        <v/>
      </c>
      <c r="I15" s="10">
        <f>SUMIFS('ORDENES'!$AK$4:$AK$1203,'ORDENES'!$V$4:$V$1203,$A15,'ORDENES'!$P$4:$P$1203,I$12,'ORDENES'!$Q$4:$Q$1203,I$13)</f>
        <v/>
      </c>
      <c r="J15" s="10">
        <f>SUMIFS('ORDENES'!$AK$4:$AK$1203,'ORDENES'!$V$4:$V$1203,$A15,'ORDENES'!$P$4:$P$1203,J$12,'ORDENES'!$Q$4:$Q$1203,J$13)</f>
        <v/>
      </c>
      <c r="K15" s="10">
        <f>SUMIFS('ORDENES'!$AK$4:$AK$1203,'ORDENES'!$V$4:$V$1203,$A15,'ORDENES'!$P$4:$P$1203,K$12,'ORDENES'!$Q$4:$Q$1203,K$13)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SUMIFS('ORDENES'!$AK$4:$AK$1203,'ORDENES'!$V$4:$V$1203,$A16,'ORDENES'!$P$4:$P$1203,B$12,'ORDENES'!$Q$4:$Q$1203,B$13)</f>
        <v/>
      </c>
      <c r="C16" s="10">
        <f>SUMIFS('ORDENES'!$AK$4:$AK$1203,'ORDENES'!$V$4:$V$1203,$A16,'ORDENES'!$P$4:$P$1203,C$12,'ORDENES'!$Q$4:$Q$1203,C$13)</f>
        <v/>
      </c>
      <c r="D16" s="10">
        <f>SUMIFS('ORDENES'!$AK$4:$AK$1203,'ORDENES'!$V$4:$V$1203,$A16,'ORDENES'!$P$4:$P$1203,D$12,'ORDENES'!$Q$4:$Q$1203,D$13)</f>
        <v/>
      </c>
      <c r="E16" s="10">
        <f>SUMIFS('ORDENES'!$AK$4:$AK$1203,'ORDENES'!$V$4:$V$1203,$A16,'ORDENES'!$P$4:$P$1203,E$12,'ORDENES'!$Q$4:$Q$1203,E$13)</f>
        <v/>
      </c>
      <c r="F16" s="10">
        <f>SUMIFS('ORDENES'!$AK$4:$AK$1203,'ORDENES'!$V$4:$V$1203,$A16,'ORDENES'!$P$4:$P$1203,F$12,'ORDENES'!$Q$4:$Q$1203,F$13)</f>
        <v/>
      </c>
      <c r="G16" s="10">
        <f>SUMIFS('ORDENES'!$AK$4:$AK$1203,'ORDENES'!$V$4:$V$1203,$A16,'ORDENES'!$P$4:$P$1203,G$12,'ORDENES'!$Q$4:$Q$1203,G$13)</f>
        <v/>
      </c>
      <c r="H16" s="10">
        <f>SUMIFS('ORDENES'!$AK$4:$AK$1203,'ORDENES'!$V$4:$V$1203,$A16,'ORDENES'!$P$4:$P$1203,H$12,'ORDENES'!$Q$4:$Q$1203,H$13)</f>
        <v/>
      </c>
      <c r="I16" s="10">
        <f>SUMIFS('ORDENES'!$AK$4:$AK$1203,'ORDENES'!$V$4:$V$1203,$A16,'ORDENES'!$P$4:$P$1203,I$12,'ORDENES'!$Q$4:$Q$1203,I$13)</f>
        <v/>
      </c>
      <c r="J16" s="10">
        <f>SUMIFS('ORDENES'!$AK$4:$AK$1203,'ORDENES'!$V$4:$V$1203,$A16,'ORDENES'!$P$4:$P$1203,J$12,'ORDENES'!$Q$4:$Q$1203,J$13)</f>
        <v/>
      </c>
      <c r="K16" s="10">
        <f>SUMIFS('ORDENES'!$AK$4:$AK$1203,'ORDENES'!$V$4:$V$1203,$A16,'ORDENES'!$P$4:$P$1203,K$12,'ORDENES'!$Q$4:$Q$1203,K$13)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SUMIFS('ORDENES'!$AK$4:$AK$1203,'ORDENES'!$W$4:$W$1203,$A28,'ORDENES'!$P$4:$P$1203,B$26,'ORDENES'!$Q$4:$Q$1203,B$27)</f>
        <v/>
      </c>
      <c r="C28" s="10">
        <f>SUMIFS('ORDENES'!$AK$4:$AK$1203,'ORDENES'!$W$4:$W$1203,$A28,'ORDENES'!$P$4:$P$1203,C$26,'ORDENES'!$Q$4:$Q$1203,C$27)</f>
        <v/>
      </c>
      <c r="D28" s="10">
        <f>SUMIFS('ORDENES'!$AK$4:$AK$1203,'ORDENES'!$W$4:$W$1203,$A28,'ORDENES'!$P$4:$P$1203,D$26,'ORDENES'!$Q$4:$Q$1203,D$27)</f>
        <v/>
      </c>
      <c r="E28" s="10">
        <f>SUMIFS('ORDENES'!$AK$4:$AK$1203,'ORDENES'!$W$4:$W$1203,$A28,'ORDENES'!$P$4:$P$1203,E$26,'ORDENES'!$Q$4:$Q$1203,E$27)</f>
        <v/>
      </c>
      <c r="F28" s="10">
        <f>SUMIFS('ORDENES'!$AK$4:$AK$1203,'ORDENES'!$W$4:$W$1203,$A28,'ORDENES'!$P$4:$P$1203,F$26,'ORDENES'!$Q$4:$Q$1203,F$27)</f>
        <v/>
      </c>
      <c r="G28" s="10">
        <f>SUMIFS('ORDENES'!$AK$4:$AK$1203,'ORDENES'!$W$4:$W$1203,$A28,'ORDENES'!$P$4:$P$1203,G$26,'ORDENES'!$Q$4:$Q$1203,G$27)</f>
        <v/>
      </c>
      <c r="H28" s="10">
        <f>SUMIFS('ORDENES'!$AK$4:$AK$1203,'ORDENES'!$W$4:$W$1203,$A28,'ORDENES'!$P$4:$P$1203,H$26,'ORDENES'!$Q$4:$Q$1203,H$27)</f>
        <v/>
      </c>
      <c r="I28" s="10">
        <f>SUMIFS('ORDENES'!$AK$4:$AK$1203,'ORDENES'!$W$4:$W$1203,$A28,'ORDENES'!$P$4:$P$1203,I$26,'ORDENES'!$Q$4:$Q$1203,I$27)</f>
        <v/>
      </c>
      <c r="J28" s="10">
        <f>SUMIFS('ORDENES'!$AK$4:$AK$1203,'ORDENES'!$W$4:$W$1203,$A28,'ORDENES'!$P$4:$P$1203,J$26,'ORDENES'!$Q$4:$Q$1203,J$27)</f>
        <v/>
      </c>
      <c r="K28" s="10">
        <f>SUMIFS('ORDENES'!$AK$4:$AK$1203,'ORDENES'!$W$4:$W$1203,$A28,'ORDENES'!$P$4:$P$1203,K$26,'ORDENES'!$Q$4:$Q$1203,K$27)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SUMIFS('ORDENES'!$AK$4:$AK$1203,'ORDENES'!$W$4:$W$1203,$A29,'ORDENES'!$P$4:$P$1203,B$26,'ORDENES'!$Q$4:$Q$1203,B$27)</f>
        <v/>
      </c>
      <c r="C29" s="10">
        <f>SUMIFS('ORDENES'!$AK$4:$AK$1203,'ORDENES'!$W$4:$W$1203,$A29,'ORDENES'!$P$4:$P$1203,C$26,'ORDENES'!$Q$4:$Q$1203,C$27)</f>
        <v/>
      </c>
      <c r="D29" s="10">
        <f>SUMIFS('ORDENES'!$AK$4:$AK$1203,'ORDENES'!$W$4:$W$1203,$A29,'ORDENES'!$P$4:$P$1203,D$26,'ORDENES'!$Q$4:$Q$1203,D$27)</f>
        <v/>
      </c>
      <c r="E29" s="10">
        <f>SUMIFS('ORDENES'!$AK$4:$AK$1203,'ORDENES'!$W$4:$W$1203,$A29,'ORDENES'!$P$4:$P$1203,E$26,'ORDENES'!$Q$4:$Q$1203,E$27)</f>
        <v/>
      </c>
      <c r="F29" s="10">
        <f>SUMIFS('ORDENES'!$AK$4:$AK$1203,'ORDENES'!$W$4:$W$1203,$A29,'ORDENES'!$P$4:$P$1203,F$26,'ORDENES'!$Q$4:$Q$1203,F$27)</f>
        <v/>
      </c>
      <c r="G29" s="10">
        <f>SUMIFS('ORDENES'!$AK$4:$AK$1203,'ORDENES'!$W$4:$W$1203,$A29,'ORDENES'!$P$4:$P$1203,G$26,'ORDENES'!$Q$4:$Q$1203,G$27)</f>
        <v/>
      </c>
      <c r="H29" s="10">
        <f>SUMIFS('ORDENES'!$AK$4:$AK$1203,'ORDENES'!$W$4:$W$1203,$A29,'ORDENES'!$P$4:$P$1203,H$26,'ORDENES'!$Q$4:$Q$1203,H$27)</f>
        <v/>
      </c>
      <c r="I29" s="10">
        <f>SUMIFS('ORDENES'!$AK$4:$AK$1203,'ORDENES'!$W$4:$W$1203,$A29,'ORDENES'!$P$4:$P$1203,I$26,'ORDENES'!$Q$4:$Q$1203,I$27)</f>
        <v/>
      </c>
      <c r="J29" s="10">
        <f>SUMIFS('ORDENES'!$AK$4:$AK$1203,'ORDENES'!$W$4:$W$1203,$A29,'ORDENES'!$P$4:$P$1203,J$26,'ORDENES'!$Q$4:$Q$1203,J$27)</f>
        <v/>
      </c>
      <c r="K29" s="10">
        <f>SUMIFS('ORDENES'!$AK$4:$AK$1203,'ORDENES'!$W$4:$W$1203,$A29,'ORDENES'!$P$4:$P$1203,K$26,'ORDENES'!$Q$4:$Q$1203,K$27)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SUMIFS('ORDENES'!$AK$4:$AK$1203,'ORDENES'!$W$4:$W$1203,$A30,'ORDENES'!$P$4:$P$1203,B$26,'ORDENES'!$Q$4:$Q$1203,B$27)</f>
        <v/>
      </c>
      <c r="C30" s="10">
        <f>SUMIFS('ORDENES'!$AK$4:$AK$1203,'ORDENES'!$W$4:$W$1203,$A30,'ORDENES'!$P$4:$P$1203,C$26,'ORDENES'!$Q$4:$Q$1203,C$27)</f>
        <v/>
      </c>
      <c r="D30" s="10">
        <f>SUMIFS('ORDENES'!$AK$4:$AK$1203,'ORDENES'!$W$4:$W$1203,$A30,'ORDENES'!$P$4:$P$1203,D$26,'ORDENES'!$Q$4:$Q$1203,D$27)</f>
        <v/>
      </c>
      <c r="E30" s="10">
        <f>SUMIFS('ORDENES'!$AK$4:$AK$1203,'ORDENES'!$W$4:$W$1203,$A30,'ORDENES'!$P$4:$P$1203,E$26,'ORDENES'!$Q$4:$Q$1203,E$27)</f>
        <v/>
      </c>
      <c r="F30" s="10">
        <f>SUMIFS('ORDENES'!$AK$4:$AK$1203,'ORDENES'!$W$4:$W$1203,$A30,'ORDENES'!$P$4:$P$1203,F$26,'ORDENES'!$Q$4:$Q$1203,F$27)</f>
        <v/>
      </c>
      <c r="G30" s="10">
        <f>SUMIFS('ORDENES'!$AK$4:$AK$1203,'ORDENES'!$W$4:$W$1203,$A30,'ORDENES'!$P$4:$P$1203,G$26,'ORDENES'!$Q$4:$Q$1203,G$27)</f>
        <v/>
      </c>
      <c r="H30" s="10">
        <f>SUMIFS('ORDENES'!$AK$4:$AK$1203,'ORDENES'!$W$4:$W$1203,$A30,'ORDENES'!$P$4:$P$1203,H$26,'ORDENES'!$Q$4:$Q$1203,H$27)</f>
        <v/>
      </c>
      <c r="I30" s="10">
        <f>SUMIFS('ORDENES'!$AK$4:$AK$1203,'ORDENES'!$W$4:$W$1203,$A30,'ORDENES'!$P$4:$P$1203,I$26,'ORDENES'!$Q$4:$Q$1203,I$27)</f>
        <v/>
      </c>
      <c r="J30" s="10">
        <f>SUMIFS('ORDENES'!$AK$4:$AK$1203,'ORDENES'!$W$4:$W$1203,$A30,'ORDENES'!$P$4:$P$1203,J$26,'ORDENES'!$Q$4:$Q$1203,J$27)</f>
        <v/>
      </c>
      <c r="K30" s="10">
        <f>SUMIFS('ORDENES'!$AK$4:$AK$1203,'ORDENES'!$W$4:$W$1203,$A30,'ORDENES'!$P$4:$P$1203,K$26,'ORDENES'!$Q$4:$Q$1203,K$27)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SUMIFS('ORDENES'!$AK$4:$AK$1203,'ORDENES'!$W$4:$W$1203,$A31,'ORDENES'!$P$4:$P$1203,B$26,'ORDENES'!$Q$4:$Q$1203,B$27)</f>
        <v/>
      </c>
      <c r="C31" s="10">
        <f>SUMIFS('ORDENES'!$AK$4:$AK$1203,'ORDENES'!$W$4:$W$1203,$A31,'ORDENES'!$P$4:$P$1203,C$26,'ORDENES'!$Q$4:$Q$1203,C$27)</f>
        <v/>
      </c>
      <c r="D31" s="10">
        <f>SUMIFS('ORDENES'!$AK$4:$AK$1203,'ORDENES'!$W$4:$W$1203,$A31,'ORDENES'!$P$4:$P$1203,D$26,'ORDENES'!$Q$4:$Q$1203,D$27)</f>
        <v/>
      </c>
      <c r="E31" s="10">
        <f>SUMIFS('ORDENES'!$AK$4:$AK$1203,'ORDENES'!$W$4:$W$1203,$A31,'ORDENES'!$P$4:$P$1203,E$26,'ORDENES'!$Q$4:$Q$1203,E$27)</f>
        <v/>
      </c>
      <c r="F31" s="10">
        <f>SUMIFS('ORDENES'!$AK$4:$AK$1203,'ORDENES'!$W$4:$W$1203,$A31,'ORDENES'!$P$4:$P$1203,F$26,'ORDENES'!$Q$4:$Q$1203,F$27)</f>
        <v/>
      </c>
      <c r="G31" s="10">
        <f>SUMIFS('ORDENES'!$AK$4:$AK$1203,'ORDENES'!$W$4:$W$1203,$A31,'ORDENES'!$P$4:$P$1203,G$26,'ORDENES'!$Q$4:$Q$1203,G$27)</f>
        <v/>
      </c>
      <c r="H31" s="10">
        <f>SUMIFS('ORDENES'!$AK$4:$AK$1203,'ORDENES'!$W$4:$W$1203,$A31,'ORDENES'!$P$4:$P$1203,H$26,'ORDENES'!$Q$4:$Q$1203,H$27)</f>
        <v/>
      </c>
      <c r="I31" s="10">
        <f>SUMIFS('ORDENES'!$AK$4:$AK$1203,'ORDENES'!$W$4:$W$1203,$A31,'ORDENES'!$P$4:$P$1203,I$26,'ORDENES'!$Q$4:$Q$1203,I$27)</f>
        <v/>
      </c>
      <c r="J31" s="10">
        <f>SUMIFS('ORDENES'!$AK$4:$AK$1203,'ORDENES'!$W$4:$W$1203,$A31,'ORDENES'!$P$4:$P$1203,J$26,'ORDENES'!$Q$4:$Q$1203,J$27)</f>
        <v/>
      </c>
      <c r="K31" s="10">
        <f>SUMIFS('ORDENES'!$AK$4:$AK$1203,'ORDENES'!$W$4:$W$1203,$A31,'ORDENES'!$P$4:$P$1203,K$26,'ORDENES'!$Q$4:$Q$1203,K$27)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SUMIFS('ORDENES'!$AK$4:$AK$1203,'ORDENES'!$W$4:$W$1203,$A32,'ORDENES'!$P$4:$P$1203,B$26,'ORDENES'!$Q$4:$Q$1203,B$27)</f>
        <v/>
      </c>
      <c r="C32" s="10">
        <f>SUMIFS('ORDENES'!$AK$4:$AK$1203,'ORDENES'!$W$4:$W$1203,$A32,'ORDENES'!$P$4:$P$1203,C$26,'ORDENES'!$Q$4:$Q$1203,C$27)</f>
        <v/>
      </c>
      <c r="D32" s="10">
        <f>SUMIFS('ORDENES'!$AK$4:$AK$1203,'ORDENES'!$W$4:$W$1203,$A32,'ORDENES'!$P$4:$P$1203,D$26,'ORDENES'!$Q$4:$Q$1203,D$27)</f>
        <v/>
      </c>
      <c r="E32" s="10">
        <f>SUMIFS('ORDENES'!$AK$4:$AK$1203,'ORDENES'!$W$4:$W$1203,$A32,'ORDENES'!$P$4:$P$1203,E$26,'ORDENES'!$Q$4:$Q$1203,E$27)</f>
        <v/>
      </c>
      <c r="F32" s="10">
        <f>SUMIFS('ORDENES'!$AK$4:$AK$1203,'ORDENES'!$W$4:$W$1203,$A32,'ORDENES'!$P$4:$P$1203,F$26,'ORDENES'!$Q$4:$Q$1203,F$27)</f>
        <v/>
      </c>
      <c r="G32" s="10">
        <f>SUMIFS('ORDENES'!$AK$4:$AK$1203,'ORDENES'!$W$4:$W$1203,$A32,'ORDENES'!$P$4:$P$1203,G$26,'ORDENES'!$Q$4:$Q$1203,G$27)</f>
        <v/>
      </c>
      <c r="H32" s="10">
        <f>SUMIFS('ORDENES'!$AK$4:$AK$1203,'ORDENES'!$W$4:$W$1203,$A32,'ORDENES'!$P$4:$P$1203,H$26,'ORDENES'!$Q$4:$Q$1203,H$27)</f>
        <v/>
      </c>
      <c r="I32" s="10">
        <f>SUMIFS('ORDENES'!$AK$4:$AK$1203,'ORDENES'!$W$4:$W$1203,$A32,'ORDENES'!$P$4:$P$1203,I$26,'ORDENES'!$Q$4:$Q$1203,I$27)</f>
        <v/>
      </c>
      <c r="J32" s="10">
        <f>SUMIFS('ORDENES'!$AK$4:$AK$1203,'ORDENES'!$W$4:$W$1203,$A32,'ORDENES'!$P$4:$P$1203,J$26,'ORDENES'!$Q$4:$Q$1203,J$27)</f>
        <v/>
      </c>
      <c r="K32" s="10">
        <f>SUMIFS('ORDENES'!$AK$4:$AK$1203,'ORDENES'!$W$4:$W$1203,$A32,'ORDENES'!$P$4:$P$1203,K$26,'ORDENES'!$Q$4:$Q$1203,K$27)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SUMIFS('ORDENES'!$AK$4:$AK$1203,'ORDENES'!$W$4:$W$1203,$A33,'ORDENES'!$P$4:$P$1203,B$26,'ORDENES'!$Q$4:$Q$1203,B$27)</f>
        <v/>
      </c>
      <c r="C33" s="10">
        <f>SUMIFS('ORDENES'!$AK$4:$AK$1203,'ORDENES'!$W$4:$W$1203,$A33,'ORDENES'!$P$4:$P$1203,C$26,'ORDENES'!$Q$4:$Q$1203,C$27)</f>
        <v/>
      </c>
      <c r="D33" s="10">
        <f>SUMIFS('ORDENES'!$AK$4:$AK$1203,'ORDENES'!$W$4:$W$1203,$A33,'ORDENES'!$P$4:$P$1203,D$26,'ORDENES'!$Q$4:$Q$1203,D$27)</f>
        <v/>
      </c>
      <c r="E33" s="10">
        <f>SUMIFS('ORDENES'!$AK$4:$AK$1203,'ORDENES'!$W$4:$W$1203,$A33,'ORDENES'!$P$4:$P$1203,E$26,'ORDENES'!$Q$4:$Q$1203,E$27)</f>
        <v/>
      </c>
      <c r="F33" s="10">
        <f>SUMIFS('ORDENES'!$AK$4:$AK$1203,'ORDENES'!$W$4:$W$1203,$A33,'ORDENES'!$P$4:$P$1203,F$26,'ORDENES'!$Q$4:$Q$1203,F$27)</f>
        <v/>
      </c>
      <c r="G33" s="10">
        <f>SUMIFS('ORDENES'!$AK$4:$AK$1203,'ORDENES'!$W$4:$W$1203,$A33,'ORDENES'!$P$4:$P$1203,G$26,'ORDENES'!$Q$4:$Q$1203,G$27)</f>
        <v/>
      </c>
      <c r="H33" s="10">
        <f>SUMIFS('ORDENES'!$AK$4:$AK$1203,'ORDENES'!$W$4:$W$1203,$A33,'ORDENES'!$P$4:$P$1203,H$26,'ORDENES'!$Q$4:$Q$1203,H$27)</f>
        <v/>
      </c>
      <c r="I33" s="10">
        <f>SUMIFS('ORDENES'!$AK$4:$AK$1203,'ORDENES'!$W$4:$W$1203,$A33,'ORDENES'!$P$4:$P$1203,I$26,'ORDENES'!$Q$4:$Q$1203,I$27)</f>
        <v/>
      </c>
      <c r="J33" s="10">
        <f>SUMIFS('ORDENES'!$AK$4:$AK$1203,'ORDENES'!$W$4:$W$1203,$A33,'ORDENES'!$P$4:$P$1203,J$26,'ORDENES'!$Q$4:$Q$1203,J$27)</f>
        <v/>
      </c>
      <c r="K33" s="10">
        <f>SUMIFS('ORDENES'!$AK$4:$AK$1203,'ORDENES'!$W$4:$W$1203,$A33,'ORDENES'!$P$4:$P$1203,K$26,'ORDENES'!$Q$4:$Q$1203,K$27)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SUMIFS('ORDENES'!$AK$4:$AK$1203,'ORDENES'!$U$4:$U$1203,$A39,'ORDENES'!$P$4:$P$1203,B$37,'ORDENES'!$Q$4:$Q$1203,B$38)</f>
        <v/>
      </c>
      <c r="C39" s="10">
        <f>SUMIFS('ORDENES'!$AK$4:$AK$1203,'ORDENES'!$U$4:$U$1203,$A39,'ORDENES'!$P$4:$P$1203,C$37,'ORDENES'!$Q$4:$Q$1203,C$38)</f>
        <v/>
      </c>
      <c r="D39" s="10">
        <f>SUMIFS('ORDENES'!$AK$4:$AK$1203,'ORDENES'!$U$4:$U$1203,$A39,'ORDENES'!$P$4:$P$1203,D$37,'ORDENES'!$Q$4:$Q$1203,D$38)</f>
        <v/>
      </c>
      <c r="E39" s="10">
        <f>SUMIFS('ORDENES'!$AK$4:$AK$1203,'ORDENES'!$U$4:$U$1203,$A39,'ORDENES'!$P$4:$P$1203,E$37,'ORDENES'!$Q$4:$Q$1203,E$38)</f>
        <v/>
      </c>
      <c r="F39" s="10">
        <f>SUMIFS('ORDENES'!$AK$4:$AK$1203,'ORDENES'!$U$4:$U$1203,$A39,'ORDENES'!$P$4:$P$1203,F$37,'ORDENES'!$Q$4:$Q$1203,F$38)</f>
        <v/>
      </c>
      <c r="G39" s="10">
        <f>SUMIFS('ORDENES'!$AK$4:$AK$1203,'ORDENES'!$U$4:$U$1203,$A39,'ORDENES'!$P$4:$P$1203,G$37,'ORDENES'!$Q$4:$Q$1203,G$38)</f>
        <v/>
      </c>
      <c r="H39" s="10">
        <f>SUMIFS('ORDENES'!$AK$4:$AK$1203,'ORDENES'!$U$4:$U$1203,$A39,'ORDENES'!$P$4:$P$1203,H$37,'ORDENES'!$Q$4:$Q$1203,H$38)</f>
        <v/>
      </c>
      <c r="I39" s="10">
        <f>SUMIFS('ORDENES'!$AK$4:$AK$1203,'ORDENES'!$U$4:$U$1203,$A39,'ORDENES'!$P$4:$P$1203,I$37,'ORDENES'!$Q$4:$Q$1203,I$38)</f>
        <v/>
      </c>
      <c r="J39" s="10">
        <f>SUMIFS('ORDENES'!$AK$4:$AK$1203,'ORDENES'!$U$4:$U$1203,$A39,'ORDENES'!$P$4:$P$1203,J$37,'ORDENES'!$Q$4:$Q$1203,J$38)</f>
        <v/>
      </c>
      <c r="K39" s="10">
        <f>SUMIFS('ORDENES'!$AK$4:$AK$1203,'ORDENES'!$U$4:$U$1203,$A39,'ORDENES'!$P$4:$P$1203,K$37,'ORDENES'!$Q$4:$Q$1203,K$38)</f>
        <v/>
      </c>
      <c r="L39" s="10">
        <f>SUM(B39:K39)</f>
        <v/>
      </c>
    </row>
    <row r="40">
      <c r="A40" s="3" t="inlineStr">
        <is>
          <t>L2</t>
        </is>
      </c>
      <c r="B40" s="10">
        <f>SUMIFS('ORDENES'!$AK$4:$AK$1203,'ORDENES'!$U$4:$U$1203,$A40,'ORDENES'!$P$4:$P$1203,B$37,'ORDENES'!$Q$4:$Q$1203,B$38)</f>
        <v/>
      </c>
      <c r="C40" s="10">
        <f>SUMIFS('ORDENES'!$AK$4:$AK$1203,'ORDENES'!$U$4:$U$1203,$A40,'ORDENES'!$P$4:$P$1203,C$37,'ORDENES'!$Q$4:$Q$1203,C$38)</f>
        <v/>
      </c>
      <c r="D40" s="10">
        <f>SUMIFS('ORDENES'!$AK$4:$AK$1203,'ORDENES'!$U$4:$U$1203,$A40,'ORDENES'!$P$4:$P$1203,D$37,'ORDENES'!$Q$4:$Q$1203,D$38)</f>
        <v/>
      </c>
      <c r="E40" s="10">
        <f>SUMIFS('ORDENES'!$AK$4:$AK$1203,'ORDENES'!$U$4:$U$1203,$A40,'ORDENES'!$P$4:$P$1203,E$37,'ORDENES'!$Q$4:$Q$1203,E$38)</f>
        <v/>
      </c>
      <c r="F40" s="10">
        <f>SUMIFS('ORDENES'!$AK$4:$AK$1203,'ORDENES'!$U$4:$U$1203,$A40,'ORDENES'!$P$4:$P$1203,F$37,'ORDENES'!$Q$4:$Q$1203,F$38)</f>
        <v/>
      </c>
      <c r="G40" s="10">
        <f>SUMIFS('ORDENES'!$AK$4:$AK$1203,'ORDENES'!$U$4:$U$1203,$A40,'ORDENES'!$P$4:$P$1203,G$37,'ORDENES'!$Q$4:$Q$1203,G$38)</f>
        <v/>
      </c>
      <c r="H40" s="10">
        <f>SUMIFS('ORDENES'!$AK$4:$AK$1203,'ORDENES'!$U$4:$U$1203,$A40,'ORDENES'!$P$4:$P$1203,H$37,'ORDENES'!$Q$4:$Q$1203,H$38)</f>
        <v/>
      </c>
      <c r="I40" s="10">
        <f>SUMIFS('ORDENES'!$AK$4:$AK$1203,'ORDENES'!$U$4:$U$1203,$A40,'ORDENES'!$P$4:$P$1203,I$37,'ORDENES'!$Q$4:$Q$1203,I$38)</f>
        <v/>
      </c>
      <c r="J40" s="10">
        <f>SUMIFS('ORDENES'!$AK$4:$AK$1203,'ORDENES'!$U$4:$U$1203,$A40,'ORDENES'!$P$4:$P$1203,J$37,'ORDENES'!$Q$4:$Q$1203,J$38)</f>
        <v/>
      </c>
      <c r="K40" s="10">
        <f>SUMIFS('ORDENES'!$AK$4:$AK$1203,'ORDENES'!$U$4:$U$1203,$A40,'ORDENES'!$P$4:$P$1203,K$37,'ORDENES'!$Q$4:$Q$1203,K$38)</f>
        <v/>
      </c>
      <c r="L40" s="10">
        <f>SUM(B40:K40)</f>
        <v/>
      </c>
    </row>
    <row r="41">
      <c r="A41" s="3" t="inlineStr">
        <is>
          <t>L3</t>
        </is>
      </c>
      <c r="B41" s="10">
        <f>SUMIFS('ORDENES'!$AK$4:$AK$1203,'ORDENES'!$U$4:$U$1203,$A41,'ORDENES'!$P$4:$P$1203,B$37,'ORDENES'!$Q$4:$Q$1203,B$38)</f>
        <v/>
      </c>
      <c r="C41" s="10">
        <f>SUMIFS('ORDENES'!$AK$4:$AK$1203,'ORDENES'!$U$4:$U$1203,$A41,'ORDENES'!$P$4:$P$1203,C$37,'ORDENES'!$Q$4:$Q$1203,C$38)</f>
        <v/>
      </c>
      <c r="D41" s="10">
        <f>SUMIFS('ORDENES'!$AK$4:$AK$1203,'ORDENES'!$U$4:$U$1203,$A41,'ORDENES'!$P$4:$P$1203,D$37,'ORDENES'!$Q$4:$Q$1203,D$38)</f>
        <v/>
      </c>
      <c r="E41" s="10">
        <f>SUMIFS('ORDENES'!$AK$4:$AK$1203,'ORDENES'!$U$4:$U$1203,$A41,'ORDENES'!$P$4:$P$1203,E$37,'ORDENES'!$Q$4:$Q$1203,E$38)</f>
        <v/>
      </c>
      <c r="F41" s="10">
        <f>SUMIFS('ORDENES'!$AK$4:$AK$1203,'ORDENES'!$U$4:$U$1203,$A41,'ORDENES'!$P$4:$P$1203,F$37,'ORDENES'!$Q$4:$Q$1203,F$38)</f>
        <v/>
      </c>
      <c r="G41" s="10">
        <f>SUMIFS('ORDENES'!$AK$4:$AK$1203,'ORDENES'!$U$4:$U$1203,$A41,'ORDENES'!$P$4:$P$1203,G$37,'ORDENES'!$Q$4:$Q$1203,G$38)</f>
        <v/>
      </c>
      <c r="H41" s="10">
        <f>SUMIFS('ORDENES'!$AK$4:$AK$1203,'ORDENES'!$U$4:$U$1203,$A41,'ORDENES'!$P$4:$P$1203,H$37,'ORDENES'!$Q$4:$Q$1203,H$38)</f>
        <v/>
      </c>
      <c r="I41" s="10">
        <f>SUMIFS('ORDENES'!$AK$4:$AK$1203,'ORDENES'!$U$4:$U$1203,$A41,'ORDENES'!$P$4:$P$1203,I$37,'ORDENES'!$Q$4:$Q$1203,I$38)</f>
        <v/>
      </c>
      <c r="J41" s="10">
        <f>SUMIFS('ORDENES'!$AK$4:$AK$1203,'ORDENES'!$U$4:$U$1203,$A41,'ORDENES'!$P$4:$P$1203,J$37,'ORDENES'!$Q$4:$Q$1203,J$38)</f>
        <v/>
      </c>
      <c r="K41" s="10">
        <f>SUMIFS('ORDENES'!$AK$4:$AK$1203,'ORDENES'!$U$4:$U$1203,$A41,'ORDENES'!$P$4:$P$1203,K$37,'ORDENES'!$Q$4:$Q$1203,K$38)</f>
        <v/>
      </c>
      <c r="L41" s="10">
        <f>SUM(B41:K41)</f>
        <v/>
      </c>
    </row>
    <row r="42">
      <c r="A42" s="3" t="inlineStr">
        <is>
          <t>L4</t>
        </is>
      </c>
      <c r="B42" s="10">
        <f>SUMIFS('ORDENES'!$AK$4:$AK$1203,'ORDENES'!$U$4:$U$1203,$A42,'ORDENES'!$P$4:$P$1203,B$37,'ORDENES'!$Q$4:$Q$1203,B$38)</f>
        <v/>
      </c>
      <c r="C42" s="10">
        <f>SUMIFS('ORDENES'!$AK$4:$AK$1203,'ORDENES'!$U$4:$U$1203,$A42,'ORDENES'!$P$4:$P$1203,C$37,'ORDENES'!$Q$4:$Q$1203,C$38)</f>
        <v/>
      </c>
      <c r="D42" s="10">
        <f>SUMIFS('ORDENES'!$AK$4:$AK$1203,'ORDENES'!$U$4:$U$1203,$A42,'ORDENES'!$P$4:$P$1203,D$37,'ORDENES'!$Q$4:$Q$1203,D$38)</f>
        <v/>
      </c>
      <c r="E42" s="10">
        <f>SUMIFS('ORDENES'!$AK$4:$AK$1203,'ORDENES'!$U$4:$U$1203,$A42,'ORDENES'!$P$4:$P$1203,E$37,'ORDENES'!$Q$4:$Q$1203,E$38)</f>
        <v/>
      </c>
      <c r="F42" s="10">
        <f>SUMIFS('ORDENES'!$AK$4:$AK$1203,'ORDENES'!$U$4:$U$1203,$A42,'ORDENES'!$P$4:$P$1203,F$37,'ORDENES'!$Q$4:$Q$1203,F$38)</f>
        <v/>
      </c>
      <c r="G42" s="10">
        <f>SUMIFS('ORDENES'!$AK$4:$AK$1203,'ORDENES'!$U$4:$U$1203,$A42,'ORDENES'!$P$4:$P$1203,G$37,'ORDENES'!$Q$4:$Q$1203,G$38)</f>
        <v/>
      </c>
      <c r="H42" s="10">
        <f>SUMIFS('ORDENES'!$AK$4:$AK$1203,'ORDENES'!$U$4:$U$1203,$A42,'ORDENES'!$P$4:$P$1203,H$37,'ORDENES'!$Q$4:$Q$1203,H$38)</f>
        <v/>
      </c>
      <c r="I42" s="10">
        <f>SUMIFS('ORDENES'!$AK$4:$AK$1203,'ORDENES'!$U$4:$U$1203,$A42,'ORDENES'!$P$4:$P$1203,I$37,'ORDENES'!$Q$4:$Q$1203,I$38)</f>
        <v/>
      </c>
      <c r="J42" s="10">
        <f>SUMIFS('ORDENES'!$AK$4:$AK$1203,'ORDENES'!$U$4:$U$1203,$A42,'ORDENES'!$P$4:$P$1203,J$37,'ORDENES'!$Q$4:$Q$1203,J$38)</f>
        <v/>
      </c>
      <c r="K42" s="10">
        <f>SUMIFS('ORDENES'!$AK$4:$AK$1203,'ORDENES'!$U$4:$U$1203,$A42,'ORDENES'!$P$4:$P$1203,K$37,'ORDENES'!$Q$4:$Q$1203,K$38)</f>
        <v/>
      </c>
      <c r="L42" s="10">
        <f>SUM(B42:K42)</f>
        <v/>
      </c>
    </row>
    <row r="43">
      <c r="A43" s="3" t="inlineStr">
        <is>
          <t>SG</t>
        </is>
      </c>
      <c r="B43" s="10">
        <f>SUMIFS('ORDENES'!$AK$4:$AK$1203,'ORDENES'!$U$4:$U$1203,$A43,'ORDENES'!$P$4:$P$1203,B$37,'ORDENES'!$Q$4:$Q$1203,B$38)</f>
        <v/>
      </c>
      <c r="C43" s="10">
        <f>SUMIFS('ORDENES'!$AK$4:$AK$1203,'ORDENES'!$U$4:$U$1203,$A43,'ORDENES'!$P$4:$P$1203,C$37,'ORDENES'!$Q$4:$Q$1203,C$38)</f>
        <v/>
      </c>
      <c r="D43" s="10">
        <f>SUMIFS('ORDENES'!$AK$4:$AK$1203,'ORDENES'!$U$4:$U$1203,$A43,'ORDENES'!$P$4:$P$1203,D$37,'ORDENES'!$Q$4:$Q$1203,D$38)</f>
        <v/>
      </c>
      <c r="E43" s="10">
        <f>SUMIFS('ORDENES'!$AK$4:$AK$1203,'ORDENES'!$U$4:$U$1203,$A43,'ORDENES'!$P$4:$P$1203,E$37,'ORDENES'!$Q$4:$Q$1203,E$38)</f>
        <v/>
      </c>
      <c r="F43" s="10">
        <f>SUMIFS('ORDENES'!$AK$4:$AK$1203,'ORDENES'!$U$4:$U$1203,$A43,'ORDENES'!$P$4:$P$1203,F$37,'ORDENES'!$Q$4:$Q$1203,F$38)</f>
        <v/>
      </c>
      <c r="G43" s="10">
        <f>SUMIFS('ORDENES'!$AK$4:$AK$1203,'ORDENES'!$U$4:$U$1203,$A43,'ORDENES'!$P$4:$P$1203,G$37,'ORDENES'!$Q$4:$Q$1203,G$38)</f>
        <v/>
      </c>
      <c r="H43" s="10">
        <f>SUMIFS('ORDENES'!$AK$4:$AK$1203,'ORDENES'!$U$4:$U$1203,$A43,'ORDENES'!$P$4:$P$1203,H$37,'ORDENES'!$Q$4:$Q$1203,H$38)</f>
        <v/>
      </c>
      <c r="I43" s="10">
        <f>SUMIFS('ORDENES'!$AK$4:$AK$1203,'ORDENES'!$U$4:$U$1203,$A43,'ORDENES'!$P$4:$P$1203,I$37,'ORDENES'!$Q$4:$Q$1203,I$38)</f>
        <v/>
      </c>
      <c r="J43" s="10">
        <f>SUMIFS('ORDENES'!$AK$4:$AK$1203,'ORDENES'!$U$4:$U$1203,$A43,'ORDENES'!$P$4:$P$1203,J$37,'ORDENES'!$Q$4:$Q$1203,J$38)</f>
        <v/>
      </c>
      <c r="K43" s="10">
        <f>SUMIFS('ORDENES'!$AK$4:$AK$1203,'ORDENES'!$U$4:$U$1203,$A43,'ORDENES'!$P$4:$P$1203,K$37,'ORDENES'!$Q$4:$Q$1203,K$38)</f>
        <v/>
      </c>
      <c r="L43" s="10">
        <f>SUM(B43:K43)</f>
        <v/>
      </c>
    </row>
    <row r="44">
      <c r="A44" s="3" t="inlineStr">
        <is>
          <t>SG</t>
        </is>
      </c>
      <c r="B44" s="10">
        <f>SUMIFS('ORDENES'!$AK$4:$AK$1203,'ORDENES'!$U$4:$U$1203,$A44,'ORDENES'!$P$4:$P$1203,B$37,'ORDENES'!$Q$4:$Q$1203,B$38)</f>
        <v/>
      </c>
      <c r="C44" s="10">
        <f>SUMIFS('ORDENES'!$AK$4:$AK$1203,'ORDENES'!$U$4:$U$1203,$A44,'ORDENES'!$P$4:$P$1203,C$37,'ORDENES'!$Q$4:$Q$1203,C$38)</f>
        <v/>
      </c>
      <c r="D44" s="10">
        <f>SUMIFS('ORDENES'!$AK$4:$AK$1203,'ORDENES'!$U$4:$U$1203,$A44,'ORDENES'!$P$4:$P$1203,D$37,'ORDENES'!$Q$4:$Q$1203,D$38)</f>
        <v/>
      </c>
      <c r="E44" s="10">
        <f>SUMIFS('ORDENES'!$AK$4:$AK$1203,'ORDENES'!$U$4:$U$1203,$A44,'ORDENES'!$P$4:$P$1203,E$37,'ORDENES'!$Q$4:$Q$1203,E$38)</f>
        <v/>
      </c>
      <c r="F44" s="10">
        <f>SUMIFS('ORDENES'!$AK$4:$AK$1203,'ORDENES'!$U$4:$U$1203,$A44,'ORDENES'!$P$4:$P$1203,F$37,'ORDENES'!$Q$4:$Q$1203,F$38)</f>
        <v/>
      </c>
      <c r="G44" s="10">
        <f>SUMIFS('ORDENES'!$AK$4:$AK$1203,'ORDENES'!$U$4:$U$1203,$A44,'ORDENES'!$P$4:$P$1203,G$37,'ORDENES'!$Q$4:$Q$1203,G$38)</f>
        <v/>
      </c>
      <c r="H44" s="10">
        <f>SUMIFS('ORDENES'!$AK$4:$AK$1203,'ORDENES'!$U$4:$U$1203,$A44,'ORDENES'!$P$4:$P$1203,H$37,'ORDENES'!$Q$4:$Q$1203,H$38)</f>
        <v/>
      </c>
      <c r="I44" s="10">
        <f>SUMIFS('ORDENES'!$AK$4:$AK$1203,'ORDENES'!$U$4:$U$1203,$A44,'ORDENES'!$P$4:$P$1203,I$37,'ORDENES'!$Q$4:$Q$1203,I$38)</f>
        <v/>
      </c>
      <c r="J44" s="10">
        <f>SUMIFS('ORDENES'!$AK$4:$AK$1203,'ORDENES'!$U$4:$U$1203,$A44,'ORDENES'!$P$4:$P$1203,J$37,'ORDENES'!$Q$4:$Q$1203,J$38)</f>
        <v/>
      </c>
      <c r="K44" s="10">
        <f>SUMIFS('ORDENES'!$AK$4:$AK$1203,'ORDENES'!$U$4:$U$1203,$A44,'ORDENES'!$P$4:$P$1203,K$37,'ORDENES'!$Q$4:$Q$1203,K$38)</f>
        <v/>
      </c>
      <c r="L44" s="10">
        <f>SUM(B44:K44)</f>
        <v/>
      </c>
    </row>
    <row r="45">
      <c r="A45" s="3" t="inlineStr">
        <is>
          <t>TC</t>
        </is>
      </c>
      <c r="B45" s="10">
        <f>SUMIFS('ORDENES'!$AK$4:$AK$1203,'ORDENES'!$U$4:$U$1203,$A45,'ORDENES'!$P$4:$P$1203,B$37,'ORDENES'!$Q$4:$Q$1203,B$38)</f>
        <v/>
      </c>
      <c r="C45" s="10">
        <f>SUMIFS('ORDENES'!$AK$4:$AK$1203,'ORDENES'!$U$4:$U$1203,$A45,'ORDENES'!$P$4:$P$1203,C$37,'ORDENES'!$Q$4:$Q$1203,C$38)</f>
        <v/>
      </c>
      <c r="D45" s="10">
        <f>SUMIFS('ORDENES'!$AK$4:$AK$1203,'ORDENES'!$U$4:$U$1203,$A45,'ORDENES'!$P$4:$P$1203,D$37,'ORDENES'!$Q$4:$Q$1203,D$38)</f>
        <v/>
      </c>
      <c r="E45" s="10">
        <f>SUMIFS('ORDENES'!$AK$4:$AK$1203,'ORDENES'!$U$4:$U$1203,$A45,'ORDENES'!$P$4:$P$1203,E$37,'ORDENES'!$Q$4:$Q$1203,E$38)</f>
        <v/>
      </c>
      <c r="F45" s="10">
        <f>SUMIFS('ORDENES'!$AK$4:$AK$1203,'ORDENES'!$U$4:$U$1203,$A45,'ORDENES'!$P$4:$P$1203,F$37,'ORDENES'!$Q$4:$Q$1203,F$38)</f>
        <v/>
      </c>
      <c r="G45" s="10">
        <f>SUMIFS('ORDENES'!$AK$4:$AK$1203,'ORDENES'!$U$4:$U$1203,$A45,'ORDENES'!$P$4:$P$1203,G$37,'ORDENES'!$Q$4:$Q$1203,G$38)</f>
        <v/>
      </c>
      <c r="H45" s="10">
        <f>SUMIFS('ORDENES'!$AK$4:$AK$1203,'ORDENES'!$U$4:$U$1203,$A45,'ORDENES'!$P$4:$P$1203,H$37,'ORDENES'!$Q$4:$Q$1203,H$38)</f>
        <v/>
      </c>
      <c r="I45" s="10">
        <f>SUMIFS('ORDENES'!$AK$4:$AK$1203,'ORDENES'!$U$4:$U$1203,$A45,'ORDENES'!$P$4:$P$1203,I$37,'ORDENES'!$Q$4:$Q$1203,I$38)</f>
        <v/>
      </c>
      <c r="J45" s="10">
        <f>SUMIFS('ORDENES'!$AK$4:$AK$1203,'ORDENES'!$U$4:$U$1203,$A45,'ORDENES'!$P$4:$P$1203,J$37,'ORDENES'!$Q$4:$Q$1203,J$38)</f>
        <v/>
      </c>
      <c r="K45" s="10">
        <f>SUMIFS('ORDENES'!$AK$4:$AK$1203,'ORDENES'!$U$4:$U$1203,$A45,'ORDENES'!$P$4:$P$1203,K$37,'ORDENES'!$Q$4:$Q$1203,K$38)</f>
        <v/>
      </c>
      <c r="L45" s="10">
        <f>SUM(B45:K45)</f>
        <v/>
      </c>
    </row>
    <row r="46">
      <c r="A46" s="3" t="inlineStr">
        <is>
          <t>TC</t>
        </is>
      </c>
      <c r="B46" s="10">
        <f>SUMIFS('ORDENES'!$AK$4:$AK$1203,'ORDENES'!$U$4:$U$1203,$A46,'ORDENES'!$P$4:$P$1203,B$37,'ORDENES'!$Q$4:$Q$1203,B$38)</f>
        <v/>
      </c>
      <c r="C46" s="10">
        <f>SUMIFS('ORDENES'!$AK$4:$AK$1203,'ORDENES'!$U$4:$U$1203,$A46,'ORDENES'!$P$4:$P$1203,C$37,'ORDENES'!$Q$4:$Q$1203,C$38)</f>
        <v/>
      </c>
      <c r="D46" s="10">
        <f>SUMIFS('ORDENES'!$AK$4:$AK$1203,'ORDENES'!$U$4:$U$1203,$A46,'ORDENES'!$P$4:$P$1203,D$37,'ORDENES'!$Q$4:$Q$1203,D$38)</f>
        <v/>
      </c>
      <c r="E46" s="10">
        <f>SUMIFS('ORDENES'!$AK$4:$AK$1203,'ORDENES'!$U$4:$U$1203,$A46,'ORDENES'!$P$4:$P$1203,E$37,'ORDENES'!$Q$4:$Q$1203,E$38)</f>
        <v/>
      </c>
      <c r="F46" s="10">
        <f>SUMIFS('ORDENES'!$AK$4:$AK$1203,'ORDENES'!$U$4:$U$1203,$A46,'ORDENES'!$P$4:$P$1203,F$37,'ORDENES'!$Q$4:$Q$1203,F$38)</f>
        <v/>
      </c>
      <c r="G46" s="10">
        <f>SUMIFS('ORDENES'!$AK$4:$AK$1203,'ORDENES'!$U$4:$U$1203,$A46,'ORDENES'!$P$4:$P$1203,G$37,'ORDENES'!$Q$4:$Q$1203,G$38)</f>
        <v/>
      </c>
      <c r="H46" s="10">
        <f>SUMIFS('ORDENES'!$AK$4:$AK$1203,'ORDENES'!$U$4:$U$1203,$A46,'ORDENES'!$P$4:$P$1203,H$37,'ORDENES'!$Q$4:$Q$1203,H$38)</f>
        <v/>
      </c>
      <c r="I46" s="10">
        <f>SUMIFS('ORDENES'!$AK$4:$AK$1203,'ORDENES'!$U$4:$U$1203,$A46,'ORDENES'!$P$4:$P$1203,I$37,'ORDENES'!$Q$4:$Q$1203,I$38)</f>
        <v/>
      </c>
      <c r="J46" s="10">
        <f>SUMIFS('ORDENES'!$AK$4:$AK$1203,'ORDENES'!$U$4:$U$1203,$A46,'ORDENES'!$P$4:$P$1203,J$37,'ORDENES'!$Q$4:$Q$1203,J$38)</f>
        <v/>
      </c>
      <c r="K46" s="10">
        <f>SUMIFS('ORDENES'!$AK$4:$AK$1203,'ORDENES'!$U$4:$U$1203,$A46,'ORDENES'!$P$4:$P$1203,K$37,'ORDENES'!$Q$4:$Q$1203,K$38)</f>
        <v/>
      </c>
      <c r="L46" s="10">
        <f>SUM(B46:K46)</f>
        <v/>
      </c>
    </row>
    <row r="47">
      <c r="A47" s="3" t="inlineStr">
        <is>
          <t>CO</t>
        </is>
      </c>
      <c r="B47" s="10">
        <f>SUMIFS('ORDENES'!$AK$4:$AK$1203,'ORDENES'!$U$4:$U$1203,$A47,'ORDENES'!$P$4:$P$1203,B$37,'ORDENES'!$Q$4:$Q$1203,B$38)</f>
        <v/>
      </c>
      <c r="C47" s="10">
        <f>SUMIFS('ORDENES'!$AK$4:$AK$1203,'ORDENES'!$U$4:$U$1203,$A47,'ORDENES'!$P$4:$P$1203,C$37,'ORDENES'!$Q$4:$Q$1203,C$38)</f>
        <v/>
      </c>
      <c r="D47" s="10">
        <f>SUMIFS('ORDENES'!$AK$4:$AK$1203,'ORDENES'!$U$4:$U$1203,$A47,'ORDENES'!$P$4:$P$1203,D$37,'ORDENES'!$Q$4:$Q$1203,D$38)</f>
        <v/>
      </c>
      <c r="E47" s="10">
        <f>SUMIFS('ORDENES'!$AK$4:$AK$1203,'ORDENES'!$U$4:$U$1203,$A47,'ORDENES'!$P$4:$P$1203,E$37,'ORDENES'!$Q$4:$Q$1203,E$38)</f>
        <v/>
      </c>
      <c r="F47" s="10">
        <f>SUMIFS('ORDENES'!$AK$4:$AK$1203,'ORDENES'!$U$4:$U$1203,$A47,'ORDENES'!$P$4:$P$1203,F$37,'ORDENES'!$Q$4:$Q$1203,F$38)</f>
        <v/>
      </c>
      <c r="G47" s="10">
        <f>SUMIFS('ORDENES'!$AK$4:$AK$1203,'ORDENES'!$U$4:$U$1203,$A47,'ORDENES'!$P$4:$P$1203,G$37,'ORDENES'!$Q$4:$Q$1203,G$38)</f>
        <v/>
      </c>
      <c r="H47" s="10">
        <f>SUMIFS('ORDENES'!$AK$4:$AK$1203,'ORDENES'!$U$4:$U$1203,$A47,'ORDENES'!$P$4:$P$1203,H$37,'ORDENES'!$Q$4:$Q$1203,H$38)</f>
        <v/>
      </c>
      <c r="I47" s="10">
        <f>SUMIFS('ORDENES'!$AK$4:$AK$1203,'ORDENES'!$U$4:$U$1203,$A47,'ORDENES'!$P$4:$P$1203,I$37,'ORDENES'!$Q$4:$Q$1203,I$38)</f>
        <v/>
      </c>
      <c r="J47" s="10">
        <f>SUMIFS('ORDENES'!$AK$4:$AK$1203,'ORDENES'!$U$4:$U$1203,$A47,'ORDENES'!$P$4:$P$1203,J$37,'ORDENES'!$Q$4:$Q$1203,J$38)</f>
        <v/>
      </c>
      <c r="K47" s="10">
        <f>SUMIFS('ORDENES'!$AK$4:$AK$1203,'ORDENES'!$U$4:$U$1203,$A47,'ORDENES'!$P$4:$P$1203,K$37,'ORDENES'!$Q$4:$Q$1203,K$38)</f>
        <v/>
      </c>
      <c r="L47" s="10">
        <f>SUM(B47:K47)</f>
        <v/>
      </c>
    </row>
    <row r="48">
      <c r="A48" s="3" t="inlineStr">
        <is>
          <t>AC</t>
        </is>
      </c>
      <c r="B48" s="10">
        <f>SUMIFS('ORDENES'!$AK$4:$AK$1203,'ORDENES'!$U$4:$U$1203,$A48,'ORDENES'!$P$4:$P$1203,B$37,'ORDENES'!$Q$4:$Q$1203,B$38)</f>
        <v/>
      </c>
      <c r="C48" s="10">
        <f>SUMIFS('ORDENES'!$AK$4:$AK$1203,'ORDENES'!$U$4:$U$1203,$A48,'ORDENES'!$P$4:$P$1203,C$37,'ORDENES'!$Q$4:$Q$1203,C$38)</f>
        <v/>
      </c>
      <c r="D48" s="10">
        <f>SUMIFS('ORDENES'!$AK$4:$AK$1203,'ORDENES'!$U$4:$U$1203,$A48,'ORDENES'!$P$4:$P$1203,D$37,'ORDENES'!$Q$4:$Q$1203,D$38)</f>
        <v/>
      </c>
      <c r="E48" s="10">
        <f>SUMIFS('ORDENES'!$AK$4:$AK$1203,'ORDENES'!$U$4:$U$1203,$A48,'ORDENES'!$P$4:$P$1203,E$37,'ORDENES'!$Q$4:$Q$1203,E$38)</f>
        <v/>
      </c>
      <c r="F48" s="10">
        <f>SUMIFS('ORDENES'!$AK$4:$AK$1203,'ORDENES'!$U$4:$U$1203,$A48,'ORDENES'!$P$4:$P$1203,F$37,'ORDENES'!$Q$4:$Q$1203,F$38)</f>
        <v/>
      </c>
      <c r="G48" s="10">
        <f>SUMIFS('ORDENES'!$AK$4:$AK$1203,'ORDENES'!$U$4:$U$1203,$A48,'ORDENES'!$P$4:$P$1203,G$37,'ORDENES'!$Q$4:$Q$1203,G$38)</f>
        <v/>
      </c>
      <c r="H48" s="10">
        <f>SUMIFS('ORDENES'!$AK$4:$AK$1203,'ORDENES'!$U$4:$U$1203,$A48,'ORDENES'!$P$4:$P$1203,H$37,'ORDENES'!$Q$4:$Q$1203,H$38)</f>
        <v/>
      </c>
      <c r="I48" s="10">
        <f>SUMIFS('ORDENES'!$AK$4:$AK$1203,'ORDENES'!$U$4:$U$1203,$A48,'ORDENES'!$P$4:$P$1203,I$37,'ORDENES'!$Q$4:$Q$1203,I$38)</f>
        <v/>
      </c>
      <c r="J48" s="10">
        <f>SUMIFS('ORDENES'!$AK$4:$AK$1203,'ORDENES'!$U$4:$U$1203,$A48,'ORDENES'!$P$4:$P$1203,J$37,'ORDENES'!$Q$4:$Q$1203,J$38)</f>
        <v/>
      </c>
      <c r="K48" s="10">
        <f>SUMIFS('ORDENES'!$AK$4:$AK$1203,'ORDENES'!$U$4:$U$1203,$A48,'ORDENES'!$P$4:$P$1203,K$37,'ORDENES'!$Q$4:$Q$1203,K$38)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OP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6">
      <c r="A16" s="3" t="inlineStr">
        <is>
          <t>TERCERO</t>
        </is>
      </c>
      <c r="B16" s="3">
        <f>COUNTIFS('ORDENES'!$N$4:$N$1203,"Pendiente",'ORDENES'!$AA$4:$AA$1203,"&gt;=0",'ORDENES'!$AA$4:$AA$1203,"&lt;=30",'ORDENES'!$Y$4:$Y$1203,$A16)</f>
        <v/>
      </c>
      <c r="C16" s="3">
        <f>COUNTIFS('ORDENES'!$N$4:$N$1203,"Pendiente",'ORDENES'!$AA$4:$AA$1203,"&gt;=31",'ORDENES'!$AA$4:$AA$1203,"&lt;=60",'ORDENES'!$Y$4:$Y$1203,$A16)</f>
        <v/>
      </c>
      <c r="D16" s="3">
        <f>COUNTIFS('ORDENES'!$N$4:$N$1203,"Pendiente",'ORDENES'!$AA$4:$AA$1203,"&gt;=61",'ORDENES'!$AA$4:$AA$1203,"&lt;=90",'ORDENES'!$Y$4:$Y$1203,$A16)</f>
        <v/>
      </c>
      <c r="E16" s="3">
        <f>COUNTIFS('ORDENES'!$N$4:$N$1203,"Pendiente",'ORDENES'!$AA$4:$AA$1203,"&gt;90",'ORDENES'!$Y$4:$Y$1203,$A16)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EMPAQUE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2">
      <c r="A22" s="3" t="inlineStr">
        <is>
          <t>SERVICIOS</t>
        </is>
      </c>
      <c r="B22" s="3">
        <f>COUNTIFS('ORDENES'!$N$4:$N$1203,"Pendiente",'ORDENES'!$AA$4:$AA$1203,"&gt;=0",'ORDENES'!$AA$4:$AA$1203,"&lt;=30",'ORDENES'!$V$4:$V$1203,$A22)</f>
        <v/>
      </c>
      <c r="C22" s="3">
        <f>COUNTIFS('ORDENES'!$N$4:$N$1203,"Pendiente",'ORDENES'!$AA$4:$AA$1203,"&gt;=31",'ORDENES'!$AA$4:$AA$1203,"&lt;=60",'ORDENES'!$V$4:$V$1203,$A22)</f>
        <v/>
      </c>
      <c r="D22" s="3">
        <f>COUNTIFS('ORDENES'!$N$4:$N$1203,"Pendiente",'ORDENES'!$AA$4:$AA$1203,"&gt;=61",'ORDENES'!$AA$4:$AA$1203,"&lt;=90",'ORDENES'!$V$4:$V$1203,$A22)</f>
        <v/>
      </c>
      <c r="E22" s="3">
        <f>COUNTIFS('ORDENES'!$N$4:$N$1203,"Pendiente",'ORDENES'!$AA$4:$AA$1203,"&gt;90",'ORDENES'!$V$4:$V$1203,$A22)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EMPAQUE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Vapor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Refrigeración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CO2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  <row r="31">
      <c r="A31" s="3" t="inlineStr">
        <is>
          <t>Aire comprimido</t>
        </is>
      </c>
      <c r="B31" s="3">
        <f>COUNTIFS('ORDENES'!$N$4:$N$1203,"Pendiente",'ORDENES'!$AA$4:$AA$1203,"&gt;=0",'ORDENES'!$AA$4:$AA$1203,"&lt;=30",'ORDENES'!$W$4:$W$1203,$A31)</f>
        <v/>
      </c>
      <c r="C31" s="3">
        <f>COUNTIFS('ORDENES'!$N$4:$N$1203,"Pendiente",'ORDENES'!$AA$4:$AA$1203,"&gt;=31",'ORDENES'!$AA$4:$AA$1203,"&lt;=60",'ORDENES'!$W$4:$W$1203,$A31)</f>
        <v/>
      </c>
      <c r="D31" s="3">
        <f>COUNTIFS('ORDENES'!$N$4:$N$1203,"Pendiente",'ORDENES'!$AA$4:$AA$1203,"&gt;=61",'ORDENES'!$AA$4:$AA$1203,"&lt;=90",'ORDENES'!$W$4:$W$1203,$A31)</f>
        <v/>
      </c>
      <c r="E31" s="3">
        <f>COUNTIFS('ORDENES'!$N$4:$N$1203,"Pendiente",'ORDENES'!$AA$4:$AA$1203,"&gt;90",'ORDENES'!$W$4:$W$1203,$A31)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SUMIFS('ORDENES'!$AK$4:$AK$1203,'ORDENES'!$E$4:$E$1203,$A5,'ORDENES'!$P$4:$P$1203,B$3,'ORDENES'!$Q$4:$Q$1203,B$4)</f>
        <v/>
      </c>
      <c r="C5" s="10">
        <f>SUMIFS('ORDENES'!$AK$4:$AK$1203,'ORDENES'!$E$4:$E$1203,$A5,'ORDENES'!$P$4:$P$1203,C$3,'ORDENES'!$Q$4:$Q$1203,C$4)</f>
        <v/>
      </c>
      <c r="D5" s="10">
        <f>SUMIFS('ORDENES'!$AK$4:$AK$1203,'ORDENES'!$E$4:$E$1203,$A5,'ORDENES'!$P$4:$P$1203,D$3,'ORDENES'!$Q$4:$Q$1203,D$4)</f>
        <v/>
      </c>
      <c r="E5" s="10">
        <f>SUMIFS('ORDENES'!$AK$4:$AK$1203,'ORDENES'!$E$4:$E$1203,$A5,'ORDENES'!$P$4:$P$1203,E$3,'ORDENES'!$Q$4:$Q$1203,E$4)</f>
        <v/>
      </c>
      <c r="F5" s="10">
        <f>SUMIFS('ORDENES'!$AK$4:$AK$1203,'ORDENES'!$E$4:$E$1203,$A5,'ORDENES'!$P$4:$P$1203,F$3,'ORDENES'!$Q$4:$Q$1203,F$4)</f>
        <v/>
      </c>
      <c r="G5" s="10">
        <f>SUMIFS('ORDENES'!$AK$4:$AK$1203,'ORDENES'!$E$4:$E$1203,$A5,'ORDENES'!$P$4:$P$1203,G$3,'ORDENES'!$Q$4:$Q$1203,G$4)</f>
        <v/>
      </c>
      <c r="H5" s="10">
        <f>SUMIFS('ORDENES'!$AK$4:$AK$1203,'ORDENES'!$E$4:$E$1203,$A5,'ORDENES'!$P$4:$P$1203,H$3,'ORDENES'!$Q$4:$Q$1203,H$4)</f>
        <v/>
      </c>
      <c r="I5" s="10">
        <f>SUMIFS('ORDENES'!$AK$4:$AK$1203,'ORDENES'!$E$4:$E$1203,$A5,'ORDENES'!$P$4:$P$1203,I$3,'ORDENES'!$Q$4:$Q$1203,I$4)</f>
        <v/>
      </c>
      <c r="J5" s="10">
        <f>SUMIFS('ORDENES'!$AK$4:$AK$1203,'ORDENES'!$E$4:$E$1203,$A5,'ORDENES'!$P$4:$P$1203,J$3,'ORDENES'!$Q$4:$Q$1203,J$4)</f>
        <v/>
      </c>
      <c r="K5" s="10">
        <f>SUMIFS('ORDENES'!$AK$4:$AK$1203,'ORDENES'!$E$4:$E$1203,$A5,'ORDENES'!$P$4:$P$1203,K$3,'ORDENES'!$Q$4:$Q$1203,K$4)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EQ-106</t>
        </is>
      </c>
      <c r="B6" s="10">
        <f>SUMIFS('ORDENES'!$AK$4:$AK$1203,'ORDENES'!$E$4:$E$1203,$A6,'ORDENES'!$P$4:$P$1203,B$3,'ORDENES'!$Q$4:$Q$1203,B$4)</f>
        <v/>
      </c>
      <c r="C6" s="10">
        <f>SUMIFS('ORDENES'!$AK$4:$AK$1203,'ORDENES'!$E$4:$E$1203,$A6,'ORDENES'!$P$4:$P$1203,C$3,'ORDENES'!$Q$4:$Q$1203,C$4)</f>
        <v/>
      </c>
      <c r="D6" s="10">
        <f>SUMIFS('ORDENES'!$AK$4:$AK$1203,'ORDENES'!$E$4:$E$1203,$A6,'ORDENES'!$P$4:$P$1203,D$3,'ORDENES'!$Q$4:$Q$1203,D$4)</f>
        <v/>
      </c>
      <c r="E6" s="10">
        <f>SUMIFS('ORDENES'!$AK$4:$AK$1203,'ORDENES'!$E$4:$E$1203,$A6,'ORDENES'!$P$4:$P$1203,E$3,'ORDENES'!$Q$4:$Q$1203,E$4)</f>
        <v/>
      </c>
      <c r="F6" s="10">
        <f>SUMIFS('ORDENES'!$AK$4:$AK$1203,'ORDENES'!$E$4:$E$1203,$A6,'ORDENES'!$P$4:$P$1203,F$3,'ORDENES'!$Q$4:$Q$1203,F$4)</f>
        <v/>
      </c>
      <c r="G6" s="10">
        <f>SUMIFS('ORDENES'!$AK$4:$AK$1203,'ORDENES'!$E$4:$E$1203,$A6,'ORDENES'!$P$4:$P$1203,G$3,'ORDENES'!$Q$4:$Q$1203,G$4)</f>
        <v/>
      </c>
      <c r="H6" s="10">
        <f>SUMIFS('ORDENES'!$AK$4:$AK$1203,'ORDENES'!$E$4:$E$1203,$A6,'ORDENES'!$P$4:$P$1203,H$3,'ORDENES'!$Q$4:$Q$1203,H$4)</f>
        <v/>
      </c>
      <c r="I6" s="10">
        <f>SUMIFS('ORDENES'!$AK$4:$AK$1203,'ORDENES'!$E$4:$E$1203,$A6,'ORDENES'!$P$4:$P$1203,I$3,'ORDENES'!$Q$4:$Q$1203,I$4)</f>
        <v/>
      </c>
      <c r="J6" s="10">
        <f>SUMIFS('ORDENES'!$AK$4:$AK$1203,'ORDENES'!$E$4:$E$1203,$A6,'ORDENES'!$P$4:$P$1203,J$3,'ORDENES'!$Q$4:$Q$1203,J$4)</f>
        <v/>
      </c>
      <c r="K6" s="10">
        <f>SUMIFS('ORDENES'!$AK$4:$AK$1203,'ORDENES'!$E$4:$E$1203,$A6,'ORDENES'!$P$4:$P$1203,K$3,'ORDENES'!$Q$4:$Q$1203,K$4)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EQ-103</t>
        </is>
      </c>
      <c r="B7" s="10">
        <f>SUMIFS('ORDENES'!$AK$4:$AK$1203,'ORDENES'!$E$4:$E$1203,$A7,'ORDENES'!$P$4:$P$1203,B$3,'ORDENES'!$Q$4:$Q$1203,B$4)</f>
        <v/>
      </c>
      <c r="C7" s="10">
        <f>SUMIFS('ORDENES'!$AK$4:$AK$1203,'ORDENES'!$E$4:$E$1203,$A7,'ORDENES'!$P$4:$P$1203,C$3,'ORDENES'!$Q$4:$Q$1203,C$4)</f>
        <v/>
      </c>
      <c r="D7" s="10">
        <f>SUMIFS('ORDENES'!$AK$4:$AK$1203,'ORDENES'!$E$4:$E$1203,$A7,'ORDENES'!$P$4:$P$1203,D$3,'ORDENES'!$Q$4:$Q$1203,D$4)</f>
        <v/>
      </c>
      <c r="E7" s="10">
        <f>SUMIFS('ORDENES'!$AK$4:$AK$1203,'ORDENES'!$E$4:$E$1203,$A7,'ORDENES'!$P$4:$P$1203,E$3,'ORDENES'!$Q$4:$Q$1203,E$4)</f>
        <v/>
      </c>
      <c r="F7" s="10">
        <f>SUMIFS('ORDENES'!$AK$4:$AK$1203,'ORDENES'!$E$4:$E$1203,$A7,'ORDENES'!$P$4:$P$1203,F$3,'ORDENES'!$Q$4:$Q$1203,F$4)</f>
        <v/>
      </c>
      <c r="G7" s="10">
        <f>SUMIFS('ORDENES'!$AK$4:$AK$1203,'ORDENES'!$E$4:$E$1203,$A7,'ORDENES'!$P$4:$P$1203,G$3,'ORDENES'!$Q$4:$Q$1203,G$4)</f>
        <v/>
      </c>
      <c r="H7" s="10">
        <f>SUMIFS('ORDENES'!$AK$4:$AK$1203,'ORDENES'!$E$4:$E$1203,$A7,'ORDENES'!$P$4:$P$1203,H$3,'ORDENES'!$Q$4:$Q$1203,H$4)</f>
        <v/>
      </c>
      <c r="I7" s="10">
        <f>SUMIFS('ORDENES'!$AK$4:$AK$1203,'ORDENES'!$E$4:$E$1203,$A7,'ORDENES'!$P$4:$P$1203,I$3,'ORDENES'!$Q$4:$Q$1203,I$4)</f>
        <v/>
      </c>
      <c r="J7" s="10">
        <f>SUMIFS('ORDENES'!$AK$4:$AK$1203,'ORDENES'!$E$4:$E$1203,$A7,'ORDENES'!$P$4:$P$1203,J$3,'ORDENES'!$Q$4:$Q$1203,J$4)</f>
        <v/>
      </c>
      <c r="K7" s="10">
        <f>SUMIFS('ORDENES'!$AK$4:$AK$1203,'ORDENES'!$E$4:$E$1203,$A7,'ORDENES'!$P$4:$P$1203,K$3,'ORDENES'!$Q$4:$Q$1203,K$4)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EQ-102</t>
        </is>
      </c>
      <c r="B8" s="10">
        <f>SUMIFS('ORDENES'!$AK$4:$AK$1203,'ORDENES'!$E$4:$E$1203,$A8,'ORDENES'!$P$4:$P$1203,B$3,'ORDENES'!$Q$4:$Q$1203,B$4)</f>
        <v/>
      </c>
      <c r="C8" s="10">
        <f>SUMIFS('ORDENES'!$AK$4:$AK$1203,'ORDENES'!$E$4:$E$1203,$A8,'ORDENES'!$P$4:$P$1203,C$3,'ORDENES'!$Q$4:$Q$1203,C$4)</f>
        <v/>
      </c>
      <c r="D8" s="10">
        <f>SUMIFS('ORDENES'!$AK$4:$AK$1203,'ORDENES'!$E$4:$E$1203,$A8,'ORDENES'!$P$4:$P$1203,D$3,'ORDENES'!$Q$4:$Q$1203,D$4)</f>
        <v/>
      </c>
      <c r="E8" s="10">
        <f>SUMIFS('ORDENES'!$AK$4:$AK$1203,'ORDENES'!$E$4:$E$1203,$A8,'ORDENES'!$P$4:$P$1203,E$3,'ORDENES'!$Q$4:$Q$1203,E$4)</f>
        <v/>
      </c>
      <c r="F8" s="10">
        <f>SUMIFS('ORDENES'!$AK$4:$AK$1203,'ORDENES'!$E$4:$E$1203,$A8,'ORDENES'!$P$4:$P$1203,F$3,'ORDENES'!$Q$4:$Q$1203,F$4)</f>
        <v/>
      </c>
      <c r="G8" s="10">
        <f>SUMIFS('ORDENES'!$AK$4:$AK$1203,'ORDENES'!$E$4:$E$1203,$A8,'ORDENES'!$P$4:$P$1203,G$3,'ORDENES'!$Q$4:$Q$1203,G$4)</f>
        <v/>
      </c>
      <c r="H8" s="10">
        <f>SUMIFS('ORDENES'!$AK$4:$AK$1203,'ORDENES'!$E$4:$E$1203,$A8,'ORDENES'!$P$4:$P$1203,H$3,'ORDENES'!$Q$4:$Q$1203,H$4)</f>
        <v/>
      </c>
      <c r="I8" s="10">
        <f>SUMIFS('ORDENES'!$AK$4:$AK$1203,'ORDENES'!$E$4:$E$1203,$A8,'ORDENES'!$P$4:$P$1203,I$3,'ORDENES'!$Q$4:$Q$1203,I$4)</f>
        <v/>
      </c>
      <c r="J8" s="10">
        <f>SUMIFS('ORDENES'!$AK$4:$AK$1203,'ORDENES'!$E$4:$E$1203,$A8,'ORDENES'!$P$4:$P$1203,J$3,'ORDENES'!$Q$4:$Q$1203,J$4)</f>
        <v/>
      </c>
      <c r="K8" s="10">
        <f>SUMIFS('ORDENES'!$AK$4:$AK$1203,'ORDENES'!$E$4:$E$1203,$A8,'ORDENES'!$P$4:$P$1203,K$3,'ORDENES'!$Q$4:$Q$1203,K$4)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EQ-105</t>
        </is>
      </c>
      <c r="B9" s="10">
        <f>SUMIFS('ORDENES'!$AK$4:$AK$1203,'ORDENES'!$E$4:$E$1203,$A9,'ORDENES'!$P$4:$P$1203,B$3,'ORDENES'!$Q$4:$Q$1203,B$4)</f>
        <v/>
      </c>
      <c r="C9" s="10">
        <f>SUMIFS('ORDENES'!$AK$4:$AK$1203,'ORDENES'!$E$4:$E$1203,$A9,'ORDENES'!$P$4:$P$1203,C$3,'ORDENES'!$Q$4:$Q$1203,C$4)</f>
        <v/>
      </c>
      <c r="D9" s="10">
        <f>SUMIFS('ORDENES'!$AK$4:$AK$1203,'ORDENES'!$E$4:$E$1203,$A9,'ORDENES'!$P$4:$P$1203,D$3,'ORDENES'!$Q$4:$Q$1203,D$4)</f>
        <v/>
      </c>
      <c r="E9" s="10">
        <f>SUMIFS('ORDENES'!$AK$4:$AK$1203,'ORDENES'!$E$4:$E$1203,$A9,'ORDENES'!$P$4:$P$1203,E$3,'ORDENES'!$Q$4:$Q$1203,E$4)</f>
        <v/>
      </c>
      <c r="F9" s="10">
        <f>SUMIFS('ORDENES'!$AK$4:$AK$1203,'ORDENES'!$E$4:$E$1203,$A9,'ORDENES'!$P$4:$P$1203,F$3,'ORDENES'!$Q$4:$Q$1203,F$4)</f>
        <v/>
      </c>
      <c r="G9" s="10">
        <f>SUMIFS('ORDENES'!$AK$4:$AK$1203,'ORDENES'!$E$4:$E$1203,$A9,'ORDENES'!$P$4:$P$1203,G$3,'ORDENES'!$Q$4:$Q$1203,G$4)</f>
        <v/>
      </c>
      <c r="H9" s="10">
        <f>SUMIFS('ORDENES'!$AK$4:$AK$1203,'ORDENES'!$E$4:$E$1203,$A9,'ORDENES'!$P$4:$P$1203,H$3,'ORDENES'!$Q$4:$Q$1203,H$4)</f>
        <v/>
      </c>
      <c r="I9" s="10">
        <f>SUMIFS('ORDENES'!$AK$4:$AK$1203,'ORDENES'!$E$4:$E$1203,$A9,'ORDENES'!$P$4:$P$1203,I$3,'ORDENES'!$Q$4:$Q$1203,I$4)</f>
        <v/>
      </c>
      <c r="J9" s="10">
        <f>SUMIFS('ORDENES'!$AK$4:$AK$1203,'ORDENES'!$E$4:$E$1203,$A9,'ORDENES'!$P$4:$P$1203,J$3,'ORDENES'!$Q$4:$Q$1203,J$4)</f>
        <v/>
      </c>
      <c r="K9" s="10">
        <f>SUMIFS('ORDENES'!$AK$4:$AK$1203,'ORDENES'!$E$4:$E$1203,$A9,'ORDENES'!$P$4:$P$1203,K$3,'ORDENES'!$Q$4:$Q$1203,K$4)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EQ-108</t>
        </is>
      </c>
      <c r="B10" s="10">
        <f>SUMIFS('ORDENES'!$AK$4:$AK$1203,'ORDENES'!$E$4:$E$1203,$A10,'ORDENES'!$P$4:$P$1203,B$3,'ORDENES'!$Q$4:$Q$1203,B$4)</f>
        <v/>
      </c>
      <c r="C10" s="10">
        <f>SUMIFS('ORDENES'!$AK$4:$AK$1203,'ORDENES'!$E$4:$E$1203,$A10,'ORDENES'!$P$4:$P$1203,C$3,'ORDENES'!$Q$4:$Q$1203,C$4)</f>
        <v/>
      </c>
      <c r="D10" s="10">
        <f>SUMIFS('ORDENES'!$AK$4:$AK$1203,'ORDENES'!$E$4:$E$1203,$A10,'ORDENES'!$P$4:$P$1203,D$3,'ORDENES'!$Q$4:$Q$1203,D$4)</f>
        <v/>
      </c>
      <c r="E10" s="10">
        <f>SUMIFS('ORDENES'!$AK$4:$AK$1203,'ORDENES'!$E$4:$E$1203,$A10,'ORDENES'!$P$4:$P$1203,E$3,'ORDENES'!$Q$4:$Q$1203,E$4)</f>
        <v/>
      </c>
      <c r="F10" s="10">
        <f>SUMIFS('ORDENES'!$AK$4:$AK$1203,'ORDENES'!$E$4:$E$1203,$A10,'ORDENES'!$P$4:$P$1203,F$3,'ORDENES'!$Q$4:$Q$1203,F$4)</f>
        <v/>
      </c>
      <c r="G10" s="10">
        <f>SUMIFS('ORDENES'!$AK$4:$AK$1203,'ORDENES'!$E$4:$E$1203,$A10,'ORDENES'!$P$4:$P$1203,G$3,'ORDENES'!$Q$4:$Q$1203,G$4)</f>
        <v/>
      </c>
      <c r="H10" s="10">
        <f>SUMIFS('ORDENES'!$AK$4:$AK$1203,'ORDENES'!$E$4:$E$1203,$A10,'ORDENES'!$P$4:$P$1203,H$3,'ORDENES'!$Q$4:$Q$1203,H$4)</f>
        <v/>
      </c>
      <c r="I10" s="10">
        <f>SUMIFS('ORDENES'!$AK$4:$AK$1203,'ORDENES'!$E$4:$E$1203,$A10,'ORDENES'!$P$4:$P$1203,I$3,'ORDENES'!$Q$4:$Q$1203,I$4)</f>
        <v/>
      </c>
      <c r="J10" s="10">
        <f>SUMIFS('ORDENES'!$AK$4:$AK$1203,'ORDENES'!$E$4:$E$1203,$A10,'ORDENES'!$P$4:$P$1203,J$3,'ORDENES'!$Q$4:$Q$1203,J$4)</f>
        <v/>
      </c>
      <c r="K10" s="10">
        <f>SUMIFS('ORDENES'!$AK$4:$AK$1203,'ORDENES'!$E$4:$E$1203,$A10,'ORDENES'!$P$4:$P$1203,K$3,'ORDENES'!$Q$4:$Q$1203,K$4)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SUMIFS('ORDENES'!$AK$4:$AK$1203,'ORDENES'!$E$4:$E$1203,$A11,'ORDENES'!$P$4:$P$1203,B$3,'ORDENES'!$Q$4:$Q$1203,B$4)</f>
        <v/>
      </c>
      <c r="C11" s="10">
        <f>SUMIFS('ORDENES'!$AK$4:$AK$1203,'ORDENES'!$E$4:$E$1203,$A11,'ORDENES'!$P$4:$P$1203,C$3,'ORDENES'!$Q$4:$Q$1203,C$4)</f>
        <v/>
      </c>
      <c r="D11" s="10">
        <f>SUMIFS('ORDENES'!$AK$4:$AK$1203,'ORDENES'!$E$4:$E$1203,$A11,'ORDENES'!$P$4:$P$1203,D$3,'ORDENES'!$Q$4:$Q$1203,D$4)</f>
        <v/>
      </c>
      <c r="E11" s="10">
        <f>SUMIFS('ORDENES'!$AK$4:$AK$1203,'ORDENES'!$E$4:$E$1203,$A11,'ORDENES'!$P$4:$P$1203,E$3,'ORDENES'!$Q$4:$Q$1203,E$4)</f>
        <v/>
      </c>
      <c r="F11" s="10">
        <f>SUMIFS('ORDENES'!$AK$4:$AK$1203,'ORDENES'!$E$4:$E$1203,$A11,'ORDENES'!$P$4:$P$1203,F$3,'ORDENES'!$Q$4:$Q$1203,F$4)</f>
        <v/>
      </c>
      <c r="G11" s="10">
        <f>SUMIFS('ORDENES'!$AK$4:$AK$1203,'ORDENES'!$E$4:$E$1203,$A11,'ORDENES'!$P$4:$P$1203,G$3,'ORDENES'!$Q$4:$Q$1203,G$4)</f>
        <v/>
      </c>
      <c r="H11" s="10">
        <f>SUMIFS('ORDENES'!$AK$4:$AK$1203,'ORDENES'!$E$4:$E$1203,$A11,'ORDENES'!$P$4:$P$1203,H$3,'ORDENES'!$Q$4:$Q$1203,H$4)</f>
        <v/>
      </c>
      <c r="I11" s="10">
        <f>SUMIFS('ORDENES'!$AK$4:$AK$1203,'ORDENES'!$E$4:$E$1203,$A11,'ORDENES'!$P$4:$P$1203,I$3,'ORDENES'!$Q$4:$Q$1203,I$4)</f>
        <v/>
      </c>
      <c r="J11" s="10">
        <f>SUMIFS('ORDENES'!$AK$4:$AK$1203,'ORDENES'!$E$4:$E$1203,$A11,'ORDENES'!$P$4:$P$1203,J$3,'ORDENES'!$Q$4:$Q$1203,J$4)</f>
        <v/>
      </c>
      <c r="K11" s="10">
        <f>SUMIFS('ORDENES'!$AK$4:$AK$1203,'ORDENES'!$E$4:$E$1203,$A11,'ORDENES'!$P$4:$P$1203,K$3,'ORDENES'!$Q$4:$Q$1203,K$4)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SUMIFS('ORDENES'!$AK$4:$AK$1203,'ORDENES'!$E$4:$E$1203,$A12,'ORDENES'!$P$4:$P$1203,B$3,'ORDENES'!$Q$4:$Q$1203,B$4)</f>
        <v/>
      </c>
      <c r="C12" s="10">
        <f>SUMIFS('ORDENES'!$AK$4:$AK$1203,'ORDENES'!$E$4:$E$1203,$A12,'ORDENES'!$P$4:$P$1203,C$3,'ORDENES'!$Q$4:$Q$1203,C$4)</f>
        <v/>
      </c>
      <c r="D12" s="10">
        <f>SUMIFS('ORDENES'!$AK$4:$AK$1203,'ORDENES'!$E$4:$E$1203,$A12,'ORDENES'!$P$4:$P$1203,D$3,'ORDENES'!$Q$4:$Q$1203,D$4)</f>
        <v/>
      </c>
      <c r="E12" s="10">
        <f>SUMIFS('ORDENES'!$AK$4:$AK$1203,'ORDENES'!$E$4:$E$1203,$A12,'ORDENES'!$P$4:$P$1203,E$3,'ORDENES'!$Q$4:$Q$1203,E$4)</f>
        <v/>
      </c>
      <c r="F12" s="10">
        <f>SUMIFS('ORDENES'!$AK$4:$AK$1203,'ORDENES'!$E$4:$E$1203,$A12,'ORDENES'!$P$4:$P$1203,F$3,'ORDENES'!$Q$4:$Q$1203,F$4)</f>
        <v/>
      </c>
      <c r="G12" s="10">
        <f>SUMIFS('ORDENES'!$AK$4:$AK$1203,'ORDENES'!$E$4:$E$1203,$A12,'ORDENES'!$P$4:$P$1203,G$3,'ORDENES'!$Q$4:$Q$1203,G$4)</f>
        <v/>
      </c>
      <c r="H12" s="10">
        <f>SUMIFS('ORDENES'!$AK$4:$AK$1203,'ORDENES'!$E$4:$E$1203,$A12,'ORDENES'!$P$4:$P$1203,H$3,'ORDENES'!$Q$4:$Q$1203,H$4)</f>
        <v/>
      </c>
      <c r="I12" s="10">
        <f>SUMIFS('ORDENES'!$AK$4:$AK$1203,'ORDENES'!$E$4:$E$1203,$A12,'ORDENES'!$P$4:$P$1203,I$3,'ORDENES'!$Q$4:$Q$1203,I$4)</f>
        <v/>
      </c>
      <c r="J12" s="10">
        <f>SUMIFS('ORDENES'!$AK$4:$AK$1203,'ORDENES'!$E$4:$E$1203,$A12,'ORDENES'!$P$4:$P$1203,J$3,'ORDENES'!$Q$4:$Q$1203,J$4)</f>
        <v/>
      </c>
      <c r="K12" s="10">
        <f>SUMIFS('ORDENES'!$AK$4:$AK$1203,'ORDENES'!$E$4:$E$1203,$A12,'ORDENES'!$P$4:$P$1203,K$3,'ORDENES'!$Q$4:$Q$1203,K$4)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SUMIFS('ORDENES'!$AK$4:$AK$1203,'ORDENES'!$E$4:$E$1203,$A13,'ORDENES'!$P$4:$P$1203,B$3,'ORDENES'!$Q$4:$Q$1203,B$4)</f>
        <v/>
      </c>
      <c r="C13" s="10">
        <f>SUMIFS('ORDENES'!$AK$4:$AK$1203,'ORDENES'!$E$4:$E$1203,$A13,'ORDENES'!$P$4:$P$1203,C$3,'ORDENES'!$Q$4:$Q$1203,C$4)</f>
        <v/>
      </c>
      <c r="D13" s="10">
        <f>SUMIFS('ORDENES'!$AK$4:$AK$1203,'ORDENES'!$E$4:$E$1203,$A13,'ORDENES'!$P$4:$P$1203,D$3,'ORDENES'!$Q$4:$Q$1203,D$4)</f>
        <v/>
      </c>
      <c r="E13" s="10">
        <f>SUMIFS('ORDENES'!$AK$4:$AK$1203,'ORDENES'!$E$4:$E$1203,$A13,'ORDENES'!$P$4:$P$1203,E$3,'ORDENES'!$Q$4:$Q$1203,E$4)</f>
        <v/>
      </c>
      <c r="F13" s="10">
        <f>SUMIFS('ORDENES'!$AK$4:$AK$1203,'ORDENES'!$E$4:$E$1203,$A13,'ORDENES'!$P$4:$P$1203,F$3,'ORDENES'!$Q$4:$Q$1203,F$4)</f>
        <v/>
      </c>
      <c r="G13" s="10">
        <f>SUMIFS('ORDENES'!$AK$4:$AK$1203,'ORDENES'!$E$4:$E$1203,$A13,'ORDENES'!$P$4:$P$1203,G$3,'ORDENES'!$Q$4:$Q$1203,G$4)</f>
        <v/>
      </c>
      <c r="H13" s="10">
        <f>SUMIFS('ORDENES'!$AK$4:$AK$1203,'ORDENES'!$E$4:$E$1203,$A13,'ORDENES'!$P$4:$P$1203,H$3,'ORDENES'!$Q$4:$Q$1203,H$4)</f>
        <v/>
      </c>
      <c r="I13" s="10">
        <f>SUMIFS('ORDENES'!$AK$4:$AK$1203,'ORDENES'!$E$4:$E$1203,$A13,'ORDENES'!$P$4:$P$1203,I$3,'ORDENES'!$Q$4:$Q$1203,I$4)</f>
        <v/>
      </c>
      <c r="J13" s="10">
        <f>SUMIFS('ORDENES'!$AK$4:$AK$1203,'ORDENES'!$E$4:$E$1203,$A13,'ORDENES'!$P$4:$P$1203,J$3,'ORDENES'!$Q$4:$Q$1203,J$4)</f>
        <v/>
      </c>
      <c r="K13" s="10">
        <f>SUMIFS('ORDENES'!$AK$4:$AK$1203,'ORDENES'!$E$4:$E$1203,$A13,'ORDENES'!$P$4:$P$1203,K$3,'ORDENES'!$Q$4:$Q$1203,K$4)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SUMIFS('ORDENES'!$AK$4:$AK$1203,'ORDENES'!$E$4:$E$1203,$A14,'ORDENES'!$P$4:$P$1203,B$3,'ORDENES'!$Q$4:$Q$1203,B$4)</f>
        <v/>
      </c>
      <c r="C14" s="10">
        <f>SUMIFS('ORDENES'!$AK$4:$AK$1203,'ORDENES'!$E$4:$E$1203,$A14,'ORDENES'!$P$4:$P$1203,C$3,'ORDENES'!$Q$4:$Q$1203,C$4)</f>
        <v/>
      </c>
      <c r="D14" s="10">
        <f>SUMIFS('ORDENES'!$AK$4:$AK$1203,'ORDENES'!$E$4:$E$1203,$A14,'ORDENES'!$P$4:$P$1203,D$3,'ORDENES'!$Q$4:$Q$1203,D$4)</f>
        <v/>
      </c>
      <c r="E14" s="10">
        <f>SUMIFS('ORDENES'!$AK$4:$AK$1203,'ORDENES'!$E$4:$E$1203,$A14,'ORDENES'!$P$4:$P$1203,E$3,'ORDENES'!$Q$4:$Q$1203,E$4)</f>
        <v/>
      </c>
      <c r="F14" s="10">
        <f>SUMIFS('ORDENES'!$AK$4:$AK$1203,'ORDENES'!$E$4:$E$1203,$A14,'ORDENES'!$P$4:$P$1203,F$3,'ORDENES'!$Q$4:$Q$1203,F$4)</f>
        <v/>
      </c>
      <c r="G14" s="10">
        <f>SUMIFS('ORDENES'!$AK$4:$AK$1203,'ORDENES'!$E$4:$E$1203,$A14,'ORDENES'!$P$4:$P$1203,G$3,'ORDENES'!$Q$4:$Q$1203,G$4)</f>
        <v/>
      </c>
      <c r="H14" s="10">
        <f>SUMIFS('ORDENES'!$AK$4:$AK$1203,'ORDENES'!$E$4:$E$1203,$A14,'ORDENES'!$P$4:$P$1203,H$3,'ORDENES'!$Q$4:$Q$1203,H$4)</f>
        <v/>
      </c>
      <c r="I14" s="10">
        <f>SUMIFS('ORDENES'!$AK$4:$AK$1203,'ORDENES'!$E$4:$E$1203,$A14,'ORDENES'!$P$4:$P$1203,I$3,'ORDENES'!$Q$4:$Q$1203,I$4)</f>
        <v/>
      </c>
      <c r="J14" s="10">
        <f>SUMIFS('ORDENES'!$AK$4:$AK$1203,'ORDENES'!$E$4:$E$1203,$A14,'ORDENES'!$P$4:$P$1203,J$3,'ORDENES'!$Q$4:$Q$1203,J$4)</f>
        <v/>
      </c>
      <c r="K14" s="10">
        <f>SUMIFS('ORDENES'!$AK$4:$AK$1203,'ORDENES'!$E$4:$E$1203,$A14,'ORDENES'!$P$4:$P$1203,K$3,'ORDENES'!$Q$4:$Q$1203,K$4)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SUMIFS('ORDENES'!$AK$4:$AK$1203,'ORDENES'!$E$4:$E$1203,$A15,'ORDENES'!$P$4:$P$1203,B$3,'ORDENES'!$Q$4:$Q$1203,B$4)</f>
        <v/>
      </c>
      <c r="C15" s="10">
        <f>SUMIFS('ORDENES'!$AK$4:$AK$1203,'ORDENES'!$E$4:$E$1203,$A15,'ORDENES'!$P$4:$P$1203,C$3,'ORDENES'!$Q$4:$Q$1203,C$4)</f>
        <v/>
      </c>
      <c r="D15" s="10">
        <f>SUMIFS('ORDENES'!$AK$4:$AK$1203,'ORDENES'!$E$4:$E$1203,$A15,'ORDENES'!$P$4:$P$1203,D$3,'ORDENES'!$Q$4:$Q$1203,D$4)</f>
        <v/>
      </c>
      <c r="E15" s="10">
        <f>SUMIFS('ORDENES'!$AK$4:$AK$1203,'ORDENES'!$E$4:$E$1203,$A15,'ORDENES'!$P$4:$P$1203,E$3,'ORDENES'!$Q$4:$Q$1203,E$4)</f>
        <v/>
      </c>
      <c r="F15" s="10">
        <f>SUMIFS('ORDENES'!$AK$4:$AK$1203,'ORDENES'!$E$4:$E$1203,$A15,'ORDENES'!$P$4:$P$1203,F$3,'ORDENES'!$Q$4:$Q$1203,F$4)</f>
        <v/>
      </c>
      <c r="G15" s="10">
        <f>SUMIFS('ORDENES'!$AK$4:$AK$1203,'ORDENES'!$E$4:$E$1203,$A15,'ORDENES'!$P$4:$P$1203,G$3,'ORDENES'!$Q$4:$Q$1203,G$4)</f>
        <v/>
      </c>
      <c r="H15" s="10">
        <f>SUMIFS('ORDENES'!$AK$4:$AK$1203,'ORDENES'!$E$4:$E$1203,$A15,'ORDENES'!$P$4:$P$1203,H$3,'ORDENES'!$Q$4:$Q$1203,H$4)</f>
        <v/>
      </c>
      <c r="I15" s="10">
        <f>SUMIFS('ORDENES'!$AK$4:$AK$1203,'ORDENES'!$E$4:$E$1203,$A15,'ORDENES'!$P$4:$P$1203,I$3,'ORDENES'!$Q$4:$Q$1203,I$4)</f>
        <v/>
      </c>
      <c r="J15" s="10">
        <f>SUMIFS('ORDENES'!$AK$4:$AK$1203,'ORDENES'!$E$4:$E$1203,$A15,'ORDENES'!$P$4:$P$1203,J$3,'ORDENES'!$Q$4:$Q$1203,J$4)</f>
        <v/>
      </c>
      <c r="K15" s="10">
        <f>SUMIFS('ORDENES'!$AK$4:$AK$1203,'ORDENES'!$E$4:$E$1203,$A15,'ORDENES'!$P$4:$P$1203,K$3,'ORDENES'!$Q$4:$Q$1203,K$4)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SUMIFS('ORDENES'!$AK$4:$AK$1203,'ORDENES'!$E$4:$E$1203,$A16,'ORDENES'!$P$4:$P$1203,B$3,'ORDENES'!$Q$4:$Q$1203,B$4)</f>
        <v/>
      </c>
      <c r="C16" s="10">
        <f>SUMIFS('ORDENES'!$AK$4:$AK$1203,'ORDENES'!$E$4:$E$1203,$A16,'ORDENES'!$P$4:$P$1203,C$3,'ORDENES'!$Q$4:$Q$1203,C$4)</f>
        <v/>
      </c>
      <c r="D16" s="10">
        <f>SUMIFS('ORDENES'!$AK$4:$AK$1203,'ORDENES'!$E$4:$E$1203,$A16,'ORDENES'!$P$4:$P$1203,D$3,'ORDENES'!$Q$4:$Q$1203,D$4)</f>
        <v/>
      </c>
      <c r="E16" s="10">
        <f>SUMIFS('ORDENES'!$AK$4:$AK$1203,'ORDENES'!$E$4:$E$1203,$A16,'ORDENES'!$P$4:$P$1203,E$3,'ORDENES'!$Q$4:$Q$1203,E$4)</f>
        <v/>
      </c>
      <c r="F16" s="10">
        <f>SUMIFS('ORDENES'!$AK$4:$AK$1203,'ORDENES'!$E$4:$E$1203,$A16,'ORDENES'!$P$4:$P$1203,F$3,'ORDENES'!$Q$4:$Q$1203,F$4)</f>
        <v/>
      </c>
      <c r="G16" s="10">
        <f>SUMIFS('ORDENES'!$AK$4:$AK$1203,'ORDENES'!$E$4:$E$1203,$A16,'ORDENES'!$P$4:$P$1203,G$3,'ORDENES'!$Q$4:$Q$1203,G$4)</f>
        <v/>
      </c>
      <c r="H16" s="10">
        <f>SUMIFS('ORDENES'!$AK$4:$AK$1203,'ORDENES'!$E$4:$E$1203,$A16,'ORDENES'!$P$4:$P$1203,H$3,'ORDENES'!$Q$4:$Q$1203,H$4)</f>
        <v/>
      </c>
      <c r="I16" s="10">
        <f>SUMIFS('ORDENES'!$AK$4:$AK$1203,'ORDENES'!$E$4:$E$1203,$A16,'ORDENES'!$P$4:$P$1203,I$3,'ORDENES'!$Q$4:$Q$1203,I$4)</f>
        <v/>
      </c>
      <c r="J16" s="10">
        <f>SUMIFS('ORDENES'!$AK$4:$AK$1203,'ORDENES'!$E$4:$E$1203,$A16,'ORDENES'!$P$4:$P$1203,J$3,'ORDENES'!$Q$4:$Q$1203,J$4)</f>
        <v/>
      </c>
      <c r="K16" s="10">
        <f>SUMIFS('ORDENES'!$AK$4:$AK$1203,'ORDENES'!$E$4:$E$1203,$A16,'ORDENES'!$P$4:$P$1203,K$3,'ORDENES'!$Q$4:$Q$1203,K$4)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IF(K8=1,IFERROR(MATCH('ORDENES'!$R4,lista_dias,0),9)*1000000000+IFERROR(MATCH('ORDENES'!$AF4,lista_turnos,0),9)*10000000+IFERROR(MATCH('ORDENES'!$AE4,'TECNICOS'!$B$4:$B$15,0),99)*100000+1,9000000000000+1)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p_factor_productividad*SUMIFS('ASIGNACIONES'!$I$4:$I$339,'ASIGNACIONES'!$C$4:$C$339,AB8,'ASIGNACIONES'!$A$4:$A$339,IF($B$3="(todos)","*",$B$3))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IF(K9=1,IFERROR(MATCH('ORDENES'!$R5,lista_dias,0),9)*1000000000+IFERROR(MATCH('ORDENES'!$AF5,lista_turnos,0),9)*10000000+IFERROR(MATCH('ORDENES'!$AE5,'TECNICOS'!$B$4:$B$15,0),99)*100000+2,9000000000000+2)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p_factor_productividad*SUMIFS('ASIGNACIONES'!$I$4:$I$339,'ASIGNACIONES'!$C$4:$C$339,AB9,'ASIGNACIONES'!$A$4:$A$339,IF($B$3="(todos)","*",$B$3))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IF(K10=1,IFERROR(MATCH('ORDENES'!$R6,lista_dias,0),9)*1000000000+IFERROR(MATCH('ORDENES'!$AF6,lista_turnos,0),9)*10000000+IFERROR(MATCH('ORDENES'!$AE6,'TECNICOS'!$B$4:$B$15,0),99)*100000+3,9000000000000+3)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p_factor_productividad*SUMIFS('ASIGNACIONES'!$I$4:$I$339,'ASIGNACIONES'!$C$4:$C$339,AB10,'ASIGNACIONES'!$A$4:$A$339,IF($B$3="(todos)","*",$B$3))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IF(K11=1,IFERROR(MATCH('ORDENES'!$R7,lista_dias,0),9)*1000000000+IFERROR(MATCH('ORDENES'!$AF7,lista_turnos,0),9)*10000000+IFERROR(MATCH('ORDENES'!$AE7,'TECNICOS'!$B$4:$B$15,0),99)*100000+4,9000000000000+4)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p_factor_productividad*SUMIFS('ASIGNACIONES'!$I$4:$I$339,'ASIGNACIONES'!$C$4:$C$339,AB11,'ASIGNACIONES'!$A$4:$A$339,IF($B$3="(todos)","*",$B$3))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IF(K12=1,IFERROR(MATCH('ORDENES'!$R8,lista_dias,0),9)*1000000000+IFERROR(MATCH('ORDENES'!$AF8,lista_turnos,0),9)*10000000+IFERROR(MATCH('ORDENES'!$AE8,'TECNICOS'!$B$4:$B$15,0),99)*100000+5,9000000000000+5)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p_factor_productividad*SUMIFS('ASIGNACIONES'!$I$4:$I$339,'ASIGNACIONES'!$C$4:$C$339,AB12,'ASIGNACIONES'!$A$4:$A$339,IF($B$3="(todos)","*",$B$3))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IF(K13=1,IFERROR(MATCH('ORDENES'!$R9,lista_dias,0),9)*1000000000+IFERROR(MATCH('ORDENES'!$AF9,lista_turnos,0),9)*10000000+IFERROR(MATCH('ORDENES'!$AE9,'TECNICOS'!$B$4:$B$15,0),99)*100000+6,9000000000000+6)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p_factor_productividad*SUMIFS('ASIGNACIONES'!$I$4:$I$339,'ASIGNACIONES'!$C$4:$C$339,AB13,'ASIGNACIONES'!$A$4:$A$339,IF($B$3="(todos)","*",$B$3))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IF(K14=1,IFERROR(MATCH('ORDENES'!$R10,lista_dias,0),9)*1000000000+IFERROR(MATCH('ORDENES'!$AF10,lista_turnos,0),9)*10000000+IFERROR(MATCH('ORDENES'!$AE10,'TECNICOS'!$B$4:$B$15,0),99)*100000+7,9000000000000+7)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p_factor_productividad*SUMIFS('ASIGNACIONES'!$I$4:$I$339,'ASIGNACIONES'!$C$4:$C$339,AB14,'ASIGNACIONES'!$A$4:$A$339,IF($B$3="(todos)","*",$B$3))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IF(K15=1,IFERROR(MATCH('ORDENES'!$R11,lista_dias,0),9)*1000000000+IFERROR(MATCH('ORDENES'!$AF11,lista_turnos,0),9)*10000000+IFERROR(MATCH('ORDENES'!$AE11,'TECNICOS'!$B$4:$B$15,0),99)*100000+8,9000000000000+8)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p_factor_productividad*SUMIFS('ASIGNACIONES'!$I$4:$I$339,'ASIGNACIONES'!$C$4:$C$339,AB15,'ASIGNACIONES'!$A$4:$A$339,IF($B$3="(todos)","*",$B$3))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IF(K16=1,IFERROR(MATCH('ORDENES'!$R12,lista_dias,0),9)*1000000000+IFERROR(MATCH('ORDENES'!$AF12,lista_turnos,0),9)*10000000+IFERROR(MATCH('ORDENES'!$AE12,'TECNICOS'!$B$4:$B$15,0),99)*100000+9,9000000000000+9)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p_factor_productividad*SUMIFS('ASIGNACIONES'!$I$4:$I$339,'ASIGNACIONES'!$C$4:$C$339,AB16,'ASIGNACIONES'!$A$4:$A$339,IF($B$3="(todos)","*",$B$3))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IF(K17=1,IFERROR(MATCH('ORDENES'!$R13,lista_dias,0),9)*1000000000+IFERROR(MATCH('ORDENES'!$AF13,lista_turnos,0),9)*10000000+IFERROR(MATCH('ORDENES'!$AE13,'TECNICOS'!$B$4:$B$15,0),99)*100000+10,9000000000000+10)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p_factor_productividad*SUMIFS('ASIGNACIONES'!$I$4:$I$339,'ASIGNACIONES'!$C$4:$C$339,AB17,'ASIGNACIONES'!$A$4:$A$339,IF($B$3="(todos)","*",$B$3))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IF(K18=1,IFERROR(MATCH('ORDENES'!$R14,lista_dias,0),9)*1000000000+IFERROR(MATCH('ORDENES'!$AF14,lista_turnos,0),9)*10000000+IFERROR(MATCH('ORDENES'!$AE14,'TECNICOS'!$B$4:$B$15,0),99)*100000+11,9000000000000+11)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p_factor_productividad*SUMIFS('ASIGNACIONES'!$I$4:$I$339,'ASIGNACIONES'!$C$4:$C$339,AB18,'ASIGNACIONES'!$A$4:$A$339,IF($B$3="(todos)","*",$B$3))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IF(K19=1,IFERROR(MATCH('ORDENES'!$R15,lista_dias,0),9)*1000000000+IFERROR(MATCH('ORDENES'!$AF15,lista_turnos,0),9)*10000000+IFERROR(MATCH('ORDENES'!$AE15,'TECNICOS'!$B$4:$B$15,0),99)*100000+12,9000000000000+12)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p_factor_productividad*SUMIFS('ASIGNACIONES'!$I$4:$I$339,'ASIGNACIONES'!$C$4:$C$339,AB19,'ASIGNACIONES'!$A$4:$A$339,IF($B$3="(todos)","*",$B$3))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IF(K20=1,IFERROR(MATCH('ORDENES'!$R16,lista_dias,0),9)*1000000000+IFERROR(MATCH('ORDENES'!$AF16,lista_turnos,0),9)*10000000+IFERROR(MATCH('ORDENES'!$AE16,'TECNICOS'!$B$4:$B$15,0),99)*100000+13,9000000000000+13)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IF(K21=1,IFERROR(MATCH('ORDENES'!$R17,lista_dias,0),9)*1000000000+IFERROR(MATCH('ORDENES'!$AF17,lista_turnos,0),9)*10000000+IFERROR(MATCH('ORDENES'!$AE17,'TECNICOS'!$B$4:$B$15,0),99)*100000+14,9000000000000+14)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IF(K22=1,IFERROR(MATCH('ORDENES'!$R18,lista_dias,0),9)*1000000000+IFERROR(MATCH('ORDENES'!$AF18,lista_turnos,0),9)*10000000+IFERROR(MATCH('ORDENES'!$AE18,'TECNICOS'!$B$4:$B$15,0),99)*100000+15,9000000000000+15)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IF(K23=1,IFERROR(MATCH('ORDENES'!$R19,lista_dias,0),9)*1000000000+IFERROR(MATCH('ORDENES'!$AF19,lista_turnos,0),9)*10000000+IFERROR(MATCH('ORDENES'!$AE19,'TECNICOS'!$B$4:$B$15,0),99)*100000+16,9000000000000+16)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IF(K24=1,IFERROR(MATCH('ORDENES'!$R20,lista_dias,0),9)*1000000000+IFERROR(MATCH('ORDENES'!$AF20,lista_turnos,0),9)*10000000+IFERROR(MATCH('ORDENES'!$AE20,'TECNICOS'!$B$4:$B$15,0),99)*100000+17,9000000000000+17)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IF(K25=1,IFERROR(MATCH('ORDENES'!$R21,lista_dias,0),9)*1000000000+IFERROR(MATCH('ORDENES'!$AF21,lista_turnos,0),9)*10000000+IFERROR(MATCH('ORDENES'!$AE21,'TECNICOS'!$B$4:$B$15,0),99)*100000+18,9000000000000+18)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IF(K26=1,IFERROR(MATCH('ORDENES'!$R22,lista_dias,0),9)*1000000000+IFERROR(MATCH('ORDENES'!$AF22,lista_turnos,0),9)*10000000+IFERROR(MATCH('ORDENES'!$AE22,'TECNICOS'!$B$4:$B$15,0),99)*100000+19,9000000000000+19)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IF(K27=1,IFERROR(MATCH('ORDENES'!$R23,lista_dias,0),9)*1000000000+IFERROR(MATCH('ORDENES'!$AF23,lista_turnos,0),9)*10000000+IFERROR(MATCH('ORDENES'!$AE23,'TECNICOS'!$B$4:$B$15,0),99)*100000+20,9000000000000+20)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IF(K28=1,IFERROR(MATCH('ORDENES'!$R24,lista_dias,0),9)*1000000000+IFERROR(MATCH('ORDENES'!$AF24,lista_turnos,0),9)*10000000+IFERROR(MATCH('ORDENES'!$AE24,'TECNICOS'!$B$4:$B$15,0),99)*100000+21,9000000000000+21)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IF(K29=1,IFERROR(MATCH('ORDENES'!$R25,lista_dias,0),9)*1000000000+IFERROR(MATCH('ORDENES'!$AF25,lista_turnos,0),9)*10000000+IFERROR(MATCH('ORDENES'!$AE25,'TECNICOS'!$B$4:$B$15,0),99)*100000+22,9000000000000+22)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IF(K30=1,IFERROR(MATCH('ORDENES'!$R26,lista_dias,0),9)*1000000000+IFERROR(MATCH('ORDENES'!$AF26,lista_turnos,0),9)*10000000+IFERROR(MATCH('ORDENES'!$AE26,'TECNICOS'!$B$4:$B$15,0),99)*100000+23,9000000000000+23)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IF(K31=1,IFERROR(MATCH('ORDENES'!$R27,lista_dias,0),9)*1000000000+IFERROR(MATCH('ORDENES'!$AF27,lista_turnos,0),9)*10000000+IFERROR(MATCH('ORDENES'!$AE27,'TECNICOS'!$B$4:$B$15,0),99)*100000+24,9000000000000+24)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IF(K32=1,IFERROR(MATCH('ORDENES'!$R28,lista_dias,0),9)*1000000000+IFERROR(MATCH('ORDENES'!$AF28,lista_turnos,0),9)*10000000+IFERROR(MATCH('ORDENES'!$AE28,'TECNICOS'!$B$4:$B$15,0),99)*100000+25,9000000000000+25)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IF(K33=1,IFERROR(MATCH('ORDENES'!$R29,lista_dias,0),9)*1000000000+IFERROR(MATCH('ORDENES'!$AF29,lista_turnos,0),9)*10000000+IFERROR(MATCH('ORDENES'!$AE29,'TECNICOS'!$B$4:$B$15,0),99)*100000+26,9000000000000+26)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IF(K34=1,IFERROR(MATCH('ORDENES'!$R30,lista_dias,0),9)*1000000000+IFERROR(MATCH('ORDENES'!$AF30,lista_turnos,0),9)*10000000+IFERROR(MATCH('ORDENES'!$AE30,'TECNICOS'!$B$4:$B$15,0),99)*100000+27,9000000000000+27)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IF(K35=1,IFERROR(MATCH('ORDENES'!$R31,lista_dias,0),9)*1000000000+IFERROR(MATCH('ORDENES'!$AF31,lista_turnos,0),9)*10000000+IFERROR(MATCH('ORDENES'!$AE31,'TECNICOS'!$B$4:$B$15,0),99)*100000+28,9000000000000+28)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IF(K36=1,IFERROR(MATCH('ORDENES'!$R32,lista_dias,0),9)*1000000000+IFERROR(MATCH('ORDENES'!$AF32,lista_turnos,0),9)*10000000+IFERROR(MATCH('ORDENES'!$AE32,'TECNICOS'!$B$4:$B$15,0),99)*100000+29,9000000000000+29)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IF(K37=1,IFERROR(MATCH('ORDENES'!$R33,lista_dias,0),9)*1000000000+IFERROR(MATCH('ORDENES'!$AF33,lista_turnos,0),9)*10000000+IFERROR(MATCH('ORDENES'!$AE33,'TECNICOS'!$B$4:$B$15,0),99)*100000+30,9000000000000+30)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IF(K38=1,IFERROR(MATCH('ORDENES'!$R34,lista_dias,0),9)*1000000000+IFERROR(MATCH('ORDENES'!$AF34,lista_turnos,0),9)*10000000+IFERROR(MATCH('ORDENES'!$AE34,'TECNICOS'!$B$4:$B$15,0),99)*100000+31,9000000000000+31)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IF(K39=1,IFERROR(MATCH('ORDENES'!$R35,lista_dias,0),9)*1000000000+IFERROR(MATCH('ORDENES'!$AF35,lista_turnos,0),9)*10000000+IFERROR(MATCH('ORDENES'!$AE35,'TECNICOS'!$B$4:$B$15,0),99)*100000+32,9000000000000+32)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IF(K40=1,IFERROR(MATCH('ORDENES'!$R36,lista_dias,0),9)*1000000000+IFERROR(MATCH('ORDENES'!$AF36,lista_turnos,0),9)*10000000+IFERROR(MATCH('ORDENES'!$AE36,'TECNICOS'!$B$4:$B$15,0),99)*100000+33,9000000000000+33)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IF(K41=1,IFERROR(MATCH('ORDENES'!$R37,lista_dias,0),9)*1000000000+IFERROR(MATCH('ORDENES'!$AF37,lista_turnos,0),9)*10000000+IFERROR(MATCH('ORDENES'!$AE37,'TECNICOS'!$B$4:$B$15,0),99)*100000+34,9000000000000+34)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IF(K42=1,IFERROR(MATCH('ORDENES'!$R38,lista_dias,0),9)*1000000000+IFERROR(MATCH('ORDENES'!$AF38,lista_turnos,0),9)*10000000+IFERROR(MATCH('ORDENES'!$AE38,'TECNICOS'!$B$4:$B$15,0),99)*100000+35,9000000000000+35)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IF(K43=1,IFERROR(MATCH('ORDENES'!$R39,lista_dias,0),9)*1000000000+IFERROR(MATCH('ORDENES'!$AF39,lista_turnos,0),9)*10000000+IFERROR(MATCH('ORDENES'!$AE39,'TECNICOS'!$B$4:$B$15,0),99)*100000+36,9000000000000+36)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IF(K44=1,IFERROR(MATCH('ORDENES'!$R40,lista_dias,0),9)*1000000000+IFERROR(MATCH('ORDENES'!$AF40,lista_turnos,0),9)*10000000+IFERROR(MATCH('ORDENES'!$AE40,'TECNICOS'!$B$4:$B$15,0),99)*100000+37,9000000000000+37)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IF(K45=1,IFERROR(MATCH('ORDENES'!$R41,lista_dias,0),9)*1000000000+IFERROR(MATCH('ORDENES'!$AF41,lista_turnos,0),9)*10000000+IFERROR(MATCH('ORDENES'!$AE41,'TECNICOS'!$B$4:$B$15,0),99)*100000+38,9000000000000+38)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IF(K46=1,IFERROR(MATCH('ORDENES'!$R42,lista_dias,0),9)*1000000000+IFERROR(MATCH('ORDENES'!$AF42,lista_turnos,0),9)*10000000+IFERROR(MATCH('ORDENES'!$AE42,'TECNICOS'!$B$4:$B$15,0),99)*100000+39,9000000000000+39)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IF(K47=1,IFERROR(MATCH('ORDENES'!$R43,lista_dias,0),9)*1000000000+IFERROR(MATCH('ORDENES'!$AF43,lista_turnos,0),9)*10000000+IFERROR(MATCH('ORDENES'!$AE43,'TECNICOS'!$B$4:$B$15,0),99)*100000+40,9000000000000+40)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IF(K48=1,IFERROR(MATCH('ORDENES'!$R44,lista_dias,0),9)*1000000000+IFERROR(MATCH('ORDENES'!$AF44,lista_turnos,0),9)*10000000+IFERROR(MATCH('ORDENES'!$AE44,'TECNICOS'!$B$4:$B$15,0),99)*100000+41,9000000000000+41)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IF(K49=1,IFERROR(MATCH('ORDENES'!$R45,lista_dias,0),9)*1000000000+IFERROR(MATCH('ORDENES'!$AF45,lista_turnos,0),9)*10000000+IFERROR(MATCH('ORDENES'!$AE45,'TECNICOS'!$B$4:$B$15,0),99)*100000+42,9000000000000+42)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IF(K50=1,IFERROR(MATCH('ORDENES'!$R46,lista_dias,0),9)*1000000000+IFERROR(MATCH('ORDENES'!$AF46,lista_turnos,0),9)*10000000+IFERROR(MATCH('ORDENES'!$AE46,'TECNICOS'!$B$4:$B$15,0),99)*100000+43,9000000000000+43)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IF(K51=1,IFERROR(MATCH('ORDENES'!$R47,lista_dias,0),9)*1000000000+IFERROR(MATCH('ORDENES'!$AF47,lista_turnos,0),9)*10000000+IFERROR(MATCH('ORDENES'!$AE47,'TECNICOS'!$B$4:$B$15,0),99)*100000+44,9000000000000+44)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IF(K52=1,IFERROR(MATCH('ORDENES'!$R48,lista_dias,0),9)*1000000000+IFERROR(MATCH('ORDENES'!$AF48,lista_turnos,0),9)*10000000+IFERROR(MATCH('ORDENES'!$AE48,'TECNICOS'!$B$4:$B$15,0),99)*100000+45,9000000000000+45)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IF(K53=1,IFERROR(MATCH('ORDENES'!$R49,lista_dias,0),9)*1000000000+IFERROR(MATCH('ORDENES'!$AF49,lista_turnos,0),9)*10000000+IFERROR(MATCH('ORDENES'!$AE49,'TECNICOS'!$B$4:$B$15,0),99)*100000+46,9000000000000+46)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IF(K54=1,IFERROR(MATCH('ORDENES'!$R50,lista_dias,0),9)*1000000000+IFERROR(MATCH('ORDENES'!$AF50,lista_turnos,0),9)*10000000+IFERROR(MATCH('ORDENES'!$AE50,'TECNICOS'!$B$4:$B$15,0),99)*100000+47,9000000000000+47)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IF(K55=1,IFERROR(MATCH('ORDENES'!$R51,lista_dias,0),9)*1000000000+IFERROR(MATCH('ORDENES'!$AF51,lista_turnos,0),9)*10000000+IFERROR(MATCH('ORDENES'!$AE51,'TECNICOS'!$B$4:$B$15,0),99)*100000+48,9000000000000+48)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IF(K56=1,IFERROR(MATCH('ORDENES'!$R52,lista_dias,0),9)*1000000000+IFERROR(MATCH('ORDENES'!$AF52,lista_turnos,0),9)*10000000+IFERROR(MATCH('ORDENES'!$AE52,'TECNICOS'!$B$4:$B$15,0),99)*100000+49,9000000000000+49)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IF(K57=1,IFERROR(MATCH('ORDENES'!$R53,lista_dias,0),9)*1000000000+IFERROR(MATCH('ORDENES'!$AF53,lista_turnos,0),9)*10000000+IFERROR(MATCH('ORDENES'!$AE53,'TECNICOS'!$B$4:$B$15,0),99)*100000+50,9000000000000+50)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IF(K58=1,IFERROR(MATCH('ORDENES'!$R54,lista_dias,0),9)*1000000000+IFERROR(MATCH('ORDENES'!$AF54,lista_turnos,0),9)*10000000+IFERROR(MATCH('ORDENES'!$AE54,'TECNICOS'!$B$4:$B$15,0),99)*100000+51,9000000000000+51)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IF(K59=1,IFERROR(MATCH('ORDENES'!$R55,lista_dias,0),9)*1000000000+IFERROR(MATCH('ORDENES'!$AF55,lista_turnos,0),9)*10000000+IFERROR(MATCH('ORDENES'!$AE55,'TECNICOS'!$B$4:$B$15,0),99)*100000+52,9000000000000+52)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IF(K60=1,IFERROR(MATCH('ORDENES'!$R56,lista_dias,0),9)*1000000000+IFERROR(MATCH('ORDENES'!$AF56,lista_turnos,0),9)*10000000+IFERROR(MATCH('ORDENES'!$AE56,'TECNICOS'!$B$4:$B$15,0),99)*100000+53,9000000000000+53)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IF(K61=1,IFERROR(MATCH('ORDENES'!$R57,lista_dias,0),9)*1000000000+IFERROR(MATCH('ORDENES'!$AF57,lista_turnos,0),9)*10000000+IFERROR(MATCH('ORDENES'!$AE57,'TECNICOS'!$B$4:$B$15,0),99)*100000+54,9000000000000+54)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IF(K62=1,IFERROR(MATCH('ORDENES'!$R58,lista_dias,0),9)*1000000000+IFERROR(MATCH('ORDENES'!$AF58,lista_turnos,0),9)*10000000+IFERROR(MATCH('ORDENES'!$AE58,'TECNICOS'!$B$4:$B$15,0),99)*100000+55,9000000000000+55)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IF(K63=1,IFERROR(MATCH('ORDENES'!$R59,lista_dias,0),9)*1000000000+IFERROR(MATCH('ORDENES'!$AF59,lista_turnos,0),9)*10000000+IFERROR(MATCH('ORDENES'!$AE59,'TECNICOS'!$B$4:$B$15,0),99)*100000+56,9000000000000+56)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IF(K64=1,IFERROR(MATCH('ORDENES'!$R60,lista_dias,0),9)*1000000000+IFERROR(MATCH('ORDENES'!$AF60,lista_turnos,0),9)*10000000+IFERROR(MATCH('ORDENES'!$AE60,'TECNICOS'!$B$4:$B$15,0),99)*100000+57,9000000000000+57)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IF(K65=1,IFERROR(MATCH('ORDENES'!$R61,lista_dias,0),9)*1000000000+IFERROR(MATCH('ORDENES'!$AF61,lista_turnos,0),9)*10000000+IFERROR(MATCH('ORDENES'!$AE61,'TECNICOS'!$B$4:$B$15,0),99)*100000+58,9000000000000+58)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IF(K66=1,IFERROR(MATCH('ORDENES'!$R62,lista_dias,0),9)*1000000000+IFERROR(MATCH('ORDENES'!$AF62,lista_turnos,0),9)*10000000+IFERROR(MATCH('ORDENES'!$AE62,'TECNICOS'!$B$4:$B$15,0),99)*100000+59,9000000000000+59)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IF(K67=1,IFERROR(MATCH('ORDENES'!$R63,lista_dias,0),9)*1000000000+IFERROR(MATCH('ORDENES'!$AF63,lista_turnos,0),9)*10000000+IFERROR(MATCH('ORDENES'!$AE63,'TECNICOS'!$B$4:$B$15,0),99)*100000+60,9000000000000+60)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IF(K68=1,IFERROR(MATCH('ORDENES'!$R64,lista_dias,0),9)*1000000000+IFERROR(MATCH('ORDENES'!$AF64,lista_turnos,0),9)*10000000+IFERROR(MATCH('ORDENES'!$AE64,'TECNICOS'!$B$4:$B$15,0),99)*100000+61,9000000000000+61)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IF(K69=1,IFERROR(MATCH('ORDENES'!$R65,lista_dias,0),9)*1000000000+IFERROR(MATCH('ORDENES'!$AF65,lista_turnos,0),9)*10000000+IFERROR(MATCH('ORDENES'!$AE65,'TECNICOS'!$B$4:$B$15,0),99)*100000+62,9000000000000+62)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IF(K70=1,IFERROR(MATCH('ORDENES'!$R66,lista_dias,0),9)*1000000000+IFERROR(MATCH('ORDENES'!$AF66,lista_turnos,0),9)*10000000+IFERROR(MATCH('ORDENES'!$AE66,'TECNICOS'!$B$4:$B$15,0),99)*100000+63,9000000000000+63)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IF(K71=1,IFERROR(MATCH('ORDENES'!$R67,lista_dias,0),9)*1000000000+IFERROR(MATCH('ORDENES'!$AF67,lista_turnos,0),9)*10000000+IFERROR(MATCH('ORDENES'!$AE67,'TECNICOS'!$B$4:$B$15,0),99)*100000+64,9000000000000+64)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IF(K72=1,IFERROR(MATCH('ORDENES'!$R68,lista_dias,0),9)*1000000000+IFERROR(MATCH('ORDENES'!$AF68,lista_turnos,0),9)*10000000+IFERROR(MATCH('ORDENES'!$AE68,'TECNICOS'!$B$4:$B$15,0),99)*100000+65,9000000000000+65)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IF(K73=1,IFERROR(MATCH('ORDENES'!$R69,lista_dias,0),9)*1000000000+IFERROR(MATCH('ORDENES'!$AF69,lista_turnos,0),9)*10000000+IFERROR(MATCH('ORDENES'!$AE69,'TECNICOS'!$B$4:$B$15,0),99)*100000+66,9000000000000+66)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IF(K74=1,IFERROR(MATCH('ORDENES'!$R70,lista_dias,0),9)*1000000000+IFERROR(MATCH('ORDENES'!$AF70,lista_turnos,0),9)*10000000+IFERROR(MATCH('ORDENES'!$AE70,'TECNICOS'!$B$4:$B$15,0),99)*100000+67,9000000000000+67)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IF(K75=1,IFERROR(MATCH('ORDENES'!$R71,lista_dias,0),9)*1000000000+IFERROR(MATCH('ORDENES'!$AF71,lista_turnos,0),9)*10000000+IFERROR(MATCH('ORDENES'!$AE71,'TECNICOS'!$B$4:$B$15,0),99)*100000+68,9000000000000+68)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IF(K76=1,IFERROR(MATCH('ORDENES'!$R72,lista_dias,0),9)*1000000000+IFERROR(MATCH('ORDENES'!$AF72,lista_turnos,0),9)*10000000+IFERROR(MATCH('ORDENES'!$AE72,'TECNICOS'!$B$4:$B$15,0),99)*100000+69,9000000000000+69)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IF(K77=1,IFERROR(MATCH('ORDENES'!$R73,lista_dias,0),9)*1000000000+IFERROR(MATCH('ORDENES'!$AF73,lista_turnos,0),9)*10000000+IFERROR(MATCH('ORDENES'!$AE73,'TECNICOS'!$B$4:$B$15,0),99)*100000+70,9000000000000+70)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IF(K78=1,IFERROR(MATCH('ORDENES'!$R74,lista_dias,0),9)*1000000000+IFERROR(MATCH('ORDENES'!$AF74,lista_turnos,0),9)*10000000+IFERROR(MATCH('ORDENES'!$AE74,'TECNICOS'!$B$4:$B$15,0),99)*100000+71,9000000000000+71)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IF(K79=1,IFERROR(MATCH('ORDENES'!$R75,lista_dias,0),9)*1000000000+IFERROR(MATCH('ORDENES'!$AF75,lista_turnos,0),9)*10000000+IFERROR(MATCH('ORDENES'!$AE75,'TECNICOS'!$B$4:$B$15,0),99)*100000+72,9000000000000+72)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IF(K80=1,IFERROR(MATCH('ORDENES'!$R76,lista_dias,0),9)*1000000000+IFERROR(MATCH('ORDENES'!$AF76,lista_turnos,0),9)*10000000+IFERROR(MATCH('ORDENES'!$AE76,'TECNICOS'!$B$4:$B$15,0),99)*100000+73,9000000000000+73)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IF(K81=1,IFERROR(MATCH('ORDENES'!$R77,lista_dias,0),9)*1000000000+IFERROR(MATCH('ORDENES'!$AF77,lista_turnos,0),9)*10000000+IFERROR(MATCH('ORDENES'!$AE77,'TECNICOS'!$B$4:$B$15,0),99)*100000+74,9000000000000+74)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IF(K82=1,IFERROR(MATCH('ORDENES'!$R78,lista_dias,0),9)*1000000000+IFERROR(MATCH('ORDENES'!$AF78,lista_turnos,0),9)*10000000+IFERROR(MATCH('ORDENES'!$AE78,'TECNICOS'!$B$4:$B$15,0),99)*100000+75,9000000000000+75)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IF(K83=1,IFERROR(MATCH('ORDENES'!$R79,lista_dias,0),9)*1000000000+IFERROR(MATCH('ORDENES'!$AF79,lista_turnos,0),9)*10000000+IFERROR(MATCH('ORDENES'!$AE79,'TECNICOS'!$B$4:$B$15,0),99)*100000+76,9000000000000+76)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IF(K84=1,IFERROR(MATCH('ORDENES'!$R80,lista_dias,0),9)*1000000000+IFERROR(MATCH('ORDENES'!$AF80,lista_turnos,0),9)*10000000+IFERROR(MATCH('ORDENES'!$AE80,'TECNICOS'!$B$4:$B$15,0),99)*100000+77,9000000000000+77)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IF(K85=1,IFERROR(MATCH('ORDENES'!$R81,lista_dias,0),9)*1000000000+IFERROR(MATCH('ORDENES'!$AF81,lista_turnos,0),9)*10000000+IFERROR(MATCH('ORDENES'!$AE81,'TECNICOS'!$B$4:$B$15,0),99)*100000+78,9000000000000+78)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IF(K86=1,IFERROR(MATCH('ORDENES'!$R82,lista_dias,0),9)*1000000000+IFERROR(MATCH('ORDENES'!$AF82,lista_turnos,0),9)*10000000+IFERROR(MATCH('ORDENES'!$AE82,'TECNICOS'!$B$4:$B$15,0),99)*100000+79,9000000000000+79)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IF(K87=1,IFERROR(MATCH('ORDENES'!$R83,lista_dias,0),9)*1000000000+IFERROR(MATCH('ORDENES'!$AF83,lista_turnos,0),9)*10000000+IFERROR(MATCH('ORDENES'!$AE83,'TECNICOS'!$B$4:$B$15,0),99)*100000+80,9000000000000+80)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IF(K88=1,IFERROR(MATCH('ORDENES'!$R84,lista_dias,0),9)*1000000000+IFERROR(MATCH('ORDENES'!$AF84,lista_turnos,0),9)*10000000+IFERROR(MATCH('ORDENES'!$AE84,'TECNICOS'!$B$4:$B$15,0),99)*100000+81,9000000000000+81)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IF(K89=1,IFERROR(MATCH('ORDENES'!$R85,lista_dias,0),9)*1000000000+IFERROR(MATCH('ORDENES'!$AF85,lista_turnos,0),9)*10000000+IFERROR(MATCH('ORDENES'!$AE85,'TECNICOS'!$B$4:$B$15,0),99)*100000+82,9000000000000+82)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IF(K90=1,IFERROR(MATCH('ORDENES'!$R86,lista_dias,0),9)*1000000000+IFERROR(MATCH('ORDENES'!$AF86,lista_turnos,0),9)*10000000+IFERROR(MATCH('ORDENES'!$AE86,'TECNICOS'!$B$4:$B$15,0),99)*100000+83,9000000000000+83)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IF(K91=1,IFERROR(MATCH('ORDENES'!$R87,lista_dias,0),9)*1000000000+IFERROR(MATCH('ORDENES'!$AF87,lista_turnos,0),9)*10000000+IFERROR(MATCH('ORDENES'!$AE87,'TECNICOS'!$B$4:$B$15,0),99)*100000+84,9000000000000+84)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IF(K92=1,IFERROR(MATCH('ORDENES'!$R88,lista_dias,0),9)*1000000000+IFERROR(MATCH('ORDENES'!$AF88,lista_turnos,0),9)*10000000+IFERROR(MATCH('ORDENES'!$AE88,'TECNICOS'!$B$4:$B$15,0),99)*100000+85,9000000000000+85)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IF(K93=1,IFERROR(MATCH('ORDENES'!$R89,lista_dias,0),9)*1000000000+IFERROR(MATCH('ORDENES'!$AF89,lista_turnos,0),9)*10000000+IFERROR(MATCH('ORDENES'!$AE89,'TECNICOS'!$B$4:$B$15,0),99)*100000+86,9000000000000+86)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IF(K94=1,IFERROR(MATCH('ORDENES'!$R90,lista_dias,0),9)*1000000000+IFERROR(MATCH('ORDENES'!$AF90,lista_turnos,0),9)*10000000+IFERROR(MATCH('ORDENES'!$AE90,'TECNICOS'!$B$4:$B$15,0),99)*100000+87,9000000000000+87)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IF(K95=1,IFERROR(MATCH('ORDENES'!$R91,lista_dias,0),9)*1000000000+IFERROR(MATCH('ORDENES'!$AF91,lista_turnos,0),9)*10000000+IFERROR(MATCH('ORDENES'!$AE91,'TECNICOS'!$B$4:$B$15,0),99)*100000+88,9000000000000+88)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IF(K96=1,IFERROR(MATCH('ORDENES'!$R92,lista_dias,0),9)*1000000000+IFERROR(MATCH('ORDENES'!$AF92,lista_turnos,0),9)*10000000+IFERROR(MATCH('ORDENES'!$AE92,'TECNICOS'!$B$4:$B$15,0),99)*100000+89,9000000000000+89)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IF(K97=1,IFERROR(MATCH('ORDENES'!$R93,lista_dias,0),9)*1000000000+IFERROR(MATCH('ORDENES'!$AF93,lista_turnos,0),9)*10000000+IFERROR(MATCH('ORDENES'!$AE93,'TECNICOS'!$B$4:$B$15,0),99)*100000+90,9000000000000+90)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IF(K98=1,IFERROR(MATCH('ORDENES'!$R94,lista_dias,0),9)*1000000000+IFERROR(MATCH('ORDENES'!$AF94,lista_turnos,0),9)*10000000+IFERROR(MATCH('ORDENES'!$AE94,'TECNICOS'!$B$4:$B$15,0),99)*100000+91,9000000000000+91)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IF(K99=1,IFERROR(MATCH('ORDENES'!$R95,lista_dias,0),9)*1000000000+IFERROR(MATCH('ORDENES'!$AF95,lista_turnos,0),9)*10000000+IFERROR(MATCH('ORDENES'!$AE95,'TECNICOS'!$B$4:$B$15,0),99)*100000+92,9000000000000+92)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IF(K100=1,IFERROR(MATCH('ORDENES'!$R96,lista_dias,0),9)*1000000000+IFERROR(MATCH('ORDENES'!$AF96,lista_turnos,0),9)*10000000+IFERROR(MATCH('ORDENES'!$AE96,'TECNICOS'!$B$4:$B$15,0),99)*100000+93,9000000000000+93)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IF(K101=1,IFERROR(MATCH('ORDENES'!$R97,lista_dias,0),9)*1000000000+IFERROR(MATCH('ORDENES'!$AF97,lista_turnos,0),9)*10000000+IFERROR(MATCH('ORDENES'!$AE97,'TECNICOS'!$B$4:$B$15,0),99)*100000+94,9000000000000+94)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IF(K102=1,IFERROR(MATCH('ORDENES'!$R98,lista_dias,0),9)*1000000000+IFERROR(MATCH('ORDENES'!$AF98,lista_turnos,0),9)*10000000+IFERROR(MATCH('ORDENES'!$AE98,'TECNICOS'!$B$4:$B$15,0),99)*100000+95,9000000000000+95)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IF(K103=1,IFERROR(MATCH('ORDENES'!$R99,lista_dias,0),9)*1000000000+IFERROR(MATCH('ORDENES'!$AF99,lista_turnos,0),9)*10000000+IFERROR(MATCH('ORDENES'!$AE99,'TECNICOS'!$B$4:$B$15,0),99)*100000+96,9000000000000+96)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IF(K104=1,IFERROR(MATCH('ORDENES'!$R100,lista_dias,0),9)*1000000000+IFERROR(MATCH('ORDENES'!$AF100,lista_turnos,0),9)*10000000+IFERROR(MATCH('ORDENES'!$AE100,'TECNICOS'!$B$4:$B$15,0),99)*100000+97,9000000000000+97)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IF(K105=1,IFERROR(MATCH('ORDENES'!$R101,lista_dias,0),9)*1000000000+IFERROR(MATCH('ORDENES'!$AF101,lista_turnos,0),9)*10000000+IFERROR(MATCH('ORDENES'!$AE101,'TECNICOS'!$B$4:$B$15,0),99)*100000+98,9000000000000+98)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IF(K106=1,IFERROR(MATCH('ORDENES'!$R102,lista_dias,0),9)*1000000000+IFERROR(MATCH('ORDENES'!$AF102,lista_turnos,0),9)*10000000+IFERROR(MATCH('ORDENES'!$AE102,'TECNICOS'!$B$4:$B$15,0),99)*100000+99,9000000000000+99)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IF(K107=1,IFERROR(MATCH('ORDENES'!$R103,lista_dias,0),9)*1000000000+IFERROR(MATCH('ORDENES'!$AF103,lista_turnos,0),9)*10000000+IFERROR(MATCH('ORDENES'!$AE103,'TECNICOS'!$B$4:$B$15,0),99)*100000+100,9000000000000+100)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IF(K108=1,IFERROR(MATCH('ORDENES'!$R104,lista_dias,0),9)*1000000000+IFERROR(MATCH('ORDENES'!$AF104,lista_turnos,0),9)*10000000+IFERROR(MATCH('ORDENES'!$AE104,'TECNICOS'!$B$4:$B$15,0),99)*100000+101,9000000000000+101)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IF(K109=1,IFERROR(MATCH('ORDENES'!$R105,lista_dias,0),9)*1000000000+IFERROR(MATCH('ORDENES'!$AF105,lista_turnos,0),9)*10000000+IFERROR(MATCH('ORDENES'!$AE105,'TECNICOS'!$B$4:$B$15,0),99)*100000+102,9000000000000+102)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IF(K110=1,IFERROR(MATCH('ORDENES'!$R106,lista_dias,0),9)*1000000000+IFERROR(MATCH('ORDENES'!$AF106,lista_turnos,0),9)*10000000+IFERROR(MATCH('ORDENES'!$AE106,'TECNICOS'!$B$4:$B$15,0),99)*100000+103,9000000000000+103)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IF(K111=1,IFERROR(MATCH('ORDENES'!$R107,lista_dias,0),9)*1000000000+IFERROR(MATCH('ORDENES'!$AF107,lista_turnos,0),9)*10000000+IFERROR(MATCH('ORDENES'!$AE107,'TECNICOS'!$B$4:$B$15,0),99)*100000+104,9000000000000+104)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IF(K112=1,IFERROR(MATCH('ORDENES'!$R108,lista_dias,0),9)*1000000000+IFERROR(MATCH('ORDENES'!$AF108,lista_turnos,0),9)*10000000+IFERROR(MATCH('ORDENES'!$AE108,'TECNICOS'!$B$4:$B$15,0),99)*100000+105,9000000000000+105)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IF(K113=1,IFERROR(MATCH('ORDENES'!$R109,lista_dias,0),9)*1000000000+IFERROR(MATCH('ORDENES'!$AF109,lista_turnos,0),9)*10000000+IFERROR(MATCH('ORDENES'!$AE109,'TECNICOS'!$B$4:$B$15,0),99)*100000+106,9000000000000+106)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IF(K114=1,IFERROR(MATCH('ORDENES'!$R110,lista_dias,0),9)*1000000000+IFERROR(MATCH('ORDENES'!$AF110,lista_turnos,0),9)*10000000+IFERROR(MATCH('ORDENES'!$AE110,'TECNICOS'!$B$4:$B$15,0),99)*100000+107,9000000000000+107)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IF(K115=1,IFERROR(MATCH('ORDENES'!$R111,lista_dias,0),9)*1000000000+IFERROR(MATCH('ORDENES'!$AF111,lista_turnos,0),9)*10000000+IFERROR(MATCH('ORDENES'!$AE111,'TECNICOS'!$B$4:$B$15,0),99)*100000+108,9000000000000+108)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IF(K116=1,IFERROR(MATCH('ORDENES'!$R112,lista_dias,0),9)*1000000000+IFERROR(MATCH('ORDENES'!$AF112,lista_turnos,0),9)*10000000+IFERROR(MATCH('ORDENES'!$AE112,'TECNICOS'!$B$4:$B$15,0),99)*100000+109,9000000000000+109)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IF(K117=1,IFERROR(MATCH('ORDENES'!$R113,lista_dias,0),9)*1000000000+IFERROR(MATCH('ORDENES'!$AF113,lista_turnos,0),9)*10000000+IFERROR(MATCH('ORDENES'!$AE113,'TECNICOS'!$B$4:$B$15,0),99)*100000+110,9000000000000+110)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IF(K118=1,IFERROR(MATCH('ORDENES'!$R114,lista_dias,0),9)*1000000000+IFERROR(MATCH('ORDENES'!$AF114,lista_turnos,0),9)*10000000+IFERROR(MATCH('ORDENES'!$AE114,'TECNICOS'!$B$4:$B$15,0),99)*100000+111,9000000000000+111)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IF(K119=1,IFERROR(MATCH('ORDENES'!$R115,lista_dias,0),9)*1000000000+IFERROR(MATCH('ORDENES'!$AF115,lista_turnos,0),9)*10000000+IFERROR(MATCH('ORDENES'!$AE115,'TECNICOS'!$B$4:$B$15,0),99)*100000+112,9000000000000+112)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IF(K120=1,IFERROR(MATCH('ORDENES'!$R116,lista_dias,0),9)*1000000000+IFERROR(MATCH('ORDENES'!$AF116,lista_turnos,0),9)*10000000+IFERROR(MATCH('ORDENES'!$AE116,'TECNICOS'!$B$4:$B$15,0),99)*100000+113,9000000000000+113)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IF(K121=1,IFERROR(MATCH('ORDENES'!$R117,lista_dias,0),9)*1000000000+IFERROR(MATCH('ORDENES'!$AF117,lista_turnos,0),9)*10000000+IFERROR(MATCH('ORDENES'!$AE117,'TECNICOS'!$B$4:$B$15,0),99)*100000+114,9000000000000+114)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IF(K122=1,IFERROR(MATCH('ORDENES'!$R118,lista_dias,0),9)*1000000000+IFERROR(MATCH('ORDENES'!$AF118,lista_turnos,0),9)*10000000+IFERROR(MATCH('ORDENES'!$AE118,'TECNICOS'!$B$4:$B$15,0),99)*100000+115,9000000000000+115)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IF(K123=1,IFERROR(MATCH('ORDENES'!$R119,lista_dias,0),9)*1000000000+IFERROR(MATCH('ORDENES'!$AF119,lista_turnos,0),9)*10000000+IFERROR(MATCH('ORDENES'!$AE119,'TECNICOS'!$B$4:$B$15,0),99)*100000+116,9000000000000+116)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IF(K124=1,IFERROR(MATCH('ORDENES'!$R120,lista_dias,0),9)*1000000000+IFERROR(MATCH('ORDENES'!$AF120,lista_turnos,0),9)*10000000+IFERROR(MATCH('ORDENES'!$AE120,'TECNICOS'!$B$4:$B$15,0),99)*100000+117,9000000000000+117)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IF(K125=1,IFERROR(MATCH('ORDENES'!$R121,lista_dias,0),9)*1000000000+IFERROR(MATCH('ORDENES'!$AF121,lista_turnos,0),9)*10000000+IFERROR(MATCH('ORDENES'!$AE121,'TECNICOS'!$B$4:$B$15,0),99)*100000+118,9000000000000+118)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IF(K126=1,IFERROR(MATCH('ORDENES'!$R122,lista_dias,0),9)*1000000000+IFERROR(MATCH('ORDENES'!$AF122,lista_turnos,0),9)*10000000+IFERROR(MATCH('ORDENES'!$AE122,'TECNICOS'!$B$4:$B$15,0),99)*100000+119,9000000000000+119)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IF(K127=1,IFERROR(MATCH('ORDENES'!$R123,lista_dias,0),9)*1000000000+IFERROR(MATCH('ORDENES'!$AF123,lista_turnos,0),9)*10000000+IFERROR(MATCH('ORDENES'!$AE123,'TECNICOS'!$B$4:$B$15,0),99)*100000+120,9000000000000+120)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IF(K128=1,IFERROR(MATCH('ORDENES'!$R124,lista_dias,0),9)*1000000000+IFERROR(MATCH('ORDENES'!$AF124,lista_turnos,0),9)*10000000+IFERROR(MATCH('ORDENES'!$AE124,'TECNICOS'!$B$4:$B$15,0),99)*100000+121,9000000000000+121)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IF(K129=1,IFERROR(MATCH('ORDENES'!$R125,lista_dias,0),9)*1000000000+IFERROR(MATCH('ORDENES'!$AF125,lista_turnos,0),9)*10000000+IFERROR(MATCH('ORDENES'!$AE125,'TECNICOS'!$B$4:$B$15,0),99)*100000+122,9000000000000+122)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IF(K130=1,IFERROR(MATCH('ORDENES'!$R126,lista_dias,0),9)*1000000000+IFERROR(MATCH('ORDENES'!$AF126,lista_turnos,0),9)*10000000+IFERROR(MATCH('ORDENES'!$AE126,'TECNICOS'!$B$4:$B$15,0),99)*100000+123,9000000000000+123)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IF(K131=1,IFERROR(MATCH('ORDENES'!$R127,lista_dias,0),9)*1000000000+IFERROR(MATCH('ORDENES'!$AF127,lista_turnos,0),9)*10000000+IFERROR(MATCH('ORDENES'!$AE127,'TECNICOS'!$B$4:$B$15,0),99)*100000+124,9000000000000+124)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IF(K132=1,IFERROR(MATCH('ORDENES'!$R128,lista_dias,0),9)*1000000000+IFERROR(MATCH('ORDENES'!$AF128,lista_turnos,0),9)*10000000+IFERROR(MATCH('ORDENES'!$AE128,'TECNICOS'!$B$4:$B$15,0),99)*100000+125,9000000000000+125)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IF(K133=1,IFERROR(MATCH('ORDENES'!$R129,lista_dias,0),9)*1000000000+IFERROR(MATCH('ORDENES'!$AF129,lista_turnos,0),9)*10000000+IFERROR(MATCH('ORDENES'!$AE129,'TECNICOS'!$B$4:$B$15,0),99)*100000+126,9000000000000+126)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IF(K134=1,IFERROR(MATCH('ORDENES'!$R130,lista_dias,0),9)*1000000000+IFERROR(MATCH('ORDENES'!$AF130,lista_turnos,0),9)*10000000+IFERROR(MATCH('ORDENES'!$AE130,'TECNICOS'!$B$4:$B$15,0),99)*100000+127,9000000000000+127)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IF(K135=1,IFERROR(MATCH('ORDENES'!$R131,lista_dias,0),9)*1000000000+IFERROR(MATCH('ORDENES'!$AF131,lista_turnos,0),9)*10000000+IFERROR(MATCH('ORDENES'!$AE131,'TECNICOS'!$B$4:$B$15,0),99)*100000+128,9000000000000+128)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IF(K136=1,IFERROR(MATCH('ORDENES'!$R132,lista_dias,0),9)*1000000000+IFERROR(MATCH('ORDENES'!$AF132,lista_turnos,0),9)*10000000+IFERROR(MATCH('ORDENES'!$AE132,'TECNICOS'!$B$4:$B$15,0),99)*100000+129,9000000000000+129)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IF(K137=1,IFERROR(MATCH('ORDENES'!$R133,lista_dias,0),9)*1000000000+IFERROR(MATCH('ORDENES'!$AF133,lista_turnos,0),9)*10000000+IFERROR(MATCH('ORDENES'!$AE133,'TECNICOS'!$B$4:$B$15,0),99)*100000+130,9000000000000+130)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IF(K138=1,IFERROR(MATCH('ORDENES'!$R134,lista_dias,0),9)*1000000000+IFERROR(MATCH('ORDENES'!$AF134,lista_turnos,0),9)*10000000+IFERROR(MATCH('ORDENES'!$AE134,'TECNICOS'!$B$4:$B$15,0),99)*100000+131,9000000000000+131)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IF(K139=1,IFERROR(MATCH('ORDENES'!$R135,lista_dias,0),9)*1000000000+IFERROR(MATCH('ORDENES'!$AF135,lista_turnos,0),9)*10000000+IFERROR(MATCH('ORDENES'!$AE135,'TECNICOS'!$B$4:$B$15,0),99)*100000+132,9000000000000+132)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IF(K140=1,IFERROR(MATCH('ORDENES'!$R136,lista_dias,0),9)*1000000000+IFERROR(MATCH('ORDENES'!$AF136,lista_turnos,0),9)*10000000+IFERROR(MATCH('ORDENES'!$AE136,'TECNICOS'!$B$4:$B$15,0),99)*100000+133,9000000000000+133)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IF(K141=1,IFERROR(MATCH('ORDENES'!$R137,lista_dias,0),9)*1000000000+IFERROR(MATCH('ORDENES'!$AF137,lista_turnos,0),9)*10000000+IFERROR(MATCH('ORDENES'!$AE137,'TECNICOS'!$B$4:$B$15,0),99)*100000+134,9000000000000+134)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IF(K142=1,IFERROR(MATCH('ORDENES'!$R138,lista_dias,0),9)*1000000000+IFERROR(MATCH('ORDENES'!$AF138,lista_turnos,0),9)*10000000+IFERROR(MATCH('ORDENES'!$AE138,'TECNICOS'!$B$4:$B$15,0),99)*100000+135,9000000000000+135)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IF(K143=1,IFERROR(MATCH('ORDENES'!$R139,lista_dias,0),9)*1000000000+IFERROR(MATCH('ORDENES'!$AF139,lista_turnos,0),9)*10000000+IFERROR(MATCH('ORDENES'!$AE139,'TECNICOS'!$B$4:$B$15,0),99)*100000+136,9000000000000+136)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IF(K144=1,IFERROR(MATCH('ORDENES'!$R140,lista_dias,0),9)*1000000000+IFERROR(MATCH('ORDENES'!$AF140,lista_turnos,0),9)*10000000+IFERROR(MATCH('ORDENES'!$AE140,'TECNICOS'!$B$4:$B$15,0),99)*100000+137,9000000000000+137)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IF(K145=1,IFERROR(MATCH('ORDENES'!$R141,lista_dias,0),9)*1000000000+IFERROR(MATCH('ORDENES'!$AF141,lista_turnos,0),9)*10000000+IFERROR(MATCH('ORDENES'!$AE141,'TECNICOS'!$B$4:$B$15,0),99)*100000+138,9000000000000+138)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IF(K146=1,IFERROR(MATCH('ORDENES'!$R142,lista_dias,0),9)*1000000000+IFERROR(MATCH('ORDENES'!$AF142,lista_turnos,0),9)*10000000+IFERROR(MATCH('ORDENES'!$AE142,'TECNICOS'!$B$4:$B$15,0),99)*100000+139,9000000000000+139)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IF(K147=1,IFERROR(MATCH('ORDENES'!$R143,lista_dias,0),9)*1000000000+IFERROR(MATCH('ORDENES'!$AF143,lista_turnos,0),9)*10000000+IFERROR(MATCH('ORDENES'!$AE143,'TECNICOS'!$B$4:$B$15,0),99)*100000+140,9000000000000+140)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IF(K148=1,IFERROR(MATCH('ORDENES'!$R144,lista_dias,0),9)*1000000000+IFERROR(MATCH('ORDENES'!$AF144,lista_turnos,0),9)*10000000+IFERROR(MATCH('ORDENES'!$AE144,'TECNICOS'!$B$4:$B$15,0),99)*100000+141,9000000000000+141)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IF(K149=1,IFERROR(MATCH('ORDENES'!$R145,lista_dias,0),9)*1000000000+IFERROR(MATCH('ORDENES'!$AF145,lista_turnos,0),9)*10000000+IFERROR(MATCH('ORDENES'!$AE145,'TECNICOS'!$B$4:$B$15,0),99)*100000+142,9000000000000+142)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IF(K150=1,IFERROR(MATCH('ORDENES'!$R146,lista_dias,0),9)*1000000000+IFERROR(MATCH('ORDENES'!$AF146,lista_turnos,0),9)*10000000+IFERROR(MATCH('ORDENES'!$AE146,'TECNICOS'!$B$4:$B$15,0),99)*100000+143,9000000000000+143)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IF(K151=1,IFERROR(MATCH('ORDENES'!$R147,lista_dias,0),9)*1000000000+IFERROR(MATCH('ORDENES'!$AF147,lista_turnos,0),9)*10000000+IFERROR(MATCH('ORDENES'!$AE147,'TECNICOS'!$B$4:$B$15,0),99)*100000+144,9000000000000+144)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IF(K152=1,IFERROR(MATCH('ORDENES'!$R148,lista_dias,0),9)*1000000000+IFERROR(MATCH('ORDENES'!$AF148,lista_turnos,0),9)*10000000+IFERROR(MATCH('ORDENES'!$AE148,'TECNICOS'!$B$4:$B$15,0),99)*100000+145,9000000000000+145)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IF(K153=1,IFERROR(MATCH('ORDENES'!$R149,lista_dias,0),9)*1000000000+IFERROR(MATCH('ORDENES'!$AF149,lista_turnos,0),9)*10000000+IFERROR(MATCH('ORDENES'!$AE149,'TECNICOS'!$B$4:$B$15,0),99)*100000+146,9000000000000+146)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IF(K154=1,IFERROR(MATCH('ORDENES'!$R150,lista_dias,0),9)*1000000000+IFERROR(MATCH('ORDENES'!$AF150,lista_turnos,0),9)*10000000+IFERROR(MATCH('ORDENES'!$AE150,'TECNICOS'!$B$4:$B$15,0),99)*100000+147,9000000000000+147)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IF(K155=1,IFERROR(MATCH('ORDENES'!$R151,lista_dias,0),9)*1000000000+IFERROR(MATCH('ORDENES'!$AF151,lista_turnos,0),9)*10000000+IFERROR(MATCH('ORDENES'!$AE151,'TECNICOS'!$B$4:$B$15,0),99)*100000+148,9000000000000+148)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IF(K156=1,IFERROR(MATCH('ORDENES'!$R152,lista_dias,0),9)*1000000000+IFERROR(MATCH('ORDENES'!$AF152,lista_turnos,0),9)*10000000+IFERROR(MATCH('ORDENES'!$AE152,'TECNICOS'!$B$4:$B$15,0),99)*100000+149,9000000000000+149)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IF(K157=1,IFERROR(MATCH('ORDENES'!$R153,lista_dias,0),9)*1000000000+IFERROR(MATCH('ORDENES'!$AF153,lista_turnos,0),9)*10000000+IFERROR(MATCH('ORDENES'!$AE153,'TECNICOS'!$B$4:$B$15,0),99)*100000+150,9000000000000+150)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IF(K158=1,IFERROR(MATCH('ORDENES'!$R154,lista_dias,0),9)*1000000000+IFERROR(MATCH('ORDENES'!$AF154,lista_turnos,0),9)*10000000+IFERROR(MATCH('ORDENES'!$AE154,'TECNICOS'!$B$4:$B$15,0),99)*100000+151,9000000000000+151)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IF(K159=1,IFERROR(MATCH('ORDENES'!$R155,lista_dias,0),9)*1000000000+IFERROR(MATCH('ORDENES'!$AF155,lista_turnos,0),9)*10000000+IFERROR(MATCH('ORDENES'!$AE155,'TECNICOS'!$B$4:$B$15,0),99)*100000+152,9000000000000+152)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IF(K160=1,IFERROR(MATCH('ORDENES'!$R156,lista_dias,0),9)*1000000000+IFERROR(MATCH('ORDENES'!$AF156,lista_turnos,0),9)*10000000+IFERROR(MATCH('ORDENES'!$AE156,'TECNICOS'!$B$4:$B$15,0),99)*100000+153,9000000000000+153)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IF(K161=1,IFERROR(MATCH('ORDENES'!$R157,lista_dias,0),9)*1000000000+IFERROR(MATCH('ORDENES'!$AF157,lista_turnos,0),9)*10000000+IFERROR(MATCH('ORDENES'!$AE157,'TECNICOS'!$B$4:$B$15,0),99)*100000+154,9000000000000+154)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IF(K162=1,IFERROR(MATCH('ORDENES'!$R158,lista_dias,0),9)*1000000000+IFERROR(MATCH('ORDENES'!$AF158,lista_turnos,0),9)*10000000+IFERROR(MATCH('ORDENES'!$AE158,'TECNICOS'!$B$4:$B$15,0),99)*100000+155,9000000000000+155)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IF(K163=1,IFERROR(MATCH('ORDENES'!$R159,lista_dias,0),9)*1000000000+IFERROR(MATCH('ORDENES'!$AF159,lista_turnos,0),9)*10000000+IFERROR(MATCH('ORDENES'!$AE159,'TECNICOS'!$B$4:$B$15,0),99)*100000+156,9000000000000+156)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IF(K164=1,IFERROR(MATCH('ORDENES'!$R160,lista_dias,0),9)*1000000000+IFERROR(MATCH('ORDENES'!$AF160,lista_turnos,0),9)*10000000+IFERROR(MATCH('ORDENES'!$AE160,'TECNICOS'!$B$4:$B$15,0),99)*100000+157,9000000000000+157)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IF(K165=1,IFERROR(MATCH('ORDENES'!$R161,lista_dias,0),9)*1000000000+IFERROR(MATCH('ORDENES'!$AF161,lista_turnos,0),9)*10000000+IFERROR(MATCH('ORDENES'!$AE161,'TECNICOS'!$B$4:$B$15,0),99)*100000+158,9000000000000+158)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IF(K166=1,IFERROR(MATCH('ORDENES'!$R162,lista_dias,0),9)*1000000000+IFERROR(MATCH('ORDENES'!$AF162,lista_turnos,0),9)*10000000+IFERROR(MATCH('ORDENES'!$AE162,'TECNICOS'!$B$4:$B$15,0),99)*100000+159,9000000000000+159)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IF(K167=1,IFERROR(MATCH('ORDENES'!$R163,lista_dias,0),9)*1000000000+IFERROR(MATCH('ORDENES'!$AF163,lista_turnos,0),9)*10000000+IFERROR(MATCH('ORDENES'!$AE163,'TECNICOS'!$B$4:$B$15,0),99)*100000+160,9000000000000+160)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IF(K168=1,IFERROR(MATCH('ORDENES'!$R164,lista_dias,0),9)*1000000000+IFERROR(MATCH('ORDENES'!$AF164,lista_turnos,0),9)*10000000+IFERROR(MATCH('ORDENES'!$AE164,'TECNICOS'!$B$4:$B$15,0),99)*100000+161,9000000000000+161)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IF(K169=1,IFERROR(MATCH('ORDENES'!$R165,lista_dias,0),9)*1000000000+IFERROR(MATCH('ORDENES'!$AF165,lista_turnos,0),9)*10000000+IFERROR(MATCH('ORDENES'!$AE165,'TECNICOS'!$B$4:$B$15,0),99)*100000+162,9000000000000+162)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IF(K170=1,IFERROR(MATCH('ORDENES'!$R166,lista_dias,0),9)*1000000000+IFERROR(MATCH('ORDENES'!$AF166,lista_turnos,0),9)*10000000+IFERROR(MATCH('ORDENES'!$AE166,'TECNICOS'!$B$4:$B$15,0),99)*100000+163,9000000000000+163)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IF(K171=1,IFERROR(MATCH('ORDENES'!$R167,lista_dias,0),9)*1000000000+IFERROR(MATCH('ORDENES'!$AF167,lista_turnos,0),9)*10000000+IFERROR(MATCH('ORDENES'!$AE167,'TECNICOS'!$B$4:$B$15,0),99)*100000+164,9000000000000+164)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IF(K172=1,IFERROR(MATCH('ORDENES'!$R168,lista_dias,0),9)*1000000000+IFERROR(MATCH('ORDENES'!$AF168,lista_turnos,0),9)*10000000+IFERROR(MATCH('ORDENES'!$AE168,'TECNICOS'!$B$4:$B$15,0),99)*100000+165,9000000000000+165)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IF(K173=1,IFERROR(MATCH('ORDENES'!$R169,lista_dias,0),9)*1000000000+IFERROR(MATCH('ORDENES'!$AF169,lista_turnos,0),9)*10000000+IFERROR(MATCH('ORDENES'!$AE169,'TECNICOS'!$B$4:$B$15,0),99)*100000+166,9000000000000+166)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IF(K174=1,IFERROR(MATCH('ORDENES'!$R170,lista_dias,0),9)*1000000000+IFERROR(MATCH('ORDENES'!$AF170,lista_turnos,0),9)*10000000+IFERROR(MATCH('ORDENES'!$AE170,'TECNICOS'!$B$4:$B$15,0),99)*100000+167,9000000000000+167)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IF(K175=1,IFERROR(MATCH('ORDENES'!$R171,lista_dias,0),9)*1000000000+IFERROR(MATCH('ORDENES'!$AF171,lista_turnos,0),9)*10000000+IFERROR(MATCH('ORDENES'!$AE171,'TECNICOS'!$B$4:$B$15,0),99)*100000+168,9000000000000+168)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IF(K176=1,IFERROR(MATCH('ORDENES'!$R172,lista_dias,0),9)*1000000000+IFERROR(MATCH('ORDENES'!$AF172,lista_turnos,0),9)*10000000+IFERROR(MATCH('ORDENES'!$AE172,'TECNICOS'!$B$4:$B$15,0),99)*100000+169,9000000000000+169)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IF(K177=1,IFERROR(MATCH('ORDENES'!$R173,lista_dias,0),9)*1000000000+IFERROR(MATCH('ORDENES'!$AF173,lista_turnos,0),9)*10000000+IFERROR(MATCH('ORDENES'!$AE173,'TECNICOS'!$B$4:$B$15,0),99)*100000+170,9000000000000+170)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IF(K178=1,IFERROR(MATCH('ORDENES'!$R174,lista_dias,0),9)*1000000000+IFERROR(MATCH('ORDENES'!$AF174,lista_turnos,0),9)*10000000+IFERROR(MATCH('ORDENES'!$AE174,'TECNICOS'!$B$4:$B$15,0),99)*100000+171,9000000000000+171)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IF(K179=1,IFERROR(MATCH('ORDENES'!$R175,lista_dias,0),9)*1000000000+IFERROR(MATCH('ORDENES'!$AF175,lista_turnos,0),9)*10000000+IFERROR(MATCH('ORDENES'!$AE175,'TECNICOS'!$B$4:$B$15,0),99)*100000+172,9000000000000+172)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IF(K180=1,IFERROR(MATCH('ORDENES'!$R176,lista_dias,0),9)*1000000000+IFERROR(MATCH('ORDENES'!$AF176,lista_turnos,0),9)*10000000+IFERROR(MATCH('ORDENES'!$AE176,'TECNICOS'!$B$4:$B$15,0),99)*100000+173,9000000000000+173)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IF(K181=1,IFERROR(MATCH('ORDENES'!$R177,lista_dias,0),9)*1000000000+IFERROR(MATCH('ORDENES'!$AF177,lista_turnos,0),9)*10000000+IFERROR(MATCH('ORDENES'!$AE177,'TECNICOS'!$B$4:$B$15,0),99)*100000+174,9000000000000+174)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IF(K182=1,IFERROR(MATCH('ORDENES'!$R178,lista_dias,0),9)*1000000000+IFERROR(MATCH('ORDENES'!$AF178,lista_turnos,0),9)*10000000+IFERROR(MATCH('ORDENES'!$AE178,'TECNICOS'!$B$4:$B$15,0),99)*100000+175,9000000000000+175)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IF(K183=1,IFERROR(MATCH('ORDENES'!$R179,lista_dias,0),9)*1000000000+IFERROR(MATCH('ORDENES'!$AF179,lista_turnos,0),9)*10000000+IFERROR(MATCH('ORDENES'!$AE179,'TECNICOS'!$B$4:$B$15,0),99)*100000+176,9000000000000+176)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IF(K184=1,IFERROR(MATCH('ORDENES'!$R180,lista_dias,0),9)*1000000000+IFERROR(MATCH('ORDENES'!$AF180,lista_turnos,0),9)*10000000+IFERROR(MATCH('ORDENES'!$AE180,'TECNICOS'!$B$4:$B$15,0),99)*100000+177,9000000000000+177)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IF(K185=1,IFERROR(MATCH('ORDENES'!$R181,lista_dias,0),9)*1000000000+IFERROR(MATCH('ORDENES'!$AF181,lista_turnos,0),9)*10000000+IFERROR(MATCH('ORDENES'!$AE181,'TECNICOS'!$B$4:$B$15,0),99)*100000+178,9000000000000+178)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IF(K186=1,IFERROR(MATCH('ORDENES'!$R182,lista_dias,0),9)*1000000000+IFERROR(MATCH('ORDENES'!$AF182,lista_turnos,0),9)*10000000+IFERROR(MATCH('ORDENES'!$AE182,'TECNICOS'!$B$4:$B$15,0),99)*100000+179,9000000000000+179)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IF(K187=1,IFERROR(MATCH('ORDENES'!$R183,lista_dias,0),9)*1000000000+IFERROR(MATCH('ORDENES'!$AF183,lista_turnos,0),9)*10000000+IFERROR(MATCH('ORDENES'!$AE183,'TECNICOS'!$B$4:$B$15,0),99)*100000+180,9000000000000+180)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IF(K188=1,IFERROR(MATCH('ORDENES'!$R184,lista_dias,0),9)*1000000000+IFERROR(MATCH('ORDENES'!$AF184,lista_turnos,0),9)*10000000+IFERROR(MATCH('ORDENES'!$AE184,'TECNICOS'!$B$4:$B$15,0),99)*100000+181,9000000000000+181)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IF(K189=1,IFERROR(MATCH('ORDENES'!$R185,lista_dias,0),9)*1000000000+IFERROR(MATCH('ORDENES'!$AF185,lista_turnos,0),9)*10000000+IFERROR(MATCH('ORDENES'!$AE185,'TECNICOS'!$B$4:$B$15,0),99)*100000+182,9000000000000+182)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IF(K190=1,IFERROR(MATCH('ORDENES'!$R186,lista_dias,0),9)*1000000000+IFERROR(MATCH('ORDENES'!$AF186,lista_turnos,0),9)*10000000+IFERROR(MATCH('ORDENES'!$AE186,'TECNICOS'!$B$4:$B$15,0),99)*100000+183,9000000000000+183)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IF(K191=1,IFERROR(MATCH('ORDENES'!$R187,lista_dias,0),9)*1000000000+IFERROR(MATCH('ORDENES'!$AF187,lista_turnos,0),9)*10000000+IFERROR(MATCH('ORDENES'!$AE187,'TECNICOS'!$B$4:$B$15,0),99)*100000+184,9000000000000+184)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IF(K192=1,IFERROR(MATCH('ORDENES'!$R188,lista_dias,0),9)*1000000000+IFERROR(MATCH('ORDENES'!$AF188,lista_turnos,0),9)*10000000+IFERROR(MATCH('ORDENES'!$AE188,'TECNICOS'!$B$4:$B$15,0),99)*100000+185,9000000000000+185)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IF(K193=1,IFERROR(MATCH('ORDENES'!$R189,lista_dias,0),9)*1000000000+IFERROR(MATCH('ORDENES'!$AF189,lista_turnos,0),9)*10000000+IFERROR(MATCH('ORDENES'!$AE189,'TECNICOS'!$B$4:$B$15,0),99)*100000+186,9000000000000+186)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IF(K194=1,IFERROR(MATCH('ORDENES'!$R190,lista_dias,0),9)*1000000000+IFERROR(MATCH('ORDENES'!$AF190,lista_turnos,0),9)*10000000+IFERROR(MATCH('ORDENES'!$AE190,'TECNICOS'!$B$4:$B$15,0),99)*100000+187,9000000000000+187)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IF(K195=1,IFERROR(MATCH('ORDENES'!$R191,lista_dias,0),9)*1000000000+IFERROR(MATCH('ORDENES'!$AF191,lista_turnos,0),9)*10000000+IFERROR(MATCH('ORDENES'!$AE191,'TECNICOS'!$B$4:$B$15,0),99)*100000+188,9000000000000+188)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IF(K196=1,IFERROR(MATCH('ORDENES'!$R192,lista_dias,0),9)*1000000000+IFERROR(MATCH('ORDENES'!$AF192,lista_turnos,0),9)*10000000+IFERROR(MATCH('ORDENES'!$AE192,'TECNICOS'!$B$4:$B$15,0),99)*100000+189,9000000000000+189)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IF(K197=1,IFERROR(MATCH('ORDENES'!$R193,lista_dias,0),9)*1000000000+IFERROR(MATCH('ORDENES'!$AF193,lista_turnos,0),9)*10000000+IFERROR(MATCH('ORDENES'!$AE193,'TECNICOS'!$B$4:$B$15,0),99)*100000+190,9000000000000+190)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IF(K198=1,IFERROR(MATCH('ORDENES'!$R194,lista_dias,0),9)*1000000000+IFERROR(MATCH('ORDENES'!$AF194,lista_turnos,0),9)*10000000+IFERROR(MATCH('ORDENES'!$AE194,'TECNICOS'!$B$4:$B$15,0),99)*100000+191,9000000000000+191)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IF(K199=1,IFERROR(MATCH('ORDENES'!$R195,lista_dias,0),9)*1000000000+IFERROR(MATCH('ORDENES'!$AF195,lista_turnos,0),9)*10000000+IFERROR(MATCH('ORDENES'!$AE195,'TECNICOS'!$B$4:$B$15,0),99)*100000+192,9000000000000+192)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IF(K200=1,IFERROR(MATCH('ORDENES'!$R196,lista_dias,0),9)*1000000000+IFERROR(MATCH('ORDENES'!$AF196,lista_turnos,0),9)*10000000+IFERROR(MATCH('ORDENES'!$AE196,'TECNICOS'!$B$4:$B$15,0),99)*100000+193,9000000000000+193)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IF(K201=1,IFERROR(MATCH('ORDENES'!$R197,lista_dias,0),9)*1000000000+IFERROR(MATCH('ORDENES'!$AF197,lista_turnos,0),9)*10000000+IFERROR(MATCH('ORDENES'!$AE197,'TECNICOS'!$B$4:$B$15,0),99)*100000+194,9000000000000+194)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IF(K202=1,IFERROR(MATCH('ORDENES'!$R198,lista_dias,0),9)*1000000000+IFERROR(MATCH('ORDENES'!$AF198,lista_turnos,0),9)*10000000+IFERROR(MATCH('ORDENES'!$AE198,'TECNICOS'!$B$4:$B$15,0),99)*100000+195,9000000000000+195)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IF(K203=1,IFERROR(MATCH('ORDENES'!$R199,lista_dias,0),9)*1000000000+IFERROR(MATCH('ORDENES'!$AF199,lista_turnos,0),9)*10000000+IFERROR(MATCH('ORDENES'!$AE199,'TECNICOS'!$B$4:$B$15,0),99)*100000+196,9000000000000+196)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IF(K204=1,IFERROR(MATCH('ORDENES'!$R200,lista_dias,0),9)*1000000000+IFERROR(MATCH('ORDENES'!$AF200,lista_turnos,0),9)*10000000+IFERROR(MATCH('ORDENES'!$AE200,'TECNICOS'!$B$4:$B$15,0),99)*100000+197,9000000000000+197)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IF(K205=1,IFERROR(MATCH('ORDENES'!$R201,lista_dias,0),9)*1000000000+IFERROR(MATCH('ORDENES'!$AF201,lista_turnos,0),9)*10000000+IFERROR(MATCH('ORDENES'!$AE201,'TECNICOS'!$B$4:$B$15,0),99)*100000+198,9000000000000+198)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IF(K206=1,IFERROR(MATCH('ORDENES'!$R202,lista_dias,0),9)*1000000000+IFERROR(MATCH('ORDENES'!$AF202,lista_turnos,0),9)*10000000+IFERROR(MATCH('ORDENES'!$AE202,'TECNICOS'!$B$4:$B$15,0),99)*100000+199,9000000000000+199)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IF(K207=1,IFERROR(MATCH('ORDENES'!$R203,lista_dias,0),9)*1000000000+IFERROR(MATCH('ORDENES'!$AF203,lista_turnos,0),9)*10000000+IFERROR(MATCH('ORDENES'!$AE203,'TECNICOS'!$B$4:$B$15,0),99)*100000+200,9000000000000+200)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IF(K208=1,IFERROR(MATCH('ORDENES'!$R204,lista_dias,0),9)*1000000000+IFERROR(MATCH('ORDENES'!$AF204,lista_turnos,0),9)*10000000+IFERROR(MATCH('ORDENES'!$AE204,'TECNICOS'!$B$4:$B$15,0),99)*100000+201,9000000000000+201)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IF(K209=1,IFERROR(MATCH('ORDENES'!$R205,lista_dias,0),9)*1000000000+IFERROR(MATCH('ORDENES'!$AF205,lista_turnos,0),9)*10000000+IFERROR(MATCH('ORDENES'!$AE205,'TECNICOS'!$B$4:$B$15,0),99)*100000+202,9000000000000+202)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IF(K210=1,IFERROR(MATCH('ORDENES'!$R206,lista_dias,0),9)*1000000000+IFERROR(MATCH('ORDENES'!$AF206,lista_turnos,0),9)*10000000+IFERROR(MATCH('ORDENES'!$AE206,'TECNICOS'!$B$4:$B$15,0),99)*100000+203,9000000000000+203)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IF(K211=1,IFERROR(MATCH('ORDENES'!$R207,lista_dias,0),9)*1000000000+IFERROR(MATCH('ORDENES'!$AF207,lista_turnos,0),9)*10000000+IFERROR(MATCH('ORDENES'!$AE207,'TECNICOS'!$B$4:$B$15,0),99)*100000+204,9000000000000+204)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IF(K212=1,IFERROR(MATCH('ORDENES'!$R208,lista_dias,0),9)*1000000000+IFERROR(MATCH('ORDENES'!$AF208,lista_turnos,0),9)*10000000+IFERROR(MATCH('ORDENES'!$AE208,'TECNICOS'!$B$4:$B$15,0),99)*100000+205,9000000000000+205)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IF(K213=1,IFERROR(MATCH('ORDENES'!$R209,lista_dias,0),9)*1000000000+IFERROR(MATCH('ORDENES'!$AF209,lista_turnos,0),9)*10000000+IFERROR(MATCH('ORDENES'!$AE209,'TECNICOS'!$B$4:$B$15,0),99)*100000+206,9000000000000+206)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IF(K214=1,IFERROR(MATCH('ORDENES'!$R210,lista_dias,0),9)*1000000000+IFERROR(MATCH('ORDENES'!$AF210,lista_turnos,0),9)*10000000+IFERROR(MATCH('ORDENES'!$AE210,'TECNICOS'!$B$4:$B$15,0),99)*100000+207,9000000000000+207)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IF(K215=1,IFERROR(MATCH('ORDENES'!$R211,lista_dias,0),9)*1000000000+IFERROR(MATCH('ORDENES'!$AF211,lista_turnos,0),9)*10000000+IFERROR(MATCH('ORDENES'!$AE211,'TECNICOS'!$B$4:$B$15,0),99)*100000+208,9000000000000+208)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IF(K216=1,IFERROR(MATCH('ORDENES'!$R212,lista_dias,0),9)*1000000000+IFERROR(MATCH('ORDENES'!$AF212,lista_turnos,0),9)*10000000+IFERROR(MATCH('ORDENES'!$AE212,'TECNICOS'!$B$4:$B$15,0),99)*100000+209,9000000000000+209)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IF(K217=1,IFERROR(MATCH('ORDENES'!$R213,lista_dias,0),9)*1000000000+IFERROR(MATCH('ORDENES'!$AF213,lista_turnos,0),9)*10000000+IFERROR(MATCH('ORDENES'!$AE213,'TECNICOS'!$B$4:$B$15,0),99)*100000+210,9000000000000+210)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IF(K218=1,IFERROR(MATCH('ORDENES'!$R214,lista_dias,0),9)*1000000000+IFERROR(MATCH('ORDENES'!$AF214,lista_turnos,0),9)*10000000+IFERROR(MATCH('ORDENES'!$AE214,'TECNICOS'!$B$4:$B$15,0),99)*100000+211,9000000000000+211)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IF(K219=1,IFERROR(MATCH('ORDENES'!$R215,lista_dias,0),9)*1000000000+IFERROR(MATCH('ORDENES'!$AF215,lista_turnos,0),9)*10000000+IFERROR(MATCH('ORDENES'!$AE215,'TECNICOS'!$B$4:$B$15,0),99)*100000+212,9000000000000+212)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IF(K220=1,IFERROR(MATCH('ORDENES'!$R216,lista_dias,0),9)*1000000000+IFERROR(MATCH('ORDENES'!$AF216,lista_turnos,0),9)*10000000+IFERROR(MATCH('ORDENES'!$AE216,'TECNICOS'!$B$4:$B$15,0),99)*100000+213,9000000000000+213)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IF(K221=1,IFERROR(MATCH('ORDENES'!$R217,lista_dias,0),9)*1000000000+IFERROR(MATCH('ORDENES'!$AF217,lista_turnos,0),9)*10000000+IFERROR(MATCH('ORDENES'!$AE217,'TECNICOS'!$B$4:$B$15,0),99)*100000+214,9000000000000+214)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IF(K222=1,IFERROR(MATCH('ORDENES'!$R218,lista_dias,0),9)*1000000000+IFERROR(MATCH('ORDENES'!$AF218,lista_turnos,0),9)*10000000+IFERROR(MATCH('ORDENES'!$AE218,'TECNICOS'!$B$4:$B$15,0),99)*100000+215,9000000000000+215)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IF(K223=1,IFERROR(MATCH('ORDENES'!$R219,lista_dias,0),9)*1000000000+IFERROR(MATCH('ORDENES'!$AF219,lista_turnos,0),9)*10000000+IFERROR(MATCH('ORDENES'!$AE219,'TECNICOS'!$B$4:$B$15,0),99)*100000+216,9000000000000+216)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IF(K224=1,IFERROR(MATCH('ORDENES'!$R220,lista_dias,0),9)*1000000000+IFERROR(MATCH('ORDENES'!$AF220,lista_turnos,0),9)*10000000+IFERROR(MATCH('ORDENES'!$AE220,'TECNICOS'!$B$4:$B$15,0),99)*100000+217,9000000000000+217)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IF(K225=1,IFERROR(MATCH('ORDENES'!$R221,lista_dias,0),9)*1000000000+IFERROR(MATCH('ORDENES'!$AF221,lista_turnos,0),9)*10000000+IFERROR(MATCH('ORDENES'!$AE221,'TECNICOS'!$B$4:$B$15,0),99)*100000+218,9000000000000+218)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IF(K226=1,IFERROR(MATCH('ORDENES'!$R222,lista_dias,0),9)*1000000000+IFERROR(MATCH('ORDENES'!$AF222,lista_turnos,0),9)*10000000+IFERROR(MATCH('ORDENES'!$AE222,'TECNICOS'!$B$4:$B$15,0),99)*100000+219,9000000000000+219)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IF(K227=1,IFERROR(MATCH('ORDENES'!$R223,lista_dias,0),9)*1000000000+IFERROR(MATCH('ORDENES'!$AF223,lista_turnos,0),9)*10000000+IFERROR(MATCH('ORDENES'!$AE223,'TECNICOS'!$B$4:$B$15,0),99)*100000+220,9000000000000+220)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IF(K228=1,IFERROR(MATCH('ORDENES'!$R224,lista_dias,0),9)*1000000000+IFERROR(MATCH('ORDENES'!$AF224,lista_turnos,0),9)*10000000+IFERROR(MATCH('ORDENES'!$AE224,'TECNICOS'!$B$4:$B$15,0),99)*100000+221,9000000000000+221)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IF(K229=1,IFERROR(MATCH('ORDENES'!$R225,lista_dias,0),9)*1000000000+IFERROR(MATCH('ORDENES'!$AF225,lista_turnos,0),9)*10000000+IFERROR(MATCH('ORDENES'!$AE225,'TECNICOS'!$B$4:$B$15,0),99)*100000+222,9000000000000+222)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IF(K230=1,IFERROR(MATCH('ORDENES'!$R226,lista_dias,0),9)*1000000000+IFERROR(MATCH('ORDENES'!$AF226,lista_turnos,0),9)*10000000+IFERROR(MATCH('ORDENES'!$AE226,'TECNICOS'!$B$4:$B$15,0),99)*100000+223,9000000000000+223)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IF(K231=1,IFERROR(MATCH('ORDENES'!$R227,lista_dias,0),9)*1000000000+IFERROR(MATCH('ORDENES'!$AF227,lista_turnos,0),9)*10000000+IFERROR(MATCH('ORDENES'!$AE227,'TECNICOS'!$B$4:$B$15,0),99)*100000+224,9000000000000+224)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IF(K232=1,IFERROR(MATCH('ORDENES'!$R228,lista_dias,0),9)*1000000000+IFERROR(MATCH('ORDENES'!$AF228,lista_turnos,0),9)*10000000+IFERROR(MATCH('ORDENES'!$AE228,'TECNICOS'!$B$4:$B$15,0),99)*100000+225,9000000000000+225)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IF(K233=1,IFERROR(MATCH('ORDENES'!$R229,lista_dias,0),9)*1000000000+IFERROR(MATCH('ORDENES'!$AF229,lista_turnos,0),9)*10000000+IFERROR(MATCH('ORDENES'!$AE229,'TECNICOS'!$B$4:$B$15,0),99)*100000+226,9000000000000+226)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IF(K234=1,IFERROR(MATCH('ORDENES'!$R230,lista_dias,0),9)*1000000000+IFERROR(MATCH('ORDENES'!$AF230,lista_turnos,0),9)*10000000+IFERROR(MATCH('ORDENES'!$AE230,'TECNICOS'!$B$4:$B$15,0),99)*100000+227,9000000000000+227)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IF(K235=1,IFERROR(MATCH('ORDENES'!$R231,lista_dias,0),9)*1000000000+IFERROR(MATCH('ORDENES'!$AF231,lista_turnos,0),9)*10000000+IFERROR(MATCH('ORDENES'!$AE231,'TECNICOS'!$B$4:$B$15,0),99)*100000+228,9000000000000+228)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IF(K236=1,IFERROR(MATCH('ORDENES'!$R232,lista_dias,0),9)*1000000000+IFERROR(MATCH('ORDENES'!$AF232,lista_turnos,0),9)*10000000+IFERROR(MATCH('ORDENES'!$AE232,'TECNICOS'!$B$4:$B$15,0),99)*100000+229,9000000000000+229)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IF(K237=1,IFERROR(MATCH('ORDENES'!$R233,lista_dias,0),9)*1000000000+IFERROR(MATCH('ORDENES'!$AF233,lista_turnos,0),9)*10000000+IFERROR(MATCH('ORDENES'!$AE233,'TECNICOS'!$B$4:$B$15,0),99)*100000+230,9000000000000+230)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IF(K238=1,IFERROR(MATCH('ORDENES'!$R234,lista_dias,0),9)*1000000000+IFERROR(MATCH('ORDENES'!$AF234,lista_turnos,0),9)*10000000+IFERROR(MATCH('ORDENES'!$AE234,'TECNICOS'!$B$4:$B$15,0),99)*100000+231,9000000000000+231)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IF(K239=1,IFERROR(MATCH('ORDENES'!$R235,lista_dias,0),9)*1000000000+IFERROR(MATCH('ORDENES'!$AF235,lista_turnos,0),9)*10000000+IFERROR(MATCH('ORDENES'!$AE235,'TECNICOS'!$B$4:$B$15,0),99)*100000+232,9000000000000+232)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IF(K240=1,IFERROR(MATCH('ORDENES'!$R236,lista_dias,0),9)*1000000000+IFERROR(MATCH('ORDENES'!$AF236,lista_turnos,0),9)*10000000+IFERROR(MATCH('ORDENES'!$AE236,'TECNICOS'!$B$4:$B$15,0),99)*100000+233,9000000000000+233)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IF(K241=1,IFERROR(MATCH('ORDENES'!$R237,lista_dias,0),9)*1000000000+IFERROR(MATCH('ORDENES'!$AF237,lista_turnos,0),9)*10000000+IFERROR(MATCH('ORDENES'!$AE237,'TECNICOS'!$B$4:$B$15,0),99)*100000+234,9000000000000+234)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IF(K242=1,IFERROR(MATCH('ORDENES'!$R238,lista_dias,0),9)*1000000000+IFERROR(MATCH('ORDENES'!$AF238,lista_turnos,0),9)*10000000+IFERROR(MATCH('ORDENES'!$AE238,'TECNICOS'!$B$4:$B$15,0),99)*100000+235,9000000000000+235)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IF(K243=1,IFERROR(MATCH('ORDENES'!$R239,lista_dias,0),9)*1000000000+IFERROR(MATCH('ORDENES'!$AF239,lista_turnos,0),9)*10000000+IFERROR(MATCH('ORDENES'!$AE239,'TECNICOS'!$B$4:$B$15,0),99)*100000+236,9000000000000+236)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IF(K244=1,IFERROR(MATCH('ORDENES'!$R240,lista_dias,0),9)*1000000000+IFERROR(MATCH('ORDENES'!$AF240,lista_turnos,0),9)*10000000+IFERROR(MATCH('ORDENES'!$AE240,'TECNICOS'!$B$4:$B$15,0),99)*100000+237,9000000000000+237)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IF(K245=1,IFERROR(MATCH('ORDENES'!$R241,lista_dias,0),9)*1000000000+IFERROR(MATCH('ORDENES'!$AF241,lista_turnos,0),9)*10000000+IFERROR(MATCH('ORDENES'!$AE241,'TECNICOS'!$B$4:$B$15,0),99)*100000+238,9000000000000+238)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IF(K246=1,IFERROR(MATCH('ORDENES'!$R242,lista_dias,0),9)*1000000000+IFERROR(MATCH('ORDENES'!$AF242,lista_turnos,0),9)*10000000+IFERROR(MATCH('ORDENES'!$AE242,'TECNICOS'!$B$4:$B$15,0),99)*100000+239,9000000000000+239)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IF(K247=1,IFERROR(MATCH('ORDENES'!$R243,lista_dias,0),9)*1000000000+IFERROR(MATCH('ORDENES'!$AF243,lista_turnos,0),9)*10000000+IFERROR(MATCH('ORDENES'!$AE243,'TECNICOS'!$B$4:$B$15,0),99)*100000+240,9000000000000+240)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IF(K248=1,IFERROR(MATCH('ORDENES'!$R244,lista_dias,0),9)*1000000000+IFERROR(MATCH('ORDENES'!$AF244,lista_turnos,0),9)*10000000+IFERROR(MATCH('ORDENES'!$AE244,'TECNICOS'!$B$4:$B$15,0),99)*100000+241,9000000000000+241)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IF(K249=1,IFERROR(MATCH('ORDENES'!$R245,lista_dias,0),9)*1000000000+IFERROR(MATCH('ORDENES'!$AF245,lista_turnos,0),9)*10000000+IFERROR(MATCH('ORDENES'!$AE245,'TECNICOS'!$B$4:$B$15,0),99)*100000+242,9000000000000+242)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IF(K250=1,IFERROR(MATCH('ORDENES'!$R246,lista_dias,0),9)*1000000000+IFERROR(MATCH('ORDENES'!$AF246,lista_turnos,0),9)*10000000+IFERROR(MATCH('ORDENES'!$AE246,'TECNICOS'!$B$4:$B$15,0),99)*100000+243,9000000000000+243)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IF(K251=1,IFERROR(MATCH('ORDENES'!$R247,lista_dias,0),9)*1000000000+IFERROR(MATCH('ORDENES'!$AF247,lista_turnos,0),9)*10000000+IFERROR(MATCH('ORDENES'!$AE247,'TECNICOS'!$B$4:$B$15,0),99)*100000+244,9000000000000+244)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IF(K252=1,IFERROR(MATCH('ORDENES'!$R248,lista_dias,0),9)*1000000000+IFERROR(MATCH('ORDENES'!$AF248,lista_turnos,0),9)*10000000+IFERROR(MATCH('ORDENES'!$AE248,'TECNICOS'!$B$4:$B$15,0),99)*100000+245,9000000000000+245)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IF(K253=1,IFERROR(MATCH('ORDENES'!$R249,lista_dias,0),9)*1000000000+IFERROR(MATCH('ORDENES'!$AF249,lista_turnos,0),9)*10000000+IFERROR(MATCH('ORDENES'!$AE249,'TECNICOS'!$B$4:$B$15,0),99)*100000+246,9000000000000+246)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IF(K254=1,IFERROR(MATCH('ORDENES'!$R250,lista_dias,0),9)*1000000000+IFERROR(MATCH('ORDENES'!$AF250,lista_turnos,0),9)*10000000+IFERROR(MATCH('ORDENES'!$AE250,'TECNICOS'!$B$4:$B$15,0),99)*100000+247,9000000000000+247)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IF(K255=1,IFERROR(MATCH('ORDENES'!$R251,lista_dias,0),9)*1000000000+IFERROR(MATCH('ORDENES'!$AF251,lista_turnos,0),9)*10000000+IFERROR(MATCH('ORDENES'!$AE251,'TECNICOS'!$B$4:$B$15,0),99)*100000+248,9000000000000+248)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IF(K256=1,IFERROR(MATCH('ORDENES'!$R252,lista_dias,0),9)*1000000000+IFERROR(MATCH('ORDENES'!$AF252,lista_turnos,0),9)*10000000+IFERROR(MATCH('ORDENES'!$AE252,'TECNICOS'!$B$4:$B$15,0),99)*100000+249,9000000000000+249)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IF(K257=1,IFERROR(MATCH('ORDENES'!$R253,lista_dias,0),9)*1000000000+IFERROR(MATCH('ORDENES'!$AF253,lista_turnos,0),9)*10000000+IFERROR(MATCH('ORDENES'!$AE253,'TECNICOS'!$B$4:$B$15,0),99)*100000+250,9000000000000+250)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IF(K258=1,IFERROR(MATCH('ORDENES'!$R254,lista_dias,0),9)*1000000000+IFERROR(MATCH('ORDENES'!$AF254,lista_turnos,0),9)*10000000+IFERROR(MATCH('ORDENES'!$AE254,'TECNICOS'!$B$4:$B$15,0),99)*100000+251,9000000000000+251)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IF(K259=1,IFERROR(MATCH('ORDENES'!$R255,lista_dias,0),9)*1000000000+IFERROR(MATCH('ORDENES'!$AF255,lista_turnos,0),9)*10000000+IFERROR(MATCH('ORDENES'!$AE255,'TECNICOS'!$B$4:$B$15,0),99)*100000+252,9000000000000+252)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IF(K260=1,IFERROR(MATCH('ORDENES'!$R256,lista_dias,0),9)*1000000000+IFERROR(MATCH('ORDENES'!$AF256,lista_turnos,0),9)*10000000+IFERROR(MATCH('ORDENES'!$AE256,'TECNICOS'!$B$4:$B$15,0),99)*100000+253,9000000000000+253)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IF(K261=1,IFERROR(MATCH('ORDENES'!$R257,lista_dias,0),9)*1000000000+IFERROR(MATCH('ORDENES'!$AF257,lista_turnos,0),9)*10000000+IFERROR(MATCH('ORDENES'!$AE257,'TECNICOS'!$B$4:$B$15,0),99)*100000+254,9000000000000+254)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IF(K262=1,IFERROR(MATCH('ORDENES'!$R258,lista_dias,0),9)*1000000000+IFERROR(MATCH('ORDENES'!$AF258,lista_turnos,0),9)*10000000+IFERROR(MATCH('ORDENES'!$AE258,'TECNICOS'!$B$4:$B$15,0),99)*100000+255,9000000000000+255)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IF(K263=1,IFERROR(MATCH('ORDENES'!$R259,lista_dias,0),9)*1000000000+IFERROR(MATCH('ORDENES'!$AF259,lista_turnos,0),9)*10000000+IFERROR(MATCH('ORDENES'!$AE259,'TECNICOS'!$B$4:$B$15,0),99)*100000+256,9000000000000+256)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IF(K264=1,IFERROR(MATCH('ORDENES'!$R260,lista_dias,0),9)*1000000000+IFERROR(MATCH('ORDENES'!$AF260,lista_turnos,0),9)*10000000+IFERROR(MATCH('ORDENES'!$AE260,'TECNICOS'!$B$4:$B$15,0),99)*100000+257,9000000000000+257)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IF(K265=1,IFERROR(MATCH('ORDENES'!$R261,lista_dias,0),9)*1000000000+IFERROR(MATCH('ORDENES'!$AF261,lista_turnos,0),9)*10000000+IFERROR(MATCH('ORDENES'!$AE261,'TECNICOS'!$B$4:$B$15,0),99)*100000+258,9000000000000+258)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IF(K266=1,IFERROR(MATCH('ORDENES'!$R262,lista_dias,0),9)*1000000000+IFERROR(MATCH('ORDENES'!$AF262,lista_turnos,0),9)*10000000+IFERROR(MATCH('ORDENES'!$AE262,'TECNICOS'!$B$4:$B$15,0),99)*100000+259,9000000000000+259)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IF(K267=1,IFERROR(MATCH('ORDENES'!$R263,lista_dias,0),9)*1000000000+IFERROR(MATCH('ORDENES'!$AF263,lista_turnos,0),9)*10000000+IFERROR(MATCH('ORDENES'!$AE263,'TECNICOS'!$B$4:$B$15,0),99)*100000+260,9000000000000+260)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IF(K268=1,IFERROR(MATCH('ORDENES'!$R264,lista_dias,0),9)*1000000000+IFERROR(MATCH('ORDENES'!$AF264,lista_turnos,0),9)*10000000+IFERROR(MATCH('ORDENES'!$AE264,'TECNICOS'!$B$4:$B$15,0),99)*100000+261,9000000000000+261)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IF(K269=1,IFERROR(MATCH('ORDENES'!$R265,lista_dias,0),9)*1000000000+IFERROR(MATCH('ORDENES'!$AF265,lista_turnos,0),9)*10000000+IFERROR(MATCH('ORDENES'!$AE265,'TECNICOS'!$B$4:$B$15,0),99)*100000+262,9000000000000+262)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IF(K270=1,IFERROR(MATCH('ORDENES'!$R266,lista_dias,0),9)*1000000000+IFERROR(MATCH('ORDENES'!$AF266,lista_turnos,0),9)*10000000+IFERROR(MATCH('ORDENES'!$AE266,'TECNICOS'!$B$4:$B$15,0),99)*100000+263,9000000000000+263)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IF(K271=1,IFERROR(MATCH('ORDENES'!$R267,lista_dias,0),9)*1000000000+IFERROR(MATCH('ORDENES'!$AF267,lista_turnos,0),9)*10000000+IFERROR(MATCH('ORDENES'!$AE267,'TECNICOS'!$B$4:$B$15,0),99)*100000+264,9000000000000+264)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IF(K272=1,IFERROR(MATCH('ORDENES'!$R268,lista_dias,0),9)*1000000000+IFERROR(MATCH('ORDENES'!$AF268,lista_turnos,0),9)*10000000+IFERROR(MATCH('ORDENES'!$AE268,'TECNICOS'!$B$4:$B$15,0),99)*100000+265,9000000000000+265)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IF(K273=1,IFERROR(MATCH('ORDENES'!$R269,lista_dias,0),9)*1000000000+IFERROR(MATCH('ORDENES'!$AF269,lista_turnos,0),9)*10000000+IFERROR(MATCH('ORDENES'!$AE269,'TECNICOS'!$B$4:$B$15,0),99)*100000+266,9000000000000+266)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IF(K274=1,IFERROR(MATCH('ORDENES'!$R270,lista_dias,0),9)*1000000000+IFERROR(MATCH('ORDENES'!$AF270,lista_turnos,0),9)*10000000+IFERROR(MATCH('ORDENES'!$AE270,'TECNICOS'!$B$4:$B$15,0),99)*100000+267,9000000000000+267)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IF(K275=1,IFERROR(MATCH('ORDENES'!$R271,lista_dias,0),9)*1000000000+IFERROR(MATCH('ORDENES'!$AF271,lista_turnos,0),9)*10000000+IFERROR(MATCH('ORDENES'!$AE271,'TECNICOS'!$B$4:$B$15,0),99)*100000+268,9000000000000+268)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IF(K276=1,IFERROR(MATCH('ORDENES'!$R272,lista_dias,0),9)*1000000000+IFERROR(MATCH('ORDENES'!$AF272,lista_turnos,0),9)*10000000+IFERROR(MATCH('ORDENES'!$AE272,'TECNICOS'!$B$4:$B$15,0),99)*100000+269,9000000000000+269)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IF(K277=1,IFERROR(MATCH('ORDENES'!$R273,lista_dias,0),9)*1000000000+IFERROR(MATCH('ORDENES'!$AF273,lista_turnos,0),9)*10000000+IFERROR(MATCH('ORDENES'!$AE273,'TECNICOS'!$B$4:$B$15,0),99)*100000+270,9000000000000+270)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IF(K278=1,IFERROR(MATCH('ORDENES'!$R274,lista_dias,0),9)*1000000000+IFERROR(MATCH('ORDENES'!$AF274,lista_turnos,0),9)*10000000+IFERROR(MATCH('ORDENES'!$AE274,'TECNICOS'!$B$4:$B$15,0),99)*100000+271,9000000000000+271)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IF(K279=1,IFERROR(MATCH('ORDENES'!$R275,lista_dias,0),9)*1000000000+IFERROR(MATCH('ORDENES'!$AF275,lista_turnos,0),9)*10000000+IFERROR(MATCH('ORDENES'!$AE275,'TECNICOS'!$B$4:$B$15,0),99)*100000+272,9000000000000+272)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IF(K280=1,IFERROR(MATCH('ORDENES'!$R276,lista_dias,0),9)*1000000000+IFERROR(MATCH('ORDENES'!$AF276,lista_turnos,0),9)*10000000+IFERROR(MATCH('ORDENES'!$AE276,'TECNICOS'!$B$4:$B$15,0),99)*100000+273,9000000000000+273)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IF(K281=1,IFERROR(MATCH('ORDENES'!$R277,lista_dias,0),9)*1000000000+IFERROR(MATCH('ORDENES'!$AF277,lista_turnos,0),9)*10000000+IFERROR(MATCH('ORDENES'!$AE277,'TECNICOS'!$B$4:$B$15,0),99)*100000+274,9000000000000+274)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IF(K282=1,IFERROR(MATCH('ORDENES'!$R278,lista_dias,0),9)*1000000000+IFERROR(MATCH('ORDENES'!$AF278,lista_turnos,0),9)*10000000+IFERROR(MATCH('ORDENES'!$AE278,'TECNICOS'!$B$4:$B$15,0),99)*100000+275,9000000000000+275)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IF(K283=1,IFERROR(MATCH('ORDENES'!$R279,lista_dias,0),9)*1000000000+IFERROR(MATCH('ORDENES'!$AF279,lista_turnos,0),9)*10000000+IFERROR(MATCH('ORDENES'!$AE279,'TECNICOS'!$B$4:$B$15,0),99)*100000+276,9000000000000+276)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IF(K284=1,IFERROR(MATCH('ORDENES'!$R280,lista_dias,0),9)*1000000000+IFERROR(MATCH('ORDENES'!$AF280,lista_turnos,0),9)*10000000+IFERROR(MATCH('ORDENES'!$AE280,'TECNICOS'!$B$4:$B$15,0),99)*100000+277,9000000000000+277)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IF(K285=1,IFERROR(MATCH('ORDENES'!$R281,lista_dias,0),9)*1000000000+IFERROR(MATCH('ORDENES'!$AF281,lista_turnos,0),9)*10000000+IFERROR(MATCH('ORDENES'!$AE281,'TECNICOS'!$B$4:$B$15,0),99)*100000+278,9000000000000+278)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IF(K286=1,IFERROR(MATCH('ORDENES'!$R282,lista_dias,0),9)*1000000000+IFERROR(MATCH('ORDENES'!$AF282,lista_turnos,0),9)*10000000+IFERROR(MATCH('ORDENES'!$AE282,'TECNICOS'!$B$4:$B$15,0),99)*100000+279,9000000000000+279)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IF(K287=1,IFERROR(MATCH('ORDENES'!$R283,lista_dias,0),9)*1000000000+IFERROR(MATCH('ORDENES'!$AF283,lista_turnos,0),9)*10000000+IFERROR(MATCH('ORDENES'!$AE283,'TECNICOS'!$B$4:$B$15,0),99)*100000+280,9000000000000+280)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IF(K288=1,IFERROR(MATCH('ORDENES'!$R284,lista_dias,0),9)*1000000000+IFERROR(MATCH('ORDENES'!$AF284,lista_turnos,0),9)*10000000+IFERROR(MATCH('ORDENES'!$AE284,'TECNICOS'!$B$4:$B$15,0),99)*100000+281,9000000000000+281)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IF(K289=1,IFERROR(MATCH('ORDENES'!$R285,lista_dias,0),9)*1000000000+IFERROR(MATCH('ORDENES'!$AF285,lista_turnos,0),9)*10000000+IFERROR(MATCH('ORDENES'!$AE285,'TECNICOS'!$B$4:$B$15,0),99)*100000+282,9000000000000+282)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IF(K290=1,IFERROR(MATCH('ORDENES'!$R286,lista_dias,0),9)*1000000000+IFERROR(MATCH('ORDENES'!$AF286,lista_turnos,0),9)*10000000+IFERROR(MATCH('ORDENES'!$AE286,'TECNICOS'!$B$4:$B$15,0),99)*100000+283,9000000000000+283)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IF(K291=1,IFERROR(MATCH('ORDENES'!$R287,lista_dias,0),9)*1000000000+IFERROR(MATCH('ORDENES'!$AF287,lista_turnos,0),9)*10000000+IFERROR(MATCH('ORDENES'!$AE287,'TECNICOS'!$B$4:$B$15,0),99)*100000+284,9000000000000+284)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IF(K292=1,IFERROR(MATCH('ORDENES'!$R288,lista_dias,0),9)*1000000000+IFERROR(MATCH('ORDENES'!$AF288,lista_turnos,0),9)*10000000+IFERROR(MATCH('ORDENES'!$AE288,'TECNICOS'!$B$4:$B$15,0),99)*100000+285,9000000000000+285)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IF(K293=1,IFERROR(MATCH('ORDENES'!$R289,lista_dias,0),9)*1000000000+IFERROR(MATCH('ORDENES'!$AF289,lista_turnos,0),9)*10000000+IFERROR(MATCH('ORDENES'!$AE289,'TECNICOS'!$B$4:$B$15,0),99)*100000+286,9000000000000+286)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IF(K294=1,IFERROR(MATCH('ORDENES'!$R290,lista_dias,0),9)*1000000000+IFERROR(MATCH('ORDENES'!$AF290,lista_turnos,0),9)*10000000+IFERROR(MATCH('ORDENES'!$AE290,'TECNICOS'!$B$4:$B$15,0),99)*100000+287,9000000000000+287)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IF(K295=1,IFERROR(MATCH('ORDENES'!$R291,lista_dias,0),9)*1000000000+IFERROR(MATCH('ORDENES'!$AF291,lista_turnos,0),9)*10000000+IFERROR(MATCH('ORDENES'!$AE291,'TECNICOS'!$B$4:$B$15,0),99)*100000+288,9000000000000+288)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IF(K296=1,IFERROR(MATCH('ORDENES'!$R292,lista_dias,0),9)*1000000000+IFERROR(MATCH('ORDENES'!$AF292,lista_turnos,0),9)*10000000+IFERROR(MATCH('ORDENES'!$AE292,'TECNICOS'!$B$4:$B$15,0),99)*100000+289,9000000000000+289)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IF(K297=1,IFERROR(MATCH('ORDENES'!$R293,lista_dias,0),9)*1000000000+IFERROR(MATCH('ORDENES'!$AF293,lista_turnos,0),9)*10000000+IFERROR(MATCH('ORDENES'!$AE293,'TECNICOS'!$B$4:$B$15,0),99)*100000+290,9000000000000+290)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IF(K298=1,IFERROR(MATCH('ORDENES'!$R294,lista_dias,0),9)*1000000000+IFERROR(MATCH('ORDENES'!$AF294,lista_turnos,0),9)*10000000+IFERROR(MATCH('ORDENES'!$AE294,'TECNICOS'!$B$4:$B$15,0),99)*100000+291,9000000000000+291)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IF(K299=1,IFERROR(MATCH('ORDENES'!$R295,lista_dias,0),9)*1000000000+IFERROR(MATCH('ORDENES'!$AF295,lista_turnos,0),9)*10000000+IFERROR(MATCH('ORDENES'!$AE295,'TECNICOS'!$B$4:$B$15,0),99)*100000+292,9000000000000+292)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IF(K300=1,IFERROR(MATCH('ORDENES'!$R296,lista_dias,0),9)*1000000000+IFERROR(MATCH('ORDENES'!$AF296,lista_turnos,0),9)*10000000+IFERROR(MATCH('ORDENES'!$AE296,'TECNICOS'!$B$4:$B$15,0),99)*100000+293,9000000000000+293)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IF(K301=1,IFERROR(MATCH('ORDENES'!$R297,lista_dias,0),9)*1000000000+IFERROR(MATCH('ORDENES'!$AF297,lista_turnos,0),9)*10000000+IFERROR(MATCH('ORDENES'!$AE297,'TECNICOS'!$B$4:$B$15,0),99)*100000+294,9000000000000+294)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IF(K302=1,IFERROR(MATCH('ORDENES'!$R298,lista_dias,0),9)*1000000000+IFERROR(MATCH('ORDENES'!$AF298,lista_turnos,0),9)*10000000+IFERROR(MATCH('ORDENES'!$AE298,'TECNICOS'!$B$4:$B$15,0),99)*100000+295,9000000000000+295)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IF(K303=1,IFERROR(MATCH('ORDENES'!$R299,lista_dias,0),9)*1000000000+IFERROR(MATCH('ORDENES'!$AF299,lista_turnos,0),9)*10000000+IFERROR(MATCH('ORDENES'!$AE299,'TECNICOS'!$B$4:$B$15,0),99)*100000+296,9000000000000+296)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IF(K304=1,IFERROR(MATCH('ORDENES'!$R300,lista_dias,0),9)*1000000000+IFERROR(MATCH('ORDENES'!$AF300,lista_turnos,0),9)*10000000+IFERROR(MATCH('ORDENES'!$AE300,'TECNICOS'!$B$4:$B$15,0),99)*100000+297,9000000000000+297)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IF(K305=1,IFERROR(MATCH('ORDENES'!$R301,lista_dias,0),9)*1000000000+IFERROR(MATCH('ORDENES'!$AF301,lista_turnos,0),9)*10000000+IFERROR(MATCH('ORDENES'!$AE301,'TECNICOS'!$B$4:$B$15,0),99)*100000+298,9000000000000+298)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IF(K306=1,IFERROR(MATCH('ORDENES'!$R302,lista_dias,0),9)*1000000000+IFERROR(MATCH('ORDENES'!$AF302,lista_turnos,0),9)*10000000+IFERROR(MATCH('ORDENES'!$AE302,'TECNICOS'!$B$4:$B$15,0),99)*100000+299,9000000000000+299)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IF(K307=1,IFERROR(MATCH('ORDENES'!$R303,lista_dias,0),9)*1000000000+IFERROR(MATCH('ORDENES'!$AF303,lista_turnos,0),9)*10000000+IFERROR(MATCH('ORDENES'!$AE303,'TECNICOS'!$B$4:$B$15,0),99)*100000+300,9000000000000+300)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IF(K308=1,IFERROR(MATCH('ORDENES'!$R304,lista_dias,0),9)*1000000000+IFERROR(MATCH('ORDENES'!$AF304,lista_turnos,0),9)*10000000+IFERROR(MATCH('ORDENES'!$AE304,'TECNICOS'!$B$4:$B$15,0),99)*100000+301,9000000000000+301)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IF(K309=1,IFERROR(MATCH('ORDENES'!$R305,lista_dias,0),9)*1000000000+IFERROR(MATCH('ORDENES'!$AF305,lista_turnos,0),9)*10000000+IFERROR(MATCH('ORDENES'!$AE305,'TECNICOS'!$B$4:$B$15,0),99)*100000+302,9000000000000+302)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IF(K310=1,IFERROR(MATCH('ORDENES'!$R306,lista_dias,0),9)*1000000000+IFERROR(MATCH('ORDENES'!$AF306,lista_turnos,0),9)*10000000+IFERROR(MATCH('ORDENES'!$AE306,'TECNICOS'!$B$4:$B$15,0),99)*100000+303,9000000000000+303)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IF(K311=1,IFERROR(MATCH('ORDENES'!$R307,lista_dias,0),9)*1000000000+IFERROR(MATCH('ORDENES'!$AF307,lista_turnos,0),9)*10000000+IFERROR(MATCH('ORDENES'!$AE307,'TECNICOS'!$B$4:$B$15,0),99)*100000+304,9000000000000+304)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IF(K312=1,IFERROR(MATCH('ORDENES'!$R308,lista_dias,0),9)*1000000000+IFERROR(MATCH('ORDENES'!$AF308,lista_turnos,0),9)*10000000+IFERROR(MATCH('ORDENES'!$AE308,'TECNICOS'!$B$4:$B$15,0),99)*100000+305,9000000000000+305)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IF(K313=1,IFERROR(MATCH('ORDENES'!$R309,lista_dias,0),9)*1000000000+IFERROR(MATCH('ORDENES'!$AF309,lista_turnos,0),9)*10000000+IFERROR(MATCH('ORDENES'!$AE309,'TECNICOS'!$B$4:$B$15,0),99)*100000+306,9000000000000+306)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IF(K314=1,IFERROR(MATCH('ORDENES'!$R310,lista_dias,0),9)*1000000000+IFERROR(MATCH('ORDENES'!$AF310,lista_turnos,0),9)*10000000+IFERROR(MATCH('ORDENES'!$AE310,'TECNICOS'!$B$4:$B$15,0),99)*100000+307,9000000000000+307)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IF(K315=1,IFERROR(MATCH('ORDENES'!$R311,lista_dias,0),9)*1000000000+IFERROR(MATCH('ORDENES'!$AF311,lista_turnos,0),9)*10000000+IFERROR(MATCH('ORDENES'!$AE311,'TECNICOS'!$B$4:$B$15,0),99)*100000+308,9000000000000+308)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IF(K316=1,IFERROR(MATCH('ORDENES'!$R312,lista_dias,0),9)*1000000000+IFERROR(MATCH('ORDENES'!$AF312,lista_turnos,0),9)*10000000+IFERROR(MATCH('ORDENES'!$AE312,'TECNICOS'!$B$4:$B$15,0),99)*100000+309,9000000000000+309)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IF(K317=1,IFERROR(MATCH('ORDENES'!$R313,lista_dias,0),9)*1000000000+IFERROR(MATCH('ORDENES'!$AF313,lista_turnos,0),9)*10000000+IFERROR(MATCH('ORDENES'!$AE313,'TECNICOS'!$B$4:$B$15,0),99)*100000+310,9000000000000+310)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IF(K318=1,IFERROR(MATCH('ORDENES'!$R314,lista_dias,0),9)*1000000000+IFERROR(MATCH('ORDENES'!$AF314,lista_turnos,0),9)*10000000+IFERROR(MATCH('ORDENES'!$AE314,'TECNICOS'!$B$4:$B$15,0),99)*100000+311,9000000000000+311)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IF(K319=1,IFERROR(MATCH('ORDENES'!$R315,lista_dias,0),9)*1000000000+IFERROR(MATCH('ORDENES'!$AF315,lista_turnos,0),9)*10000000+IFERROR(MATCH('ORDENES'!$AE315,'TECNICOS'!$B$4:$B$15,0),99)*100000+312,9000000000000+312)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IF(K320=1,IFERROR(MATCH('ORDENES'!$R316,lista_dias,0),9)*1000000000+IFERROR(MATCH('ORDENES'!$AF316,lista_turnos,0),9)*10000000+IFERROR(MATCH('ORDENES'!$AE316,'TECNICOS'!$B$4:$B$15,0),99)*100000+313,9000000000000+313)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IF(K321=1,IFERROR(MATCH('ORDENES'!$R317,lista_dias,0),9)*1000000000+IFERROR(MATCH('ORDENES'!$AF317,lista_turnos,0),9)*10000000+IFERROR(MATCH('ORDENES'!$AE317,'TECNICOS'!$B$4:$B$15,0),99)*100000+314,9000000000000+314)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IF(K322=1,IFERROR(MATCH('ORDENES'!$R318,lista_dias,0),9)*1000000000+IFERROR(MATCH('ORDENES'!$AF318,lista_turnos,0),9)*10000000+IFERROR(MATCH('ORDENES'!$AE318,'TECNICOS'!$B$4:$B$15,0),99)*100000+315,9000000000000+315)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IF(K323=1,IFERROR(MATCH('ORDENES'!$R319,lista_dias,0),9)*1000000000+IFERROR(MATCH('ORDENES'!$AF319,lista_turnos,0),9)*10000000+IFERROR(MATCH('ORDENES'!$AE319,'TECNICOS'!$B$4:$B$15,0),99)*100000+316,9000000000000+316)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IF(K324=1,IFERROR(MATCH('ORDENES'!$R320,lista_dias,0),9)*1000000000+IFERROR(MATCH('ORDENES'!$AF320,lista_turnos,0),9)*10000000+IFERROR(MATCH('ORDENES'!$AE320,'TECNICOS'!$B$4:$B$15,0),99)*100000+317,9000000000000+317)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IF(K325=1,IFERROR(MATCH('ORDENES'!$R321,lista_dias,0),9)*1000000000+IFERROR(MATCH('ORDENES'!$AF321,lista_turnos,0),9)*10000000+IFERROR(MATCH('ORDENES'!$AE321,'TECNICOS'!$B$4:$B$15,0),99)*100000+318,9000000000000+318)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IF(K326=1,IFERROR(MATCH('ORDENES'!$R322,lista_dias,0),9)*1000000000+IFERROR(MATCH('ORDENES'!$AF322,lista_turnos,0),9)*10000000+IFERROR(MATCH('ORDENES'!$AE322,'TECNICOS'!$B$4:$B$15,0),99)*100000+319,9000000000000+319)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IF(K327=1,IFERROR(MATCH('ORDENES'!$R323,lista_dias,0),9)*1000000000+IFERROR(MATCH('ORDENES'!$AF323,lista_turnos,0),9)*10000000+IFERROR(MATCH('ORDENES'!$AE323,'TECNICOS'!$B$4:$B$15,0),99)*100000+320,9000000000000+320)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IF(K328=1,IFERROR(MATCH('ORDENES'!$R324,lista_dias,0),9)*1000000000+IFERROR(MATCH('ORDENES'!$AF324,lista_turnos,0),9)*10000000+IFERROR(MATCH('ORDENES'!$AE324,'TECNICOS'!$B$4:$B$15,0),99)*100000+321,9000000000000+321)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IF(K329=1,IFERROR(MATCH('ORDENES'!$R325,lista_dias,0),9)*1000000000+IFERROR(MATCH('ORDENES'!$AF325,lista_turnos,0),9)*10000000+IFERROR(MATCH('ORDENES'!$AE325,'TECNICOS'!$B$4:$B$15,0),99)*100000+322,9000000000000+322)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IF(K330=1,IFERROR(MATCH('ORDENES'!$R326,lista_dias,0),9)*1000000000+IFERROR(MATCH('ORDENES'!$AF326,lista_turnos,0),9)*10000000+IFERROR(MATCH('ORDENES'!$AE326,'TECNICOS'!$B$4:$B$15,0),99)*100000+323,9000000000000+323)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IF(K331=1,IFERROR(MATCH('ORDENES'!$R327,lista_dias,0),9)*1000000000+IFERROR(MATCH('ORDENES'!$AF327,lista_turnos,0),9)*10000000+IFERROR(MATCH('ORDENES'!$AE327,'TECNICOS'!$B$4:$B$15,0),99)*100000+324,9000000000000+324)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IF(K332=1,IFERROR(MATCH('ORDENES'!$R328,lista_dias,0),9)*1000000000+IFERROR(MATCH('ORDENES'!$AF328,lista_turnos,0),9)*10000000+IFERROR(MATCH('ORDENES'!$AE328,'TECNICOS'!$B$4:$B$15,0),99)*100000+325,9000000000000+325)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IF(K333=1,IFERROR(MATCH('ORDENES'!$R329,lista_dias,0),9)*1000000000+IFERROR(MATCH('ORDENES'!$AF329,lista_turnos,0),9)*10000000+IFERROR(MATCH('ORDENES'!$AE329,'TECNICOS'!$B$4:$B$15,0),99)*100000+326,9000000000000+326)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IF(K334=1,IFERROR(MATCH('ORDENES'!$R330,lista_dias,0),9)*1000000000+IFERROR(MATCH('ORDENES'!$AF330,lista_turnos,0),9)*10000000+IFERROR(MATCH('ORDENES'!$AE330,'TECNICOS'!$B$4:$B$15,0),99)*100000+327,9000000000000+327)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IF(K335=1,IFERROR(MATCH('ORDENES'!$R331,lista_dias,0),9)*1000000000+IFERROR(MATCH('ORDENES'!$AF331,lista_turnos,0),9)*10000000+IFERROR(MATCH('ORDENES'!$AE331,'TECNICOS'!$B$4:$B$15,0),99)*100000+328,9000000000000+328)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IF(K336=1,IFERROR(MATCH('ORDENES'!$R332,lista_dias,0),9)*1000000000+IFERROR(MATCH('ORDENES'!$AF332,lista_turnos,0),9)*10000000+IFERROR(MATCH('ORDENES'!$AE332,'TECNICOS'!$B$4:$B$15,0),99)*100000+329,9000000000000+329)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IF(K337=1,IFERROR(MATCH('ORDENES'!$R333,lista_dias,0),9)*1000000000+IFERROR(MATCH('ORDENES'!$AF333,lista_turnos,0),9)*10000000+IFERROR(MATCH('ORDENES'!$AE333,'TECNICOS'!$B$4:$B$15,0),99)*100000+330,9000000000000+330)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IF(K338=1,IFERROR(MATCH('ORDENES'!$R334,lista_dias,0),9)*1000000000+IFERROR(MATCH('ORDENES'!$AF334,lista_turnos,0),9)*10000000+IFERROR(MATCH('ORDENES'!$AE334,'TECNICOS'!$B$4:$B$15,0),99)*100000+331,9000000000000+331)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IF(K339=1,IFERROR(MATCH('ORDENES'!$R335,lista_dias,0),9)*1000000000+IFERROR(MATCH('ORDENES'!$AF335,lista_turnos,0),9)*10000000+IFERROR(MATCH('ORDENES'!$AE335,'TECNICOS'!$B$4:$B$15,0),99)*100000+332,9000000000000+332)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IF(K340=1,IFERROR(MATCH('ORDENES'!$R336,lista_dias,0),9)*1000000000+IFERROR(MATCH('ORDENES'!$AF336,lista_turnos,0),9)*10000000+IFERROR(MATCH('ORDENES'!$AE336,'TECNICOS'!$B$4:$B$15,0),99)*100000+333,9000000000000+333)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IF(K341=1,IFERROR(MATCH('ORDENES'!$R337,lista_dias,0),9)*1000000000+IFERROR(MATCH('ORDENES'!$AF337,lista_turnos,0),9)*10000000+IFERROR(MATCH('ORDENES'!$AE337,'TECNICOS'!$B$4:$B$15,0),99)*100000+334,9000000000000+334)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IF(K342=1,IFERROR(MATCH('ORDENES'!$R338,lista_dias,0),9)*1000000000+IFERROR(MATCH('ORDENES'!$AF338,lista_turnos,0),9)*10000000+IFERROR(MATCH('ORDENES'!$AE338,'TECNICOS'!$B$4:$B$15,0),99)*100000+335,9000000000000+335)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IF(K343=1,IFERROR(MATCH('ORDENES'!$R339,lista_dias,0),9)*1000000000+IFERROR(MATCH('ORDENES'!$AF339,lista_turnos,0),9)*10000000+IFERROR(MATCH('ORDENES'!$AE339,'TECNICOS'!$B$4:$B$15,0),99)*100000+336,9000000000000+336)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IF(K344=1,IFERROR(MATCH('ORDENES'!$R340,lista_dias,0),9)*1000000000+IFERROR(MATCH('ORDENES'!$AF340,lista_turnos,0),9)*10000000+IFERROR(MATCH('ORDENES'!$AE340,'TECNICOS'!$B$4:$B$15,0),99)*100000+337,9000000000000+337)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IF(K345=1,IFERROR(MATCH('ORDENES'!$R341,lista_dias,0),9)*1000000000+IFERROR(MATCH('ORDENES'!$AF341,lista_turnos,0),9)*10000000+IFERROR(MATCH('ORDENES'!$AE341,'TECNICOS'!$B$4:$B$15,0),99)*100000+338,9000000000000+338)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IF(K346=1,IFERROR(MATCH('ORDENES'!$R342,lista_dias,0),9)*1000000000+IFERROR(MATCH('ORDENES'!$AF342,lista_turnos,0),9)*10000000+IFERROR(MATCH('ORDENES'!$AE342,'TECNICOS'!$B$4:$B$15,0),99)*100000+339,9000000000000+339)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IF(K347=1,IFERROR(MATCH('ORDENES'!$R343,lista_dias,0),9)*1000000000+IFERROR(MATCH('ORDENES'!$AF343,lista_turnos,0),9)*10000000+IFERROR(MATCH('ORDENES'!$AE343,'TECNICOS'!$B$4:$B$15,0),99)*100000+340,9000000000000+340)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IF(K348=1,IFERROR(MATCH('ORDENES'!$R344,lista_dias,0),9)*1000000000+IFERROR(MATCH('ORDENES'!$AF344,lista_turnos,0),9)*10000000+IFERROR(MATCH('ORDENES'!$AE344,'TECNICOS'!$B$4:$B$15,0),99)*100000+341,9000000000000+341)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IF(K349=1,IFERROR(MATCH('ORDENES'!$R345,lista_dias,0),9)*1000000000+IFERROR(MATCH('ORDENES'!$AF345,lista_turnos,0),9)*10000000+IFERROR(MATCH('ORDENES'!$AE345,'TECNICOS'!$B$4:$B$15,0),99)*100000+342,9000000000000+342)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IF(K350=1,IFERROR(MATCH('ORDENES'!$R346,lista_dias,0),9)*1000000000+IFERROR(MATCH('ORDENES'!$AF346,lista_turnos,0),9)*10000000+IFERROR(MATCH('ORDENES'!$AE346,'TECNICOS'!$B$4:$B$15,0),99)*100000+343,9000000000000+343)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IF(K351=1,IFERROR(MATCH('ORDENES'!$R347,lista_dias,0),9)*1000000000+IFERROR(MATCH('ORDENES'!$AF347,lista_turnos,0),9)*10000000+IFERROR(MATCH('ORDENES'!$AE347,'TECNICOS'!$B$4:$B$15,0),99)*100000+344,9000000000000+344)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IF(K352=1,IFERROR(MATCH('ORDENES'!$R348,lista_dias,0),9)*1000000000+IFERROR(MATCH('ORDENES'!$AF348,lista_turnos,0),9)*10000000+IFERROR(MATCH('ORDENES'!$AE348,'TECNICOS'!$B$4:$B$15,0),99)*100000+345,9000000000000+345)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IF(K353=1,IFERROR(MATCH('ORDENES'!$R349,lista_dias,0),9)*1000000000+IFERROR(MATCH('ORDENES'!$AF349,lista_turnos,0),9)*10000000+IFERROR(MATCH('ORDENES'!$AE349,'TECNICOS'!$B$4:$B$15,0),99)*100000+346,9000000000000+346)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IF(K354=1,IFERROR(MATCH('ORDENES'!$R350,lista_dias,0),9)*1000000000+IFERROR(MATCH('ORDENES'!$AF350,lista_turnos,0),9)*10000000+IFERROR(MATCH('ORDENES'!$AE350,'TECNICOS'!$B$4:$B$15,0),99)*100000+347,9000000000000+347)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IF(K355=1,IFERROR(MATCH('ORDENES'!$R351,lista_dias,0),9)*1000000000+IFERROR(MATCH('ORDENES'!$AF351,lista_turnos,0),9)*10000000+IFERROR(MATCH('ORDENES'!$AE351,'TECNICOS'!$B$4:$B$15,0),99)*100000+348,9000000000000+348)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IF(K356=1,IFERROR(MATCH('ORDENES'!$R352,lista_dias,0),9)*1000000000+IFERROR(MATCH('ORDENES'!$AF352,lista_turnos,0),9)*10000000+IFERROR(MATCH('ORDENES'!$AE352,'TECNICOS'!$B$4:$B$15,0),99)*100000+349,9000000000000+349)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IF(K357=1,IFERROR(MATCH('ORDENES'!$R353,lista_dias,0),9)*1000000000+IFERROR(MATCH('ORDENES'!$AF353,lista_turnos,0),9)*10000000+IFERROR(MATCH('ORDENES'!$AE353,'TECNICOS'!$B$4:$B$15,0),99)*100000+350,9000000000000+350)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IF(K358=1,IFERROR(MATCH('ORDENES'!$R354,lista_dias,0),9)*1000000000+IFERROR(MATCH('ORDENES'!$AF354,lista_turnos,0),9)*10000000+IFERROR(MATCH('ORDENES'!$AE354,'TECNICOS'!$B$4:$B$15,0),99)*100000+351,9000000000000+351)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IF(K359=1,IFERROR(MATCH('ORDENES'!$R355,lista_dias,0),9)*1000000000+IFERROR(MATCH('ORDENES'!$AF355,lista_turnos,0),9)*10000000+IFERROR(MATCH('ORDENES'!$AE355,'TECNICOS'!$B$4:$B$15,0),99)*100000+352,9000000000000+352)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IF(K360=1,IFERROR(MATCH('ORDENES'!$R356,lista_dias,0),9)*1000000000+IFERROR(MATCH('ORDENES'!$AF356,lista_turnos,0),9)*10000000+IFERROR(MATCH('ORDENES'!$AE356,'TECNICOS'!$B$4:$B$15,0),99)*100000+353,9000000000000+353)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IF(K361=1,IFERROR(MATCH('ORDENES'!$R357,lista_dias,0),9)*1000000000+IFERROR(MATCH('ORDENES'!$AF357,lista_turnos,0),9)*10000000+IFERROR(MATCH('ORDENES'!$AE357,'TECNICOS'!$B$4:$B$15,0),99)*100000+354,9000000000000+354)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IF(K362=1,IFERROR(MATCH('ORDENES'!$R358,lista_dias,0),9)*1000000000+IFERROR(MATCH('ORDENES'!$AF358,lista_turnos,0),9)*10000000+IFERROR(MATCH('ORDENES'!$AE358,'TECNICOS'!$B$4:$B$15,0),99)*100000+355,9000000000000+355)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IF(K363=1,IFERROR(MATCH('ORDENES'!$R359,lista_dias,0),9)*1000000000+IFERROR(MATCH('ORDENES'!$AF359,lista_turnos,0),9)*10000000+IFERROR(MATCH('ORDENES'!$AE359,'TECNICOS'!$B$4:$B$15,0),99)*100000+356,9000000000000+356)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IF(K364=1,IFERROR(MATCH('ORDENES'!$R360,lista_dias,0),9)*1000000000+IFERROR(MATCH('ORDENES'!$AF360,lista_turnos,0),9)*10000000+IFERROR(MATCH('ORDENES'!$AE360,'TECNICOS'!$B$4:$B$15,0),99)*100000+357,9000000000000+357)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IF(K365=1,IFERROR(MATCH('ORDENES'!$R361,lista_dias,0),9)*1000000000+IFERROR(MATCH('ORDENES'!$AF361,lista_turnos,0),9)*10000000+IFERROR(MATCH('ORDENES'!$AE361,'TECNICOS'!$B$4:$B$15,0),99)*100000+358,9000000000000+358)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IF(K366=1,IFERROR(MATCH('ORDENES'!$R362,lista_dias,0),9)*1000000000+IFERROR(MATCH('ORDENES'!$AF362,lista_turnos,0),9)*10000000+IFERROR(MATCH('ORDENES'!$AE362,'TECNICOS'!$B$4:$B$15,0),99)*100000+359,9000000000000+359)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IF(K367=1,IFERROR(MATCH('ORDENES'!$R363,lista_dias,0),9)*1000000000+IFERROR(MATCH('ORDENES'!$AF363,lista_turnos,0),9)*10000000+IFERROR(MATCH('ORDENES'!$AE363,'TECNICOS'!$B$4:$B$15,0),99)*100000+360,9000000000000+360)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IF(K368=1,IFERROR(MATCH('ORDENES'!$R364,lista_dias,0),9)*1000000000+IFERROR(MATCH('ORDENES'!$AF364,lista_turnos,0),9)*10000000+IFERROR(MATCH('ORDENES'!$AE364,'TECNICOS'!$B$4:$B$15,0),99)*100000+361,9000000000000+361)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IF(K369=1,IFERROR(MATCH('ORDENES'!$R365,lista_dias,0),9)*1000000000+IFERROR(MATCH('ORDENES'!$AF365,lista_turnos,0),9)*10000000+IFERROR(MATCH('ORDENES'!$AE365,'TECNICOS'!$B$4:$B$15,0),99)*100000+362,9000000000000+362)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IF(K370=1,IFERROR(MATCH('ORDENES'!$R366,lista_dias,0),9)*1000000000+IFERROR(MATCH('ORDENES'!$AF366,lista_turnos,0),9)*10000000+IFERROR(MATCH('ORDENES'!$AE366,'TECNICOS'!$B$4:$B$15,0),99)*100000+363,9000000000000+363)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IF(K371=1,IFERROR(MATCH('ORDENES'!$R367,lista_dias,0),9)*1000000000+IFERROR(MATCH('ORDENES'!$AF367,lista_turnos,0),9)*10000000+IFERROR(MATCH('ORDENES'!$AE367,'TECNICOS'!$B$4:$B$15,0),99)*100000+364,9000000000000+364)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IF(K372=1,IFERROR(MATCH('ORDENES'!$R368,lista_dias,0),9)*1000000000+IFERROR(MATCH('ORDENES'!$AF368,lista_turnos,0),9)*10000000+IFERROR(MATCH('ORDENES'!$AE368,'TECNICOS'!$B$4:$B$15,0),99)*100000+365,9000000000000+365)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IF(K373=1,IFERROR(MATCH('ORDENES'!$R369,lista_dias,0),9)*1000000000+IFERROR(MATCH('ORDENES'!$AF369,lista_turnos,0),9)*10000000+IFERROR(MATCH('ORDENES'!$AE369,'TECNICOS'!$B$4:$B$15,0),99)*100000+366,9000000000000+366)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IF(K374=1,IFERROR(MATCH('ORDENES'!$R370,lista_dias,0),9)*1000000000+IFERROR(MATCH('ORDENES'!$AF370,lista_turnos,0),9)*10000000+IFERROR(MATCH('ORDENES'!$AE370,'TECNICOS'!$B$4:$B$15,0),99)*100000+367,9000000000000+367)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IF(K375=1,IFERROR(MATCH('ORDENES'!$R371,lista_dias,0),9)*1000000000+IFERROR(MATCH('ORDENES'!$AF371,lista_turnos,0),9)*10000000+IFERROR(MATCH('ORDENES'!$AE371,'TECNICOS'!$B$4:$B$15,0),99)*100000+368,9000000000000+368)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IF(K376=1,IFERROR(MATCH('ORDENES'!$R372,lista_dias,0),9)*1000000000+IFERROR(MATCH('ORDENES'!$AF372,lista_turnos,0),9)*10000000+IFERROR(MATCH('ORDENES'!$AE372,'TECNICOS'!$B$4:$B$15,0),99)*100000+369,9000000000000+369)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IF(K377=1,IFERROR(MATCH('ORDENES'!$R373,lista_dias,0),9)*1000000000+IFERROR(MATCH('ORDENES'!$AF373,lista_turnos,0),9)*10000000+IFERROR(MATCH('ORDENES'!$AE373,'TECNICOS'!$B$4:$B$15,0),99)*100000+370,9000000000000+370)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IF(K378=1,IFERROR(MATCH('ORDENES'!$R374,lista_dias,0),9)*1000000000+IFERROR(MATCH('ORDENES'!$AF374,lista_turnos,0),9)*10000000+IFERROR(MATCH('ORDENES'!$AE374,'TECNICOS'!$B$4:$B$15,0),99)*100000+371,9000000000000+371)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IF(K379=1,IFERROR(MATCH('ORDENES'!$R375,lista_dias,0),9)*1000000000+IFERROR(MATCH('ORDENES'!$AF375,lista_turnos,0),9)*10000000+IFERROR(MATCH('ORDENES'!$AE375,'TECNICOS'!$B$4:$B$15,0),99)*100000+372,9000000000000+372)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IF(K380=1,IFERROR(MATCH('ORDENES'!$R376,lista_dias,0),9)*1000000000+IFERROR(MATCH('ORDENES'!$AF376,lista_turnos,0),9)*10000000+IFERROR(MATCH('ORDENES'!$AE376,'TECNICOS'!$B$4:$B$15,0),99)*100000+373,9000000000000+373)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IF(K381=1,IFERROR(MATCH('ORDENES'!$R377,lista_dias,0),9)*1000000000+IFERROR(MATCH('ORDENES'!$AF377,lista_turnos,0),9)*10000000+IFERROR(MATCH('ORDENES'!$AE377,'TECNICOS'!$B$4:$B$15,0),99)*100000+374,9000000000000+374)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IF(K382=1,IFERROR(MATCH('ORDENES'!$R378,lista_dias,0),9)*1000000000+IFERROR(MATCH('ORDENES'!$AF378,lista_turnos,0),9)*10000000+IFERROR(MATCH('ORDENES'!$AE378,'TECNICOS'!$B$4:$B$15,0),99)*100000+375,9000000000000+375)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IF(K383=1,IFERROR(MATCH('ORDENES'!$R379,lista_dias,0),9)*1000000000+IFERROR(MATCH('ORDENES'!$AF379,lista_turnos,0),9)*10000000+IFERROR(MATCH('ORDENES'!$AE379,'TECNICOS'!$B$4:$B$15,0),99)*100000+376,9000000000000+376)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IF(K384=1,IFERROR(MATCH('ORDENES'!$R380,lista_dias,0),9)*1000000000+IFERROR(MATCH('ORDENES'!$AF380,lista_turnos,0),9)*10000000+IFERROR(MATCH('ORDENES'!$AE380,'TECNICOS'!$B$4:$B$15,0),99)*100000+377,9000000000000+377)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IF(K385=1,IFERROR(MATCH('ORDENES'!$R381,lista_dias,0),9)*1000000000+IFERROR(MATCH('ORDENES'!$AF381,lista_turnos,0),9)*10000000+IFERROR(MATCH('ORDENES'!$AE381,'TECNICOS'!$B$4:$B$15,0),99)*100000+378,9000000000000+378)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IF(K386=1,IFERROR(MATCH('ORDENES'!$R382,lista_dias,0),9)*1000000000+IFERROR(MATCH('ORDENES'!$AF382,lista_turnos,0),9)*10000000+IFERROR(MATCH('ORDENES'!$AE382,'TECNICOS'!$B$4:$B$15,0),99)*100000+379,9000000000000+379)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IF(K387=1,IFERROR(MATCH('ORDENES'!$R383,lista_dias,0),9)*1000000000+IFERROR(MATCH('ORDENES'!$AF383,lista_turnos,0),9)*10000000+IFERROR(MATCH('ORDENES'!$AE383,'TECNICOS'!$B$4:$B$15,0),99)*100000+380,9000000000000+380)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IF(K388=1,IFERROR(MATCH('ORDENES'!$R384,lista_dias,0),9)*1000000000+IFERROR(MATCH('ORDENES'!$AF384,lista_turnos,0),9)*10000000+IFERROR(MATCH('ORDENES'!$AE384,'TECNICOS'!$B$4:$B$15,0),99)*100000+381,9000000000000+381)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IF(K389=1,IFERROR(MATCH('ORDENES'!$R385,lista_dias,0),9)*1000000000+IFERROR(MATCH('ORDENES'!$AF385,lista_turnos,0),9)*10000000+IFERROR(MATCH('ORDENES'!$AE385,'TECNICOS'!$B$4:$B$15,0),99)*100000+382,9000000000000+382)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IF(K390=1,IFERROR(MATCH('ORDENES'!$R386,lista_dias,0),9)*1000000000+IFERROR(MATCH('ORDENES'!$AF386,lista_turnos,0),9)*10000000+IFERROR(MATCH('ORDENES'!$AE386,'TECNICOS'!$B$4:$B$15,0),99)*100000+383,9000000000000+383)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IF(K391=1,IFERROR(MATCH('ORDENES'!$R387,lista_dias,0),9)*1000000000+IFERROR(MATCH('ORDENES'!$AF387,lista_turnos,0),9)*10000000+IFERROR(MATCH('ORDENES'!$AE387,'TECNICOS'!$B$4:$B$15,0),99)*100000+384,9000000000000+384)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IF(K392=1,IFERROR(MATCH('ORDENES'!$R388,lista_dias,0),9)*1000000000+IFERROR(MATCH('ORDENES'!$AF388,lista_turnos,0),9)*10000000+IFERROR(MATCH('ORDENES'!$AE388,'TECNICOS'!$B$4:$B$15,0),99)*100000+385,9000000000000+385)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IF(K393=1,IFERROR(MATCH('ORDENES'!$R389,lista_dias,0),9)*1000000000+IFERROR(MATCH('ORDENES'!$AF389,lista_turnos,0),9)*10000000+IFERROR(MATCH('ORDENES'!$AE389,'TECNICOS'!$B$4:$B$15,0),99)*100000+386,9000000000000+386)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IF(K394=1,IFERROR(MATCH('ORDENES'!$R390,lista_dias,0),9)*1000000000+IFERROR(MATCH('ORDENES'!$AF390,lista_turnos,0),9)*10000000+IFERROR(MATCH('ORDENES'!$AE390,'TECNICOS'!$B$4:$B$15,0),99)*100000+387,9000000000000+387)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IF(K395=1,IFERROR(MATCH('ORDENES'!$R391,lista_dias,0),9)*1000000000+IFERROR(MATCH('ORDENES'!$AF391,lista_turnos,0),9)*10000000+IFERROR(MATCH('ORDENES'!$AE391,'TECNICOS'!$B$4:$B$15,0),99)*100000+388,9000000000000+388)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IF(K396=1,IFERROR(MATCH('ORDENES'!$R392,lista_dias,0),9)*1000000000+IFERROR(MATCH('ORDENES'!$AF392,lista_turnos,0),9)*10000000+IFERROR(MATCH('ORDENES'!$AE392,'TECNICOS'!$B$4:$B$15,0),99)*100000+389,9000000000000+389)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IF(K397=1,IFERROR(MATCH('ORDENES'!$R393,lista_dias,0),9)*1000000000+IFERROR(MATCH('ORDENES'!$AF393,lista_turnos,0),9)*10000000+IFERROR(MATCH('ORDENES'!$AE393,'TECNICOS'!$B$4:$B$15,0),99)*100000+390,9000000000000+390)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IF(K398=1,IFERROR(MATCH('ORDENES'!$R394,lista_dias,0),9)*1000000000+IFERROR(MATCH('ORDENES'!$AF394,lista_turnos,0),9)*10000000+IFERROR(MATCH('ORDENES'!$AE394,'TECNICOS'!$B$4:$B$15,0),99)*100000+391,9000000000000+391)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IF(K399=1,IFERROR(MATCH('ORDENES'!$R395,lista_dias,0),9)*1000000000+IFERROR(MATCH('ORDENES'!$AF395,lista_turnos,0),9)*10000000+IFERROR(MATCH('ORDENES'!$AE395,'TECNICOS'!$B$4:$B$15,0),99)*100000+392,9000000000000+392)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IF(K400=1,IFERROR(MATCH('ORDENES'!$R396,lista_dias,0),9)*1000000000+IFERROR(MATCH('ORDENES'!$AF396,lista_turnos,0),9)*10000000+IFERROR(MATCH('ORDENES'!$AE396,'TECNICOS'!$B$4:$B$15,0),99)*100000+393,9000000000000+393)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IF(K401=1,IFERROR(MATCH('ORDENES'!$R397,lista_dias,0),9)*1000000000+IFERROR(MATCH('ORDENES'!$AF397,lista_turnos,0),9)*10000000+IFERROR(MATCH('ORDENES'!$AE397,'TECNICOS'!$B$4:$B$15,0),99)*100000+394,9000000000000+394)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IF(K402=1,IFERROR(MATCH('ORDENES'!$R398,lista_dias,0),9)*1000000000+IFERROR(MATCH('ORDENES'!$AF398,lista_turnos,0),9)*10000000+IFERROR(MATCH('ORDENES'!$AE398,'TECNICOS'!$B$4:$B$15,0),99)*100000+395,9000000000000+395)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IF(K403=1,IFERROR(MATCH('ORDENES'!$R399,lista_dias,0),9)*1000000000+IFERROR(MATCH('ORDENES'!$AF399,lista_turnos,0),9)*10000000+IFERROR(MATCH('ORDENES'!$AE399,'TECNICOS'!$B$4:$B$15,0),99)*100000+396,9000000000000+396)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IF(K404=1,IFERROR(MATCH('ORDENES'!$R400,lista_dias,0),9)*1000000000+IFERROR(MATCH('ORDENES'!$AF400,lista_turnos,0),9)*10000000+IFERROR(MATCH('ORDENES'!$AE400,'TECNICOS'!$B$4:$B$15,0),99)*100000+397,9000000000000+397)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IF(K405=1,IFERROR(MATCH('ORDENES'!$R401,lista_dias,0),9)*1000000000+IFERROR(MATCH('ORDENES'!$AF401,lista_turnos,0),9)*10000000+IFERROR(MATCH('ORDENES'!$AE401,'TECNICOS'!$B$4:$B$15,0),99)*100000+398,9000000000000+398)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IF(K406=1,IFERROR(MATCH('ORDENES'!$R402,lista_dias,0),9)*1000000000+IFERROR(MATCH('ORDENES'!$AF402,lista_turnos,0),9)*10000000+IFERROR(MATCH('ORDENES'!$AE402,'TECNICOS'!$B$4:$B$15,0),99)*100000+399,9000000000000+399)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IF(K407=1,IFERROR(MATCH('ORDENES'!$R403,lista_dias,0),9)*1000000000+IFERROR(MATCH('ORDENES'!$AF403,lista_turnos,0),9)*10000000+IFERROR(MATCH('ORDENES'!$AE403,'TECNICOS'!$B$4:$B$15,0),99)*100000+400,9000000000000+400)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IF(K408=1,IFERROR(MATCH('ORDENES'!$R404,lista_dias,0),9)*1000000000+IFERROR(MATCH('ORDENES'!$AF404,lista_turnos,0),9)*10000000+IFERROR(MATCH('ORDENES'!$AE404,'TECNICOS'!$B$4:$B$15,0),99)*100000+401,9000000000000+401)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IF(K409=1,IFERROR(MATCH('ORDENES'!$R405,lista_dias,0),9)*1000000000+IFERROR(MATCH('ORDENES'!$AF405,lista_turnos,0),9)*10000000+IFERROR(MATCH('ORDENES'!$AE405,'TECNICOS'!$B$4:$B$15,0),99)*100000+402,9000000000000+402)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IF(K410=1,IFERROR(MATCH('ORDENES'!$R406,lista_dias,0),9)*1000000000+IFERROR(MATCH('ORDENES'!$AF406,lista_turnos,0),9)*10000000+IFERROR(MATCH('ORDENES'!$AE406,'TECNICOS'!$B$4:$B$15,0),99)*100000+403,9000000000000+403)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IF(K411=1,IFERROR(MATCH('ORDENES'!$R407,lista_dias,0),9)*1000000000+IFERROR(MATCH('ORDENES'!$AF407,lista_turnos,0),9)*10000000+IFERROR(MATCH('ORDENES'!$AE407,'TECNICOS'!$B$4:$B$15,0),99)*100000+404,9000000000000+404)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IF(K412=1,IFERROR(MATCH('ORDENES'!$R408,lista_dias,0),9)*1000000000+IFERROR(MATCH('ORDENES'!$AF408,lista_turnos,0),9)*10000000+IFERROR(MATCH('ORDENES'!$AE408,'TECNICOS'!$B$4:$B$15,0),99)*100000+405,9000000000000+405)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IF(K413=1,IFERROR(MATCH('ORDENES'!$R409,lista_dias,0),9)*1000000000+IFERROR(MATCH('ORDENES'!$AF409,lista_turnos,0),9)*10000000+IFERROR(MATCH('ORDENES'!$AE409,'TECNICOS'!$B$4:$B$15,0),99)*100000+406,9000000000000+406)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IF(K414=1,IFERROR(MATCH('ORDENES'!$R410,lista_dias,0),9)*1000000000+IFERROR(MATCH('ORDENES'!$AF410,lista_turnos,0),9)*10000000+IFERROR(MATCH('ORDENES'!$AE410,'TECNICOS'!$B$4:$B$15,0),99)*100000+407,9000000000000+407)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IF(K415=1,IFERROR(MATCH('ORDENES'!$R411,lista_dias,0),9)*1000000000+IFERROR(MATCH('ORDENES'!$AF411,lista_turnos,0),9)*10000000+IFERROR(MATCH('ORDENES'!$AE411,'TECNICOS'!$B$4:$B$15,0),99)*100000+408,9000000000000+408)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IF(K416=1,IFERROR(MATCH('ORDENES'!$R412,lista_dias,0),9)*1000000000+IFERROR(MATCH('ORDENES'!$AF412,lista_turnos,0),9)*10000000+IFERROR(MATCH('ORDENES'!$AE412,'TECNICOS'!$B$4:$B$15,0),99)*100000+409,9000000000000+409)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IF(K417=1,IFERROR(MATCH('ORDENES'!$R413,lista_dias,0),9)*1000000000+IFERROR(MATCH('ORDENES'!$AF413,lista_turnos,0),9)*10000000+IFERROR(MATCH('ORDENES'!$AE413,'TECNICOS'!$B$4:$B$15,0),99)*100000+410,9000000000000+410)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IF(K418=1,IFERROR(MATCH('ORDENES'!$R414,lista_dias,0),9)*1000000000+IFERROR(MATCH('ORDENES'!$AF414,lista_turnos,0),9)*10000000+IFERROR(MATCH('ORDENES'!$AE414,'TECNICOS'!$B$4:$B$15,0),99)*100000+411,9000000000000+411)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IF(K419=1,IFERROR(MATCH('ORDENES'!$R415,lista_dias,0),9)*1000000000+IFERROR(MATCH('ORDENES'!$AF415,lista_turnos,0),9)*10000000+IFERROR(MATCH('ORDENES'!$AE415,'TECNICOS'!$B$4:$B$15,0),99)*100000+412,9000000000000+412)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IF(K420=1,IFERROR(MATCH('ORDENES'!$R416,lista_dias,0),9)*1000000000+IFERROR(MATCH('ORDENES'!$AF416,lista_turnos,0),9)*10000000+IFERROR(MATCH('ORDENES'!$AE416,'TECNICOS'!$B$4:$B$15,0),99)*100000+413,9000000000000+413)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IF(K421=1,IFERROR(MATCH('ORDENES'!$R417,lista_dias,0),9)*1000000000+IFERROR(MATCH('ORDENES'!$AF417,lista_turnos,0),9)*10000000+IFERROR(MATCH('ORDENES'!$AE417,'TECNICOS'!$B$4:$B$15,0),99)*100000+414,9000000000000+414)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IF(K422=1,IFERROR(MATCH('ORDENES'!$R418,lista_dias,0),9)*1000000000+IFERROR(MATCH('ORDENES'!$AF418,lista_turnos,0),9)*10000000+IFERROR(MATCH('ORDENES'!$AE418,'TECNICOS'!$B$4:$B$15,0),99)*100000+415,9000000000000+415)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IF(K423=1,IFERROR(MATCH('ORDENES'!$R419,lista_dias,0),9)*1000000000+IFERROR(MATCH('ORDENES'!$AF419,lista_turnos,0),9)*10000000+IFERROR(MATCH('ORDENES'!$AE419,'TECNICOS'!$B$4:$B$15,0),99)*100000+416,9000000000000+416)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IF(K424=1,IFERROR(MATCH('ORDENES'!$R420,lista_dias,0),9)*1000000000+IFERROR(MATCH('ORDENES'!$AF420,lista_turnos,0),9)*10000000+IFERROR(MATCH('ORDENES'!$AE420,'TECNICOS'!$B$4:$B$15,0),99)*100000+417,9000000000000+417)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IF(K425=1,IFERROR(MATCH('ORDENES'!$R421,lista_dias,0),9)*1000000000+IFERROR(MATCH('ORDENES'!$AF421,lista_turnos,0),9)*10000000+IFERROR(MATCH('ORDENES'!$AE421,'TECNICOS'!$B$4:$B$15,0),99)*100000+418,9000000000000+418)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IF(K426=1,IFERROR(MATCH('ORDENES'!$R422,lista_dias,0),9)*1000000000+IFERROR(MATCH('ORDENES'!$AF422,lista_turnos,0),9)*10000000+IFERROR(MATCH('ORDENES'!$AE422,'TECNICOS'!$B$4:$B$15,0),99)*100000+419,9000000000000+419)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IF(K427=1,IFERROR(MATCH('ORDENES'!$R423,lista_dias,0),9)*1000000000+IFERROR(MATCH('ORDENES'!$AF423,lista_turnos,0),9)*10000000+IFERROR(MATCH('ORDENES'!$AE423,'TECNICOS'!$B$4:$B$15,0),99)*100000+420,9000000000000+420)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IF(K428=1,IFERROR(MATCH('ORDENES'!$R424,lista_dias,0),9)*1000000000+IFERROR(MATCH('ORDENES'!$AF424,lista_turnos,0),9)*10000000+IFERROR(MATCH('ORDENES'!$AE424,'TECNICOS'!$B$4:$B$15,0),99)*100000+421,9000000000000+421)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IF(K429=1,IFERROR(MATCH('ORDENES'!$R425,lista_dias,0),9)*1000000000+IFERROR(MATCH('ORDENES'!$AF425,lista_turnos,0),9)*10000000+IFERROR(MATCH('ORDENES'!$AE425,'TECNICOS'!$B$4:$B$15,0),99)*100000+422,9000000000000+422)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IF(K430=1,IFERROR(MATCH('ORDENES'!$R426,lista_dias,0),9)*1000000000+IFERROR(MATCH('ORDENES'!$AF426,lista_turnos,0),9)*10000000+IFERROR(MATCH('ORDENES'!$AE426,'TECNICOS'!$B$4:$B$15,0),99)*100000+423,9000000000000+423)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IF(K431=1,IFERROR(MATCH('ORDENES'!$R427,lista_dias,0),9)*1000000000+IFERROR(MATCH('ORDENES'!$AF427,lista_turnos,0),9)*10000000+IFERROR(MATCH('ORDENES'!$AE427,'TECNICOS'!$B$4:$B$15,0),99)*100000+424,9000000000000+424)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IF(K432=1,IFERROR(MATCH('ORDENES'!$R428,lista_dias,0),9)*1000000000+IFERROR(MATCH('ORDENES'!$AF428,lista_turnos,0),9)*10000000+IFERROR(MATCH('ORDENES'!$AE428,'TECNICOS'!$B$4:$B$15,0),99)*100000+425,9000000000000+425)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IF(K433=1,IFERROR(MATCH('ORDENES'!$R429,lista_dias,0),9)*1000000000+IFERROR(MATCH('ORDENES'!$AF429,lista_turnos,0),9)*10000000+IFERROR(MATCH('ORDENES'!$AE429,'TECNICOS'!$B$4:$B$15,0),99)*100000+426,9000000000000+426)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IF(K434=1,IFERROR(MATCH('ORDENES'!$R430,lista_dias,0),9)*1000000000+IFERROR(MATCH('ORDENES'!$AF430,lista_turnos,0),9)*10000000+IFERROR(MATCH('ORDENES'!$AE430,'TECNICOS'!$B$4:$B$15,0),99)*100000+427,9000000000000+427)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IF(K435=1,IFERROR(MATCH('ORDENES'!$R431,lista_dias,0),9)*1000000000+IFERROR(MATCH('ORDENES'!$AF431,lista_turnos,0),9)*10000000+IFERROR(MATCH('ORDENES'!$AE431,'TECNICOS'!$B$4:$B$15,0),99)*100000+428,9000000000000+428)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IF(K436=1,IFERROR(MATCH('ORDENES'!$R432,lista_dias,0),9)*1000000000+IFERROR(MATCH('ORDENES'!$AF432,lista_turnos,0),9)*10000000+IFERROR(MATCH('ORDENES'!$AE432,'TECNICOS'!$B$4:$B$15,0),99)*100000+429,9000000000000+429)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IF(K437=1,IFERROR(MATCH('ORDENES'!$R433,lista_dias,0),9)*1000000000+IFERROR(MATCH('ORDENES'!$AF433,lista_turnos,0),9)*10000000+IFERROR(MATCH('ORDENES'!$AE433,'TECNICOS'!$B$4:$B$15,0),99)*100000+430,9000000000000+430)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IF(K438=1,IFERROR(MATCH('ORDENES'!$R434,lista_dias,0),9)*1000000000+IFERROR(MATCH('ORDENES'!$AF434,lista_turnos,0),9)*10000000+IFERROR(MATCH('ORDENES'!$AE434,'TECNICOS'!$B$4:$B$15,0),99)*100000+431,9000000000000+431)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IF(K439=1,IFERROR(MATCH('ORDENES'!$R435,lista_dias,0),9)*1000000000+IFERROR(MATCH('ORDENES'!$AF435,lista_turnos,0),9)*10000000+IFERROR(MATCH('ORDENES'!$AE435,'TECNICOS'!$B$4:$B$15,0),99)*100000+432,9000000000000+432)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IF(K440=1,IFERROR(MATCH('ORDENES'!$R436,lista_dias,0),9)*1000000000+IFERROR(MATCH('ORDENES'!$AF436,lista_turnos,0),9)*10000000+IFERROR(MATCH('ORDENES'!$AE436,'TECNICOS'!$B$4:$B$15,0),99)*100000+433,9000000000000+433)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IF(K441=1,IFERROR(MATCH('ORDENES'!$R437,lista_dias,0),9)*1000000000+IFERROR(MATCH('ORDENES'!$AF437,lista_turnos,0),9)*10000000+IFERROR(MATCH('ORDENES'!$AE437,'TECNICOS'!$B$4:$B$15,0),99)*100000+434,9000000000000+434)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IF(K442=1,IFERROR(MATCH('ORDENES'!$R438,lista_dias,0),9)*1000000000+IFERROR(MATCH('ORDENES'!$AF438,lista_turnos,0),9)*10000000+IFERROR(MATCH('ORDENES'!$AE438,'TECNICOS'!$B$4:$B$15,0),99)*100000+435,9000000000000+435)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IF(K443=1,IFERROR(MATCH('ORDENES'!$R439,lista_dias,0),9)*1000000000+IFERROR(MATCH('ORDENES'!$AF439,lista_turnos,0),9)*10000000+IFERROR(MATCH('ORDENES'!$AE439,'TECNICOS'!$B$4:$B$15,0),99)*100000+436,9000000000000+436)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IF(K444=1,IFERROR(MATCH('ORDENES'!$R440,lista_dias,0),9)*1000000000+IFERROR(MATCH('ORDENES'!$AF440,lista_turnos,0),9)*10000000+IFERROR(MATCH('ORDENES'!$AE440,'TECNICOS'!$B$4:$B$15,0),99)*100000+437,9000000000000+437)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IF(K445=1,IFERROR(MATCH('ORDENES'!$R441,lista_dias,0),9)*1000000000+IFERROR(MATCH('ORDENES'!$AF441,lista_turnos,0),9)*10000000+IFERROR(MATCH('ORDENES'!$AE441,'TECNICOS'!$B$4:$B$15,0),99)*100000+438,9000000000000+438)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IF(K446=1,IFERROR(MATCH('ORDENES'!$R442,lista_dias,0),9)*1000000000+IFERROR(MATCH('ORDENES'!$AF442,lista_turnos,0),9)*10000000+IFERROR(MATCH('ORDENES'!$AE442,'TECNICOS'!$B$4:$B$15,0),99)*100000+439,9000000000000+439)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IF(K447=1,IFERROR(MATCH('ORDENES'!$R443,lista_dias,0),9)*1000000000+IFERROR(MATCH('ORDENES'!$AF443,lista_turnos,0),9)*10000000+IFERROR(MATCH('ORDENES'!$AE443,'TECNICOS'!$B$4:$B$15,0),99)*100000+440,9000000000000+440)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IF(K448=1,IFERROR(MATCH('ORDENES'!$R444,lista_dias,0),9)*1000000000+IFERROR(MATCH('ORDENES'!$AF444,lista_turnos,0),9)*10000000+IFERROR(MATCH('ORDENES'!$AE444,'TECNICOS'!$B$4:$B$15,0),99)*100000+441,9000000000000+441)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IF(K449=1,IFERROR(MATCH('ORDENES'!$R445,lista_dias,0),9)*1000000000+IFERROR(MATCH('ORDENES'!$AF445,lista_turnos,0),9)*10000000+IFERROR(MATCH('ORDENES'!$AE445,'TECNICOS'!$B$4:$B$15,0),99)*100000+442,9000000000000+442)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IF(K450=1,IFERROR(MATCH('ORDENES'!$R446,lista_dias,0),9)*1000000000+IFERROR(MATCH('ORDENES'!$AF446,lista_turnos,0),9)*10000000+IFERROR(MATCH('ORDENES'!$AE446,'TECNICOS'!$B$4:$B$15,0),99)*100000+443,9000000000000+443)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IF(K451=1,IFERROR(MATCH('ORDENES'!$R447,lista_dias,0),9)*1000000000+IFERROR(MATCH('ORDENES'!$AF447,lista_turnos,0),9)*10000000+IFERROR(MATCH('ORDENES'!$AE447,'TECNICOS'!$B$4:$B$15,0),99)*100000+444,9000000000000+444)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IF(K452=1,IFERROR(MATCH('ORDENES'!$R448,lista_dias,0),9)*1000000000+IFERROR(MATCH('ORDENES'!$AF448,lista_turnos,0),9)*10000000+IFERROR(MATCH('ORDENES'!$AE448,'TECNICOS'!$B$4:$B$15,0),99)*100000+445,9000000000000+445)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IF(K453=1,IFERROR(MATCH('ORDENES'!$R449,lista_dias,0),9)*1000000000+IFERROR(MATCH('ORDENES'!$AF449,lista_turnos,0),9)*10000000+IFERROR(MATCH('ORDENES'!$AE449,'TECNICOS'!$B$4:$B$15,0),99)*100000+446,9000000000000+446)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IF(K454=1,IFERROR(MATCH('ORDENES'!$R450,lista_dias,0),9)*1000000000+IFERROR(MATCH('ORDENES'!$AF450,lista_turnos,0),9)*10000000+IFERROR(MATCH('ORDENES'!$AE450,'TECNICOS'!$B$4:$B$15,0),99)*100000+447,9000000000000+447)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IF(K455=1,IFERROR(MATCH('ORDENES'!$R451,lista_dias,0),9)*1000000000+IFERROR(MATCH('ORDENES'!$AF451,lista_turnos,0),9)*10000000+IFERROR(MATCH('ORDENES'!$AE451,'TECNICOS'!$B$4:$B$15,0),99)*100000+448,9000000000000+448)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IF(K456=1,IFERROR(MATCH('ORDENES'!$R452,lista_dias,0),9)*1000000000+IFERROR(MATCH('ORDENES'!$AF452,lista_turnos,0),9)*10000000+IFERROR(MATCH('ORDENES'!$AE452,'TECNICOS'!$B$4:$B$15,0),99)*100000+449,9000000000000+449)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IF(K457=1,IFERROR(MATCH('ORDENES'!$R453,lista_dias,0),9)*1000000000+IFERROR(MATCH('ORDENES'!$AF453,lista_turnos,0),9)*10000000+IFERROR(MATCH('ORDENES'!$AE453,'TECNICOS'!$B$4:$B$15,0),99)*100000+450,9000000000000+450)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IF(K458=1,IFERROR(MATCH('ORDENES'!$R454,lista_dias,0),9)*1000000000+IFERROR(MATCH('ORDENES'!$AF454,lista_turnos,0),9)*10000000+IFERROR(MATCH('ORDENES'!$AE454,'TECNICOS'!$B$4:$B$15,0),99)*100000+451,9000000000000+451)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IF(K459=1,IFERROR(MATCH('ORDENES'!$R455,lista_dias,0),9)*1000000000+IFERROR(MATCH('ORDENES'!$AF455,lista_turnos,0),9)*10000000+IFERROR(MATCH('ORDENES'!$AE455,'TECNICOS'!$B$4:$B$15,0),99)*100000+452,9000000000000+452)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IF(K460=1,IFERROR(MATCH('ORDENES'!$R456,lista_dias,0),9)*1000000000+IFERROR(MATCH('ORDENES'!$AF456,lista_turnos,0),9)*10000000+IFERROR(MATCH('ORDENES'!$AE456,'TECNICOS'!$B$4:$B$15,0),99)*100000+453,9000000000000+453)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IF(K461=1,IFERROR(MATCH('ORDENES'!$R457,lista_dias,0),9)*1000000000+IFERROR(MATCH('ORDENES'!$AF457,lista_turnos,0),9)*10000000+IFERROR(MATCH('ORDENES'!$AE457,'TECNICOS'!$B$4:$B$15,0),99)*100000+454,9000000000000+454)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IF(K462=1,IFERROR(MATCH('ORDENES'!$R458,lista_dias,0),9)*1000000000+IFERROR(MATCH('ORDENES'!$AF458,lista_turnos,0),9)*10000000+IFERROR(MATCH('ORDENES'!$AE458,'TECNICOS'!$B$4:$B$15,0),99)*100000+455,9000000000000+455)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IF(K463=1,IFERROR(MATCH('ORDENES'!$R459,lista_dias,0),9)*1000000000+IFERROR(MATCH('ORDENES'!$AF459,lista_turnos,0),9)*10000000+IFERROR(MATCH('ORDENES'!$AE459,'TECNICOS'!$B$4:$B$15,0),99)*100000+456,9000000000000+456)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IF(K464=1,IFERROR(MATCH('ORDENES'!$R460,lista_dias,0),9)*1000000000+IFERROR(MATCH('ORDENES'!$AF460,lista_turnos,0),9)*10000000+IFERROR(MATCH('ORDENES'!$AE460,'TECNICOS'!$B$4:$B$15,0),99)*100000+457,9000000000000+457)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IF(K465=1,IFERROR(MATCH('ORDENES'!$R461,lista_dias,0),9)*1000000000+IFERROR(MATCH('ORDENES'!$AF461,lista_turnos,0),9)*10000000+IFERROR(MATCH('ORDENES'!$AE461,'TECNICOS'!$B$4:$B$15,0),99)*100000+458,9000000000000+458)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IF(K466=1,IFERROR(MATCH('ORDENES'!$R462,lista_dias,0),9)*1000000000+IFERROR(MATCH('ORDENES'!$AF462,lista_turnos,0),9)*10000000+IFERROR(MATCH('ORDENES'!$AE462,'TECNICOS'!$B$4:$B$15,0),99)*100000+459,9000000000000+459)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IF(K467=1,IFERROR(MATCH('ORDENES'!$R463,lista_dias,0),9)*1000000000+IFERROR(MATCH('ORDENES'!$AF463,lista_turnos,0),9)*10000000+IFERROR(MATCH('ORDENES'!$AE463,'TECNICOS'!$B$4:$B$15,0),99)*100000+460,9000000000000+460)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IF(K468=1,IFERROR(MATCH('ORDENES'!$R464,lista_dias,0),9)*1000000000+IFERROR(MATCH('ORDENES'!$AF464,lista_turnos,0),9)*10000000+IFERROR(MATCH('ORDENES'!$AE464,'TECNICOS'!$B$4:$B$15,0),99)*100000+461,9000000000000+461)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IF(K469=1,IFERROR(MATCH('ORDENES'!$R465,lista_dias,0),9)*1000000000+IFERROR(MATCH('ORDENES'!$AF465,lista_turnos,0),9)*10000000+IFERROR(MATCH('ORDENES'!$AE465,'TECNICOS'!$B$4:$B$15,0),99)*100000+462,9000000000000+462)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IF(K470=1,IFERROR(MATCH('ORDENES'!$R466,lista_dias,0),9)*1000000000+IFERROR(MATCH('ORDENES'!$AF466,lista_turnos,0),9)*10000000+IFERROR(MATCH('ORDENES'!$AE466,'TECNICOS'!$B$4:$B$15,0),99)*100000+463,9000000000000+463)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IF(K471=1,IFERROR(MATCH('ORDENES'!$R467,lista_dias,0),9)*1000000000+IFERROR(MATCH('ORDENES'!$AF467,lista_turnos,0),9)*10000000+IFERROR(MATCH('ORDENES'!$AE467,'TECNICOS'!$B$4:$B$15,0),99)*100000+464,9000000000000+464)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IF(K472=1,IFERROR(MATCH('ORDENES'!$R468,lista_dias,0),9)*1000000000+IFERROR(MATCH('ORDENES'!$AF468,lista_turnos,0),9)*10000000+IFERROR(MATCH('ORDENES'!$AE468,'TECNICOS'!$B$4:$B$15,0),99)*100000+465,9000000000000+465)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IF(K473=1,IFERROR(MATCH('ORDENES'!$R469,lista_dias,0),9)*1000000000+IFERROR(MATCH('ORDENES'!$AF469,lista_turnos,0),9)*10000000+IFERROR(MATCH('ORDENES'!$AE469,'TECNICOS'!$B$4:$B$15,0),99)*100000+466,9000000000000+466)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IF(K474=1,IFERROR(MATCH('ORDENES'!$R470,lista_dias,0),9)*1000000000+IFERROR(MATCH('ORDENES'!$AF470,lista_turnos,0),9)*10000000+IFERROR(MATCH('ORDENES'!$AE470,'TECNICOS'!$B$4:$B$15,0),99)*100000+467,9000000000000+467)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IF(K475=1,IFERROR(MATCH('ORDENES'!$R471,lista_dias,0),9)*1000000000+IFERROR(MATCH('ORDENES'!$AF471,lista_turnos,0),9)*10000000+IFERROR(MATCH('ORDENES'!$AE471,'TECNICOS'!$B$4:$B$15,0),99)*100000+468,9000000000000+468)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IF(K476=1,IFERROR(MATCH('ORDENES'!$R472,lista_dias,0),9)*1000000000+IFERROR(MATCH('ORDENES'!$AF472,lista_turnos,0),9)*10000000+IFERROR(MATCH('ORDENES'!$AE472,'TECNICOS'!$B$4:$B$15,0),99)*100000+469,9000000000000+469)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IF(K477=1,IFERROR(MATCH('ORDENES'!$R473,lista_dias,0),9)*1000000000+IFERROR(MATCH('ORDENES'!$AF473,lista_turnos,0),9)*10000000+IFERROR(MATCH('ORDENES'!$AE473,'TECNICOS'!$B$4:$B$15,0),99)*100000+470,9000000000000+470)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IF(K478=1,IFERROR(MATCH('ORDENES'!$R474,lista_dias,0),9)*1000000000+IFERROR(MATCH('ORDENES'!$AF474,lista_turnos,0),9)*10000000+IFERROR(MATCH('ORDENES'!$AE474,'TECNICOS'!$B$4:$B$15,0),99)*100000+471,9000000000000+471)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IF(K479=1,IFERROR(MATCH('ORDENES'!$R475,lista_dias,0),9)*1000000000+IFERROR(MATCH('ORDENES'!$AF475,lista_turnos,0),9)*10000000+IFERROR(MATCH('ORDENES'!$AE475,'TECNICOS'!$B$4:$B$15,0),99)*100000+472,9000000000000+472)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IF(K480=1,IFERROR(MATCH('ORDENES'!$R476,lista_dias,0),9)*1000000000+IFERROR(MATCH('ORDENES'!$AF476,lista_turnos,0),9)*10000000+IFERROR(MATCH('ORDENES'!$AE476,'TECNICOS'!$B$4:$B$15,0),99)*100000+473,9000000000000+473)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IF(K481=1,IFERROR(MATCH('ORDENES'!$R477,lista_dias,0),9)*1000000000+IFERROR(MATCH('ORDENES'!$AF477,lista_turnos,0),9)*10000000+IFERROR(MATCH('ORDENES'!$AE477,'TECNICOS'!$B$4:$B$15,0),99)*100000+474,9000000000000+474)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IF(K482=1,IFERROR(MATCH('ORDENES'!$R478,lista_dias,0),9)*1000000000+IFERROR(MATCH('ORDENES'!$AF478,lista_turnos,0),9)*10000000+IFERROR(MATCH('ORDENES'!$AE478,'TECNICOS'!$B$4:$B$15,0),99)*100000+475,9000000000000+475)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IF(K483=1,IFERROR(MATCH('ORDENES'!$R479,lista_dias,0),9)*1000000000+IFERROR(MATCH('ORDENES'!$AF479,lista_turnos,0),9)*10000000+IFERROR(MATCH('ORDENES'!$AE479,'TECNICOS'!$B$4:$B$15,0),99)*100000+476,9000000000000+476)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IF(K484=1,IFERROR(MATCH('ORDENES'!$R480,lista_dias,0),9)*1000000000+IFERROR(MATCH('ORDENES'!$AF480,lista_turnos,0),9)*10000000+IFERROR(MATCH('ORDENES'!$AE480,'TECNICOS'!$B$4:$B$15,0),99)*100000+477,9000000000000+477)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IF(K485=1,IFERROR(MATCH('ORDENES'!$R481,lista_dias,0),9)*1000000000+IFERROR(MATCH('ORDENES'!$AF481,lista_turnos,0),9)*10000000+IFERROR(MATCH('ORDENES'!$AE481,'TECNICOS'!$B$4:$B$15,0),99)*100000+478,9000000000000+478)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IF(K486=1,IFERROR(MATCH('ORDENES'!$R482,lista_dias,0),9)*1000000000+IFERROR(MATCH('ORDENES'!$AF482,lista_turnos,0),9)*10000000+IFERROR(MATCH('ORDENES'!$AE482,'TECNICOS'!$B$4:$B$15,0),99)*100000+479,9000000000000+479)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IF(K487=1,IFERROR(MATCH('ORDENES'!$R483,lista_dias,0),9)*1000000000+IFERROR(MATCH('ORDENES'!$AF483,lista_turnos,0),9)*10000000+IFERROR(MATCH('ORDENES'!$AE483,'TECNICOS'!$B$4:$B$15,0),99)*100000+480,9000000000000+480)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IF(K488=1,IFERROR(MATCH('ORDENES'!$R484,lista_dias,0),9)*1000000000+IFERROR(MATCH('ORDENES'!$AF484,lista_turnos,0),9)*10000000+IFERROR(MATCH('ORDENES'!$AE484,'TECNICOS'!$B$4:$B$15,0),99)*100000+481,9000000000000+481)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IF(K489=1,IFERROR(MATCH('ORDENES'!$R485,lista_dias,0),9)*1000000000+IFERROR(MATCH('ORDENES'!$AF485,lista_turnos,0),9)*10000000+IFERROR(MATCH('ORDENES'!$AE485,'TECNICOS'!$B$4:$B$15,0),99)*100000+482,9000000000000+482)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IF(K490=1,IFERROR(MATCH('ORDENES'!$R486,lista_dias,0),9)*1000000000+IFERROR(MATCH('ORDENES'!$AF486,lista_turnos,0),9)*10000000+IFERROR(MATCH('ORDENES'!$AE486,'TECNICOS'!$B$4:$B$15,0),99)*100000+483,9000000000000+483)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IF(K491=1,IFERROR(MATCH('ORDENES'!$R487,lista_dias,0),9)*1000000000+IFERROR(MATCH('ORDENES'!$AF487,lista_turnos,0),9)*10000000+IFERROR(MATCH('ORDENES'!$AE487,'TECNICOS'!$B$4:$B$15,0),99)*100000+484,9000000000000+484)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IF(K492=1,IFERROR(MATCH('ORDENES'!$R488,lista_dias,0),9)*1000000000+IFERROR(MATCH('ORDENES'!$AF488,lista_turnos,0),9)*10000000+IFERROR(MATCH('ORDENES'!$AE488,'TECNICOS'!$B$4:$B$15,0),99)*100000+485,9000000000000+485)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IF(K493=1,IFERROR(MATCH('ORDENES'!$R489,lista_dias,0),9)*1000000000+IFERROR(MATCH('ORDENES'!$AF489,lista_turnos,0),9)*10000000+IFERROR(MATCH('ORDENES'!$AE489,'TECNICOS'!$B$4:$B$15,0),99)*100000+486,9000000000000+486)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IF(K494=1,IFERROR(MATCH('ORDENES'!$R490,lista_dias,0),9)*1000000000+IFERROR(MATCH('ORDENES'!$AF490,lista_turnos,0),9)*10000000+IFERROR(MATCH('ORDENES'!$AE490,'TECNICOS'!$B$4:$B$15,0),99)*100000+487,9000000000000+487)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IF(K495=1,IFERROR(MATCH('ORDENES'!$R491,lista_dias,0),9)*1000000000+IFERROR(MATCH('ORDENES'!$AF491,lista_turnos,0),9)*10000000+IFERROR(MATCH('ORDENES'!$AE491,'TECNICOS'!$B$4:$B$15,0),99)*100000+488,9000000000000+488)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IF(K496=1,IFERROR(MATCH('ORDENES'!$R492,lista_dias,0),9)*1000000000+IFERROR(MATCH('ORDENES'!$AF492,lista_turnos,0),9)*10000000+IFERROR(MATCH('ORDENES'!$AE492,'TECNICOS'!$B$4:$B$15,0),99)*100000+489,9000000000000+489)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IF(K497=1,IFERROR(MATCH('ORDENES'!$R493,lista_dias,0),9)*1000000000+IFERROR(MATCH('ORDENES'!$AF493,lista_turnos,0),9)*10000000+IFERROR(MATCH('ORDENES'!$AE493,'TECNICOS'!$B$4:$B$15,0),99)*100000+490,9000000000000+490)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IF(K498=1,IFERROR(MATCH('ORDENES'!$R494,lista_dias,0),9)*1000000000+IFERROR(MATCH('ORDENES'!$AF494,lista_turnos,0),9)*10000000+IFERROR(MATCH('ORDENES'!$AE494,'TECNICOS'!$B$4:$B$15,0),99)*100000+491,9000000000000+491)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IF(K499=1,IFERROR(MATCH('ORDENES'!$R495,lista_dias,0),9)*1000000000+IFERROR(MATCH('ORDENES'!$AF495,lista_turnos,0),9)*10000000+IFERROR(MATCH('ORDENES'!$AE495,'TECNICOS'!$B$4:$B$15,0),99)*100000+492,9000000000000+492)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IF(K500=1,IFERROR(MATCH('ORDENES'!$R496,lista_dias,0),9)*1000000000+IFERROR(MATCH('ORDENES'!$AF496,lista_turnos,0),9)*10000000+IFERROR(MATCH('ORDENES'!$AE496,'TECNICOS'!$B$4:$B$15,0),99)*100000+493,9000000000000+493)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IF(K501=1,IFERROR(MATCH('ORDENES'!$R497,lista_dias,0),9)*1000000000+IFERROR(MATCH('ORDENES'!$AF497,lista_turnos,0),9)*10000000+IFERROR(MATCH('ORDENES'!$AE497,'TECNICOS'!$B$4:$B$15,0),99)*100000+494,9000000000000+494)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IF(K502=1,IFERROR(MATCH('ORDENES'!$R498,lista_dias,0),9)*1000000000+IFERROR(MATCH('ORDENES'!$AF498,lista_turnos,0),9)*10000000+IFERROR(MATCH('ORDENES'!$AE498,'TECNICOS'!$B$4:$B$15,0),99)*100000+495,9000000000000+495)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IF(K503=1,IFERROR(MATCH('ORDENES'!$R499,lista_dias,0),9)*1000000000+IFERROR(MATCH('ORDENES'!$AF499,lista_turnos,0),9)*10000000+IFERROR(MATCH('ORDENES'!$AE499,'TECNICOS'!$B$4:$B$15,0),99)*100000+496,9000000000000+496)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IF(K504=1,IFERROR(MATCH('ORDENES'!$R500,lista_dias,0),9)*1000000000+IFERROR(MATCH('ORDENES'!$AF500,lista_turnos,0),9)*10000000+IFERROR(MATCH('ORDENES'!$AE500,'TECNICOS'!$B$4:$B$15,0),99)*100000+497,9000000000000+497)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IF(K505=1,IFERROR(MATCH('ORDENES'!$R501,lista_dias,0),9)*1000000000+IFERROR(MATCH('ORDENES'!$AF501,lista_turnos,0),9)*10000000+IFERROR(MATCH('ORDENES'!$AE501,'TECNICOS'!$B$4:$B$15,0),99)*100000+498,9000000000000+498)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IF(K506=1,IFERROR(MATCH('ORDENES'!$R502,lista_dias,0),9)*1000000000+IFERROR(MATCH('ORDENES'!$AF502,lista_turnos,0),9)*10000000+IFERROR(MATCH('ORDENES'!$AE502,'TECNICOS'!$B$4:$B$15,0),99)*100000+499,9000000000000+499)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IF(K507=1,IFERROR(MATCH('ORDENES'!$R503,lista_dias,0),9)*1000000000+IFERROR(MATCH('ORDENES'!$AF503,lista_turnos,0),9)*10000000+IFERROR(MATCH('ORDENES'!$AE503,'TECNICOS'!$B$4:$B$15,0),99)*100000+500,9000000000000+500)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IF(K508=1,IFERROR(MATCH('ORDENES'!$R504,lista_dias,0),9)*1000000000+IFERROR(MATCH('ORDENES'!$AF504,lista_turnos,0),9)*10000000+IFERROR(MATCH('ORDENES'!$AE504,'TECNICOS'!$B$4:$B$15,0),99)*100000+501,9000000000000+501)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IF(K509=1,IFERROR(MATCH('ORDENES'!$R505,lista_dias,0),9)*1000000000+IFERROR(MATCH('ORDENES'!$AF505,lista_turnos,0),9)*10000000+IFERROR(MATCH('ORDENES'!$AE505,'TECNICOS'!$B$4:$B$15,0),99)*100000+502,9000000000000+502)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IF(K510=1,IFERROR(MATCH('ORDENES'!$R506,lista_dias,0),9)*1000000000+IFERROR(MATCH('ORDENES'!$AF506,lista_turnos,0),9)*10000000+IFERROR(MATCH('ORDENES'!$AE506,'TECNICOS'!$B$4:$B$15,0),99)*100000+503,9000000000000+503)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IF(K511=1,IFERROR(MATCH('ORDENES'!$R507,lista_dias,0),9)*1000000000+IFERROR(MATCH('ORDENES'!$AF507,lista_turnos,0),9)*10000000+IFERROR(MATCH('ORDENES'!$AE507,'TECNICOS'!$B$4:$B$15,0),99)*100000+504,9000000000000+504)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IF(K512=1,IFERROR(MATCH('ORDENES'!$R508,lista_dias,0),9)*1000000000+IFERROR(MATCH('ORDENES'!$AF508,lista_turnos,0),9)*10000000+IFERROR(MATCH('ORDENES'!$AE508,'TECNICOS'!$B$4:$B$15,0),99)*100000+505,9000000000000+505)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IF(K513=1,IFERROR(MATCH('ORDENES'!$R509,lista_dias,0),9)*1000000000+IFERROR(MATCH('ORDENES'!$AF509,lista_turnos,0),9)*10000000+IFERROR(MATCH('ORDENES'!$AE509,'TECNICOS'!$B$4:$B$15,0),99)*100000+506,9000000000000+506)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IF(K514=1,IFERROR(MATCH('ORDENES'!$R510,lista_dias,0),9)*1000000000+IFERROR(MATCH('ORDENES'!$AF510,lista_turnos,0),9)*10000000+IFERROR(MATCH('ORDENES'!$AE510,'TECNICOS'!$B$4:$B$15,0),99)*100000+507,9000000000000+507)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IF(K515=1,IFERROR(MATCH('ORDENES'!$R511,lista_dias,0),9)*1000000000+IFERROR(MATCH('ORDENES'!$AF511,lista_turnos,0),9)*10000000+IFERROR(MATCH('ORDENES'!$AE511,'TECNICOS'!$B$4:$B$15,0),99)*100000+508,9000000000000+508)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IF(K516=1,IFERROR(MATCH('ORDENES'!$R512,lista_dias,0),9)*1000000000+IFERROR(MATCH('ORDENES'!$AF512,lista_turnos,0),9)*10000000+IFERROR(MATCH('ORDENES'!$AE512,'TECNICOS'!$B$4:$B$15,0),99)*100000+509,9000000000000+509)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IF(K517=1,IFERROR(MATCH('ORDENES'!$R513,lista_dias,0),9)*1000000000+IFERROR(MATCH('ORDENES'!$AF513,lista_turnos,0),9)*10000000+IFERROR(MATCH('ORDENES'!$AE513,'TECNICOS'!$B$4:$B$15,0),99)*100000+510,9000000000000+510)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IF(K518=1,IFERROR(MATCH('ORDENES'!$R514,lista_dias,0),9)*1000000000+IFERROR(MATCH('ORDENES'!$AF514,lista_turnos,0),9)*10000000+IFERROR(MATCH('ORDENES'!$AE514,'TECNICOS'!$B$4:$B$15,0),99)*100000+511,9000000000000+511)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IF(K519=1,IFERROR(MATCH('ORDENES'!$R515,lista_dias,0),9)*1000000000+IFERROR(MATCH('ORDENES'!$AF515,lista_turnos,0),9)*10000000+IFERROR(MATCH('ORDENES'!$AE515,'TECNICOS'!$B$4:$B$15,0),99)*100000+512,9000000000000+512)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IF(K520=1,IFERROR(MATCH('ORDENES'!$R516,lista_dias,0),9)*1000000000+IFERROR(MATCH('ORDENES'!$AF516,lista_turnos,0),9)*10000000+IFERROR(MATCH('ORDENES'!$AE516,'TECNICOS'!$B$4:$B$15,0),99)*100000+513,9000000000000+513)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IF(K521=1,IFERROR(MATCH('ORDENES'!$R517,lista_dias,0),9)*1000000000+IFERROR(MATCH('ORDENES'!$AF517,lista_turnos,0),9)*10000000+IFERROR(MATCH('ORDENES'!$AE517,'TECNICOS'!$B$4:$B$15,0),99)*100000+514,9000000000000+514)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IF(K522=1,IFERROR(MATCH('ORDENES'!$R518,lista_dias,0),9)*1000000000+IFERROR(MATCH('ORDENES'!$AF518,lista_turnos,0),9)*10000000+IFERROR(MATCH('ORDENES'!$AE518,'TECNICOS'!$B$4:$B$15,0),99)*100000+515,9000000000000+515)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IF(K523=1,IFERROR(MATCH('ORDENES'!$R519,lista_dias,0),9)*1000000000+IFERROR(MATCH('ORDENES'!$AF519,lista_turnos,0),9)*10000000+IFERROR(MATCH('ORDENES'!$AE519,'TECNICOS'!$B$4:$B$15,0),99)*100000+516,9000000000000+516)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IF(K524=1,IFERROR(MATCH('ORDENES'!$R520,lista_dias,0),9)*1000000000+IFERROR(MATCH('ORDENES'!$AF520,lista_turnos,0),9)*10000000+IFERROR(MATCH('ORDENES'!$AE520,'TECNICOS'!$B$4:$B$15,0),99)*100000+517,9000000000000+517)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IF(K525=1,IFERROR(MATCH('ORDENES'!$R521,lista_dias,0),9)*1000000000+IFERROR(MATCH('ORDENES'!$AF521,lista_turnos,0),9)*10000000+IFERROR(MATCH('ORDENES'!$AE521,'TECNICOS'!$B$4:$B$15,0),99)*100000+518,9000000000000+518)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IF(K526=1,IFERROR(MATCH('ORDENES'!$R522,lista_dias,0),9)*1000000000+IFERROR(MATCH('ORDENES'!$AF522,lista_turnos,0),9)*10000000+IFERROR(MATCH('ORDENES'!$AE522,'TECNICOS'!$B$4:$B$15,0),99)*100000+519,9000000000000+519)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IF(K527=1,IFERROR(MATCH('ORDENES'!$R523,lista_dias,0),9)*1000000000+IFERROR(MATCH('ORDENES'!$AF523,lista_turnos,0),9)*10000000+IFERROR(MATCH('ORDENES'!$AE523,'TECNICOS'!$B$4:$B$15,0),99)*100000+520,9000000000000+520)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IF(K528=1,IFERROR(MATCH('ORDENES'!$R524,lista_dias,0),9)*1000000000+IFERROR(MATCH('ORDENES'!$AF524,lista_turnos,0),9)*10000000+IFERROR(MATCH('ORDENES'!$AE524,'TECNICOS'!$B$4:$B$15,0),99)*100000+521,9000000000000+521)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IF(K529=1,IFERROR(MATCH('ORDENES'!$R525,lista_dias,0),9)*1000000000+IFERROR(MATCH('ORDENES'!$AF525,lista_turnos,0),9)*10000000+IFERROR(MATCH('ORDENES'!$AE525,'TECNICOS'!$B$4:$B$15,0),99)*100000+522,9000000000000+522)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IF(K530=1,IFERROR(MATCH('ORDENES'!$R526,lista_dias,0),9)*1000000000+IFERROR(MATCH('ORDENES'!$AF526,lista_turnos,0),9)*10000000+IFERROR(MATCH('ORDENES'!$AE526,'TECNICOS'!$B$4:$B$15,0),99)*100000+523,9000000000000+523)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IF(K531=1,IFERROR(MATCH('ORDENES'!$R527,lista_dias,0),9)*1000000000+IFERROR(MATCH('ORDENES'!$AF527,lista_turnos,0),9)*10000000+IFERROR(MATCH('ORDENES'!$AE527,'TECNICOS'!$B$4:$B$15,0),99)*100000+524,9000000000000+524)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IF(K532=1,IFERROR(MATCH('ORDENES'!$R528,lista_dias,0),9)*1000000000+IFERROR(MATCH('ORDENES'!$AF528,lista_turnos,0),9)*10000000+IFERROR(MATCH('ORDENES'!$AE528,'TECNICOS'!$B$4:$B$15,0),99)*100000+525,9000000000000+525)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IF(K533=1,IFERROR(MATCH('ORDENES'!$R529,lista_dias,0),9)*1000000000+IFERROR(MATCH('ORDENES'!$AF529,lista_turnos,0),9)*10000000+IFERROR(MATCH('ORDENES'!$AE529,'TECNICOS'!$B$4:$B$15,0),99)*100000+526,9000000000000+526)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IF(K534=1,IFERROR(MATCH('ORDENES'!$R530,lista_dias,0),9)*1000000000+IFERROR(MATCH('ORDENES'!$AF530,lista_turnos,0),9)*10000000+IFERROR(MATCH('ORDENES'!$AE530,'TECNICOS'!$B$4:$B$15,0),99)*100000+527,9000000000000+527)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IF(K535=1,IFERROR(MATCH('ORDENES'!$R531,lista_dias,0),9)*1000000000+IFERROR(MATCH('ORDENES'!$AF531,lista_turnos,0),9)*10000000+IFERROR(MATCH('ORDENES'!$AE531,'TECNICOS'!$B$4:$B$15,0),99)*100000+528,9000000000000+528)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IF(K536=1,IFERROR(MATCH('ORDENES'!$R532,lista_dias,0),9)*1000000000+IFERROR(MATCH('ORDENES'!$AF532,lista_turnos,0),9)*10000000+IFERROR(MATCH('ORDENES'!$AE532,'TECNICOS'!$B$4:$B$15,0),99)*100000+529,9000000000000+529)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IF(K537=1,IFERROR(MATCH('ORDENES'!$R533,lista_dias,0),9)*1000000000+IFERROR(MATCH('ORDENES'!$AF533,lista_turnos,0),9)*10000000+IFERROR(MATCH('ORDENES'!$AE533,'TECNICOS'!$B$4:$B$15,0),99)*100000+530,9000000000000+530)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IF(K538=1,IFERROR(MATCH('ORDENES'!$R534,lista_dias,0),9)*1000000000+IFERROR(MATCH('ORDENES'!$AF534,lista_turnos,0),9)*10000000+IFERROR(MATCH('ORDENES'!$AE534,'TECNICOS'!$B$4:$B$15,0),99)*100000+531,9000000000000+531)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IF(K539=1,IFERROR(MATCH('ORDENES'!$R535,lista_dias,0),9)*1000000000+IFERROR(MATCH('ORDENES'!$AF535,lista_turnos,0),9)*10000000+IFERROR(MATCH('ORDENES'!$AE535,'TECNICOS'!$B$4:$B$15,0),99)*100000+532,9000000000000+532)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IF(K540=1,IFERROR(MATCH('ORDENES'!$R536,lista_dias,0),9)*1000000000+IFERROR(MATCH('ORDENES'!$AF536,lista_turnos,0),9)*10000000+IFERROR(MATCH('ORDENES'!$AE536,'TECNICOS'!$B$4:$B$15,0),99)*100000+533,9000000000000+533)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IF(K541=1,IFERROR(MATCH('ORDENES'!$R537,lista_dias,0),9)*1000000000+IFERROR(MATCH('ORDENES'!$AF537,lista_turnos,0),9)*10000000+IFERROR(MATCH('ORDENES'!$AE537,'TECNICOS'!$B$4:$B$15,0),99)*100000+534,9000000000000+534)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IF(K542=1,IFERROR(MATCH('ORDENES'!$R538,lista_dias,0),9)*1000000000+IFERROR(MATCH('ORDENES'!$AF538,lista_turnos,0),9)*10000000+IFERROR(MATCH('ORDENES'!$AE538,'TECNICOS'!$B$4:$B$15,0),99)*100000+535,9000000000000+535)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IF(K543=1,IFERROR(MATCH('ORDENES'!$R539,lista_dias,0),9)*1000000000+IFERROR(MATCH('ORDENES'!$AF539,lista_turnos,0),9)*10000000+IFERROR(MATCH('ORDENES'!$AE539,'TECNICOS'!$B$4:$B$15,0),99)*100000+536,9000000000000+536)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IF(K544=1,IFERROR(MATCH('ORDENES'!$R540,lista_dias,0),9)*1000000000+IFERROR(MATCH('ORDENES'!$AF540,lista_turnos,0),9)*10000000+IFERROR(MATCH('ORDENES'!$AE540,'TECNICOS'!$B$4:$B$15,0),99)*100000+537,9000000000000+537)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IF(K545=1,IFERROR(MATCH('ORDENES'!$R541,lista_dias,0),9)*1000000000+IFERROR(MATCH('ORDENES'!$AF541,lista_turnos,0),9)*10000000+IFERROR(MATCH('ORDENES'!$AE541,'TECNICOS'!$B$4:$B$15,0),99)*100000+538,9000000000000+538)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IF(K546=1,IFERROR(MATCH('ORDENES'!$R542,lista_dias,0),9)*1000000000+IFERROR(MATCH('ORDENES'!$AF542,lista_turnos,0),9)*10000000+IFERROR(MATCH('ORDENES'!$AE542,'TECNICOS'!$B$4:$B$15,0),99)*100000+539,9000000000000+539)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IF(K547=1,IFERROR(MATCH('ORDENES'!$R543,lista_dias,0),9)*1000000000+IFERROR(MATCH('ORDENES'!$AF543,lista_turnos,0),9)*10000000+IFERROR(MATCH('ORDENES'!$AE543,'TECNICOS'!$B$4:$B$15,0),99)*100000+540,9000000000000+540)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IF(K548=1,IFERROR(MATCH('ORDENES'!$R544,lista_dias,0),9)*1000000000+IFERROR(MATCH('ORDENES'!$AF544,lista_turnos,0),9)*10000000+IFERROR(MATCH('ORDENES'!$AE544,'TECNICOS'!$B$4:$B$15,0),99)*100000+541,9000000000000+541)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IF(K549=1,IFERROR(MATCH('ORDENES'!$R545,lista_dias,0),9)*1000000000+IFERROR(MATCH('ORDENES'!$AF545,lista_turnos,0),9)*10000000+IFERROR(MATCH('ORDENES'!$AE545,'TECNICOS'!$B$4:$B$15,0),99)*100000+542,9000000000000+542)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IF(K550=1,IFERROR(MATCH('ORDENES'!$R546,lista_dias,0),9)*1000000000+IFERROR(MATCH('ORDENES'!$AF546,lista_turnos,0),9)*10000000+IFERROR(MATCH('ORDENES'!$AE546,'TECNICOS'!$B$4:$B$15,0),99)*100000+543,9000000000000+543)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IF(K551=1,IFERROR(MATCH('ORDENES'!$R547,lista_dias,0),9)*1000000000+IFERROR(MATCH('ORDENES'!$AF547,lista_turnos,0),9)*10000000+IFERROR(MATCH('ORDENES'!$AE547,'TECNICOS'!$B$4:$B$15,0),99)*100000+544,9000000000000+544)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IF(K552=1,IFERROR(MATCH('ORDENES'!$R548,lista_dias,0),9)*1000000000+IFERROR(MATCH('ORDENES'!$AF548,lista_turnos,0),9)*10000000+IFERROR(MATCH('ORDENES'!$AE548,'TECNICOS'!$B$4:$B$15,0),99)*100000+545,9000000000000+545)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IF(K553=1,IFERROR(MATCH('ORDENES'!$R549,lista_dias,0),9)*1000000000+IFERROR(MATCH('ORDENES'!$AF549,lista_turnos,0),9)*10000000+IFERROR(MATCH('ORDENES'!$AE549,'TECNICOS'!$B$4:$B$15,0),99)*100000+546,9000000000000+546)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IF(K554=1,IFERROR(MATCH('ORDENES'!$R550,lista_dias,0),9)*1000000000+IFERROR(MATCH('ORDENES'!$AF550,lista_turnos,0),9)*10000000+IFERROR(MATCH('ORDENES'!$AE550,'TECNICOS'!$B$4:$B$15,0),99)*100000+547,9000000000000+547)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IF(K555=1,IFERROR(MATCH('ORDENES'!$R551,lista_dias,0),9)*1000000000+IFERROR(MATCH('ORDENES'!$AF551,lista_turnos,0),9)*10000000+IFERROR(MATCH('ORDENES'!$AE551,'TECNICOS'!$B$4:$B$15,0),99)*100000+548,9000000000000+548)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IF(K556=1,IFERROR(MATCH('ORDENES'!$R552,lista_dias,0),9)*1000000000+IFERROR(MATCH('ORDENES'!$AF552,lista_turnos,0),9)*10000000+IFERROR(MATCH('ORDENES'!$AE552,'TECNICOS'!$B$4:$B$15,0),99)*100000+549,9000000000000+549)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IF(K557=1,IFERROR(MATCH('ORDENES'!$R553,lista_dias,0),9)*1000000000+IFERROR(MATCH('ORDENES'!$AF553,lista_turnos,0),9)*10000000+IFERROR(MATCH('ORDENES'!$AE553,'TECNICOS'!$B$4:$B$15,0),99)*100000+550,9000000000000+550)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IF(K558=1,IFERROR(MATCH('ORDENES'!$R554,lista_dias,0),9)*1000000000+IFERROR(MATCH('ORDENES'!$AF554,lista_turnos,0),9)*10000000+IFERROR(MATCH('ORDENES'!$AE554,'TECNICOS'!$B$4:$B$15,0),99)*100000+551,9000000000000+551)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IF(K559=1,IFERROR(MATCH('ORDENES'!$R555,lista_dias,0),9)*1000000000+IFERROR(MATCH('ORDENES'!$AF555,lista_turnos,0),9)*10000000+IFERROR(MATCH('ORDENES'!$AE555,'TECNICOS'!$B$4:$B$15,0),99)*100000+552,9000000000000+552)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IF(K560=1,IFERROR(MATCH('ORDENES'!$R556,lista_dias,0),9)*1000000000+IFERROR(MATCH('ORDENES'!$AF556,lista_turnos,0),9)*10000000+IFERROR(MATCH('ORDENES'!$AE556,'TECNICOS'!$B$4:$B$15,0),99)*100000+553,9000000000000+553)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IF(K561=1,IFERROR(MATCH('ORDENES'!$R557,lista_dias,0),9)*1000000000+IFERROR(MATCH('ORDENES'!$AF557,lista_turnos,0),9)*10000000+IFERROR(MATCH('ORDENES'!$AE557,'TECNICOS'!$B$4:$B$15,0),99)*100000+554,9000000000000+554)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IF(K562=1,IFERROR(MATCH('ORDENES'!$R558,lista_dias,0),9)*1000000000+IFERROR(MATCH('ORDENES'!$AF558,lista_turnos,0),9)*10000000+IFERROR(MATCH('ORDENES'!$AE558,'TECNICOS'!$B$4:$B$15,0),99)*100000+555,9000000000000+555)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IF(K563=1,IFERROR(MATCH('ORDENES'!$R559,lista_dias,0),9)*1000000000+IFERROR(MATCH('ORDENES'!$AF559,lista_turnos,0),9)*10000000+IFERROR(MATCH('ORDENES'!$AE559,'TECNICOS'!$B$4:$B$15,0),99)*100000+556,9000000000000+556)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IF(K564=1,IFERROR(MATCH('ORDENES'!$R560,lista_dias,0),9)*1000000000+IFERROR(MATCH('ORDENES'!$AF560,lista_turnos,0),9)*10000000+IFERROR(MATCH('ORDENES'!$AE560,'TECNICOS'!$B$4:$B$15,0),99)*100000+557,9000000000000+557)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IF(K565=1,IFERROR(MATCH('ORDENES'!$R561,lista_dias,0),9)*1000000000+IFERROR(MATCH('ORDENES'!$AF561,lista_turnos,0),9)*10000000+IFERROR(MATCH('ORDENES'!$AE561,'TECNICOS'!$B$4:$B$15,0),99)*100000+558,9000000000000+558)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IF(K566=1,IFERROR(MATCH('ORDENES'!$R562,lista_dias,0),9)*1000000000+IFERROR(MATCH('ORDENES'!$AF562,lista_turnos,0),9)*10000000+IFERROR(MATCH('ORDENES'!$AE562,'TECNICOS'!$B$4:$B$15,0),99)*100000+559,9000000000000+559)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IF(K567=1,IFERROR(MATCH('ORDENES'!$R563,lista_dias,0),9)*1000000000+IFERROR(MATCH('ORDENES'!$AF563,lista_turnos,0),9)*10000000+IFERROR(MATCH('ORDENES'!$AE563,'TECNICOS'!$B$4:$B$15,0),99)*100000+560,9000000000000+560)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IF(K568=1,IFERROR(MATCH('ORDENES'!$R564,lista_dias,0),9)*1000000000+IFERROR(MATCH('ORDENES'!$AF564,lista_turnos,0),9)*10000000+IFERROR(MATCH('ORDENES'!$AE564,'TECNICOS'!$B$4:$B$15,0),99)*100000+561,9000000000000+561)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IF(K569=1,IFERROR(MATCH('ORDENES'!$R565,lista_dias,0),9)*1000000000+IFERROR(MATCH('ORDENES'!$AF565,lista_turnos,0),9)*10000000+IFERROR(MATCH('ORDENES'!$AE565,'TECNICOS'!$B$4:$B$15,0),99)*100000+562,9000000000000+562)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IF(K570=1,IFERROR(MATCH('ORDENES'!$R566,lista_dias,0),9)*1000000000+IFERROR(MATCH('ORDENES'!$AF566,lista_turnos,0),9)*10000000+IFERROR(MATCH('ORDENES'!$AE566,'TECNICOS'!$B$4:$B$15,0),99)*100000+563,9000000000000+563)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IF(K571=1,IFERROR(MATCH('ORDENES'!$R567,lista_dias,0),9)*1000000000+IFERROR(MATCH('ORDENES'!$AF567,lista_turnos,0),9)*10000000+IFERROR(MATCH('ORDENES'!$AE567,'TECNICOS'!$B$4:$B$15,0),99)*100000+564,9000000000000+564)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IF(K572=1,IFERROR(MATCH('ORDENES'!$R568,lista_dias,0),9)*1000000000+IFERROR(MATCH('ORDENES'!$AF568,lista_turnos,0),9)*10000000+IFERROR(MATCH('ORDENES'!$AE568,'TECNICOS'!$B$4:$B$15,0),99)*100000+565,9000000000000+565)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IF(K573=1,IFERROR(MATCH('ORDENES'!$R569,lista_dias,0),9)*1000000000+IFERROR(MATCH('ORDENES'!$AF569,lista_turnos,0),9)*10000000+IFERROR(MATCH('ORDENES'!$AE569,'TECNICOS'!$B$4:$B$15,0),99)*100000+566,9000000000000+566)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IF(K574=1,IFERROR(MATCH('ORDENES'!$R570,lista_dias,0),9)*1000000000+IFERROR(MATCH('ORDENES'!$AF570,lista_turnos,0),9)*10000000+IFERROR(MATCH('ORDENES'!$AE570,'TECNICOS'!$B$4:$B$15,0),99)*100000+567,9000000000000+567)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IF(K575=1,IFERROR(MATCH('ORDENES'!$R571,lista_dias,0),9)*1000000000+IFERROR(MATCH('ORDENES'!$AF571,lista_turnos,0),9)*10000000+IFERROR(MATCH('ORDENES'!$AE571,'TECNICOS'!$B$4:$B$15,0),99)*100000+568,9000000000000+568)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IF(K576=1,IFERROR(MATCH('ORDENES'!$R572,lista_dias,0),9)*1000000000+IFERROR(MATCH('ORDENES'!$AF572,lista_turnos,0),9)*10000000+IFERROR(MATCH('ORDENES'!$AE572,'TECNICOS'!$B$4:$B$15,0),99)*100000+569,9000000000000+569)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IF(K577=1,IFERROR(MATCH('ORDENES'!$R573,lista_dias,0),9)*1000000000+IFERROR(MATCH('ORDENES'!$AF573,lista_turnos,0),9)*10000000+IFERROR(MATCH('ORDENES'!$AE573,'TECNICOS'!$B$4:$B$15,0),99)*100000+570,9000000000000+570)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IF(K578=1,IFERROR(MATCH('ORDENES'!$R574,lista_dias,0),9)*1000000000+IFERROR(MATCH('ORDENES'!$AF574,lista_turnos,0),9)*10000000+IFERROR(MATCH('ORDENES'!$AE574,'TECNICOS'!$B$4:$B$15,0),99)*100000+571,9000000000000+571)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IF(K579=1,IFERROR(MATCH('ORDENES'!$R575,lista_dias,0),9)*1000000000+IFERROR(MATCH('ORDENES'!$AF575,lista_turnos,0),9)*10000000+IFERROR(MATCH('ORDENES'!$AE575,'TECNICOS'!$B$4:$B$15,0),99)*100000+572,9000000000000+572)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IF(K580=1,IFERROR(MATCH('ORDENES'!$R576,lista_dias,0),9)*1000000000+IFERROR(MATCH('ORDENES'!$AF576,lista_turnos,0),9)*10000000+IFERROR(MATCH('ORDENES'!$AE576,'TECNICOS'!$B$4:$B$15,0),99)*100000+573,9000000000000+573)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IF(K581=1,IFERROR(MATCH('ORDENES'!$R577,lista_dias,0),9)*1000000000+IFERROR(MATCH('ORDENES'!$AF577,lista_turnos,0),9)*10000000+IFERROR(MATCH('ORDENES'!$AE577,'TECNICOS'!$B$4:$B$15,0),99)*100000+574,9000000000000+574)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IF(K582=1,IFERROR(MATCH('ORDENES'!$R578,lista_dias,0),9)*1000000000+IFERROR(MATCH('ORDENES'!$AF578,lista_turnos,0),9)*10000000+IFERROR(MATCH('ORDENES'!$AE578,'TECNICOS'!$B$4:$B$15,0),99)*100000+575,9000000000000+575)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IF(K583=1,IFERROR(MATCH('ORDENES'!$R579,lista_dias,0),9)*1000000000+IFERROR(MATCH('ORDENES'!$AF579,lista_turnos,0),9)*10000000+IFERROR(MATCH('ORDENES'!$AE579,'TECNICOS'!$B$4:$B$15,0),99)*100000+576,9000000000000+576)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IF(K584=1,IFERROR(MATCH('ORDENES'!$R580,lista_dias,0),9)*1000000000+IFERROR(MATCH('ORDENES'!$AF580,lista_turnos,0),9)*10000000+IFERROR(MATCH('ORDENES'!$AE580,'TECNICOS'!$B$4:$B$15,0),99)*100000+577,9000000000000+577)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IF(K585=1,IFERROR(MATCH('ORDENES'!$R581,lista_dias,0),9)*1000000000+IFERROR(MATCH('ORDENES'!$AF581,lista_turnos,0),9)*10000000+IFERROR(MATCH('ORDENES'!$AE581,'TECNICOS'!$B$4:$B$15,0),99)*100000+578,9000000000000+578)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IF(K586=1,IFERROR(MATCH('ORDENES'!$R582,lista_dias,0),9)*1000000000+IFERROR(MATCH('ORDENES'!$AF582,lista_turnos,0),9)*10000000+IFERROR(MATCH('ORDENES'!$AE582,'TECNICOS'!$B$4:$B$15,0),99)*100000+579,9000000000000+579)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IF(K587=1,IFERROR(MATCH('ORDENES'!$R583,lista_dias,0),9)*1000000000+IFERROR(MATCH('ORDENES'!$AF583,lista_turnos,0),9)*10000000+IFERROR(MATCH('ORDENES'!$AE583,'TECNICOS'!$B$4:$B$15,0),99)*100000+580,9000000000000+580)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IF(K588=1,IFERROR(MATCH('ORDENES'!$R584,lista_dias,0),9)*1000000000+IFERROR(MATCH('ORDENES'!$AF584,lista_turnos,0),9)*10000000+IFERROR(MATCH('ORDENES'!$AE584,'TECNICOS'!$B$4:$B$15,0),99)*100000+581,9000000000000+581)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IF(K589=1,IFERROR(MATCH('ORDENES'!$R585,lista_dias,0),9)*1000000000+IFERROR(MATCH('ORDENES'!$AF585,lista_turnos,0),9)*10000000+IFERROR(MATCH('ORDENES'!$AE585,'TECNICOS'!$B$4:$B$15,0),99)*100000+582,9000000000000+582)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IF(K590=1,IFERROR(MATCH('ORDENES'!$R586,lista_dias,0),9)*1000000000+IFERROR(MATCH('ORDENES'!$AF586,lista_turnos,0),9)*10000000+IFERROR(MATCH('ORDENES'!$AE586,'TECNICOS'!$B$4:$B$15,0),99)*100000+583,9000000000000+583)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IF(K591=1,IFERROR(MATCH('ORDENES'!$R587,lista_dias,0),9)*1000000000+IFERROR(MATCH('ORDENES'!$AF587,lista_turnos,0),9)*10000000+IFERROR(MATCH('ORDENES'!$AE587,'TECNICOS'!$B$4:$B$15,0),99)*100000+584,9000000000000+584)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IF(K592=1,IFERROR(MATCH('ORDENES'!$R588,lista_dias,0),9)*1000000000+IFERROR(MATCH('ORDENES'!$AF588,lista_turnos,0),9)*10000000+IFERROR(MATCH('ORDENES'!$AE588,'TECNICOS'!$B$4:$B$15,0),99)*100000+585,9000000000000+585)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IF(K593=1,IFERROR(MATCH('ORDENES'!$R589,lista_dias,0),9)*1000000000+IFERROR(MATCH('ORDENES'!$AF589,lista_turnos,0),9)*10000000+IFERROR(MATCH('ORDENES'!$AE589,'TECNICOS'!$B$4:$B$15,0),99)*100000+586,9000000000000+586)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IF(K594=1,IFERROR(MATCH('ORDENES'!$R590,lista_dias,0),9)*1000000000+IFERROR(MATCH('ORDENES'!$AF590,lista_turnos,0),9)*10000000+IFERROR(MATCH('ORDENES'!$AE590,'TECNICOS'!$B$4:$B$15,0),99)*100000+587,9000000000000+587)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IF(K595=1,IFERROR(MATCH('ORDENES'!$R591,lista_dias,0),9)*1000000000+IFERROR(MATCH('ORDENES'!$AF591,lista_turnos,0),9)*10000000+IFERROR(MATCH('ORDENES'!$AE591,'TECNICOS'!$B$4:$B$15,0),99)*100000+588,9000000000000+588)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IF(K596=1,IFERROR(MATCH('ORDENES'!$R592,lista_dias,0),9)*1000000000+IFERROR(MATCH('ORDENES'!$AF592,lista_turnos,0),9)*10000000+IFERROR(MATCH('ORDENES'!$AE592,'TECNICOS'!$B$4:$B$15,0),99)*100000+589,9000000000000+589)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IF(K597=1,IFERROR(MATCH('ORDENES'!$R593,lista_dias,0),9)*1000000000+IFERROR(MATCH('ORDENES'!$AF593,lista_turnos,0),9)*10000000+IFERROR(MATCH('ORDENES'!$AE593,'TECNICOS'!$B$4:$B$15,0),99)*100000+590,9000000000000+590)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IF(K598=1,IFERROR(MATCH('ORDENES'!$R594,lista_dias,0),9)*1000000000+IFERROR(MATCH('ORDENES'!$AF594,lista_turnos,0),9)*10000000+IFERROR(MATCH('ORDENES'!$AE594,'TECNICOS'!$B$4:$B$15,0),99)*100000+591,9000000000000+591)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IF(K599=1,IFERROR(MATCH('ORDENES'!$R595,lista_dias,0),9)*1000000000+IFERROR(MATCH('ORDENES'!$AF595,lista_turnos,0),9)*10000000+IFERROR(MATCH('ORDENES'!$AE595,'TECNICOS'!$B$4:$B$15,0),99)*100000+592,9000000000000+592)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IF(K600=1,IFERROR(MATCH('ORDENES'!$R596,lista_dias,0),9)*1000000000+IFERROR(MATCH('ORDENES'!$AF596,lista_turnos,0),9)*10000000+IFERROR(MATCH('ORDENES'!$AE596,'TECNICOS'!$B$4:$B$15,0),99)*100000+593,9000000000000+593)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IF(K601=1,IFERROR(MATCH('ORDENES'!$R597,lista_dias,0),9)*1000000000+IFERROR(MATCH('ORDENES'!$AF597,lista_turnos,0),9)*10000000+IFERROR(MATCH('ORDENES'!$AE597,'TECNICOS'!$B$4:$B$15,0),99)*100000+594,9000000000000+594)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IF(K602=1,IFERROR(MATCH('ORDENES'!$R598,lista_dias,0),9)*1000000000+IFERROR(MATCH('ORDENES'!$AF598,lista_turnos,0),9)*10000000+IFERROR(MATCH('ORDENES'!$AE598,'TECNICOS'!$B$4:$B$15,0),99)*100000+595,9000000000000+595)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IF(K603=1,IFERROR(MATCH('ORDENES'!$R599,lista_dias,0),9)*1000000000+IFERROR(MATCH('ORDENES'!$AF599,lista_turnos,0),9)*10000000+IFERROR(MATCH('ORDENES'!$AE599,'TECNICOS'!$B$4:$B$15,0),99)*100000+596,9000000000000+596)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IF(K604=1,IFERROR(MATCH('ORDENES'!$R600,lista_dias,0),9)*1000000000+IFERROR(MATCH('ORDENES'!$AF600,lista_turnos,0),9)*10000000+IFERROR(MATCH('ORDENES'!$AE600,'TECNICOS'!$B$4:$B$15,0),99)*100000+597,9000000000000+597)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IF(K605=1,IFERROR(MATCH('ORDENES'!$R601,lista_dias,0),9)*1000000000+IFERROR(MATCH('ORDENES'!$AF601,lista_turnos,0),9)*10000000+IFERROR(MATCH('ORDENES'!$AE601,'TECNICOS'!$B$4:$B$15,0),99)*100000+598,9000000000000+598)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IF(K606=1,IFERROR(MATCH('ORDENES'!$R602,lista_dias,0),9)*1000000000+IFERROR(MATCH('ORDENES'!$AF602,lista_turnos,0),9)*10000000+IFERROR(MATCH('ORDENES'!$AE602,'TECNICOS'!$B$4:$B$15,0),99)*100000+599,9000000000000+599)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IF(K607=1,IFERROR(MATCH('ORDENES'!$R603,lista_dias,0),9)*1000000000+IFERROR(MATCH('ORDENES'!$AF603,lista_turnos,0),9)*10000000+IFERROR(MATCH('ORDENES'!$AE603,'TECNICOS'!$B$4:$B$15,0),99)*100000+600,9000000000000+600)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IF(K608=1,IFERROR(MATCH('ORDENES'!$R604,lista_dias,0),9)*1000000000+IFERROR(MATCH('ORDENES'!$AF604,lista_turnos,0),9)*10000000+IFERROR(MATCH('ORDENES'!$AE604,'TECNICOS'!$B$4:$B$15,0),99)*100000+601,9000000000000+601)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IF(K609=1,IFERROR(MATCH('ORDENES'!$R605,lista_dias,0),9)*1000000000+IFERROR(MATCH('ORDENES'!$AF605,lista_turnos,0),9)*10000000+IFERROR(MATCH('ORDENES'!$AE605,'TECNICOS'!$B$4:$B$15,0),99)*100000+602,9000000000000+602)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IF(K610=1,IFERROR(MATCH('ORDENES'!$R606,lista_dias,0),9)*1000000000+IFERROR(MATCH('ORDENES'!$AF606,lista_turnos,0),9)*10000000+IFERROR(MATCH('ORDENES'!$AE606,'TECNICOS'!$B$4:$B$15,0),99)*100000+603,9000000000000+603)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IF(K611=1,IFERROR(MATCH('ORDENES'!$R607,lista_dias,0),9)*1000000000+IFERROR(MATCH('ORDENES'!$AF607,lista_turnos,0),9)*10000000+IFERROR(MATCH('ORDENES'!$AE607,'TECNICOS'!$B$4:$B$15,0),99)*100000+604,9000000000000+604)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IF(K612=1,IFERROR(MATCH('ORDENES'!$R608,lista_dias,0),9)*1000000000+IFERROR(MATCH('ORDENES'!$AF608,lista_turnos,0),9)*10000000+IFERROR(MATCH('ORDENES'!$AE608,'TECNICOS'!$B$4:$B$15,0),99)*100000+605,9000000000000+605)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IF(K613=1,IFERROR(MATCH('ORDENES'!$R609,lista_dias,0),9)*1000000000+IFERROR(MATCH('ORDENES'!$AF609,lista_turnos,0),9)*10000000+IFERROR(MATCH('ORDENES'!$AE609,'TECNICOS'!$B$4:$B$15,0),99)*100000+606,9000000000000+606)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IF(K614=1,IFERROR(MATCH('ORDENES'!$R610,lista_dias,0),9)*1000000000+IFERROR(MATCH('ORDENES'!$AF610,lista_turnos,0),9)*10000000+IFERROR(MATCH('ORDENES'!$AE610,'TECNICOS'!$B$4:$B$15,0),99)*100000+607,9000000000000+607)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IF(K615=1,IFERROR(MATCH('ORDENES'!$R611,lista_dias,0),9)*1000000000+IFERROR(MATCH('ORDENES'!$AF611,lista_turnos,0),9)*10000000+IFERROR(MATCH('ORDENES'!$AE611,'TECNICOS'!$B$4:$B$15,0),99)*100000+608,9000000000000+608)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IF(K616=1,IFERROR(MATCH('ORDENES'!$R612,lista_dias,0),9)*1000000000+IFERROR(MATCH('ORDENES'!$AF612,lista_turnos,0),9)*10000000+IFERROR(MATCH('ORDENES'!$AE612,'TECNICOS'!$B$4:$B$15,0),99)*100000+609,9000000000000+609)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IF(K617=1,IFERROR(MATCH('ORDENES'!$R613,lista_dias,0),9)*1000000000+IFERROR(MATCH('ORDENES'!$AF613,lista_turnos,0),9)*10000000+IFERROR(MATCH('ORDENES'!$AE613,'TECNICOS'!$B$4:$B$15,0),99)*100000+610,9000000000000+610)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IF(K618=1,IFERROR(MATCH('ORDENES'!$R614,lista_dias,0),9)*1000000000+IFERROR(MATCH('ORDENES'!$AF614,lista_turnos,0),9)*10000000+IFERROR(MATCH('ORDENES'!$AE614,'TECNICOS'!$B$4:$B$15,0),99)*100000+611,9000000000000+611)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IF(K619=1,IFERROR(MATCH('ORDENES'!$R615,lista_dias,0),9)*1000000000+IFERROR(MATCH('ORDENES'!$AF615,lista_turnos,0),9)*10000000+IFERROR(MATCH('ORDENES'!$AE615,'TECNICOS'!$B$4:$B$15,0),99)*100000+612,9000000000000+612)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IF(K620=1,IFERROR(MATCH('ORDENES'!$R616,lista_dias,0),9)*1000000000+IFERROR(MATCH('ORDENES'!$AF616,lista_turnos,0),9)*10000000+IFERROR(MATCH('ORDENES'!$AE616,'TECNICOS'!$B$4:$B$15,0),99)*100000+613,9000000000000+613)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IF(K621=1,IFERROR(MATCH('ORDENES'!$R617,lista_dias,0),9)*1000000000+IFERROR(MATCH('ORDENES'!$AF617,lista_turnos,0),9)*10000000+IFERROR(MATCH('ORDENES'!$AE617,'TECNICOS'!$B$4:$B$15,0),99)*100000+614,9000000000000+614)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IF(K622=1,IFERROR(MATCH('ORDENES'!$R618,lista_dias,0),9)*1000000000+IFERROR(MATCH('ORDENES'!$AF618,lista_turnos,0),9)*10000000+IFERROR(MATCH('ORDENES'!$AE618,'TECNICOS'!$B$4:$B$15,0),99)*100000+615,9000000000000+615)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IF(K623=1,IFERROR(MATCH('ORDENES'!$R619,lista_dias,0),9)*1000000000+IFERROR(MATCH('ORDENES'!$AF619,lista_turnos,0),9)*10000000+IFERROR(MATCH('ORDENES'!$AE619,'TECNICOS'!$B$4:$B$15,0),99)*100000+616,9000000000000+616)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IF(K624=1,IFERROR(MATCH('ORDENES'!$R620,lista_dias,0),9)*1000000000+IFERROR(MATCH('ORDENES'!$AF620,lista_turnos,0),9)*10000000+IFERROR(MATCH('ORDENES'!$AE620,'TECNICOS'!$B$4:$B$15,0),99)*100000+617,9000000000000+617)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IF(K625=1,IFERROR(MATCH('ORDENES'!$R621,lista_dias,0),9)*1000000000+IFERROR(MATCH('ORDENES'!$AF621,lista_turnos,0),9)*10000000+IFERROR(MATCH('ORDENES'!$AE621,'TECNICOS'!$B$4:$B$15,0),99)*100000+618,9000000000000+618)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IF(K626=1,IFERROR(MATCH('ORDENES'!$R622,lista_dias,0),9)*1000000000+IFERROR(MATCH('ORDENES'!$AF622,lista_turnos,0),9)*10000000+IFERROR(MATCH('ORDENES'!$AE622,'TECNICOS'!$B$4:$B$15,0),99)*100000+619,9000000000000+619)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IF(K627=1,IFERROR(MATCH('ORDENES'!$R623,lista_dias,0),9)*1000000000+IFERROR(MATCH('ORDENES'!$AF623,lista_turnos,0),9)*10000000+IFERROR(MATCH('ORDENES'!$AE623,'TECNICOS'!$B$4:$B$15,0),99)*100000+620,9000000000000+620)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IF(K628=1,IFERROR(MATCH('ORDENES'!$R624,lista_dias,0),9)*1000000000+IFERROR(MATCH('ORDENES'!$AF624,lista_turnos,0),9)*10000000+IFERROR(MATCH('ORDENES'!$AE624,'TECNICOS'!$B$4:$B$15,0),99)*100000+621,9000000000000+621)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IF(K629=1,IFERROR(MATCH('ORDENES'!$R625,lista_dias,0),9)*1000000000+IFERROR(MATCH('ORDENES'!$AF625,lista_turnos,0),9)*10000000+IFERROR(MATCH('ORDENES'!$AE625,'TECNICOS'!$B$4:$B$15,0),99)*100000+622,9000000000000+622)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IF(K630=1,IFERROR(MATCH('ORDENES'!$R626,lista_dias,0),9)*1000000000+IFERROR(MATCH('ORDENES'!$AF626,lista_turnos,0),9)*10000000+IFERROR(MATCH('ORDENES'!$AE626,'TECNICOS'!$B$4:$B$15,0),99)*100000+623,9000000000000+623)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IF(K631=1,IFERROR(MATCH('ORDENES'!$R627,lista_dias,0),9)*1000000000+IFERROR(MATCH('ORDENES'!$AF627,lista_turnos,0),9)*10000000+IFERROR(MATCH('ORDENES'!$AE627,'TECNICOS'!$B$4:$B$15,0),99)*100000+624,9000000000000+624)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IF(K632=1,IFERROR(MATCH('ORDENES'!$R628,lista_dias,0),9)*1000000000+IFERROR(MATCH('ORDENES'!$AF628,lista_turnos,0),9)*10000000+IFERROR(MATCH('ORDENES'!$AE628,'TECNICOS'!$B$4:$B$15,0),99)*100000+625,9000000000000+625)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IF(K633=1,IFERROR(MATCH('ORDENES'!$R629,lista_dias,0),9)*1000000000+IFERROR(MATCH('ORDENES'!$AF629,lista_turnos,0),9)*10000000+IFERROR(MATCH('ORDENES'!$AE629,'TECNICOS'!$B$4:$B$15,0),99)*100000+626,9000000000000+626)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IF(K634=1,IFERROR(MATCH('ORDENES'!$R630,lista_dias,0),9)*1000000000+IFERROR(MATCH('ORDENES'!$AF630,lista_turnos,0),9)*10000000+IFERROR(MATCH('ORDENES'!$AE630,'TECNICOS'!$B$4:$B$15,0),99)*100000+627,9000000000000+627)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IF(K635=1,IFERROR(MATCH('ORDENES'!$R631,lista_dias,0),9)*1000000000+IFERROR(MATCH('ORDENES'!$AF631,lista_turnos,0),9)*10000000+IFERROR(MATCH('ORDENES'!$AE631,'TECNICOS'!$B$4:$B$15,0),99)*100000+628,9000000000000+628)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IF(K636=1,IFERROR(MATCH('ORDENES'!$R632,lista_dias,0),9)*1000000000+IFERROR(MATCH('ORDENES'!$AF632,lista_turnos,0),9)*10000000+IFERROR(MATCH('ORDENES'!$AE632,'TECNICOS'!$B$4:$B$15,0),99)*100000+629,9000000000000+629)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IF(K637=1,IFERROR(MATCH('ORDENES'!$R633,lista_dias,0),9)*1000000000+IFERROR(MATCH('ORDENES'!$AF633,lista_turnos,0),9)*10000000+IFERROR(MATCH('ORDENES'!$AE633,'TECNICOS'!$B$4:$B$15,0),99)*100000+630,9000000000000+630)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IF(K638=1,IFERROR(MATCH('ORDENES'!$R634,lista_dias,0),9)*1000000000+IFERROR(MATCH('ORDENES'!$AF634,lista_turnos,0),9)*10000000+IFERROR(MATCH('ORDENES'!$AE634,'TECNICOS'!$B$4:$B$15,0),99)*100000+631,9000000000000+631)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IF(K639=1,IFERROR(MATCH('ORDENES'!$R635,lista_dias,0),9)*1000000000+IFERROR(MATCH('ORDENES'!$AF635,lista_turnos,0),9)*10000000+IFERROR(MATCH('ORDENES'!$AE635,'TECNICOS'!$B$4:$B$15,0),99)*100000+632,9000000000000+632)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IF(K640=1,IFERROR(MATCH('ORDENES'!$R636,lista_dias,0),9)*1000000000+IFERROR(MATCH('ORDENES'!$AF636,lista_turnos,0),9)*10000000+IFERROR(MATCH('ORDENES'!$AE636,'TECNICOS'!$B$4:$B$15,0),99)*100000+633,9000000000000+633)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IF(K641=1,IFERROR(MATCH('ORDENES'!$R637,lista_dias,0),9)*1000000000+IFERROR(MATCH('ORDENES'!$AF637,lista_turnos,0),9)*10000000+IFERROR(MATCH('ORDENES'!$AE637,'TECNICOS'!$B$4:$B$15,0),99)*100000+634,9000000000000+634)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IF(K642=1,IFERROR(MATCH('ORDENES'!$R638,lista_dias,0),9)*1000000000+IFERROR(MATCH('ORDENES'!$AF638,lista_turnos,0),9)*10000000+IFERROR(MATCH('ORDENES'!$AE638,'TECNICOS'!$B$4:$B$15,0),99)*100000+635,9000000000000+635)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IF(K643=1,IFERROR(MATCH('ORDENES'!$R639,lista_dias,0),9)*1000000000+IFERROR(MATCH('ORDENES'!$AF639,lista_turnos,0),9)*10000000+IFERROR(MATCH('ORDENES'!$AE639,'TECNICOS'!$B$4:$B$15,0),99)*100000+636,9000000000000+636)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IF(K644=1,IFERROR(MATCH('ORDENES'!$R640,lista_dias,0),9)*1000000000+IFERROR(MATCH('ORDENES'!$AF640,lista_turnos,0),9)*10000000+IFERROR(MATCH('ORDENES'!$AE640,'TECNICOS'!$B$4:$B$15,0),99)*100000+637,9000000000000+637)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IF(K645=1,IFERROR(MATCH('ORDENES'!$R641,lista_dias,0),9)*1000000000+IFERROR(MATCH('ORDENES'!$AF641,lista_turnos,0),9)*10000000+IFERROR(MATCH('ORDENES'!$AE641,'TECNICOS'!$B$4:$B$15,0),99)*100000+638,9000000000000+638)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IF(K646=1,IFERROR(MATCH('ORDENES'!$R642,lista_dias,0),9)*1000000000+IFERROR(MATCH('ORDENES'!$AF642,lista_turnos,0),9)*10000000+IFERROR(MATCH('ORDENES'!$AE642,'TECNICOS'!$B$4:$B$15,0),99)*100000+639,9000000000000+639)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IF(K647=1,IFERROR(MATCH('ORDENES'!$R643,lista_dias,0),9)*1000000000+IFERROR(MATCH('ORDENES'!$AF643,lista_turnos,0),9)*10000000+IFERROR(MATCH('ORDENES'!$AE643,'TECNICOS'!$B$4:$B$15,0),99)*100000+640,9000000000000+640)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IF(K648=1,IFERROR(MATCH('ORDENES'!$R644,lista_dias,0),9)*1000000000+IFERROR(MATCH('ORDENES'!$AF644,lista_turnos,0),9)*10000000+IFERROR(MATCH('ORDENES'!$AE644,'TECNICOS'!$B$4:$B$15,0),99)*100000+641,9000000000000+641)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IF(K649=1,IFERROR(MATCH('ORDENES'!$R645,lista_dias,0),9)*1000000000+IFERROR(MATCH('ORDENES'!$AF645,lista_turnos,0),9)*10000000+IFERROR(MATCH('ORDENES'!$AE645,'TECNICOS'!$B$4:$B$15,0),99)*100000+642,9000000000000+642)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IF(K650=1,IFERROR(MATCH('ORDENES'!$R646,lista_dias,0),9)*1000000000+IFERROR(MATCH('ORDENES'!$AF646,lista_turnos,0),9)*10000000+IFERROR(MATCH('ORDENES'!$AE646,'TECNICOS'!$B$4:$B$15,0),99)*100000+643,9000000000000+643)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IF(K651=1,IFERROR(MATCH('ORDENES'!$R647,lista_dias,0),9)*1000000000+IFERROR(MATCH('ORDENES'!$AF647,lista_turnos,0),9)*10000000+IFERROR(MATCH('ORDENES'!$AE647,'TECNICOS'!$B$4:$B$15,0),99)*100000+644,9000000000000+644)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IF(K652=1,IFERROR(MATCH('ORDENES'!$R648,lista_dias,0),9)*1000000000+IFERROR(MATCH('ORDENES'!$AF648,lista_turnos,0),9)*10000000+IFERROR(MATCH('ORDENES'!$AE648,'TECNICOS'!$B$4:$B$15,0),99)*100000+645,9000000000000+645)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IF(K653=1,IFERROR(MATCH('ORDENES'!$R649,lista_dias,0),9)*1000000000+IFERROR(MATCH('ORDENES'!$AF649,lista_turnos,0),9)*10000000+IFERROR(MATCH('ORDENES'!$AE649,'TECNICOS'!$B$4:$B$15,0),99)*100000+646,9000000000000+646)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IF(K654=1,IFERROR(MATCH('ORDENES'!$R650,lista_dias,0),9)*1000000000+IFERROR(MATCH('ORDENES'!$AF650,lista_turnos,0),9)*10000000+IFERROR(MATCH('ORDENES'!$AE650,'TECNICOS'!$B$4:$B$15,0),99)*100000+647,9000000000000+647)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IF(K655=1,IFERROR(MATCH('ORDENES'!$R651,lista_dias,0),9)*1000000000+IFERROR(MATCH('ORDENES'!$AF651,lista_turnos,0),9)*10000000+IFERROR(MATCH('ORDENES'!$AE651,'TECNICOS'!$B$4:$B$15,0),99)*100000+648,9000000000000+648)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IF(K656=1,IFERROR(MATCH('ORDENES'!$R652,lista_dias,0),9)*1000000000+IFERROR(MATCH('ORDENES'!$AF652,lista_turnos,0),9)*10000000+IFERROR(MATCH('ORDENES'!$AE652,'TECNICOS'!$B$4:$B$15,0),99)*100000+649,9000000000000+649)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IF(K657=1,IFERROR(MATCH('ORDENES'!$R653,lista_dias,0),9)*1000000000+IFERROR(MATCH('ORDENES'!$AF653,lista_turnos,0),9)*10000000+IFERROR(MATCH('ORDENES'!$AE653,'TECNICOS'!$B$4:$B$15,0),99)*100000+650,9000000000000+650)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IF(K658=1,IFERROR(MATCH('ORDENES'!$R654,lista_dias,0),9)*1000000000+IFERROR(MATCH('ORDENES'!$AF654,lista_turnos,0),9)*10000000+IFERROR(MATCH('ORDENES'!$AE654,'TECNICOS'!$B$4:$B$15,0),99)*100000+651,9000000000000+651)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IF(K659=1,IFERROR(MATCH('ORDENES'!$R655,lista_dias,0),9)*1000000000+IFERROR(MATCH('ORDENES'!$AF655,lista_turnos,0),9)*10000000+IFERROR(MATCH('ORDENES'!$AE655,'TECNICOS'!$B$4:$B$15,0),99)*100000+652,9000000000000+652)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IF(K660=1,IFERROR(MATCH('ORDENES'!$R656,lista_dias,0),9)*1000000000+IFERROR(MATCH('ORDENES'!$AF656,lista_turnos,0),9)*10000000+IFERROR(MATCH('ORDENES'!$AE656,'TECNICOS'!$B$4:$B$15,0),99)*100000+653,9000000000000+653)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IF(K661=1,IFERROR(MATCH('ORDENES'!$R657,lista_dias,0),9)*1000000000+IFERROR(MATCH('ORDENES'!$AF657,lista_turnos,0),9)*10000000+IFERROR(MATCH('ORDENES'!$AE657,'TECNICOS'!$B$4:$B$15,0),99)*100000+654,9000000000000+654)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IF(K662=1,IFERROR(MATCH('ORDENES'!$R658,lista_dias,0),9)*1000000000+IFERROR(MATCH('ORDENES'!$AF658,lista_turnos,0),9)*10000000+IFERROR(MATCH('ORDENES'!$AE658,'TECNICOS'!$B$4:$B$15,0),99)*100000+655,9000000000000+655)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IF(K663=1,IFERROR(MATCH('ORDENES'!$R659,lista_dias,0),9)*1000000000+IFERROR(MATCH('ORDENES'!$AF659,lista_turnos,0),9)*10000000+IFERROR(MATCH('ORDENES'!$AE659,'TECNICOS'!$B$4:$B$15,0),99)*100000+656,9000000000000+656)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IF(K664=1,IFERROR(MATCH('ORDENES'!$R660,lista_dias,0),9)*1000000000+IFERROR(MATCH('ORDENES'!$AF660,lista_turnos,0),9)*10000000+IFERROR(MATCH('ORDENES'!$AE660,'TECNICOS'!$B$4:$B$15,0),99)*100000+657,9000000000000+657)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IF(K665=1,IFERROR(MATCH('ORDENES'!$R661,lista_dias,0),9)*1000000000+IFERROR(MATCH('ORDENES'!$AF661,lista_turnos,0),9)*10000000+IFERROR(MATCH('ORDENES'!$AE661,'TECNICOS'!$B$4:$B$15,0),99)*100000+658,9000000000000+658)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IF(K666=1,IFERROR(MATCH('ORDENES'!$R662,lista_dias,0),9)*1000000000+IFERROR(MATCH('ORDENES'!$AF662,lista_turnos,0),9)*10000000+IFERROR(MATCH('ORDENES'!$AE662,'TECNICOS'!$B$4:$B$15,0),99)*100000+659,9000000000000+659)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IF(K667=1,IFERROR(MATCH('ORDENES'!$R663,lista_dias,0),9)*1000000000+IFERROR(MATCH('ORDENES'!$AF663,lista_turnos,0),9)*10000000+IFERROR(MATCH('ORDENES'!$AE663,'TECNICOS'!$B$4:$B$15,0),99)*100000+660,9000000000000+660)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IF(K668=1,IFERROR(MATCH('ORDENES'!$R664,lista_dias,0),9)*1000000000+IFERROR(MATCH('ORDENES'!$AF664,lista_turnos,0),9)*10000000+IFERROR(MATCH('ORDENES'!$AE664,'TECNICOS'!$B$4:$B$15,0),99)*100000+661,9000000000000+661)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IF(K669=1,IFERROR(MATCH('ORDENES'!$R665,lista_dias,0),9)*1000000000+IFERROR(MATCH('ORDENES'!$AF665,lista_turnos,0),9)*10000000+IFERROR(MATCH('ORDENES'!$AE665,'TECNICOS'!$B$4:$B$15,0),99)*100000+662,9000000000000+662)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IF(K670=1,IFERROR(MATCH('ORDENES'!$R666,lista_dias,0),9)*1000000000+IFERROR(MATCH('ORDENES'!$AF666,lista_turnos,0),9)*10000000+IFERROR(MATCH('ORDENES'!$AE666,'TECNICOS'!$B$4:$B$15,0),99)*100000+663,9000000000000+663)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IF(K671=1,IFERROR(MATCH('ORDENES'!$R667,lista_dias,0),9)*1000000000+IFERROR(MATCH('ORDENES'!$AF667,lista_turnos,0),9)*10000000+IFERROR(MATCH('ORDENES'!$AE667,'TECNICOS'!$B$4:$B$15,0),99)*100000+664,9000000000000+664)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IF(K672=1,IFERROR(MATCH('ORDENES'!$R668,lista_dias,0),9)*1000000000+IFERROR(MATCH('ORDENES'!$AF668,lista_turnos,0),9)*10000000+IFERROR(MATCH('ORDENES'!$AE668,'TECNICOS'!$B$4:$B$15,0),99)*100000+665,9000000000000+665)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IF(K673=1,IFERROR(MATCH('ORDENES'!$R669,lista_dias,0),9)*1000000000+IFERROR(MATCH('ORDENES'!$AF669,lista_turnos,0),9)*10000000+IFERROR(MATCH('ORDENES'!$AE669,'TECNICOS'!$B$4:$B$15,0),99)*100000+666,9000000000000+666)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IF(K674=1,IFERROR(MATCH('ORDENES'!$R670,lista_dias,0),9)*1000000000+IFERROR(MATCH('ORDENES'!$AF670,lista_turnos,0),9)*10000000+IFERROR(MATCH('ORDENES'!$AE670,'TECNICOS'!$B$4:$B$15,0),99)*100000+667,9000000000000+667)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IF(K675=1,IFERROR(MATCH('ORDENES'!$R671,lista_dias,0),9)*1000000000+IFERROR(MATCH('ORDENES'!$AF671,lista_turnos,0),9)*10000000+IFERROR(MATCH('ORDENES'!$AE671,'TECNICOS'!$B$4:$B$15,0),99)*100000+668,9000000000000+668)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IF(K676=1,IFERROR(MATCH('ORDENES'!$R672,lista_dias,0),9)*1000000000+IFERROR(MATCH('ORDENES'!$AF672,lista_turnos,0),9)*10000000+IFERROR(MATCH('ORDENES'!$AE672,'TECNICOS'!$B$4:$B$15,0),99)*100000+669,9000000000000+669)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IF(K677=1,IFERROR(MATCH('ORDENES'!$R673,lista_dias,0),9)*1000000000+IFERROR(MATCH('ORDENES'!$AF673,lista_turnos,0),9)*10000000+IFERROR(MATCH('ORDENES'!$AE673,'TECNICOS'!$B$4:$B$15,0),99)*100000+670,9000000000000+670)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IF(K678=1,IFERROR(MATCH('ORDENES'!$R674,lista_dias,0),9)*1000000000+IFERROR(MATCH('ORDENES'!$AF674,lista_turnos,0),9)*10000000+IFERROR(MATCH('ORDENES'!$AE674,'TECNICOS'!$B$4:$B$15,0),99)*100000+671,9000000000000+671)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IF(K679=1,IFERROR(MATCH('ORDENES'!$R675,lista_dias,0),9)*1000000000+IFERROR(MATCH('ORDENES'!$AF675,lista_turnos,0),9)*10000000+IFERROR(MATCH('ORDENES'!$AE675,'TECNICOS'!$B$4:$B$15,0),99)*100000+672,9000000000000+672)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IF(K680=1,IFERROR(MATCH('ORDENES'!$R676,lista_dias,0),9)*1000000000+IFERROR(MATCH('ORDENES'!$AF676,lista_turnos,0),9)*10000000+IFERROR(MATCH('ORDENES'!$AE676,'TECNICOS'!$B$4:$B$15,0),99)*100000+673,9000000000000+673)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IF(K681=1,IFERROR(MATCH('ORDENES'!$R677,lista_dias,0),9)*1000000000+IFERROR(MATCH('ORDENES'!$AF677,lista_turnos,0),9)*10000000+IFERROR(MATCH('ORDENES'!$AE677,'TECNICOS'!$B$4:$B$15,0),99)*100000+674,9000000000000+674)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IF(K682=1,IFERROR(MATCH('ORDENES'!$R678,lista_dias,0),9)*1000000000+IFERROR(MATCH('ORDENES'!$AF678,lista_turnos,0),9)*10000000+IFERROR(MATCH('ORDENES'!$AE678,'TECNICOS'!$B$4:$B$15,0),99)*100000+675,9000000000000+675)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IF(K683=1,IFERROR(MATCH('ORDENES'!$R679,lista_dias,0),9)*1000000000+IFERROR(MATCH('ORDENES'!$AF679,lista_turnos,0),9)*10000000+IFERROR(MATCH('ORDENES'!$AE679,'TECNICOS'!$B$4:$B$15,0),99)*100000+676,9000000000000+676)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IF(K684=1,IFERROR(MATCH('ORDENES'!$R680,lista_dias,0),9)*1000000000+IFERROR(MATCH('ORDENES'!$AF680,lista_turnos,0),9)*10000000+IFERROR(MATCH('ORDENES'!$AE680,'TECNICOS'!$B$4:$B$15,0),99)*100000+677,9000000000000+677)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IF(K685=1,IFERROR(MATCH('ORDENES'!$R681,lista_dias,0),9)*1000000000+IFERROR(MATCH('ORDENES'!$AF681,lista_turnos,0),9)*10000000+IFERROR(MATCH('ORDENES'!$AE681,'TECNICOS'!$B$4:$B$15,0),99)*100000+678,9000000000000+678)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IF(K686=1,IFERROR(MATCH('ORDENES'!$R682,lista_dias,0),9)*1000000000+IFERROR(MATCH('ORDENES'!$AF682,lista_turnos,0),9)*10000000+IFERROR(MATCH('ORDENES'!$AE682,'TECNICOS'!$B$4:$B$15,0),99)*100000+679,9000000000000+679)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IF(K687=1,IFERROR(MATCH('ORDENES'!$R683,lista_dias,0),9)*1000000000+IFERROR(MATCH('ORDENES'!$AF683,lista_turnos,0),9)*10000000+IFERROR(MATCH('ORDENES'!$AE683,'TECNICOS'!$B$4:$B$15,0),99)*100000+680,9000000000000+680)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IF(K688=1,IFERROR(MATCH('ORDENES'!$R684,lista_dias,0),9)*1000000000+IFERROR(MATCH('ORDENES'!$AF684,lista_turnos,0),9)*10000000+IFERROR(MATCH('ORDENES'!$AE684,'TECNICOS'!$B$4:$B$15,0),99)*100000+681,9000000000000+681)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IF(K689=1,IFERROR(MATCH('ORDENES'!$R685,lista_dias,0),9)*1000000000+IFERROR(MATCH('ORDENES'!$AF685,lista_turnos,0),9)*10000000+IFERROR(MATCH('ORDENES'!$AE685,'TECNICOS'!$B$4:$B$15,0),99)*100000+682,9000000000000+682)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IF(K690=1,IFERROR(MATCH('ORDENES'!$R686,lista_dias,0),9)*1000000000+IFERROR(MATCH('ORDENES'!$AF686,lista_turnos,0),9)*10000000+IFERROR(MATCH('ORDENES'!$AE686,'TECNICOS'!$B$4:$B$15,0),99)*100000+683,9000000000000+683)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IF(K691=1,IFERROR(MATCH('ORDENES'!$R687,lista_dias,0),9)*1000000000+IFERROR(MATCH('ORDENES'!$AF687,lista_turnos,0),9)*10000000+IFERROR(MATCH('ORDENES'!$AE687,'TECNICOS'!$B$4:$B$15,0),99)*100000+684,9000000000000+684)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IF(K692=1,IFERROR(MATCH('ORDENES'!$R688,lista_dias,0),9)*1000000000+IFERROR(MATCH('ORDENES'!$AF688,lista_turnos,0),9)*10000000+IFERROR(MATCH('ORDENES'!$AE688,'TECNICOS'!$B$4:$B$15,0),99)*100000+685,9000000000000+685)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IF(K693=1,IFERROR(MATCH('ORDENES'!$R689,lista_dias,0),9)*1000000000+IFERROR(MATCH('ORDENES'!$AF689,lista_turnos,0),9)*10000000+IFERROR(MATCH('ORDENES'!$AE689,'TECNICOS'!$B$4:$B$15,0),99)*100000+686,9000000000000+686)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IF(K694=1,IFERROR(MATCH('ORDENES'!$R690,lista_dias,0),9)*1000000000+IFERROR(MATCH('ORDENES'!$AF690,lista_turnos,0),9)*10000000+IFERROR(MATCH('ORDENES'!$AE690,'TECNICOS'!$B$4:$B$15,0),99)*100000+687,9000000000000+687)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IF(K695=1,IFERROR(MATCH('ORDENES'!$R691,lista_dias,0),9)*1000000000+IFERROR(MATCH('ORDENES'!$AF691,lista_turnos,0),9)*10000000+IFERROR(MATCH('ORDENES'!$AE691,'TECNICOS'!$B$4:$B$15,0),99)*100000+688,9000000000000+688)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IF(K696=1,IFERROR(MATCH('ORDENES'!$R692,lista_dias,0),9)*1000000000+IFERROR(MATCH('ORDENES'!$AF692,lista_turnos,0),9)*10000000+IFERROR(MATCH('ORDENES'!$AE692,'TECNICOS'!$B$4:$B$15,0),99)*100000+689,9000000000000+689)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IF(K697=1,IFERROR(MATCH('ORDENES'!$R693,lista_dias,0),9)*1000000000+IFERROR(MATCH('ORDENES'!$AF693,lista_turnos,0),9)*10000000+IFERROR(MATCH('ORDENES'!$AE693,'TECNICOS'!$B$4:$B$15,0),99)*100000+690,9000000000000+690)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IF(K698=1,IFERROR(MATCH('ORDENES'!$R694,lista_dias,0),9)*1000000000+IFERROR(MATCH('ORDENES'!$AF694,lista_turnos,0),9)*10000000+IFERROR(MATCH('ORDENES'!$AE694,'TECNICOS'!$B$4:$B$15,0),99)*100000+691,9000000000000+691)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IF(K699=1,IFERROR(MATCH('ORDENES'!$R695,lista_dias,0),9)*1000000000+IFERROR(MATCH('ORDENES'!$AF695,lista_turnos,0),9)*10000000+IFERROR(MATCH('ORDENES'!$AE695,'TECNICOS'!$B$4:$B$15,0),99)*100000+692,9000000000000+692)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IF(K700=1,IFERROR(MATCH('ORDENES'!$R696,lista_dias,0),9)*1000000000+IFERROR(MATCH('ORDENES'!$AF696,lista_turnos,0),9)*10000000+IFERROR(MATCH('ORDENES'!$AE696,'TECNICOS'!$B$4:$B$15,0),99)*100000+693,9000000000000+693)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IF(K701=1,IFERROR(MATCH('ORDENES'!$R697,lista_dias,0),9)*1000000000+IFERROR(MATCH('ORDENES'!$AF697,lista_turnos,0),9)*10000000+IFERROR(MATCH('ORDENES'!$AE697,'TECNICOS'!$B$4:$B$15,0),99)*100000+694,9000000000000+694)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IF(K702=1,IFERROR(MATCH('ORDENES'!$R698,lista_dias,0),9)*1000000000+IFERROR(MATCH('ORDENES'!$AF698,lista_turnos,0),9)*10000000+IFERROR(MATCH('ORDENES'!$AE698,'TECNICOS'!$B$4:$B$15,0),99)*100000+695,9000000000000+695)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IF(K703=1,IFERROR(MATCH('ORDENES'!$R699,lista_dias,0),9)*1000000000+IFERROR(MATCH('ORDENES'!$AF699,lista_turnos,0),9)*10000000+IFERROR(MATCH('ORDENES'!$AE699,'TECNICOS'!$B$4:$B$15,0),99)*100000+696,9000000000000+696)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IF(K704=1,IFERROR(MATCH('ORDENES'!$R700,lista_dias,0),9)*1000000000+IFERROR(MATCH('ORDENES'!$AF700,lista_turnos,0),9)*10000000+IFERROR(MATCH('ORDENES'!$AE700,'TECNICOS'!$B$4:$B$15,0),99)*100000+697,9000000000000+697)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IF(K705=1,IFERROR(MATCH('ORDENES'!$R701,lista_dias,0),9)*1000000000+IFERROR(MATCH('ORDENES'!$AF701,lista_turnos,0),9)*10000000+IFERROR(MATCH('ORDENES'!$AE701,'TECNICOS'!$B$4:$B$15,0),99)*100000+698,9000000000000+698)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IF(K706=1,IFERROR(MATCH('ORDENES'!$R702,lista_dias,0),9)*1000000000+IFERROR(MATCH('ORDENES'!$AF702,lista_turnos,0),9)*10000000+IFERROR(MATCH('ORDENES'!$AE702,'TECNICOS'!$B$4:$B$15,0),99)*100000+699,9000000000000+699)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IF(K707=1,IFERROR(MATCH('ORDENES'!$R703,lista_dias,0),9)*1000000000+IFERROR(MATCH('ORDENES'!$AF703,lista_turnos,0),9)*10000000+IFERROR(MATCH('ORDENES'!$AE703,'TECNICOS'!$B$4:$B$15,0),99)*100000+700,9000000000000+700)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IF(K708=1,IFERROR(MATCH('ORDENES'!$R704,lista_dias,0),9)*1000000000+IFERROR(MATCH('ORDENES'!$AF704,lista_turnos,0),9)*10000000+IFERROR(MATCH('ORDENES'!$AE704,'TECNICOS'!$B$4:$B$15,0),99)*100000+701,9000000000000+701)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IF(K709=1,IFERROR(MATCH('ORDENES'!$R705,lista_dias,0),9)*1000000000+IFERROR(MATCH('ORDENES'!$AF705,lista_turnos,0),9)*10000000+IFERROR(MATCH('ORDENES'!$AE705,'TECNICOS'!$B$4:$B$15,0),99)*100000+702,9000000000000+702)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IF(K710=1,IFERROR(MATCH('ORDENES'!$R706,lista_dias,0),9)*1000000000+IFERROR(MATCH('ORDENES'!$AF706,lista_turnos,0),9)*10000000+IFERROR(MATCH('ORDENES'!$AE706,'TECNICOS'!$B$4:$B$15,0),99)*100000+703,9000000000000+703)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IF(K711=1,IFERROR(MATCH('ORDENES'!$R707,lista_dias,0),9)*1000000000+IFERROR(MATCH('ORDENES'!$AF707,lista_turnos,0),9)*10000000+IFERROR(MATCH('ORDENES'!$AE707,'TECNICOS'!$B$4:$B$15,0),99)*100000+704,9000000000000+704)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IF(K712=1,IFERROR(MATCH('ORDENES'!$R708,lista_dias,0),9)*1000000000+IFERROR(MATCH('ORDENES'!$AF708,lista_turnos,0),9)*10000000+IFERROR(MATCH('ORDENES'!$AE708,'TECNICOS'!$B$4:$B$15,0),99)*100000+705,9000000000000+705)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IF(K713=1,IFERROR(MATCH('ORDENES'!$R709,lista_dias,0),9)*1000000000+IFERROR(MATCH('ORDENES'!$AF709,lista_turnos,0),9)*10000000+IFERROR(MATCH('ORDENES'!$AE709,'TECNICOS'!$B$4:$B$15,0),99)*100000+706,9000000000000+706)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IF(K714=1,IFERROR(MATCH('ORDENES'!$R710,lista_dias,0),9)*1000000000+IFERROR(MATCH('ORDENES'!$AF710,lista_turnos,0),9)*10000000+IFERROR(MATCH('ORDENES'!$AE710,'TECNICOS'!$B$4:$B$15,0),99)*100000+707,9000000000000+707)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IF(K715=1,IFERROR(MATCH('ORDENES'!$R711,lista_dias,0),9)*1000000000+IFERROR(MATCH('ORDENES'!$AF711,lista_turnos,0),9)*10000000+IFERROR(MATCH('ORDENES'!$AE711,'TECNICOS'!$B$4:$B$15,0),99)*100000+708,9000000000000+708)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IF(K716=1,IFERROR(MATCH('ORDENES'!$R712,lista_dias,0),9)*1000000000+IFERROR(MATCH('ORDENES'!$AF712,lista_turnos,0),9)*10000000+IFERROR(MATCH('ORDENES'!$AE712,'TECNICOS'!$B$4:$B$15,0),99)*100000+709,9000000000000+709)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IF(K717=1,IFERROR(MATCH('ORDENES'!$R713,lista_dias,0),9)*1000000000+IFERROR(MATCH('ORDENES'!$AF713,lista_turnos,0),9)*10000000+IFERROR(MATCH('ORDENES'!$AE713,'TECNICOS'!$B$4:$B$15,0),99)*100000+710,9000000000000+710)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IF(K718=1,IFERROR(MATCH('ORDENES'!$R714,lista_dias,0),9)*1000000000+IFERROR(MATCH('ORDENES'!$AF714,lista_turnos,0),9)*10000000+IFERROR(MATCH('ORDENES'!$AE714,'TECNICOS'!$B$4:$B$15,0),99)*100000+711,9000000000000+711)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IF(K719=1,IFERROR(MATCH('ORDENES'!$R715,lista_dias,0),9)*1000000000+IFERROR(MATCH('ORDENES'!$AF715,lista_turnos,0),9)*10000000+IFERROR(MATCH('ORDENES'!$AE715,'TECNICOS'!$B$4:$B$15,0),99)*100000+712,9000000000000+712)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IF(K720=1,IFERROR(MATCH('ORDENES'!$R716,lista_dias,0),9)*1000000000+IFERROR(MATCH('ORDENES'!$AF716,lista_turnos,0),9)*10000000+IFERROR(MATCH('ORDENES'!$AE716,'TECNICOS'!$B$4:$B$15,0),99)*100000+713,9000000000000+713)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IF(K721=1,IFERROR(MATCH('ORDENES'!$R717,lista_dias,0),9)*1000000000+IFERROR(MATCH('ORDENES'!$AF717,lista_turnos,0),9)*10000000+IFERROR(MATCH('ORDENES'!$AE717,'TECNICOS'!$B$4:$B$15,0),99)*100000+714,9000000000000+714)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IF(K722=1,IFERROR(MATCH('ORDENES'!$R718,lista_dias,0),9)*1000000000+IFERROR(MATCH('ORDENES'!$AF718,lista_turnos,0),9)*10000000+IFERROR(MATCH('ORDENES'!$AE718,'TECNICOS'!$B$4:$B$15,0),99)*100000+715,9000000000000+715)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IF(K723=1,IFERROR(MATCH('ORDENES'!$R719,lista_dias,0),9)*1000000000+IFERROR(MATCH('ORDENES'!$AF719,lista_turnos,0),9)*10000000+IFERROR(MATCH('ORDENES'!$AE719,'TECNICOS'!$B$4:$B$15,0),99)*100000+716,9000000000000+716)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IF(K724=1,IFERROR(MATCH('ORDENES'!$R720,lista_dias,0),9)*1000000000+IFERROR(MATCH('ORDENES'!$AF720,lista_turnos,0),9)*10000000+IFERROR(MATCH('ORDENES'!$AE720,'TECNICOS'!$B$4:$B$15,0),99)*100000+717,9000000000000+717)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IF(K725=1,IFERROR(MATCH('ORDENES'!$R721,lista_dias,0),9)*1000000000+IFERROR(MATCH('ORDENES'!$AF721,lista_turnos,0),9)*10000000+IFERROR(MATCH('ORDENES'!$AE721,'TECNICOS'!$B$4:$B$15,0),99)*100000+718,9000000000000+718)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IF(K726=1,IFERROR(MATCH('ORDENES'!$R722,lista_dias,0),9)*1000000000+IFERROR(MATCH('ORDENES'!$AF722,lista_turnos,0),9)*10000000+IFERROR(MATCH('ORDENES'!$AE722,'TECNICOS'!$B$4:$B$15,0),99)*100000+719,9000000000000+719)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IF(K727=1,IFERROR(MATCH('ORDENES'!$R723,lista_dias,0),9)*1000000000+IFERROR(MATCH('ORDENES'!$AF723,lista_turnos,0),9)*10000000+IFERROR(MATCH('ORDENES'!$AE723,'TECNICOS'!$B$4:$B$15,0),99)*100000+720,9000000000000+720)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IF(K728=1,IFERROR(MATCH('ORDENES'!$R724,lista_dias,0),9)*1000000000+IFERROR(MATCH('ORDENES'!$AF724,lista_turnos,0),9)*10000000+IFERROR(MATCH('ORDENES'!$AE724,'TECNICOS'!$B$4:$B$15,0),99)*100000+721,9000000000000+721)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IF(K729=1,IFERROR(MATCH('ORDENES'!$R725,lista_dias,0),9)*1000000000+IFERROR(MATCH('ORDENES'!$AF725,lista_turnos,0),9)*10000000+IFERROR(MATCH('ORDENES'!$AE725,'TECNICOS'!$B$4:$B$15,0),99)*100000+722,9000000000000+722)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IF(K730=1,IFERROR(MATCH('ORDENES'!$R726,lista_dias,0),9)*1000000000+IFERROR(MATCH('ORDENES'!$AF726,lista_turnos,0),9)*10000000+IFERROR(MATCH('ORDENES'!$AE726,'TECNICOS'!$B$4:$B$15,0),99)*100000+723,9000000000000+723)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IF(K731=1,IFERROR(MATCH('ORDENES'!$R727,lista_dias,0),9)*1000000000+IFERROR(MATCH('ORDENES'!$AF727,lista_turnos,0),9)*10000000+IFERROR(MATCH('ORDENES'!$AE727,'TECNICOS'!$B$4:$B$15,0),99)*100000+724,9000000000000+724)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IF(K732=1,IFERROR(MATCH('ORDENES'!$R728,lista_dias,0),9)*1000000000+IFERROR(MATCH('ORDENES'!$AF728,lista_turnos,0),9)*10000000+IFERROR(MATCH('ORDENES'!$AE728,'TECNICOS'!$B$4:$B$15,0),99)*100000+725,9000000000000+725)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IF(K733=1,IFERROR(MATCH('ORDENES'!$R729,lista_dias,0),9)*1000000000+IFERROR(MATCH('ORDENES'!$AF729,lista_turnos,0),9)*10000000+IFERROR(MATCH('ORDENES'!$AE729,'TECNICOS'!$B$4:$B$15,0),99)*100000+726,9000000000000+726)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IF(K734=1,IFERROR(MATCH('ORDENES'!$R730,lista_dias,0),9)*1000000000+IFERROR(MATCH('ORDENES'!$AF730,lista_turnos,0),9)*10000000+IFERROR(MATCH('ORDENES'!$AE730,'TECNICOS'!$B$4:$B$15,0),99)*100000+727,9000000000000+727)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IF(K735=1,IFERROR(MATCH('ORDENES'!$R731,lista_dias,0),9)*1000000000+IFERROR(MATCH('ORDENES'!$AF731,lista_turnos,0),9)*10000000+IFERROR(MATCH('ORDENES'!$AE731,'TECNICOS'!$B$4:$B$15,0),99)*100000+728,9000000000000+728)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IF(K736=1,IFERROR(MATCH('ORDENES'!$R732,lista_dias,0),9)*1000000000+IFERROR(MATCH('ORDENES'!$AF732,lista_turnos,0),9)*10000000+IFERROR(MATCH('ORDENES'!$AE732,'TECNICOS'!$B$4:$B$15,0),99)*100000+729,9000000000000+729)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IF(K737=1,IFERROR(MATCH('ORDENES'!$R733,lista_dias,0),9)*1000000000+IFERROR(MATCH('ORDENES'!$AF733,lista_turnos,0),9)*10000000+IFERROR(MATCH('ORDENES'!$AE733,'TECNICOS'!$B$4:$B$15,0),99)*100000+730,9000000000000+730)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IF(K738=1,IFERROR(MATCH('ORDENES'!$R734,lista_dias,0),9)*1000000000+IFERROR(MATCH('ORDENES'!$AF734,lista_turnos,0),9)*10000000+IFERROR(MATCH('ORDENES'!$AE734,'TECNICOS'!$B$4:$B$15,0),99)*100000+731,9000000000000+731)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IF(K739=1,IFERROR(MATCH('ORDENES'!$R735,lista_dias,0),9)*1000000000+IFERROR(MATCH('ORDENES'!$AF735,lista_turnos,0),9)*10000000+IFERROR(MATCH('ORDENES'!$AE735,'TECNICOS'!$B$4:$B$15,0),99)*100000+732,9000000000000+732)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IF(K740=1,IFERROR(MATCH('ORDENES'!$R736,lista_dias,0),9)*1000000000+IFERROR(MATCH('ORDENES'!$AF736,lista_turnos,0),9)*10000000+IFERROR(MATCH('ORDENES'!$AE736,'TECNICOS'!$B$4:$B$15,0),99)*100000+733,9000000000000+733)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IF(K741=1,IFERROR(MATCH('ORDENES'!$R737,lista_dias,0),9)*1000000000+IFERROR(MATCH('ORDENES'!$AF737,lista_turnos,0),9)*10000000+IFERROR(MATCH('ORDENES'!$AE737,'TECNICOS'!$B$4:$B$15,0),99)*100000+734,9000000000000+734)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IF(K742=1,IFERROR(MATCH('ORDENES'!$R738,lista_dias,0),9)*1000000000+IFERROR(MATCH('ORDENES'!$AF738,lista_turnos,0),9)*10000000+IFERROR(MATCH('ORDENES'!$AE738,'TECNICOS'!$B$4:$B$15,0),99)*100000+735,9000000000000+735)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IF(K743=1,IFERROR(MATCH('ORDENES'!$R739,lista_dias,0),9)*1000000000+IFERROR(MATCH('ORDENES'!$AF739,lista_turnos,0),9)*10000000+IFERROR(MATCH('ORDENES'!$AE739,'TECNICOS'!$B$4:$B$15,0),99)*100000+736,9000000000000+736)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IF(K744=1,IFERROR(MATCH('ORDENES'!$R740,lista_dias,0),9)*1000000000+IFERROR(MATCH('ORDENES'!$AF740,lista_turnos,0),9)*10000000+IFERROR(MATCH('ORDENES'!$AE740,'TECNICOS'!$B$4:$B$15,0),99)*100000+737,9000000000000+737)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IF(K745=1,IFERROR(MATCH('ORDENES'!$R741,lista_dias,0),9)*1000000000+IFERROR(MATCH('ORDENES'!$AF741,lista_turnos,0),9)*10000000+IFERROR(MATCH('ORDENES'!$AE741,'TECNICOS'!$B$4:$B$15,0),99)*100000+738,9000000000000+738)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IF(K746=1,IFERROR(MATCH('ORDENES'!$R742,lista_dias,0),9)*1000000000+IFERROR(MATCH('ORDENES'!$AF742,lista_turnos,0),9)*10000000+IFERROR(MATCH('ORDENES'!$AE742,'TECNICOS'!$B$4:$B$15,0),99)*100000+739,9000000000000+739)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IF(K747=1,IFERROR(MATCH('ORDENES'!$R743,lista_dias,0),9)*1000000000+IFERROR(MATCH('ORDENES'!$AF743,lista_turnos,0),9)*10000000+IFERROR(MATCH('ORDENES'!$AE743,'TECNICOS'!$B$4:$B$15,0),99)*100000+740,9000000000000+740)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IF(K748=1,IFERROR(MATCH('ORDENES'!$R744,lista_dias,0),9)*1000000000+IFERROR(MATCH('ORDENES'!$AF744,lista_turnos,0),9)*10000000+IFERROR(MATCH('ORDENES'!$AE744,'TECNICOS'!$B$4:$B$15,0),99)*100000+741,9000000000000+741)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IF(K749=1,IFERROR(MATCH('ORDENES'!$R745,lista_dias,0),9)*1000000000+IFERROR(MATCH('ORDENES'!$AF745,lista_turnos,0),9)*10000000+IFERROR(MATCH('ORDENES'!$AE745,'TECNICOS'!$B$4:$B$15,0),99)*100000+742,9000000000000+742)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IF(K750=1,IFERROR(MATCH('ORDENES'!$R746,lista_dias,0),9)*1000000000+IFERROR(MATCH('ORDENES'!$AF746,lista_turnos,0),9)*10000000+IFERROR(MATCH('ORDENES'!$AE746,'TECNICOS'!$B$4:$B$15,0),99)*100000+743,9000000000000+743)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IF(K751=1,IFERROR(MATCH('ORDENES'!$R747,lista_dias,0),9)*1000000000+IFERROR(MATCH('ORDENES'!$AF747,lista_turnos,0),9)*10000000+IFERROR(MATCH('ORDENES'!$AE747,'TECNICOS'!$B$4:$B$15,0),99)*100000+744,9000000000000+744)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IF(K752=1,IFERROR(MATCH('ORDENES'!$R748,lista_dias,0),9)*1000000000+IFERROR(MATCH('ORDENES'!$AF748,lista_turnos,0),9)*10000000+IFERROR(MATCH('ORDENES'!$AE748,'TECNICOS'!$B$4:$B$15,0),99)*100000+745,9000000000000+745)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IF(K753=1,IFERROR(MATCH('ORDENES'!$R749,lista_dias,0),9)*1000000000+IFERROR(MATCH('ORDENES'!$AF749,lista_turnos,0),9)*10000000+IFERROR(MATCH('ORDENES'!$AE749,'TECNICOS'!$B$4:$B$15,0),99)*100000+746,9000000000000+746)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IF(K754=1,IFERROR(MATCH('ORDENES'!$R750,lista_dias,0),9)*1000000000+IFERROR(MATCH('ORDENES'!$AF750,lista_turnos,0),9)*10000000+IFERROR(MATCH('ORDENES'!$AE750,'TECNICOS'!$B$4:$B$15,0),99)*100000+747,9000000000000+747)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IF(K755=1,IFERROR(MATCH('ORDENES'!$R751,lista_dias,0),9)*1000000000+IFERROR(MATCH('ORDENES'!$AF751,lista_turnos,0),9)*10000000+IFERROR(MATCH('ORDENES'!$AE751,'TECNICOS'!$B$4:$B$15,0),99)*100000+748,9000000000000+748)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IF(K756=1,IFERROR(MATCH('ORDENES'!$R752,lista_dias,0),9)*1000000000+IFERROR(MATCH('ORDENES'!$AF752,lista_turnos,0),9)*10000000+IFERROR(MATCH('ORDENES'!$AE752,'TECNICOS'!$B$4:$B$15,0),99)*100000+749,9000000000000+749)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IF(K757=1,IFERROR(MATCH('ORDENES'!$R753,lista_dias,0),9)*1000000000+IFERROR(MATCH('ORDENES'!$AF753,lista_turnos,0),9)*10000000+IFERROR(MATCH('ORDENES'!$AE753,'TECNICOS'!$B$4:$B$15,0),99)*100000+750,9000000000000+750)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IF(K758=1,IFERROR(MATCH('ORDENES'!$R754,lista_dias,0),9)*1000000000+IFERROR(MATCH('ORDENES'!$AF754,lista_turnos,0),9)*10000000+IFERROR(MATCH('ORDENES'!$AE754,'TECNICOS'!$B$4:$B$15,0),99)*100000+751,9000000000000+751)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IF(K759=1,IFERROR(MATCH('ORDENES'!$R755,lista_dias,0),9)*1000000000+IFERROR(MATCH('ORDENES'!$AF755,lista_turnos,0),9)*10000000+IFERROR(MATCH('ORDENES'!$AE755,'TECNICOS'!$B$4:$B$15,0),99)*100000+752,9000000000000+752)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IF(K760=1,IFERROR(MATCH('ORDENES'!$R756,lista_dias,0),9)*1000000000+IFERROR(MATCH('ORDENES'!$AF756,lista_turnos,0),9)*10000000+IFERROR(MATCH('ORDENES'!$AE756,'TECNICOS'!$B$4:$B$15,0),99)*100000+753,9000000000000+753)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IF(K761=1,IFERROR(MATCH('ORDENES'!$R757,lista_dias,0),9)*1000000000+IFERROR(MATCH('ORDENES'!$AF757,lista_turnos,0),9)*10000000+IFERROR(MATCH('ORDENES'!$AE757,'TECNICOS'!$B$4:$B$15,0),99)*100000+754,9000000000000+754)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IF(K762=1,IFERROR(MATCH('ORDENES'!$R758,lista_dias,0),9)*1000000000+IFERROR(MATCH('ORDENES'!$AF758,lista_turnos,0),9)*10000000+IFERROR(MATCH('ORDENES'!$AE758,'TECNICOS'!$B$4:$B$15,0),99)*100000+755,9000000000000+755)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IF(K763=1,IFERROR(MATCH('ORDENES'!$R759,lista_dias,0),9)*1000000000+IFERROR(MATCH('ORDENES'!$AF759,lista_turnos,0),9)*10000000+IFERROR(MATCH('ORDENES'!$AE759,'TECNICOS'!$B$4:$B$15,0),99)*100000+756,9000000000000+756)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IF(K764=1,IFERROR(MATCH('ORDENES'!$R760,lista_dias,0),9)*1000000000+IFERROR(MATCH('ORDENES'!$AF760,lista_turnos,0),9)*10000000+IFERROR(MATCH('ORDENES'!$AE760,'TECNICOS'!$B$4:$B$15,0),99)*100000+757,9000000000000+757)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IF(K765=1,IFERROR(MATCH('ORDENES'!$R761,lista_dias,0),9)*1000000000+IFERROR(MATCH('ORDENES'!$AF761,lista_turnos,0),9)*10000000+IFERROR(MATCH('ORDENES'!$AE761,'TECNICOS'!$B$4:$B$15,0),99)*100000+758,9000000000000+758)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IF(K766=1,IFERROR(MATCH('ORDENES'!$R762,lista_dias,0),9)*1000000000+IFERROR(MATCH('ORDENES'!$AF762,lista_turnos,0),9)*10000000+IFERROR(MATCH('ORDENES'!$AE762,'TECNICOS'!$B$4:$B$15,0),99)*100000+759,9000000000000+759)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IF(K767=1,IFERROR(MATCH('ORDENES'!$R763,lista_dias,0),9)*1000000000+IFERROR(MATCH('ORDENES'!$AF763,lista_turnos,0),9)*10000000+IFERROR(MATCH('ORDENES'!$AE763,'TECNICOS'!$B$4:$B$15,0),99)*100000+760,9000000000000+760)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IF(K768=1,IFERROR(MATCH('ORDENES'!$R764,lista_dias,0),9)*1000000000+IFERROR(MATCH('ORDENES'!$AF764,lista_turnos,0),9)*10000000+IFERROR(MATCH('ORDENES'!$AE764,'TECNICOS'!$B$4:$B$15,0),99)*100000+761,9000000000000+761)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IF(K769=1,IFERROR(MATCH('ORDENES'!$R765,lista_dias,0),9)*1000000000+IFERROR(MATCH('ORDENES'!$AF765,lista_turnos,0),9)*10000000+IFERROR(MATCH('ORDENES'!$AE765,'TECNICOS'!$B$4:$B$15,0),99)*100000+762,9000000000000+762)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IF(K770=1,IFERROR(MATCH('ORDENES'!$R766,lista_dias,0),9)*1000000000+IFERROR(MATCH('ORDENES'!$AF766,lista_turnos,0),9)*10000000+IFERROR(MATCH('ORDENES'!$AE766,'TECNICOS'!$B$4:$B$15,0),99)*100000+763,9000000000000+763)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IF(K771=1,IFERROR(MATCH('ORDENES'!$R767,lista_dias,0),9)*1000000000+IFERROR(MATCH('ORDENES'!$AF767,lista_turnos,0),9)*10000000+IFERROR(MATCH('ORDENES'!$AE767,'TECNICOS'!$B$4:$B$15,0),99)*100000+764,9000000000000+764)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IF(K772=1,IFERROR(MATCH('ORDENES'!$R768,lista_dias,0),9)*1000000000+IFERROR(MATCH('ORDENES'!$AF768,lista_turnos,0),9)*10000000+IFERROR(MATCH('ORDENES'!$AE768,'TECNICOS'!$B$4:$B$15,0),99)*100000+765,9000000000000+765)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IF(K773=1,IFERROR(MATCH('ORDENES'!$R769,lista_dias,0),9)*1000000000+IFERROR(MATCH('ORDENES'!$AF769,lista_turnos,0),9)*10000000+IFERROR(MATCH('ORDENES'!$AE769,'TECNICOS'!$B$4:$B$15,0),99)*100000+766,9000000000000+766)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IF(K774=1,IFERROR(MATCH('ORDENES'!$R770,lista_dias,0),9)*1000000000+IFERROR(MATCH('ORDENES'!$AF770,lista_turnos,0),9)*10000000+IFERROR(MATCH('ORDENES'!$AE770,'TECNICOS'!$B$4:$B$15,0),99)*100000+767,9000000000000+767)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IF(K775=1,IFERROR(MATCH('ORDENES'!$R771,lista_dias,0),9)*1000000000+IFERROR(MATCH('ORDENES'!$AF771,lista_turnos,0),9)*10000000+IFERROR(MATCH('ORDENES'!$AE771,'TECNICOS'!$B$4:$B$15,0),99)*100000+768,9000000000000+768)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IF(K776=1,IFERROR(MATCH('ORDENES'!$R772,lista_dias,0),9)*1000000000+IFERROR(MATCH('ORDENES'!$AF772,lista_turnos,0),9)*10000000+IFERROR(MATCH('ORDENES'!$AE772,'TECNICOS'!$B$4:$B$15,0),99)*100000+769,9000000000000+769)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IF(K777=1,IFERROR(MATCH('ORDENES'!$R773,lista_dias,0),9)*1000000000+IFERROR(MATCH('ORDENES'!$AF773,lista_turnos,0),9)*10000000+IFERROR(MATCH('ORDENES'!$AE773,'TECNICOS'!$B$4:$B$15,0),99)*100000+770,9000000000000+770)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IF(K778=1,IFERROR(MATCH('ORDENES'!$R774,lista_dias,0),9)*1000000000+IFERROR(MATCH('ORDENES'!$AF774,lista_turnos,0),9)*10000000+IFERROR(MATCH('ORDENES'!$AE774,'TECNICOS'!$B$4:$B$15,0),99)*100000+771,9000000000000+771)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IF(K779=1,IFERROR(MATCH('ORDENES'!$R775,lista_dias,0),9)*1000000000+IFERROR(MATCH('ORDENES'!$AF775,lista_turnos,0),9)*10000000+IFERROR(MATCH('ORDENES'!$AE775,'TECNICOS'!$B$4:$B$15,0),99)*100000+772,9000000000000+772)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IF(K780=1,IFERROR(MATCH('ORDENES'!$R776,lista_dias,0),9)*1000000000+IFERROR(MATCH('ORDENES'!$AF776,lista_turnos,0),9)*10000000+IFERROR(MATCH('ORDENES'!$AE776,'TECNICOS'!$B$4:$B$15,0),99)*100000+773,9000000000000+773)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IF(K781=1,IFERROR(MATCH('ORDENES'!$R777,lista_dias,0),9)*1000000000+IFERROR(MATCH('ORDENES'!$AF777,lista_turnos,0),9)*10000000+IFERROR(MATCH('ORDENES'!$AE777,'TECNICOS'!$B$4:$B$15,0),99)*100000+774,9000000000000+774)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IF(K782=1,IFERROR(MATCH('ORDENES'!$R778,lista_dias,0),9)*1000000000+IFERROR(MATCH('ORDENES'!$AF778,lista_turnos,0),9)*10000000+IFERROR(MATCH('ORDENES'!$AE778,'TECNICOS'!$B$4:$B$15,0),99)*100000+775,9000000000000+775)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IF(K783=1,IFERROR(MATCH('ORDENES'!$R779,lista_dias,0),9)*1000000000+IFERROR(MATCH('ORDENES'!$AF779,lista_turnos,0),9)*10000000+IFERROR(MATCH('ORDENES'!$AE779,'TECNICOS'!$B$4:$B$15,0),99)*100000+776,9000000000000+776)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IF(K784=1,IFERROR(MATCH('ORDENES'!$R780,lista_dias,0),9)*1000000000+IFERROR(MATCH('ORDENES'!$AF780,lista_turnos,0),9)*10000000+IFERROR(MATCH('ORDENES'!$AE780,'TECNICOS'!$B$4:$B$15,0),99)*100000+777,9000000000000+777)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IF(K785=1,IFERROR(MATCH('ORDENES'!$R781,lista_dias,0),9)*1000000000+IFERROR(MATCH('ORDENES'!$AF781,lista_turnos,0),9)*10000000+IFERROR(MATCH('ORDENES'!$AE781,'TECNICOS'!$B$4:$B$15,0),99)*100000+778,9000000000000+778)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IF(K786=1,IFERROR(MATCH('ORDENES'!$R782,lista_dias,0),9)*1000000000+IFERROR(MATCH('ORDENES'!$AF782,lista_turnos,0),9)*10000000+IFERROR(MATCH('ORDENES'!$AE782,'TECNICOS'!$B$4:$B$15,0),99)*100000+779,9000000000000+779)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IF(K787=1,IFERROR(MATCH('ORDENES'!$R783,lista_dias,0),9)*1000000000+IFERROR(MATCH('ORDENES'!$AF783,lista_turnos,0),9)*10000000+IFERROR(MATCH('ORDENES'!$AE783,'TECNICOS'!$B$4:$B$15,0),99)*100000+780,9000000000000+780)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IF(K788=1,IFERROR(MATCH('ORDENES'!$R784,lista_dias,0),9)*1000000000+IFERROR(MATCH('ORDENES'!$AF784,lista_turnos,0),9)*10000000+IFERROR(MATCH('ORDENES'!$AE784,'TECNICOS'!$B$4:$B$15,0),99)*100000+781,9000000000000+781)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IF(K789=1,IFERROR(MATCH('ORDENES'!$R785,lista_dias,0),9)*1000000000+IFERROR(MATCH('ORDENES'!$AF785,lista_turnos,0),9)*10000000+IFERROR(MATCH('ORDENES'!$AE785,'TECNICOS'!$B$4:$B$15,0),99)*100000+782,9000000000000+782)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IF(K790=1,IFERROR(MATCH('ORDENES'!$R786,lista_dias,0),9)*1000000000+IFERROR(MATCH('ORDENES'!$AF786,lista_turnos,0),9)*10000000+IFERROR(MATCH('ORDENES'!$AE786,'TECNICOS'!$B$4:$B$15,0),99)*100000+783,9000000000000+783)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IF(K791=1,IFERROR(MATCH('ORDENES'!$R787,lista_dias,0),9)*1000000000+IFERROR(MATCH('ORDENES'!$AF787,lista_turnos,0),9)*10000000+IFERROR(MATCH('ORDENES'!$AE787,'TECNICOS'!$B$4:$B$15,0),99)*100000+784,9000000000000+784)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IF(K792=1,IFERROR(MATCH('ORDENES'!$R788,lista_dias,0),9)*1000000000+IFERROR(MATCH('ORDENES'!$AF788,lista_turnos,0),9)*10000000+IFERROR(MATCH('ORDENES'!$AE788,'TECNICOS'!$B$4:$B$15,0),99)*100000+785,9000000000000+785)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IF(K793=1,IFERROR(MATCH('ORDENES'!$R789,lista_dias,0),9)*1000000000+IFERROR(MATCH('ORDENES'!$AF789,lista_turnos,0),9)*10000000+IFERROR(MATCH('ORDENES'!$AE789,'TECNICOS'!$B$4:$B$15,0),99)*100000+786,9000000000000+786)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IF(K794=1,IFERROR(MATCH('ORDENES'!$R790,lista_dias,0),9)*1000000000+IFERROR(MATCH('ORDENES'!$AF790,lista_turnos,0),9)*10000000+IFERROR(MATCH('ORDENES'!$AE790,'TECNICOS'!$B$4:$B$15,0),99)*100000+787,9000000000000+787)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IF(K795=1,IFERROR(MATCH('ORDENES'!$R791,lista_dias,0),9)*1000000000+IFERROR(MATCH('ORDENES'!$AF791,lista_turnos,0),9)*10000000+IFERROR(MATCH('ORDENES'!$AE791,'TECNICOS'!$B$4:$B$15,0),99)*100000+788,9000000000000+788)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IF(K796=1,IFERROR(MATCH('ORDENES'!$R792,lista_dias,0),9)*1000000000+IFERROR(MATCH('ORDENES'!$AF792,lista_turnos,0),9)*10000000+IFERROR(MATCH('ORDENES'!$AE792,'TECNICOS'!$B$4:$B$15,0),99)*100000+789,9000000000000+789)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IF(K797=1,IFERROR(MATCH('ORDENES'!$R793,lista_dias,0),9)*1000000000+IFERROR(MATCH('ORDENES'!$AF793,lista_turnos,0),9)*10000000+IFERROR(MATCH('ORDENES'!$AE793,'TECNICOS'!$B$4:$B$15,0),99)*100000+790,9000000000000+790)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IF(K798=1,IFERROR(MATCH('ORDENES'!$R794,lista_dias,0),9)*1000000000+IFERROR(MATCH('ORDENES'!$AF794,lista_turnos,0),9)*10000000+IFERROR(MATCH('ORDENES'!$AE794,'TECNICOS'!$B$4:$B$15,0),99)*100000+791,9000000000000+791)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IF(K799=1,IFERROR(MATCH('ORDENES'!$R795,lista_dias,0),9)*1000000000+IFERROR(MATCH('ORDENES'!$AF795,lista_turnos,0),9)*10000000+IFERROR(MATCH('ORDENES'!$AE795,'TECNICOS'!$B$4:$B$15,0),99)*100000+792,9000000000000+792)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IF(K800=1,IFERROR(MATCH('ORDENES'!$R796,lista_dias,0),9)*1000000000+IFERROR(MATCH('ORDENES'!$AF796,lista_turnos,0),9)*10000000+IFERROR(MATCH('ORDENES'!$AE796,'TECNICOS'!$B$4:$B$15,0),99)*100000+793,9000000000000+793)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IF(K801=1,IFERROR(MATCH('ORDENES'!$R797,lista_dias,0),9)*1000000000+IFERROR(MATCH('ORDENES'!$AF797,lista_turnos,0),9)*10000000+IFERROR(MATCH('ORDENES'!$AE797,'TECNICOS'!$B$4:$B$15,0),99)*100000+794,9000000000000+794)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IF(K802=1,IFERROR(MATCH('ORDENES'!$R798,lista_dias,0),9)*1000000000+IFERROR(MATCH('ORDENES'!$AF798,lista_turnos,0),9)*10000000+IFERROR(MATCH('ORDENES'!$AE798,'TECNICOS'!$B$4:$B$15,0),99)*100000+795,9000000000000+795)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IF(K803=1,IFERROR(MATCH('ORDENES'!$R799,lista_dias,0),9)*1000000000+IFERROR(MATCH('ORDENES'!$AF799,lista_turnos,0),9)*10000000+IFERROR(MATCH('ORDENES'!$AE799,'TECNICOS'!$B$4:$B$15,0),99)*100000+796,9000000000000+796)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IF(K804=1,IFERROR(MATCH('ORDENES'!$R800,lista_dias,0),9)*1000000000+IFERROR(MATCH('ORDENES'!$AF800,lista_turnos,0),9)*10000000+IFERROR(MATCH('ORDENES'!$AE800,'TECNICOS'!$B$4:$B$15,0),99)*100000+797,9000000000000+797)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IF(K805=1,IFERROR(MATCH('ORDENES'!$R801,lista_dias,0),9)*1000000000+IFERROR(MATCH('ORDENES'!$AF801,lista_turnos,0),9)*10000000+IFERROR(MATCH('ORDENES'!$AE801,'TECNICOS'!$B$4:$B$15,0),99)*100000+798,9000000000000+798)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IF(K806=1,IFERROR(MATCH('ORDENES'!$R802,lista_dias,0),9)*1000000000+IFERROR(MATCH('ORDENES'!$AF802,lista_turnos,0),9)*10000000+IFERROR(MATCH('ORDENES'!$AE802,'TECNICOS'!$B$4:$B$15,0),99)*100000+799,9000000000000+799)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IF(K807=1,IFERROR(MATCH('ORDENES'!$R803,lista_dias,0),9)*1000000000+IFERROR(MATCH('ORDENES'!$AF803,lista_turnos,0),9)*10000000+IFERROR(MATCH('ORDENES'!$AE803,'TECNICOS'!$B$4:$B$15,0),99)*100000+800,9000000000000+800)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IF(K808=1,IFERROR(MATCH('ORDENES'!$R804,lista_dias,0),9)*1000000000+IFERROR(MATCH('ORDENES'!$AF804,lista_turnos,0),9)*10000000+IFERROR(MATCH('ORDENES'!$AE804,'TECNICOS'!$B$4:$B$15,0),99)*100000+801,9000000000000+801)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IF(K809=1,IFERROR(MATCH('ORDENES'!$R805,lista_dias,0),9)*1000000000+IFERROR(MATCH('ORDENES'!$AF805,lista_turnos,0),9)*10000000+IFERROR(MATCH('ORDENES'!$AE805,'TECNICOS'!$B$4:$B$15,0),99)*100000+802,9000000000000+802)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IF(K810=1,IFERROR(MATCH('ORDENES'!$R806,lista_dias,0),9)*1000000000+IFERROR(MATCH('ORDENES'!$AF806,lista_turnos,0),9)*10000000+IFERROR(MATCH('ORDENES'!$AE806,'TECNICOS'!$B$4:$B$15,0),99)*100000+803,9000000000000+803)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IF(K811=1,IFERROR(MATCH('ORDENES'!$R807,lista_dias,0),9)*1000000000+IFERROR(MATCH('ORDENES'!$AF807,lista_turnos,0),9)*10000000+IFERROR(MATCH('ORDENES'!$AE807,'TECNICOS'!$B$4:$B$15,0),99)*100000+804,9000000000000+804)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IF(K812=1,IFERROR(MATCH('ORDENES'!$R808,lista_dias,0),9)*1000000000+IFERROR(MATCH('ORDENES'!$AF808,lista_turnos,0),9)*10000000+IFERROR(MATCH('ORDENES'!$AE808,'TECNICOS'!$B$4:$B$15,0),99)*100000+805,9000000000000+805)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IF(K813=1,IFERROR(MATCH('ORDENES'!$R809,lista_dias,0),9)*1000000000+IFERROR(MATCH('ORDENES'!$AF809,lista_turnos,0),9)*10000000+IFERROR(MATCH('ORDENES'!$AE809,'TECNICOS'!$B$4:$B$15,0),99)*100000+806,9000000000000+806)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IF(K814=1,IFERROR(MATCH('ORDENES'!$R810,lista_dias,0),9)*1000000000+IFERROR(MATCH('ORDENES'!$AF810,lista_turnos,0),9)*10000000+IFERROR(MATCH('ORDENES'!$AE810,'TECNICOS'!$B$4:$B$15,0),99)*100000+807,9000000000000+807)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IF(K815=1,IFERROR(MATCH('ORDENES'!$R811,lista_dias,0),9)*1000000000+IFERROR(MATCH('ORDENES'!$AF811,lista_turnos,0),9)*10000000+IFERROR(MATCH('ORDENES'!$AE811,'TECNICOS'!$B$4:$B$15,0),99)*100000+808,9000000000000+808)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IF(K816=1,IFERROR(MATCH('ORDENES'!$R812,lista_dias,0),9)*1000000000+IFERROR(MATCH('ORDENES'!$AF812,lista_turnos,0),9)*10000000+IFERROR(MATCH('ORDENES'!$AE812,'TECNICOS'!$B$4:$B$15,0),99)*100000+809,9000000000000+809)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IF(K817=1,IFERROR(MATCH('ORDENES'!$R813,lista_dias,0),9)*1000000000+IFERROR(MATCH('ORDENES'!$AF813,lista_turnos,0),9)*10000000+IFERROR(MATCH('ORDENES'!$AE813,'TECNICOS'!$B$4:$B$15,0),99)*100000+810,9000000000000+810)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IF(K818=1,IFERROR(MATCH('ORDENES'!$R814,lista_dias,0),9)*1000000000+IFERROR(MATCH('ORDENES'!$AF814,lista_turnos,0),9)*10000000+IFERROR(MATCH('ORDENES'!$AE814,'TECNICOS'!$B$4:$B$15,0),99)*100000+811,9000000000000+811)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IF(K819=1,IFERROR(MATCH('ORDENES'!$R815,lista_dias,0),9)*1000000000+IFERROR(MATCH('ORDENES'!$AF815,lista_turnos,0),9)*10000000+IFERROR(MATCH('ORDENES'!$AE815,'TECNICOS'!$B$4:$B$15,0),99)*100000+812,9000000000000+812)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IF(K820=1,IFERROR(MATCH('ORDENES'!$R816,lista_dias,0),9)*1000000000+IFERROR(MATCH('ORDENES'!$AF816,lista_turnos,0),9)*10000000+IFERROR(MATCH('ORDENES'!$AE816,'TECNICOS'!$B$4:$B$15,0),99)*100000+813,9000000000000+813)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IF(K821=1,IFERROR(MATCH('ORDENES'!$R817,lista_dias,0),9)*1000000000+IFERROR(MATCH('ORDENES'!$AF817,lista_turnos,0),9)*10000000+IFERROR(MATCH('ORDENES'!$AE817,'TECNICOS'!$B$4:$B$15,0),99)*100000+814,9000000000000+814)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IF(K822=1,IFERROR(MATCH('ORDENES'!$R818,lista_dias,0),9)*1000000000+IFERROR(MATCH('ORDENES'!$AF818,lista_turnos,0),9)*10000000+IFERROR(MATCH('ORDENES'!$AE818,'TECNICOS'!$B$4:$B$15,0),99)*100000+815,9000000000000+815)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IF(K823=1,IFERROR(MATCH('ORDENES'!$R819,lista_dias,0),9)*1000000000+IFERROR(MATCH('ORDENES'!$AF819,lista_turnos,0),9)*10000000+IFERROR(MATCH('ORDENES'!$AE819,'TECNICOS'!$B$4:$B$15,0),99)*100000+816,9000000000000+816)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IF(K824=1,IFERROR(MATCH('ORDENES'!$R820,lista_dias,0),9)*1000000000+IFERROR(MATCH('ORDENES'!$AF820,lista_turnos,0),9)*10000000+IFERROR(MATCH('ORDENES'!$AE820,'TECNICOS'!$B$4:$B$15,0),99)*100000+817,9000000000000+817)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IF(K825=1,IFERROR(MATCH('ORDENES'!$R821,lista_dias,0),9)*1000000000+IFERROR(MATCH('ORDENES'!$AF821,lista_turnos,0),9)*10000000+IFERROR(MATCH('ORDENES'!$AE821,'TECNICOS'!$B$4:$B$15,0),99)*100000+818,9000000000000+818)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IF(K826=1,IFERROR(MATCH('ORDENES'!$R822,lista_dias,0),9)*1000000000+IFERROR(MATCH('ORDENES'!$AF822,lista_turnos,0),9)*10000000+IFERROR(MATCH('ORDENES'!$AE822,'TECNICOS'!$B$4:$B$15,0),99)*100000+819,9000000000000+819)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IF(K827=1,IFERROR(MATCH('ORDENES'!$R823,lista_dias,0),9)*1000000000+IFERROR(MATCH('ORDENES'!$AF823,lista_turnos,0),9)*10000000+IFERROR(MATCH('ORDENES'!$AE823,'TECNICOS'!$B$4:$B$15,0),99)*100000+820,9000000000000+820)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IF(K828=1,IFERROR(MATCH('ORDENES'!$R824,lista_dias,0),9)*1000000000+IFERROR(MATCH('ORDENES'!$AF824,lista_turnos,0),9)*10000000+IFERROR(MATCH('ORDENES'!$AE824,'TECNICOS'!$B$4:$B$15,0),99)*100000+821,9000000000000+821)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IF(K829=1,IFERROR(MATCH('ORDENES'!$R825,lista_dias,0),9)*1000000000+IFERROR(MATCH('ORDENES'!$AF825,lista_turnos,0),9)*10000000+IFERROR(MATCH('ORDENES'!$AE825,'TECNICOS'!$B$4:$B$15,0),99)*100000+822,9000000000000+822)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IF(K830=1,IFERROR(MATCH('ORDENES'!$R826,lista_dias,0),9)*1000000000+IFERROR(MATCH('ORDENES'!$AF826,lista_turnos,0),9)*10000000+IFERROR(MATCH('ORDENES'!$AE826,'TECNICOS'!$B$4:$B$15,0),99)*100000+823,9000000000000+823)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IF(K831=1,IFERROR(MATCH('ORDENES'!$R827,lista_dias,0),9)*1000000000+IFERROR(MATCH('ORDENES'!$AF827,lista_turnos,0),9)*10000000+IFERROR(MATCH('ORDENES'!$AE827,'TECNICOS'!$B$4:$B$15,0),99)*100000+824,9000000000000+824)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IF(K832=1,IFERROR(MATCH('ORDENES'!$R828,lista_dias,0),9)*1000000000+IFERROR(MATCH('ORDENES'!$AF828,lista_turnos,0),9)*10000000+IFERROR(MATCH('ORDENES'!$AE828,'TECNICOS'!$B$4:$B$15,0),99)*100000+825,9000000000000+825)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IF(K833=1,IFERROR(MATCH('ORDENES'!$R829,lista_dias,0),9)*1000000000+IFERROR(MATCH('ORDENES'!$AF829,lista_turnos,0),9)*10000000+IFERROR(MATCH('ORDENES'!$AE829,'TECNICOS'!$B$4:$B$15,0),99)*100000+826,9000000000000+826)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IF(K834=1,IFERROR(MATCH('ORDENES'!$R830,lista_dias,0),9)*1000000000+IFERROR(MATCH('ORDENES'!$AF830,lista_turnos,0),9)*10000000+IFERROR(MATCH('ORDENES'!$AE830,'TECNICOS'!$B$4:$B$15,0),99)*100000+827,9000000000000+827)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IF(K835=1,IFERROR(MATCH('ORDENES'!$R831,lista_dias,0),9)*1000000000+IFERROR(MATCH('ORDENES'!$AF831,lista_turnos,0),9)*10000000+IFERROR(MATCH('ORDENES'!$AE831,'TECNICOS'!$B$4:$B$15,0),99)*100000+828,9000000000000+828)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IF(K836=1,IFERROR(MATCH('ORDENES'!$R832,lista_dias,0),9)*1000000000+IFERROR(MATCH('ORDENES'!$AF832,lista_turnos,0),9)*10000000+IFERROR(MATCH('ORDENES'!$AE832,'TECNICOS'!$B$4:$B$15,0),99)*100000+829,9000000000000+829)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IF(K837=1,IFERROR(MATCH('ORDENES'!$R833,lista_dias,0),9)*1000000000+IFERROR(MATCH('ORDENES'!$AF833,lista_turnos,0),9)*10000000+IFERROR(MATCH('ORDENES'!$AE833,'TECNICOS'!$B$4:$B$15,0),99)*100000+830,9000000000000+830)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IF(K838=1,IFERROR(MATCH('ORDENES'!$R834,lista_dias,0),9)*1000000000+IFERROR(MATCH('ORDENES'!$AF834,lista_turnos,0),9)*10000000+IFERROR(MATCH('ORDENES'!$AE834,'TECNICOS'!$B$4:$B$15,0),99)*100000+831,9000000000000+831)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IF(K839=1,IFERROR(MATCH('ORDENES'!$R835,lista_dias,0),9)*1000000000+IFERROR(MATCH('ORDENES'!$AF835,lista_turnos,0),9)*10000000+IFERROR(MATCH('ORDENES'!$AE835,'TECNICOS'!$B$4:$B$15,0),99)*100000+832,9000000000000+832)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IF(K840=1,IFERROR(MATCH('ORDENES'!$R836,lista_dias,0),9)*1000000000+IFERROR(MATCH('ORDENES'!$AF836,lista_turnos,0),9)*10000000+IFERROR(MATCH('ORDENES'!$AE836,'TECNICOS'!$B$4:$B$15,0),99)*100000+833,9000000000000+833)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IF(K841=1,IFERROR(MATCH('ORDENES'!$R837,lista_dias,0),9)*1000000000+IFERROR(MATCH('ORDENES'!$AF837,lista_turnos,0),9)*10000000+IFERROR(MATCH('ORDENES'!$AE837,'TECNICOS'!$B$4:$B$15,0),99)*100000+834,9000000000000+834)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IF(K842=1,IFERROR(MATCH('ORDENES'!$R838,lista_dias,0),9)*1000000000+IFERROR(MATCH('ORDENES'!$AF838,lista_turnos,0),9)*10000000+IFERROR(MATCH('ORDENES'!$AE838,'TECNICOS'!$B$4:$B$15,0),99)*100000+835,9000000000000+835)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IF(K843=1,IFERROR(MATCH('ORDENES'!$R839,lista_dias,0),9)*1000000000+IFERROR(MATCH('ORDENES'!$AF839,lista_turnos,0),9)*10000000+IFERROR(MATCH('ORDENES'!$AE839,'TECNICOS'!$B$4:$B$15,0),99)*100000+836,9000000000000+836)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IF(K844=1,IFERROR(MATCH('ORDENES'!$R840,lista_dias,0),9)*1000000000+IFERROR(MATCH('ORDENES'!$AF840,lista_turnos,0),9)*10000000+IFERROR(MATCH('ORDENES'!$AE840,'TECNICOS'!$B$4:$B$15,0),99)*100000+837,9000000000000+837)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IF(K845=1,IFERROR(MATCH('ORDENES'!$R841,lista_dias,0),9)*1000000000+IFERROR(MATCH('ORDENES'!$AF841,lista_turnos,0),9)*10000000+IFERROR(MATCH('ORDENES'!$AE841,'TECNICOS'!$B$4:$B$15,0),99)*100000+838,9000000000000+838)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IF(K846=1,IFERROR(MATCH('ORDENES'!$R842,lista_dias,0),9)*1000000000+IFERROR(MATCH('ORDENES'!$AF842,lista_turnos,0),9)*10000000+IFERROR(MATCH('ORDENES'!$AE842,'TECNICOS'!$B$4:$B$15,0),99)*100000+839,9000000000000+839)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IF(K847=1,IFERROR(MATCH('ORDENES'!$R843,lista_dias,0),9)*1000000000+IFERROR(MATCH('ORDENES'!$AF843,lista_turnos,0),9)*10000000+IFERROR(MATCH('ORDENES'!$AE843,'TECNICOS'!$B$4:$B$15,0),99)*100000+840,9000000000000+840)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IF(K848=1,IFERROR(MATCH('ORDENES'!$R844,lista_dias,0),9)*1000000000+IFERROR(MATCH('ORDENES'!$AF844,lista_turnos,0),9)*10000000+IFERROR(MATCH('ORDENES'!$AE844,'TECNICOS'!$B$4:$B$15,0),99)*100000+841,9000000000000+841)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IF(K849=1,IFERROR(MATCH('ORDENES'!$R845,lista_dias,0),9)*1000000000+IFERROR(MATCH('ORDENES'!$AF845,lista_turnos,0),9)*10000000+IFERROR(MATCH('ORDENES'!$AE845,'TECNICOS'!$B$4:$B$15,0),99)*100000+842,9000000000000+842)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IF(K850=1,IFERROR(MATCH('ORDENES'!$R846,lista_dias,0),9)*1000000000+IFERROR(MATCH('ORDENES'!$AF846,lista_turnos,0),9)*10000000+IFERROR(MATCH('ORDENES'!$AE846,'TECNICOS'!$B$4:$B$15,0),99)*100000+843,9000000000000+843)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IF(K851=1,IFERROR(MATCH('ORDENES'!$R847,lista_dias,0),9)*1000000000+IFERROR(MATCH('ORDENES'!$AF847,lista_turnos,0),9)*10000000+IFERROR(MATCH('ORDENES'!$AE847,'TECNICOS'!$B$4:$B$15,0),99)*100000+844,9000000000000+844)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IF(K852=1,IFERROR(MATCH('ORDENES'!$R848,lista_dias,0),9)*1000000000+IFERROR(MATCH('ORDENES'!$AF848,lista_turnos,0),9)*10000000+IFERROR(MATCH('ORDENES'!$AE848,'TECNICOS'!$B$4:$B$15,0),99)*100000+845,9000000000000+845)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IF(K853=1,IFERROR(MATCH('ORDENES'!$R849,lista_dias,0),9)*1000000000+IFERROR(MATCH('ORDENES'!$AF849,lista_turnos,0),9)*10000000+IFERROR(MATCH('ORDENES'!$AE849,'TECNICOS'!$B$4:$B$15,0),99)*100000+846,9000000000000+846)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IF(K854=1,IFERROR(MATCH('ORDENES'!$R850,lista_dias,0),9)*1000000000+IFERROR(MATCH('ORDENES'!$AF850,lista_turnos,0),9)*10000000+IFERROR(MATCH('ORDENES'!$AE850,'TECNICOS'!$B$4:$B$15,0),99)*100000+847,9000000000000+847)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IF(K855=1,IFERROR(MATCH('ORDENES'!$R851,lista_dias,0),9)*1000000000+IFERROR(MATCH('ORDENES'!$AF851,lista_turnos,0),9)*10000000+IFERROR(MATCH('ORDENES'!$AE851,'TECNICOS'!$B$4:$B$15,0),99)*100000+848,9000000000000+848)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IF(K856=1,IFERROR(MATCH('ORDENES'!$R852,lista_dias,0),9)*1000000000+IFERROR(MATCH('ORDENES'!$AF852,lista_turnos,0),9)*10000000+IFERROR(MATCH('ORDENES'!$AE852,'TECNICOS'!$B$4:$B$15,0),99)*100000+849,9000000000000+849)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IF(K857=1,IFERROR(MATCH('ORDENES'!$R853,lista_dias,0),9)*1000000000+IFERROR(MATCH('ORDENES'!$AF853,lista_turnos,0),9)*10000000+IFERROR(MATCH('ORDENES'!$AE853,'TECNICOS'!$B$4:$B$15,0),99)*100000+850,9000000000000+850)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IF(K858=1,IFERROR(MATCH('ORDENES'!$R854,lista_dias,0),9)*1000000000+IFERROR(MATCH('ORDENES'!$AF854,lista_turnos,0),9)*10000000+IFERROR(MATCH('ORDENES'!$AE854,'TECNICOS'!$B$4:$B$15,0),99)*100000+851,9000000000000+851)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IF(K859=1,IFERROR(MATCH('ORDENES'!$R855,lista_dias,0),9)*1000000000+IFERROR(MATCH('ORDENES'!$AF855,lista_turnos,0),9)*10000000+IFERROR(MATCH('ORDENES'!$AE855,'TECNICOS'!$B$4:$B$15,0),99)*100000+852,9000000000000+852)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IF(K860=1,IFERROR(MATCH('ORDENES'!$R856,lista_dias,0),9)*1000000000+IFERROR(MATCH('ORDENES'!$AF856,lista_turnos,0),9)*10000000+IFERROR(MATCH('ORDENES'!$AE856,'TECNICOS'!$B$4:$B$15,0),99)*100000+853,9000000000000+853)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IF(K861=1,IFERROR(MATCH('ORDENES'!$R857,lista_dias,0),9)*1000000000+IFERROR(MATCH('ORDENES'!$AF857,lista_turnos,0),9)*10000000+IFERROR(MATCH('ORDENES'!$AE857,'TECNICOS'!$B$4:$B$15,0),99)*100000+854,9000000000000+854)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IF(K862=1,IFERROR(MATCH('ORDENES'!$R858,lista_dias,0),9)*1000000000+IFERROR(MATCH('ORDENES'!$AF858,lista_turnos,0),9)*10000000+IFERROR(MATCH('ORDENES'!$AE858,'TECNICOS'!$B$4:$B$15,0),99)*100000+855,9000000000000+855)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IF(K863=1,IFERROR(MATCH('ORDENES'!$R859,lista_dias,0),9)*1000000000+IFERROR(MATCH('ORDENES'!$AF859,lista_turnos,0),9)*10000000+IFERROR(MATCH('ORDENES'!$AE859,'TECNICOS'!$B$4:$B$15,0),99)*100000+856,9000000000000+856)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IF(K864=1,IFERROR(MATCH('ORDENES'!$R860,lista_dias,0),9)*1000000000+IFERROR(MATCH('ORDENES'!$AF860,lista_turnos,0),9)*10000000+IFERROR(MATCH('ORDENES'!$AE860,'TECNICOS'!$B$4:$B$15,0),99)*100000+857,9000000000000+857)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IF(K865=1,IFERROR(MATCH('ORDENES'!$R861,lista_dias,0),9)*1000000000+IFERROR(MATCH('ORDENES'!$AF861,lista_turnos,0),9)*10000000+IFERROR(MATCH('ORDENES'!$AE861,'TECNICOS'!$B$4:$B$15,0),99)*100000+858,9000000000000+858)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IF(K866=1,IFERROR(MATCH('ORDENES'!$R862,lista_dias,0),9)*1000000000+IFERROR(MATCH('ORDENES'!$AF862,lista_turnos,0),9)*10000000+IFERROR(MATCH('ORDENES'!$AE862,'TECNICOS'!$B$4:$B$15,0),99)*100000+859,9000000000000+859)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IF(K867=1,IFERROR(MATCH('ORDENES'!$R863,lista_dias,0),9)*1000000000+IFERROR(MATCH('ORDENES'!$AF863,lista_turnos,0),9)*10000000+IFERROR(MATCH('ORDENES'!$AE863,'TECNICOS'!$B$4:$B$15,0),99)*100000+860,9000000000000+860)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IF(K868=1,IFERROR(MATCH('ORDENES'!$R864,lista_dias,0),9)*1000000000+IFERROR(MATCH('ORDENES'!$AF864,lista_turnos,0),9)*10000000+IFERROR(MATCH('ORDENES'!$AE864,'TECNICOS'!$B$4:$B$15,0),99)*100000+861,9000000000000+861)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IF(K869=1,IFERROR(MATCH('ORDENES'!$R865,lista_dias,0),9)*1000000000+IFERROR(MATCH('ORDENES'!$AF865,lista_turnos,0),9)*10000000+IFERROR(MATCH('ORDENES'!$AE865,'TECNICOS'!$B$4:$B$15,0),99)*100000+862,9000000000000+862)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IF(K870=1,IFERROR(MATCH('ORDENES'!$R866,lista_dias,0),9)*1000000000+IFERROR(MATCH('ORDENES'!$AF866,lista_turnos,0),9)*10000000+IFERROR(MATCH('ORDENES'!$AE866,'TECNICOS'!$B$4:$B$15,0),99)*100000+863,9000000000000+863)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IF(K871=1,IFERROR(MATCH('ORDENES'!$R867,lista_dias,0),9)*1000000000+IFERROR(MATCH('ORDENES'!$AF867,lista_turnos,0),9)*10000000+IFERROR(MATCH('ORDENES'!$AE867,'TECNICOS'!$B$4:$B$15,0),99)*100000+864,9000000000000+864)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IF(K872=1,IFERROR(MATCH('ORDENES'!$R868,lista_dias,0),9)*1000000000+IFERROR(MATCH('ORDENES'!$AF868,lista_turnos,0),9)*10000000+IFERROR(MATCH('ORDENES'!$AE868,'TECNICOS'!$B$4:$B$15,0),99)*100000+865,9000000000000+865)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IF(K873=1,IFERROR(MATCH('ORDENES'!$R869,lista_dias,0),9)*1000000000+IFERROR(MATCH('ORDENES'!$AF869,lista_turnos,0),9)*10000000+IFERROR(MATCH('ORDENES'!$AE869,'TECNICOS'!$B$4:$B$15,0),99)*100000+866,9000000000000+866)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IF(K874=1,IFERROR(MATCH('ORDENES'!$R870,lista_dias,0),9)*1000000000+IFERROR(MATCH('ORDENES'!$AF870,lista_turnos,0),9)*10000000+IFERROR(MATCH('ORDENES'!$AE870,'TECNICOS'!$B$4:$B$15,0),99)*100000+867,9000000000000+867)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IF(K875=1,IFERROR(MATCH('ORDENES'!$R871,lista_dias,0),9)*1000000000+IFERROR(MATCH('ORDENES'!$AF871,lista_turnos,0),9)*10000000+IFERROR(MATCH('ORDENES'!$AE871,'TECNICOS'!$B$4:$B$15,0),99)*100000+868,9000000000000+868)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IF(K876=1,IFERROR(MATCH('ORDENES'!$R872,lista_dias,0),9)*1000000000+IFERROR(MATCH('ORDENES'!$AF872,lista_turnos,0),9)*10000000+IFERROR(MATCH('ORDENES'!$AE872,'TECNICOS'!$B$4:$B$15,0),99)*100000+869,9000000000000+869)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IF(K877=1,IFERROR(MATCH('ORDENES'!$R873,lista_dias,0),9)*1000000000+IFERROR(MATCH('ORDENES'!$AF873,lista_turnos,0),9)*10000000+IFERROR(MATCH('ORDENES'!$AE873,'TECNICOS'!$B$4:$B$15,0),99)*100000+870,9000000000000+870)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IF(K878=1,IFERROR(MATCH('ORDENES'!$R874,lista_dias,0),9)*1000000000+IFERROR(MATCH('ORDENES'!$AF874,lista_turnos,0),9)*10000000+IFERROR(MATCH('ORDENES'!$AE874,'TECNICOS'!$B$4:$B$15,0),99)*100000+871,9000000000000+871)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IF(K879=1,IFERROR(MATCH('ORDENES'!$R875,lista_dias,0),9)*1000000000+IFERROR(MATCH('ORDENES'!$AF875,lista_turnos,0),9)*10000000+IFERROR(MATCH('ORDENES'!$AE875,'TECNICOS'!$B$4:$B$15,0),99)*100000+872,9000000000000+872)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IF(K880=1,IFERROR(MATCH('ORDENES'!$R876,lista_dias,0),9)*1000000000+IFERROR(MATCH('ORDENES'!$AF876,lista_turnos,0),9)*10000000+IFERROR(MATCH('ORDENES'!$AE876,'TECNICOS'!$B$4:$B$15,0),99)*100000+873,9000000000000+873)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IF(K881=1,IFERROR(MATCH('ORDENES'!$R877,lista_dias,0),9)*1000000000+IFERROR(MATCH('ORDENES'!$AF877,lista_turnos,0),9)*10000000+IFERROR(MATCH('ORDENES'!$AE877,'TECNICOS'!$B$4:$B$15,0),99)*100000+874,9000000000000+874)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IF(K882=1,IFERROR(MATCH('ORDENES'!$R878,lista_dias,0),9)*1000000000+IFERROR(MATCH('ORDENES'!$AF878,lista_turnos,0),9)*10000000+IFERROR(MATCH('ORDENES'!$AE878,'TECNICOS'!$B$4:$B$15,0),99)*100000+875,9000000000000+875)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IF(K883=1,IFERROR(MATCH('ORDENES'!$R879,lista_dias,0),9)*1000000000+IFERROR(MATCH('ORDENES'!$AF879,lista_turnos,0),9)*10000000+IFERROR(MATCH('ORDENES'!$AE879,'TECNICOS'!$B$4:$B$15,0),99)*100000+876,9000000000000+876)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IF(K884=1,IFERROR(MATCH('ORDENES'!$R880,lista_dias,0),9)*1000000000+IFERROR(MATCH('ORDENES'!$AF880,lista_turnos,0),9)*10000000+IFERROR(MATCH('ORDENES'!$AE880,'TECNICOS'!$B$4:$B$15,0),99)*100000+877,9000000000000+877)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IF(K885=1,IFERROR(MATCH('ORDENES'!$R881,lista_dias,0),9)*1000000000+IFERROR(MATCH('ORDENES'!$AF881,lista_turnos,0),9)*10000000+IFERROR(MATCH('ORDENES'!$AE881,'TECNICOS'!$B$4:$B$15,0),99)*100000+878,9000000000000+878)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IF(K886=1,IFERROR(MATCH('ORDENES'!$R882,lista_dias,0),9)*1000000000+IFERROR(MATCH('ORDENES'!$AF882,lista_turnos,0),9)*10000000+IFERROR(MATCH('ORDENES'!$AE882,'TECNICOS'!$B$4:$B$15,0),99)*100000+879,9000000000000+879)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IF(K887=1,IFERROR(MATCH('ORDENES'!$R883,lista_dias,0),9)*1000000000+IFERROR(MATCH('ORDENES'!$AF883,lista_turnos,0),9)*10000000+IFERROR(MATCH('ORDENES'!$AE883,'TECNICOS'!$B$4:$B$15,0),99)*100000+880,9000000000000+880)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IF(K888=1,IFERROR(MATCH('ORDENES'!$R884,lista_dias,0),9)*1000000000+IFERROR(MATCH('ORDENES'!$AF884,lista_turnos,0),9)*10000000+IFERROR(MATCH('ORDENES'!$AE884,'TECNICOS'!$B$4:$B$15,0),99)*100000+881,9000000000000+881)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IF(K889=1,IFERROR(MATCH('ORDENES'!$R885,lista_dias,0),9)*1000000000+IFERROR(MATCH('ORDENES'!$AF885,lista_turnos,0),9)*10000000+IFERROR(MATCH('ORDENES'!$AE885,'TECNICOS'!$B$4:$B$15,0),99)*100000+882,9000000000000+882)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IF(K890=1,IFERROR(MATCH('ORDENES'!$R886,lista_dias,0),9)*1000000000+IFERROR(MATCH('ORDENES'!$AF886,lista_turnos,0),9)*10000000+IFERROR(MATCH('ORDENES'!$AE886,'TECNICOS'!$B$4:$B$15,0),99)*100000+883,9000000000000+883)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IF(K891=1,IFERROR(MATCH('ORDENES'!$R887,lista_dias,0),9)*1000000000+IFERROR(MATCH('ORDENES'!$AF887,lista_turnos,0),9)*10000000+IFERROR(MATCH('ORDENES'!$AE887,'TECNICOS'!$B$4:$B$15,0),99)*100000+884,9000000000000+884)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IF(K892=1,IFERROR(MATCH('ORDENES'!$R888,lista_dias,0),9)*1000000000+IFERROR(MATCH('ORDENES'!$AF888,lista_turnos,0),9)*10000000+IFERROR(MATCH('ORDENES'!$AE888,'TECNICOS'!$B$4:$B$15,0),99)*100000+885,9000000000000+885)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IF(K893=1,IFERROR(MATCH('ORDENES'!$R889,lista_dias,0),9)*1000000000+IFERROR(MATCH('ORDENES'!$AF889,lista_turnos,0),9)*10000000+IFERROR(MATCH('ORDENES'!$AE889,'TECNICOS'!$B$4:$B$15,0),99)*100000+886,9000000000000+886)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IF(K894=1,IFERROR(MATCH('ORDENES'!$R890,lista_dias,0),9)*1000000000+IFERROR(MATCH('ORDENES'!$AF890,lista_turnos,0),9)*10000000+IFERROR(MATCH('ORDENES'!$AE890,'TECNICOS'!$B$4:$B$15,0),99)*100000+887,9000000000000+887)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IF(K895=1,IFERROR(MATCH('ORDENES'!$R891,lista_dias,0),9)*1000000000+IFERROR(MATCH('ORDENES'!$AF891,lista_turnos,0),9)*10000000+IFERROR(MATCH('ORDENES'!$AE891,'TECNICOS'!$B$4:$B$15,0),99)*100000+888,9000000000000+888)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IF(K896=1,IFERROR(MATCH('ORDENES'!$R892,lista_dias,0),9)*1000000000+IFERROR(MATCH('ORDENES'!$AF892,lista_turnos,0),9)*10000000+IFERROR(MATCH('ORDENES'!$AE892,'TECNICOS'!$B$4:$B$15,0),99)*100000+889,9000000000000+889)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IF(K897=1,IFERROR(MATCH('ORDENES'!$R893,lista_dias,0),9)*1000000000+IFERROR(MATCH('ORDENES'!$AF893,lista_turnos,0),9)*10000000+IFERROR(MATCH('ORDENES'!$AE893,'TECNICOS'!$B$4:$B$15,0),99)*100000+890,9000000000000+890)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IF(K898=1,IFERROR(MATCH('ORDENES'!$R894,lista_dias,0),9)*1000000000+IFERROR(MATCH('ORDENES'!$AF894,lista_turnos,0),9)*10000000+IFERROR(MATCH('ORDENES'!$AE894,'TECNICOS'!$B$4:$B$15,0),99)*100000+891,9000000000000+891)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IF(K899=1,IFERROR(MATCH('ORDENES'!$R895,lista_dias,0),9)*1000000000+IFERROR(MATCH('ORDENES'!$AF895,lista_turnos,0),9)*10000000+IFERROR(MATCH('ORDENES'!$AE895,'TECNICOS'!$B$4:$B$15,0),99)*100000+892,9000000000000+892)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IF(K900=1,IFERROR(MATCH('ORDENES'!$R896,lista_dias,0),9)*1000000000+IFERROR(MATCH('ORDENES'!$AF896,lista_turnos,0),9)*10000000+IFERROR(MATCH('ORDENES'!$AE896,'TECNICOS'!$B$4:$B$15,0),99)*100000+893,9000000000000+893)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IF(K901=1,IFERROR(MATCH('ORDENES'!$R897,lista_dias,0),9)*1000000000+IFERROR(MATCH('ORDENES'!$AF897,lista_turnos,0),9)*10000000+IFERROR(MATCH('ORDENES'!$AE897,'TECNICOS'!$B$4:$B$15,0),99)*100000+894,9000000000000+894)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IF(K902=1,IFERROR(MATCH('ORDENES'!$R898,lista_dias,0),9)*1000000000+IFERROR(MATCH('ORDENES'!$AF898,lista_turnos,0),9)*10000000+IFERROR(MATCH('ORDENES'!$AE898,'TECNICOS'!$B$4:$B$15,0),99)*100000+895,9000000000000+895)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IF(K903=1,IFERROR(MATCH('ORDENES'!$R899,lista_dias,0),9)*1000000000+IFERROR(MATCH('ORDENES'!$AF899,lista_turnos,0),9)*10000000+IFERROR(MATCH('ORDENES'!$AE899,'TECNICOS'!$B$4:$B$15,0),99)*100000+896,9000000000000+896)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IF(K904=1,IFERROR(MATCH('ORDENES'!$R900,lista_dias,0),9)*1000000000+IFERROR(MATCH('ORDENES'!$AF900,lista_turnos,0),9)*10000000+IFERROR(MATCH('ORDENES'!$AE900,'TECNICOS'!$B$4:$B$15,0),99)*100000+897,9000000000000+897)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IF(K905=1,IFERROR(MATCH('ORDENES'!$R901,lista_dias,0),9)*1000000000+IFERROR(MATCH('ORDENES'!$AF901,lista_turnos,0),9)*10000000+IFERROR(MATCH('ORDENES'!$AE901,'TECNICOS'!$B$4:$B$15,0),99)*100000+898,9000000000000+898)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IF(K906=1,IFERROR(MATCH('ORDENES'!$R902,lista_dias,0),9)*1000000000+IFERROR(MATCH('ORDENES'!$AF902,lista_turnos,0),9)*10000000+IFERROR(MATCH('ORDENES'!$AE902,'TECNICOS'!$B$4:$B$15,0),99)*100000+899,9000000000000+899)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IF(K907=1,IFERROR(MATCH('ORDENES'!$R903,lista_dias,0),9)*1000000000+IFERROR(MATCH('ORDENES'!$AF903,lista_turnos,0),9)*10000000+IFERROR(MATCH('ORDENES'!$AE903,'TECNICOS'!$B$4:$B$15,0),99)*100000+900,9000000000000+900)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IF(K908=1,IFERROR(MATCH('ORDENES'!$R904,lista_dias,0),9)*1000000000+IFERROR(MATCH('ORDENES'!$AF904,lista_turnos,0),9)*10000000+IFERROR(MATCH('ORDENES'!$AE904,'TECNICOS'!$B$4:$B$15,0),99)*100000+901,9000000000000+901)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IF(K909=1,IFERROR(MATCH('ORDENES'!$R905,lista_dias,0),9)*1000000000+IFERROR(MATCH('ORDENES'!$AF905,lista_turnos,0),9)*10000000+IFERROR(MATCH('ORDENES'!$AE905,'TECNICOS'!$B$4:$B$15,0),99)*100000+902,9000000000000+902)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IF(K910=1,IFERROR(MATCH('ORDENES'!$R906,lista_dias,0),9)*1000000000+IFERROR(MATCH('ORDENES'!$AF906,lista_turnos,0),9)*10000000+IFERROR(MATCH('ORDENES'!$AE906,'TECNICOS'!$B$4:$B$15,0),99)*100000+903,9000000000000+903)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IF(K911=1,IFERROR(MATCH('ORDENES'!$R907,lista_dias,0),9)*1000000000+IFERROR(MATCH('ORDENES'!$AF907,lista_turnos,0),9)*10000000+IFERROR(MATCH('ORDENES'!$AE907,'TECNICOS'!$B$4:$B$15,0),99)*100000+904,9000000000000+904)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IF(K912=1,IFERROR(MATCH('ORDENES'!$R908,lista_dias,0),9)*1000000000+IFERROR(MATCH('ORDENES'!$AF908,lista_turnos,0),9)*10000000+IFERROR(MATCH('ORDENES'!$AE908,'TECNICOS'!$B$4:$B$15,0),99)*100000+905,9000000000000+905)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IF(K913=1,IFERROR(MATCH('ORDENES'!$R909,lista_dias,0),9)*1000000000+IFERROR(MATCH('ORDENES'!$AF909,lista_turnos,0),9)*10000000+IFERROR(MATCH('ORDENES'!$AE909,'TECNICOS'!$B$4:$B$15,0),99)*100000+906,9000000000000+906)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IF(K914=1,IFERROR(MATCH('ORDENES'!$R910,lista_dias,0),9)*1000000000+IFERROR(MATCH('ORDENES'!$AF910,lista_turnos,0),9)*10000000+IFERROR(MATCH('ORDENES'!$AE910,'TECNICOS'!$B$4:$B$15,0),99)*100000+907,9000000000000+907)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IF(K915=1,IFERROR(MATCH('ORDENES'!$R911,lista_dias,0),9)*1000000000+IFERROR(MATCH('ORDENES'!$AF911,lista_turnos,0),9)*10000000+IFERROR(MATCH('ORDENES'!$AE911,'TECNICOS'!$B$4:$B$15,0),99)*100000+908,9000000000000+908)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IF(K916=1,IFERROR(MATCH('ORDENES'!$R912,lista_dias,0),9)*1000000000+IFERROR(MATCH('ORDENES'!$AF912,lista_turnos,0),9)*10000000+IFERROR(MATCH('ORDENES'!$AE912,'TECNICOS'!$B$4:$B$15,0),99)*100000+909,9000000000000+909)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IF(K917=1,IFERROR(MATCH('ORDENES'!$R913,lista_dias,0),9)*1000000000+IFERROR(MATCH('ORDENES'!$AF913,lista_turnos,0),9)*10000000+IFERROR(MATCH('ORDENES'!$AE913,'TECNICOS'!$B$4:$B$15,0),99)*100000+910,9000000000000+910)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IF(K918=1,IFERROR(MATCH('ORDENES'!$R914,lista_dias,0),9)*1000000000+IFERROR(MATCH('ORDENES'!$AF914,lista_turnos,0),9)*10000000+IFERROR(MATCH('ORDENES'!$AE914,'TECNICOS'!$B$4:$B$15,0),99)*100000+911,9000000000000+911)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IF(K919=1,IFERROR(MATCH('ORDENES'!$R915,lista_dias,0),9)*1000000000+IFERROR(MATCH('ORDENES'!$AF915,lista_turnos,0),9)*10000000+IFERROR(MATCH('ORDENES'!$AE915,'TECNICOS'!$B$4:$B$15,0),99)*100000+912,9000000000000+912)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IF(K920=1,IFERROR(MATCH('ORDENES'!$R916,lista_dias,0),9)*1000000000+IFERROR(MATCH('ORDENES'!$AF916,lista_turnos,0),9)*10000000+IFERROR(MATCH('ORDENES'!$AE916,'TECNICOS'!$B$4:$B$15,0),99)*100000+913,9000000000000+913)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IF(K921=1,IFERROR(MATCH('ORDENES'!$R917,lista_dias,0),9)*1000000000+IFERROR(MATCH('ORDENES'!$AF917,lista_turnos,0),9)*10000000+IFERROR(MATCH('ORDENES'!$AE917,'TECNICOS'!$B$4:$B$15,0),99)*100000+914,9000000000000+914)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IF(K922=1,IFERROR(MATCH('ORDENES'!$R918,lista_dias,0),9)*1000000000+IFERROR(MATCH('ORDENES'!$AF918,lista_turnos,0),9)*10000000+IFERROR(MATCH('ORDENES'!$AE918,'TECNICOS'!$B$4:$B$15,0),99)*100000+915,9000000000000+915)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IF(K923=1,IFERROR(MATCH('ORDENES'!$R919,lista_dias,0),9)*1000000000+IFERROR(MATCH('ORDENES'!$AF919,lista_turnos,0),9)*10000000+IFERROR(MATCH('ORDENES'!$AE919,'TECNICOS'!$B$4:$B$15,0),99)*100000+916,9000000000000+916)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IF(K924=1,IFERROR(MATCH('ORDENES'!$R920,lista_dias,0),9)*1000000000+IFERROR(MATCH('ORDENES'!$AF920,lista_turnos,0),9)*10000000+IFERROR(MATCH('ORDENES'!$AE920,'TECNICOS'!$B$4:$B$15,0),99)*100000+917,9000000000000+917)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IF(K925=1,IFERROR(MATCH('ORDENES'!$R921,lista_dias,0),9)*1000000000+IFERROR(MATCH('ORDENES'!$AF921,lista_turnos,0),9)*10000000+IFERROR(MATCH('ORDENES'!$AE921,'TECNICOS'!$B$4:$B$15,0),99)*100000+918,9000000000000+918)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IF(K926=1,IFERROR(MATCH('ORDENES'!$R922,lista_dias,0),9)*1000000000+IFERROR(MATCH('ORDENES'!$AF922,lista_turnos,0),9)*10000000+IFERROR(MATCH('ORDENES'!$AE922,'TECNICOS'!$B$4:$B$15,0),99)*100000+919,9000000000000+919)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IF(K927=1,IFERROR(MATCH('ORDENES'!$R923,lista_dias,0),9)*1000000000+IFERROR(MATCH('ORDENES'!$AF923,lista_turnos,0),9)*10000000+IFERROR(MATCH('ORDENES'!$AE923,'TECNICOS'!$B$4:$B$15,0),99)*100000+920,9000000000000+920)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IF(K928=1,IFERROR(MATCH('ORDENES'!$R924,lista_dias,0),9)*1000000000+IFERROR(MATCH('ORDENES'!$AF924,lista_turnos,0),9)*10000000+IFERROR(MATCH('ORDENES'!$AE924,'TECNICOS'!$B$4:$B$15,0),99)*100000+921,9000000000000+921)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IF(K929=1,IFERROR(MATCH('ORDENES'!$R925,lista_dias,0),9)*1000000000+IFERROR(MATCH('ORDENES'!$AF925,lista_turnos,0),9)*10000000+IFERROR(MATCH('ORDENES'!$AE925,'TECNICOS'!$B$4:$B$15,0),99)*100000+922,9000000000000+922)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IF(K930=1,IFERROR(MATCH('ORDENES'!$R926,lista_dias,0),9)*1000000000+IFERROR(MATCH('ORDENES'!$AF926,lista_turnos,0),9)*10000000+IFERROR(MATCH('ORDENES'!$AE926,'TECNICOS'!$B$4:$B$15,0),99)*100000+923,9000000000000+923)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IF(K931=1,IFERROR(MATCH('ORDENES'!$R927,lista_dias,0),9)*1000000000+IFERROR(MATCH('ORDENES'!$AF927,lista_turnos,0),9)*10000000+IFERROR(MATCH('ORDENES'!$AE927,'TECNICOS'!$B$4:$B$15,0),99)*100000+924,9000000000000+924)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IF(K932=1,IFERROR(MATCH('ORDENES'!$R928,lista_dias,0),9)*1000000000+IFERROR(MATCH('ORDENES'!$AF928,lista_turnos,0),9)*10000000+IFERROR(MATCH('ORDENES'!$AE928,'TECNICOS'!$B$4:$B$15,0),99)*100000+925,9000000000000+925)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IF(K933=1,IFERROR(MATCH('ORDENES'!$R929,lista_dias,0),9)*1000000000+IFERROR(MATCH('ORDENES'!$AF929,lista_turnos,0),9)*10000000+IFERROR(MATCH('ORDENES'!$AE929,'TECNICOS'!$B$4:$B$15,0),99)*100000+926,9000000000000+926)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IF(K934=1,IFERROR(MATCH('ORDENES'!$R930,lista_dias,0),9)*1000000000+IFERROR(MATCH('ORDENES'!$AF930,lista_turnos,0),9)*10000000+IFERROR(MATCH('ORDENES'!$AE930,'TECNICOS'!$B$4:$B$15,0),99)*100000+927,9000000000000+927)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IF(K935=1,IFERROR(MATCH('ORDENES'!$R931,lista_dias,0),9)*1000000000+IFERROR(MATCH('ORDENES'!$AF931,lista_turnos,0),9)*10000000+IFERROR(MATCH('ORDENES'!$AE931,'TECNICOS'!$B$4:$B$15,0),99)*100000+928,9000000000000+928)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IF(K936=1,IFERROR(MATCH('ORDENES'!$R932,lista_dias,0),9)*1000000000+IFERROR(MATCH('ORDENES'!$AF932,lista_turnos,0),9)*10000000+IFERROR(MATCH('ORDENES'!$AE932,'TECNICOS'!$B$4:$B$15,0),99)*100000+929,9000000000000+929)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IF(K937=1,IFERROR(MATCH('ORDENES'!$R933,lista_dias,0),9)*1000000000+IFERROR(MATCH('ORDENES'!$AF933,lista_turnos,0),9)*10000000+IFERROR(MATCH('ORDENES'!$AE933,'TECNICOS'!$B$4:$B$15,0),99)*100000+930,9000000000000+930)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IF(K938=1,IFERROR(MATCH('ORDENES'!$R934,lista_dias,0),9)*1000000000+IFERROR(MATCH('ORDENES'!$AF934,lista_turnos,0),9)*10000000+IFERROR(MATCH('ORDENES'!$AE934,'TECNICOS'!$B$4:$B$15,0),99)*100000+931,9000000000000+931)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IF(K939=1,IFERROR(MATCH('ORDENES'!$R935,lista_dias,0),9)*1000000000+IFERROR(MATCH('ORDENES'!$AF935,lista_turnos,0),9)*10000000+IFERROR(MATCH('ORDENES'!$AE935,'TECNICOS'!$B$4:$B$15,0),99)*100000+932,9000000000000+932)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IF(K940=1,IFERROR(MATCH('ORDENES'!$R936,lista_dias,0),9)*1000000000+IFERROR(MATCH('ORDENES'!$AF936,lista_turnos,0),9)*10000000+IFERROR(MATCH('ORDENES'!$AE936,'TECNICOS'!$B$4:$B$15,0),99)*100000+933,9000000000000+933)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IF(K941=1,IFERROR(MATCH('ORDENES'!$R937,lista_dias,0),9)*1000000000+IFERROR(MATCH('ORDENES'!$AF937,lista_turnos,0),9)*10000000+IFERROR(MATCH('ORDENES'!$AE937,'TECNICOS'!$B$4:$B$15,0),99)*100000+934,9000000000000+934)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IF(K942=1,IFERROR(MATCH('ORDENES'!$R938,lista_dias,0),9)*1000000000+IFERROR(MATCH('ORDENES'!$AF938,lista_turnos,0),9)*10000000+IFERROR(MATCH('ORDENES'!$AE938,'TECNICOS'!$B$4:$B$15,0),99)*100000+935,9000000000000+935)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IF(K943=1,IFERROR(MATCH('ORDENES'!$R939,lista_dias,0),9)*1000000000+IFERROR(MATCH('ORDENES'!$AF939,lista_turnos,0),9)*10000000+IFERROR(MATCH('ORDENES'!$AE939,'TECNICOS'!$B$4:$B$15,0),99)*100000+936,9000000000000+936)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IF(K944=1,IFERROR(MATCH('ORDENES'!$R940,lista_dias,0),9)*1000000000+IFERROR(MATCH('ORDENES'!$AF940,lista_turnos,0),9)*10000000+IFERROR(MATCH('ORDENES'!$AE940,'TECNICOS'!$B$4:$B$15,0),99)*100000+937,9000000000000+937)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IF(K945=1,IFERROR(MATCH('ORDENES'!$R941,lista_dias,0),9)*1000000000+IFERROR(MATCH('ORDENES'!$AF941,lista_turnos,0),9)*10000000+IFERROR(MATCH('ORDENES'!$AE941,'TECNICOS'!$B$4:$B$15,0),99)*100000+938,9000000000000+938)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IF(K946=1,IFERROR(MATCH('ORDENES'!$R942,lista_dias,0),9)*1000000000+IFERROR(MATCH('ORDENES'!$AF942,lista_turnos,0),9)*10000000+IFERROR(MATCH('ORDENES'!$AE942,'TECNICOS'!$B$4:$B$15,0),99)*100000+939,9000000000000+939)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IF(K947=1,IFERROR(MATCH('ORDENES'!$R943,lista_dias,0),9)*1000000000+IFERROR(MATCH('ORDENES'!$AF943,lista_turnos,0),9)*10000000+IFERROR(MATCH('ORDENES'!$AE943,'TECNICOS'!$B$4:$B$15,0),99)*100000+940,9000000000000+940)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IF(K948=1,IFERROR(MATCH('ORDENES'!$R944,lista_dias,0),9)*1000000000+IFERROR(MATCH('ORDENES'!$AF944,lista_turnos,0),9)*10000000+IFERROR(MATCH('ORDENES'!$AE944,'TECNICOS'!$B$4:$B$15,0),99)*100000+941,9000000000000+941)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IF(K949=1,IFERROR(MATCH('ORDENES'!$R945,lista_dias,0),9)*1000000000+IFERROR(MATCH('ORDENES'!$AF945,lista_turnos,0),9)*10000000+IFERROR(MATCH('ORDENES'!$AE945,'TECNICOS'!$B$4:$B$15,0),99)*100000+942,9000000000000+942)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IF(K950=1,IFERROR(MATCH('ORDENES'!$R946,lista_dias,0),9)*1000000000+IFERROR(MATCH('ORDENES'!$AF946,lista_turnos,0),9)*10000000+IFERROR(MATCH('ORDENES'!$AE946,'TECNICOS'!$B$4:$B$15,0),99)*100000+943,9000000000000+943)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IF(K951=1,IFERROR(MATCH('ORDENES'!$R947,lista_dias,0),9)*1000000000+IFERROR(MATCH('ORDENES'!$AF947,lista_turnos,0),9)*10000000+IFERROR(MATCH('ORDENES'!$AE947,'TECNICOS'!$B$4:$B$15,0),99)*100000+944,9000000000000+944)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IF(K952=1,IFERROR(MATCH('ORDENES'!$R948,lista_dias,0),9)*1000000000+IFERROR(MATCH('ORDENES'!$AF948,lista_turnos,0),9)*10000000+IFERROR(MATCH('ORDENES'!$AE948,'TECNICOS'!$B$4:$B$15,0),99)*100000+945,9000000000000+945)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IF(K953=1,IFERROR(MATCH('ORDENES'!$R949,lista_dias,0),9)*1000000000+IFERROR(MATCH('ORDENES'!$AF949,lista_turnos,0),9)*10000000+IFERROR(MATCH('ORDENES'!$AE949,'TECNICOS'!$B$4:$B$15,0),99)*100000+946,9000000000000+946)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IF(K954=1,IFERROR(MATCH('ORDENES'!$R950,lista_dias,0),9)*1000000000+IFERROR(MATCH('ORDENES'!$AF950,lista_turnos,0),9)*10000000+IFERROR(MATCH('ORDENES'!$AE950,'TECNICOS'!$B$4:$B$15,0),99)*100000+947,9000000000000+947)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IF(K955=1,IFERROR(MATCH('ORDENES'!$R951,lista_dias,0),9)*1000000000+IFERROR(MATCH('ORDENES'!$AF951,lista_turnos,0),9)*10000000+IFERROR(MATCH('ORDENES'!$AE951,'TECNICOS'!$B$4:$B$15,0),99)*100000+948,9000000000000+948)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IF(K956=1,IFERROR(MATCH('ORDENES'!$R952,lista_dias,0),9)*1000000000+IFERROR(MATCH('ORDENES'!$AF952,lista_turnos,0),9)*10000000+IFERROR(MATCH('ORDENES'!$AE952,'TECNICOS'!$B$4:$B$15,0),99)*100000+949,9000000000000+949)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IF(K957=1,IFERROR(MATCH('ORDENES'!$R953,lista_dias,0),9)*1000000000+IFERROR(MATCH('ORDENES'!$AF953,lista_turnos,0),9)*10000000+IFERROR(MATCH('ORDENES'!$AE953,'TECNICOS'!$B$4:$B$15,0),99)*100000+950,9000000000000+950)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IF(K958=1,IFERROR(MATCH('ORDENES'!$R954,lista_dias,0),9)*1000000000+IFERROR(MATCH('ORDENES'!$AF954,lista_turnos,0),9)*10000000+IFERROR(MATCH('ORDENES'!$AE954,'TECNICOS'!$B$4:$B$15,0),99)*100000+951,9000000000000+951)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IF(K959=1,IFERROR(MATCH('ORDENES'!$R955,lista_dias,0),9)*1000000000+IFERROR(MATCH('ORDENES'!$AF955,lista_turnos,0),9)*10000000+IFERROR(MATCH('ORDENES'!$AE955,'TECNICOS'!$B$4:$B$15,0),99)*100000+952,9000000000000+952)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IF(K960=1,IFERROR(MATCH('ORDENES'!$R956,lista_dias,0),9)*1000000000+IFERROR(MATCH('ORDENES'!$AF956,lista_turnos,0),9)*10000000+IFERROR(MATCH('ORDENES'!$AE956,'TECNICOS'!$B$4:$B$15,0),99)*100000+953,9000000000000+953)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IF(K961=1,IFERROR(MATCH('ORDENES'!$R957,lista_dias,0),9)*1000000000+IFERROR(MATCH('ORDENES'!$AF957,lista_turnos,0),9)*10000000+IFERROR(MATCH('ORDENES'!$AE957,'TECNICOS'!$B$4:$B$15,0),99)*100000+954,9000000000000+954)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IF(K962=1,IFERROR(MATCH('ORDENES'!$R958,lista_dias,0),9)*1000000000+IFERROR(MATCH('ORDENES'!$AF958,lista_turnos,0),9)*10000000+IFERROR(MATCH('ORDENES'!$AE958,'TECNICOS'!$B$4:$B$15,0),99)*100000+955,9000000000000+955)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IF(K963=1,IFERROR(MATCH('ORDENES'!$R959,lista_dias,0),9)*1000000000+IFERROR(MATCH('ORDENES'!$AF959,lista_turnos,0),9)*10000000+IFERROR(MATCH('ORDENES'!$AE959,'TECNICOS'!$B$4:$B$15,0),99)*100000+956,9000000000000+956)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IF(K964=1,IFERROR(MATCH('ORDENES'!$R960,lista_dias,0),9)*1000000000+IFERROR(MATCH('ORDENES'!$AF960,lista_turnos,0),9)*10000000+IFERROR(MATCH('ORDENES'!$AE960,'TECNICOS'!$B$4:$B$15,0),99)*100000+957,9000000000000+957)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IF(K965=1,IFERROR(MATCH('ORDENES'!$R961,lista_dias,0),9)*1000000000+IFERROR(MATCH('ORDENES'!$AF961,lista_turnos,0),9)*10000000+IFERROR(MATCH('ORDENES'!$AE961,'TECNICOS'!$B$4:$B$15,0),99)*100000+958,9000000000000+958)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IF(K966=1,IFERROR(MATCH('ORDENES'!$R962,lista_dias,0),9)*1000000000+IFERROR(MATCH('ORDENES'!$AF962,lista_turnos,0),9)*10000000+IFERROR(MATCH('ORDENES'!$AE962,'TECNICOS'!$B$4:$B$15,0),99)*100000+959,9000000000000+959)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IF(K967=1,IFERROR(MATCH('ORDENES'!$R963,lista_dias,0),9)*1000000000+IFERROR(MATCH('ORDENES'!$AF963,lista_turnos,0),9)*10000000+IFERROR(MATCH('ORDENES'!$AE963,'TECNICOS'!$B$4:$B$15,0),99)*100000+960,9000000000000+960)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IF(K968=1,IFERROR(MATCH('ORDENES'!$R964,lista_dias,0),9)*1000000000+IFERROR(MATCH('ORDENES'!$AF964,lista_turnos,0),9)*10000000+IFERROR(MATCH('ORDENES'!$AE964,'TECNICOS'!$B$4:$B$15,0),99)*100000+961,9000000000000+961)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IF(K969=1,IFERROR(MATCH('ORDENES'!$R965,lista_dias,0),9)*1000000000+IFERROR(MATCH('ORDENES'!$AF965,lista_turnos,0),9)*10000000+IFERROR(MATCH('ORDENES'!$AE965,'TECNICOS'!$B$4:$B$15,0),99)*100000+962,9000000000000+962)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IF(K970=1,IFERROR(MATCH('ORDENES'!$R966,lista_dias,0),9)*1000000000+IFERROR(MATCH('ORDENES'!$AF966,lista_turnos,0),9)*10000000+IFERROR(MATCH('ORDENES'!$AE966,'TECNICOS'!$B$4:$B$15,0),99)*100000+963,9000000000000+963)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IF(K971=1,IFERROR(MATCH('ORDENES'!$R967,lista_dias,0),9)*1000000000+IFERROR(MATCH('ORDENES'!$AF967,lista_turnos,0),9)*10000000+IFERROR(MATCH('ORDENES'!$AE967,'TECNICOS'!$B$4:$B$15,0),99)*100000+964,9000000000000+964)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IF(K972=1,IFERROR(MATCH('ORDENES'!$R968,lista_dias,0),9)*1000000000+IFERROR(MATCH('ORDENES'!$AF968,lista_turnos,0),9)*10000000+IFERROR(MATCH('ORDENES'!$AE968,'TECNICOS'!$B$4:$B$15,0),99)*100000+965,9000000000000+965)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IF(K973=1,IFERROR(MATCH('ORDENES'!$R969,lista_dias,0),9)*1000000000+IFERROR(MATCH('ORDENES'!$AF969,lista_turnos,0),9)*10000000+IFERROR(MATCH('ORDENES'!$AE969,'TECNICOS'!$B$4:$B$15,0),99)*100000+966,9000000000000+966)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IF(K974=1,IFERROR(MATCH('ORDENES'!$R970,lista_dias,0),9)*1000000000+IFERROR(MATCH('ORDENES'!$AF970,lista_turnos,0),9)*10000000+IFERROR(MATCH('ORDENES'!$AE970,'TECNICOS'!$B$4:$B$15,0),99)*100000+967,9000000000000+967)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IF(K975=1,IFERROR(MATCH('ORDENES'!$R971,lista_dias,0),9)*1000000000+IFERROR(MATCH('ORDENES'!$AF971,lista_turnos,0),9)*10000000+IFERROR(MATCH('ORDENES'!$AE971,'TECNICOS'!$B$4:$B$15,0),99)*100000+968,9000000000000+968)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IF(K976=1,IFERROR(MATCH('ORDENES'!$R972,lista_dias,0),9)*1000000000+IFERROR(MATCH('ORDENES'!$AF972,lista_turnos,0),9)*10000000+IFERROR(MATCH('ORDENES'!$AE972,'TECNICOS'!$B$4:$B$15,0),99)*100000+969,9000000000000+969)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IF(K977=1,IFERROR(MATCH('ORDENES'!$R973,lista_dias,0),9)*1000000000+IFERROR(MATCH('ORDENES'!$AF973,lista_turnos,0),9)*10000000+IFERROR(MATCH('ORDENES'!$AE973,'TECNICOS'!$B$4:$B$15,0),99)*100000+970,9000000000000+970)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IF(K978=1,IFERROR(MATCH('ORDENES'!$R974,lista_dias,0),9)*1000000000+IFERROR(MATCH('ORDENES'!$AF974,lista_turnos,0),9)*10000000+IFERROR(MATCH('ORDENES'!$AE974,'TECNICOS'!$B$4:$B$15,0),99)*100000+971,9000000000000+971)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IF(K979=1,IFERROR(MATCH('ORDENES'!$R975,lista_dias,0),9)*1000000000+IFERROR(MATCH('ORDENES'!$AF975,lista_turnos,0),9)*10000000+IFERROR(MATCH('ORDENES'!$AE975,'TECNICOS'!$B$4:$B$15,0),99)*100000+972,9000000000000+972)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IF(K980=1,IFERROR(MATCH('ORDENES'!$R976,lista_dias,0),9)*1000000000+IFERROR(MATCH('ORDENES'!$AF976,lista_turnos,0),9)*10000000+IFERROR(MATCH('ORDENES'!$AE976,'TECNICOS'!$B$4:$B$15,0),99)*100000+973,9000000000000+973)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IF(K981=1,IFERROR(MATCH('ORDENES'!$R977,lista_dias,0),9)*1000000000+IFERROR(MATCH('ORDENES'!$AF977,lista_turnos,0),9)*10000000+IFERROR(MATCH('ORDENES'!$AE977,'TECNICOS'!$B$4:$B$15,0),99)*100000+974,9000000000000+974)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IF(K982=1,IFERROR(MATCH('ORDENES'!$R978,lista_dias,0),9)*1000000000+IFERROR(MATCH('ORDENES'!$AF978,lista_turnos,0),9)*10000000+IFERROR(MATCH('ORDENES'!$AE978,'TECNICOS'!$B$4:$B$15,0),99)*100000+975,9000000000000+975)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IF(K983=1,IFERROR(MATCH('ORDENES'!$R979,lista_dias,0),9)*1000000000+IFERROR(MATCH('ORDENES'!$AF979,lista_turnos,0),9)*10000000+IFERROR(MATCH('ORDENES'!$AE979,'TECNICOS'!$B$4:$B$15,0),99)*100000+976,9000000000000+976)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IF(K984=1,IFERROR(MATCH('ORDENES'!$R980,lista_dias,0),9)*1000000000+IFERROR(MATCH('ORDENES'!$AF980,lista_turnos,0),9)*10000000+IFERROR(MATCH('ORDENES'!$AE980,'TECNICOS'!$B$4:$B$15,0),99)*100000+977,9000000000000+977)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IF(K985=1,IFERROR(MATCH('ORDENES'!$R981,lista_dias,0),9)*1000000000+IFERROR(MATCH('ORDENES'!$AF981,lista_turnos,0),9)*10000000+IFERROR(MATCH('ORDENES'!$AE981,'TECNICOS'!$B$4:$B$15,0),99)*100000+978,9000000000000+978)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IF(K986=1,IFERROR(MATCH('ORDENES'!$R982,lista_dias,0),9)*1000000000+IFERROR(MATCH('ORDENES'!$AF982,lista_turnos,0),9)*10000000+IFERROR(MATCH('ORDENES'!$AE982,'TECNICOS'!$B$4:$B$15,0),99)*100000+979,9000000000000+979)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IF(K987=1,IFERROR(MATCH('ORDENES'!$R983,lista_dias,0),9)*1000000000+IFERROR(MATCH('ORDENES'!$AF983,lista_turnos,0),9)*10000000+IFERROR(MATCH('ORDENES'!$AE983,'TECNICOS'!$B$4:$B$15,0),99)*100000+980,9000000000000+980)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IF(K988=1,IFERROR(MATCH('ORDENES'!$R984,lista_dias,0),9)*1000000000+IFERROR(MATCH('ORDENES'!$AF984,lista_turnos,0),9)*10000000+IFERROR(MATCH('ORDENES'!$AE984,'TECNICOS'!$B$4:$B$15,0),99)*100000+981,9000000000000+981)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IF(K989=1,IFERROR(MATCH('ORDENES'!$R985,lista_dias,0),9)*1000000000+IFERROR(MATCH('ORDENES'!$AF985,lista_turnos,0),9)*10000000+IFERROR(MATCH('ORDENES'!$AE985,'TECNICOS'!$B$4:$B$15,0),99)*100000+982,9000000000000+982)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IF(K990=1,IFERROR(MATCH('ORDENES'!$R986,lista_dias,0),9)*1000000000+IFERROR(MATCH('ORDENES'!$AF986,lista_turnos,0),9)*10000000+IFERROR(MATCH('ORDENES'!$AE986,'TECNICOS'!$B$4:$B$15,0),99)*100000+983,9000000000000+983)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IF(K991=1,IFERROR(MATCH('ORDENES'!$R987,lista_dias,0),9)*1000000000+IFERROR(MATCH('ORDENES'!$AF987,lista_turnos,0),9)*10000000+IFERROR(MATCH('ORDENES'!$AE987,'TECNICOS'!$B$4:$B$15,0),99)*100000+984,9000000000000+984)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IF(K992=1,IFERROR(MATCH('ORDENES'!$R988,lista_dias,0),9)*1000000000+IFERROR(MATCH('ORDENES'!$AF988,lista_turnos,0),9)*10000000+IFERROR(MATCH('ORDENES'!$AE988,'TECNICOS'!$B$4:$B$15,0),99)*100000+985,9000000000000+985)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IF(K993=1,IFERROR(MATCH('ORDENES'!$R989,lista_dias,0),9)*1000000000+IFERROR(MATCH('ORDENES'!$AF989,lista_turnos,0),9)*10000000+IFERROR(MATCH('ORDENES'!$AE989,'TECNICOS'!$B$4:$B$15,0),99)*100000+986,9000000000000+986)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IF(K994=1,IFERROR(MATCH('ORDENES'!$R990,lista_dias,0),9)*1000000000+IFERROR(MATCH('ORDENES'!$AF990,lista_turnos,0),9)*10000000+IFERROR(MATCH('ORDENES'!$AE990,'TECNICOS'!$B$4:$B$15,0),99)*100000+987,9000000000000+987)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IF(K995=1,IFERROR(MATCH('ORDENES'!$R991,lista_dias,0),9)*1000000000+IFERROR(MATCH('ORDENES'!$AF991,lista_turnos,0),9)*10000000+IFERROR(MATCH('ORDENES'!$AE991,'TECNICOS'!$B$4:$B$15,0),99)*100000+988,9000000000000+988)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IF(K996=1,IFERROR(MATCH('ORDENES'!$R992,lista_dias,0),9)*1000000000+IFERROR(MATCH('ORDENES'!$AF992,lista_turnos,0),9)*10000000+IFERROR(MATCH('ORDENES'!$AE992,'TECNICOS'!$B$4:$B$15,0),99)*100000+989,9000000000000+989)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IF(K997=1,IFERROR(MATCH('ORDENES'!$R993,lista_dias,0),9)*1000000000+IFERROR(MATCH('ORDENES'!$AF993,lista_turnos,0),9)*10000000+IFERROR(MATCH('ORDENES'!$AE993,'TECNICOS'!$B$4:$B$15,0),99)*100000+990,9000000000000+990)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IF(K998=1,IFERROR(MATCH('ORDENES'!$R994,lista_dias,0),9)*1000000000+IFERROR(MATCH('ORDENES'!$AF994,lista_turnos,0),9)*10000000+IFERROR(MATCH('ORDENES'!$AE994,'TECNICOS'!$B$4:$B$15,0),99)*100000+991,9000000000000+991)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IF(K999=1,IFERROR(MATCH('ORDENES'!$R995,lista_dias,0),9)*1000000000+IFERROR(MATCH('ORDENES'!$AF995,lista_turnos,0),9)*10000000+IFERROR(MATCH('ORDENES'!$AE995,'TECNICOS'!$B$4:$B$15,0),99)*100000+992,9000000000000+992)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IF(K1000=1,IFERROR(MATCH('ORDENES'!$R996,lista_dias,0),9)*1000000000+IFERROR(MATCH('ORDENES'!$AF996,lista_turnos,0),9)*10000000+IFERROR(MATCH('ORDENES'!$AE996,'TECNICOS'!$B$4:$B$15,0),99)*100000+993,9000000000000+993)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IF(K1001=1,IFERROR(MATCH('ORDENES'!$R997,lista_dias,0),9)*1000000000+IFERROR(MATCH('ORDENES'!$AF997,lista_turnos,0),9)*10000000+IFERROR(MATCH('ORDENES'!$AE997,'TECNICOS'!$B$4:$B$15,0),99)*100000+994,9000000000000+994)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IF(K1002=1,IFERROR(MATCH('ORDENES'!$R998,lista_dias,0),9)*1000000000+IFERROR(MATCH('ORDENES'!$AF998,lista_turnos,0),9)*10000000+IFERROR(MATCH('ORDENES'!$AE998,'TECNICOS'!$B$4:$B$15,0),99)*100000+995,9000000000000+995)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IF(K1003=1,IFERROR(MATCH('ORDENES'!$R999,lista_dias,0),9)*1000000000+IFERROR(MATCH('ORDENES'!$AF999,lista_turnos,0),9)*10000000+IFERROR(MATCH('ORDENES'!$AE999,'TECNICOS'!$B$4:$B$15,0),99)*100000+996,9000000000000+996)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IF(K1004=1,IFERROR(MATCH('ORDENES'!$R1000,lista_dias,0),9)*1000000000+IFERROR(MATCH('ORDENES'!$AF1000,lista_turnos,0),9)*10000000+IFERROR(MATCH('ORDENES'!$AE1000,'TECNICOS'!$B$4:$B$15,0),99)*100000+997,9000000000000+997)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IF(K1005=1,IFERROR(MATCH('ORDENES'!$R1001,lista_dias,0),9)*1000000000+IFERROR(MATCH('ORDENES'!$AF1001,lista_turnos,0),9)*10000000+IFERROR(MATCH('ORDENES'!$AE1001,'TECNICOS'!$B$4:$B$15,0),99)*100000+998,9000000000000+998)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IF(K1006=1,IFERROR(MATCH('ORDENES'!$R1002,lista_dias,0),9)*1000000000+IFERROR(MATCH('ORDENES'!$AF1002,lista_turnos,0),9)*10000000+IFERROR(MATCH('ORDENES'!$AE1002,'TECNICOS'!$B$4:$B$15,0),99)*100000+999,9000000000000+999)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IF(K1007=1,IFERROR(MATCH('ORDENES'!$R1003,lista_dias,0),9)*1000000000+IFERROR(MATCH('ORDENES'!$AF1003,lista_turnos,0),9)*10000000+IFERROR(MATCH('ORDENES'!$AE1003,'TECNICOS'!$B$4:$B$15,0),99)*100000+1000,9000000000000+1000)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IF(K1008=1,IFERROR(MATCH('ORDENES'!$R1004,lista_dias,0),9)*1000000000+IFERROR(MATCH('ORDENES'!$AF1004,lista_turnos,0),9)*10000000+IFERROR(MATCH('ORDENES'!$AE1004,'TECNICOS'!$B$4:$B$15,0),99)*100000+1001,9000000000000+1001)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IF(K1009=1,IFERROR(MATCH('ORDENES'!$R1005,lista_dias,0),9)*1000000000+IFERROR(MATCH('ORDENES'!$AF1005,lista_turnos,0),9)*10000000+IFERROR(MATCH('ORDENES'!$AE1005,'TECNICOS'!$B$4:$B$15,0),99)*100000+1002,9000000000000+1002)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IF(K1010=1,IFERROR(MATCH('ORDENES'!$R1006,lista_dias,0),9)*1000000000+IFERROR(MATCH('ORDENES'!$AF1006,lista_turnos,0),9)*10000000+IFERROR(MATCH('ORDENES'!$AE1006,'TECNICOS'!$B$4:$B$15,0),99)*100000+1003,9000000000000+1003)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IF(K1011=1,IFERROR(MATCH('ORDENES'!$R1007,lista_dias,0),9)*1000000000+IFERROR(MATCH('ORDENES'!$AF1007,lista_turnos,0),9)*10000000+IFERROR(MATCH('ORDENES'!$AE1007,'TECNICOS'!$B$4:$B$15,0),99)*100000+1004,9000000000000+1004)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IF(K1012=1,IFERROR(MATCH('ORDENES'!$R1008,lista_dias,0),9)*1000000000+IFERROR(MATCH('ORDENES'!$AF1008,lista_turnos,0),9)*10000000+IFERROR(MATCH('ORDENES'!$AE1008,'TECNICOS'!$B$4:$B$15,0),99)*100000+1005,9000000000000+1005)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IF(K1013=1,IFERROR(MATCH('ORDENES'!$R1009,lista_dias,0),9)*1000000000+IFERROR(MATCH('ORDENES'!$AF1009,lista_turnos,0),9)*10000000+IFERROR(MATCH('ORDENES'!$AE1009,'TECNICOS'!$B$4:$B$15,0),99)*100000+1006,9000000000000+1006)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IF(K1014=1,IFERROR(MATCH('ORDENES'!$R1010,lista_dias,0),9)*1000000000+IFERROR(MATCH('ORDENES'!$AF1010,lista_turnos,0),9)*10000000+IFERROR(MATCH('ORDENES'!$AE1010,'TECNICOS'!$B$4:$B$15,0),99)*100000+1007,9000000000000+1007)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IF(K1015=1,IFERROR(MATCH('ORDENES'!$R1011,lista_dias,0),9)*1000000000+IFERROR(MATCH('ORDENES'!$AF1011,lista_turnos,0),9)*10000000+IFERROR(MATCH('ORDENES'!$AE1011,'TECNICOS'!$B$4:$B$15,0),99)*100000+1008,9000000000000+1008)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IF(K1016=1,IFERROR(MATCH('ORDENES'!$R1012,lista_dias,0),9)*1000000000+IFERROR(MATCH('ORDENES'!$AF1012,lista_turnos,0),9)*10000000+IFERROR(MATCH('ORDENES'!$AE1012,'TECNICOS'!$B$4:$B$15,0),99)*100000+1009,9000000000000+1009)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IF(K1017=1,IFERROR(MATCH('ORDENES'!$R1013,lista_dias,0),9)*1000000000+IFERROR(MATCH('ORDENES'!$AF1013,lista_turnos,0),9)*10000000+IFERROR(MATCH('ORDENES'!$AE1013,'TECNICOS'!$B$4:$B$15,0),99)*100000+1010,9000000000000+1010)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IF(K1018=1,IFERROR(MATCH('ORDENES'!$R1014,lista_dias,0),9)*1000000000+IFERROR(MATCH('ORDENES'!$AF1014,lista_turnos,0),9)*10000000+IFERROR(MATCH('ORDENES'!$AE1014,'TECNICOS'!$B$4:$B$15,0),99)*100000+1011,9000000000000+1011)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IF(K1019=1,IFERROR(MATCH('ORDENES'!$R1015,lista_dias,0),9)*1000000000+IFERROR(MATCH('ORDENES'!$AF1015,lista_turnos,0),9)*10000000+IFERROR(MATCH('ORDENES'!$AE1015,'TECNICOS'!$B$4:$B$15,0),99)*100000+1012,9000000000000+1012)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IF(K1020=1,IFERROR(MATCH('ORDENES'!$R1016,lista_dias,0),9)*1000000000+IFERROR(MATCH('ORDENES'!$AF1016,lista_turnos,0),9)*10000000+IFERROR(MATCH('ORDENES'!$AE1016,'TECNICOS'!$B$4:$B$15,0),99)*100000+1013,9000000000000+1013)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IF(K1021=1,IFERROR(MATCH('ORDENES'!$R1017,lista_dias,0),9)*1000000000+IFERROR(MATCH('ORDENES'!$AF1017,lista_turnos,0),9)*10000000+IFERROR(MATCH('ORDENES'!$AE1017,'TECNICOS'!$B$4:$B$15,0),99)*100000+1014,9000000000000+1014)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IF(K1022=1,IFERROR(MATCH('ORDENES'!$R1018,lista_dias,0),9)*1000000000+IFERROR(MATCH('ORDENES'!$AF1018,lista_turnos,0),9)*10000000+IFERROR(MATCH('ORDENES'!$AE1018,'TECNICOS'!$B$4:$B$15,0),99)*100000+1015,9000000000000+1015)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IF(K1023=1,IFERROR(MATCH('ORDENES'!$R1019,lista_dias,0),9)*1000000000+IFERROR(MATCH('ORDENES'!$AF1019,lista_turnos,0),9)*10000000+IFERROR(MATCH('ORDENES'!$AE1019,'TECNICOS'!$B$4:$B$15,0),99)*100000+1016,9000000000000+1016)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IF(K1024=1,IFERROR(MATCH('ORDENES'!$R1020,lista_dias,0),9)*1000000000+IFERROR(MATCH('ORDENES'!$AF1020,lista_turnos,0),9)*10000000+IFERROR(MATCH('ORDENES'!$AE1020,'TECNICOS'!$B$4:$B$15,0),99)*100000+1017,9000000000000+1017)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IF(K1025=1,IFERROR(MATCH('ORDENES'!$R1021,lista_dias,0),9)*1000000000+IFERROR(MATCH('ORDENES'!$AF1021,lista_turnos,0),9)*10000000+IFERROR(MATCH('ORDENES'!$AE1021,'TECNICOS'!$B$4:$B$15,0),99)*100000+1018,9000000000000+1018)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IF(K1026=1,IFERROR(MATCH('ORDENES'!$R1022,lista_dias,0),9)*1000000000+IFERROR(MATCH('ORDENES'!$AF1022,lista_turnos,0),9)*10000000+IFERROR(MATCH('ORDENES'!$AE1022,'TECNICOS'!$B$4:$B$15,0),99)*100000+1019,9000000000000+1019)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IF(K1027=1,IFERROR(MATCH('ORDENES'!$R1023,lista_dias,0),9)*1000000000+IFERROR(MATCH('ORDENES'!$AF1023,lista_turnos,0),9)*10000000+IFERROR(MATCH('ORDENES'!$AE1023,'TECNICOS'!$B$4:$B$15,0),99)*100000+1020,9000000000000+1020)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IF(K1028=1,IFERROR(MATCH('ORDENES'!$R1024,lista_dias,0),9)*1000000000+IFERROR(MATCH('ORDENES'!$AF1024,lista_turnos,0),9)*10000000+IFERROR(MATCH('ORDENES'!$AE1024,'TECNICOS'!$B$4:$B$15,0),99)*100000+1021,9000000000000+1021)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IF(K1029=1,IFERROR(MATCH('ORDENES'!$R1025,lista_dias,0),9)*1000000000+IFERROR(MATCH('ORDENES'!$AF1025,lista_turnos,0),9)*10000000+IFERROR(MATCH('ORDENES'!$AE1025,'TECNICOS'!$B$4:$B$15,0),99)*100000+1022,9000000000000+1022)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IF(K1030=1,IFERROR(MATCH('ORDENES'!$R1026,lista_dias,0),9)*1000000000+IFERROR(MATCH('ORDENES'!$AF1026,lista_turnos,0),9)*10000000+IFERROR(MATCH('ORDENES'!$AE1026,'TECNICOS'!$B$4:$B$15,0),99)*100000+1023,9000000000000+1023)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IF(K1031=1,IFERROR(MATCH('ORDENES'!$R1027,lista_dias,0),9)*1000000000+IFERROR(MATCH('ORDENES'!$AF1027,lista_turnos,0),9)*10000000+IFERROR(MATCH('ORDENES'!$AE1027,'TECNICOS'!$B$4:$B$15,0),99)*100000+1024,9000000000000+1024)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IF(K1032=1,IFERROR(MATCH('ORDENES'!$R1028,lista_dias,0),9)*1000000000+IFERROR(MATCH('ORDENES'!$AF1028,lista_turnos,0),9)*10000000+IFERROR(MATCH('ORDENES'!$AE1028,'TECNICOS'!$B$4:$B$15,0),99)*100000+1025,9000000000000+1025)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IF(K1033=1,IFERROR(MATCH('ORDENES'!$R1029,lista_dias,0),9)*1000000000+IFERROR(MATCH('ORDENES'!$AF1029,lista_turnos,0),9)*10000000+IFERROR(MATCH('ORDENES'!$AE1029,'TECNICOS'!$B$4:$B$15,0),99)*100000+1026,9000000000000+1026)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IF(K1034=1,IFERROR(MATCH('ORDENES'!$R1030,lista_dias,0),9)*1000000000+IFERROR(MATCH('ORDENES'!$AF1030,lista_turnos,0),9)*10000000+IFERROR(MATCH('ORDENES'!$AE1030,'TECNICOS'!$B$4:$B$15,0),99)*100000+1027,9000000000000+1027)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IF(K1035=1,IFERROR(MATCH('ORDENES'!$R1031,lista_dias,0),9)*1000000000+IFERROR(MATCH('ORDENES'!$AF1031,lista_turnos,0),9)*10000000+IFERROR(MATCH('ORDENES'!$AE1031,'TECNICOS'!$B$4:$B$15,0),99)*100000+1028,9000000000000+1028)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IF(K1036=1,IFERROR(MATCH('ORDENES'!$R1032,lista_dias,0),9)*1000000000+IFERROR(MATCH('ORDENES'!$AF1032,lista_turnos,0),9)*10000000+IFERROR(MATCH('ORDENES'!$AE1032,'TECNICOS'!$B$4:$B$15,0),99)*100000+1029,9000000000000+1029)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IF(K1037=1,IFERROR(MATCH('ORDENES'!$R1033,lista_dias,0),9)*1000000000+IFERROR(MATCH('ORDENES'!$AF1033,lista_turnos,0),9)*10000000+IFERROR(MATCH('ORDENES'!$AE1033,'TECNICOS'!$B$4:$B$15,0),99)*100000+1030,9000000000000+1030)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IF(K1038=1,IFERROR(MATCH('ORDENES'!$R1034,lista_dias,0),9)*1000000000+IFERROR(MATCH('ORDENES'!$AF1034,lista_turnos,0),9)*10000000+IFERROR(MATCH('ORDENES'!$AE1034,'TECNICOS'!$B$4:$B$15,0),99)*100000+1031,9000000000000+1031)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IF(K1039=1,IFERROR(MATCH('ORDENES'!$R1035,lista_dias,0),9)*1000000000+IFERROR(MATCH('ORDENES'!$AF1035,lista_turnos,0),9)*10000000+IFERROR(MATCH('ORDENES'!$AE1035,'TECNICOS'!$B$4:$B$15,0),99)*100000+1032,9000000000000+1032)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IF(K1040=1,IFERROR(MATCH('ORDENES'!$R1036,lista_dias,0),9)*1000000000+IFERROR(MATCH('ORDENES'!$AF1036,lista_turnos,0),9)*10000000+IFERROR(MATCH('ORDENES'!$AE1036,'TECNICOS'!$B$4:$B$15,0),99)*100000+1033,9000000000000+1033)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IF(K1041=1,IFERROR(MATCH('ORDENES'!$R1037,lista_dias,0),9)*1000000000+IFERROR(MATCH('ORDENES'!$AF1037,lista_turnos,0),9)*10000000+IFERROR(MATCH('ORDENES'!$AE1037,'TECNICOS'!$B$4:$B$15,0),99)*100000+1034,9000000000000+1034)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IF(K1042=1,IFERROR(MATCH('ORDENES'!$R1038,lista_dias,0),9)*1000000000+IFERROR(MATCH('ORDENES'!$AF1038,lista_turnos,0),9)*10000000+IFERROR(MATCH('ORDENES'!$AE1038,'TECNICOS'!$B$4:$B$15,0),99)*100000+1035,9000000000000+1035)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IF(K1043=1,IFERROR(MATCH('ORDENES'!$R1039,lista_dias,0),9)*1000000000+IFERROR(MATCH('ORDENES'!$AF1039,lista_turnos,0),9)*10000000+IFERROR(MATCH('ORDENES'!$AE1039,'TECNICOS'!$B$4:$B$15,0),99)*100000+1036,9000000000000+1036)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IF(K1044=1,IFERROR(MATCH('ORDENES'!$R1040,lista_dias,0),9)*1000000000+IFERROR(MATCH('ORDENES'!$AF1040,lista_turnos,0),9)*10000000+IFERROR(MATCH('ORDENES'!$AE1040,'TECNICOS'!$B$4:$B$15,0),99)*100000+1037,9000000000000+1037)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IF(K1045=1,IFERROR(MATCH('ORDENES'!$R1041,lista_dias,0),9)*1000000000+IFERROR(MATCH('ORDENES'!$AF1041,lista_turnos,0),9)*10000000+IFERROR(MATCH('ORDENES'!$AE1041,'TECNICOS'!$B$4:$B$15,0),99)*100000+1038,9000000000000+1038)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IF(K1046=1,IFERROR(MATCH('ORDENES'!$R1042,lista_dias,0),9)*1000000000+IFERROR(MATCH('ORDENES'!$AF1042,lista_turnos,0),9)*10000000+IFERROR(MATCH('ORDENES'!$AE1042,'TECNICOS'!$B$4:$B$15,0),99)*100000+1039,9000000000000+1039)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IF(K1047=1,IFERROR(MATCH('ORDENES'!$R1043,lista_dias,0),9)*1000000000+IFERROR(MATCH('ORDENES'!$AF1043,lista_turnos,0),9)*10000000+IFERROR(MATCH('ORDENES'!$AE1043,'TECNICOS'!$B$4:$B$15,0),99)*100000+1040,9000000000000+1040)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IF(K1048=1,IFERROR(MATCH('ORDENES'!$R1044,lista_dias,0),9)*1000000000+IFERROR(MATCH('ORDENES'!$AF1044,lista_turnos,0),9)*10000000+IFERROR(MATCH('ORDENES'!$AE1044,'TECNICOS'!$B$4:$B$15,0),99)*100000+1041,9000000000000+1041)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IF(K1049=1,IFERROR(MATCH('ORDENES'!$R1045,lista_dias,0),9)*1000000000+IFERROR(MATCH('ORDENES'!$AF1045,lista_turnos,0),9)*10000000+IFERROR(MATCH('ORDENES'!$AE1045,'TECNICOS'!$B$4:$B$15,0),99)*100000+1042,9000000000000+1042)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IF(K1050=1,IFERROR(MATCH('ORDENES'!$R1046,lista_dias,0),9)*1000000000+IFERROR(MATCH('ORDENES'!$AF1046,lista_turnos,0),9)*10000000+IFERROR(MATCH('ORDENES'!$AE1046,'TECNICOS'!$B$4:$B$15,0),99)*100000+1043,9000000000000+1043)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IF(K1051=1,IFERROR(MATCH('ORDENES'!$R1047,lista_dias,0),9)*1000000000+IFERROR(MATCH('ORDENES'!$AF1047,lista_turnos,0),9)*10000000+IFERROR(MATCH('ORDENES'!$AE1047,'TECNICOS'!$B$4:$B$15,0),99)*100000+1044,9000000000000+1044)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IF(K1052=1,IFERROR(MATCH('ORDENES'!$R1048,lista_dias,0),9)*1000000000+IFERROR(MATCH('ORDENES'!$AF1048,lista_turnos,0),9)*10000000+IFERROR(MATCH('ORDENES'!$AE1048,'TECNICOS'!$B$4:$B$15,0),99)*100000+1045,9000000000000+1045)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IF(K1053=1,IFERROR(MATCH('ORDENES'!$R1049,lista_dias,0),9)*1000000000+IFERROR(MATCH('ORDENES'!$AF1049,lista_turnos,0),9)*10000000+IFERROR(MATCH('ORDENES'!$AE1049,'TECNICOS'!$B$4:$B$15,0),99)*100000+1046,9000000000000+1046)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IF(K1054=1,IFERROR(MATCH('ORDENES'!$R1050,lista_dias,0),9)*1000000000+IFERROR(MATCH('ORDENES'!$AF1050,lista_turnos,0),9)*10000000+IFERROR(MATCH('ORDENES'!$AE1050,'TECNICOS'!$B$4:$B$15,0),99)*100000+1047,9000000000000+1047)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IF(K1055=1,IFERROR(MATCH('ORDENES'!$R1051,lista_dias,0),9)*1000000000+IFERROR(MATCH('ORDENES'!$AF1051,lista_turnos,0),9)*10000000+IFERROR(MATCH('ORDENES'!$AE1051,'TECNICOS'!$B$4:$B$15,0),99)*100000+1048,9000000000000+1048)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IF(K1056=1,IFERROR(MATCH('ORDENES'!$R1052,lista_dias,0),9)*1000000000+IFERROR(MATCH('ORDENES'!$AF1052,lista_turnos,0),9)*10000000+IFERROR(MATCH('ORDENES'!$AE1052,'TECNICOS'!$B$4:$B$15,0),99)*100000+1049,9000000000000+1049)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IF(K1057=1,IFERROR(MATCH('ORDENES'!$R1053,lista_dias,0),9)*1000000000+IFERROR(MATCH('ORDENES'!$AF1053,lista_turnos,0),9)*10000000+IFERROR(MATCH('ORDENES'!$AE1053,'TECNICOS'!$B$4:$B$15,0),99)*100000+1050,9000000000000+1050)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IF(K1058=1,IFERROR(MATCH('ORDENES'!$R1054,lista_dias,0),9)*1000000000+IFERROR(MATCH('ORDENES'!$AF1054,lista_turnos,0),9)*10000000+IFERROR(MATCH('ORDENES'!$AE1054,'TECNICOS'!$B$4:$B$15,0),99)*100000+1051,9000000000000+1051)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IF(K1059=1,IFERROR(MATCH('ORDENES'!$R1055,lista_dias,0),9)*1000000000+IFERROR(MATCH('ORDENES'!$AF1055,lista_turnos,0),9)*10000000+IFERROR(MATCH('ORDENES'!$AE1055,'TECNICOS'!$B$4:$B$15,0),99)*100000+1052,9000000000000+1052)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IF(K1060=1,IFERROR(MATCH('ORDENES'!$R1056,lista_dias,0),9)*1000000000+IFERROR(MATCH('ORDENES'!$AF1056,lista_turnos,0),9)*10000000+IFERROR(MATCH('ORDENES'!$AE1056,'TECNICOS'!$B$4:$B$15,0),99)*100000+1053,9000000000000+1053)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IF(K1061=1,IFERROR(MATCH('ORDENES'!$R1057,lista_dias,0),9)*1000000000+IFERROR(MATCH('ORDENES'!$AF1057,lista_turnos,0),9)*10000000+IFERROR(MATCH('ORDENES'!$AE1057,'TECNICOS'!$B$4:$B$15,0),99)*100000+1054,9000000000000+1054)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IF(K1062=1,IFERROR(MATCH('ORDENES'!$R1058,lista_dias,0),9)*1000000000+IFERROR(MATCH('ORDENES'!$AF1058,lista_turnos,0),9)*10000000+IFERROR(MATCH('ORDENES'!$AE1058,'TECNICOS'!$B$4:$B$15,0),99)*100000+1055,9000000000000+1055)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IF(K1063=1,IFERROR(MATCH('ORDENES'!$R1059,lista_dias,0),9)*1000000000+IFERROR(MATCH('ORDENES'!$AF1059,lista_turnos,0),9)*10000000+IFERROR(MATCH('ORDENES'!$AE1059,'TECNICOS'!$B$4:$B$15,0),99)*100000+1056,9000000000000+1056)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IF(K1064=1,IFERROR(MATCH('ORDENES'!$R1060,lista_dias,0),9)*1000000000+IFERROR(MATCH('ORDENES'!$AF1060,lista_turnos,0),9)*10000000+IFERROR(MATCH('ORDENES'!$AE1060,'TECNICOS'!$B$4:$B$15,0),99)*100000+1057,9000000000000+1057)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IF(K1065=1,IFERROR(MATCH('ORDENES'!$R1061,lista_dias,0),9)*1000000000+IFERROR(MATCH('ORDENES'!$AF1061,lista_turnos,0),9)*10000000+IFERROR(MATCH('ORDENES'!$AE1061,'TECNICOS'!$B$4:$B$15,0),99)*100000+1058,9000000000000+1058)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IF(K1066=1,IFERROR(MATCH('ORDENES'!$R1062,lista_dias,0),9)*1000000000+IFERROR(MATCH('ORDENES'!$AF1062,lista_turnos,0),9)*10000000+IFERROR(MATCH('ORDENES'!$AE1062,'TECNICOS'!$B$4:$B$15,0),99)*100000+1059,9000000000000+1059)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IF(K1067=1,IFERROR(MATCH('ORDENES'!$R1063,lista_dias,0),9)*1000000000+IFERROR(MATCH('ORDENES'!$AF1063,lista_turnos,0),9)*10000000+IFERROR(MATCH('ORDENES'!$AE1063,'TECNICOS'!$B$4:$B$15,0),99)*100000+1060,9000000000000+1060)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IF(K1068=1,IFERROR(MATCH('ORDENES'!$R1064,lista_dias,0),9)*1000000000+IFERROR(MATCH('ORDENES'!$AF1064,lista_turnos,0),9)*10000000+IFERROR(MATCH('ORDENES'!$AE1064,'TECNICOS'!$B$4:$B$15,0),99)*100000+1061,9000000000000+1061)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IF(K1069=1,IFERROR(MATCH('ORDENES'!$R1065,lista_dias,0),9)*1000000000+IFERROR(MATCH('ORDENES'!$AF1065,lista_turnos,0),9)*10000000+IFERROR(MATCH('ORDENES'!$AE1065,'TECNICOS'!$B$4:$B$15,0),99)*100000+1062,9000000000000+1062)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IF(K1070=1,IFERROR(MATCH('ORDENES'!$R1066,lista_dias,0),9)*1000000000+IFERROR(MATCH('ORDENES'!$AF1066,lista_turnos,0),9)*10000000+IFERROR(MATCH('ORDENES'!$AE1066,'TECNICOS'!$B$4:$B$15,0),99)*100000+1063,9000000000000+1063)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IF(K1071=1,IFERROR(MATCH('ORDENES'!$R1067,lista_dias,0),9)*1000000000+IFERROR(MATCH('ORDENES'!$AF1067,lista_turnos,0),9)*10000000+IFERROR(MATCH('ORDENES'!$AE1067,'TECNICOS'!$B$4:$B$15,0),99)*100000+1064,9000000000000+1064)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IF(K1072=1,IFERROR(MATCH('ORDENES'!$R1068,lista_dias,0),9)*1000000000+IFERROR(MATCH('ORDENES'!$AF1068,lista_turnos,0),9)*10000000+IFERROR(MATCH('ORDENES'!$AE1068,'TECNICOS'!$B$4:$B$15,0),99)*100000+1065,9000000000000+1065)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IF(K1073=1,IFERROR(MATCH('ORDENES'!$R1069,lista_dias,0),9)*1000000000+IFERROR(MATCH('ORDENES'!$AF1069,lista_turnos,0),9)*10000000+IFERROR(MATCH('ORDENES'!$AE1069,'TECNICOS'!$B$4:$B$15,0),99)*100000+1066,9000000000000+1066)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IF(K1074=1,IFERROR(MATCH('ORDENES'!$R1070,lista_dias,0),9)*1000000000+IFERROR(MATCH('ORDENES'!$AF1070,lista_turnos,0),9)*10000000+IFERROR(MATCH('ORDENES'!$AE1070,'TECNICOS'!$B$4:$B$15,0),99)*100000+1067,9000000000000+1067)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IF(K1075=1,IFERROR(MATCH('ORDENES'!$R1071,lista_dias,0),9)*1000000000+IFERROR(MATCH('ORDENES'!$AF1071,lista_turnos,0),9)*10000000+IFERROR(MATCH('ORDENES'!$AE1071,'TECNICOS'!$B$4:$B$15,0),99)*100000+1068,9000000000000+1068)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IF(K1076=1,IFERROR(MATCH('ORDENES'!$R1072,lista_dias,0),9)*1000000000+IFERROR(MATCH('ORDENES'!$AF1072,lista_turnos,0),9)*10000000+IFERROR(MATCH('ORDENES'!$AE1072,'TECNICOS'!$B$4:$B$15,0),99)*100000+1069,9000000000000+1069)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IF(K1077=1,IFERROR(MATCH('ORDENES'!$R1073,lista_dias,0),9)*1000000000+IFERROR(MATCH('ORDENES'!$AF1073,lista_turnos,0),9)*10000000+IFERROR(MATCH('ORDENES'!$AE1073,'TECNICOS'!$B$4:$B$15,0),99)*100000+1070,9000000000000+1070)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IF(K1078=1,IFERROR(MATCH('ORDENES'!$R1074,lista_dias,0),9)*1000000000+IFERROR(MATCH('ORDENES'!$AF1074,lista_turnos,0),9)*10000000+IFERROR(MATCH('ORDENES'!$AE1074,'TECNICOS'!$B$4:$B$15,0),99)*100000+1071,9000000000000+1071)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IF(K1079=1,IFERROR(MATCH('ORDENES'!$R1075,lista_dias,0),9)*1000000000+IFERROR(MATCH('ORDENES'!$AF1075,lista_turnos,0),9)*10000000+IFERROR(MATCH('ORDENES'!$AE1075,'TECNICOS'!$B$4:$B$15,0),99)*100000+1072,9000000000000+1072)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IF(K1080=1,IFERROR(MATCH('ORDENES'!$R1076,lista_dias,0),9)*1000000000+IFERROR(MATCH('ORDENES'!$AF1076,lista_turnos,0),9)*10000000+IFERROR(MATCH('ORDENES'!$AE1076,'TECNICOS'!$B$4:$B$15,0),99)*100000+1073,9000000000000+1073)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IF(K1081=1,IFERROR(MATCH('ORDENES'!$R1077,lista_dias,0),9)*1000000000+IFERROR(MATCH('ORDENES'!$AF1077,lista_turnos,0),9)*10000000+IFERROR(MATCH('ORDENES'!$AE1077,'TECNICOS'!$B$4:$B$15,0),99)*100000+1074,9000000000000+1074)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IF(K1082=1,IFERROR(MATCH('ORDENES'!$R1078,lista_dias,0),9)*1000000000+IFERROR(MATCH('ORDENES'!$AF1078,lista_turnos,0),9)*10000000+IFERROR(MATCH('ORDENES'!$AE1078,'TECNICOS'!$B$4:$B$15,0),99)*100000+1075,9000000000000+1075)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IF(K1083=1,IFERROR(MATCH('ORDENES'!$R1079,lista_dias,0),9)*1000000000+IFERROR(MATCH('ORDENES'!$AF1079,lista_turnos,0),9)*10000000+IFERROR(MATCH('ORDENES'!$AE1079,'TECNICOS'!$B$4:$B$15,0),99)*100000+1076,9000000000000+1076)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IF(K1084=1,IFERROR(MATCH('ORDENES'!$R1080,lista_dias,0),9)*1000000000+IFERROR(MATCH('ORDENES'!$AF1080,lista_turnos,0),9)*10000000+IFERROR(MATCH('ORDENES'!$AE1080,'TECNICOS'!$B$4:$B$15,0),99)*100000+1077,9000000000000+1077)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IF(K1085=1,IFERROR(MATCH('ORDENES'!$R1081,lista_dias,0),9)*1000000000+IFERROR(MATCH('ORDENES'!$AF1081,lista_turnos,0),9)*10000000+IFERROR(MATCH('ORDENES'!$AE1081,'TECNICOS'!$B$4:$B$15,0),99)*100000+1078,9000000000000+1078)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IF(K1086=1,IFERROR(MATCH('ORDENES'!$R1082,lista_dias,0),9)*1000000000+IFERROR(MATCH('ORDENES'!$AF1082,lista_turnos,0),9)*10000000+IFERROR(MATCH('ORDENES'!$AE1082,'TECNICOS'!$B$4:$B$15,0),99)*100000+1079,9000000000000+1079)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IF(K1087=1,IFERROR(MATCH('ORDENES'!$R1083,lista_dias,0),9)*1000000000+IFERROR(MATCH('ORDENES'!$AF1083,lista_turnos,0),9)*10000000+IFERROR(MATCH('ORDENES'!$AE1083,'TECNICOS'!$B$4:$B$15,0),99)*100000+1080,9000000000000+1080)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IF(K1088=1,IFERROR(MATCH('ORDENES'!$R1084,lista_dias,0),9)*1000000000+IFERROR(MATCH('ORDENES'!$AF1084,lista_turnos,0),9)*10000000+IFERROR(MATCH('ORDENES'!$AE1084,'TECNICOS'!$B$4:$B$15,0),99)*100000+1081,9000000000000+1081)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IF(K1089=1,IFERROR(MATCH('ORDENES'!$R1085,lista_dias,0),9)*1000000000+IFERROR(MATCH('ORDENES'!$AF1085,lista_turnos,0),9)*10000000+IFERROR(MATCH('ORDENES'!$AE1085,'TECNICOS'!$B$4:$B$15,0),99)*100000+1082,9000000000000+1082)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IF(K1090=1,IFERROR(MATCH('ORDENES'!$R1086,lista_dias,0),9)*1000000000+IFERROR(MATCH('ORDENES'!$AF1086,lista_turnos,0),9)*10000000+IFERROR(MATCH('ORDENES'!$AE1086,'TECNICOS'!$B$4:$B$15,0),99)*100000+1083,9000000000000+1083)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IF(K1091=1,IFERROR(MATCH('ORDENES'!$R1087,lista_dias,0),9)*1000000000+IFERROR(MATCH('ORDENES'!$AF1087,lista_turnos,0),9)*10000000+IFERROR(MATCH('ORDENES'!$AE1087,'TECNICOS'!$B$4:$B$15,0),99)*100000+1084,9000000000000+1084)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IF(K1092=1,IFERROR(MATCH('ORDENES'!$R1088,lista_dias,0),9)*1000000000+IFERROR(MATCH('ORDENES'!$AF1088,lista_turnos,0),9)*10000000+IFERROR(MATCH('ORDENES'!$AE1088,'TECNICOS'!$B$4:$B$15,0),99)*100000+1085,9000000000000+1085)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IF(K1093=1,IFERROR(MATCH('ORDENES'!$R1089,lista_dias,0),9)*1000000000+IFERROR(MATCH('ORDENES'!$AF1089,lista_turnos,0),9)*10000000+IFERROR(MATCH('ORDENES'!$AE1089,'TECNICOS'!$B$4:$B$15,0),99)*100000+1086,9000000000000+1086)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IF(K1094=1,IFERROR(MATCH('ORDENES'!$R1090,lista_dias,0),9)*1000000000+IFERROR(MATCH('ORDENES'!$AF1090,lista_turnos,0),9)*10000000+IFERROR(MATCH('ORDENES'!$AE1090,'TECNICOS'!$B$4:$B$15,0),99)*100000+1087,9000000000000+1087)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IF(K1095=1,IFERROR(MATCH('ORDENES'!$R1091,lista_dias,0),9)*1000000000+IFERROR(MATCH('ORDENES'!$AF1091,lista_turnos,0),9)*10000000+IFERROR(MATCH('ORDENES'!$AE1091,'TECNICOS'!$B$4:$B$15,0),99)*100000+1088,9000000000000+1088)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IF(K1096=1,IFERROR(MATCH('ORDENES'!$R1092,lista_dias,0),9)*1000000000+IFERROR(MATCH('ORDENES'!$AF1092,lista_turnos,0),9)*10000000+IFERROR(MATCH('ORDENES'!$AE1092,'TECNICOS'!$B$4:$B$15,0),99)*100000+1089,9000000000000+1089)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IF(K1097=1,IFERROR(MATCH('ORDENES'!$R1093,lista_dias,0),9)*1000000000+IFERROR(MATCH('ORDENES'!$AF1093,lista_turnos,0),9)*10000000+IFERROR(MATCH('ORDENES'!$AE1093,'TECNICOS'!$B$4:$B$15,0),99)*100000+1090,9000000000000+1090)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IF(K1098=1,IFERROR(MATCH('ORDENES'!$R1094,lista_dias,0),9)*1000000000+IFERROR(MATCH('ORDENES'!$AF1094,lista_turnos,0),9)*10000000+IFERROR(MATCH('ORDENES'!$AE1094,'TECNICOS'!$B$4:$B$15,0),99)*100000+1091,9000000000000+1091)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IF(K1099=1,IFERROR(MATCH('ORDENES'!$R1095,lista_dias,0),9)*1000000000+IFERROR(MATCH('ORDENES'!$AF1095,lista_turnos,0),9)*10000000+IFERROR(MATCH('ORDENES'!$AE1095,'TECNICOS'!$B$4:$B$15,0),99)*100000+1092,9000000000000+1092)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IF(K1100=1,IFERROR(MATCH('ORDENES'!$R1096,lista_dias,0),9)*1000000000+IFERROR(MATCH('ORDENES'!$AF1096,lista_turnos,0),9)*10000000+IFERROR(MATCH('ORDENES'!$AE1096,'TECNICOS'!$B$4:$B$15,0),99)*100000+1093,9000000000000+1093)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IF(K1101=1,IFERROR(MATCH('ORDENES'!$R1097,lista_dias,0),9)*1000000000+IFERROR(MATCH('ORDENES'!$AF1097,lista_turnos,0),9)*10000000+IFERROR(MATCH('ORDENES'!$AE1097,'TECNICOS'!$B$4:$B$15,0),99)*100000+1094,9000000000000+1094)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IF(K1102=1,IFERROR(MATCH('ORDENES'!$R1098,lista_dias,0),9)*1000000000+IFERROR(MATCH('ORDENES'!$AF1098,lista_turnos,0),9)*10000000+IFERROR(MATCH('ORDENES'!$AE1098,'TECNICOS'!$B$4:$B$15,0),99)*100000+1095,9000000000000+1095)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IF(K1103=1,IFERROR(MATCH('ORDENES'!$R1099,lista_dias,0),9)*1000000000+IFERROR(MATCH('ORDENES'!$AF1099,lista_turnos,0),9)*10000000+IFERROR(MATCH('ORDENES'!$AE1099,'TECNICOS'!$B$4:$B$15,0),99)*100000+1096,9000000000000+1096)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IF(K1104=1,IFERROR(MATCH('ORDENES'!$R1100,lista_dias,0),9)*1000000000+IFERROR(MATCH('ORDENES'!$AF1100,lista_turnos,0),9)*10000000+IFERROR(MATCH('ORDENES'!$AE1100,'TECNICOS'!$B$4:$B$15,0),99)*100000+1097,9000000000000+1097)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IF(K1105=1,IFERROR(MATCH('ORDENES'!$R1101,lista_dias,0),9)*1000000000+IFERROR(MATCH('ORDENES'!$AF1101,lista_turnos,0),9)*10000000+IFERROR(MATCH('ORDENES'!$AE1101,'TECNICOS'!$B$4:$B$15,0),99)*100000+1098,9000000000000+1098)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IF(K1106=1,IFERROR(MATCH('ORDENES'!$R1102,lista_dias,0),9)*1000000000+IFERROR(MATCH('ORDENES'!$AF1102,lista_turnos,0),9)*10000000+IFERROR(MATCH('ORDENES'!$AE1102,'TECNICOS'!$B$4:$B$15,0),99)*100000+1099,9000000000000+1099)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IF(K1107=1,IFERROR(MATCH('ORDENES'!$R1103,lista_dias,0),9)*1000000000+IFERROR(MATCH('ORDENES'!$AF1103,lista_turnos,0),9)*10000000+IFERROR(MATCH('ORDENES'!$AE1103,'TECNICOS'!$B$4:$B$15,0),99)*100000+1100,9000000000000+1100)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IF(K1108=1,IFERROR(MATCH('ORDENES'!$R1104,lista_dias,0),9)*1000000000+IFERROR(MATCH('ORDENES'!$AF1104,lista_turnos,0),9)*10000000+IFERROR(MATCH('ORDENES'!$AE1104,'TECNICOS'!$B$4:$B$15,0),99)*100000+1101,9000000000000+1101)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IF(K1109=1,IFERROR(MATCH('ORDENES'!$R1105,lista_dias,0),9)*1000000000+IFERROR(MATCH('ORDENES'!$AF1105,lista_turnos,0),9)*10000000+IFERROR(MATCH('ORDENES'!$AE1105,'TECNICOS'!$B$4:$B$15,0),99)*100000+1102,9000000000000+1102)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IF(K1110=1,IFERROR(MATCH('ORDENES'!$R1106,lista_dias,0),9)*1000000000+IFERROR(MATCH('ORDENES'!$AF1106,lista_turnos,0),9)*10000000+IFERROR(MATCH('ORDENES'!$AE1106,'TECNICOS'!$B$4:$B$15,0),99)*100000+1103,9000000000000+1103)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IF(K1111=1,IFERROR(MATCH('ORDENES'!$R1107,lista_dias,0),9)*1000000000+IFERROR(MATCH('ORDENES'!$AF1107,lista_turnos,0),9)*10000000+IFERROR(MATCH('ORDENES'!$AE1107,'TECNICOS'!$B$4:$B$15,0),99)*100000+1104,9000000000000+1104)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IF(K1112=1,IFERROR(MATCH('ORDENES'!$R1108,lista_dias,0),9)*1000000000+IFERROR(MATCH('ORDENES'!$AF1108,lista_turnos,0),9)*10000000+IFERROR(MATCH('ORDENES'!$AE1108,'TECNICOS'!$B$4:$B$15,0),99)*100000+1105,9000000000000+1105)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IF(K1113=1,IFERROR(MATCH('ORDENES'!$R1109,lista_dias,0),9)*1000000000+IFERROR(MATCH('ORDENES'!$AF1109,lista_turnos,0),9)*10000000+IFERROR(MATCH('ORDENES'!$AE1109,'TECNICOS'!$B$4:$B$15,0),99)*100000+1106,9000000000000+1106)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IF(K1114=1,IFERROR(MATCH('ORDENES'!$R1110,lista_dias,0),9)*1000000000+IFERROR(MATCH('ORDENES'!$AF1110,lista_turnos,0),9)*10000000+IFERROR(MATCH('ORDENES'!$AE1110,'TECNICOS'!$B$4:$B$15,0),99)*100000+1107,9000000000000+1107)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IF(K1115=1,IFERROR(MATCH('ORDENES'!$R1111,lista_dias,0),9)*1000000000+IFERROR(MATCH('ORDENES'!$AF1111,lista_turnos,0),9)*10000000+IFERROR(MATCH('ORDENES'!$AE1111,'TECNICOS'!$B$4:$B$15,0),99)*100000+1108,9000000000000+1108)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IF(K1116=1,IFERROR(MATCH('ORDENES'!$R1112,lista_dias,0),9)*1000000000+IFERROR(MATCH('ORDENES'!$AF1112,lista_turnos,0),9)*10000000+IFERROR(MATCH('ORDENES'!$AE1112,'TECNICOS'!$B$4:$B$15,0),99)*100000+1109,9000000000000+1109)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IF(K1117=1,IFERROR(MATCH('ORDENES'!$R1113,lista_dias,0),9)*1000000000+IFERROR(MATCH('ORDENES'!$AF1113,lista_turnos,0),9)*10000000+IFERROR(MATCH('ORDENES'!$AE1113,'TECNICOS'!$B$4:$B$15,0),99)*100000+1110,9000000000000+1110)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IF(K1118=1,IFERROR(MATCH('ORDENES'!$R1114,lista_dias,0),9)*1000000000+IFERROR(MATCH('ORDENES'!$AF1114,lista_turnos,0),9)*10000000+IFERROR(MATCH('ORDENES'!$AE1114,'TECNICOS'!$B$4:$B$15,0),99)*100000+1111,9000000000000+1111)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IF(K1119=1,IFERROR(MATCH('ORDENES'!$R1115,lista_dias,0),9)*1000000000+IFERROR(MATCH('ORDENES'!$AF1115,lista_turnos,0),9)*10000000+IFERROR(MATCH('ORDENES'!$AE1115,'TECNICOS'!$B$4:$B$15,0),99)*100000+1112,9000000000000+1112)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IF(K1120=1,IFERROR(MATCH('ORDENES'!$R1116,lista_dias,0),9)*1000000000+IFERROR(MATCH('ORDENES'!$AF1116,lista_turnos,0),9)*10000000+IFERROR(MATCH('ORDENES'!$AE1116,'TECNICOS'!$B$4:$B$15,0),99)*100000+1113,9000000000000+1113)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IF(K1121=1,IFERROR(MATCH('ORDENES'!$R1117,lista_dias,0),9)*1000000000+IFERROR(MATCH('ORDENES'!$AF1117,lista_turnos,0),9)*10000000+IFERROR(MATCH('ORDENES'!$AE1117,'TECNICOS'!$B$4:$B$15,0),99)*100000+1114,9000000000000+1114)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IF(K1122=1,IFERROR(MATCH('ORDENES'!$R1118,lista_dias,0),9)*1000000000+IFERROR(MATCH('ORDENES'!$AF1118,lista_turnos,0),9)*10000000+IFERROR(MATCH('ORDENES'!$AE1118,'TECNICOS'!$B$4:$B$15,0),99)*100000+1115,9000000000000+1115)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IF(K1123=1,IFERROR(MATCH('ORDENES'!$R1119,lista_dias,0),9)*1000000000+IFERROR(MATCH('ORDENES'!$AF1119,lista_turnos,0),9)*10000000+IFERROR(MATCH('ORDENES'!$AE1119,'TECNICOS'!$B$4:$B$15,0),99)*100000+1116,9000000000000+1116)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IF(K1124=1,IFERROR(MATCH('ORDENES'!$R1120,lista_dias,0),9)*1000000000+IFERROR(MATCH('ORDENES'!$AF1120,lista_turnos,0),9)*10000000+IFERROR(MATCH('ORDENES'!$AE1120,'TECNICOS'!$B$4:$B$15,0),99)*100000+1117,9000000000000+1117)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IF(K1125=1,IFERROR(MATCH('ORDENES'!$R1121,lista_dias,0),9)*1000000000+IFERROR(MATCH('ORDENES'!$AF1121,lista_turnos,0),9)*10000000+IFERROR(MATCH('ORDENES'!$AE1121,'TECNICOS'!$B$4:$B$15,0),99)*100000+1118,9000000000000+1118)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IF(K1126=1,IFERROR(MATCH('ORDENES'!$R1122,lista_dias,0),9)*1000000000+IFERROR(MATCH('ORDENES'!$AF1122,lista_turnos,0),9)*10000000+IFERROR(MATCH('ORDENES'!$AE1122,'TECNICOS'!$B$4:$B$15,0),99)*100000+1119,9000000000000+1119)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IF(K1127=1,IFERROR(MATCH('ORDENES'!$R1123,lista_dias,0),9)*1000000000+IFERROR(MATCH('ORDENES'!$AF1123,lista_turnos,0),9)*10000000+IFERROR(MATCH('ORDENES'!$AE1123,'TECNICOS'!$B$4:$B$15,0),99)*100000+1120,9000000000000+1120)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IF(K1128=1,IFERROR(MATCH('ORDENES'!$R1124,lista_dias,0),9)*1000000000+IFERROR(MATCH('ORDENES'!$AF1124,lista_turnos,0),9)*10000000+IFERROR(MATCH('ORDENES'!$AE1124,'TECNICOS'!$B$4:$B$15,0),99)*100000+1121,9000000000000+1121)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IF(K1129=1,IFERROR(MATCH('ORDENES'!$R1125,lista_dias,0),9)*1000000000+IFERROR(MATCH('ORDENES'!$AF1125,lista_turnos,0),9)*10000000+IFERROR(MATCH('ORDENES'!$AE1125,'TECNICOS'!$B$4:$B$15,0),99)*100000+1122,9000000000000+1122)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IF(K1130=1,IFERROR(MATCH('ORDENES'!$R1126,lista_dias,0),9)*1000000000+IFERROR(MATCH('ORDENES'!$AF1126,lista_turnos,0),9)*10000000+IFERROR(MATCH('ORDENES'!$AE1126,'TECNICOS'!$B$4:$B$15,0),99)*100000+1123,9000000000000+1123)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IF(K1131=1,IFERROR(MATCH('ORDENES'!$R1127,lista_dias,0),9)*1000000000+IFERROR(MATCH('ORDENES'!$AF1127,lista_turnos,0),9)*10000000+IFERROR(MATCH('ORDENES'!$AE1127,'TECNICOS'!$B$4:$B$15,0),99)*100000+1124,9000000000000+1124)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IF(K1132=1,IFERROR(MATCH('ORDENES'!$R1128,lista_dias,0),9)*1000000000+IFERROR(MATCH('ORDENES'!$AF1128,lista_turnos,0),9)*10000000+IFERROR(MATCH('ORDENES'!$AE1128,'TECNICOS'!$B$4:$B$15,0),99)*100000+1125,9000000000000+1125)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IF(K1133=1,IFERROR(MATCH('ORDENES'!$R1129,lista_dias,0),9)*1000000000+IFERROR(MATCH('ORDENES'!$AF1129,lista_turnos,0),9)*10000000+IFERROR(MATCH('ORDENES'!$AE1129,'TECNICOS'!$B$4:$B$15,0),99)*100000+1126,9000000000000+1126)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IF(K1134=1,IFERROR(MATCH('ORDENES'!$R1130,lista_dias,0),9)*1000000000+IFERROR(MATCH('ORDENES'!$AF1130,lista_turnos,0),9)*10000000+IFERROR(MATCH('ORDENES'!$AE1130,'TECNICOS'!$B$4:$B$15,0),99)*100000+1127,9000000000000+1127)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IF(K1135=1,IFERROR(MATCH('ORDENES'!$R1131,lista_dias,0),9)*1000000000+IFERROR(MATCH('ORDENES'!$AF1131,lista_turnos,0),9)*10000000+IFERROR(MATCH('ORDENES'!$AE1131,'TECNICOS'!$B$4:$B$15,0),99)*100000+1128,9000000000000+1128)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IF(K1136=1,IFERROR(MATCH('ORDENES'!$R1132,lista_dias,0),9)*1000000000+IFERROR(MATCH('ORDENES'!$AF1132,lista_turnos,0),9)*10000000+IFERROR(MATCH('ORDENES'!$AE1132,'TECNICOS'!$B$4:$B$15,0),99)*100000+1129,9000000000000+1129)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IF(K1137=1,IFERROR(MATCH('ORDENES'!$R1133,lista_dias,0),9)*1000000000+IFERROR(MATCH('ORDENES'!$AF1133,lista_turnos,0),9)*10000000+IFERROR(MATCH('ORDENES'!$AE1133,'TECNICOS'!$B$4:$B$15,0),99)*100000+1130,9000000000000+1130)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IF(K1138=1,IFERROR(MATCH('ORDENES'!$R1134,lista_dias,0),9)*1000000000+IFERROR(MATCH('ORDENES'!$AF1134,lista_turnos,0),9)*10000000+IFERROR(MATCH('ORDENES'!$AE1134,'TECNICOS'!$B$4:$B$15,0),99)*100000+1131,9000000000000+1131)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IF(K1139=1,IFERROR(MATCH('ORDENES'!$R1135,lista_dias,0),9)*1000000000+IFERROR(MATCH('ORDENES'!$AF1135,lista_turnos,0),9)*10000000+IFERROR(MATCH('ORDENES'!$AE1135,'TECNICOS'!$B$4:$B$15,0),99)*100000+1132,9000000000000+1132)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IF(K1140=1,IFERROR(MATCH('ORDENES'!$R1136,lista_dias,0),9)*1000000000+IFERROR(MATCH('ORDENES'!$AF1136,lista_turnos,0),9)*10000000+IFERROR(MATCH('ORDENES'!$AE1136,'TECNICOS'!$B$4:$B$15,0),99)*100000+1133,9000000000000+1133)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IF(K1141=1,IFERROR(MATCH('ORDENES'!$R1137,lista_dias,0),9)*1000000000+IFERROR(MATCH('ORDENES'!$AF1137,lista_turnos,0),9)*10000000+IFERROR(MATCH('ORDENES'!$AE1137,'TECNICOS'!$B$4:$B$15,0),99)*100000+1134,9000000000000+1134)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IF(K1142=1,IFERROR(MATCH('ORDENES'!$R1138,lista_dias,0),9)*1000000000+IFERROR(MATCH('ORDENES'!$AF1138,lista_turnos,0),9)*10000000+IFERROR(MATCH('ORDENES'!$AE1138,'TECNICOS'!$B$4:$B$15,0),99)*100000+1135,9000000000000+1135)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IF(K1143=1,IFERROR(MATCH('ORDENES'!$R1139,lista_dias,0),9)*1000000000+IFERROR(MATCH('ORDENES'!$AF1139,lista_turnos,0),9)*10000000+IFERROR(MATCH('ORDENES'!$AE1139,'TECNICOS'!$B$4:$B$15,0),99)*100000+1136,9000000000000+1136)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IF(K1144=1,IFERROR(MATCH('ORDENES'!$R1140,lista_dias,0),9)*1000000000+IFERROR(MATCH('ORDENES'!$AF1140,lista_turnos,0),9)*10000000+IFERROR(MATCH('ORDENES'!$AE1140,'TECNICOS'!$B$4:$B$15,0),99)*100000+1137,9000000000000+1137)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IF(K1145=1,IFERROR(MATCH('ORDENES'!$R1141,lista_dias,0),9)*1000000000+IFERROR(MATCH('ORDENES'!$AF1141,lista_turnos,0),9)*10000000+IFERROR(MATCH('ORDENES'!$AE1141,'TECNICOS'!$B$4:$B$15,0),99)*100000+1138,9000000000000+1138)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IF(K1146=1,IFERROR(MATCH('ORDENES'!$R1142,lista_dias,0),9)*1000000000+IFERROR(MATCH('ORDENES'!$AF1142,lista_turnos,0),9)*10000000+IFERROR(MATCH('ORDENES'!$AE1142,'TECNICOS'!$B$4:$B$15,0),99)*100000+1139,9000000000000+1139)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IF(K1147=1,IFERROR(MATCH('ORDENES'!$R1143,lista_dias,0),9)*1000000000+IFERROR(MATCH('ORDENES'!$AF1143,lista_turnos,0),9)*10000000+IFERROR(MATCH('ORDENES'!$AE1143,'TECNICOS'!$B$4:$B$15,0),99)*100000+1140,9000000000000+1140)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IF(K1148=1,IFERROR(MATCH('ORDENES'!$R1144,lista_dias,0),9)*1000000000+IFERROR(MATCH('ORDENES'!$AF1144,lista_turnos,0),9)*10000000+IFERROR(MATCH('ORDENES'!$AE1144,'TECNICOS'!$B$4:$B$15,0),99)*100000+1141,9000000000000+1141)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IF(K1149=1,IFERROR(MATCH('ORDENES'!$R1145,lista_dias,0),9)*1000000000+IFERROR(MATCH('ORDENES'!$AF1145,lista_turnos,0),9)*10000000+IFERROR(MATCH('ORDENES'!$AE1145,'TECNICOS'!$B$4:$B$15,0),99)*100000+1142,9000000000000+1142)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IF(K1150=1,IFERROR(MATCH('ORDENES'!$R1146,lista_dias,0),9)*1000000000+IFERROR(MATCH('ORDENES'!$AF1146,lista_turnos,0),9)*10000000+IFERROR(MATCH('ORDENES'!$AE1146,'TECNICOS'!$B$4:$B$15,0),99)*100000+1143,9000000000000+1143)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IF(K1151=1,IFERROR(MATCH('ORDENES'!$R1147,lista_dias,0),9)*1000000000+IFERROR(MATCH('ORDENES'!$AF1147,lista_turnos,0),9)*10000000+IFERROR(MATCH('ORDENES'!$AE1147,'TECNICOS'!$B$4:$B$15,0),99)*100000+1144,9000000000000+1144)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IF(K1152=1,IFERROR(MATCH('ORDENES'!$R1148,lista_dias,0),9)*1000000000+IFERROR(MATCH('ORDENES'!$AF1148,lista_turnos,0),9)*10000000+IFERROR(MATCH('ORDENES'!$AE1148,'TECNICOS'!$B$4:$B$15,0),99)*100000+1145,9000000000000+1145)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IF(K1153=1,IFERROR(MATCH('ORDENES'!$R1149,lista_dias,0),9)*1000000000+IFERROR(MATCH('ORDENES'!$AF1149,lista_turnos,0),9)*10000000+IFERROR(MATCH('ORDENES'!$AE1149,'TECNICOS'!$B$4:$B$15,0),99)*100000+1146,9000000000000+1146)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IF(K1154=1,IFERROR(MATCH('ORDENES'!$R1150,lista_dias,0),9)*1000000000+IFERROR(MATCH('ORDENES'!$AF1150,lista_turnos,0),9)*10000000+IFERROR(MATCH('ORDENES'!$AE1150,'TECNICOS'!$B$4:$B$15,0),99)*100000+1147,9000000000000+1147)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IF(K1155=1,IFERROR(MATCH('ORDENES'!$R1151,lista_dias,0),9)*1000000000+IFERROR(MATCH('ORDENES'!$AF1151,lista_turnos,0),9)*10000000+IFERROR(MATCH('ORDENES'!$AE1151,'TECNICOS'!$B$4:$B$15,0),99)*100000+1148,9000000000000+1148)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IF(K1156=1,IFERROR(MATCH('ORDENES'!$R1152,lista_dias,0),9)*1000000000+IFERROR(MATCH('ORDENES'!$AF1152,lista_turnos,0),9)*10000000+IFERROR(MATCH('ORDENES'!$AE1152,'TECNICOS'!$B$4:$B$15,0),99)*100000+1149,9000000000000+1149)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IF(K1157=1,IFERROR(MATCH('ORDENES'!$R1153,lista_dias,0),9)*1000000000+IFERROR(MATCH('ORDENES'!$AF1153,lista_turnos,0),9)*10000000+IFERROR(MATCH('ORDENES'!$AE1153,'TECNICOS'!$B$4:$B$15,0),99)*100000+1150,9000000000000+1150)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IF(K1158=1,IFERROR(MATCH('ORDENES'!$R1154,lista_dias,0),9)*1000000000+IFERROR(MATCH('ORDENES'!$AF1154,lista_turnos,0),9)*10000000+IFERROR(MATCH('ORDENES'!$AE1154,'TECNICOS'!$B$4:$B$15,0),99)*100000+1151,9000000000000+1151)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IF(K1159=1,IFERROR(MATCH('ORDENES'!$R1155,lista_dias,0),9)*1000000000+IFERROR(MATCH('ORDENES'!$AF1155,lista_turnos,0),9)*10000000+IFERROR(MATCH('ORDENES'!$AE1155,'TECNICOS'!$B$4:$B$15,0),99)*100000+1152,9000000000000+1152)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IF(K1160=1,IFERROR(MATCH('ORDENES'!$R1156,lista_dias,0),9)*1000000000+IFERROR(MATCH('ORDENES'!$AF1156,lista_turnos,0),9)*10000000+IFERROR(MATCH('ORDENES'!$AE1156,'TECNICOS'!$B$4:$B$15,0),99)*100000+1153,9000000000000+1153)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IF(K1161=1,IFERROR(MATCH('ORDENES'!$R1157,lista_dias,0),9)*1000000000+IFERROR(MATCH('ORDENES'!$AF1157,lista_turnos,0),9)*10000000+IFERROR(MATCH('ORDENES'!$AE1157,'TECNICOS'!$B$4:$B$15,0),99)*100000+1154,9000000000000+1154)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IF(K1162=1,IFERROR(MATCH('ORDENES'!$R1158,lista_dias,0),9)*1000000000+IFERROR(MATCH('ORDENES'!$AF1158,lista_turnos,0),9)*10000000+IFERROR(MATCH('ORDENES'!$AE1158,'TECNICOS'!$B$4:$B$15,0),99)*100000+1155,9000000000000+1155)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IF(K1163=1,IFERROR(MATCH('ORDENES'!$R1159,lista_dias,0),9)*1000000000+IFERROR(MATCH('ORDENES'!$AF1159,lista_turnos,0),9)*10000000+IFERROR(MATCH('ORDENES'!$AE1159,'TECNICOS'!$B$4:$B$15,0),99)*100000+1156,9000000000000+1156)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IF(K1164=1,IFERROR(MATCH('ORDENES'!$R1160,lista_dias,0),9)*1000000000+IFERROR(MATCH('ORDENES'!$AF1160,lista_turnos,0),9)*10000000+IFERROR(MATCH('ORDENES'!$AE1160,'TECNICOS'!$B$4:$B$15,0),99)*100000+1157,9000000000000+1157)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IF(K1165=1,IFERROR(MATCH('ORDENES'!$R1161,lista_dias,0),9)*1000000000+IFERROR(MATCH('ORDENES'!$AF1161,lista_turnos,0),9)*10000000+IFERROR(MATCH('ORDENES'!$AE1161,'TECNICOS'!$B$4:$B$15,0),99)*100000+1158,9000000000000+1158)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IF(K1166=1,IFERROR(MATCH('ORDENES'!$R1162,lista_dias,0),9)*1000000000+IFERROR(MATCH('ORDENES'!$AF1162,lista_turnos,0),9)*10000000+IFERROR(MATCH('ORDENES'!$AE1162,'TECNICOS'!$B$4:$B$15,0),99)*100000+1159,9000000000000+1159)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IF(K1167=1,IFERROR(MATCH('ORDENES'!$R1163,lista_dias,0),9)*1000000000+IFERROR(MATCH('ORDENES'!$AF1163,lista_turnos,0),9)*10000000+IFERROR(MATCH('ORDENES'!$AE1163,'TECNICOS'!$B$4:$B$15,0),99)*100000+1160,9000000000000+1160)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IF(K1168=1,IFERROR(MATCH('ORDENES'!$R1164,lista_dias,0),9)*1000000000+IFERROR(MATCH('ORDENES'!$AF1164,lista_turnos,0),9)*10000000+IFERROR(MATCH('ORDENES'!$AE1164,'TECNICOS'!$B$4:$B$15,0),99)*100000+1161,9000000000000+1161)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IF(K1169=1,IFERROR(MATCH('ORDENES'!$R1165,lista_dias,0),9)*1000000000+IFERROR(MATCH('ORDENES'!$AF1165,lista_turnos,0),9)*10000000+IFERROR(MATCH('ORDENES'!$AE1165,'TECNICOS'!$B$4:$B$15,0),99)*100000+1162,9000000000000+1162)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IF(K1170=1,IFERROR(MATCH('ORDENES'!$R1166,lista_dias,0),9)*1000000000+IFERROR(MATCH('ORDENES'!$AF1166,lista_turnos,0),9)*10000000+IFERROR(MATCH('ORDENES'!$AE1166,'TECNICOS'!$B$4:$B$15,0),99)*100000+1163,9000000000000+1163)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IF(K1171=1,IFERROR(MATCH('ORDENES'!$R1167,lista_dias,0),9)*1000000000+IFERROR(MATCH('ORDENES'!$AF1167,lista_turnos,0),9)*10000000+IFERROR(MATCH('ORDENES'!$AE1167,'TECNICOS'!$B$4:$B$15,0),99)*100000+1164,9000000000000+1164)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IF(K1172=1,IFERROR(MATCH('ORDENES'!$R1168,lista_dias,0),9)*1000000000+IFERROR(MATCH('ORDENES'!$AF1168,lista_turnos,0),9)*10000000+IFERROR(MATCH('ORDENES'!$AE1168,'TECNICOS'!$B$4:$B$15,0),99)*100000+1165,9000000000000+1165)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IF(K1173=1,IFERROR(MATCH('ORDENES'!$R1169,lista_dias,0),9)*1000000000+IFERROR(MATCH('ORDENES'!$AF1169,lista_turnos,0),9)*10000000+IFERROR(MATCH('ORDENES'!$AE1169,'TECNICOS'!$B$4:$B$15,0),99)*100000+1166,9000000000000+1166)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IF(K1174=1,IFERROR(MATCH('ORDENES'!$R1170,lista_dias,0),9)*1000000000+IFERROR(MATCH('ORDENES'!$AF1170,lista_turnos,0),9)*10000000+IFERROR(MATCH('ORDENES'!$AE1170,'TECNICOS'!$B$4:$B$15,0),99)*100000+1167,9000000000000+1167)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IF(K1175=1,IFERROR(MATCH('ORDENES'!$R1171,lista_dias,0),9)*1000000000+IFERROR(MATCH('ORDENES'!$AF1171,lista_turnos,0),9)*10000000+IFERROR(MATCH('ORDENES'!$AE1171,'TECNICOS'!$B$4:$B$15,0),99)*100000+1168,9000000000000+1168)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IF(K1176=1,IFERROR(MATCH('ORDENES'!$R1172,lista_dias,0),9)*1000000000+IFERROR(MATCH('ORDENES'!$AF1172,lista_turnos,0),9)*10000000+IFERROR(MATCH('ORDENES'!$AE1172,'TECNICOS'!$B$4:$B$15,0),99)*100000+1169,9000000000000+1169)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IF(K1177=1,IFERROR(MATCH('ORDENES'!$R1173,lista_dias,0),9)*1000000000+IFERROR(MATCH('ORDENES'!$AF1173,lista_turnos,0),9)*10000000+IFERROR(MATCH('ORDENES'!$AE1173,'TECNICOS'!$B$4:$B$15,0),99)*100000+1170,9000000000000+1170)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IF(K1178=1,IFERROR(MATCH('ORDENES'!$R1174,lista_dias,0),9)*1000000000+IFERROR(MATCH('ORDENES'!$AF1174,lista_turnos,0),9)*10000000+IFERROR(MATCH('ORDENES'!$AE1174,'TECNICOS'!$B$4:$B$15,0),99)*100000+1171,9000000000000+1171)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IF(K1179=1,IFERROR(MATCH('ORDENES'!$R1175,lista_dias,0),9)*1000000000+IFERROR(MATCH('ORDENES'!$AF1175,lista_turnos,0),9)*10000000+IFERROR(MATCH('ORDENES'!$AE1175,'TECNICOS'!$B$4:$B$15,0),99)*100000+1172,9000000000000+1172)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IF(K1180=1,IFERROR(MATCH('ORDENES'!$R1176,lista_dias,0),9)*1000000000+IFERROR(MATCH('ORDENES'!$AF1176,lista_turnos,0),9)*10000000+IFERROR(MATCH('ORDENES'!$AE1176,'TECNICOS'!$B$4:$B$15,0),99)*100000+1173,9000000000000+1173)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IF(K1181=1,IFERROR(MATCH('ORDENES'!$R1177,lista_dias,0),9)*1000000000+IFERROR(MATCH('ORDENES'!$AF1177,lista_turnos,0),9)*10000000+IFERROR(MATCH('ORDENES'!$AE1177,'TECNICOS'!$B$4:$B$15,0),99)*100000+1174,9000000000000+1174)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IF(K1182=1,IFERROR(MATCH('ORDENES'!$R1178,lista_dias,0),9)*1000000000+IFERROR(MATCH('ORDENES'!$AF1178,lista_turnos,0),9)*10000000+IFERROR(MATCH('ORDENES'!$AE1178,'TECNICOS'!$B$4:$B$15,0),99)*100000+1175,9000000000000+1175)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IF(K1183=1,IFERROR(MATCH('ORDENES'!$R1179,lista_dias,0),9)*1000000000+IFERROR(MATCH('ORDENES'!$AF1179,lista_turnos,0),9)*10000000+IFERROR(MATCH('ORDENES'!$AE1179,'TECNICOS'!$B$4:$B$15,0),99)*100000+1176,9000000000000+1176)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IF(K1184=1,IFERROR(MATCH('ORDENES'!$R1180,lista_dias,0),9)*1000000000+IFERROR(MATCH('ORDENES'!$AF1180,lista_turnos,0),9)*10000000+IFERROR(MATCH('ORDENES'!$AE1180,'TECNICOS'!$B$4:$B$15,0),99)*100000+1177,9000000000000+1177)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IF(K1185=1,IFERROR(MATCH('ORDENES'!$R1181,lista_dias,0),9)*1000000000+IFERROR(MATCH('ORDENES'!$AF1181,lista_turnos,0),9)*10000000+IFERROR(MATCH('ORDENES'!$AE1181,'TECNICOS'!$B$4:$B$15,0),99)*100000+1178,9000000000000+1178)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IF(K1186=1,IFERROR(MATCH('ORDENES'!$R1182,lista_dias,0),9)*1000000000+IFERROR(MATCH('ORDENES'!$AF1182,lista_turnos,0),9)*10000000+IFERROR(MATCH('ORDENES'!$AE1182,'TECNICOS'!$B$4:$B$15,0),99)*100000+1179,9000000000000+1179)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IF(K1187=1,IFERROR(MATCH('ORDENES'!$R1183,lista_dias,0),9)*1000000000+IFERROR(MATCH('ORDENES'!$AF1183,lista_turnos,0),9)*10000000+IFERROR(MATCH('ORDENES'!$AE1183,'TECNICOS'!$B$4:$B$15,0),99)*100000+1180,9000000000000+1180)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IF(K1188=1,IFERROR(MATCH('ORDENES'!$R1184,lista_dias,0),9)*1000000000+IFERROR(MATCH('ORDENES'!$AF1184,lista_turnos,0),9)*10000000+IFERROR(MATCH('ORDENES'!$AE1184,'TECNICOS'!$B$4:$B$15,0),99)*100000+1181,9000000000000+1181)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IF(K1189=1,IFERROR(MATCH('ORDENES'!$R1185,lista_dias,0),9)*1000000000+IFERROR(MATCH('ORDENES'!$AF1185,lista_turnos,0),9)*10000000+IFERROR(MATCH('ORDENES'!$AE1185,'TECNICOS'!$B$4:$B$15,0),99)*100000+1182,9000000000000+1182)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IF(K1190=1,IFERROR(MATCH('ORDENES'!$R1186,lista_dias,0),9)*1000000000+IFERROR(MATCH('ORDENES'!$AF1186,lista_turnos,0),9)*10000000+IFERROR(MATCH('ORDENES'!$AE1186,'TECNICOS'!$B$4:$B$15,0),99)*100000+1183,9000000000000+1183)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IF(K1191=1,IFERROR(MATCH('ORDENES'!$R1187,lista_dias,0),9)*1000000000+IFERROR(MATCH('ORDENES'!$AF1187,lista_turnos,0),9)*10000000+IFERROR(MATCH('ORDENES'!$AE1187,'TECNICOS'!$B$4:$B$15,0),99)*100000+1184,9000000000000+1184)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IF(K1192=1,IFERROR(MATCH('ORDENES'!$R1188,lista_dias,0),9)*1000000000+IFERROR(MATCH('ORDENES'!$AF1188,lista_turnos,0),9)*10000000+IFERROR(MATCH('ORDENES'!$AE1188,'TECNICOS'!$B$4:$B$15,0),99)*100000+1185,9000000000000+1185)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IF(K1193=1,IFERROR(MATCH('ORDENES'!$R1189,lista_dias,0),9)*1000000000+IFERROR(MATCH('ORDENES'!$AF1189,lista_turnos,0),9)*10000000+IFERROR(MATCH('ORDENES'!$AE1189,'TECNICOS'!$B$4:$B$15,0),99)*100000+1186,9000000000000+1186)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IF(K1194=1,IFERROR(MATCH('ORDENES'!$R1190,lista_dias,0),9)*1000000000+IFERROR(MATCH('ORDENES'!$AF1190,lista_turnos,0),9)*10000000+IFERROR(MATCH('ORDENES'!$AE1190,'TECNICOS'!$B$4:$B$15,0),99)*100000+1187,9000000000000+1187)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IF(K1195=1,IFERROR(MATCH('ORDENES'!$R1191,lista_dias,0),9)*1000000000+IFERROR(MATCH('ORDENES'!$AF1191,lista_turnos,0),9)*10000000+IFERROR(MATCH('ORDENES'!$AE1191,'TECNICOS'!$B$4:$B$15,0),99)*100000+1188,9000000000000+1188)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IF(K1196=1,IFERROR(MATCH('ORDENES'!$R1192,lista_dias,0),9)*1000000000+IFERROR(MATCH('ORDENES'!$AF1192,lista_turnos,0),9)*10000000+IFERROR(MATCH('ORDENES'!$AE1192,'TECNICOS'!$B$4:$B$15,0),99)*100000+1189,9000000000000+1189)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IF(K1197=1,IFERROR(MATCH('ORDENES'!$R1193,lista_dias,0),9)*1000000000+IFERROR(MATCH('ORDENES'!$AF1193,lista_turnos,0),9)*10000000+IFERROR(MATCH('ORDENES'!$AE1193,'TECNICOS'!$B$4:$B$15,0),99)*100000+1190,9000000000000+1190)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IF(K1198=1,IFERROR(MATCH('ORDENES'!$R1194,lista_dias,0),9)*1000000000+IFERROR(MATCH('ORDENES'!$AF1194,lista_turnos,0),9)*10000000+IFERROR(MATCH('ORDENES'!$AE1194,'TECNICOS'!$B$4:$B$15,0),99)*100000+1191,9000000000000+1191)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IF(K1199=1,IFERROR(MATCH('ORDENES'!$R1195,lista_dias,0),9)*1000000000+IFERROR(MATCH('ORDENES'!$AF1195,lista_turnos,0),9)*10000000+IFERROR(MATCH('ORDENES'!$AE1195,'TECNICOS'!$B$4:$B$15,0),99)*100000+1192,9000000000000+1192)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IF(K1200=1,IFERROR(MATCH('ORDENES'!$R1196,lista_dias,0),9)*1000000000+IFERROR(MATCH('ORDENES'!$AF1196,lista_turnos,0),9)*10000000+IFERROR(MATCH('ORDENES'!$AE1196,'TECNICOS'!$B$4:$B$15,0),99)*100000+1193,9000000000000+1193)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IF(K1201=1,IFERROR(MATCH('ORDENES'!$R1197,lista_dias,0),9)*1000000000+IFERROR(MATCH('ORDENES'!$AF1197,lista_turnos,0),9)*10000000+IFERROR(MATCH('ORDENES'!$AE1197,'TECNICOS'!$B$4:$B$15,0),99)*100000+1194,9000000000000+1194)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IF(K1202=1,IFERROR(MATCH('ORDENES'!$R1198,lista_dias,0),9)*1000000000+IFERROR(MATCH('ORDENES'!$AF1198,lista_turnos,0),9)*10000000+IFERROR(MATCH('ORDENES'!$AE1198,'TECNICOS'!$B$4:$B$15,0),99)*100000+1195,9000000000000+1195)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IF(K1203=1,IFERROR(MATCH('ORDENES'!$R1199,lista_dias,0),9)*1000000000+IFERROR(MATCH('ORDENES'!$AF1199,lista_turnos,0),9)*10000000+IFERROR(MATCH('ORDENES'!$AE1199,'TECNICOS'!$B$4:$B$15,0),99)*100000+1196,9000000000000+1196)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IF(K1204=1,IFERROR(MATCH('ORDENES'!$R1200,lista_dias,0),9)*1000000000+IFERROR(MATCH('ORDENES'!$AF1200,lista_turnos,0),9)*10000000+IFERROR(MATCH('ORDENES'!$AE1200,'TECNICOS'!$B$4:$B$15,0),99)*100000+1197,9000000000000+1197)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IF(K1205=1,IFERROR(MATCH('ORDENES'!$R1201,lista_dias,0),9)*1000000000+IFERROR(MATCH('ORDENES'!$AF1201,lista_turnos,0),9)*10000000+IFERROR(MATCH('ORDENES'!$AE1201,'TECNICOS'!$B$4:$B$15,0),99)*100000+1198,9000000000000+1198)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IF(K1206=1,IFERROR(MATCH('ORDENES'!$R1202,lista_dias,0),9)*1000000000+IFERROR(MATCH('ORDENES'!$AF1202,lista_turnos,0),9)*10000000+IFERROR(MATCH('ORDENES'!$AE1202,'TECNICOS'!$B$4:$B$15,0),99)*100000+1199,9000000000000+1199)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IF(K1207=1,IFERROR(MATCH('ORDENES'!$R1203,lista_dias,0),9)*1000000000+IFERROR(MATCH('ORDENES'!$AF1203,lista_turnos,0),9)*10000000+IFERROR(MATCH('ORDENES'!$AE1203,'TECNICOS'!$B$4:$B$15,0),99)*100000+1200,9000000000000+1200)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IF('ORDENES'!$AE$4="","",IFERROR(INDEX('ASIGNACIONES'!$F$4:$F$339,MATCH('ORDENES'!$O$4&amp;"|"&amp;'ORDENES'!$R$4&amp;"|"&amp;'ORDENES'!$AE$4,'ASIGNACIONES'!$J$4:$J$339,0)),""))</t>
        </is>
      </c>
      <c r="D15" s="3">
        <f>IF('ORDENES'!$AE$4="","",IFERROR(INDEX('ASIGNACIONES'!$F$4:$F$339,MATCH('ORDENES'!$O$4&amp;"|"&amp;'ORDENES'!$R$4&amp;"|"&amp;'ORDENES'!$AE$4,'ASIGNACIONES'!$J$4:$J$339,0)),""))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2026-07-22T04:56:26Z</dcterms:created>
  <dcterms:modified xsi:type="dcterms:W3CDTF">2026-07-22T04:56:28Z</dcterms:modified>
</cp:coreProperties>
</file>