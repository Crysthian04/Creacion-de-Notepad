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LAN_VACACIONES" sheetId="8" state="visible" r:id="rId8"/>
    <sheet name="SEGUIMIENTO_HH" sheetId="9" state="visible" r:id="rId9"/>
    <sheet name="SEGUIMIENTO_MENSUAL" sheetId="10" state="visible" r:id="rId10"/>
    <sheet name="AJUSTES" sheetId="11" state="visible" r:id="rId11"/>
    <sheet name="CALENDARIO" sheetId="12" state="visible" r:id="rId12"/>
    <sheet name="PERFIL_HH" sheetId="13" state="visible" r:id="rId13"/>
    <sheet name="PLAN_SEMANAL" sheetId="14" state="visible" r:id="rId14"/>
    <sheet name="ADHERENCIA" sheetId="15" state="visible" r:id="rId15"/>
    <sheet name="COSTOS" sheetId="16" state="visible" r:id="rId16"/>
    <sheet name="BACKLOG" sheetId="17" state="visible" r:id="rId17"/>
    <sheet name="EQUIPOS_CRITICOS" sheetId="18" state="visible" r:id="rId18"/>
    <sheet name="VALIDACION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EXPORTAR" sheetId="26" state="visible" r:id="rId26"/>
    <sheet name="_COMPATIBILIDAD" sheetId="27" state="visible" r:id="rId27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3" hidden="1">'PLAN_SEMANAL'!$A$25:$N$1225</definedName>
    <definedName name="_xlnm.Print_Area" localSheetId="13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2.9.0 · generado 2026-07-24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46216</v>
      </c>
      <c r="C20" s="2" t="inlineStr">
        <is>
          <t>FECHA (lunes) de la semana de referencia de la rotación de turnos (6.3).</t>
        </is>
      </c>
    </row>
    <row r="21">
      <c r="A21" s="3" t="inlineStr">
        <is>
          <t>tolerancia_horas_bono</t>
        </is>
      </c>
      <c r="B21" s="6" t="n">
        <v>0</v>
      </c>
      <c r="C21" s="2" t="inlineStr">
        <is>
          <t>Horas de tolerancia para 'cumple' del seguimiento mensual (6.5). No toca capacidad.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46216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46217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IF($A94="","",$A94&amp;IF($B94="","0010",$B94))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IF($A96="","",$A96&amp;IF($B96="","0010",$B96))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IF($A98="","",$A98&amp;IF($B98="","0010",$B98))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IF($A100="","",$A100&amp;IF($B100="","0010",$B100))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IF($A101="","",$A101&amp;IF($B101="","0010",$B101))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IF($A102="","",$A102&amp;IF($B102="","0010",$B102))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IF($A103="","",$A103&amp;IF($B103="","0010",$B103))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IF($A104="","",$A104&amp;IF($B104="","0010",$B104))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IF($A107="","",$A107&amp;IF($B107="","0010",$B107))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IF($A108="","",$A108&amp;IF($B108="","0010",$B108))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IF($A109="","",$A109&amp;IF($B109="","0010",$B109))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IF($A110="","",$A110&amp;IF($B110="","0010",$B110))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IF($A111="","",$A111&amp;IF($B111="","0010",$B111))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IF($A112="","",$A112&amp;IF($B112="","0010",$B112))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IF($A113="","",$A113&amp;IF($B113="","0010",$B113))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IF($A114="","",$A114&amp;IF($B114="","0010",$B114))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IF($A115="","",$A115&amp;IF($B115="","0010",$B115))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IF($A116="","",$A116&amp;IF($B116="","0010",$B116))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IF($A117="","",$A117&amp;IF($B117="","0010",$B117))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IF($A118="","",$A118&amp;IF($B118="","0010",$B118))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IF($A119="","",$A119&amp;IF($B119="","0010",$B119))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IF($A120="","",$A120&amp;IF($B120="","0010",$B120))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IF($A121="","",$A121&amp;IF($B121="","0010",$B121))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IF($A122="","",$A122&amp;IF($B122="","0010",$B122))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IF($A123="","",$A123&amp;IF($B123="","0010",$B123))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IF($A124="","",$A124&amp;IF($B124="","0010",$B124))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IF($A125="","",$A125&amp;IF($B125="","0010",$B125))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IF($A126="","",$A126&amp;IF($B126="","0010",$B126))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IF($A127="","",$A127&amp;IF($B127="","0010",$B127))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IF($A128="","",$A128&amp;IF($B128="","0010",$B128))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IF($A129="","",$A129&amp;IF($B129="","0010",$B129))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IF($A130="","",$A130&amp;IF($B130="","0010",$B130))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IF($A131="","",$A131&amp;IF($B131="","0010",$B131))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IF($A132="","",$A132&amp;IF($B132="","0010",$B132))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IF($A133="","",$A133&amp;IF($B133="","0010",$B133))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IF($A134="","",$A134&amp;IF($B134="","0010",$B134))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IF($A135="","",$A135&amp;IF($B135="","0010",$B135))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IF($A136="","",$A136&amp;IF($B136="","0010",$B136))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IF($A137="","",$A137&amp;IF($B137="","0010",$B137))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IF($A139="","",$A139&amp;IF($B139="","0010",$B139))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IF($A140="","",$A140&amp;IF($B140="","0010",$B140))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IF($A141="","",$A141&amp;IF($B141="","0010",$B141))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IF($A142="","",$A142&amp;IF($B142="","0010",$B142))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IF($A143="","",$A143&amp;IF($B143="","0010",$B143))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IF($A144="","",$A144&amp;IF($B144="","0010",$B144))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IF($A145="","",$A145&amp;IF($B145="","0010",$B145))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IF($A146="","",$A146&amp;IF($B146="","0010",$B146))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IF($A147="","",$A147&amp;IF($B147="","0010",$B147))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IF($A148="","",$A148&amp;IF($B148="","0010",$B148))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IF($A149="","",$A149&amp;IF($B149="","0010",$B149))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IF($A150="","",$A150&amp;IF($B150="","0010",$B150))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IF($A151="","",$A151&amp;IF($B151="","0010",$B151))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IF($A152="","",$A152&amp;IF($B152="","0010",$B152))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IF($A153="","",$A153&amp;IF($B153="","0010",$B153))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IF($A155="","",$A155&amp;IF($B155="","0010",$B155))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IF($A157="","",$A157&amp;IF($B157="","0010",$B157))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IF($A159="","",$A159&amp;IF($B159="","0010",$B159))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IF($A161="","",$A161&amp;IF($B161="","0010",$B161))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IF($A162="","",$A162&amp;IF($B162="","0010",$B162))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IF($A163="","",$A163&amp;IF($B163="","0010",$B163))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IF($A164="","",$A164&amp;IF($B164="","0010",$B164))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IF($A165="","",$A165&amp;IF($B165="","0010",$B165))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IF($A166="","",$A166&amp;IF($B166="","0010",$B166))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IF($A167="","",$A167&amp;IF($B167="","0010",$B167))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46216</v>
      </c>
      <c r="K4" s="3" t="n">
        <v>10</v>
      </c>
      <c r="L4" s="11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IF($H4="","",IFERROR(INDEX('CAT_ACTIVIDADES'!$B$4:$B$8,MATCH($H4,'CAT_ACTIVIDADES'!$A$4:$A$8,0)),"(sin catálogo)"))</f>
        <v/>
      </c>
      <c r="AA4" s="13">
        <f>IF($J4="","",TODAY()-$J4)</f>
        <v/>
      </c>
      <c r="AB4" s="13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IF($AE4="","",IF((IFERROR(INDEX('ASIGNACIONES'!$J$4:$J$451,MATCH($O4&amp;"|"&amp;$R4&amp;"|"&amp;$AE4,'ASIGNACIONES'!$N$4:$N$451,0)),""))=0,"",IFERROR(INDEX('ASIGNACIONES'!$J$4:$J$451,MATCH($O4&amp;"|"&amp;$R4&amp;"|"&amp;$AE4,'ASIGNACIONES'!$N$4:$N$451,0)),"")))</f>
        <v/>
      </c>
      <c r="AG4" s="14">
        <f>IF($AE4="","",SUMIFS('ORDENES'!$M$4:$M$1203,'ORDENES'!$AE$4:$AE$1203,$AE4,'ORDENES'!$O$4:$O$1203,$O4,'ORDENES'!$R$4:$R$1203,$R4))</f>
        <v/>
      </c>
      <c r="AH4" s="14">
        <f>IF($AG4="","",p_factor_productividad*IFERROR(INDEX('ASIGNACIONES'!$M$4:$M$451,MATCH($O4&amp;"|"&amp;$R4&amp;"|"&amp;$AE4,'ASIGNACIONES'!$N$4:$N$451,0)),0)-$AG4)</f>
        <v/>
      </c>
      <c r="AI4" s="11">
        <f>IF($A4="","",IFERROR(INDEX('2_IMPORTAR_EJECUCION'!$F$9:$F$1208,MATCH($AQ4,'2_IMPORTAR_EJECUCION'!$J$9:$J$1208,0)),0))</f>
        <v/>
      </c>
      <c r="AJ4" s="11">
        <f>IF($A4="","",MAX(0,IFERROR(INDEX('2_IMPORTAR_EJECUCION'!$H$9:$H$1208,MATCH($AQ4,'2_IMPORTAR_EJECUCION'!$J$9:$J$1208,0)),0)-$AI4))</f>
        <v/>
      </c>
      <c r="AK4" s="11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46217</v>
      </c>
      <c r="K5" s="3" t="n">
        <v>8</v>
      </c>
      <c r="L5" s="11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IF($H5="","",IFERROR(INDEX('CAT_ACTIVIDADES'!$B$4:$B$8,MATCH($H5,'CAT_ACTIVIDADES'!$A$4:$A$8,0)),"(sin catálogo)"))</f>
        <v/>
      </c>
      <c r="AA5" s="13">
        <f>IF($J5="","",TODAY()-$J5)</f>
        <v/>
      </c>
      <c r="AB5" s="13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IF($AE5="","",IF((IFERROR(INDEX('ASIGNACIONES'!$J$4:$J$451,MATCH($O5&amp;"|"&amp;$R5&amp;"|"&amp;$AE5,'ASIGNACIONES'!$N$4:$N$451,0)),""))=0,"",IFERROR(INDEX('ASIGNACIONES'!$J$4:$J$451,MATCH($O5&amp;"|"&amp;$R5&amp;"|"&amp;$AE5,'ASIGNACIONES'!$N$4:$N$451,0)),"")))</f>
        <v/>
      </c>
      <c r="AG5" s="14">
        <f>IF($AE5="","",SUMIFS('ORDENES'!$M$4:$M$1203,'ORDENES'!$AE$4:$AE$1203,$AE5,'ORDENES'!$O$4:$O$1203,$O5,'ORDENES'!$R$4:$R$1203,$R5))</f>
        <v/>
      </c>
      <c r="AH5" s="14">
        <f>IF($AG5="","",p_factor_productividad*IFERROR(INDEX('ASIGNACIONES'!$M$4:$M$451,MATCH($O5&amp;"|"&amp;$R5&amp;"|"&amp;$AE5,'ASIGNACIONES'!$N$4:$N$451,0)),0)-$AG5)</f>
        <v/>
      </c>
      <c r="AI5" s="11">
        <f>IF($A5="","",IFERROR(INDEX('2_IMPORTAR_EJECUCION'!$F$9:$F$1208,MATCH($AQ5,'2_IMPORTAR_EJECUCION'!$J$9:$J$1208,0)),0))</f>
        <v/>
      </c>
      <c r="AJ5" s="11">
        <f>IF($A5="","",MAX(0,IFERROR(INDEX('2_IMPORTAR_EJECUCION'!$H$9:$H$1208,MATCH($AQ5,'2_IMPORTAR_EJECUCION'!$J$9:$J$1208,0)),0)-$AI5))</f>
        <v/>
      </c>
      <c r="AK5" s="11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46218</v>
      </c>
      <c r="K6" s="3" t="n">
        <v>6</v>
      </c>
      <c r="L6" s="11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IF($H6="","",IFERROR(INDEX('CAT_ACTIVIDADES'!$B$4:$B$8,MATCH($H6,'CAT_ACTIVIDADES'!$A$4:$A$8,0)),"(sin catálogo)"))</f>
        <v/>
      </c>
      <c r="AA6" s="13">
        <f>IF($J6="","",TODAY()-$J6)</f>
        <v/>
      </c>
      <c r="AB6" s="13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IF($AE6="","",IF((IFERROR(INDEX('ASIGNACIONES'!$J$4:$J$451,MATCH($O6&amp;"|"&amp;$R6&amp;"|"&amp;$AE6,'ASIGNACIONES'!$N$4:$N$451,0)),""))=0,"",IFERROR(INDEX('ASIGNACIONES'!$J$4:$J$451,MATCH($O6&amp;"|"&amp;$R6&amp;"|"&amp;$AE6,'ASIGNACIONES'!$N$4:$N$451,0)),"")))</f>
        <v/>
      </c>
      <c r="AG6" s="14">
        <f>IF($AE6="","",SUMIFS('ORDENES'!$M$4:$M$1203,'ORDENES'!$AE$4:$AE$1203,$AE6,'ORDENES'!$O$4:$O$1203,$O6,'ORDENES'!$R$4:$R$1203,$R6))</f>
        <v/>
      </c>
      <c r="AH6" s="14">
        <f>IF($AG6="","",p_factor_productividad*IFERROR(INDEX('ASIGNACIONES'!$M$4:$M$451,MATCH($O6&amp;"|"&amp;$R6&amp;"|"&amp;$AE6,'ASIGNACIONES'!$N$4:$N$451,0)),0)-$AG6)</f>
        <v/>
      </c>
      <c r="AI6" s="11">
        <f>IF($A6="","",IFERROR(INDEX('2_IMPORTAR_EJECUCION'!$F$9:$F$1208,MATCH($AQ6,'2_IMPORTAR_EJECUCION'!$J$9:$J$1208,0)),0))</f>
        <v/>
      </c>
      <c r="AJ6" s="11">
        <f>IF($A6="","",MAX(0,IFERROR(INDEX('2_IMPORTAR_EJECUCION'!$H$9:$H$1208,MATCH($AQ6,'2_IMPORTAR_EJECUCION'!$J$9:$J$1208,0)),0)-$AI6))</f>
        <v/>
      </c>
      <c r="AK6" s="11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46219</v>
      </c>
      <c r="K7" s="3" t="n">
        <v>10</v>
      </c>
      <c r="L7" s="11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IF($H7="","",IFERROR(INDEX('CAT_ACTIVIDADES'!$B$4:$B$8,MATCH($H7,'CAT_ACTIVIDADES'!$A$4:$A$8,0)),"(sin catálogo)"))</f>
        <v/>
      </c>
      <c r="AA7" s="13">
        <f>IF($J7="","",TODAY()-$J7)</f>
        <v/>
      </c>
      <c r="AB7" s="13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IF($AE7="","",IF((IFERROR(INDEX('ASIGNACIONES'!$J$4:$J$451,MATCH($O7&amp;"|"&amp;$R7&amp;"|"&amp;$AE7,'ASIGNACIONES'!$N$4:$N$451,0)),""))=0,"",IFERROR(INDEX('ASIGNACIONES'!$J$4:$J$451,MATCH($O7&amp;"|"&amp;$R7&amp;"|"&amp;$AE7,'ASIGNACIONES'!$N$4:$N$451,0)),"")))</f>
        <v/>
      </c>
      <c r="AG7" s="14">
        <f>IF($AE7="","",SUMIFS('ORDENES'!$M$4:$M$1203,'ORDENES'!$AE$4:$AE$1203,$AE7,'ORDENES'!$O$4:$O$1203,$O7,'ORDENES'!$R$4:$R$1203,$R7))</f>
        <v/>
      </c>
      <c r="AH7" s="14">
        <f>IF($AG7="","",p_factor_productividad*IFERROR(INDEX('ASIGNACIONES'!$M$4:$M$451,MATCH($O7&amp;"|"&amp;$R7&amp;"|"&amp;$AE7,'ASIGNACIONES'!$N$4:$N$451,0)),0)-$AG7)</f>
        <v/>
      </c>
      <c r="AI7" s="11">
        <f>IF($A7="","",IFERROR(INDEX('2_IMPORTAR_EJECUCION'!$F$9:$F$1208,MATCH($AQ7,'2_IMPORTAR_EJECUCION'!$J$9:$J$1208,0)),0))</f>
        <v/>
      </c>
      <c r="AJ7" s="11">
        <f>IF($A7="","",MAX(0,IFERROR(INDEX('2_IMPORTAR_EJECUCION'!$H$9:$H$1208,MATCH($AQ7,'2_IMPORTAR_EJECUCION'!$J$9:$J$1208,0)),0)-$AI7))</f>
        <v/>
      </c>
      <c r="AK7" s="11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46220</v>
      </c>
      <c r="K8" s="3" t="n">
        <v>8</v>
      </c>
      <c r="L8" s="11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IF($H8="","",IFERROR(INDEX('CAT_ACTIVIDADES'!$B$4:$B$8,MATCH($H8,'CAT_ACTIVIDADES'!$A$4:$A$8,0)),"(sin catálogo)"))</f>
        <v/>
      </c>
      <c r="AA8" s="13">
        <f>IF($J8="","",TODAY()-$J8)</f>
        <v/>
      </c>
      <c r="AB8" s="13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05</t>
        </is>
      </c>
      <c r="AF8" s="3">
        <f>IF($AE8="","",IF((IFERROR(INDEX('ASIGNACIONES'!$J$4:$J$451,MATCH($O8&amp;"|"&amp;$R8&amp;"|"&amp;$AE8,'ASIGNACIONES'!$N$4:$N$451,0)),""))=0,"",IFERROR(INDEX('ASIGNACIONES'!$J$4:$J$451,MATCH($O8&amp;"|"&amp;$R8&amp;"|"&amp;$AE8,'ASIGNACIONES'!$N$4:$N$451,0)),"")))</f>
        <v/>
      </c>
      <c r="AG8" s="14">
        <f>IF($AE8="","",SUMIFS('ORDENES'!$M$4:$M$1203,'ORDENES'!$AE$4:$AE$1203,$AE8,'ORDENES'!$O$4:$O$1203,$O8,'ORDENES'!$R$4:$R$1203,$R8))</f>
        <v/>
      </c>
      <c r="AH8" s="14">
        <f>IF($AG8="","",p_factor_productividad*IFERROR(INDEX('ASIGNACIONES'!$M$4:$M$451,MATCH($O8&amp;"|"&amp;$R8&amp;"|"&amp;$AE8,'ASIGNACIONES'!$N$4:$N$451,0)),0)-$AG8)</f>
        <v/>
      </c>
      <c r="AI8" s="11">
        <f>IF($A8="","",IFERROR(INDEX('2_IMPORTAR_EJECUCION'!$F$9:$F$1208,MATCH($AQ8,'2_IMPORTAR_EJECUCION'!$J$9:$J$1208,0)),0))</f>
        <v/>
      </c>
      <c r="AJ8" s="11">
        <f>IF($A8="","",MAX(0,IFERROR(INDEX('2_IMPORTAR_EJECUCION'!$H$9:$H$1208,MATCH($AQ8,'2_IMPORTAR_EJECUCION'!$J$9:$J$1208,0)),0)-$AI8))</f>
        <v/>
      </c>
      <c r="AK8" s="11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46216</v>
      </c>
      <c r="K9" s="3" t="n">
        <v>6</v>
      </c>
      <c r="L9" s="11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IF($H9="","",IFERROR(INDEX('CAT_ACTIVIDADES'!$B$4:$B$8,MATCH($H9,'CAT_ACTIVIDADES'!$A$4:$A$8,0)),"(sin catálogo)"))</f>
        <v/>
      </c>
      <c r="AA9" s="13">
        <f>IF($J9="","",TODAY()-$J9)</f>
        <v/>
      </c>
      <c r="AB9" s="13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06</t>
        </is>
      </c>
      <c r="AF9" s="3">
        <f>IF($AE9="","",IF((IFERROR(INDEX('ASIGNACIONES'!$J$4:$J$451,MATCH($O9&amp;"|"&amp;$R9&amp;"|"&amp;$AE9,'ASIGNACIONES'!$N$4:$N$451,0)),""))=0,"",IFERROR(INDEX('ASIGNACIONES'!$J$4:$J$451,MATCH($O9&amp;"|"&amp;$R9&amp;"|"&amp;$AE9,'ASIGNACIONES'!$N$4:$N$451,0)),"")))</f>
        <v/>
      </c>
      <c r="AG9" s="14">
        <f>IF($AE9="","",SUMIFS('ORDENES'!$M$4:$M$1203,'ORDENES'!$AE$4:$AE$1203,$AE9,'ORDENES'!$O$4:$O$1203,$O9,'ORDENES'!$R$4:$R$1203,$R9))</f>
        <v/>
      </c>
      <c r="AH9" s="14">
        <f>IF($AG9="","",p_factor_productividad*IFERROR(INDEX('ASIGNACIONES'!$M$4:$M$451,MATCH($O9&amp;"|"&amp;$R9&amp;"|"&amp;$AE9,'ASIGNACIONES'!$N$4:$N$451,0)),0)-$AG9)</f>
        <v/>
      </c>
      <c r="AI9" s="11">
        <f>IF($A9="","",IFERROR(INDEX('2_IMPORTAR_EJECUCION'!$F$9:$F$1208,MATCH($AQ9,'2_IMPORTAR_EJECUCION'!$J$9:$J$1208,0)),0))</f>
        <v/>
      </c>
      <c r="AJ9" s="11">
        <f>IF($A9="","",MAX(0,IFERROR(INDEX('2_IMPORTAR_EJECUCION'!$H$9:$H$1208,MATCH($AQ9,'2_IMPORTAR_EJECUCION'!$J$9:$J$1208,0)),0)-$AI9))</f>
        <v/>
      </c>
      <c r="AK9" s="11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46217</v>
      </c>
      <c r="K10" s="3" t="n">
        <v>10</v>
      </c>
      <c r="L10" s="11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IF($H10="","",IFERROR(INDEX('CAT_ACTIVIDADES'!$B$4:$B$8,MATCH($H10,'CAT_ACTIVIDADES'!$A$4:$A$8,0)),"(sin catálogo)"))</f>
        <v/>
      </c>
      <c r="AA10" s="13">
        <f>IF($J10="","",TODAY()-$J10)</f>
        <v/>
      </c>
      <c r="AB10" s="13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07</t>
        </is>
      </c>
      <c r="AF10" s="3">
        <f>IF($AE10="","",IF((IFERROR(INDEX('ASIGNACIONES'!$J$4:$J$451,MATCH($O10&amp;"|"&amp;$R10&amp;"|"&amp;$AE10,'ASIGNACIONES'!$N$4:$N$451,0)),""))=0,"",IFERROR(INDEX('ASIGNACIONES'!$J$4:$J$451,MATCH($O10&amp;"|"&amp;$R10&amp;"|"&amp;$AE10,'ASIGNACIONES'!$N$4:$N$451,0)),"")))</f>
        <v/>
      </c>
      <c r="AG10" s="14">
        <f>IF($AE10="","",SUMIFS('ORDENES'!$M$4:$M$1203,'ORDENES'!$AE$4:$AE$1203,$AE10,'ORDENES'!$O$4:$O$1203,$O10,'ORDENES'!$R$4:$R$1203,$R10))</f>
        <v/>
      </c>
      <c r="AH10" s="14">
        <f>IF($AG10="","",p_factor_productividad*IFERROR(INDEX('ASIGNACIONES'!$M$4:$M$451,MATCH($O10&amp;"|"&amp;$R10&amp;"|"&amp;$AE10,'ASIGNACIONES'!$N$4:$N$451,0)),0)-$AG10)</f>
        <v/>
      </c>
      <c r="AI10" s="11">
        <f>IF($A10="","",IFERROR(INDEX('2_IMPORTAR_EJECUCION'!$F$9:$F$1208,MATCH($AQ10,'2_IMPORTAR_EJECUCION'!$J$9:$J$1208,0)),0))</f>
        <v/>
      </c>
      <c r="AJ10" s="11">
        <f>IF($A10="","",MAX(0,IFERROR(INDEX('2_IMPORTAR_EJECUCION'!$H$9:$H$1208,MATCH($AQ10,'2_IMPORTAR_EJECUCION'!$J$9:$J$1208,0)),0)-$AI10))</f>
        <v/>
      </c>
      <c r="AK10" s="11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46218</v>
      </c>
      <c r="K11" s="3" t="n">
        <v>8</v>
      </c>
      <c r="L11" s="11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IF($H11="","",IFERROR(INDEX('CAT_ACTIVIDADES'!$B$4:$B$8,MATCH($H11,'CAT_ACTIVIDADES'!$A$4:$A$8,0)),"(sin catálogo)"))</f>
        <v/>
      </c>
      <c r="AA11" s="13">
        <f>IF($J11="","",TODAY()-$J11)</f>
        <v/>
      </c>
      <c r="AB11" s="13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01</t>
        </is>
      </c>
      <c r="AF11" s="3">
        <f>IF($AE11="","",IF((IFERROR(INDEX('ASIGNACIONES'!$J$4:$J$451,MATCH($O11&amp;"|"&amp;$R11&amp;"|"&amp;$AE11,'ASIGNACIONES'!$N$4:$N$451,0)),""))=0,"",IFERROR(INDEX('ASIGNACIONES'!$J$4:$J$451,MATCH($O11&amp;"|"&amp;$R11&amp;"|"&amp;$AE11,'ASIGNACIONES'!$N$4:$N$451,0)),"")))</f>
        <v/>
      </c>
      <c r="AG11" s="14">
        <f>IF($AE11="","",SUMIFS('ORDENES'!$M$4:$M$1203,'ORDENES'!$AE$4:$AE$1203,$AE11,'ORDENES'!$O$4:$O$1203,$O11,'ORDENES'!$R$4:$R$1203,$R11))</f>
        <v/>
      </c>
      <c r="AH11" s="14">
        <f>IF($AG11="","",p_factor_productividad*IFERROR(INDEX('ASIGNACIONES'!$M$4:$M$451,MATCH($O11&amp;"|"&amp;$R11&amp;"|"&amp;$AE11,'ASIGNACIONES'!$N$4:$N$451,0)),0)-$AG11)</f>
        <v/>
      </c>
      <c r="AI11" s="11">
        <f>IF($A11="","",IFERROR(INDEX('2_IMPORTAR_EJECUCION'!$F$9:$F$1208,MATCH($AQ11,'2_IMPORTAR_EJECUCION'!$J$9:$J$1208,0)),0))</f>
        <v/>
      </c>
      <c r="AJ11" s="11">
        <f>IF($A11="","",MAX(0,IFERROR(INDEX('2_IMPORTAR_EJECUCION'!$H$9:$H$1208,MATCH($AQ11,'2_IMPORTAR_EJECUCION'!$J$9:$J$1208,0)),0)-$AI11))</f>
        <v/>
      </c>
      <c r="AK11" s="11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46219</v>
      </c>
      <c r="K12" s="3" t="n">
        <v>6</v>
      </c>
      <c r="L12" s="11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IF($H12="","",IFERROR(INDEX('CAT_ACTIVIDADES'!$B$4:$B$8,MATCH($H12,'CAT_ACTIVIDADES'!$A$4:$A$8,0)),"(sin catálogo)"))</f>
        <v/>
      </c>
      <c r="AA12" s="13">
        <f>IF($J12="","",TODAY()-$J12)</f>
        <v/>
      </c>
      <c r="AB12" s="13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02</t>
        </is>
      </c>
      <c r="AF12" s="3">
        <f>IF($AE12="","",IF((IFERROR(INDEX('ASIGNACIONES'!$J$4:$J$451,MATCH($O12&amp;"|"&amp;$R12&amp;"|"&amp;$AE12,'ASIGNACIONES'!$N$4:$N$451,0)),""))=0,"",IFERROR(INDEX('ASIGNACIONES'!$J$4:$J$451,MATCH($O12&amp;"|"&amp;$R12&amp;"|"&amp;$AE12,'ASIGNACIONES'!$N$4:$N$451,0)),"")))</f>
        <v/>
      </c>
      <c r="AG12" s="14">
        <f>IF($AE12="","",SUMIFS('ORDENES'!$M$4:$M$1203,'ORDENES'!$AE$4:$AE$1203,$AE12,'ORDENES'!$O$4:$O$1203,$O12,'ORDENES'!$R$4:$R$1203,$R12))</f>
        <v/>
      </c>
      <c r="AH12" s="14">
        <f>IF($AG12="","",p_factor_productividad*IFERROR(INDEX('ASIGNACIONES'!$M$4:$M$451,MATCH($O12&amp;"|"&amp;$R12&amp;"|"&amp;$AE12,'ASIGNACIONES'!$N$4:$N$451,0)),0)-$AG12)</f>
        <v/>
      </c>
      <c r="AI12" s="11">
        <f>IF($A12="","",IFERROR(INDEX('2_IMPORTAR_EJECUCION'!$F$9:$F$1208,MATCH($AQ12,'2_IMPORTAR_EJECUCION'!$J$9:$J$1208,0)),0))</f>
        <v/>
      </c>
      <c r="AJ12" s="11">
        <f>IF($A12="","",MAX(0,IFERROR(INDEX('2_IMPORTAR_EJECUCION'!$H$9:$H$1208,MATCH($AQ12,'2_IMPORTAR_EJECUCION'!$J$9:$J$1208,0)),0)-$AI12))</f>
        <v/>
      </c>
      <c r="AK12" s="11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46220</v>
      </c>
      <c r="K13" s="3" t="n">
        <v>8</v>
      </c>
      <c r="L13" s="11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IF($H13="","",IFERROR(INDEX('CAT_ACTIVIDADES'!$B$4:$B$8,MATCH($H13,'CAT_ACTIVIDADES'!$A$4:$A$8,0)),"(sin catálogo)"))</f>
        <v/>
      </c>
      <c r="AA13" s="13">
        <f>IF($J13="","",TODAY()-$J13)</f>
        <v/>
      </c>
      <c r="AB13" s="13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03</t>
        </is>
      </c>
      <c r="AF13" s="3">
        <f>IF($AE13="","",IF((IFERROR(INDEX('ASIGNACIONES'!$J$4:$J$451,MATCH($O13&amp;"|"&amp;$R13&amp;"|"&amp;$AE13,'ASIGNACIONES'!$N$4:$N$451,0)),""))=0,"",IFERROR(INDEX('ASIGNACIONES'!$J$4:$J$451,MATCH($O13&amp;"|"&amp;$R13&amp;"|"&amp;$AE13,'ASIGNACIONES'!$N$4:$N$451,0)),"")))</f>
        <v/>
      </c>
      <c r="AG13" s="14">
        <f>IF($AE13="","",SUMIFS('ORDENES'!$M$4:$M$1203,'ORDENES'!$AE$4:$AE$1203,$AE13,'ORDENES'!$O$4:$O$1203,$O13,'ORDENES'!$R$4:$R$1203,$R13))</f>
        <v/>
      </c>
      <c r="AH13" s="14">
        <f>IF($AG13="","",p_factor_productividad*IFERROR(INDEX('ASIGNACIONES'!$M$4:$M$451,MATCH($O13&amp;"|"&amp;$R13&amp;"|"&amp;$AE13,'ASIGNACIONES'!$N$4:$N$451,0)),0)-$AG13)</f>
        <v/>
      </c>
      <c r="AI13" s="11">
        <f>IF($A13="","",IFERROR(INDEX('2_IMPORTAR_EJECUCION'!$F$9:$F$1208,MATCH($AQ13,'2_IMPORTAR_EJECUCION'!$J$9:$J$1208,0)),0))</f>
        <v/>
      </c>
      <c r="AJ13" s="11">
        <f>IF($A13="","",MAX(0,IFERROR(INDEX('2_IMPORTAR_EJECUCION'!$H$9:$H$1208,MATCH($AQ13,'2_IMPORTAR_EJECUCION'!$J$9:$J$1208,0)),0)-$AI13))</f>
        <v/>
      </c>
      <c r="AK13" s="11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46216</v>
      </c>
      <c r="K14" s="3" t="n">
        <v>10</v>
      </c>
      <c r="L14" s="11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IF($H14="","",IFERROR(INDEX('CAT_ACTIVIDADES'!$B$4:$B$8,MATCH($H14,'CAT_ACTIVIDADES'!$A$4:$A$8,0)),"(sin catálogo)"))</f>
        <v/>
      </c>
      <c r="AA14" s="13">
        <f>IF($J14="","",TODAY()-$J14)</f>
        <v/>
      </c>
      <c r="AB14" s="13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04</t>
        </is>
      </c>
      <c r="AF14" s="3">
        <f>IF($AE14="","",IF((IFERROR(INDEX('ASIGNACIONES'!$J$4:$J$451,MATCH($O14&amp;"|"&amp;$R14&amp;"|"&amp;$AE14,'ASIGNACIONES'!$N$4:$N$451,0)),""))=0,"",IFERROR(INDEX('ASIGNACIONES'!$J$4:$J$451,MATCH($O14&amp;"|"&amp;$R14&amp;"|"&amp;$AE14,'ASIGNACIONES'!$N$4:$N$451,0)),"")))</f>
        <v/>
      </c>
      <c r="AG14" s="14">
        <f>IF($AE14="","",SUMIFS('ORDENES'!$M$4:$M$1203,'ORDENES'!$AE$4:$AE$1203,$AE14,'ORDENES'!$O$4:$O$1203,$O14,'ORDENES'!$R$4:$R$1203,$R14))</f>
        <v/>
      </c>
      <c r="AH14" s="14">
        <f>IF($AG14="","",p_factor_productividad*IFERROR(INDEX('ASIGNACIONES'!$M$4:$M$451,MATCH($O14&amp;"|"&amp;$R14&amp;"|"&amp;$AE14,'ASIGNACIONES'!$N$4:$N$451,0)),0)-$AG14)</f>
        <v/>
      </c>
      <c r="AI14" s="11">
        <f>IF($A14="","",IFERROR(INDEX('2_IMPORTAR_EJECUCION'!$F$9:$F$1208,MATCH($AQ14,'2_IMPORTAR_EJECUCION'!$J$9:$J$1208,0)),0))</f>
        <v/>
      </c>
      <c r="AJ14" s="11">
        <f>IF($A14="","",MAX(0,IFERROR(INDEX('2_IMPORTAR_EJECUCION'!$H$9:$H$1208,MATCH($AQ14,'2_IMPORTAR_EJECUCION'!$J$9:$J$1208,0)),0)-$AI14))</f>
        <v/>
      </c>
      <c r="AK14" s="11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46217</v>
      </c>
      <c r="K15" s="3" t="n">
        <v>10</v>
      </c>
      <c r="L15" s="11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IF($H15="","",IFERROR(INDEX('CAT_ACTIVIDADES'!$B$4:$B$8,MATCH($H15,'CAT_ACTIVIDADES'!$A$4:$A$8,0)),"(sin catálogo)"))</f>
        <v/>
      </c>
      <c r="AA15" s="13">
        <f>IF($J15="","",TODAY()-$J15)</f>
        <v/>
      </c>
      <c r="AB15" s="13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IF($AE15="","",IF((IFERROR(INDEX('ASIGNACIONES'!$J$4:$J$451,MATCH($O15&amp;"|"&amp;$R15&amp;"|"&amp;$AE15,'ASIGNACIONES'!$N$4:$N$451,0)),""))=0,"",IFERROR(INDEX('ASIGNACIONES'!$J$4:$J$451,MATCH($O15&amp;"|"&amp;$R15&amp;"|"&amp;$AE15,'ASIGNACIONES'!$N$4:$N$451,0)),"")))</f>
        <v/>
      </c>
      <c r="AG15" s="14">
        <f>IF($AE15="","",SUMIFS('ORDENES'!$M$4:$M$1203,'ORDENES'!$AE$4:$AE$1203,$AE15,'ORDENES'!$O$4:$O$1203,$O15,'ORDENES'!$R$4:$R$1203,$R15))</f>
        <v/>
      </c>
      <c r="AH15" s="14">
        <f>IF($AG15="","",p_factor_productividad*IFERROR(INDEX('ASIGNACIONES'!$M$4:$M$451,MATCH($O15&amp;"|"&amp;$R15&amp;"|"&amp;$AE15,'ASIGNACIONES'!$N$4:$N$451,0)),0)-$AG15)</f>
        <v/>
      </c>
      <c r="AI15" s="11">
        <f>IF($A15="","",IFERROR(INDEX('2_IMPORTAR_EJECUCION'!$F$9:$F$1208,MATCH($AQ15,'2_IMPORTAR_EJECUCION'!$J$9:$J$1208,0)),0))</f>
        <v/>
      </c>
      <c r="AJ15" s="11">
        <f>IF($A15="","",MAX(0,IFERROR(INDEX('2_IMPORTAR_EJECUCION'!$H$9:$H$1208,MATCH($AQ15,'2_IMPORTAR_EJECUCION'!$J$9:$J$1208,0)),0)-$AI15))</f>
        <v/>
      </c>
      <c r="AK15" s="11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46225</v>
      </c>
      <c r="K16" s="3" t="n">
        <v>8</v>
      </c>
      <c r="L16" s="11" t="n">
        <v>200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IF($H16="","",IFERROR(INDEX('CAT_ACTIVIDADES'!$B$4:$B$8,MATCH($H16,'CAT_ACTIVIDADES'!$A$4:$A$8,0)),"(sin catálogo)"))</f>
        <v/>
      </c>
      <c r="AA16" s="13">
        <f>IF($J16="","",TODAY()-$J16)</f>
        <v/>
      </c>
      <c r="AB16" s="13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IF($AE16="","",IF((IFERROR(INDEX('ASIGNACIONES'!$J$4:$J$451,MATCH($O16&amp;"|"&amp;$R16&amp;"|"&amp;$AE16,'ASIGNACIONES'!$N$4:$N$451,0)),""))=0,"",IFERROR(INDEX('ASIGNACIONES'!$J$4:$J$451,MATCH($O16&amp;"|"&amp;$R16&amp;"|"&amp;$AE16,'ASIGNACIONES'!$N$4:$N$451,0)),"")))</f>
        <v/>
      </c>
      <c r="AG16" s="14">
        <f>IF($AE16="","",SUMIFS('ORDENES'!$M$4:$M$1203,'ORDENES'!$AE$4:$AE$1203,$AE16,'ORDENES'!$O$4:$O$1203,$O16,'ORDENES'!$R$4:$R$1203,$R16))</f>
        <v/>
      </c>
      <c r="AH16" s="14">
        <f>IF($AG16="","",p_factor_productividad*IFERROR(INDEX('ASIGNACIONES'!$M$4:$M$451,MATCH($O16&amp;"|"&amp;$R16&amp;"|"&amp;$AE16,'ASIGNACIONES'!$N$4:$N$451,0)),0)-$AG16)</f>
        <v/>
      </c>
      <c r="AI16" s="11">
        <f>IF($A16="","",IFERROR(INDEX('2_IMPORTAR_EJECUCION'!$F$9:$F$1208,MATCH($AQ16,'2_IMPORTAR_EJECUCION'!$J$9:$J$1208,0)),0))</f>
        <v/>
      </c>
      <c r="AJ16" s="11">
        <f>IF($A16="","",MAX(0,IFERROR(INDEX('2_IMPORTAR_EJECUCION'!$H$9:$H$1208,MATCH($AQ16,'2_IMPORTAR_EJECUCION'!$J$9:$J$1208,0)),0)-$AI16))</f>
        <v/>
      </c>
      <c r="AK16" s="11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>
        <is>
          <t>Ajuste 8 → 12 h en hoja AJUSTES</t>
        </is>
      </c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46226</v>
      </c>
      <c r="K17" s="3" t="n">
        <v>8</v>
      </c>
      <c r="L17" s="11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IF($H17="","",IFERROR(INDEX('CAT_ACTIVIDADES'!$B$4:$B$8,MATCH($H17,'CAT_ACTIVIDADES'!$A$4:$A$8,0)),"(sin catálogo)"))</f>
        <v/>
      </c>
      <c r="AA17" s="13">
        <f>IF($J17="","",TODAY()-$J17)</f>
        <v/>
      </c>
      <c r="AB17" s="13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07</t>
        </is>
      </c>
      <c r="AF17" s="3">
        <f>IF($AE17="","",IF((IFERROR(INDEX('ASIGNACIONES'!$J$4:$J$451,MATCH($O17&amp;"|"&amp;$R17&amp;"|"&amp;$AE17,'ASIGNACIONES'!$N$4:$N$451,0)),""))=0,"",IFERROR(INDEX('ASIGNACIONES'!$J$4:$J$451,MATCH($O17&amp;"|"&amp;$R17&amp;"|"&amp;$AE17,'ASIGNACIONES'!$N$4:$N$451,0)),"")))</f>
        <v/>
      </c>
      <c r="AG17" s="14">
        <f>IF($AE17="","",SUMIFS('ORDENES'!$M$4:$M$1203,'ORDENES'!$AE$4:$AE$1203,$AE17,'ORDENES'!$O$4:$O$1203,$O17,'ORDENES'!$R$4:$R$1203,$R17))</f>
        <v/>
      </c>
      <c r="AH17" s="14">
        <f>IF($AG17="","",p_factor_productividad*IFERROR(INDEX('ASIGNACIONES'!$M$4:$M$451,MATCH($O17&amp;"|"&amp;$R17&amp;"|"&amp;$AE17,'ASIGNACIONES'!$N$4:$N$451,0)),0)-$AG17)</f>
        <v/>
      </c>
      <c r="AI17" s="11">
        <f>IF($A17="","",IFERROR(INDEX('2_IMPORTAR_EJECUCION'!$F$9:$F$1208,MATCH($AQ17,'2_IMPORTAR_EJECUCION'!$J$9:$J$1208,0)),0))</f>
        <v/>
      </c>
      <c r="AJ17" s="11">
        <f>IF($A17="","",MAX(0,IFERROR(INDEX('2_IMPORTAR_EJECUCION'!$H$9:$H$1208,MATCH($AQ17,'2_IMPORTAR_EJECUCION'!$J$9:$J$1208,0)),0)-$AI17))</f>
        <v/>
      </c>
      <c r="AK17" s="11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46227</v>
      </c>
      <c r="K18" s="3" t="n">
        <v>6</v>
      </c>
      <c r="L18" s="11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IF($H18="","",IFERROR(INDEX('CAT_ACTIVIDADES'!$B$4:$B$8,MATCH($H18,'CAT_ACTIVIDADES'!$A$4:$A$8,0)),"(sin catálogo)"))</f>
        <v/>
      </c>
      <c r="AA18" s="13">
        <f>IF($J18="","",TODAY()-$J18)</f>
        <v/>
      </c>
      <c r="AB18" s="13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01</t>
        </is>
      </c>
      <c r="AF18" s="3">
        <f>IF($AE18="","",IF((IFERROR(INDEX('ASIGNACIONES'!$J$4:$J$451,MATCH($O18&amp;"|"&amp;$R18&amp;"|"&amp;$AE18,'ASIGNACIONES'!$N$4:$N$451,0)),""))=0,"",IFERROR(INDEX('ASIGNACIONES'!$J$4:$J$451,MATCH($O18&amp;"|"&amp;$R18&amp;"|"&amp;$AE18,'ASIGNACIONES'!$N$4:$N$451,0)),"")))</f>
        <v/>
      </c>
      <c r="AG18" s="14">
        <f>IF($AE18="","",SUMIFS('ORDENES'!$M$4:$M$1203,'ORDENES'!$AE$4:$AE$1203,$AE18,'ORDENES'!$O$4:$O$1203,$O18,'ORDENES'!$R$4:$R$1203,$R18))</f>
        <v/>
      </c>
      <c r="AH18" s="14">
        <f>IF($AG18="","",p_factor_productividad*IFERROR(INDEX('ASIGNACIONES'!$M$4:$M$451,MATCH($O18&amp;"|"&amp;$R18&amp;"|"&amp;$AE18,'ASIGNACIONES'!$N$4:$N$451,0)),0)-$AG18)</f>
        <v/>
      </c>
      <c r="AI18" s="11">
        <f>IF($A18="","",IFERROR(INDEX('2_IMPORTAR_EJECUCION'!$F$9:$F$1208,MATCH($AQ18,'2_IMPORTAR_EJECUCION'!$J$9:$J$1208,0)),0))</f>
        <v/>
      </c>
      <c r="AJ18" s="11">
        <f>IF($A18="","",MAX(0,IFERROR(INDEX('2_IMPORTAR_EJECUCION'!$H$9:$H$1208,MATCH($AQ18,'2_IMPORTAR_EJECUCION'!$J$9:$J$1208,0)),0)-$AI18))</f>
        <v/>
      </c>
      <c r="AK18" s="11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46223</v>
      </c>
      <c r="K19" s="3" t="n">
        <v>10</v>
      </c>
      <c r="L19" s="11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IF($H19="","",IFERROR(INDEX('CAT_ACTIVIDADES'!$B$4:$B$8,MATCH($H19,'CAT_ACTIVIDADES'!$A$4:$A$8,0)),"(sin catálogo)"))</f>
        <v/>
      </c>
      <c r="AA19" s="13">
        <f>IF($J19="","",TODAY()-$J19)</f>
        <v/>
      </c>
      <c r="AB19" s="13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02</t>
        </is>
      </c>
      <c r="AF19" s="3">
        <f>IF($AE19="","",IF((IFERROR(INDEX('ASIGNACIONES'!$J$4:$J$451,MATCH($O19&amp;"|"&amp;$R19&amp;"|"&amp;$AE19,'ASIGNACIONES'!$N$4:$N$451,0)),""))=0,"",IFERROR(INDEX('ASIGNACIONES'!$J$4:$J$451,MATCH($O19&amp;"|"&amp;$R19&amp;"|"&amp;$AE19,'ASIGNACIONES'!$N$4:$N$451,0)),"")))</f>
        <v/>
      </c>
      <c r="AG19" s="14">
        <f>IF($AE19="","",SUMIFS('ORDENES'!$M$4:$M$1203,'ORDENES'!$AE$4:$AE$1203,$AE19,'ORDENES'!$O$4:$O$1203,$O19,'ORDENES'!$R$4:$R$1203,$R19))</f>
        <v/>
      </c>
      <c r="AH19" s="14">
        <f>IF($AG19="","",p_factor_productividad*IFERROR(INDEX('ASIGNACIONES'!$M$4:$M$451,MATCH($O19&amp;"|"&amp;$R19&amp;"|"&amp;$AE19,'ASIGNACIONES'!$N$4:$N$451,0)),0)-$AG19)</f>
        <v/>
      </c>
      <c r="AI19" s="11">
        <f>IF($A19="","",IFERROR(INDEX('2_IMPORTAR_EJECUCION'!$F$9:$F$1208,MATCH($AQ19,'2_IMPORTAR_EJECUCION'!$J$9:$J$1208,0)),0))</f>
        <v/>
      </c>
      <c r="AJ19" s="11">
        <f>IF($A19="","",MAX(0,IFERROR(INDEX('2_IMPORTAR_EJECUCION'!$H$9:$H$1208,MATCH($AQ19,'2_IMPORTAR_EJECUCION'!$J$9:$J$1208,0)),0)-$AI19))</f>
        <v/>
      </c>
      <c r="AK19" s="11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46224</v>
      </c>
      <c r="K20" s="3" t="n">
        <v>8</v>
      </c>
      <c r="L20" s="11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IF($H20="","",IFERROR(INDEX('CAT_ACTIVIDADES'!$B$4:$B$8,MATCH($H20,'CAT_ACTIVIDADES'!$A$4:$A$8,0)),"(sin catálogo)"))</f>
        <v/>
      </c>
      <c r="AA20" s="13">
        <f>IF($J20="","",TODAY()-$J20)</f>
        <v/>
      </c>
      <c r="AB20" s="13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03</t>
        </is>
      </c>
      <c r="AF20" s="3">
        <f>IF($AE20="","",IF((IFERROR(INDEX('ASIGNACIONES'!$J$4:$J$451,MATCH($O20&amp;"|"&amp;$R20&amp;"|"&amp;$AE20,'ASIGNACIONES'!$N$4:$N$451,0)),""))=0,"",IFERROR(INDEX('ASIGNACIONES'!$J$4:$J$451,MATCH($O20&amp;"|"&amp;$R20&amp;"|"&amp;$AE20,'ASIGNACIONES'!$N$4:$N$451,0)),"")))</f>
        <v/>
      </c>
      <c r="AG20" s="14">
        <f>IF($AE20="","",SUMIFS('ORDENES'!$M$4:$M$1203,'ORDENES'!$AE$4:$AE$1203,$AE20,'ORDENES'!$O$4:$O$1203,$O20,'ORDENES'!$R$4:$R$1203,$R20))</f>
        <v/>
      </c>
      <c r="AH20" s="14">
        <f>IF($AG20="","",p_factor_productividad*IFERROR(INDEX('ASIGNACIONES'!$M$4:$M$451,MATCH($O20&amp;"|"&amp;$R20&amp;"|"&amp;$AE20,'ASIGNACIONES'!$N$4:$N$451,0)),0)-$AG20)</f>
        <v/>
      </c>
      <c r="AI20" s="11">
        <f>IF($A20="","",IFERROR(INDEX('2_IMPORTAR_EJECUCION'!$F$9:$F$1208,MATCH($AQ20,'2_IMPORTAR_EJECUCION'!$J$9:$J$1208,0)),0))</f>
        <v/>
      </c>
      <c r="AJ20" s="11">
        <f>IF($A20="","",MAX(0,IFERROR(INDEX('2_IMPORTAR_EJECUCION'!$H$9:$H$1208,MATCH($AQ20,'2_IMPORTAR_EJECUCION'!$J$9:$J$1208,0)),0)-$AI20))</f>
        <v/>
      </c>
      <c r="AK20" s="11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/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46225</v>
      </c>
      <c r="K21" s="3" t="n">
        <v>6</v>
      </c>
      <c r="L21" s="11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IF($H21="","",IFERROR(INDEX('CAT_ACTIVIDADES'!$B$4:$B$8,MATCH($H21,'CAT_ACTIVIDADES'!$A$4:$A$8,0)),"(sin catálogo)"))</f>
        <v/>
      </c>
      <c r="AA21" s="13">
        <f>IF($J21="","",TODAY()-$J21)</f>
        <v/>
      </c>
      <c r="AB21" s="13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04</t>
        </is>
      </c>
      <c r="AF21" s="3">
        <f>IF($AE21="","",IF((IFERROR(INDEX('ASIGNACIONES'!$J$4:$J$451,MATCH($O21&amp;"|"&amp;$R21&amp;"|"&amp;$AE21,'ASIGNACIONES'!$N$4:$N$451,0)),""))=0,"",IFERROR(INDEX('ASIGNACIONES'!$J$4:$J$451,MATCH($O21&amp;"|"&amp;$R21&amp;"|"&amp;$AE21,'ASIGNACIONES'!$N$4:$N$451,0)),"")))</f>
        <v/>
      </c>
      <c r="AG21" s="14">
        <f>IF($AE21="","",SUMIFS('ORDENES'!$M$4:$M$1203,'ORDENES'!$AE$4:$AE$1203,$AE21,'ORDENES'!$O$4:$O$1203,$O21,'ORDENES'!$R$4:$R$1203,$R21))</f>
        <v/>
      </c>
      <c r="AH21" s="14">
        <f>IF($AG21="","",p_factor_productividad*IFERROR(INDEX('ASIGNACIONES'!$M$4:$M$451,MATCH($O21&amp;"|"&amp;$R21&amp;"|"&amp;$AE21,'ASIGNACIONES'!$N$4:$N$451,0)),0)-$AG21)</f>
        <v/>
      </c>
      <c r="AI21" s="11">
        <f>IF($A21="","",IFERROR(INDEX('2_IMPORTAR_EJECUCION'!$F$9:$F$1208,MATCH($AQ21,'2_IMPORTAR_EJECUCION'!$J$9:$J$1208,0)),0))</f>
        <v/>
      </c>
      <c r="AJ21" s="11">
        <f>IF($A21="","",MAX(0,IFERROR(INDEX('2_IMPORTAR_EJECUCION'!$H$9:$H$1208,MATCH($AQ21,'2_IMPORTAR_EJECUCION'!$J$9:$J$1208,0)),0)-$AI21))</f>
        <v/>
      </c>
      <c r="AK21" s="11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46226</v>
      </c>
      <c r="K22" s="3" t="n">
        <v>10</v>
      </c>
      <c r="L22" s="11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IF($H22="","",IFERROR(INDEX('CAT_ACTIVIDADES'!$B$4:$B$8,MATCH($H22,'CAT_ACTIVIDADES'!$A$4:$A$8,0)),"(sin catálogo)"))</f>
        <v/>
      </c>
      <c r="AA22" s="13">
        <f>IF($J22="","",TODAY()-$J22)</f>
        <v/>
      </c>
      <c r="AB22" s="13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/>
      <c r="AF22" s="3">
        <f>IF($AE22="","",IF((IFERROR(INDEX('ASIGNACIONES'!$J$4:$J$451,MATCH($O22&amp;"|"&amp;$R22&amp;"|"&amp;$AE22,'ASIGNACIONES'!$N$4:$N$451,0)),""))=0,"",IFERROR(INDEX('ASIGNACIONES'!$J$4:$J$451,MATCH($O22&amp;"|"&amp;$R22&amp;"|"&amp;$AE22,'ASIGNACIONES'!$N$4:$N$451,0)),"")))</f>
        <v/>
      </c>
      <c r="AG22" s="14">
        <f>IF($AE22="","",SUMIFS('ORDENES'!$M$4:$M$1203,'ORDENES'!$AE$4:$AE$1203,$AE22,'ORDENES'!$O$4:$O$1203,$O22,'ORDENES'!$R$4:$R$1203,$R22))</f>
        <v/>
      </c>
      <c r="AH22" s="14">
        <f>IF($AG22="","",p_factor_productividad*IFERROR(INDEX('ASIGNACIONES'!$M$4:$M$451,MATCH($O22&amp;"|"&amp;$R22&amp;"|"&amp;$AE22,'ASIGNACIONES'!$N$4:$N$451,0)),0)-$AG22)</f>
        <v/>
      </c>
      <c r="AI22" s="11">
        <f>IF($A22="","",IFERROR(INDEX('2_IMPORTAR_EJECUCION'!$F$9:$F$1208,MATCH($AQ22,'2_IMPORTAR_EJECUCION'!$J$9:$J$1208,0)),0))</f>
        <v/>
      </c>
      <c r="AJ22" s="11">
        <f>IF($A22="","",MAX(0,IFERROR(INDEX('2_IMPORTAR_EJECUCION'!$H$9:$H$1208,MATCH($AQ22,'2_IMPORTAR_EJECUCION'!$J$9:$J$1208,0)),0)-$AI22))</f>
        <v/>
      </c>
      <c r="AK22" s="11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46227</v>
      </c>
      <c r="K23" s="3" t="n">
        <v>8</v>
      </c>
      <c r="L23" s="11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IF($H23="","",IFERROR(INDEX('CAT_ACTIVIDADES'!$B$4:$B$8,MATCH($H23,'CAT_ACTIVIDADES'!$A$4:$A$8,0)),"(sin catálogo)"))</f>
        <v/>
      </c>
      <c r="AA23" s="13">
        <f>IF($J23="","",TODAY()-$J23)</f>
        <v/>
      </c>
      <c r="AB23" s="13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06</t>
        </is>
      </c>
      <c r="AF23" s="3">
        <f>IF($AE23="","",IF((IFERROR(INDEX('ASIGNACIONES'!$J$4:$J$451,MATCH($O23&amp;"|"&amp;$R23&amp;"|"&amp;$AE23,'ASIGNACIONES'!$N$4:$N$451,0)),""))=0,"",IFERROR(INDEX('ASIGNACIONES'!$J$4:$J$451,MATCH($O23&amp;"|"&amp;$R23&amp;"|"&amp;$AE23,'ASIGNACIONES'!$N$4:$N$451,0)),"")))</f>
        <v/>
      </c>
      <c r="AG23" s="14">
        <f>IF($AE23="","",SUMIFS('ORDENES'!$M$4:$M$1203,'ORDENES'!$AE$4:$AE$1203,$AE23,'ORDENES'!$O$4:$O$1203,$O23,'ORDENES'!$R$4:$R$1203,$R23))</f>
        <v/>
      </c>
      <c r="AH23" s="14">
        <f>IF($AG23="","",p_factor_productividad*IFERROR(INDEX('ASIGNACIONES'!$M$4:$M$451,MATCH($O23&amp;"|"&amp;$R23&amp;"|"&amp;$AE23,'ASIGNACIONES'!$N$4:$N$451,0)),0)-$AG23)</f>
        <v/>
      </c>
      <c r="AI23" s="11">
        <f>IF($A23="","",IFERROR(INDEX('2_IMPORTAR_EJECUCION'!$F$9:$F$1208,MATCH($AQ23,'2_IMPORTAR_EJECUCION'!$J$9:$J$1208,0)),0))</f>
        <v/>
      </c>
      <c r="AJ23" s="11">
        <f>IF($A23="","",MAX(0,IFERROR(INDEX('2_IMPORTAR_EJECUCION'!$H$9:$H$1208,MATCH($AQ23,'2_IMPORTAR_EJECUCION'!$J$9:$J$1208,0)),0)-$AI23))</f>
        <v/>
      </c>
      <c r="AK23" s="11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46223</v>
      </c>
      <c r="K24" s="3" t="n">
        <v>6</v>
      </c>
      <c r="L24" s="11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IF($H24="","",IFERROR(INDEX('CAT_ACTIVIDADES'!$B$4:$B$8,MATCH($H24,'CAT_ACTIVIDADES'!$A$4:$A$8,0)),"(sin catálogo)"))</f>
        <v/>
      </c>
      <c r="AA24" s="13">
        <f>IF($J24="","",TODAY()-$J24)</f>
        <v/>
      </c>
      <c r="AB24" s="13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07</t>
        </is>
      </c>
      <c r="AF24" s="3">
        <f>IF($AE24="","",IF((IFERROR(INDEX('ASIGNACIONES'!$J$4:$J$451,MATCH($O24&amp;"|"&amp;$R24&amp;"|"&amp;$AE24,'ASIGNACIONES'!$N$4:$N$451,0)),""))=0,"",IFERROR(INDEX('ASIGNACIONES'!$J$4:$J$451,MATCH($O24&amp;"|"&amp;$R24&amp;"|"&amp;$AE24,'ASIGNACIONES'!$N$4:$N$451,0)),"")))</f>
        <v/>
      </c>
      <c r="AG24" s="14">
        <f>IF($AE24="","",SUMIFS('ORDENES'!$M$4:$M$1203,'ORDENES'!$AE$4:$AE$1203,$AE24,'ORDENES'!$O$4:$O$1203,$O24,'ORDENES'!$R$4:$R$1203,$R24))</f>
        <v/>
      </c>
      <c r="AH24" s="14">
        <f>IF($AG24="","",p_factor_productividad*IFERROR(INDEX('ASIGNACIONES'!$M$4:$M$451,MATCH($O24&amp;"|"&amp;$R24&amp;"|"&amp;$AE24,'ASIGNACIONES'!$N$4:$N$451,0)),0)-$AG24)</f>
        <v/>
      </c>
      <c r="AI24" s="11">
        <f>IF($A24="","",IFERROR(INDEX('2_IMPORTAR_EJECUCION'!$F$9:$F$1208,MATCH($AQ24,'2_IMPORTAR_EJECUCION'!$J$9:$J$1208,0)),0))</f>
        <v/>
      </c>
      <c r="AJ24" s="11">
        <f>IF($A24="","",MAX(0,IFERROR(INDEX('2_IMPORTAR_EJECUCION'!$H$9:$H$1208,MATCH($AQ24,'2_IMPORTAR_EJECUCION'!$J$9:$J$1208,0)),0)-$AI24))</f>
        <v/>
      </c>
      <c r="AK24" s="11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46224</v>
      </c>
      <c r="K25" s="3" t="n">
        <v>8</v>
      </c>
      <c r="L25" s="11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IF($H25="","",IFERROR(INDEX('CAT_ACTIVIDADES'!$B$4:$B$8,MATCH($H25,'CAT_ACTIVIDADES'!$A$4:$A$8,0)),"(sin catálogo)"))</f>
        <v/>
      </c>
      <c r="AA25" s="13">
        <f>IF($J25="","",TODAY()-$J25)</f>
        <v/>
      </c>
      <c r="AB25" s="13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01</t>
        </is>
      </c>
      <c r="AF25" s="3">
        <f>IF($AE25="","",IF((IFERROR(INDEX('ASIGNACIONES'!$J$4:$J$451,MATCH($O25&amp;"|"&amp;$R25&amp;"|"&amp;$AE25,'ASIGNACIONES'!$N$4:$N$451,0)),""))=0,"",IFERROR(INDEX('ASIGNACIONES'!$J$4:$J$451,MATCH($O25&amp;"|"&amp;$R25&amp;"|"&amp;$AE25,'ASIGNACIONES'!$N$4:$N$451,0)),"")))</f>
        <v/>
      </c>
      <c r="AG25" s="14">
        <f>IF($AE25="","",SUMIFS('ORDENES'!$M$4:$M$1203,'ORDENES'!$AE$4:$AE$1203,$AE25,'ORDENES'!$O$4:$O$1203,$O25,'ORDENES'!$R$4:$R$1203,$R25))</f>
        <v/>
      </c>
      <c r="AH25" s="14">
        <f>IF($AG25="","",p_factor_productividad*IFERROR(INDEX('ASIGNACIONES'!$M$4:$M$451,MATCH($O25&amp;"|"&amp;$R25&amp;"|"&amp;$AE25,'ASIGNACIONES'!$N$4:$N$451,0)),0)-$AG25)</f>
        <v/>
      </c>
      <c r="AI25" s="11">
        <f>IF($A25="","",IFERROR(INDEX('2_IMPORTAR_EJECUCION'!$F$9:$F$1208,MATCH($AQ25,'2_IMPORTAR_EJECUCION'!$J$9:$J$1208,0)),0))</f>
        <v/>
      </c>
      <c r="AJ25" s="11">
        <f>IF($A25="","",MAX(0,IFERROR(INDEX('2_IMPORTAR_EJECUCION'!$H$9:$H$1208,MATCH($AQ25,'2_IMPORTAR_EJECUCION'!$J$9:$J$1208,0)),0)-$AI25))</f>
        <v/>
      </c>
      <c r="AK25" s="11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46225</v>
      </c>
      <c r="K26" s="3" t="n">
        <v>10</v>
      </c>
      <c r="L26" s="11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IF($H26="","",IFERROR(INDEX('CAT_ACTIVIDADES'!$B$4:$B$8,MATCH($H26,'CAT_ACTIVIDADES'!$A$4:$A$8,0)),"(sin catálogo)"))</f>
        <v/>
      </c>
      <c r="AA26" s="13">
        <f>IF($J26="","",TODAY()-$J26)</f>
        <v/>
      </c>
      <c r="AB26" s="13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02</t>
        </is>
      </c>
      <c r="AF26" s="3">
        <f>IF($AE26="","",IF((IFERROR(INDEX('ASIGNACIONES'!$J$4:$J$451,MATCH($O26&amp;"|"&amp;$R26&amp;"|"&amp;$AE26,'ASIGNACIONES'!$N$4:$N$451,0)),""))=0,"",IFERROR(INDEX('ASIGNACIONES'!$J$4:$J$451,MATCH($O26&amp;"|"&amp;$R26&amp;"|"&amp;$AE26,'ASIGNACIONES'!$N$4:$N$451,0)),"")))</f>
        <v/>
      </c>
      <c r="AG26" s="14">
        <f>IF($AE26="","",SUMIFS('ORDENES'!$M$4:$M$1203,'ORDENES'!$AE$4:$AE$1203,$AE26,'ORDENES'!$O$4:$O$1203,$O26,'ORDENES'!$R$4:$R$1203,$R26))</f>
        <v/>
      </c>
      <c r="AH26" s="14">
        <f>IF($AG26="","",p_factor_productividad*IFERROR(INDEX('ASIGNACIONES'!$M$4:$M$451,MATCH($O26&amp;"|"&amp;$R26&amp;"|"&amp;$AE26,'ASIGNACIONES'!$N$4:$N$451,0)),0)-$AG26)</f>
        <v/>
      </c>
      <c r="AI26" s="11">
        <f>IF($A26="","",IFERROR(INDEX('2_IMPORTAR_EJECUCION'!$F$9:$F$1208,MATCH($AQ26,'2_IMPORTAR_EJECUCION'!$J$9:$J$1208,0)),0))</f>
        <v/>
      </c>
      <c r="AJ26" s="11">
        <f>IF($A26="","",MAX(0,IFERROR(INDEX('2_IMPORTAR_EJECUCION'!$H$9:$H$1208,MATCH($AQ26,'2_IMPORTAR_EJECUCION'!$J$9:$J$1208,0)),0)-$AI26))</f>
        <v/>
      </c>
      <c r="AK26" s="11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46226</v>
      </c>
      <c r="K27" s="3" t="n">
        <v>8</v>
      </c>
      <c r="L27" s="11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IF($H27="","",IFERROR(INDEX('CAT_ACTIVIDADES'!$B$4:$B$8,MATCH($H27,'CAT_ACTIVIDADES'!$A$4:$A$8,0)),"(sin catálogo)"))</f>
        <v/>
      </c>
      <c r="AA27" s="13">
        <f>IF($J27="","",TODAY()-$J27)</f>
        <v/>
      </c>
      <c r="AB27" s="13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IF($AE27="","",IF((IFERROR(INDEX('ASIGNACIONES'!$J$4:$J$451,MATCH($O27&amp;"|"&amp;$R27&amp;"|"&amp;$AE27,'ASIGNACIONES'!$N$4:$N$451,0)),""))=0,"",IFERROR(INDEX('ASIGNACIONES'!$J$4:$J$451,MATCH($O27&amp;"|"&amp;$R27&amp;"|"&amp;$AE27,'ASIGNACIONES'!$N$4:$N$451,0)),"")))</f>
        <v/>
      </c>
      <c r="AG27" s="14">
        <f>IF($AE27="","",SUMIFS('ORDENES'!$M$4:$M$1203,'ORDENES'!$AE$4:$AE$1203,$AE27,'ORDENES'!$O$4:$O$1203,$O27,'ORDENES'!$R$4:$R$1203,$R27))</f>
        <v/>
      </c>
      <c r="AH27" s="14">
        <f>IF($AG27="","",p_factor_productividad*IFERROR(INDEX('ASIGNACIONES'!$M$4:$M$451,MATCH($O27&amp;"|"&amp;$R27&amp;"|"&amp;$AE27,'ASIGNACIONES'!$N$4:$N$451,0)),0)-$AG27)</f>
        <v/>
      </c>
      <c r="AI27" s="11">
        <f>IF($A27="","",IFERROR(INDEX('2_IMPORTAR_EJECUCION'!$F$9:$F$1208,MATCH($AQ27,'2_IMPORTAR_EJECUCION'!$J$9:$J$1208,0)),0))</f>
        <v/>
      </c>
      <c r="AJ27" s="11">
        <f>IF($A27="","",MAX(0,IFERROR(INDEX('2_IMPORTAR_EJECUCION'!$H$9:$H$1208,MATCH($AQ27,'2_IMPORTAR_EJECUCION'!$J$9:$J$1208,0)),0)-$AI27))</f>
        <v/>
      </c>
      <c r="AK27" s="11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46227</v>
      </c>
      <c r="K28" s="3" t="n">
        <v>7</v>
      </c>
      <c r="L28" s="11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IF($H28="","",IFERROR(INDEX('CAT_ACTIVIDADES'!$B$4:$B$8,MATCH($H28,'CAT_ACTIVIDADES'!$A$4:$A$8,0)),"(sin catálogo)"))</f>
        <v/>
      </c>
      <c r="AA28" s="13">
        <f>IF($J28="","",TODAY()-$J28)</f>
        <v/>
      </c>
      <c r="AB28" s="13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04</t>
        </is>
      </c>
      <c r="AF28" s="3">
        <f>IF($AE28="","",IF((IFERROR(INDEX('ASIGNACIONES'!$J$4:$J$451,MATCH($O28&amp;"|"&amp;$R28&amp;"|"&amp;$AE28,'ASIGNACIONES'!$N$4:$N$451,0)),""))=0,"",IFERROR(INDEX('ASIGNACIONES'!$J$4:$J$451,MATCH($O28&amp;"|"&amp;$R28&amp;"|"&amp;$AE28,'ASIGNACIONES'!$N$4:$N$451,0)),"")))</f>
        <v/>
      </c>
      <c r="AG28" s="14">
        <f>IF($AE28="","",SUMIFS('ORDENES'!$M$4:$M$1203,'ORDENES'!$AE$4:$AE$1203,$AE28,'ORDENES'!$O$4:$O$1203,$O28,'ORDENES'!$R$4:$R$1203,$R28))</f>
        <v/>
      </c>
      <c r="AH28" s="14">
        <f>IF($AG28="","",p_factor_productividad*IFERROR(INDEX('ASIGNACIONES'!$M$4:$M$451,MATCH($O28&amp;"|"&amp;$R28&amp;"|"&amp;$AE28,'ASIGNACIONES'!$N$4:$N$451,0)),0)-$AG28)</f>
        <v/>
      </c>
      <c r="AI28" s="11">
        <f>IF($A28="","",IFERROR(INDEX('2_IMPORTAR_EJECUCION'!$F$9:$F$1208,MATCH($AQ28,'2_IMPORTAR_EJECUCION'!$J$9:$J$1208,0)),0))</f>
        <v/>
      </c>
      <c r="AJ28" s="11">
        <f>IF($A28="","",MAX(0,IFERROR(INDEX('2_IMPORTAR_EJECUCION'!$H$9:$H$1208,MATCH($AQ28,'2_IMPORTAR_EJECUCION'!$J$9:$J$1208,0)),0)-$AI28))</f>
        <v/>
      </c>
      <c r="AK28" s="11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46230</v>
      </c>
      <c r="K29" s="3" t="n">
        <v>10</v>
      </c>
      <c r="L29" s="11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IF($H29="","",IFERROR(INDEX('CAT_ACTIVIDADES'!$B$4:$B$8,MATCH($H29,'CAT_ACTIVIDADES'!$A$4:$A$8,0)),"(sin catálogo)"))</f>
        <v/>
      </c>
      <c r="AA29" s="13">
        <f>IF($J29="","",TODAY()-$J29)</f>
        <v/>
      </c>
      <c r="AB29" s="13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02</t>
        </is>
      </c>
      <c r="AF29" s="3">
        <f>IF($AE29="","",IF((IFERROR(INDEX('ASIGNACIONES'!$J$4:$J$451,MATCH($O29&amp;"|"&amp;$R29&amp;"|"&amp;$AE29,'ASIGNACIONES'!$N$4:$N$451,0)),""))=0,"",IFERROR(INDEX('ASIGNACIONES'!$J$4:$J$451,MATCH($O29&amp;"|"&amp;$R29&amp;"|"&amp;$AE29,'ASIGNACIONES'!$N$4:$N$451,0)),"")))</f>
        <v/>
      </c>
      <c r="AG29" s="14">
        <f>IF($AE29="","",SUMIFS('ORDENES'!$M$4:$M$1203,'ORDENES'!$AE$4:$AE$1203,$AE29,'ORDENES'!$O$4:$O$1203,$O29,'ORDENES'!$R$4:$R$1203,$R29))</f>
        <v/>
      </c>
      <c r="AH29" s="14">
        <f>IF($AG29="","",p_factor_productividad*IFERROR(INDEX('ASIGNACIONES'!$M$4:$M$451,MATCH($O29&amp;"|"&amp;$R29&amp;"|"&amp;$AE29,'ASIGNACIONES'!$N$4:$N$451,0)),0)-$AG29)</f>
        <v/>
      </c>
      <c r="AI29" s="11">
        <f>IF($A29="","",IFERROR(INDEX('2_IMPORTAR_EJECUCION'!$F$9:$F$1208,MATCH($AQ29,'2_IMPORTAR_EJECUCION'!$J$9:$J$1208,0)),0))</f>
        <v/>
      </c>
      <c r="AJ29" s="11">
        <f>IF($A29="","",MAX(0,IFERROR(INDEX('2_IMPORTAR_EJECUCION'!$H$9:$H$1208,MATCH($AQ29,'2_IMPORTAR_EJECUCION'!$J$9:$J$1208,0)),0)-$AI29))</f>
        <v/>
      </c>
      <c r="AK29" s="11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/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46231</v>
      </c>
      <c r="K30" s="3" t="n">
        <v>8</v>
      </c>
      <c r="L30" s="11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IF($H30="","",IFERROR(INDEX('CAT_ACTIVIDADES'!$B$4:$B$8,MATCH($H30,'CAT_ACTIVIDADES'!$A$4:$A$8,0)),"(sin catálogo)"))</f>
        <v/>
      </c>
      <c r="AA30" s="13">
        <f>IF($J30="","",TODAY()-$J30)</f>
        <v/>
      </c>
      <c r="AB30" s="13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IF($AE30="","",IF((IFERROR(INDEX('ASIGNACIONES'!$J$4:$J$451,MATCH($O30&amp;"|"&amp;$R30&amp;"|"&amp;$AE30,'ASIGNACIONES'!$N$4:$N$451,0)),""))=0,"",IFERROR(INDEX('ASIGNACIONES'!$J$4:$J$451,MATCH($O30&amp;"|"&amp;$R30&amp;"|"&amp;$AE30,'ASIGNACIONES'!$N$4:$N$451,0)),"")))</f>
        <v/>
      </c>
      <c r="AG30" s="14">
        <f>IF($AE30="","",SUMIFS('ORDENES'!$M$4:$M$1203,'ORDENES'!$AE$4:$AE$1203,$AE30,'ORDENES'!$O$4:$O$1203,$O30,'ORDENES'!$R$4:$R$1203,$R30))</f>
        <v/>
      </c>
      <c r="AH30" s="14">
        <f>IF($AG30="","",p_factor_productividad*IFERROR(INDEX('ASIGNACIONES'!$M$4:$M$451,MATCH($O30&amp;"|"&amp;$R30&amp;"|"&amp;$AE30,'ASIGNACIONES'!$N$4:$N$451,0)),0)-$AG30)</f>
        <v/>
      </c>
      <c r="AI30" s="11">
        <f>IF($A30="","",IFERROR(INDEX('2_IMPORTAR_EJECUCION'!$F$9:$F$1208,MATCH($AQ30,'2_IMPORTAR_EJECUCION'!$J$9:$J$1208,0)),0))</f>
        <v/>
      </c>
      <c r="AJ30" s="11">
        <f>IF($A30="","",MAX(0,IFERROR(INDEX('2_IMPORTAR_EJECUCION'!$H$9:$H$1208,MATCH($AQ30,'2_IMPORTAR_EJECUCION'!$J$9:$J$1208,0)),0)-$AI30))</f>
        <v/>
      </c>
      <c r="AK30" s="11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46232</v>
      </c>
      <c r="K31" s="3" t="n">
        <v>6</v>
      </c>
      <c r="L31" s="11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IF($H31="","",IFERROR(INDEX('CAT_ACTIVIDADES'!$B$4:$B$8,MATCH($H31,'CAT_ACTIVIDADES'!$A$4:$A$8,0)),"(sin catálogo)"))</f>
        <v/>
      </c>
      <c r="AA31" s="13">
        <f>IF($J31="","",TODAY()-$J31)</f>
        <v/>
      </c>
      <c r="AB31" s="13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/>
      <c r="AF31" s="3">
        <f>IF($AE31="","",IF((IFERROR(INDEX('ASIGNACIONES'!$J$4:$J$451,MATCH($O31&amp;"|"&amp;$R31&amp;"|"&amp;$AE31,'ASIGNACIONES'!$N$4:$N$451,0)),""))=0,"",IFERROR(INDEX('ASIGNACIONES'!$J$4:$J$451,MATCH($O31&amp;"|"&amp;$R31&amp;"|"&amp;$AE31,'ASIGNACIONES'!$N$4:$N$451,0)),"")))</f>
        <v/>
      </c>
      <c r="AG31" s="14">
        <f>IF($AE31="","",SUMIFS('ORDENES'!$M$4:$M$1203,'ORDENES'!$AE$4:$AE$1203,$AE31,'ORDENES'!$O$4:$O$1203,$O31,'ORDENES'!$R$4:$R$1203,$R31))</f>
        <v/>
      </c>
      <c r="AH31" s="14">
        <f>IF($AG31="","",p_factor_productividad*IFERROR(INDEX('ASIGNACIONES'!$M$4:$M$451,MATCH($O31&amp;"|"&amp;$R31&amp;"|"&amp;$AE31,'ASIGNACIONES'!$N$4:$N$451,0)),0)-$AG31)</f>
        <v/>
      </c>
      <c r="AI31" s="11">
        <f>IF($A31="","",IFERROR(INDEX('2_IMPORTAR_EJECUCION'!$F$9:$F$1208,MATCH($AQ31,'2_IMPORTAR_EJECUCION'!$J$9:$J$1208,0)),0))</f>
        <v/>
      </c>
      <c r="AJ31" s="11">
        <f>IF($A31="","",MAX(0,IFERROR(INDEX('2_IMPORTAR_EJECUCION'!$H$9:$H$1208,MATCH($AQ31,'2_IMPORTAR_EJECUCION'!$J$9:$J$1208,0)),0)-$AI31))</f>
        <v/>
      </c>
      <c r="AK31" s="11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46233</v>
      </c>
      <c r="K32" s="3" t="n">
        <v>10</v>
      </c>
      <c r="L32" s="11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IF($H32="","",IFERROR(INDEX('CAT_ACTIVIDADES'!$B$4:$B$8,MATCH($H32,'CAT_ACTIVIDADES'!$A$4:$A$8,0)),"(sin catálogo)"))</f>
        <v/>
      </c>
      <c r="AA32" s="13">
        <f>IF($J32="","",TODAY()-$J32)</f>
        <v/>
      </c>
      <c r="AB32" s="13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06</t>
        </is>
      </c>
      <c r="AF32" s="3">
        <f>IF($AE32="","",IF((IFERROR(INDEX('ASIGNACIONES'!$J$4:$J$451,MATCH($O32&amp;"|"&amp;$R32&amp;"|"&amp;$AE32,'ASIGNACIONES'!$N$4:$N$451,0)),""))=0,"",IFERROR(INDEX('ASIGNACIONES'!$J$4:$J$451,MATCH($O32&amp;"|"&amp;$R32&amp;"|"&amp;$AE32,'ASIGNACIONES'!$N$4:$N$451,0)),"")))</f>
        <v/>
      </c>
      <c r="AG32" s="14">
        <f>IF($AE32="","",SUMIFS('ORDENES'!$M$4:$M$1203,'ORDENES'!$AE$4:$AE$1203,$AE32,'ORDENES'!$O$4:$O$1203,$O32,'ORDENES'!$R$4:$R$1203,$R32))</f>
        <v/>
      </c>
      <c r="AH32" s="14">
        <f>IF($AG32="","",p_factor_productividad*IFERROR(INDEX('ASIGNACIONES'!$M$4:$M$451,MATCH($O32&amp;"|"&amp;$R32&amp;"|"&amp;$AE32,'ASIGNACIONES'!$N$4:$N$451,0)),0)-$AG32)</f>
        <v/>
      </c>
      <c r="AI32" s="11">
        <f>IF($A32="","",IFERROR(INDEX('2_IMPORTAR_EJECUCION'!$F$9:$F$1208,MATCH($AQ32,'2_IMPORTAR_EJECUCION'!$J$9:$J$1208,0)),0))</f>
        <v/>
      </c>
      <c r="AJ32" s="11">
        <f>IF($A32="","",MAX(0,IFERROR(INDEX('2_IMPORTAR_EJECUCION'!$H$9:$H$1208,MATCH($AQ32,'2_IMPORTAR_EJECUCION'!$J$9:$J$1208,0)),0)-$AI32))</f>
        <v/>
      </c>
      <c r="AK32" s="11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46234</v>
      </c>
      <c r="K33" s="3" t="n">
        <v>8</v>
      </c>
      <c r="L33" s="11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IF($H33="","",IFERROR(INDEX('CAT_ACTIVIDADES'!$B$4:$B$8,MATCH($H33,'CAT_ACTIVIDADES'!$A$4:$A$8,0)),"(sin catálogo)"))</f>
        <v/>
      </c>
      <c r="AA33" s="13">
        <f>IF($J33="","",TODAY()-$J33)</f>
        <v/>
      </c>
      <c r="AB33" s="13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07</t>
        </is>
      </c>
      <c r="AF33" s="3">
        <f>IF($AE33="","",IF((IFERROR(INDEX('ASIGNACIONES'!$J$4:$J$451,MATCH($O33&amp;"|"&amp;$R33&amp;"|"&amp;$AE33,'ASIGNACIONES'!$N$4:$N$451,0)),""))=0,"",IFERROR(INDEX('ASIGNACIONES'!$J$4:$J$451,MATCH($O33&amp;"|"&amp;$R33&amp;"|"&amp;$AE33,'ASIGNACIONES'!$N$4:$N$451,0)),"")))</f>
        <v/>
      </c>
      <c r="AG33" s="14">
        <f>IF($AE33="","",SUMIFS('ORDENES'!$M$4:$M$1203,'ORDENES'!$AE$4:$AE$1203,$AE33,'ORDENES'!$O$4:$O$1203,$O33,'ORDENES'!$R$4:$R$1203,$R33))</f>
        <v/>
      </c>
      <c r="AH33" s="14">
        <f>IF($AG33="","",p_factor_productividad*IFERROR(INDEX('ASIGNACIONES'!$M$4:$M$451,MATCH($O33&amp;"|"&amp;$R33&amp;"|"&amp;$AE33,'ASIGNACIONES'!$N$4:$N$451,0)),0)-$AG33)</f>
        <v/>
      </c>
      <c r="AI33" s="11">
        <f>IF($A33="","",IFERROR(INDEX('2_IMPORTAR_EJECUCION'!$F$9:$F$1208,MATCH($AQ33,'2_IMPORTAR_EJECUCION'!$J$9:$J$1208,0)),0))</f>
        <v/>
      </c>
      <c r="AJ33" s="11">
        <f>IF($A33="","",MAX(0,IFERROR(INDEX('2_IMPORTAR_EJECUCION'!$H$9:$H$1208,MATCH($AQ33,'2_IMPORTAR_EJECUCION'!$J$9:$J$1208,0)),0)-$AI33))</f>
        <v/>
      </c>
      <c r="AK33" s="11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46230</v>
      </c>
      <c r="K34" s="3" t="n">
        <v>6</v>
      </c>
      <c r="L34" s="11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IF($H34="","",IFERROR(INDEX('CAT_ACTIVIDADES'!$B$4:$B$8,MATCH($H34,'CAT_ACTIVIDADES'!$A$4:$A$8,0)),"(sin catálogo)"))</f>
        <v/>
      </c>
      <c r="AA34" s="13">
        <f>IF($J34="","",TODAY()-$J34)</f>
        <v/>
      </c>
      <c r="AB34" s="13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IF($AE34="","",IF((IFERROR(INDEX('ASIGNACIONES'!$J$4:$J$451,MATCH($O34&amp;"|"&amp;$R34&amp;"|"&amp;$AE34,'ASIGNACIONES'!$N$4:$N$451,0)),""))=0,"",IFERROR(INDEX('ASIGNACIONES'!$J$4:$J$451,MATCH($O34&amp;"|"&amp;$R34&amp;"|"&amp;$AE34,'ASIGNACIONES'!$N$4:$N$451,0)),"")))</f>
        <v/>
      </c>
      <c r="AG34" s="14">
        <f>IF($AE34="","",SUMIFS('ORDENES'!$M$4:$M$1203,'ORDENES'!$AE$4:$AE$1203,$AE34,'ORDENES'!$O$4:$O$1203,$O34,'ORDENES'!$R$4:$R$1203,$R34))</f>
        <v/>
      </c>
      <c r="AH34" s="14">
        <f>IF($AG34="","",p_factor_productividad*IFERROR(INDEX('ASIGNACIONES'!$M$4:$M$451,MATCH($O34&amp;"|"&amp;$R34&amp;"|"&amp;$AE34,'ASIGNACIONES'!$N$4:$N$451,0)),0)-$AG34)</f>
        <v/>
      </c>
      <c r="AI34" s="11">
        <f>IF($A34="","",IFERROR(INDEX('2_IMPORTAR_EJECUCION'!$F$9:$F$1208,MATCH($AQ34,'2_IMPORTAR_EJECUCION'!$J$9:$J$1208,0)),0))</f>
        <v/>
      </c>
      <c r="AJ34" s="11">
        <f>IF($A34="","",MAX(0,IFERROR(INDEX('2_IMPORTAR_EJECUCION'!$H$9:$H$1208,MATCH($AQ34,'2_IMPORTAR_EJECUCION'!$J$9:$J$1208,0)),0)-$AI34))</f>
        <v/>
      </c>
      <c r="AK34" s="11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46231</v>
      </c>
      <c r="K35" s="3" t="n">
        <v>10</v>
      </c>
      <c r="L35" s="11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IF($H35="","",IFERROR(INDEX('CAT_ACTIVIDADES'!$B$4:$B$8,MATCH($H35,'CAT_ACTIVIDADES'!$A$4:$A$8,0)),"(sin catálogo)"))</f>
        <v/>
      </c>
      <c r="AA35" s="13">
        <f>IF($J35="","",TODAY()-$J35)</f>
        <v/>
      </c>
      <c r="AB35" s="13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IF($AE35="","",IF((IFERROR(INDEX('ASIGNACIONES'!$J$4:$J$451,MATCH($O35&amp;"|"&amp;$R35&amp;"|"&amp;$AE35,'ASIGNACIONES'!$N$4:$N$451,0)),""))=0,"",IFERROR(INDEX('ASIGNACIONES'!$J$4:$J$451,MATCH($O35&amp;"|"&amp;$R35&amp;"|"&amp;$AE35,'ASIGNACIONES'!$N$4:$N$451,0)),"")))</f>
        <v/>
      </c>
      <c r="AG35" s="14">
        <f>IF($AE35="","",SUMIFS('ORDENES'!$M$4:$M$1203,'ORDENES'!$AE$4:$AE$1203,$AE35,'ORDENES'!$O$4:$O$1203,$O35,'ORDENES'!$R$4:$R$1203,$R35))</f>
        <v/>
      </c>
      <c r="AH35" s="14">
        <f>IF($AG35="","",p_factor_productividad*IFERROR(INDEX('ASIGNACIONES'!$M$4:$M$451,MATCH($O35&amp;"|"&amp;$R35&amp;"|"&amp;$AE35,'ASIGNACIONES'!$N$4:$N$451,0)),0)-$AG35)</f>
        <v/>
      </c>
      <c r="AI35" s="11">
        <f>IF($A35="","",IFERROR(INDEX('2_IMPORTAR_EJECUCION'!$F$9:$F$1208,MATCH($AQ35,'2_IMPORTAR_EJECUCION'!$J$9:$J$1208,0)),0))</f>
        <v/>
      </c>
      <c r="AJ35" s="11">
        <f>IF($A35="","",MAX(0,IFERROR(INDEX('2_IMPORTAR_EJECUCION'!$H$9:$H$1208,MATCH($AQ35,'2_IMPORTAR_EJECUCION'!$J$9:$J$1208,0)),0)-$AI35))</f>
        <v/>
      </c>
      <c r="AK35" s="11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46232</v>
      </c>
      <c r="K36" s="3" t="n">
        <v>8</v>
      </c>
      <c r="L36" s="11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IF($H36="","",IFERROR(INDEX('CAT_ACTIVIDADES'!$B$4:$B$8,MATCH($H36,'CAT_ACTIVIDADES'!$A$4:$A$8,0)),"(sin catálogo)"))</f>
        <v/>
      </c>
      <c r="AA36" s="13">
        <f>IF($J36="","",TODAY()-$J36)</f>
        <v/>
      </c>
      <c r="AB36" s="13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IF($AE36="","",IF((IFERROR(INDEX('ASIGNACIONES'!$J$4:$J$451,MATCH($O36&amp;"|"&amp;$R36&amp;"|"&amp;$AE36,'ASIGNACIONES'!$N$4:$N$451,0)),""))=0,"",IFERROR(INDEX('ASIGNACIONES'!$J$4:$J$451,MATCH($O36&amp;"|"&amp;$R36&amp;"|"&amp;$AE36,'ASIGNACIONES'!$N$4:$N$451,0)),"")))</f>
        <v/>
      </c>
      <c r="AG36" s="14">
        <f>IF($AE36="","",SUMIFS('ORDENES'!$M$4:$M$1203,'ORDENES'!$AE$4:$AE$1203,$AE36,'ORDENES'!$O$4:$O$1203,$O36,'ORDENES'!$R$4:$R$1203,$R36))</f>
        <v/>
      </c>
      <c r="AH36" s="14">
        <f>IF($AG36="","",p_factor_productividad*IFERROR(INDEX('ASIGNACIONES'!$M$4:$M$451,MATCH($O36&amp;"|"&amp;$R36&amp;"|"&amp;$AE36,'ASIGNACIONES'!$N$4:$N$451,0)),0)-$AG36)</f>
        <v/>
      </c>
      <c r="AI36" s="11">
        <f>IF($A36="","",IFERROR(INDEX('2_IMPORTAR_EJECUCION'!$F$9:$F$1208,MATCH($AQ36,'2_IMPORTAR_EJECUCION'!$J$9:$J$1208,0)),0))</f>
        <v/>
      </c>
      <c r="AJ36" s="11">
        <f>IF($A36="","",MAX(0,IFERROR(INDEX('2_IMPORTAR_EJECUCION'!$H$9:$H$1208,MATCH($AQ36,'2_IMPORTAR_EJECUCION'!$J$9:$J$1208,0)),0)-$AI36))</f>
        <v/>
      </c>
      <c r="AK36" s="11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46233</v>
      </c>
      <c r="K37" s="3" t="n">
        <v>6</v>
      </c>
      <c r="L37" s="11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IF($H37="","",IFERROR(INDEX('CAT_ACTIVIDADES'!$B$4:$B$8,MATCH($H37,'CAT_ACTIVIDADES'!$A$4:$A$8,0)),"(sin catálogo)"))</f>
        <v/>
      </c>
      <c r="AA37" s="13">
        <f>IF($J37="","",TODAY()-$J37)</f>
        <v/>
      </c>
      <c r="AB37" s="13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/>
      <c r="AF37" s="3">
        <f>IF($AE37="","",IF((IFERROR(INDEX('ASIGNACIONES'!$J$4:$J$451,MATCH($O37&amp;"|"&amp;$R37&amp;"|"&amp;$AE37,'ASIGNACIONES'!$N$4:$N$451,0)),""))=0,"",IFERROR(INDEX('ASIGNACIONES'!$J$4:$J$451,MATCH($O37&amp;"|"&amp;$R37&amp;"|"&amp;$AE37,'ASIGNACIONES'!$N$4:$N$451,0)),"")))</f>
        <v/>
      </c>
      <c r="AG37" s="14">
        <f>IF($AE37="","",SUMIFS('ORDENES'!$M$4:$M$1203,'ORDENES'!$AE$4:$AE$1203,$AE37,'ORDENES'!$O$4:$O$1203,$O37,'ORDENES'!$R$4:$R$1203,$R37))</f>
        <v/>
      </c>
      <c r="AH37" s="14">
        <f>IF($AG37="","",p_factor_productividad*IFERROR(INDEX('ASIGNACIONES'!$M$4:$M$451,MATCH($O37&amp;"|"&amp;$R37&amp;"|"&amp;$AE37,'ASIGNACIONES'!$N$4:$N$451,0)),0)-$AG37)</f>
        <v/>
      </c>
      <c r="AI37" s="11">
        <f>IF($A37="","",IFERROR(INDEX('2_IMPORTAR_EJECUCION'!$F$9:$F$1208,MATCH($AQ37,'2_IMPORTAR_EJECUCION'!$J$9:$J$1208,0)),0))</f>
        <v/>
      </c>
      <c r="AJ37" s="11">
        <f>IF($A37="","",MAX(0,IFERROR(INDEX('2_IMPORTAR_EJECUCION'!$H$9:$H$1208,MATCH($AQ37,'2_IMPORTAR_EJECUCION'!$J$9:$J$1208,0)),0)-$AI37))</f>
        <v/>
      </c>
      <c r="AK37" s="11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46234</v>
      </c>
      <c r="K38" s="3" t="n">
        <v>8</v>
      </c>
      <c r="L38" s="11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IF($H38="","",IFERROR(INDEX('CAT_ACTIVIDADES'!$B$4:$B$8,MATCH($H38,'CAT_ACTIVIDADES'!$A$4:$A$8,0)),"(sin catálogo)"))</f>
        <v/>
      </c>
      <c r="AA38" s="13">
        <f>IF($J38="","",TODAY()-$J38)</f>
        <v/>
      </c>
      <c r="AB38" s="13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06</t>
        </is>
      </c>
      <c r="AF38" s="3">
        <f>IF($AE38="","",IF((IFERROR(INDEX('ASIGNACIONES'!$J$4:$J$451,MATCH($O38&amp;"|"&amp;$R38&amp;"|"&amp;$AE38,'ASIGNACIONES'!$N$4:$N$451,0)),""))=0,"",IFERROR(INDEX('ASIGNACIONES'!$J$4:$J$451,MATCH($O38&amp;"|"&amp;$R38&amp;"|"&amp;$AE38,'ASIGNACIONES'!$N$4:$N$451,0)),"")))</f>
        <v/>
      </c>
      <c r="AG38" s="14">
        <f>IF($AE38="","",SUMIFS('ORDENES'!$M$4:$M$1203,'ORDENES'!$AE$4:$AE$1203,$AE38,'ORDENES'!$O$4:$O$1203,$O38,'ORDENES'!$R$4:$R$1203,$R38))</f>
        <v/>
      </c>
      <c r="AH38" s="14">
        <f>IF($AG38="","",p_factor_productividad*IFERROR(INDEX('ASIGNACIONES'!$M$4:$M$451,MATCH($O38&amp;"|"&amp;$R38&amp;"|"&amp;$AE38,'ASIGNACIONES'!$N$4:$N$451,0)),0)-$AG38)</f>
        <v/>
      </c>
      <c r="AI38" s="11">
        <f>IF($A38="","",IFERROR(INDEX('2_IMPORTAR_EJECUCION'!$F$9:$F$1208,MATCH($AQ38,'2_IMPORTAR_EJECUCION'!$J$9:$J$1208,0)),0))</f>
        <v/>
      </c>
      <c r="AJ38" s="11">
        <f>IF($A38="","",MAX(0,IFERROR(INDEX('2_IMPORTAR_EJECUCION'!$H$9:$H$1208,MATCH($AQ38,'2_IMPORTAR_EJECUCION'!$J$9:$J$1208,0)),0)-$AI38))</f>
        <v/>
      </c>
      <c r="AK38" s="11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46230</v>
      </c>
      <c r="K39" s="3" t="n">
        <v>10</v>
      </c>
      <c r="L39" s="11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IF($H39="","",IFERROR(INDEX('CAT_ACTIVIDADES'!$B$4:$B$8,MATCH($H39,'CAT_ACTIVIDADES'!$A$4:$A$8,0)),"(sin catálogo)"))</f>
        <v/>
      </c>
      <c r="AA39" s="13">
        <f>IF($J39="","",TODAY()-$J39)</f>
        <v/>
      </c>
      <c r="AB39" s="13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IF($AE39="","",IF((IFERROR(INDEX('ASIGNACIONES'!$J$4:$J$451,MATCH($O39&amp;"|"&amp;$R39&amp;"|"&amp;$AE39,'ASIGNACIONES'!$N$4:$N$451,0)),""))=0,"",IFERROR(INDEX('ASIGNACIONES'!$J$4:$J$451,MATCH($O39&amp;"|"&amp;$R39&amp;"|"&amp;$AE39,'ASIGNACIONES'!$N$4:$N$451,0)),"")))</f>
        <v/>
      </c>
      <c r="AG39" s="14">
        <f>IF($AE39="","",SUMIFS('ORDENES'!$M$4:$M$1203,'ORDENES'!$AE$4:$AE$1203,$AE39,'ORDENES'!$O$4:$O$1203,$O39,'ORDENES'!$R$4:$R$1203,$R39))</f>
        <v/>
      </c>
      <c r="AH39" s="14">
        <f>IF($AG39="","",p_factor_productividad*IFERROR(INDEX('ASIGNACIONES'!$M$4:$M$451,MATCH($O39&amp;"|"&amp;$R39&amp;"|"&amp;$AE39,'ASIGNACIONES'!$N$4:$N$451,0)),0)-$AG39)</f>
        <v/>
      </c>
      <c r="AI39" s="11">
        <f>IF($A39="","",IFERROR(INDEX('2_IMPORTAR_EJECUCION'!$F$9:$F$1208,MATCH($AQ39,'2_IMPORTAR_EJECUCION'!$J$9:$J$1208,0)),0))</f>
        <v/>
      </c>
      <c r="AJ39" s="11">
        <f>IF($A39="","",MAX(0,IFERROR(INDEX('2_IMPORTAR_EJECUCION'!$H$9:$H$1208,MATCH($AQ39,'2_IMPORTAR_EJECUCION'!$J$9:$J$1208,0)),0)-$AI39))</f>
        <v/>
      </c>
      <c r="AK39" s="11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46231</v>
      </c>
      <c r="K40" s="3" t="n">
        <v>10</v>
      </c>
      <c r="L40" s="11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IF($H40="","",IFERROR(INDEX('CAT_ACTIVIDADES'!$B$4:$B$8,MATCH($H40,'CAT_ACTIVIDADES'!$A$4:$A$8,0)),"(sin catálogo)"))</f>
        <v/>
      </c>
      <c r="AA40" s="13">
        <f>IF($J40="","",TODAY()-$J40)</f>
        <v/>
      </c>
      <c r="AB40" s="13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IF($AE40="","",IF((IFERROR(INDEX('ASIGNACIONES'!$J$4:$J$451,MATCH($O40&amp;"|"&amp;$R40&amp;"|"&amp;$AE40,'ASIGNACIONES'!$N$4:$N$451,0)),""))=0,"",IFERROR(INDEX('ASIGNACIONES'!$J$4:$J$451,MATCH($O40&amp;"|"&amp;$R40&amp;"|"&amp;$AE40,'ASIGNACIONES'!$N$4:$N$451,0)),"")))</f>
        <v/>
      </c>
      <c r="AG40" s="14">
        <f>IF($AE40="","",SUMIFS('ORDENES'!$M$4:$M$1203,'ORDENES'!$AE$4:$AE$1203,$AE40,'ORDENES'!$O$4:$O$1203,$O40,'ORDENES'!$R$4:$R$1203,$R40))</f>
        <v/>
      </c>
      <c r="AH40" s="14">
        <f>IF($AG40="","",p_factor_productividad*IFERROR(INDEX('ASIGNACIONES'!$M$4:$M$451,MATCH($O40&amp;"|"&amp;$R40&amp;"|"&amp;$AE40,'ASIGNACIONES'!$N$4:$N$451,0)),0)-$AG40)</f>
        <v/>
      </c>
      <c r="AI40" s="11">
        <f>IF($A40="","",IFERROR(INDEX('2_IMPORTAR_EJECUCION'!$F$9:$F$1208,MATCH($AQ40,'2_IMPORTAR_EJECUCION'!$J$9:$J$1208,0)),0))</f>
        <v/>
      </c>
      <c r="AJ40" s="11">
        <f>IF($A40="","",MAX(0,IFERROR(INDEX('2_IMPORTAR_EJECUCION'!$H$9:$H$1208,MATCH($AQ40,'2_IMPORTAR_EJECUCION'!$J$9:$J$1208,0)),0)-$AI40))</f>
        <v/>
      </c>
      <c r="AK40" s="11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46239</v>
      </c>
      <c r="K41" s="3" t="n">
        <v>10</v>
      </c>
      <c r="L41" s="11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IF($H41="","",IFERROR(INDEX('CAT_ACTIVIDADES'!$B$4:$B$8,MATCH($H41,'CAT_ACTIVIDADES'!$A$4:$A$8,0)),"(sin catálogo)"))</f>
        <v/>
      </c>
      <c r="AA41" s="13">
        <f>IF($J41="","",TODAY()-$J41)</f>
        <v/>
      </c>
      <c r="AB41" s="13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03</t>
        </is>
      </c>
      <c r="AF41" s="3">
        <f>IF($AE41="","",IF((IFERROR(INDEX('ASIGNACIONES'!$J$4:$J$451,MATCH($O41&amp;"|"&amp;$R41&amp;"|"&amp;$AE41,'ASIGNACIONES'!$N$4:$N$451,0)),""))=0,"",IFERROR(INDEX('ASIGNACIONES'!$J$4:$J$451,MATCH($O41&amp;"|"&amp;$R41&amp;"|"&amp;$AE41,'ASIGNACIONES'!$N$4:$N$451,0)),"")))</f>
        <v/>
      </c>
      <c r="AG41" s="14">
        <f>IF($AE41="","",SUMIFS('ORDENES'!$M$4:$M$1203,'ORDENES'!$AE$4:$AE$1203,$AE41,'ORDENES'!$O$4:$O$1203,$O41,'ORDENES'!$R$4:$R$1203,$R41))</f>
        <v/>
      </c>
      <c r="AH41" s="14">
        <f>IF($AG41="","",p_factor_productividad*IFERROR(INDEX('ASIGNACIONES'!$M$4:$M$451,MATCH($O41&amp;"|"&amp;$R41&amp;"|"&amp;$AE41,'ASIGNACIONES'!$N$4:$N$451,0)),0)-$AG41)</f>
        <v/>
      </c>
      <c r="AI41" s="11">
        <f>IF($A41="","",IFERROR(INDEX('2_IMPORTAR_EJECUCION'!$F$9:$F$1208,MATCH($AQ41,'2_IMPORTAR_EJECUCION'!$J$9:$J$1208,0)),0))</f>
        <v/>
      </c>
      <c r="AJ41" s="11">
        <f>IF($A41="","",MAX(0,IFERROR(INDEX('2_IMPORTAR_EJECUCION'!$H$9:$H$1208,MATCH($AQ41,'2_IMPORTAR_EJECUCION'!$J$9:$J$1208,0)),0)-$AI41))</f>
        <v/>
      </c>
      <c r="AK41" s="11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46240</v>
      </c>
      <c r="K42" s="3" t="n">
        <v>8</v>
      </c>
      <c r="L42" s="11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IF($H42="","",IFERROR(INDEX('CAT_ACTIVIDADES'!$B$4:$B$8,MATCH($H42,'CAT_ACTIVIDADES'!$A$4:$A$8,0)),"(sin catálogo)"))</f>
        <v/>
      </c>
      <c r="AA42" s="13">
        <f>IF($J42="","",TODAY()-$J42)</f>
        <v/>
      </c>
      <c r="AB42" s="13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04</t>
        </is>
      </c>
      <c r="AF42" s="3">
        <f>IF($AE42="","",IF((IFERROR(INDEX('ASIGNACIONES'!$J$4:$J$451,MATCH($O42&amp;"|"&amp;$R42&amp;"|"&amp;$AE42,'ASIGNACIONES'!$N$4:$N$451,0)),""))=0,"",IFERROR(INDEX('ASIGNACIONES'!$J$4:$J$451,MATCH($O42&amp;"|"&amp;$R42&amp;"|"&amp;$AE42,'ASIGNACIONES'!$N$4:$N$451,0)),"")))</f>
        <v/>
      </c>
      <c r="AG42" s="14">
        <f>IF($AE42="","",SUMIFS('ORDENES'!$M$4:$M$1203,'ORDENES'!$AE$4:$AE$1203,$AE42,'ORDENES'!$O$4:$O$1203,$O42,'ORDENES'!$R$4:$R$1203,$R42))</f>
        <v/>
      </c>
      <c r="AH42" s="14">
        <f>IF($AG42="","",p_factor_productividad*IFERROR(INDEX('ASIGNACIONES'!$M$4:$M$451,MATCH($O42&amp;"|"&amp;$R42&amp;"|"&amp;$AE42,'ASIGNACIONES'!$N$4:$N$451,0)),0)-$AG42)</f>
        <v/>
      </c>
      <c r="AI42" s="11">
        <f>IF($A42="","",IFERROR(INDEX('2_IMPORTAR_EJECUCION'!$F$9:$F$1208,MATCH($AQ42,'2_IMPORTAR_EJECUCION'!$J$9:$J$1208,0)),0))</f>
        <v/>
      </c>
      <c r="AJ42" s="11">
        <f>IF($A42="","",MAX(0,IFERROR(INDEX('2_IMPORTAR_EJECUCION'!$H$9:$H$1208,MATCH($AQ42,'2_IMPORTAR_EJECUCION'!$J$9:$J$1208,0)),0)-$AI42))</f>
        <v/>
      </c>
      <c r="AK42" s="11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46241</v>
      </c>
      <c r="K43" s="3" t="n">
        <v>6</v>
      </c>
      <c r="L43" s="11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IF($H43="","",IFERROR(INDEX('CAT_ACTIVIDADES'!$B$4:$B$8,MATCH($H43,'CAT_ACTIVIDADES'!$A$4:$A$8,0)),"(sin catálogo)"))</f>
        <v/>
      </c>
      <c r="AA43" s="13">
        <f>IF($J43="","",TODAY()-$J43)</f>
        <v/>
      </c>
      <c r="AB43" s="13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/>
      <c r="AF43" s="3">
        <f>IF($AE43="","",IF((IFERROR(INDEX('ASIGNACIONES'!$J$4:$J$451,MATCH($O43&amp;"|"&amp;$R43&amp;"|"&amp;$AE43,'ASIGNACIONES'!$N$4:$N$451,0)),""))=0,"",IFERROR(INDEX('ASIGNACIONES'!$J$4:$J$451,MATCH($O43&amp;"|"&amp;$R43&amp;"|"&amp;$AE43,'ASIGNACIONES'!$N$4:$N$451,0)),"")))</f>
        <v/>
      </c>
      <c r="AG43" s="14">
        <f>IF($AE43="","",SUMIFS('ORDENES'!$M$4:$M$1203,'ORDENES'!$AE$4:$AE$1203,$AE43,'ORDENES'!$O$4:$O$1203,$O43,'ORDENES'!$R$4:$R$1203,$R43))</f>
        <v/>
      </c>
      <c r="AH43" s="14">
        <f>IF($AG43="","",p_factor_productividad*IFERROR(INDEX('ASIGNACIONES'!$M$4:$M$451,MATCH($O43&amp;"|"&amp;$R43&amp;"|"&amp;$AE43,'ASIGNACIONES'!$N$4:$N$451,0)),0)-$AG43)</f>
        <v/>
      </c>
      <c r="AI43" s="11">
        <f>IF($A43="","",IFERROR(INDEX('2_IMPORTAR_EJECUCION'!$F$9:$F$1208,MATCH($AQ43,'2_IMPORTAR_EJECUCION'!$J$9:$J$1208,0)),0))</f>
        <v/>
      </c>
      <c r="AJ43" s="11">
        <f>IF($A43="","",MAX(0,IFERROR(INDEX('2_IMPORTAR_EJECUCION'!$H$9:$H$1208,MATCH($AQ43,'2_IMPORTAR_EJECUCION'!$J$9:$J$1208,0)),0)-$AI43))</f>
        <v/>
      </c>
      <c r="AK43" s="11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46237</v>
      </c>
      <c r="K44" s="3" t="n">
        <v>10</v>
      </c>
      <c r="L44" s="11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IF($H44="","",IFERROR(INDEX('CAT_ACTIVIDADES'!$B$4:$B$8,MATCH($H44,'CAT_ACTIVIDADES'!$A$4:$A$8,0)),"(sin catálogo)"))</f>
        <v/>
      </c>
      <c r="AA44" s="13">
        <f>IF($J44="","",TODAY()-$J44)</f>
        <v/>
      </c>
      <c r="AB44" s="13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06</t>
        </is>
      </c>
      <c r="AF44" s="3">
        <f>IF($AE44="","",IF((IFERROR(INDEX('ASIGNACIONES'!$J$4:$J$451,MATCH($O44&amp;"|"&amp;$R44&amp;"|"&amp;$AE44,'ASIGNACIONES'!$N$4:$N$451,0)),""))=0,"",IFERROR(INDEX('ASIGNACIONES'!$J$4:$J$451,MATCH($O44&amp;"|"&amp;$R44&amp;"|"&amp;$AE44,'ASIGNACIONES'!$N$4:$N$451,0)),"")))</f>
        <v/>
      </c>
      <c r="AG44" s="14">
        <f>IF($AE44="","",SUMIFS('ORDENES'!$M$4:$M$1203,'ORDENES'!$AE$4:$AE$1203,$AE44,'ORDENES'!$O$4:$O$1203,$O44,'ORDENES'!$R$4:$R$1203,$R44))</f>
        <v/>
      </c>
      <c r="AH44" s="14">
        <f>IF($AG44="","",p_factor_productividad*IFERROR(INDEX('ASIGNACIONES'!$M$4:$M$451,MATCH($O44&amp;"|"&amp;$R44&amp;"|"&amp;$AE44,'ASIGNACIONES'!$N$4:$N$451,0)),0)-$AG44)</f>
        <v/>
      </c>
      <c r="AI44" s="11">
        <f>IF($A44="","",IFERROR(INDEX('2_IMPORTAR_EJECUCION'!$F$9:$F$1208,MATCH($AQ44,'2_IMPORTAR_EJECUCION'!$J$9:$J$1208,0)),0))</f>
        <v/>
      </c>
      <c r="AJ44" s="11">
        <f>IF($A44="","",MAX(0,IFERROR(INDEX('2_IMPORTAR_EJECUCION'!$H$9:$H$1208,MATCH($AQ44,'2_IMPORTAR_EJECUCION'!$J$9:$J$1208,0)),0)-$AI44))</f>
        <v/>
      </c>
      <c r="AK44" s="11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46238</v>
      </c>
      <c r="K45" s="3" t="n">
        <v>8</v>
      </c>
      <c r="L45" s="11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IF($H45="","",IFERROR(INDEX('CAT_ACTIVIDADES'!$B$4:$B$8,MATCH($H45,'CAT_ACTIVIDADES'!$A$4:$A$8,0)),"(sin catálogo)"))</f>
        <v/>
      </c>
      <c r="AA45" s="13">
        <f>IF($J45="","",TODAY()-$J45)</f>
        <v/>
      </c>
      <c r="AB45" s="13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07</t>
        </is>
      </c>
      <c r="AF45" s="3">
        <f>IF($AE45="","",IF((IFERROR(INDEX('ASIGNACIONES'!$J$4:$J$451,MATCH($O45&amp;"|"&amp;$R45&amp;"|"&amp;$AE45,'ASIGNACIONES'!$N$4:$N$451,0)),""))=0,"",IFERROR(INDEX('ASIGNACIONES'!$J$4:$J$451,MATCH($O45&amp;"|"&amp;$R45&amp;"|"&amp;$AE45,'ASIGNACIONES'!$N$4:$N$451,0)),"")))</f>
        <v/>
      </c>
      <c r="AG45" s="14">
        <f>IF($AE45="","",SUMIFS('ORDENES'!$M$4:$M$1203,'ORDENES'!$AE$4:$AE$1203,$AE45,'ORDENES'!$O$4:$O$1203,$O45,'ORDENES'!$R$4:$R$1203,$R45))</f>
        <v/>
      </c>
      <c r="AH45" s="14">
        <f>IF($AG45="","",p_factor_productividad*IFERROR(INDEX('ASIGNACIONES'!$M$4:$M$451,MATCH($O45&amp;"|"&amp;$R45&amp;"|"&amp;$AE45,'ASIGNACIONES'!$N$4:$N$451,0)),0)-$AG45)</f>
        <v/>
      </c>
      <c r="AI45" s="11">
        <f>IF($A45="","",IFERROR(INDEX('2_IMPORTAR_EJECUCION'!$F$9:$F$1208,MATCH($AQ45,'2_IMPORTAR_EJECUCION'!$J$9:$J$1208,0)),0))</f>
        <v/>
      </c>
      <c r="AJ45" s="11">
        <f>IF($A45="","",MAX(0,IFERROR(INDEX('2_IMPORTAR_EJECUCION'!$H$9:$H$1208,MATCH($AQ45,'2_IMPORTAR_EJECUCION'!$J$9:$J$1208,0)),0)-$AI45))</f>
        <v/>
      </c>
      <c r="AK45" s="11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46239</v>
      </c>
      <c r="K46" s="3" t="n">
        <v>6</v>
      </c>
      <c r="L46" s="11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IF($H46="","",IFERROR(INDEX('CAT_ACTIVIDADES'!$B$4:$B$8,MATCH($H46,'CAT_ACTIVIDADES'!$A$4:$A$8,0)),"(sin catálogo)"))</f>
        <v/>
      </c>
      <c r="AA46" s="13">
        <f>IF($J46="","",TODAY()-$J46)</f>
        <v/>
      </c>
      <c r="AB46" s="13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01</t>
        </is>
      </c>
      <c r="AF46" s="3">
        <f>IF($AE46="","",IF((IFERROR(INDEX('ASIGNACIONES'!$J$4:$J$451,MATCH($O46&amp;"|"&amp;$R46&amp;"|"&amp;$AE46,'ASIGNACIONES'!$N$4:$N$451,0)),""))=0,"",IFERROR(INDEX('ASIGNACIONES'!$J$4:$J$451,MATCH($O46&amp;"|"&amp;$R46&amp;"|"&amp;$AE46,'ASIGNACIONES'!$N$4:$N$451,0)),"")))</f>
        <v/>
      </c>
      <c r="AG46" s="14">
        <f>IF($AE46="","",SUMIFS('ORDENES'!$M$4:$M$1203,'ORDENES'!$AE$4:$AE$1203,$AE46,'ORDENES'!$O$4:$O$1203,$O46,'ORDENES'!$R$4:$R$1203,$R46))</f>
        <v/>
      </c>
      <c r="AH46" s="14">
        <f>IF($AG46="","",p_factor_productividad*IFERROR(INDEX('ASIGNACIONES'!$M$4:$M$451,MATCH($O46&amp;"|"&amp;$R46&amp;"|"&amp;$AE46,'ASIGNACIONES'!$N$4:$N$451,0)),0)-$AG46)</f>
        <v/>
      </c>
      <c r="AI46" s="11">
        <f>IF($A46="","",IFERROR(INDEX('2_IMPORTAR_EJECUCION'!$F$9:$F$1208,MATCH($AQ46,'2_IMPORTAR_EJECUCION'!$J$9:$J$1208,0)),0))</f>
        <v/>
      </c>
      <c r="AJ46" s="11">
        <f>IF($A46="","",MAX(0,IFERROR(INDEX('2_IMPORTAR_EJECUCION'!$H$9:$H$1208,MATCH($AQ46,'2_IMPORTAR_EJECUCION'!$J$9:$J$1208,0)),0)-$AI46))</f>
        <v/>
      </c>
      <c r="AK46" s="11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46240</v>
      </c>
      <c r="K47" s="3" t="n">
        <v>10</v>
      </c>
      <c r="L47" s="11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IF($H47="","",IFERROR(INDEX('CAT_ACTIVIDADES'!$B$4:$B$8,MATCH($H47,'CAT_ACTIVIDADES'!$A$4:$A$8,0)),"(sin catálogo)"))</f>
        <v/>
      </c>
      <c r="AA47" s="13">
        <f>IF($J47="","",TODAY()-$J47)</f>
        <v/>
      </c>
      <c r="AB47" s="13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02</t>
        </is>
      </c>
      <c r="AF47" s="3">
        <f>IF($AE47="","",IF((IFERROR(INDEX('ASIGNACIONES'!$J$4:$J$451,MATCH($O47&amp;"|"&amp;$R47&amp;"|"&amp;$AE47,'ASIGNACIONES'!$N$4:$N$451,0)),""))=0,"",IFERROR(INDEX('ASIGNACIONES'!$J$4:$J$451,MATCH($O47&amp;"|"&amp;$R47&amp;"|"&amp;$AE47,'ASIGNACIONES'!$N$4:$N$451,0)),"")))</f>
        <v/>
      </c>
      <c r="AG47" s="14">
        <f>IF($AE47="","",SUMIFS('ORDENES'!$M$4:$M$1203,'ORDENES'!$AE$4:$AE$1203,$AE47,'ORDENES'!$O$4:$O$1203,$O47,'ORDENES'!$R$4:$R$1203,$R47))</f>
        <v/>
      </c>
      <c r="AH47" s="14">
        <f>IF($AG47="","",p_factor_productividad*IFERROR(INDEX('ASIGNACIONES'!$M$4:$M$451,MATCH($O47&amp;"|"&amp;$R47&amp;"|"&amp;$AE47,'ASIGNACIONES'!$N$4:$N$451,0)),0)-$AG47)</f>
        <v/>
      </c>
      <c r="AI47" s="11">
        <f>IF($A47="","",IFERROR(INDEX('2_IMPORTAR_EJECUCION'!$F$9:$F$1208,MATCH($AQ47,'2_IMPORTAR_EJECUCION'!$J$9:$J$1208,0)),0))</f>
        <v/>
      </c>
      <c r="AJ47" s="11">
        <f>IF($A47="","",MAX(0,IFERROR(INDEX('2_IMPORTAR_EJECUCION'!$H$9:$H$1208,MATCH($AQ47,'2_IMPORTAR_EJECUCION'!$J$9:$J$1208,0)),0)-$AI47))</f>
        <v/>
      </c>
      <c r="AK47" s="11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46241</v>
      </c>
      <c r="K48" s="3" t="n">
        <v>8</v>
      </c>
      <c r="L48" s="11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IF($H48="","",IFERROR(INDEX('CAT_ACTIVIDADES'!$B$4:$B$8,MATCH($H48,'CAT_ACTIVIDADES'!$A$4:$A$8,0)),"(sin catálogo)"))</f>
        <v/>
      </c>
      <c r="AA48" s="13">
        <f>IF($J48="","",TODAY()-$J48)</f>
        <v/>
      </c>
      <c r="AB48" s="13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03</t>
        </is>
      </c>
      <c r="AF48" s="3">
        <f>IF($AE48="","",IF((IFERROR(INDEX('ASIGNACIONES'!$J$4:$J$451,MATCH($O48&amp;"|"&amp;$R48&amp;"|"&amp;$AE48,'ASIGNACIONES'!$N$4:$N$451,0)),""))=0,"",IFERROR(INDEX('ASIGNACIONES'!$J$4:$J$451,MATCH($O48&amp;"|"&amp;$R48&amp;"|"&amp;$AE48,'ASIGNACIONES'!$N$4:$N$451,0)),"")))</f>
        <v/>
      </c>
      <c r="AG48" s="14">
        <f>IF($AE48="","",SUMIFS('ORDENES'!$M$4:$M$1203,'ORDENES'!$AE$4:$AE$1203,$AE48,'ORDENES'!$O$4:$O$1203,$O48,'ORDENES'!$R$4:$R$1203,$R48))</f>
        <v/>
      </c>
      <c r="AH48" s="14">
        <f>IF($AG48="","",p_factor_productividad*IFERROR(INDEX('ASIGNACIONES'!$M$4:$M$451,MATCH($O48&amp;"|"&amp;$R48&amp;"|"&amp;$AE48,'ASIGNACIONES'!$N$4:$N$451,0)),0)-$AG48)</f>
        <v/>
      </c>
      <c r="AI48" s="11">
        <f>IF($A48="","",IFERROR(INDEX('2_IMPORTAR_EJECUCION'!$F$9:$F$1208,MATCH($AQ48,'2_IMPORTAR_EJECUCION'!$J$9:$J$1208,0)),0))</f>
        <v/>
      </c>
      <c r="AJ48" s="11">
        <f>IF($A48="","",MAX(0,IFERROR(INDEX('2_IMPORTAR_EJECUCION'!$H$9:$H$1208,MATCH($AQ48,'2_IMPORTAR_EJECUCION'!$J$9:$J$1208,0)),0)-$AI48))</f>
        <v/>
      </c>
      <c r="AK48" s="11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46237</v>
      </c>
      <c r="K49" s="3" t="n">
        <v>4</v>
      </c>
      <c r="L49" s="11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IF($H49="","",IFERROR(INDEX('CAT_ACTIVIDADES'!$B$4:$B$8,MATCH($H49,'CAT_ACTIVIDADES'!$A$4:$A$8,0)),"(sin catálogo)"))</f>
        <v/>
      </c>
      <c r="AA49" s="13">
        <f>IF($J49="","",TODAY()-$J49)</f>
        <v/>
      </c>
      <c r="AB49" s="13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04</t>
        </is>
      </c>
      <c r="AF49" s="3">
        <f>IF($AE49="","",IF((IFERROR(INDEX('ASIGNACIONES'!$J$4:$J$451,MATCH($O49&amp;"|"&amp;$R49&amp;"|"&amp;$AE49,'ASIGNACIONES'!$N$4:$N$451,0)),""))=0,"",IFERROR(INDEX('ASIGNACIONES'!$J$4:$J$451,MATCH($O49&amp;"|"&amp;$R49&amp;"|"&amp;$AE49,'ASIGNACIONES'!$N$4:$N$451,0)),"")))</f>
        <v/>
      </c>
      <c r="AG49" s="14">
        <f>IF($AE49="","",SUMIFS('ORDENES'!$M$4:$M$1203,'ORDENES'!$AE$4:$AE$1203,$AE49,'ORDENES'!$O$4:$O$1203,$O49,'ORDENES'!$R$4:$R$1203,$R49))</f>
        <v/>
      </c>
      <c r="AH49" s="14">
        <f>IF($AG49="","",p_factor_productividad*IFERROR(INDEX('ASIGNACIONES'!$M$4:$M$451,MATCH($O49&amp;"|"&amp;$R49&amp;"|"&amp;$AE49,'ASIGNACIONES'!$N$4:$N$451,0)),0)-$AG49)</f>
        <v/>
      </c>
      <c r="AI49" s="11">
        <f>IF($A49="","",IFERROR(INDEX('2_IMPORTAR_EJECUCION'!$F$9:$F$1208,MATCH($AQ49,'2_IMPORTAR_EJECUCION'!$J$9:$J$1208,0)),0))</f>
        <v/>
      </c>
      <c r="AJ49" s="11">
        <f>IF($A49="","",MAX(0,IFERROR(INDEX('2_IMPORTAR_EJECUCION'!$H$9:$H$1208,MATCH($AQ49,'2_IMPORTAR_EJECUCION'!$J$9:$J$1208,0)),0)-$AI49))</f>
        <v/>
      </c>
      <c r="AK49" s="11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46238</v>
      </c>
      <c r="K50" s="3" t="n">
        <v>10</v>
      </c>
      <c r="L50" s="11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IF($H50="","",IFERROR(INDEX('CAT_ACTIVIDADES'!$B$4:$B$8,MATCH($H50,'CAT_ACTIVIDADES'!$A$4:$A$8,0)),"(sin catálogo)"))</f>
        <v/>
      </c>
      <c r="AA50" s="13">
        <f>IF($J50="","",TODAY()-$J50)</f>
        <v/>
      </c>
      <c r="AB50" s="13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/>
      <c r="AF50" s="3">
        <f>IF($AE50="","",IF((IFERROR(INDEX('ASIGNACIONES'!$J$4:$J$451,MATCH($O50&amp;"|"&amp;$R50&amp;"|"&amp;$AE50,'ASIGNACIONES'!$N$4:$N$451,0)),""))=0,"",IFERROR(INDEX('ASIGNACIONES'!$J$4:$J$451,MATCH($O50&amp;"|"&amp;$R50&amp;"|"&amp;$AE50,'ASIGNACIONES'!$N$4:$N$451,0)),"")))</f>
        <v/>
      </c>
      <c r="AG50" s="14">
        <f>IF($AE50="","",SUMIFS('ORDENES'!$M$4:$M$1203,'ORDENES'!$AE$4:$AE$1203,$AE50,'ORDENES'!$O$4:$O$1203,$O50,'ORDENES'!$R$4:$R$1203,$R50))</f>
        <v/>
      </c>
      <c r="AH50" s="14">
        <f>IF($AG50="","",p_factor_productividad*IFERROR(INDEX('ASIGNACIONES'!$M$4:$M$451,MATCH($O50&amp;"|"&amp;$R50&amp;"|"&amp;$AE50,'ASIGNACIONES'!$N$4:$N$451,0)),0)-$AG50)</f>
        <v/>
      </c>
      <c r="AI50" s="11">
        <f>IF($A50="","",IFERROR(INDEX('2_IMPORTAR_EJECUCION'!$F$9:$F$1208,MATCH($AQ50,'2_IMPORTAR_EJECUCION'!$J$9:$J$1208,0)),0))</f>
        <v/>
      </c>
      <c r="AJ50" s="11">
        <f>IF($A50="","",MAX(0,IFERROR(INDEX('2_IMPORTAR_EJECUCION'!$H$9:$H$1208,MATCH($AQ50,'2_IMPORTAR_EJECUCION'!$J$9:$J$1208,0)),0)-$AI50))</f>
        <v/>
      </c>
      <c r="AK50" s="11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46239</v>
      </c>
      <c r="K51" s="3" t="n">
        <v>4</v>
      </c>
      <c r="L51" s="11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IF($H51="","",IFERROR(INDEX('CAT_ACTIVIDADES'!$B$4:$B$8,MATCH($H51,'CAT_ACTIVIDADES'!$A$4:$A$8,0)),"(sin catálogo)"))</f>
        <v/>
      </c>
      <c r="AA51" s="13">
        <f>IF($J51="","",TODAY()-$J51)</f>
        <v/>
      </c>
      <c r="AB51" s="13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IF($AE51="","",IF((IFERROR(INDEX('ASIGNACIONES'!$J$4:$J$451,MATCH($O51&amp;"|"&amp;$R51&amp;"|"&amp;$AE51,'ASIGNACIONES'!$N$4:$N$451,0)),""))=0,"",IFERROR(INDEX('ASIGNACIONES'!$J$4:$J$451,MATCH($O51&amp;"|"&amp;$R51&amp;"|"&amp;$AE51,'ASIGNACIONES'!$N$4:$N$451,0)),"")))</f>
        <v/>
      </c>
      <c r="AG51" s="14">
        <f>IF($AE51="","",SUMIFS('ORDENES'!$M$4:$M$1203,'ORDENES'!$AE$4:$AE$1203,$AE51,'ORDENES'!$O$4:$O$1203,$O51,'ORDENES'!$R$4:$R$1203,$R51))</f>
        <v/>
      </c>
      <c r="AH51" s="14">
        <f>IF($AG51="","",p_factor_productividad*IFERROR(INDEX('ASIGNACIONES'!$M$4:$M$451,MATCH($O51&amp;"|"&amp;$R51&amp;"|"&amp;$AE51,'ASIGNACIONES'!$N$4:$N$451,0)),0)-$AG51)</f>
        <v/>
      </c>
      <c r="AI51" s="11">
        <f>IF($A51="","",IFERROR(INDEX('2_IMPORTAR_EJECUCION'!$F$9:$F$1208,MATCH($AQ51,'2_IMPORTAR_EJECUCION'!$J$9:$J$1208,0)),0))</f>
        <v/>
      </c>
      <c r="AJ51" s="11">
        <f>IF($A51="","",MAX(0,IFERROR(INDEX('2_IMPORTAR_EJECUCION'!$H$9:$H$1208,MATCH($AQ51,'2_IMPORTAR_EJECUCION'!$J$9:$J$1208,0)),0)-$AI51))</f>
        <v/>
      </c>
      <c r="AK51" s="11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46219</v>
      </c>
      <c r="K52" s="3" t="n">
        <v>10</v>
      </c>
      <c r="L52" s="11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IF($H52="","",IFERROR(INDEX('CAT_ACTIVIDADES'!$B$4:$B$8,MATCH($H52,'CAT_ACTIVIDADES'!$A$4:$A$8,0)),"(sin catálogo)"))</f>
        <v/>
      </c>
      <c r="AA52" s="13">
        <f>IF($J52="","",TODAY()-$J52)</f>
        <v/>
      </c>
      <c r="AB52" s="13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14</t>
        </is>
      </c>
      <c r="AF52" s="3">
        <f>IF($AE52="","",IF((IFERROR(INDEX('ASIGNACIONES'!$J$4:$J$451,MATCH($O52&amp;"|"&amp;$R52&amp;"|"&amp;$AE52,'ASIGNACIONES'!$N$4:$N$451,0)),""))=0,"",IFERROR(INDEX('ASIGNACIONES'!$J$4:$J$451,MATCH($O52&amp;"|"&amp;$R52&amp;"|"&amp;$AE52,'ASIGNACIONES'!$N$4:$N$451,0)),"")))</f>
        <v/>
      </c>
      <c r="AG52" s="14">
        <f>IF($AE52="","",SUMIFS('ORDENES'!$M$4:$M$1203,'ORDENES'!$AE$4:$AE$1203,$AE52,'ORDENES'!$O$4:$O$1203,$O52,'ORDENES'!$R$4:$R$1203,$R52))</f>
        <v/>
      </c>
      <c r="AH52" s="14">
        <f>IF($AG52="","",p_factor_productividad*IFERROR(INDEX('ASIGNACIONES'!$M$4:$M$451,MATCH($O52&amp;"|"&amp;$R52&amp;"|"&amp;$AE52,'ASIGNACIONES'!$N$4:$N$451,0)),0)-$AG52)</f>
        <v/>
      </c>
      <c r="AI52" s="11">
        <f>IF($A52="","",IFERROR(INDEX('2_IMPORTAR_EJECUCION'!$F$9:$F$1208,MATCH($AQ52,'2_IMPORTAR_EJECUCION'!$J$9:$J$1208,0)),0))</f>
        <v/>
      </c>
      <c r="AJ52" s="11">
        <f>IF($A52="","",MAX(0,IFERROR(INDEX('2_IMPORTAR_EJECUCION'!$H$9:$H$1208,MATCH($AQ52,'2_IMPORTAR_EJECUCION'!$J$9:$J$1208,0)),0)-$AI52))</f>
        <v/>
      </c>
      <c r="AK52" s="11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46220</v>
      </c>
      <c r="K53" s="3" t="n">
        <v>8</v>
      </c>
      <c r="L53" s="11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IF($H53="","",IFERROR(INDEX('CAT_ACTIVIDADES'!$B$4:$B$8,MATCH($H53,'CAT_ACTIVIDADES'!$A$4:$A$8,0)),"(sin catálogo)"))</f>
        <v/>
      </c>
      <c r="AA53" s="13">
        <f>IF($J53="","",TODAY()-$J53)</f>
        <v/>
      </c>
      <c r="AB53" s="13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08</t>
        </is>
      </c>
      <c r="AF53" s="3">
        <f>IF($AE53="","",IF((IFERROR(INDEX('ASIGNACIONES'!$J$4:$J$451,MATCH($O53&amp;"|"&amp;$R53&amp;"|"&amp;$AE53,'ASIGNACIONES'!$N$4:$N$451,0)),""))=0,"",IFERROR(INDEX('ASIGNACIONES'!$J$4:$J$451,MATCH($O53&amp;"|"&amp;$R53&amp;"|"&amp;$AE53,'ASIGNACIONES'!$N$4:$N$451,0)),"")))</f>
        <v/>
      </c>
      <c r="AG53" s="14">
        <f>IF($AE53="","",SUMIFS('ORDENES'!$M$4:$M$1203,'ORDENES'!$AE$4:$AE$1203,$AE53,'ORDENES'!$O$4:$O$1203,$O53,'ORDENES'!$R$4:$R$1203,$R53))</f>
        <v/>
      </c>
      <c r="AH53" s="14">
        <f>IF($AG53="","",p_factor_productividad*IFERROR(INDEX('ASIGNACIONES'!$M$4:$M$451,MATCH($O53&amp;"|"&amp;$R53&amp;"|"&amp;$AE53,'ASIGNACIONES'!$N$4:$N$451,0)),0)-$AG53)</f>
        <v/>
      </c>
      <c r="AI53" s="11">
        <f>IF($A53="","",IFERROR(INDEX('2_IMPORTAR_EJECUCION'!$F$9:$F$1208,MATCH($AQ53,'2_IMPORTAR_EJECUCION'!$J$9:$J$1208,0)),0))</f>
        <v/>
      </c>
      <c r="AJ53" s="11">
        <f>IF($A53="","",MAX(0,IFERROR(INDEX('2_IMPORTAR_EJECUCION'!$H$9:$H$1208,MATCH($AQ53,'2_IMPORTAR_EJECUCION'!$J$9:$J$1208,0)),0)-$AI53))</f>
        <v/>
      </c>
      <c r="AK53" s="11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46216</v>
      </c>
      <c r="K54" s="3" t="n">
        <v>6</v>
      </c>
      <c r="L54" s="11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IF($H54="","",IFERROR(INDEX('CAT_ACTIVIDADES'!$B$4:$B$8,MATCH($H54,'CAT_ACTIVIDADES'!$A$4:$A$8,0)),"(sin catálogo)"))</f>
        <v/>
      </c>
      <c r="AA54" s="13">
        <f>IF($J54="","",TODAY()-$J54)</f>
        <v/>
      </c>
      <c r="AB54" s="13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09</t>
        </is>
      </c>
      <c r="AF54" s="3">
        <f>IF($AE54="","",IF((IFERROR(INDEX('ASIGNACIONES'!$J$4:$J$451,MATCH($O54&amp;"|"&amp;$R54&amp;"|"&amp;$AE54,'ASIGNACIONES'!$N$4:$N$451,0)),""))=0,"",IFERROR(INDEX('ASIGNACIONES'!$J$4:$J$451,MATCH($O54&amp;"|"&amp;$R54&amp;"|"&amp;$AE54,'ASIGNACIONES'!$N$4:$N$451,0)),"")))</f>
        <v/>
      </c>
      <c r="AG54" s="14">
        <f>IF($AE54="","",SUMIFS('ORDENES'!$M$4:$M$1203,'ORDENES'!$AE$4:$AE$1203,$AE54,'ORDENES'!$O$4:$O$1203,$O54,'ORDENES'!$R$4:$R$1203,$R54))</f>
        <v/>
      </c>
      <c r="AH54" s="14">
        <f>IF($AG54="","",p_factor_productividad*IFERROR(INDEX('ASIGNACIONES'!$M$4:$M$451,MATCH($O54&amp;"|"&amp;$R54&amp;"|"&amp;$AE54,'ASIGNACIONES'!$N$4:$N$451,0)),0)-$AG54)</f>
        <v/>
      </c>
      <c r="AI54" s="11">
        <f>IF($A54="","",IFERROR(INDEX('2_IMPORTAR_EJECUCION'!$F$9:$F$1208,MATCH($AQ54,'2_IMPORTAR_EJECUCION'!$J$9:$J$1208,0)),0))</f>
        <v/>
      </c>
      <c r="AJ54" s="11">
        <f>IF($A54="","",MAX(0,IFERROR(INDEX('2_IMPORTAR_EJECUCION'!$H$9:$H$1208,MATCH($AQ54,'2_IMPORTAR_EJECUCION'!$J$9:$J$1208,0)),0)-$AI54))</f>
        <v/>
      </c>
      <c r="AK54" s="11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46217</v>
      </c>
      <c r="K55" s="3" t="n">
        <v>10</v>
      </c>
      <c r="L55" s="11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IF($H55="","",IFERROR(INDEX('CAT_ACTIVIDADES'!$B$4:$B$8,MATCH($H55,'CAT_ACTIVIDADES'!$A$4:$A$8,0)),"(sin catálogo)"))</f>
        <v/>
      </c>
      <c r="AA55" s="13">
        <f>IF($J55="","",TODAY()-$J55)</f>
        <v/>
      </c>
      <c r="AB55" s="13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10</t>
        </is>
      </c>
      <c r="AF55" s="3">
        <f>IF($AE55="","",IF((IFERROR(INDEX('ASIGNACIONES'!$J$4:$J$451,MATCH($O55&amp;"|"&amp;$R55&amp;"|"&amp;$AE55,'ASIGNACIONES'!$N$4:$N$451,0)),""))=0,"",IFERROR(INDEX('ASIGNACIONES'!$J$4:$J$451,MATCH($O55&amp;"|"&amp;$R55&amp;"|"&amp;$AE55,'ASIGNACIONES'!$N$4:$N$451,0)),"")))</f>
        <v/>
      </c>
      <c r="AG55" s="14">
        <f>IF($AE55="","",SUMIFS('ORDENES'!$M$4:$M$1203,'ORDENES'!$AE$4:$AE$1203,$AE55,'ORDENES'!$O$4:$O$1203,$O55,'ORDENES'!$R$4:$R$1203,$R55))</f>
        <v/>
      </c>
      <c r="AH55" s="14">
        <f>IF($AG55="","",p_factor_productividad*IFERROR(INDEX('ASIGNACIONES'!$M$4:$M$451,MATCH($O55&amp;"|"&amp;$R55&amp;"|"&amp;$AE55,'ASIGNACIONES'!$N$4:$N$451,0)),0)-$AG55)</f>
        <v/>
      </c>
      <c r="AI55" s="11">
        <f>IF($A55="","",IFERROR(INDEX('2_IMPORTAR_EJECUCION'!$F$9:$F$1208,MATCH($AQ55,'2_IMPORTAR_EJECUCION'!$J$9:$J$1208,0)),0))</f>
        <v/>
      </c>
      <c r="AJ55" s="11">
        <f>IF($A55="","",MAX(0,IFERROR(INDEX('2_IMPORTAR_EJECUCION'!$H$9:$H$1208,MATCH($AQ55,'2_IMPORTAR_EJECUCION'!$J$9:$J$1208,0)),0)-$AI55))</f>
        <v/>
      </c>
      <c r="AK55" s="11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46218</v>
      </c>
      <c r="K56" s="3" t="n">
        <v>8</v>
      </c>
      <c r="L56" s="11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IF($H56="","",IFERROR(INDEX('CAT_ACTIVIDADES'!$B$4:$B$8,MATCH($H56,'CAT_ACTIVIDADES'!$A$4:$A$8,0)),"(sin catálogo)"))</f>
        <v/>
      </c>
      <c r="AA56" s="13">
        <f>IF($J56="","",TODAY()-$J56)</f>
        <v/>
      </c>
      <c r="AB56" s="13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11</t>
        </is>
      </c>
      <c r="AF56" s="3">
        <f>IF($AE56="","",IF((IFERROR(INDEX('ASIGNACIONES'!$J$4:$J$451,MATCH($O56&amp;"|"&amp;$R56&amp;"|"&amp;$AE56,'ASIGNACIONES'!$N$4:$N$451,0)),""))=0,"",IFERROR(INDEX('ASIGNACIONES'!$J$4:$J$451,MATCH($O56&amp;"|"&amp;$R56&amp;"|"&amp;$AE56,'ASIGNACIONES'!$N$4:$N$451,0)),"")))</f>
        <v/>
      </c>
      <c r="AG56" s="14">
        <f>IF($AE56="","",SUMIFS('ORDENES'!$M$4:$M$1203,'ORDENES'!$AE$4:$AE$1203,$AE56,'ORDENES'!$O$4:$O$1203,$O56,'ORDENES'!$R$4:$R$1203,$R56))</f>
        <v/>
      </c>
      <c r="AH56" s="14">
        <f>IF($AG56="","",p_factor_productividad*IFERROR(INDEX('ASIGNACIONES'!$M$4:$M$451,MATCH($O56&amp;"|"&amp;$R56&amp;"|"&amp;$AE56,'ASIGNACIONES'!$N$4:$N$451,0)),0)-$AG56)</f>
        <v/>
      </c>
      <c r="AI56" s="11">
        <f>IF($A56="","",IFERROR(INDEX('2_IMPORTAR_EJECUCION'!$F$9:$F$1208,MATCH($AQ56,'2_IMPORTAR_EJECUCION'!$J$9:$J$1208,0)),0))</f>
        <v/>
      </c>
      <c r="AJ56" s="11">
        <f>IF($A56="","",MAX(0,IFERROR(INDEX('2_IMPORTAR_EJECUCION'!$H$9:$H$1208,MATCH($AQ56,'2_IMPORTAR_EJECUCION'!$J$9:$J$1208,0)),0)-$AI56))</f>
        <v/>
      </c>
      <c r="AK56" s="11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46219</v>
      </c>
      <c r="K57" s="3" t="n">
        <v>6</v>
      </c>
      <c r="L57" s="11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IF($H57="","",IFERROR(INDEX('CAT_ACTIVIDADES'!$B$4:$B$8,MATCH($H57,'CAT_ACTIVIDADES'!$A$4:$A$8,0)),"(sin catálogo)"))</f>
        <v/>
      </c>
      <c r="AA57" s="13">
        <f>IF($J57="","",TODAY()-$J57)</f>
        <v/>
      </c>
      <c r="AB57" s="13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12</t>
        </is>
      </c>
      <c r="AF57" s="3">
        <f>IF($AE57="","",IF((IFERROR(INDEX('ASIGNACIONES'!$J$4:$J$451,MATCH($O57&amp;"|"&amp;$R57&amp;"|"&amp;$AE57,'ASIGNACIONES'!$N$4:$N$451,0)),""))=0,"",IFERROR(INDEX('ASIGNACIONES'!$J$4:$J$451,MATCH($O57&amp;"|"&amp;$R57&amp;"|"&amp;$AE57,'ASIGNACIONES'!$N$4:$N$451,0)),"")))</f>
        <v/>
      </c>
      <c r="AG57" s="14">
        <f>IF($AE57="","",SUMIFS('ORDENES'!$M$4:$M$1203,'ORDENES'!$AE$4:$AE$1203,$AE57,'ORDENES'!$O$4:$O$1203,$O57,'ORDENES'!$R$4:$R$1203,$R57))</f>
        <v/>
      </c>
      <c r="AH57" s="14">
        <f>IF($AG57="","",p_factor_productividad*IFERROR(INDEX('ASIGNACIONES'!$M$4:$M$451,MATCH($O57&amp;"|"&amp;$R57&amp;"|"&amp;$AE57,'ASIGNACIONES'!$N$4:$N$451,0)),0)-$AG57)</f>
        <v/>
      </c>
      <c r="AI57" s="11">
        <f>IF($A57="","",IFERROR(INDEX('2_IMPORTAR_EJECUCION'!$F$9:$F$1208,MATCH($AQ57,'2_IMPORTAR_EJECUCION'!$J$9:$J$1208,0)),0))</f>
        <v/>
      </c>
      <c r="AJ57" s="11">
        <f>IF($A57="","",MAX(0,IFERROR(INDEX('2_IMPORTAR_EJECUCION'!$H$9:$H$1208,MATCH($AQ57,'2_IMPORTAR_EJECUCION'!$J$9:$J$1208,0)),0)-$AI57))</f>
        <v/>
      </c>
      <c r="AK57" s="11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46220</v>
      </c>
      <c r="K58" s="3" t="n">
        <v>10</v>
      </c>
      <c r="L58" s="11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IF($H58="","",IFERROR(INDEX('CAT_ACTIVIDADES'!$B$4:$B$8,MATCH($H58,'CAT_ACTIVIDADES'!$A$4:$A$8,0)),"(sin catálogo)"))</f>
        <v/>
      </c>
      <c r="AA58" s="13">
        <f>IF($J58="","",TODAY()-$J58)</f>
        <v/>
      </c>
      <c r="AB58" s="13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13</t>
        </is>
      </c>
      <c r="AF58" s="3">
        <f>IF($AE58="","",IF((IFERROR(INDEX('ASIGNACIONES'!$J$4:$J$451,MATCH($O58&amp;"|"&amp;$R58&amp;"|"&amp;$AE58,'ASIGNACIONES'!$N$4:$N$451,0)),""))=0,"",IFERROR(INDEX('ASIGNACIONES'!$J$4:$J$451,MATCH($O58&amp;"|"&amp;$R58&amp;"|"&amp;$AE58,'ASIGNACIONES'!$N$4:$N$451,0)),"")))</f>
        <v/>
      </c>
      <c r="AG58" s="14">
        <f>IF($AE58="","",SUMIFS('ORDENES'!$M$4:$M$1203,'ORDENES'!$AE$4:$AE$1203,$AE58,'ORDENES'!$O$4:$O$1203,$O58,'ORDENES'!$R$4:$R$1203,$R58))</f>
        <v/>
      </c>
      <c r="AH58" s="14">
        <f>IF($AG58="","",p_factor_productividad*IFERROR(INDEX('ASIGNACIONES'!$M$4:$M$451,MATCH($O58&amp;"|"&amp;$R58&amp;"|"&amp;$AE58,'ASIGNACIONES'!$N$4:$N$451,0)),0)-$AG58)</f>
        <v/>
      </c>
      <c r="AI58" s="11">
        <f>IF($A58="","",IFERROR(INDEX('2_IMPORTAR_EJECUCION'!$F$9:$F$1208,MATCH($AQ58,'2_IMPORTAR_EJECUCION'!$J$9:$J$1208,0)),0))</f>
        <v/>
      </c>
      <c r="AJ58" s="11">
        <f>IF($A58="","",MAX(0,IFERROR(INDEX('2_IMPORTAR_EJECUCION'!$H$9:$H$1208,MATCH($AQ58,'2_IMPORTAR_EJECUCION'!$J$9:$J$1208,0)),0)-$AI58))</f>
        <v/>
      </c>
      <c r="AK58" s="11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46216</v>
      </c>
      <c r="K59" s="3" t="n">
        <v>2</v>
      </c>
      <c r="L59" s="11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IF($H59="","",IFERROR(INDEX('CAT_ACTIVIDADES'!$B$4:$B$8,MATCH($H59,'CAT_ACTIVIDADES'!$A$4:$A$8,0)),"(sin catálogo)"))</f>
        <v/>
      </c>
      <c r="AA59" s="13">
        <f>IF($J59="","",TODAY()-$J59)</f>
        <v/>
      </c>
      <c r="AB59" s="13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14</t>
        </is>
      </c>
      <c r="AF59" s="3">
        <f>IF($AE59="","",IF((IFERROR(INDEX('ASIGNACIONES'!$J$4:$J$451,MATCH($O59&amp;"|"&amp;$R59&amp;"|"&amp;$AE59,'ASIGNACIONES'!$N$4:$N$451,0)),""))=0,"",IFERROR(INDEX('ASIGNACIONES'!$J$4:$J$451,MATCH($O59&amp;"|"&amp;$R59&amp;"|"&amp;$AE59,'ASIGNACIONES'!$N$4:$N$451,0)),"")))</f>
        <v/>
      </c>
      <c r="AG59" s="14">
        <f>IF($AE59="","",SUMIFS('ORDENES'!$M$4:$M$1203,'ORDENES'!$AE$4:$AE$1203,$AE59,'ORDENES'!$O$4:$O$1203,$O59,'ORDENES'!$R$4:$R$1203,$R59))</f>
        <v/>
      </c>
      <c r="AH59" s="14">
        <f>IF($AG59="","",p_factor_productividad*IFERROR(INDEX('ASIGNACIONES'!$M$4:$M$451,MATCH($O59&amp;"|"&amp;$R59&amp;"|"&amp;$AE59,'ASIGNACIONES'!$N$4:$N$451,0)),0)-$AG59)</f>
        <v/>
      </c>
      <c r="AI59" s="11">
        <f>IF($A59="","",IFERROR(INDEX('2_IMPORTAR_EJECUCION'!$F$9:$F$1208,MATCH($AQ59,'2_IMPORTAR_EJECUCION'!$J$9:$J$1208,0)),0))</f>
        <v/>
      </c>
      <c r="AJ59" s="11">
        <f>IF($A59="","",MAX(0,IFERROR(INDEX('2_IMPORTAR_EJECUCION'!$H$9:$H$1208,MATCH($AQ59,'2_IMPORTAR_EJECUCION'!$J$9:$J$1208,0)),0)-$AI59))</f>
        <v/>
      </c>
      <c r="AK59" s="11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46217</v>
      </c>
      <c r="K60" s="3" t="n">
        <v>10</v>
      </c>
      <c r="L60" s="11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IF($H60="","",IFERROR(INDEX('CAT_ACTIVIDADES'!$B$4:$B$8,MATCH($H60,'CAT_ACTIVIDADES'!$A$4:$A$8,0)),"(sin catálogo)"))</f>
        <v/>
      </c>
      <c r="AA60" s="13">
        <f>IF($J60="","",TODAY()-$J60)</f>
        <v/>
      </c>
      <c r="AB60" s="13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08</t>
        </is>
      </c>
      <c r="AF60" s="3">
        <f>IF($AE60="","",IF((IFERROR(INDEX('ASIGNACIONES'!$J$4:$J$451,MATCH($O60&amp;"|"&amp;$R60&amp;"|"&amp;$AE60,'ASIGNACIONES'!$N$4:$N$451,0)),""))=0,"",IFERROR(INDEX('ASIGNACIONES'!$J$4:$J$451,MATCH($O60&amp;"|"&amp;$R60&amp;"|"&amp;$AE60,'ASIGNACIONES'!$N$4:$N$451,0)),"")))</f>
        <v/>
      </c>
      <c r="AG60" s="14">
        <f>IF($AE60="","",SUMIFS('ORDENES'!$M$4:$M$1203,'ORDENES'!$AE$4:$AE$1203,$AE60,'ORDENES'!$O$4:$O$1203,$O60,'ORDENES'!$R$4:$R$1203,$R60))</f>
        <v/>
      </c>
      <c r="AH60" s="14">
        <f>IF($AG60="","",p_factor_productividad*IFERROR(INDEX('ASIGNACIONES'!$M$4:$M$451,MATCH($O60&amp;"|"&amp;$R60&amp;"|"&amp;$AE60,'ASIGNACIONES'!$N$4:$N$451,0)),0)-$AG60)</f>
        <v/>
      </c>
      <c r="AI60" s="11">
        <f>IF($A60="","",IFERROR(INDEX('2_IMPORTAR_EJECUCION'!$F$9:$F$1208,MATCH($AQ60,'2_IMPORTAR_EJECUCION'!$J$9:$J$1208,0)),0))</f>
        <v/>
      </c>
      <c r="AJ60" s="11">
        <f>IF($A60="","",MAX(0,IFERROR(INDEX('2_IMPORTAR_EJECUCION'!$H$9:$H$1208,MATCH($AQ60,'2_IMPORTAR_EJECUCION'!$J$9:$J$1208,0)),0)-$AI60))</f>
        <v/>
      </c>
      <c r="AK60" s="11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46218</v>
      </c>
      <c r="K61" s="3" t="n">
        <v>5</v>
      </c>
      <c r="L61" s="11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IF($H61="","",IFERROR(INDEX('CAT_ACTIVIDADES'!$B$4:$B$8,MATCH($H61,'CAT_ACTIVIDADES'!$A$4:$A$8,0)),"(sin catálogo)"))</f>
        <v/>
      </c>
      <c r="AA61" s="13">
        <f>IF($J61="","",TODAY()-$J61)</f>
        <v/>
      </c>
      <c r="AB61" s="13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09</t>
        </is>
      </c>
      <c r="AF61" s="3">
        <f>IF($AE61="","",IF((IFERROR(INDEX('ASIGNACIONES'!$J$4:$J$451,MATCH($O61&amp;"|"&amp;$R61&amp;"|"&amp;$AE61,'ASIGNACIONES'!$N$4:$N$451,0)),""))=0,"",IFERROR(INDEX('ASIGNACIONES'!$J$4:$J$451,MATCH($O61&amp;"|"&amp;$R61&amp;"|"&amp;$AE61,'ASIGNACIONES'!$N$4:$N$451,0)),"")))</f>
        <v/>
      </c>
      <c r="AG61" s="14">
        <f>IF($AE61="","",SUMIFS('ORDENES'!$M$4:$M$1203,'ORDENES'!$AE$4:$AE$1203,$AE61,'ORDENES'!$O$4:$O$1203,$O61,'ORDENES'!$R$4:$R$1203,$R61))</f>
        <v/>
      </c>
      <c r="AH61" s="14">
        <f>IF($AG61="","",p_factor_productividad*IFERROR(INDEX('ASIGNACIONES'!$M$4:$M$451,MATCH($O61&amp;"|"&amp;$R61&amp;"|"&amp;$AE61,'ASIGNACIONES'!$N$4:$N$451,0)),0)-$AG61)</f>
        <v/>
      </c>
      <c r="AI61" s="11">
        <f>IF($A61="","",IFERROR(INDEX('2_IMPORTAR_EJECUCION'!$F$9:$F$1208,MATCH($AQ61,'2_IMPORTAR_EJECUCION'!$J$9:$J$1208,0)),0))</f>
        <v/>
      </c>
      <c r="AJ61" s="11">
        <f>IF($A61="","",MAX(0,IFERROR(INDEX('2_IMPORTAR_EJECUCION'!$H$9:$H$1208,MATCH($AQ61,'2_IMPORTAR_EJECUCION'!$J$9:$J$1208,0)),0)-$AI61))</f>
        <v/>
      </c>
      <c r="AK61" s="11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46226</v>
      </c>
      <c r="K62" s="3" t="n">
        <v>6</v>
      </c>
      <c r="L62" s="11" t="n">
        <v>150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IF($H62="","",IFERROR(INDEX('CAT_ACTIVIDADES'!$B$4:$B$8,MATCH($H62,'CAT_ACTIVIDADES'!$A$4:$A$8,0)),"(sin catálogo)"))</f>
        <v/>
      </c>
      <c r="AA62" s="13">
        <f>IF($J62="","",TODAY()-$J62)</f>
        <v/>
      </c>
      <c r="AB62" s="13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10</t>
        </is>
      </c>
      <c r="AF62" s="3">
        <f>IF($AE62="","",IF((IFERROR(INDEX('ASIGNACIONES'!$J$4:$J$451,MATCH($O62&amp;"|"&amp;$R62&amp;"|"&amp;$AE62,'ASIGNACIONES'!$N$4:$N$451,0)),""))=0,"",IFERROR(INDEX('ASIGNACIONES'!$J$4:$J$451,MATCH($O62&amp;"|"&amp;$R62&amp;"|"&amp;$AE62,'ASIGNACIONES'!$N$4:$N$451,0)),"")))</f>
        <v/>
      </c>
      <c r="AG62" s="14">
        <f>IF($AE62="","",SUMIFS('ORDENES'!$M$4:$M$1203,'ORDENES'!$AE$4:$AE$1203,$AE62,'ORDENES'!$O$4:$O$1203,$O62,'ORDENES'!$R$4:$R$1203,$R62))</f>
        <v/>
      </c>
      <c r="AH62" s="14">
        <f>IF($AG62="","",p_factor_productividad*IFERROR(INDEX('ASIGNACIONES'!$M$4:$M$451,MATCH($O62&amp;"|"&amp;$R62&amp;"|"&amp;$AE62,'ASIGNACIONES'!$N$4:$N$451,0)),0)-$AG62)</f>
        <v/>
      </c>
      <c r="AI62" s="11">
        <f>IF($A62="","",IFERROR(INDEX('2_IMPORTAR_EJECUCION'!$F$9:$F$1208,MATCH($AQ62,'2_IMPORTAR_EJECUCION'!$J$9:$J$1208,0)),0))</f>
        <v/>
      </c>
      <c r="AJ62" s="11">
        <f>IF($A62="","",MAX(0,IFERROR(INDEX('2_IMPORTAR_EJECUCION'!$H$9:$H$1208,MATCH($AQ62,'2_IMPORTAR_EJECUCION'!$J$9:$J$1208,0)),0)-$AI62))</f>
        <v/>
      </c>
      <c r="AK62" s="11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>
        <is>
          <t>Ajuste 6 → 4 h en hoja AJUSTES</t>
        </is>
      </c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46227</v>
      </c>
      <c r="K63" s="3" t="n">
        <v>8</v>
      </c>
      <c r="L63" s="11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IF($H63="","",IFERROR(INDEX('CAT_ACTIVIDADES'!$B$4:$B$8,MATCH($H63,'CAT_ACTIVIDADES'!$A$4:$A$8,0)),"(sin catálogo)"))</f>
        <v/>
      </c>
      <c r="AA63" s="13">
        <f>IF($J63="","",TODAY()-$J63)</f>
        <v/>
      </c>
      <c r="AB63" s="13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IF($AE63="","",IF((IFERROR(INDEX('ASIGNACIONES'!$J$4:$J$451,MATCH($O63&amp;"|"&amp;$R63&amp;"|"&amp;$AE63,'ASIGNACIONES'!$N$4:$N$451,0)),""))=0,"",IFERROR(INDEX('ASIGNACIONES'!$J$4:$J$451,MATCH($O63&amp;"|"&amp;$R63&amp;"|"&amp;$AE63,'ASIGNACIONES'!$N$4:$N$451,0)),"")))</f>
        <v/>
      </c>
      <c r="AG63" s="14">
        <f>IF($AE63="","",SUMIFS('ORDENES'!$M$4:$M$1203,'ORDENES'!$AE$4:$AE$1203,$AE63,'ORDENES'!$O$4:$O$1203,$O63,'ORDENES'!$R$4:$R$1203,$R63))</f>
        <v/>
      </c>
      <c r="AH63" s="14">
        <f>IF($AG63="","",p_factor_productividad*IFERROR(INDEX('ASIGNACIONES'!$M$4:$M$451,MATCH($O63&amp;"|"&amp;$R63&amp;"|"&amp;$AE63,'ASIGNACIONES'!$N$4:$N$451,0)),0)-$AG63)</f>
        <v/>
      </c>
      <c r="AI63" s="11">
        <f>IF($A63="","",IFERROR(INDEX('2_IMPORTAR_EJECUCION'!$F$9:$F$1208,MATCH($AQ63,'2_IMPORTAR_EJECUCION'!$J$9:$J$1208,0)),0))</f>
        <v/>
      </c>
      <c r="AJ63" s="11">
        <f>IF($A63="","",MAX(0,IFERROR(INDEX('2_IMPORTAR_EJECUCION'!$H$9:$H$1208,MATCH($AQ63,'2_IMPORTAR_EJECUCION'!$J$9:$J$1208,0)),0)-$AI63))</f>
        <v/>
      </c>
      <c r="AK63" s="11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46223</v>
      </c>
      <c r="K64" s="3" t="n">
        <v>6</v>
      </c>
      <c r="L64" s="11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IF($H64="","",IFERROR(INDEX('CAT_ACTIVIDADES'!$B$4:$B$8,MATCH($H64,'CAT_ACTIVIDADES'!$A$4:$A$8,0)),"(sin catálogo)"))</f>
        <v/>
      </c>
      <c r="AA64" s="13">
        <f>IF($J64="","",TODAY()-$J64)</f>
        <v/>
      </c>
      <c r="AB64" s="13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12</t>
        </is>
      </c>
      <c r="AF64" s="3">
        <f>IF($AE64="","",IF((IFERROR(INDEX('ASIGNACIONES'!$J$4:$J$451,MATCH($O64&amp;"|"&amp;$R64&amp;"|"&amp;$AE64,'ASIGNACIONES'!$N$4:$N$451,0)),""))=0,"",IFERROR(INDEX('ASIGNACIONES'!$J$4:$J$451,MATCH($O64&amp;"|"&amp;$R64&amp;"|"&amp;$AE64,'ASIGNACIONES'!$N$4:$N$451,0)),"")))</f>
        <v/>
      </c>
      <c r="AG64" s="14">
        <f>IF($AE64="","",SUMIFS('ORDENES'!$M$4:$M$1203,'ORDENES'!$AE$4:$AE$1203,$AE64,'ORDENES'!$O$4:$O$1203,$O64,'ORDENES'!$R$4:$R$1203,$R64))</f>
        <v/>
      </c>
      <c r="AH64" s="14">
        <f>IF($AG64="","",p_factor_productividad*IFERROR(INDEX('ASIGNACIONES'!$M$4:$M$451,MATCH($O64&amp;"|"&amp;$R64&amp;"|"&amp;$AE64,'ASIGNACIONES'!$N$4:$N$451,0)),0)-$AG64)</f>
        <v/>
      </c>
      <c r="AI64" s="11">
        <f>IF($A64="","",IFERROR(INDEX('2_IMPORTAR_EJECUCION'!$F$9:$F$1208,MATCH($AQ64,'2_IMPORTAR_EJECUCION'!$J$9:$J$1208,0)),0))</f>
        <v/>
      </c>
      <c r="AJ64" s="11">
        <f>IF($A64="","",MAX(0,IFERROR(INDEX('2_IMPORTAR_EJECUCION'!$H$9:$H$1208,MATCH($AQ64,'2_IMPORTAR_EJECUCION'!$J$9:$J$1208,0)),0)-$AI64))</f>
        <v/>
      </c>
      <c r="AK64" s="11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/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46224</v>
      </c>
      <c r="K65" s="3" t="n">
        <v>10</v>
      </c>
      <c r="L65" s="11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IF($H65="","",IFERROR(INDEX('CAT_ACTIVIDADES'!$B$4:$B$8,MATCH($H65,'CAT_ACTIVIDADES'!$A$4:$A$8,0)),"(sin catálogo)"))</f>
        <v/>
      </c>
      <c r="AA65" s="13">
        <f>IF($J65="","",TODAY()-$J65)</f>
        <v/>
      </c>
      <c r="AB65" s="13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13</t>
        </is>
      </c>
      <c r="AF65" s="3">
        <f>IF($AE65="","",IF((IFERROR(INDEX('ASIGNACIONES'!$J$4:$J$451,MATCH($O65&amp;"|"&amp;$R65&amp;"|"&amp;$AE65,'ASIGNACIONES'!$N$4:$N$451,0)),""))=0,"",IFERROR(INDEX('ASIGNACIONES'!$J$4:$J$451,MATCH($O65&amp;"|"&amp;$R65&amp;"|"&amp;$AE65,'ASIGNACIONES'!$N$4:$N$451,0)),"")))</f>
        <v/>
      </c>
      <c r="AG65" s="14">
        <f>IF($AE65="","",SUMIFS('ORDENES'!$M$4:$M$1203,'ORDENES'!$AE$4:$AE$1203,$AE65,'ORDENES'!$O$4:$O$1203,$O65,'ORDENES'!$R$4:$R$1203,$R65))</f>
        <v/>
      </c>
      <c r="AH65" s="14">
        <f>IF($AG65="","",p_factor_productividad*IFERROR(INDEX('ASIGNACIONES'!$M$4:$M$451,MATCH($O65&amp;"|"&amp;$R65&amp;"|"&amp;$AE65,'ASIGNACIONES'!$N$4:$N$451,0)),0)-$AG65)</f>
        <v/>
      </c>
      <c r="AI65" s="11">
        <f>IF($A65="","",IFERROR(INDEX('2_IMPORTAR_EJECUCION'!$F$9:$F$1208,MATCH($AQ65,'2_IMPORTAR_EJECUCION'!$J$9:$J$1208,0)),0))</f>
        <v/>
      </c>
      <c r="AJ65" s="11">
        <f>IF($A65="","",MAX(0,IFERROR(INDEX('2_IMPORTAR_EJECUCION'!$H$9:$H$1208,MATCH($AQ65,'2_IMPORTAR_EJECUCION'!$J$9:$J$1208,0)),0)-$AI65))</f>
        <v/>
      </c>
      <c r="AK65" s="11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46225</v>
      </c>
      <c r="K66" s="3" t="n">
        <v>8</v>
      </c>
      <c r="L66" s="11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IF($H66="","",IFERROR(INDEX('CAT_ACTIVIDADES'!$B$4:$B$8,MATCH($H66,'CAT_ACTIVIDADES'!$A$4:$A$8,0)),"(sin catálogo)"))</f>
        <v/>
      </c>
      <c r="AA66" s="13">
        <f>IF($J66="","",TODAY()-$J66)</f>
        <v/>
      </c>
      <c r="AB66" s="13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14</t>
        </is>
      </c>
      <c r="AF66" s="3">
        <f>IF($AE66="","",IF((IFERROR(INDEX('ASIGNACIONES'!$J$4:$J$451,MATCH($O66&amp;"|"&amp;$R66&amp;"|"&amp;$AE66,'ASIGNACIONES'!$N$4:$N$451,0)),""))=0,"",IFERROR(INDEX('ASIGNACIONES'!$J$4:$J$451,MATCH($O66&amp;"|"&amp;$R66&amp;"|"&amp;$AE66,'ASIGNACIONES'!$N$4:$N$451,0)),"")))</f>
        <v/>
      </c>
      <c r="AG66" s="14">
        <f>IF($AE66="","",SUMIFS('ORDENES'!$M$4:$M$1203,'ORDENES'!$AE$4:$AE$1203,$AE66,'ORDENES'!$O$4:$O$1203,$O66,'ORDENES'!$R$4:$R$1203,$R66))</f>
        <v/>
      </c>
      <c r="AH66" s="14">
        <f>IF($AG66="","",p_factor_productividad*IFERROR(INDEX('ASIGNACIONES'!$M$4:$M$451,MATCH($O66&amp;"|"&amp;$R66&amp;"|"&amp;$AE66,'ASIGNACIONES'!$N$4:$N$451,0)),0)-$AG66)</f>
        <v/>
      </c>
      <c r="AI66" s="11">
        <f>IF($A66="","",IFERROR(INDEX('2_IMPORTAR_EJECUCION'!$F$9:$F$1208,MATCH($AQ66,'2_IMPORTAR_EJECUCION'!$J$9:$J$1208,0)),0))</f>
        <v/>
      </c>
      <c r="AJ66" s="11">
        <f>IF($A66="","",MAX(0,IFERROR(INDEX('2_IMPORTAR_EJECUCION'!$H$9:$H$1208,MATCH($AQ66,'2_IMPORTAR_EJECUCION'!$J$9:$J$1208,0)),0)-$AI66))</f>
        <v/>
      </c>
      <c r="AK66" s="11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46226</v>
      </c>
      <c r="K67" s="3" t="n">
        <v>6</v>
      </c>
      <c r="L67" s="11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IF($H67="","",IFERROR(INDEX('CAT_ACTIVIDADES'!$B$4:$B$8,MATCH($H67,'CAT_ACTIVIDADES'!$A$4:$A$8,0)),"(sin catálogo)"))</f>
        <v/>
      </c>
      <c r="AA67" s="13">
        <f>IF($J67="","",TODAY()-$J67)</f>
        <v/>
      </c>
      <c r="AB67" s="13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08</t>
        </is>
      </c>
      <c r="AF67" s="3">
        <f>IF($AE67="","",IF((IFERROR(INDEX('ASIGNACIONES'!$J$4:$J$451,MATCH($O67&amp;"|"&amp;$R67&amp;"|"&amp;$AE67,'ASIGNACIONES'!$N$4:$N$451,0)),""))=0,"",IFERROR(INDEX('ASIGNACIONES'!$J$4:$J$451,MATCH($O67&amp;"|"&amp;$R67&amp;"|"&amp;$AE67,'ASIGNACIONES'!$N$4:$N$451,0)),"")))</f>
        <v/>
      </c>
      <c r="AG67" s="14">
        <f>IF($AE67="","",SUMIFS('ORDENES'!$M$4:$M$1203,'ORDENES'!$AE$4:$AE$1203,$AE67,'ORDENES'!$O$4:$O$1203,$O67,'ORDENES'!$R$4:$R$1203,$R67))</f>
        <v/>
      </c>
      <c r="AH67" s="14">
        <f>IF($AG67="","",p_factor_productividad*IFERROR(INDEX('ASIGNACIONES'!$M$4:$M$451,MATCH($O67&amp;"|"&amp;$R67&amp;"|"&amp;$AE67,'ASIGNACIONES'!$N$4:$N$451,0)),0)-$AG67)</f>
        <v/>
      </c>
      <c r="AI67" s="11">
        <f>IF($A67="","",IFERROR(INDEX('2_IMPORTAR_EJECUCION'!$F$9:$F$1208,MATCH($AQ67,'2_IMPORTAR_EJECUCION'!$J$9:$J$1208,0)),0))</f>
        <v/>
      </c>
      <c r="AJ67" s="11">
        <f>IF($A67="","",MAX(0,IFERROR(INDEX('2_IMPORTAR_EJECUCION'!$H$9:$H$1208,MATCH($AQ67,'2_IMPORTAR_EJECUCION'!$J$9:$J$1208,0)),0)-$AI67))</f>
        <v/>
      </c>
      <c r="AK67" s="11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46227</v>
      </c>
      <c r="K68" s="3" t="n">
        <v>10</v>
      </c>
      <c r="L68" s="11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IF($H68="","",IFERROR(INDEX('CAT_ACTIVIDADES'!$B$4:$B$8,MATCH($H68,'CAT_ACTIVIDADES'!$A$4:$A$8,0)),"(sin catálogo)"))</f>
        <v/>
      </c>
      <c r="AA68" s="13">
        <f>IF($J68="","",TODAY()-$J68)</f>
        <v/>
      </c>
      <c r="AB68" s="13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09</t>
        </is>
      </c>
      <c r="AF68" s="3">
        <f>IF($AE68="","",IF((IFERROR(INDEX('ASIGNACIONES'!$J$4:$J$451,MATCH($O68&amp;"|"&amp;$R68&amp;"|"&amp;$AE68,'ASIGNACIONES'!$N$4:$N$451,0)),""))=0,"",IFERROR(INDEX('ASIGNACIONES'!$J$4:$J$451,MATCH($O68&amp;"|"&amp;$R68&amp;"|"&amp;$AE68,'ASIGNACIONES'!$N$4:$N$451,0)),"")))</f>
        <v/>
      </c>
      <c r="AG68" s="14">
        <f>IF($AE68="","",SUMIFS('ORDENES'!$M$4:$M$1203,'ORDENES'!$AE$4:$AE$1203,$AE68,'ORDENES'!$O$4:$O$1203,$O68,'ORDENES'!$R$4:$R$1203,$R68))</f>
        <v/>
      </c>
      <c r="AH68" s="14">
        <f>IF($AG68="","",p_factor_productividad*IFERROR(INDEX('ASIGNACIONES'!$M$4:$M$451,MATCH($O68&amp;"|"&amp;$R68&amp;"|"&amp;$AE68,'ASIGNACIONES'!$N$4:$N$451,0)),0)-$AG68)</f>
        <v/>
      </c>
      <c r="AI68" s="11">
        <f>IF($A68="","",IFERROR(INDEX('2_IMPORTAR_EJECUCION'!$F$9:$F$1208,MATCH($AQ68,'2_IMPORTAR_EJECUCION'!$J$9:$J$1208,0)),0))</f>
        <v/>
      </c>
      <c r="AJ68" s="11">
        <f>IF($A68="","",MAX(0,IFERROR(INDEX('2_IMPORTAR_EJECUCION'!$H$9:$H$1208,MATCH($AQ68,'2_IMPORTAR_EJECUCION'!$J$9:$J$1208,0)),0)-$AI68))</f>
        <v/>
      </c>
      <c r="AK68" s="11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46223</v>
      </c>
      <c r="K69" s="3" t="n">
        <v>7</v>
      </c>
      <c r="L69" s="11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IF($H69="","",IFERROR(INDEX('CAT_ACTIVIDADES'!$B$4:$B$8,MATCH($H69,'CAT_ACTIVIDADES'!$A$4:$A$8,0)),"(sin catálogo)"))</f>
        <v/>
      </c>
      <c r="AA69" s="13">
        <f>IF($J69="","",TODAY()-$J69)</f>
        <v/>
      </c>
      <c r="AB69" s="13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10</t>
        </is>
      </c>
      <c r="AF69" s="3">
        <f>IF($AE69="","",IF((IFERROR(INDEX('ASIGNACIONES'!$J$4:$J$451,MATCH($O69&amp;"|"&amp;$R69&amp;"|"&amp;$AE69,'ASIGNACIONES'!$N$4:$N$451,0)),""))=0,"",IFERROR(INDEX('ASIGNACIONES'!$J$4:$J$451,MATCH($O69&amp;"|"&amp;$R69&amp;"|"&amp;$AE69,'ASIGNACIONES'!$N$4:$N$451,0)),"")))</f>
        <v/>
      </c>
      <c r="AG69" s="14">
        <f>IF($AE69="","",SUMIFS('ORDENES'!$M$4:$M$1203,'ORDENES'!$AE$4:$AE$1203,$AE69,'ORDENES'!$O$4:$O$1203,$O69,'ORDENES'!$R$4:$R$1203,$R69))</f>
        <v/>
      </c>
      <c r="AH69" s="14">
        <f>IF($AG69="","",p_factor_productividad*IFERROR(INDEX('ASIGNACIONES'!$M$4:$M$451,MATCH($O69&amp;"|"&amp;$R69&amp;"|"&amp;$AE69,'ASIGNACIONES'!$N$4:$N$451,0)),0)-$AG69)</f>
        <v/>
      </c>
      <c r="AI69" s="11">
        <f>IF($A69="","",IFERROR(INDEX('2_IMPORTAR_EJECUCION'!$F$9:$F$1208,MATCH($AQ69,'2_IMPORTAR_EJECUCION'!$J$9:$J$1208,0)),0))</f>
        <v/>
      </c>
      <c r="AJ69" s="11">
        <f>IF($A69="","",MAX(0,IFERROR(INDEX('2_IMPORTAR_EJECUCION'!$H$9:$H$1208,MATCH($AQ69,'2_IMPORTAR_EJECUCION'!$J$9:$J$1208,0)),0)-$AI69))</f>
        <v/>
      </c>
      <c r="AK69" s="11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46224</v>
      </c>
      <c r="K70" s="3" t="n">
        <v>10</v>
      </c>
      <c r="L70" s="11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IF($H70="","",IFERROR(INDEX('CAT_ACTIVIDADES'!$B$4:$B$8,MATCH($H70,'CAT_ACTIVIDADES'!$A$4:$A$8,0)),"(sin catálogo)"))</f>
        <v/>
      </c>
      <c r="AA70" s="13">
        <f>IF($J70="","",TODAY()-$J70)</f>
        <v/>
      </c>
      <c r="AB70" s="13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11</t>
        </is>
      </c>
      <c r="AF70" s="3">
        <f>IF($AE70="","",IF((IFERROR(INDEX('ASIGNACIONES'!$J$4:$J$451,MATCH($O70&amp;"|"&amp;$R70&amp;"|"&amp;$AE70,'ASIGNACIONES'!$N$4:$N$451,0)),""))=0,"",IFERROR(INDEX('ASIGNACIONES'!$J$4:$J$451,MATCH($O70&amp;"|"&amp;$R70&amp;"|"&amp;$AE70,'ASIGNACIONES'!$N$4:$N$451,0)),"")))</f>
        <v/>
      </c>
      <c r="AG70" s="14">
        <f>IF($AE70="","",SUMIFS('ORDENES'!$M$4:$M$1203,'ORDENES'!$AE$4:$AE$1203,$AE70,'ORDENES'!$O$4:$O$1203,$O70,'ORDENES'!$R$4:$R$1203,$R70))</f>
        <v/>
      </c>
      <c r="AH70" s="14">
        <f>IF($AG70="","",p_factor_productividad*IFERROR(INDEX('ASIGNACIONES'!$M$4:$M$451,MATCH($O70&amp;"|"&amp;$R70&amp;"|"&amp;$AE70,'ASIGNACIONES'!$N$4:$N$451,0)),0)-$AG70)</f>
        <v/>
      </c>
      <c r="AI70" s="11">
        <f>IF($A70="","",IFERROR(INDEX('2_IMPORTAR_EJECUCION'!$F$9:$F$1208,MATCH($AQ70,'2_IMPORTAR_EJECUCION'!$J$9:$J$1208,0)),0))</f>
        <v/>
      </c>
      <c r="AJ70" s="11">
        <f>IF($A70="","",MAX(0,IFERROR(INDEX('2_IMPORTAR_EJECUCION'!$H$9:$H$1208,MATCH($AQ70,'2_IMPORTAR_EJECUCION'!$J$9:$J$1208,0)),0)-$AI70))</f>
        <v/>
      </c>
      <c r="AK70" s="11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46225</v>
      </c>
      <c r="K71" s="3" t="n">
        <v>10</v>
      </c>
      <c r="L71" s="11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IF($H71="","",IFERROR(INDEX('CAT_ACTIVIDADES'!$B$4:$B$8,MATCH($H71,'CAT_ACTIVIDADES'!$A$4:$A$8,0)),"(sin catálogo)"))</f>
        <v/>
      </c>
      <c r="AA71" s="13">
        <f>IF($J71="","",TODAY()-$J71)</f>
        <v/>
      </c>
      <c r="AB71" s="13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12</t>
        </is>
      </c>
      <c r="AF71" s="3">
        <f>IF($AE71="","",IF((IFERROR(INDEX('ASIGNACIONES'!$J$4:$J$451,MATCH($O71&amp;"|"&amp;$R71&amp;"|"&amp;$AE71,'ASIGNACIONES'!$N$4:$N$451,0)),""))=0,"",IFERROR(INDEX('ASIGNACIONES'!$J$4:$J$451,MATCH($O71&amp;"|"&amp;$R71&amp;"|"&amp;$AE71,'ASIGNACIONES'!$N$4:$N$451,0)),"")))</f>
        <v/>
      </c>
      <c r="AG71" s="14">
        <f>IF($AE71="","",SUMIFS('ORDENES'!$M$4:$M$1203,'ORDENES'!$AE$4:$AE$1203,$AE71,'ORDENES'!$O$4:$O$1203,$O71,'ORDENES'!$R$4:$R$1203,$R71))</f>
        <v/>
      </c>
      <c r="AH71" s="14">
        <f>IF($AG71="","",p_factor_productividad*IFERROR(INDEX('ASIGNACIONES'!$M$4:$M$451,MATCH($O71&amp;"|"&amp;$R71&amp;"|"&amp;$AE71,'ASIGNACIONES'!$N$4:$N$451,0)),0)-$AG71)</f>
        <v/>
      </c>
      <c r="AI71" s="11">
        <f>IF($A71="","",IFERROR(INDEX('2_IMPORTAR_EJECUCION'!$F$9:$F$1208,MATCH($AQ71,'2_IMPORTAR_EJECUCION'!$J$9:$J$1208,0)),0))</f>
        <v/>
      </c>
      <c r="AJ71" s="11">
        <f>IF($A71="","",MAX(0,IFERROR(INDEX('2_IMPORTAR_EJECUCION'!$H$9:$H$1208,MATCH($AQ71,'2_IMPORTAR_EJECUCION'!$J$9:$J$1208,0)),0)-$AI71))</f>
        <v/>
      </c>
      <c r="AK71" s="11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46233</v>
      </c>
      <c r="K72" s="3" t="n">
        <v>10</v>
      </c>
      <c r="L72" s="11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IF($H72="","",IFERROR(INDEX('CAT_ACTIVIDADES'!$B$4:$B$8,MATCH($H72,'CAT_ACTIVIDADES'!$A$4:$A$8,0)),"(sin catálogo)"))</f>
        <v/>
      </c>
      <c r="AA72" s="13">
        <f>IF($J72="","",TODAY()-$J72)</f>
        <v/>
      </c>
      <c r="AB72" s="13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13</t>
        </is>
      </c>
      <c r="AF72" s="3">
        <f>IF($AE72="","",IF((IFERROR(INDEX('ASIGNACIONES'!$J$4:$J$451,MATCH($O72&amp;"|"&amp;$R72&amp;"|"&amp;$AE72,'ASIGNACIONES'!$N$4:$N$451,0)),""))=0,"",IFERROR(INDEX('ASIGNACIONES'!$J$4:$J$451,MATCH($O72&amp;"|"&amp;$R72&amp;"|"&amp;$AE72,'ASIGNACIONES'!$N$4:$N$451,0)),"")))</f>
        <v/>
      </c>
      <c r="AG72" s="14">
        <f>IF($AE72="","",SUMIFS('ORDENES'!$M$4:$M$1203,'ORDENES'!$AE$4:$AE$1203,$AE72,'ORDENES'!$O$4:$O$1203,$O72,'ORDENES'!$R$4:$R$1203,$R72))</f>
        <v/>
      </c>
      <c r="AH72" s="14">
        <f>IF($AG72="","",p_factor_productividad*IFERROR(INDEX('ASIGNACIONES'!$M$4:$M$451,MATCH($O72&amp;"|"&amp;$R72&amp;"|"&amp;$AE72,'ASIGNACIONES'!$N$4:$N$451,0)),0)-$AG72)</f>
        <v/>
      </c>
      <c r="AI72" s="11">
        <f>IF($A72="","",IFERROR(INDEX('2_IMPORTAR_EJECUCION'!$F$9:$F$1208,MATCH($AQ72,'2_IMPORTAR_EJECUCION'!$J$9:$J$1208,0)),0))</f>
        <v/>
      </c>
      <c r="AJ72" s="11">
        <f>IF($A72="","",MAX(0,IFERROR(INDEX('2_IMPORTAR_EJECUCION'!$H$9:$H$1208,MATCH($AQ72,'2_IMPORTAR_EJECUCION'!$J$9:$J$1208,0)),0)-$AI72))</f>
        <v/>
      </c>
      <c r="AK72" s="11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46234</v>
      </c>
      <c r="K73" s="3" t="n">
        <v>8</v>
      </c>
      <c r="L73" s="11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IF($H73="","",IFERROR(INDEX('CAT_ACTIVIDADES'!$B$4:$B$8,MATCH($H73,'CAT_ACTIVIDADES'!$A$4:$A$8,0)),"(sin catálogo)"))</f>
        <v/>
      </c>
      <c r="AA73" s="13">
        <f>IF($J73="","",TODAY()-$J73)</f>
        <v/>
      </c>
      <c r="AB73" s="13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14</t>
        </is>
      </c>
      <c r="AF73" s="3">
        <f>IF($AE73="","",IF((IFERROR(INDEX('ASIGNACIONES'!$J$4:$J$451,MATCH($O73&amp;"|"&amp;$R73&amp;"|"&amp;$AE73,'ASIGNACIONES'!$N$4:$N$451,0)),""))=0,"",IFERROR(INDEX('ASIGNACIONES'!$J$4:$J$451,MATCH($O73&amp;"|"&amp;$R73&amp;"|"&amp;$AE73,'ASIGNACIONES'!$N$4:$N$451,0)),"")))</f>
        <v/>
      </c>
      <c r="AG73" s="14">
        <f>IF($AE73="","",SUMIFS('ORDENES'!$M$4:$M$1203,'ORDENES'!$AE$4:$AE$1203,$AE73,'ORDENES'!$O$4:$O$1203,$O73,'ORDENES'!$R$4:$R$1203,$R73))</f>
        <v/>
      </c>
      <c r="AH73" s="14">
        <f>IF($AG73="","",p_factor_productividad*IFERROR(INDEX('ASIGNACIONES'!$M$4:$M$451,MATCH($O73&amp;"|"&amp;$R73&amp;"|"&amp;$AE73,'ASIGNACIONES'!$N$4:$N$451,0)),0)-$AG73)</f>
        <v/>
      </c>
      <c r="AI73" s="11">
        <f>IF($A73="","",IFERROR(INDEX('2_IMPORTAR_EJECUCION'!$F$9:$F$1208,MATCH($AQ73,'2_IMPORTAR_EJECUCION'!$J$9:$J$1208,0)),0))</f>
        <v/>
      </c>
      <c r="AJ73" s="11">
        <f>IF($A73="","",MAX(0,IFERROR(INDEX('2_IMPORTAR_EJECUCION'!$H$9:$H$1208,MATCH($AQ73,'2_IMPORTAR_EJECUCION'!$J$9:$J$1208,0)),0)-$AI73))</f>
        <v/>
      </c>
      <c r="AK73" s="11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46230</v>
      </c>
      <c r="K74" s="3" t="n">
        <v>6</v>
      </c>
      <c r="L74" s="11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IF($H74="","",IFERROR(INDEX('CAT_ACTIVIDADES'!$B$4:$B$8,MATCH($H74,'CAT_ACTIVIDADES'!$A$4:$A$8,0)),"(sin catálogo)"))</f>
        <v/>
      </c>
      <c r="AA74" s="13">
        <f>IF($J74="","",TODAY()-$J74)</f>
        <v/>
      </c>
      <c r="AB74" s="13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08</t>
        </is>
      </c>
      <c r="AF74" s="3">
        <f>IF($AE74="","",IF((IFERROR(INDEX('ASIGNACIONES'!$J$4:$J$451,MATCH($O74&amp;"|"&amp;$R74&amp;"|"&amp;$AE74,'ASIGNACIONES'!$N$4:$N$451,0)),""))=0,"",IFERROR(INDEX('ASIGNACIONES'!$J$4:$J$451,MATCH($O74&amp;"|"&amp;$R74&amp;"|"&amp;$AE74,'ASIGNACIONES'!$N$4:$N$451,0)),"")))</f>
        <v/>
      </c>
      <c r="AG74" s="14">
        <f>IF($AE74="","",SUMIFS('ORDENES'!$M$4:$M$1203,'ORDENES'!$AE$4:$AE$1203,$AE74,'ORDENES'!$O$4:$O$1203,$O74,'ORDENES'!$R$4:$R$1203,$R74))</f>
        <v/>
      </c>
      <c r="AH74" s="14">
        <f>IF($AG74="","",p_factor_productividad*IFERROR(INDEX('ASIGNACIONES'!$M$4:$M$451,MATCH($O74&amp;"|"&amp;$R74&amp;"|"&amp;$AE74,'ASIGNACIONES'!$N$4:$N$451,0)),0)-$AG74)</f>
        <v/>
      </c>
      <c r="AI74" s="11">
        <f>IF($A74="","",IFERROR(INDEX('2_IMPORTAR_EJECUCION'!$F$9:$F$1208,MATCH($AQ74,'2_IMPORTAR_EJECUCION'!$J$9:$J$1208,0)),0))</f>
        <v/>
      </c>
      <c r="AJ74" s="11">
        <f>IF($A74="","",MAX(0,IFERROR(INDEX('2_IMPORTAR_EJECUCION'!$H$9:$H$1208,MATCH($AQ74,'2_IMPORTAR_EJECUCION'!$J$9:$J$1208,0)),0)-$AI74))</f>
        <v/>
      </c>
      <c r="AK74" s="11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46231</v>
      </c>
      <c r="K75" s="3" t="n">
        <v>10</v>
      </c>
      <c r="L75" s="11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IF($H75="","",IFERROR(INDEX('CAT_ACTIVIDADES'!$B$4:$B$8,MATCH($H75,'CAT_ACTIVIDADES'!$A$4:$A$8,0)),"(sin catálogo)"))</f>
        <v/>
      </c>
      <c r="AA75" s="13">
        <f>IF($J75="","",TODAY()-$J75)</f>
        <v/>
      </c>
      <c r="AB75" s="13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IF($AE75="","",IF((IFERROR(INDEX('ASIGNACIONES'!$J$4:$J$451,MATCH($O75&amp;"|"&amp;$R75&amp;"|"&amp;$AE75,'ASIGNACIONES'!$N$4:$N$451,0)),""))=0,"",IFERROR(INDEX('ASIGNACIONES'!$J$4:$J$451,MATCH($O75&amp;"|"&amp;$R75&amp;"|"&amp;$AE75,'ASIGNACIONES'!$N$4:$N$451,0)),"")))</f>
        <v/>
      </c>
      <c r="AG75" s="14">
        <f>IF($AE75="","",SUMIFS('ORDENES'!$M$4:$M$1203,'ORDENES'!$AE$4:$AE$1203,$AE75,'ORDENES'!$O$4:$O$1203,$O75,'ORDENES'!$R$4:$R$1203,$R75))</f>
        <v/>
      </c>
      <c r="AH75" s="14">
        <f>IF($AG75="","",p_factor_productividad*IFERROR(INDEX('ASIGNACIONES'!$M$4:$M$451,MATCH($O75&amp;"|"&amp;$R75&amp;"|"&amp;$AE75,'ASIGNACIONES'!$N$4:$N$451,0)),0)-$AG75)</f>
        <v/>
      </c>
      <c r="AI75" s="11">
        <f>IF($A75="","",IFERROR(INDEX('2_IMPORTAR_EJECUCION'!$F$9:$F$1208,MATCH($AQ75,'2_IMPORTAR_EJECUCION'!$J$9:$J$1208,0)),0))</f>
        <v/>
      </c>
      <c r="AJ75" s="11">
        <f>IF($A75="","",MAX(0,IFERROR(INDEX('2_IMPORTAR_EJECUCION'!$H$9:$H$1208,MATCH($AQ75,'2_IMPORTAR_EJECUCION'!$J$9:$J$1208,0)),0)-$AI75))</f>
        <v/>
      </c>
      <c r="AK75" s="11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46232</v>
      </c>
      <c r="K76" s="3" t="n">
        <v>8</v>
      </c>
      <c r="L76" s="11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IF($H76="","",IFERROR(INDEX('CAT_ACTIVIDADES'!$B$4:$B$8,MATCH($H76,'CAT_ACTIVIDADES'!$A$4:$A$8,0)),"(sin catálogo)"))</f>
        <v/>
      </c>
      <c r="AA76" s="13">
        <f>IF($J76="","",TODAY()-$J76)</f>
        <v/>
      </c>
      <c r="AB76" s="13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10</t>
        </is>
      </c>
      <c r="AF76" s="3">
        <f>IF($AE76="","",IF((IFERROR(INDEX('ASIGNACIONES'!$J$4:$J$451,MATCH($O76&amp;"|"&amp;$R76&amp;"|"&amp;$AE76,'ASIGNACIONES'!$N$4:$N$451,0)),""))=0,"",IFERROR(INDEX('ASIGNACIONES'!$J$4:$J$451,MATCH($O76&amp;"|"&amp;$R76&amp;"|"&amp;$AE76,'ASIGNACIONES'!$N$4:$N$451,0)),"")))</f>
        <v/>
      </c>
      <c r="AG76" s="14">
        <f>IF($AE76="","",SUMIFS('ORDENES'!$M$4:$M$1203,'ORDENES'!$AE$4:$AE$1203,$AE76,'ORDENES'!$O$4:$O$1203,$O76,'ORDENES'!$R$4:$R$1203,$R76))</f>
        <v/>
      </c>
      <c r="AH76" s="14">
        <f>IF($AG76="","",p_factor_productividad*IFERROR(INDEX('ASIGNACIONES'!$M$4:$M$451,MATCH($O76&amp;"|"&amp;$R76&amp;"|"&amp;$AE76,'ASIGNACIONES'!$N$4:$N$451,0)),0)-$AG76)</f>
        <v/>
      </c>
      <c r="AI76" s="11">
        <f>IF($A76="","",IFERROR(INDEX('2_IMPORTAR_EJECUCION'!$F$9:$F$1208,MATCH($AQ76,'2_IMPORTAR_EJECUCION'!$J$9:$J$1208,0)),0))</f>
        <v/>
      </c>
      <c r="AJ76" s="11">
        <f>IF($A76="","",MAX(0,IFERROR(INDEX('2_IMPORTAR_EJECUCION'!$H$9:$H$1208,MATCH($AQ76,'2_IMPORTAR_EJECUCION'!$J$9:$J$1208,0)),0)-$AI76))</f>
        <v/>
      </c>
      <c r="AK76" s="11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46233</v>
      </c>
      <c r="K77" s="3" t="n">
        <v>6</v>
      </c>
      <c r="L77" s="11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IF($H77="","",IFERROR(INDEX('CAT_ACTIVIDADES'!$B$4:$B$8,MATCH($H77,'CAT_ACTIVIDADES'!$A$4:$A$8,0)),"(sin catálogo)"))</f>
        <v/>
      </c>
      <c r="AA77" s="13">
        <f>IF($J77="","",TODAY()-$J77)</f>
        <v/>
      </c>
      <c r="AB77" s="13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11</t>
        </is>
      </c>
      <c r="AF77" s="3">
        <f>IF($AE77="","",IF((IFERROR(INDEX('ASIGNACIONES'!$J$4:$J$451,MATCH($O77&amp;"|"&amp;$R77&amp;"|"&amp;$AE77,'ASIGNACIONES'!$N$4:$N$451,0)),""))=0,"",IFERROR(INDEX('ASIGNACIONES'!$J$4:$J$451,MATCH($O77&amp;"|"&amp;$R77&amp;"|"&amp;$AE77,'ASIGNACIONES'!$N$4:$N$451,0)),"")))</f>
        <v/>
      </c>
      <c r="AG77" s="14">
        <f>IF($AE77="","",SUMIFS('ORDENES'!$M$4:$M$1203,'ORDENES'!$AE$4:$AE$1203,$AE77,'ORDENES'!$O$4:$O$1203,$O77,'ORDENES'!$R$4:$R$1203,$R77))</f>
        <v/>
      </c>
      <c r="AH77" s="14">
        <f>IF($AG77="","",p_factor_productividad*IFERROR(INDEX('ASIGNACIONES'!$M$4:$M$451,MATCH($O77&amp;"|"&amp;$R77&amp;"|"&amp;$AE77,'ASIGNACIONES'!$N$4:$N$451,0)),0)-$AG77)</f>
        <v/>
      </c>
      <c r="AI77" s="11">
        <f>IF($A77="","",IFERROR(INDEX('2_IMPORTAR_EJECUCION'!$F$9:$F$1208,MATCH($AQ77,'2_IMPORTAR_EJECUCION'!$J$9:$J$1208,0)),0))</f>
        <v/>
      </c>
      <c r="AJ77" s="11">
        <f>IF($A77="","",MAX(0,IFERROR(INDEX('2_IMPORTAR_EJECUCION'!$H$9:$H$1208,MATCH($AQ77,'2_IMPORTAR_EJECUCION'!$J$9:$J$1208,0)),0)-$AI77))</f>
        <v/>
      </c>
      <c r="AK77" s="11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46234</v>
      </c>
      <c r="K78" s="3" t="n">
        <v>10</v>
      </c>
      <c r="L78" s="11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IF($H78="","",IFERROR(INDEX('CAT_ACTIVIDADES'!$B$4:$B$8,MATCH($H78,'CAT_ACTIVIDADES'!$A$4:$A$8,0)),"(sin catálogo)"))</f>
        <v/>
      </c>
      <c r="AA78" s="13">
        <f>IF($J78="","",TODAY()-$J78)</f>
        <v/>
      </c>
      <c r="AB78" s="13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12</t>
        </is>
      </c>
      <c r="AF78" s="3">
        <f>IF($AE78="","",IF((IFERROR(INDEX('ASIGNACIONES'!$J$4:$J$451,MATCH($O78&amp;"|"&amp;$R78&amp;"|"&amp;$AE78,'ASIGNACIONES'!$N$4:$N$451,0)),""))=0,"",IFERROR(INDEX('ASIGNACIONES'!$J$4:$J$451,MATCH($O78&amp;"|"&amp;$R78&amp;"|"&amp;$AE78,'ASIGNACIONES'!$N$4:$N$451,0)),"")))</f>
        <v/>
      </c>
      <c r="AG78" s="14">
        <f>IF($AE78="","",SUMIFS('ORDENES'!$M$4:$M$1203,'ORDENES'!$AE$4:$AE$1203,$AE78,'ORDENES'!$O$4:$O$1203,$O78,'ORDENES'!$R$4:$R$1203,$R78))</f>
        <v/>
      </c>
      <c r="AH78" s="14">
        <f>IF($AG78="","",p_factor_productividad*IFERROR(INDEX('ASIGNACIONES'!$M$4:$M$451,MATCH($O78&amp;"|"&amp;$R78&amp;"|"&amp;$AE78,'ASIGNACIONES'!$N$4:$N$451,0)),0)-$AG78)</f>
        <v/>
      </c>
      <c r="AI78" s="11">
        <f>IF($A78="","",IFERROR(INDEX('2_IMPORTAR_EJECUCION'!$F$9:$F$1208,MATCH($AQ78,'2_IMPORTAR_EJECUCION'!$J$9:$J$1208,0)),0))</f>
        <v/>
      </c>
      <c r="AJ78" s="11">
        <f>IF($A78="","",MAX(0,IFERROR(INDEX('2_IMPORTAR_EJECUCION'!$H$9:$H$1208,MATCH($AQ78,'2_IMPORTAR_EJECUCION'!$J$9:$J$1208,0)),0)-$AI78))</f>
        <v/>
      </c>
      <c r="AK78" s="11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46230</v>
      </c>
      <c r="K79" s="3" t="n">
        <v>2</v>
      </c>
      <c r="L79" s="11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IF($H79="","",IFERROR(INDEX('CAT_ACTIVIDADES'!$B$4:$B$8,MATCH($H79,'CAT_ACTIVIDADES'!$A$4:$A$8,0)),"(sin catálogo)"))</f>
        <v/>
      </c>
      <c r="AA79" s="13">
        <f>IF($J79="","",TODAY()-$J79)</f>
        <v/>
      </c>
      <c r="AB79" s="13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13</t>
        </is>
      </c>
      <c r="AF79" s="3">
        <f>IF($AE79="","",IF((IFERROR(INDEX('ASIGNACIONES'!$J$4:$J$451,MATCH($O79&amp;"|"&amp;$R79&amp;"|"&amp;$AE79,'ASIGNACIONES'!$N$4:$N$451,0)),""))=0,"",IFERROR(INDEX('ASIGNACIONES'!$J$4:$J$451,MATCH($O79&amp;"|"&amp;$R79&amp;"|"&amp;$AE79,'ASIGNACIONES'!$N$4:$N$451,0)),"")))</f>
        <v/>
      </c>
      <c r="AG79" s="14">
        <f>IF($AE79="","",SUMIFS('ORDENES'!$M$4:$M$1203,'ORDENES'!$AE$4:$AE$1203,$AE79,'ORDENES'!$O$4:$O$1203,$O79,'ORDENES'!$R$4:$R$1203,$R79))</f>
        <v/>
      </c>
      <c r="AH79" s="14">
        <f>IF($AG79="","",p_factor_productividad*IFERROR(INDEX('ASIGNACIONES'!$M$4:$M$451,MATCH($O79&amp;"|"&amp;$R79&amp;"|"&amp;$AE79,'ASIGNACIONES'!$N$4:$N$451,0)),0)-$AG79)</f>
        <v/>
      </c>
      <c r="AI79" s="11">
        <f>IF($A79="","",IFERROR(INDEX('2_IMPORTAR_EJECUCION'!$F$9:$F$1208,MATCH($AQ79,'2_IMPORTAR_EJECUCION'!$J$9:$J$1208,0)),0))</f>
        <v/>
      </c>
      <c r="AJ79" s="11">
        <f>IF($A79="","",MAX(0,IFERROR(INDEX('2_IMPORTAR_EJECUCION'!$H$9:$H$1208,MATCH($AQ79,'2_IMPORTAR_EJECUCION'!$J$9:$J$1208,0)),0)-$AI79))</f>
        <v/>
      </c>
      <c r="AK79" s="11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46231</v>
      </c>
      <c r="K80" s="3" t="n">
        <v>10</v>
      </c>
      <c r="L80" s="11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IF($H80="","",IFERROR(INDEX('CAT_ACTIVIDADES'!$B$4:$B$8,MATCH($H80,'CAT_ACTIVIDADES'!$A$4:$A$8,0)),"(sin catálogo)"))</f>
        <v/>
      </c>
      <c r="AA80" s="13">
        <f>IF($J80="","",TODAY()-$J80)</f>
        <v/>
      </c>
      <c r="AB80" s="13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14</t>
        </is>
      </c>
      <c r="AF80" s="3">
        <f>IF($AE80="","",IF((IFERROR(INDEX('ASIGNACIONES'!$J$4:$J$451,MATCH($O80&amp;"|"&amp;$R80&amp;"|"&amp;$AE80,'ASIGNACIONES'!$N$4:$N$451,0)),""))=0,"",IFERROR(INDEX('ASIGNACIONES'!$J$4:$J$451,MATCH($O80&amp;"|"&amp;$R80&amp;"|"&amp;$AE80,'ASIGNACIONES'!$N$4:$N$451,0)),"")))</f>
        <v/>
      </c>
      <c r="AG80" s="14">
        <f>IF($AE80="","",SUMIFS('ORDENES'!$M$4:$M$1203,'ORDENES'!$AE$4:$AE$1203,$AE80,'ORDENES'!$O$4:$O$1203,$O80,'ORDENES'!$R$4:$R$1203,$R80))</f>
        <v/>
      </c>
      <c r="AH80" s="14">
        <f>IF($AG80="","",p_factor_productividad*IFERROR(INDEX('ASIGNACIONES'!$M$4:$M$451,MATCH($O80&amp;"|"&amp;$R80&amp;"|"&amp;$AE80,'ASIGNACIONES'!$N$4:$N$451,0)),0)-$AG80)</f>
        <v/>
      </c>
      <c r="AI80" s="11">
        <f>IF($A80="","",IFERROR(INDEX('2_IMPORTAR_EJECUCION'!$F$9:$F$1208,MATCH($AQ80,'2_IMPORTAR_EJECUCION'!$J$9:$J$1208,0)),0))</f>
        <v/>
      </c>
      <c r="AJ80" s="11">
        <f>IF($A80="","",MAX(0,IFERROR(INDEX('2_IMPORTAR_EJECUCION'!$H$9:$H$1208,MATCH($AQ80,'2_IMPORTAR_EJECUCION'!$J$9:$J$1208,0)),0)-$AI80))</f>
        <v/>
      </c>
      <c r="AK80" s="11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46239</v>
      </c>
      <c r="K81" s="3" t="n">
        <v>10</v>
      </c>
      <c r="L81" s="11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IF($H81="","",IFERROR(INDEX('CAT_ACTIVIDADES'!$B$4:$B$8,MATCH($H81,'CAT_ACTIVIDADES'!$A$4:$A$8,0)),"(sin catálogo)"))</f>
        <v/>
      </c>
      <c r="AA81" s="13">
        <f>IF($J81="","",TODAY()-$J81)</f>
        <v/>
      </c>
      <c r="AB81" s="13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08</t>
        </is>
      </c>
      <c r="AF81" s="3">
        <f>IF($AE81="","",IF((IFERROR(INDEX('ASIGNACIONES'!$J$4:$J$451,MATCH($O81&amp;"|"&amp;$R81&amp;"|"&amp;$AE81,'ASIGNACIONES'!$N$4:$N$451,0)),""))=0,"",IFERROR(INDEX('ASIGNACIONES'!$J$4:$J$451,MATCH($O81&amp;"|"&amp;$R81&amp;"|"&amp;$AE81,'ASIGNACIONES'!$N$4:$N$451,0)),"")))</f>
        <v/>
      </c>
      <c r="AG81" s="14">
        <f>IF($AE81="","",SUMIFS('ORDENES'!$M$4:$M$1203,'ORDENES'!$AE$4:$AE$1203,$AE81,'ORDENES'!$O$4:$O$1203,$O81,'ORDENES'!$R$4:$R$1203,$R81))</f>
        <v/>
      </c>
      <c r="AH81" s="14">
        <f>IF($AG81="","",p_factor_productividad*IFERROR(INDEX('ASIGNACIONES'!$M$4:$M$451,MATCH($O81&amp;"|"&amp;$R81&amp;"|"&amp;$AE81,'ASIGNACIONES'!$N$4:$N$451,0)),0)-$AG81)</f>
        <v/>
      </c>
      <c r="AI81" s="11">
        <f>IF($A81="","",IFERROR(INDEX('2_IMPORTAR_EJECUCION'!$F$9:$F$1208,MATCH($AQ81,'2_IMPORTAR_EJECUCION'!$J$9:$J$1208,0)),0))</f>
        <v/>
      </c>
      <c r="AJ81" s="11">
        <f>IF($A81="","",MAX(0,IFERROR(INDEX('2_IMPORTAR_EJECUCION'!$H$9:$H$1208,MATCH($AQ81,'2_IMPORTAR_EJECUCION'!$J$9:$J$1208,0)),0)-$AI81))</f>
        <v/>
      </c>
      <c r="AK81" s="11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46240</v>
      </c>
      <c r="K82" s="3" t="n">
        <v>8</v>
      </c>
      <c r="L82" s="11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IF($H82="","",IFERROR(INDEX('CAT_ACTIVIDADES'!$B$4:$B$8,MATCH($H82,'CAT_ACTIVIDADES'!$A$4:$A$8,0)),"(sin catálogo)"))</f>
        <v/>
      </c>
      <c r="AA82" s="13">
        <f>IF($J82="","",TODAY()-$J82)</f>
        <v/>
      </c>
      <c r="AB82" s="13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09</t>
        </is>
      </c>
      <c r="AF82" s="3">
        <f>IF($AE82="","",IF((IFERROR(INDEX('ASIGNACIONES'!$J$4:$J$451,MATCH($O82&amp;"|"&amp;$R82&amp;"|"&amp;$AE82,'ASIGNACIONES'!$N$4:$N$451,0)),""))=0,"",IFERROR(INDEX('ASIGNACIONES'!$J$4:$J$451,MATCH($O82&amp;"|"&amp;$R82&amp;"|"&amp;$AE82,'ASIGNACIONES'!$N$4:$N$451,0)),"")))</f>
        <v/>
      </c>
      <c r="AG82" s="14">
        <f>IF($AE82="","",SUMIFS('ORDENES'!$M$4:$M$1203,'ORDENES'!$AE$4:$AE$1203,$AE82,'ORDENES'!$O$4:$O$1203,$O82,'ORDENES'!$R$4:$R$1203,$R82))</f>
        <v/>
      </c>
      <c r="AH82" s="14">
        <f>IF($AG82="","",p_factor_productividad*IFERROR(INDEX('ASIGNACIONES'!$M$4:$M$451,MATCH($O82&amp;"|"&amp;$R82&amp;"|"&amp;$AE82,'ASIGNACIONES'!$N$4:$N$451,0)),0)-$AG82)</f>
        <v/>
      </c>
      <c r="AI82" s="11">
        <f>IF($A82="","",IFERROR(INDEX('2_IMPORTAR_EJECUCION'!$F$9:$F$1208,MATCH($AQ82,'2_IMPORTAR_EJECUCION'!$J$9:$J$1208,0)),0))</f>
        <v/>
      </c>
      <c r="AJ82" s="11">
        <f>IF($A82="","",MAX(0,IFERROR(INDEX('2_IMPORTAR_EJECUCION'!$H$9:$H$1208,MATCH($AQ82,'2_IMPORTAR_EJECUCION'!$J$9:$J$1208,0)),0)-$AI82))</f>
        <v/>
      </c>
      <c r="AK82" s="11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46241</v>
      </c>
      <c r="K83" s="3" t="n">
        <v>6</v>
      </c>
      <c r="L83" s="11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IF($H83="","",IFERROR(INDEX('CAT_ACTIVIDADES'!$B$4:$B$8,MATCH($H83,'CAT_ACTIVIDADES'!$A$4:$A$8,0)),"(sin catálogo)"))</f>
        <v/>
      </c>
      <c r="AA83" s="13">
        <f>IF($J83="","",TODAY()-$J83)</f>
        <v/>
      </c>
      <c r="AB83" s="13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10</t>
        </is>
      </c>
      <c r="AF83" s="3">
        <f>IF($AE83="","",IF((IFERROR(INDEX('ASIGNACIONES'!$J$4:$J$451,MATCH($O83&amp;"|"&amp;$R83&amp;"|"&amp;$AE83,'ASIGNACIONES'!$N$4:$N$451,0)),""))=0,"",IFERROR(INDEX('ASIGNACIONES'!$J$4:$J$451,MATCH($O83&amp;"|"&amp;$R83&amp;"|"&amp;$AE83,'ASIGNACIONES'!$N$4:$N$451,0)),"")))</f>
        <v/>
      </c>
      <c r="AG83" s="14">
        <f>IF($AE83="","",SUMIFS('ORDENES'!$M$4:$M$1203,'ORDENES'!$AE$4:$AE$1203,$AE83,'ORDENES'!$O$4:$O$1203,$O83,'ORDENES'!$R$4:$R$1203,$R83))</f>
        <v/>
      </c>
      <c r="AH83" s="14">
        <f>IF($AG83="","",p_factor_productividad*IFERROR(INDEX('ASIGNACIONES'!$M$4:$M$451,MATCH($O83&amp;"|"&amp;$R83&amp;"|"&amp;$AE83,'ASIGNACIONES'!$N$4:$N$451,0)),0)-$AG83)</f>
        <v/>
      </c>
      <c r="AI83" s="11">
        <f>IF($A83="","",IFERROR(INDEX('2_IMPORTAR_EJECUCION'!$F$9:$F$1208,MATCH($AQ83,'2_IMPORTAR_EJECUCION'!$J$9:$J$1208,0)),0))</f>
        <v/>
      </c>
      <c r="AJ83" s="11">
        <f>IF($A83="","",MAX(0,IFERROR(INDEX('2_IMPORTAR_EJECUCION'!$H$9:$H$1208,MATCH($AQ83,'2_IMPORTAR_EJECUCION'!$J$9:$J$1208,0)),0)-$AI83))</f>
        <v/>
      </c>
      <c r="AK83" s="11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46237</v>
      </c>
      <c r="K84" s="3" t="n">
        <v>10</v>
      </c>
      <c r="L84" s="11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IF($H84="","",IFERROR(INDEX('CAT_ACTIVIDADES'!$B$4:$B$8,MATCH($H84,'CAT_ACTIVIDADES'!$A$4:$A$8,0)),"(sin catálogo)"))</f>
        <v/>
      </c>
      <c r="AA84" s="13">
        <f>IF($J84="","",TODAY()-$J84)</f>
        <v/>
      </c>
      <c r="AB84" s="13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11</t>
        </is>
      </c>
      <c r="AF84" s="3">
        <f>IF($AE84="","",IF((IFERROR(INDEX('ASIGNACIONES'!$J$4:$J$451,MATCH($O84&amp;"|"&amp;$R84&amp;"|"&amp;$AE84,'ASIGNACIONES'!$N$4:$N$451,0)),""))=0,"",IFERROR(INDEX('ASIGNACIONES'!$J$4:$J$451,MATCH($O84&amp;"|"&amp;$R84&amp;"|"&amp;$AE84,'ASIGNACIONES'!$N$4:$N$451,0)),"")))</f>
        <v/>
      </c>
      <c r="AG84" s="14">
        <f>IF($AE84="","",SUMIFS('ORDENES'!$M$4:$M$1203,'ORDENES'!$AE$4:$AE$1203,$AE84,'ORDENES'!$O$4:$O$1203,$O84,'ORDENES'!$R$4:$R$1203,$R84))</f>
        <v/>
      </c>
      <c r="AH84" s="14">
        <f>IF($AG84="","",p_factor_productividad*IFERROR(INDEX('ASIGNACIONES'!$M$4:$M$451,MATCH($O84&amp;"|"&amp;$R84&amp;"|"&amp;$AE84,'ASIGNACIONES'!$N$4:$N$451,0)),0)-$AG84)</f>
        <v/>
      </c>
      <c r="AI84" s="11">
        <f>IF($A84="","",IFERROR(INDEX('2_IMPORTAR_EJECUCION'!$F$9:$F$1208,MATCH($AQ84,'2_IMPORTAR_EJECUCION'!$J$9:$J$1208,0)),0))</f>
        <v/>
      </c>
      <c r="AJ84" s="11">
        <f>IF($A84="","",MAX(0,IFERROR(INDEX('2_IMPORTAR_EJECUCION'!$H$9:$H$1208,MATCH($AQ84,'2_IMPORTAR_EJECUCION'!$J$9:$J$1208,0)),0)-$AI84))</f>
        <v/>
      </c>
      <c r="AK84" s="11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46238</v>
      </c>
      <c r="K85" s="3" t="n">
        <v>8</v>
      </c>
      <c r="L85" s="11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IF($H85="","",IFERROR(INDEX('CAT_ACTIVIDADES'!$B$4:$B$8,MATCH($H85,'CAT_ACTIVIDADES'!$A$4:$A$8,0)),"(sin catálogo)"))</f>
        <v/>
      </c>
      <c r="AA85" s="13">
        <f>IF($J85="","",TODAY()-$J85)</f>
        <v/>
      </c>
      <c r="AB85" s="13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12</t>
        </is>
      </c>
      <c r="AF85" s="3">
        <f>IF($AE85="","",IF((IFERROR(INDEX('ASIGNACIONES'!$J$4:$J$451,MATCH($O85&amp;"|"&amp;$R85&amp;"|"&amp;$AE85,'ASIGNACIONES'!$N$4:$N$451,0)),""))=0,"",IFERROR(INDEX('ASIGNACIONES'!$J$4:$J$451,MATCH($O85&amp;"|"&amp;$R85&amp;"|"&amp;$AE85,'ASIGNACIONES'!$N$4:$N$451,0)),"")))</f>
        <v/>
      </c>
      <c r="AG85" s="14">
        <f>IF($AE85="","",SUMIFS('ORDENES'!$M$4:$M$1203,'ORDENES'!$AE$4:$AE$1203,$AE85,'ORDENES'!$O$4:$O$1203,$O85,'ORDENES'!$R$4:$R$1203,$R85))</f>
        <v/>
      </c>
      <c r="AH85" s="14">
        <f>IF($AG85="","",p_factor_productividad*IFERROR(INDEX('ASIGNACIONES'!$M$4:$M$451,MATCH($O85&amp;"|"&amp;$R85&amp;"|"&amp;$AE85,'ASIGNACIONES'!$N$4:$N$451,0)),0)-$AG85)</f>
        <v/>
      </c>
      <c r="AI85" s="11">
        <f>IF($A85="","",IFERROR(INDEX('2_IMPORTAR_EJECUCION'!$F$9:$F$1208,MATCH($AQ85,'2_IMPORTAR_EJECUCION'!$J$9:$J$1208,0)),0))</f>
        <v/>
      </c>
      <c r="AJ85" s="11">
        <f>IF($A85="","",MAX(0,IFERROR(INDEX('2_IMPORTAR_EJECUCION'!$H$9:$H$1208,MATCH($AQ85,'2_IMPORTAR_EJECUCION'!$J$9:$J$1208,0)),0)-$AI85))</f>
        <v/>
      </c>
      <c r="AK85" s="11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46239</v>
      </c>
      <c r="K86" s="3" t="n">
        <v>8</v>
      </c>
      <c r="L86" s="11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IF($H86="","",IFERROR(INDEX('CAT_ACTIVIDADES'!$B$4:$B$8,MATCH($H86,'CAT_ACTIVIDADES'!$A$4:$A$8,0)),"(sin catálogo)"))</f>
        <v/>
      </c>
      <c r="AA86" s="13">
        <f>IF($J86="","",TODAY()-$J86)</f>
        <v/>
      </c>
      <c r="AB86" s="13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13</t>
        </is>
      </c>
      <c r="AF86" s="3">
        <f>IF($AE86="","",IF((IFERROR(INDEX('ASIGNACIONES'!$J$4:$J$451,MATCH($O86&amp;"|"&amp;$R86&amp;"|"&amp;$AE86,'ASIGNACIONES'!$N$4:$N$451,0)),""))=0,"",IFERROR(INDEX('ASIGNACIONES'!$J$4:$J$451,MATCH($O86&amp;"|"&amp;$R86&amp;"|"&amp;$AE86,'ASIGNACIONES'!$N$4:$N$451,0)),"")))</f>
        <v/>
      </c>
      <c r="AG86" s="14">
        <f>IF($AE86="","",SUMIFS('ORDENES'!$M$4:$M$1203,'ORDENES'!$AE$4:$AE$1203,$AE86,'ORDENES'!$O$4:$O$1203,$O86,'ORDENES'!$R$4:$R$1203,$R86))</f>
        <v/>
      </c>
      <c r="AH86" s="14">
        <f>IF($AG86="","",p_factor_productividad*IFERROR(INDEX('ASIGNACIONES'!$M$4:$M$451,MATCH($O86&amp;"|"&amp;$R86&amp;"|"&amp;$AE86,'ASIGNACIONES'!$N$4:$N$451,0)),0)-$AG86)</f>
        <v/>
      </c>
      <c r="AI86" s="11">
        <f>IF($A86="","",IFERROR(INDEX('2_IMPORTAR_EJECUCION'!$F$9:$F$1208,MATCH($AQ86,'2_IMPORTAR_EJECUCION'!$J$9:$J$1208,0)),0))</f>
        <v/>
      </c>
      <c r="AJ86" s="11">
        <f>IF($A86="","",MAX(0,IFERROR(INDEX('2_IMPORTAR_EJECUCION'!$H$9:$H$1208,MATCH($AQ86,'2_IMPORTAR_EJECUCION'!$J$9:$J$1208,0)),0)-$AI86))</f>
        <v/>
      </c>
      <c r="AK86" s="11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46240</v>
      </c>
      <c r="K87" s="3" t="n">
        <v>10</v>
      </c>
      <c r="L87" s="11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IF($H87="","",IFERROR(INDEX('CAT_ACTIVIDADES'!$B$4:$B$8,MATCH($H87,'CAT_ACTIVIDADES'!$A$4:$A$8,0)),"(sin catálogo)"))</f>
        <v/>
      </c>
      <c r="AA87" s="13">
        <f>IF($J87="","",TODAY()-$J87)</f>
        <v/>
      </c>
      <c r="AB87" s="13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IF($AE87="","",IF((IFERROR(INDEX('ASIGNACIONES'!$J$4:$J$451,MATCH($O87&amp;"|"&amp;$R87&amp;"|"&amp;$AE87,'ASIGNACIONES'!$N$4:$N$451,0)),""))=0,"",IFERROR(INDEX('ASIGNACIONES'!$J$4:$J$451,MATCH($O87&amp;"|"&amp;$R87&amp;"|"&amp;$AE87,'ASIGNACIONES'!$N$4:$N$451,0)),"")))</f>
        <v/>
      </c>
      <c r="AG87" s="14">
        <f>IF($AE87="","",SUMIFS('ORDENES'!$M$4:$M$1203,'ORDENES'!$AE$4:$AE$1203,$AE87,'ORDENES'!$O$4:$O$1203,$O87,'ORDENES'!$R$4:$R$1203,$R87))</f>
        <v/>
      </c>
      <c r="AH87" s="14">
        <f>IF($AG87="","",p_factor_productividad*IFERROR(INDEX('ASIGNACIONES'!$M$4:$M$451,MATCH($O87&amp;"|"&amp;$R87&amp;"|"&amp;$AE87,'ASIGNACIONES'!$N$4:$N$451,0)),0)-$AG87)</f>
        <v/>
      </c>
      <c r="AI87" s="11">
        <f>IF($A87="","",IFERROR(INDEX('2_IMPORTAR_EJECUCION'!$F$9:$F$1208,MATCH($AQ87,'2_IMPORTAR_EJECUCION'!$J$9:$J$1208,0)),0))</f>
        <v/>
      </c>
      <c r="AJ87" s="11">
        <f>IF($A87="","",MAX(0,IFERROR(INDEX('2_IMPORTAR_EJECUCION'!$H$9:$H$1208,MATCH($AQ87,'2_IMPORTAR_EJECUCION'!$J$9:$J$1208,0)),0)-$AI87))</f>
        <v/>
      </c>
      <c r="AK87" s="11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46220</v>
      </c>
      <c r="K88" s="3" t="n">
        <v>10</v>
      </c>
      <c r="L88" s="11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IF($H88="","",IFERROR(INDEX('CAT_ACTIVIDADES'!$B$4:$B$8,MATCH($H88,'CAT_ACTIVIDADES'!$A$4:$A$8,0)),"(sin catálogo)"))</f>
        <v/>
      </c>
      <c r="AA88" s="13">
        <f>IF($J88="","",TODAY()-$J88)</f>
        <v/>
      </c>
      <c r="AB88" s="13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15</t>
        </is>
      </c>
      <c r="AF88" s="3">
        <f>IF($AE88="","",IF((IFERROR(INDEX('ASIGNACIONES'!$J$4:$J$451,MATCH($O88&amp;"|"&amp;$R88&amp;"|"&amp;$AE88,'ASIGNACIONES'!$N$4:$N$451,0)),""))=0,"",IFERROR(INDEX('ASIGNACIONES'!$J$4:$J$451,MATCH($O88&amp;"|"&amp;$R88&amp;"|"&amp;$AE88,'ASIGNACIONES'!$N$4:$N$451,0)),"")))</f>
        <v/>
      </c>
      <c r="AG88" s="14">
        <f>IF($AE88="","",SUMIFS('ORDENES'!$M$4:$M$1203,'ORDENES'!$AE$4:$AE$1203,$AE88,'ORDENES'!$O$4:$O$1203,$O88,'ORDENES'!$R$4:$R$1203,$R88))</f>
        <v/>
      </c>
      <c r="AH88" s="14">
        <f>IF($AG88="","",p_factor_productividad*IFERROR(INDEX('ASIGNACIONES'!$M$4:$M$451,MATCH($O88&amp;"|"&amp;$R88&amp;"|"&amp;$AE88,'ASIGNACIONES'!$N$4:$N$451,0)),0)-$AG88)</f>
        <v/>
      </c>
      <c r="AI88" s="11">
        <f>IF($A88="","",IFERROR(INDEX('2_IMPORTAR_EJECUCION'!$F$9:$F$1208,MATCH($AQ88,'2_IMPORTAR_EJECUCION'!$J$9:$J$1208,0)),0))</f>
        <v/>
      </c>
      <c r="AJ88" s="11">
        <f>IF($A88="","",MAX(0,IFERROR(INDEX('2_IMPORTAR_EJECUCION'!$H$9:$H$1208,MATCH($AQ88,'2_IMPORTAR_EJECUCION'!$J$9:$J$1208,0)),0)-$AI88))</f>
        <v/>
      </c>
      <c r="AK88" s="11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46216</v>
      </c>
      <c r="K89" s="3" t="n">
        <v>8</v>
      </c>
      <c r="L89" s="11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IF($H89="","",IFERROR(INDEX('CAT_ACTIVIDADES'!$B$4:$B$8,MATCH($H89,'CAT_ACTIVIDADES'!$A$4:$A$8,0)),"(sin catálogo)"))</f>
        <v/>
      </c>
      <c r="AA89" s="13">
        <f>IF($J89="","",TODAY()-$J89)</f>
        <v/>
      </c>
      <c r="AB89" s="13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16</t>
        </is>
      </c>
      <c r="AF89" s="3">
        <f>IF($AE89="","",IF((IFERROR(INDEX('ASIGNACIONES'!$J$4:$J$451,MATCH($O89&amp;"|"&amp;$R89&amp;"|"&amp;$AE89,'ASIGNACIONES'!$N$4:$N$451,0)),""))=0,"",IFERROR(INDEX('ASIGNACIONES'!$J$4:$J$451,MATCH($O89&amp;"|"&amp;$R89&amp;"|"&amp;$AE89,'ASIGNACIONES'!$N$4:$N$451,0)),"")))</f>
        <v/>
      </c>
      <c r="AG89" s="14">
        <f>IF($AE89="","",SUMIFS('ORDENES'!$M$4:$M$1203,'ORDENES'!$AE$4:$AE$1203,$AE89,'ORDENES'!$O$4:$O$1203,$O89,'ORDENES'!$R$4:$R$1203,$R89))</f>
        <v/>
      </c>
      <c r="AH89" s="14">
        <f>IF($AG89="","",p_factor_productividad*IFERROR(INDEX('ASIGNACIONES'!$M$4:$M$451,MATCH($O89&amp;"|"&amp;$R89&amp;"|"&amp;$AE89,'ASIGNACIONES'!$N$4:$N$451,0)),0)-$AG89)</f>
        <v/>
      </c>
      <c r="AI89" s="11">
        <f>IF($A89="","",IFERROR(INDEX('2_IMPORTAR_EJECUCION'!$F$9:$F$1208,MATCH($AQ89,'2_IMPORTAR_EJECUCION'!$J$9:$J$1208,0)),0))</f>
        <v/>
      </c>
      <c r="AJ89" s="11">
        <f>IF($A89="","",MAX(0,IFERROR(INDEX('2_IMPORTAR_EJECUCION'!$H$9:$H$1208,MATCH($AQ89,'2_IMPORTAR_EJECUCION'!$J$9:$J$1208,0)),0)-$AI89))</f>
        <v/>
      </c>
      <c r="AK89" s="11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46217</v>
      </c>
      <c r="K90" s="3" t="n">
        <v>6</v>
      </c>
      <c r="L90" s="11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IF($H90="","",IFERROR(INDEX('CAT_ACTIVIDADES'!$B$4:$B$8,MATCH($H90,'CAT_ACTIVIDADES'!$A$4:$A$8,0)),"(sin catálogo)"))</f>
        <v/>
      </c>
      <c r="AA90" s="13">
        <f>IF($J90="","",TODAY()-$J90)</f>
        <v/>
      </c>
      <c r="AB90" s="13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15</t>
        </is>
      </c>
      <c r="AF90" s="3">
        <f>IF($AE90="","",IF((IFERROR(INDEX('ASIGNACIONES'!$J$4:$J$451,MATCH($O90&amp;"|"&amp;$R90&amp;"|"&amp;$AE90,'ASIGNACIONES'!$N$4:$N$451,0)),""))=0,"",IFERROR(INDEX('ASIGNACIONES'!$J$4:$J$451,MATCH($O90&amp;"|"&amp;$R90&amp;"|"&amp;$AE90,'ASIGNACIONES'!$N$4:$N$451,0)),"")))</f>
        <v/>
      </c>
      <c r="AG90" s="14">
        <f>IF($AE90="","",SUMIFS('ORDENES'!$M$4:$M$1203,'ORDENES'!$AE$4:$AE$1203,$AE90,'ORDENES'!$O$4:$O$1203,$O90,'ORDENES'!$R$4:$R$1203,$R90))</f>
        <v/>
      </c>
      <c r="AH90" s="14">
        <f>IF($AG90="","",p_factor_productividad*IFERROR(INDEX('ASIGNACIONES'!$M$4:$M$451,MATCH($O90&amp;"|"&amp;$R90&amp;"|"&amp;$AE90,'ASIGNACIONES'!$N$4:$N$451,0)),0)-$AG90)</f>
        <v/>
      </c>
      <c r="AI90" s="11">
        <f>IF($A90="","",IFERROR(INDEX('2_IMPORTAR_EJECUCION'!$F$9:$F$1208,MATCH($AQ90,'2_IMPORTAR_EJECUCION'!$J$9:$J$1208,0)),0))</f>
        <v/>
      </c>
      <c r="AJ90" s="11">
        <f>IF($A90="","",MAX(0,IFERROR(INDEX('2_IMPORTAR_EJECUCION'!$H$9:$H$1208,MATCH($AQ90,'2_IMPORTAR_EJECUCION'!$J$9:$J$1208,0)),0)-$AI90))</f>
        <v/>
      </c>
      <c r="AK90" s="11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46218</v>
      </c>
      <c r="K91" s="3" t="n">
        <v>10</v>
      </c>
      <c r="L91" s="11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IF($H91="","",IFERROR(INDEX('CAT_ACTIVIDADES'!$B$4:$B$8,MATCH($H91,'CAT_ACTIVIDADES'!$A$4:$A$8,0)),"(sin catálogo)"))</f>
        <v/>
      </c>
      <c r="AA91" s="13">
        <f>IF($J91="","",TODAY()-$J91)</f>
        <v/>
      </c>
      <c r="AB91" s="13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16</t>
        </is>
      </c>
      <c r="AF91" s="3">
        <f>IF($AE91="","",IF((IFERROR(INDEX('ASIGNACIONES'!$J$4:$J$451,MATCH($O91&amp;"|"&amp;$R91&amp;"|"&amp;$AE91,'ASIGNACIONES'!$N$4:$N$451,0)),""))=0,"",IFERROR(INDEX('ASIGNACIONES'!$J$4:$J$451,MATCH($O91&amp;"|"&amp;$R91&amp;"|"&amp;$AE91,'ASIGNACIONES'!$N$4:$N$451,0)),"")))</f>
        <v/>
      </c>
      <c r="AG91" s="14">
        <f>IF($AE91="","",SUMIFS('ORDENES'!$M$4:$M$1203,'ORDENES'!$AE$4:$AE$1203,$AE91,'ORDENES'!$O$4:$O$1203,$O91,'ORDENES'!$R$4:$R$1203,$R91))</f>
        <v/>
      </c>
      <c r="AH91" s="14">
        <f>IF($AG91="","",p_factor_productividad*IFERROR(INDEX('ASIGNACIONES'!$M$4:$M$451,MATCH($O91&amp;"|"&amp;$R91&amp;"|"&amp;$AE91,'ASIGNACIONES'!$N$4:$N$451,0)),0)-$AG91)</f>
        <v/>
      </c>
      <c r="AI91" s="11">
        <f>IF($A91="","",IFERROR(INDEX('2_IMPORTAR_EJECUCION'!$F$9:$F$1208,MATCH($AQ91,'2_IMPORTAR_EJECUCION'!$J$9:$J$1208,0)),0))</f>
        <v/>
      </c>
      <c r="AJ91" s="11">
        <f>IF($A91="","",MAX(0,IFERROR(INDEX('2_IMPORTAR_EJECUCION'!$H$9:$H$1208,MATCH($AQ91,'2_IMPORTAR_EJECUCION'!$J$9:$J$1208,0)),0)-$AI91))</f>
        <v/>
      </c>
      <c r="AK91" s="11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46219</v>
      </c>
      <c r="K92" s="3" t="n">
        <v>6</v>
      </c>
      <c r="L92" s="11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IF($H92="","",IFERROR(INDEX('CAT_ACTIVIDADES'!$B$4:$B$8,MATCH($H92,'CAT_ACTIVIDADES'!$A$4:$A$8,0)),"(sin catálogo)"))</f>
        <v/>
      </c>
      <c r="AA92" s="13">
        <f>IF($J92="","",TODAY()-$J92)</f>
        <v/>
      </c>
      <c r="AB92" s="13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15</t>
        </is>
      </c>
      <c r="AF92" s="3">
        <f>IF($AE92="","",IF((IFERROR(INDEX('ASIGNACIONES'!$J$4:$J$451,MATCH($O92&amp;"|"&amp;$R92&amp;"|"&amp;$AE92,'ASIGNACIONES'!$N$4:$N$451,0)),""))=0,"",IFERROR(INDEX('ASIGNACIONES'!$J$4:$J$451,MATCH($O92&amp;"|"&amp;$R92&amp;"|"&amp;$AE92,'ASIGNACIONES'!$N$4:$N$451,0)),"")))</f>
        <v/>
      </c>
      <c r="AG92" s="14">
        <f>IF($AE92="","",SUMIFS('ORDENES'!$M$4:$M$1203,'ORDENES'!$AE$4:$AE$1203,$AE92,'ORDENES'!$O$4:$O$1203,$O92,'ORDENES'!$R$4:$R$1203,$R92))</f>
        <v/>
      </c>
      <c r="AH92" s="14">
        <f>IF($AG92="","",p_factor_productividad*IFERROR(INDEX('ASIGNACIONES'!$M$4:$M$451,MATCH($O92&amp;"|"&amp;$R92&amp;"|"&amp;$AE92,'ASIGNACIONES'!$N$4:$N$451,0)),0)-$AG92)</f>
        <v/>
      </c>
      <c r="AI92" s="11">
        <f>IF($A92="","",IFERROR(INDEX('2_IMPORTAR_EJECUCION'!$F$9:$F$1208,MATCH($AQ92,'2_IMPORTAR_EJECUCION'!$J$9:$J$1208,0)),0))</f>
        <v/>
      </c>
      <c r="AJ92" s="11">
        <f>IF($A92="","",MAX(0,IFERROR(INDEX('2_IMPORTAR_EJECUCION'!$H$9:$H$1208,MATCH($AQ92,'2_IMPORTAR_EJECUCION'!$J$9:$J$1208,0)),0)-$AI92))</f>
        <v/>
      </c>
      <c r="AK92" s="11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46220</v>
      </c>
      <c r="K93" s="3" t="n">
        <v>10</v>
      </c>
      <c r="L93" s="11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IF($H93="","",IFERROR(INDEX('CAT_ACTIVIDADES'!$B$4:$B$8,MATCH($H93,'CAT_ACTIVIDADES'!$A$4:$A$8,0)),"(sin catálogo)"))</f>
        <v/>
      </c>
      <c r="AA93" s="13">
        <f>IF($J93="","",TODAY()-$J93)</f>
        <v/>
      </c>
      <c r="AB93" s="13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16</t>
        </is>
      </c>
      <c r="AF93" s="3">
        <f>IF($AE93="","",IF((IFERROR(INDEX('ASIGNACIONES'!$J$4:$J$451,MATCH($O93&amp;"|"&amp;$R93&amp;"|"&amp;$AE93,'ASIGNACIONES'!$N$4:$N$451,0)),""))=0,"",IFERROR(INDEX('ASIGNACIONES'!$J$4:$J$451,MATCH($O93&amp;"|"&amp;$R93&amp;"|"&amp;$AE93,'ASIGNACIONES'!$N$4:$N$451,0)),"")))</f>
        <v/>
      </c>
      <c r="AG93" s="14">
        <f>IF($AE93="","",SUMIFS('ORDENES'!$M$4:$M$1203,'ORDENES'!$AE$4:$AE$1203,$AE93,'ORDENES'!$O$4:$O$1203,$O93,'ORDENES'!$R$4:$R$1203,$R93))</f>
        <v/>
      </c>
      <c r="AH93" s="14">
        <f>IF($AG93="","",p_factor_productividad*IFERROR(INDEX('ASIGNACIONES'!$M$4:$M$451,MATCH($O93&amp;"|"&amp;$R93&amp;"|"&amp;$AE93,'ASIGNACIONES'!$N$4:$N$451,0)),0)-$AG93)</f>
        <v/>
      </c>
      <c r="AI93" s="11">
        <f>IF($A93="","",IFERROR(INDEX('2_IMPORTAR_EJECUCION'!$F$9:$F$1208,MATCH($AQ93,'2_IMPORTAR_EJECUCION'!$J$9:$J$1208,0)),0))</f>
        <v/>
      </c>
      <c r="AJ93" s="11">
        <f>IF($A93="","",MAX(0,IFERROR(INDEX('2_IMPORTAR_EJECUCION'!$H$9:$H$1208,MATCH($AQ93,'2_IMPORTAR_EJECUCION'!$J$9:$J$1208,0)),0)-$AI93))</f>
        <v/>
      </c>
      <c r="AK93" s="11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46223</v>
      </c>
      <c r="K94" s="3" t="n">
        <v>10</v>
      </c>
      <c r="L94" s="11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IF($H94="","",IFERROR(INDEX('CAT_ACTIVIDADES'!$B$4:$B$8,MATCH($H94,'CAT_ACTIVIDADES'!$A$4:$A$8,0)),"(sin catálogo)"))</f>
        <v/>
      </c>
      <c r="AA94" s="13">
        <f>IF($J94="","",TODAY()-$J94)</f>
        <v/>
      </c>
      <c r="AB94" s="13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15</t>
        </is>
      </c>
      <c r="AF94" s="3">
        <f>IF($AE94="","",IF((IFERROR(INDEX('ASIGNACIONES'!$J$4:$J$451,MATCH($O94&amp;"|"&amp;$R94&amp;"|"&amp;$AE94,'ASIGNACIONES'!$N$4:$N$451,0)),""))=0,"",IFERROR(INDEX('ASIGNACIONES'!$J$4:$J$451,MATCH($O94&amp;"|"&amp;$R94&amp;"|"&amp;$AE94,'ASIGNACIONES'!$N$4:$N$451,0)),"")))</f>
        <v/>
      </c>
      <c r="AG94" s="14">
        <f>IF($AE94="","",SUMIFS('ORDENES'!$M$4:$M$1203,'ORDENES'!$AE$4:$AE$1203,$AE94,'ORDENES'!$O$4:$O$1203,$O94,'ORDENES'!$R$4:$R$1203,$R94))</f>
        <v/>
      </c>
      <c r="AH94" s="14">
        <f>IF($AG94="","",p_factor_productividad*IFERROR(INDEX('ASIGNACIONES'!$M$4:$M$451,MATCH($O94&amp;"|"&amp;$R94&amp;"|"&amp;$AE94,'ASIGNACIONES'!$N$4:$N$451,0)),0)-$AG94)</f>
        <v/>
      </c>
      <c r="AI94" s="11">
        <f>IF($A94="","",IFERROR(INDEX('2_IMPORTAR_EJECUCION'!$F$9:$F$1208,MATCH($AQ94,'2_IMPORTAR_EJECUCION'!$J$9:$J$1208,0)),0))</f>
        <v/>
      </c>
      <c r="AJ94" s="11">
        <f>IF($A94="","",MAX(0,IFERROR(INDEX('2_IMPORTAR_EJECUCION'!$H$9:$H$1208,MATCH($AQ94,'2_IMPORTAR_EJECUCION'!$J$9:$J$1208,0)),0)-$AI94))</f>
        <v/>
      </c>
      <c r="AK94" s="11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46224</v>
      </c>
      <c r="K95" s="3" t="n">
        <v>8</v>
      </c>
      <c r="L95" s="11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IF($H95="","",IFERROR(INDEX('CAT_ACTIVIDADES'!$B$4:$B$8,MATCH($H95,'CAT_ACTIVIDADES'!$A$4:$A$8,0)),"(sin catálogo)"))</f>
        <v/>
      </c>
      <c r="AA95" s="13">
        <f>IF($J95="","",TODAY()-$J95)</f>
        <v/>
      </c>
      <c r="AB95" s="13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16</t>
        </is>
      </c>
      <c r="AF95" s="3">
        <f>IF($AE95="","",IF((IFERROR(INDEX('ASIGNACIONES'!$J$4:$J$451,MATCH($O95&amp;"|"&amp;$R95&amp;"|"&amp;$AE95,'ASIGNACIONES'!$N$4:$N$451,0)),""))=0,"",IFERROR(INDEX('ASIGNACIONES'!$J$4:$J$451,MATCH($O95&amp;"|"&amp;$R95&amp;"|"&amp;$AE95,'ASIGNACIONES'!$N$4:$N$451,0)),"")))</f>
        <v/>
      </c>
      <c r="AG95" s="14">
        <f>IF($AE95="","",SUMIFS('ORDENES'!$M$4:$M$1203,'ORDENES'!$AE$4:$AE$1203,$AE95,'ORDENES'!$O$4:$O$1203,$O95,'ORDENES'!$R$4:$R$1203,$R95))</f>
        <v/>
      </c>
      <c r="AH95" s="14">
        <f>IF($AG95="","",p_factor_productividad*IFERROR(INDEX('ASIGNACIONES'!$M$4:$M$451,MATCH($O95&amp;"|"&amp;$R95&amp;"|"&amp;$AE95,'ASIGNACIONES'!$N$4:$N$451,0)),0)-$AG95)</f>
        <v/>
      </c>
      <c r="AI95" s="11">
        <f>IF($A95="","",IFERROR(INDEX('2_IMPORTAR_EJECUCION'!$F$9:$F$1208,MATCH($AQ95,'2_IMPORTAR_EJECUCION'!$J$9:$J$1208,0)),0))</f>
        <v/>
      </c>
      <c r="AJ95" s="11">
        <f>IF($A95="","",MAX(0,IFERROR(INDEX('2_IMPORTAR_EJECUCION'!$H$9:$H$1208,MATCH($AQ95,'2_IMPORTAR_EJECUCION'!$J$9:$J$1208,0)),0)-$AI95))</f>
        <v/>
      </c>
      <c r="AK95" s="11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46225</v>
      </c>
      <c r="K96" s="3" t="n">
        <v>6</v>
      </c>
      <c r="L96" s="11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IF($H96="","",IFERROR(INDEX('CAT_ACTIVIDADES'!$B$4:$B$8,MATCH($H96,'CAT_ACTIVIDADES'!$A$4:$A$8,0)),"(sin catálogo)"))</f>
        <v/>
      </c>
      <c r="AA96" s="13">
        <f>IF($J96="","",TODAY()-$J96)</f>
        <v/>
      </c>
      <c r="AB96" s="13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15</t>
        </is>
      </c>
      <c r="AF96" s="3">
        <f>IF($AE96="","",IF((IFERROR(INDEX('ASIGNACIONES'!$J$4:$J$451,MATCH($O96&amp;"|"&amp;$R96&amp;"|"&amp;$AE96,'ASIGNACIONES'!$N$4:$N$451,0)),""))=0,"",IFERROR(INDEX('ASIGNACIONES'!$J$4:$J$451,MATCH($O96&amp;"|"&amp;$R96&amp;"|"&amp;$AE96,'ASIGNACIONES'!$N$4:$N$451,0)),"")))</f>
        <v/>
      </c>
      <c r="AG96" s="14">
        <f>IF($AE96="","",SUMIFS('ORDENES'!$M$4:$M$1203,'ORDENES'!$AE$4:$AE$1203,$AE96,'ORDENES'!$O$4:$O$1203,$O96,'ORDENES'!$R$4:$R$1203,$R96))</f>
        <v/>
      </c>
      <c r="AH96" s="14">
        <f>IF($AG96="","",p_factor_productividad*IFERROR(INDEX('ASIGNACIONES'!$M$4:$M$451,MATCH($O96&amp;"|"&amp;$R96&amp;"|"&amp;$AE96,'ASIGNACIONES'!$N$4:$N$451,0)),0)-$AG96)</f>
        <v/>
      </c>
      <c r="AI96" s="11">
        <f>IF($A96="","",IFERROR(INDEX('2_IMPORTAR_EJECUCION'!$F$9:$F$1208,MATCH($AQ96,'2_IMPORTAR_EJECUCION'!$J$9:$J$1208,0)),0))</f>
        <v/>
      </c>
      <c r="AJ96" s="11">
        <f>IF($A96="","",MAX(0,IFERROR(INDEX('2_IMPORTAR_EJECUCION'!$H$9:$H$1208,MATCH($AQ96,'2_IMPORTAR_EJECUCION'!$J$9:$J$1208,0)),0)-$AI96))</f>
        <v/>
      </c>
      <c r="AK96" s="11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46226</v>
      </c>
      <c r="K97" s="3" t="n">
        <v>10</v>
      </c>
      <c r="L97" s="11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IF($H97="","",IFERROR(INDEX('CAT_ACTIVIDADES'!$B$4:$B$8,MATCH($H97,'CAT_ACTIVIDADES'!$A$4:$A$8,0)),"(sin catálogo)"))</f>
        <v/>
      </c>
      <c r="AA97" s="13">
        <f>IF($J97="","",TODAY()-$J97)</f>
        <v/>
      </c>
      <c r="AB97" s="13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16</t>
        </is>
      </c>
      <c r="AF97" s="3">
        <f>IF($AE97="","",IF((IFERROR(INDEX('ASIGNACIONES'!$J$4:$J$451,MATCH($O97&amp;"|"&amp;$R97&amp;"|"&amp;$AE97,'ASIGNACIONES'!$N$4:$N$451,0)),""))=0,"",IFERROR(INDEX('ASIGNACIONES'!$J$4:$J$451,MATCH($O97&amp;"|"&amp;$R97&amp;"|"&amp;$AE97,'ASIGNACIONES'!$N$4:$N$451,0)),"")))</f>
        <v/>
      </c>
      <c r="AG97" s="14">
        <f>IF($AE97="","",SUMIFS('ORDENES'!$M$4:$M$1203,'ORDENES'!$AE$4:$AE$1203,$AE97,'ORDENES'!$O$4:$O$1203,$O97,'ORDENES'!$R$4:$R$1203,$R97))</f>
        <v/>
      </c>
      <c r="AH97" s="14">
        <f>IF($AG97="","",p_factor_productividad*IFERROR(INDEX('ASIGNACIONES'!$M$4:$M$451,MATCH($O97&amp;"|"&amp;$R97&amp;"|"&amp;$AE97,'ASIGNACIONES'!$N$4:$N$451,0)),0)-$AG97)</f>
        <v/>
      </c>
      <c r="AI97" s="11">
        <f>IF($A97="","",IFERROR(INDEX('2_IMPORTAR_EJECUCION'!$F$9:$F$1208,MATCH($AQ97,'2_IMPORTAR_EJECUCION'!$J$9:$J$1208,0)),0))</f>
        <v/>
      </c>
      <c r="AJ97" s="11">
        <f>IF($A97="","",MAX(0,IFERROR(INDEX('2_IMPORTAR_EJECUCION'!$H$9:$H$1208,MATCH($AQ97,'2_IMPORTAR_EJECUCION'!$J$9:$J$1208,0)),0)-$AI97))</f>
        <v/>
      </c>
      <c r="AK97" s="11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46227</v>
      </c>
      <c r="K98" s="3" t="n">
        <v>11</v>
      </c>
      <c r="L98" s="11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IF($H98="","",IFERROR(INDEX('CAT_ACTIVIDADES'!$B$4:$B$8,MATCH($H98,'CAT_ACTIVIDADES'!$A$4:$A$8,0)),"(sin catálogo)"))</f>
        <v/>
      </c>
      <c r="AA98" s="13">
        <f>IF($J98="","",TODAY()-$J98)</f>
        <v/>
      </c>
      <c r="AB98" s="13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15</t>
        </is>
      </c>
      <c r="AF98" s="3">
        <f>IF($AE98="","",IF((IFERROR(INDEX('ASIGNACIONES'!$J$4:$J$451,MATCH($O98&amp;"|"&amp;$R98&amp;"|"&amp;$AE98,'ASIGNACIONES'!$N$4:$N$451,0)),""))=0,"",IFERROR(INDEX('ASIGNACIONES'!$J$4:$J$451,MATCH($O98&amp;"|"&amp;$R98&amp;"|"&amp;$AE98,'ASIGNACIONES'!$N$4:$N$451,0)),"")))</f>
        <v/>
      </c>
      <c r="AG98" s="14">
        <f>IF($AE98="","",SUMIFS('ORDENES'!$M$4:$M$1203,'ORDENES'!$AE$4:$AE$1203,$AE98,'ORDENES'!$O$4:$O$1203,$O98,'ORDENES'!$R$4:$R$1203,$R98))</f>
        <v/>
      </c>
      <c r="AH98" s="14">
        <f>IF($AG98="","",p_factor_productividad*IFERROR(INDEX('ASIGNACIONES'!$M$4:$M$451,MATCH($O98&amp;"|"&amp;$R98&amp;"|"&amp;$AE98,'ASIGNACIONES'!$N$4:$N$451,0)),0)-$AG98)</f>
        <v/>
      </c>
      <c r="AI98" s="11">
        <f>IF($A98="","",IFERROR(INDEX('2_IMPORTAR_EJECUCION'!$F$9:$F$1208,MATCH($AQ98,'2_IMPORTAR_EJECUCION'!$J$9:$J$1208,0)),0))</f>
        <v/>
      </c>
      <c r="AJ98" s="11">
        <f>IF($A98="","",MAX(0,IFERROR(INDEX('2_IMPORTAR_EJECUCION'!$H$9:$H$1208,MATCH($AQ98,'2_IMPORTAR_EJECUCION'!$J$9:$J$1208,0)),0)-$AI98))</f>
        <v/>
      </c>
      <c r="AK98" s="11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46223</v>
      </c>
      <c r="K99" s="3" t="n">
        <v>10</v>
      </c>
      <c r="L99" s="11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IF($H99="","",IFERROR(INDEX('CAT_ACTIVIDADES'!$B$4:$B$8,MATCH($H99,'CAT_ACTIVIDADES'!$A$4:$A$8,0)),"(sin catálogo)"))</f>
        <v/>
      </c>
      <c r="AA99" s="13">
        <f>IF($J99="","",TODAY()-$J99)</f>
        <v/>
      </c>
      <c r="AB99" s="13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IF($AE99="","",IF((IFERROR(INDEX('ASIGNACIONES'!$J$4:$J$451,MATCH($O99&amp;"|"&amp;$R99&amp;"|"&amp;$AE99,'ASIGNACIONES'!$N$4:$N$451,0)),""))=0,"",IFERROR(INDEX('ASIGNACIONES'!$J$4:$J$451,MATCH($O99&amp;"|"&amp;$R99&amp;"|"&amp;$AE99,'ASIGNACIONES'!$N$4:$N$451,0)),"")))</f>
        <v/>
      </c>
      <c r="AG99" s="14">
        <f>IF($AE99="","",SUMIFS('ORDENES'!$M$4:$M$1203,'ORDENES'!$AE$4:$AE$1203,$AE99,'ORDENES'!$O$4:$O$1203,$O99,'ORDENES'!$R$4:$R$1203,$R99))</f>
        <v/>
      </c>
      <c r="AH99" s="14">
        <f>IF($AG99="","",p_factor_productividad*IFERROR(INDEX('ASIGNACIONES'!$M$4:$M$451,MATCH($O99&amp;"|"&amp;$R99&amp;"|"&amp;$AE99,'ASIGNACIONES'!$N$4:$N$451,0)),0)-$AG99)</f>
        <v/>
      </c>
      <c r="AI99" s="11">
        <f>IF($A99="","",IFERROR(INDEX('2_IMPORTAR_EJECUCION'!$F$9:$F$1208,MATCH($AQ99,'2_IMPORTAR_EJECUCION'!$J$9:$J$1208,0)),0))</f>
        <v/>
      </c>
      <c r="AJ99" s="11">
        <f>IF($A99="","",MAX(0,IFERROR(INDEX('2_IMPORTAR_EJECUCION'!$H$9:$H$1208,MATCH($AQ99,'2_IMPORTAR_EJECUCION'!$J$9:$J$1208,0)),0)-$AI99))</f>
        <v/>
      </c>
      <c r="AK99" s="11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46231</v>
      </c>
      <c r="K100" s="3" t="n">
        <v>10</v>
      </c>
      <c r="L100" s="11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IF($H100="","",IFERROR(INDEX('CAT_ACTIVIDADES'!$B$4:$B$8,MATCH($H100,'CAT_ACTIVIDADES'!$A$4:$A$8,0)),"(sin catálogo)"))</f>
        <v/>
      </c>
      <c r="AA100" s="13">
        <f>IF($J100="","",TODAY()-$J100)</f>
        <v/>
      </c>
      <c r="AB100" s="13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15</t>
        </is>
      </c>
      <c r="AF100" s="3">
        <f>IF($AE100="","",IF((IFERROR(INDEX('ASIGNACIONES'!$J$4:$J$451,MATCH($O100&amp;"|"&amp;$R100&amp;"|"&amp;$AE100,'ASIGNACIONES'!$N$4:$N$451,0)),""))=0,"",IFERROR(INDEX('ASIGNACIONES'!$J$4:$J$451,MATCH($O100&amp;"|"&amp;$R100&amp;"|"&amp;$AE100,'ASIGNACIONES'!$N$4:$N$451,0)),"")))</f>
        <v/>
      </c>
      <c r="AG100" s="14">
        <f>IF($AE100="","",SUMIFS('ORDENES'!$M$4:$M$1203,'ORDENES'!$AE$4:$AE$1203,$AE100,'ORDENES'!$O$4:$O$1203,$O100,'ORDENES'!$R$4:$R$1203,$R100))</f>
        <v/>
      </c>
      <c r="AH100" s="14">
        <f>IF($AG100="","",p_factor_productividad*IFERROR(INDEX('ASIGNACIONES'!$M$4:$M$451,MATCH($O100&amp;"|"&amp;$R100&amp;"|"&amp;$AE100,'ASIGNACIONES'!$N$4:$N$451,0)),0)-$AG100)</f>
        <v/>
      </c>
      <c r="AI100" s="11">
        <f>IF($A100="","",IFERROR(INDEX('2_IMPORTAR_EJECUCION'!$F$9:$F$1208,MATCH($AQ100,'2_IMPORTAR_EJECUCION'!$J$9:$J$1208,0)),0))</f>
        <v/>
      </c>
      <c r="AJ100" s="11">
        <f>IF($A100="","",MAX(0,IFERROR(INDEX('2_IMPORTAR_EJECUCION'!$H$9:$H$1208,MATCH($AQ100,'2_IMPORTAR_EJECUCION'!$J$9:$J$1208,0)),0)-$AI100))</f>
        <v/>
      </c>
      <c r="AK100" s="11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46232</v>
      </c>
      <c r="K101" s="3" t="n">
        <v>8</v>
      </c>
      <c r="L101" s="11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IF($H101="","",IFERROR(INDEX('CAT_ACTIVIDADES'!$B$4:$B$8,MATCH($H101,'CAT_ACTIVIDADES'!$A$4:$A$8,0)),"(sin catálogo)"))</f>
        <v/>
      </c>
      <c r="AA101" s="13">
        <f>IF($J101="","",TODAY()-$J101)</f>
        <v/>
      </c>
      <c r="AB101" s="13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16</t>
        </is>
      </c>
      <c r="AF101" s="3">
        <f>IF($AE101="","",IF((IFERROR(INDEX('ASIGNACIONES'!$J$4:$J$451,MATCH($O101&amp;"|"&amp;$R101&amp;"|"&amp;$AE101,'ASIGNACIONES'!$N$4:$N$451,0)),""))=0,"",IFERROR(INDEX('ASIGNACIONES'!$J$4:$J$451,MATCH($O101&amp;"|"&amp;$R101&amp;"|"&amp;$AE101,'ASIGNACIONES'!$N$4:$N$451,0)),"")))</f>
        <v/>
      </c>
      <c r="AG101" s="14">
        <f>IF($AE101="","",SUMIFS('ORDENES'!$M$4:$M$1203,'ORDENES'!$AE$4:$AE$1203,$AE101,'ORDENES'!$O$4:$O$1203,$O101,'ORDENES'!$R$4:$R$1203,$R101))</f>
        <v/>
      </c>
      <c r="AH101" s="14">
        <f>IF($AG101="","",p_factor_productividad*IFERROR(INDEX('ASIGNACIONES'!$M$4:$M$451,MATCH($O101&amp;"|"&amp;$R101&amp;"|"&amp;$AE101,'ASIGNACIONES'!$N$4:$N$451,0)),0)-$AG101)</f>
        <v/>
      </c>
      <c r="AI101" s="11">
        <f>IF($A101="","",IFERROR(INDEX('2_IMPORTAR_EJECUCION'!$F$9:$F$1208,MATCH($AQ101,'2_IMPORTAR_EJECUCION'!$J$9:$J$1208,0)),0))</f>
        <v/>
      </c>
      <c r="AJ101" s="11">
        <f>IF($A101="","",MAX(0,IFERROR(INDEX('2_IMPORTAR_EJECUCION'!$H$9:$H$1208,MATCH($AQ101,'2_IMPORTAR_EJECUCION'!$J$9:$J$1208,0)),0)-$AI101))</f>
        <v/>
      </c>
      <c r="AK101" s="11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46233</v>
      </c>
      <c r="K102" s="3" t="n">
        <v>6</v>
      </c>
      <c r="L102" s="11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IF($H102="","",IFERROR(INDEX('CAT_ACTIVIDADES'!$B$4:$B$8,MATCH($H102,'CAT_ACTIVIDADES'!$A$4:$A$8,0)),"(sin catálogo)"))</f>
        <v/>
      </c>
      <c r="AA102" s="13">
        <f>IF($J102="","",TODAY()-$J102)</f>
        <v/>
      </c>
      <c r="AB102" s="13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15</t>
        </is>
      </c>
      <c r="AF102" s="3">
        <f>IF($AE102="","",IF((IFERROR(INDEX('ASIGNACIONES'!$J$4:$J$451,MATCH($O102&amp;"|"&amp;$R102&amp;"|"&amp;$AE102,'ASIGNACIONES'!$N$4:$N$451,0)),""))=0,"",IFERROR(INDEX('ASIGNACIONES'!$J$4:$J$451,MATCH($O102&amp;"|"&amp;$R102&amp;"|"&amp;$AE102,'ASIGNACIONES'!$N$4:$N$451,0)),"")))</f>
        <v/>
      </c>
      <c r="AG102" s="14">
        <f>IF($AE102="","",SUMIFS('ORDENES'!$M$4:$M$1203,'ORDENES'!$AE$4:$AE$1203,$AE102,'ORDENES'!$O$4:$O$1203,$O102,'ORDENES'!$R$4:$R$1203,$R102))</f>
        <v/>
      </c>
      <c r="AH102" s="14">
        <f>IF($AG102="","",p_factor_productividad*IFERROR(INDEX('ASIGNACIONES'!$M$4:$M$451,MATCH($O102&amp;"|"&amp;$R102&amp;"|"&amp;$AE102,'ASIGNACIONES'!$N$4:$N$451,0)),0)-$AG102)</f>
        <v/>
      </c>
      <c r="AI102" s="11">
        <f>IF($A102="","",IFERROR(INDEX('2_IMPORTAR_EJECUCION'!$F$9:$F$1208,MATCH($AQ102,'2_IMPORTAR_EJECUCION'!$J$9:$J$1208,0)),0))</f>
        <v/>
      </c>
      <c r="AJ102" s="11">
        <f>IF($A102="","",MAX(0,IFERROR(INDEX('2_IMPORTAR_EJECUCION'!$H$9:$H$1208,MATCH($AQ102,'2_IMPORTAR_EJECUCION'!$J$9:$J$1208,0)),0)-$AI102))</f>
        <v/>
      </c>
      <c r="AK102" s="11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46234</v>
      </c>
      <c r="K103" s="3" t="n">
        <v>11</v>
      </c>
      <c r="L103" s="11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IF($H103="","",IFERROR(INDEX('CAT_ACTIVIDADES'!$B$4:$B$8,MATCH($H103,'CAT_ACTIVIDADES'!$A$4:$A$8,0)),"(sin catálogo)"))</f>
        <v/>
      </c>
      <c r="AA103" s="13">
        <f>IF($J103="","",TODAY()-$J103)</f>
        <v/>
      </c>
      <c r="AB103" s="13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16</t>
        </is>
      </c>
      <c r="AF103" s="3">
        <f>IF($AE103="","",IF((IFERROR(INDEX('ASIGNACIONES'!$J$4:$J$451,MATCH($O103&amp;"|"&amp;$R103&amp;"|"&amp;$AE103,'ASIGNACIONES'!$N$4:$N$451,0)),""))=0,"",IFERROR(INDEX('ASIGNACIONES'!$J$4:$J$451,MATCH($O103&amp;"|"&amp;$R103&amp;"|"&amp;$AE103,'ASIGNACIONES'!$N$4:$N$451,0)),"")))</f>
        <v/>
      </c>
      <c r="AG103" s="14">
        <f>IF($AE103="","",SUMIFS('ORDENES'!$M$4:$M$1203,'ORDENES'!$AE$4:$AE$1203,$AE103,'ORDENES'!$O$4:$O$1203,$O103,'ORDENES'!$R$4:$R$1203,$R103))</f>
        <v/>
      </c>
      <c r="AH103" s="14">
        <f>IF($AG103="","",p_factor_productividad*IFERROR(INDEX('ASIGNACIONES'!$M$4:$M$451,MATCH($O103&amp;"|"&amp;$R103&amp;"|"&amp;$AE103,'ASIGNACIONES'!$N$4:$N$451,0)),0)-$AG103)</f>
        <v/>
      </c>
      <c r="AI103" s="11">
        <f>IF($A103="","",IFERROR(INDEX('2_IMPORTAR_EJECUCION'!$F$9:$F$1208,MATCH($AQ103,'2_IMPORTAR_EJECUCION'!$J$9:$J$1208,0)),0))</f>
        <v/>
      </c>
      <c r="AJ103" s="11">
        <f>IF($A103="","",MAX(0,IFERROR(INDEX('2_IMPORTAR_EJECUCION'!$H$9:$H$1208,MATCH($AQ103,'2_IMPORTAR_EJECUCION'!$J$9:$J$1208,0)),0)-$AI103))</f>
        <v/>
      </c>
      <c r="AK103" s="11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46230</v>
      </c>
      <c r="K104" s="3" t="n">
        <v>7</v>
      </c>
      <c r="L104" s="11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IF($H104="","",IFERROR(INDEX('CAT_ACTIVIDADES'!$B$4:$B$8,MATCH($H104,'CAT_ACTIVIDADES'!$A$4:$A$8,0)),"(sin catálogo)"))</f>
        <v/>
      </c>
      <c r="AA104" s="13">
        <f>IF($J104="","",TODAY()-$J104)</f>
        <v/>
      </c>
      <c r="AB104" s="13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15</t>
        </is>
      </c>
      <c r="AF104" s="3">
        <f>IF($AE104="","",IF((IFERROR(INDEX('ASIGNACIONES'!$J$4:$J$451,MATCH($O104&amp;"|"&amp;$R104&amp;"|"&amp;$AE104,'ASIGNACIONES'!$N$4:$N$451,0)),""))=0,"",IFERROR(INDEX('ASIGNACIONES'!$J$4:$J$451,MATCH($O104&amp;"|"&amp;$R104&amp;"|"&amp;$AE104,'ASIGNACIONES'!$N$4:$N$451,0)),"")))</f>
        <v/>
      </c>
      <c r="AG104" s="14">
        <f>IF($AE104="","",SUMIFS('ORDENES'!$M$4:$M$1203,'ORDENES'!$AE$4:$AE$1203,$AE104,'ORDENES'!$O$4:$O$1203,$O104,'ORDENES'!$R$4:$R$1203,$R104))</f>
        <v/>
      </c>
      <c r="AH104" s="14">
        <f>IF($AG104="","",p_factor_productividad*IFERROR(INDEX('ASIGNACIONES'!$M$4:$M$451,MATCH($O104&amp;"|"&amp;$R104&amp;"|"&amp;$AE104,'ASIGNACIONES'!$N$4:$N$451,0)),0)-$AG104)</f>
        <v/>
      </c>
      <c r="AI104" s="11">
        <f>IF($A104="","",IFERROR(INDEX('2_IMPORTAR_EJECUCION'!$F$9:$F$1208,MATCH($AQ104,'2_IMPORTAR_EJECUCION'!$J$9:$J$1208,0)),0))</f>
        <v/>
      </c>
      <c r="AJ104" s="11">
        <f>IF($A104="","",MAX(0,IFERROR(INDEX('2_IMPORTAR_EJECUCION'!$H$9:$H$1208,MATCH($AQ104,'2_IMPORTAR_EJECUCION'!$J$9:$J$1208,0)),0)-$AI104))</f>
        <v/>
      </c>
      <c r="AK104" s="11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46238</v>
      </c>
      <c r="K105" s="3" t="n">
        <v>10</v>
      </c>
      <c r="L105" s="11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IF($H105="","",IFERROR(INDEX('CAT_ACTIVIDADES'!$B$4:$B$8,MATCH($H105,'CAT_ACTIVIDADES'!$A$4:$A$8,0)),"(sin catálogo)"))</f>
        <v/>
      </c>
      <c r="AA105" s="13">
        <f>IF($J105="","",TODAY()-$J105)</f>
        <v/>
      </c>
      <c r="AB105" s="13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16</t>
        </is>
      </c>
      <c r="AF105" s="3">
        <f>IF($AE105="","",IF((IFERROR(INDEX('ASIGNACIONES'!$J$4:$J$451,MATCH($O105&amp;"|"&amp;$R105&amp;"|"&amp;$AE105,'ASIGNACIONES'!$N$4:$N$451,0)),""))=0,"",IFERROR(INDEX('ASIGNACIONES'!$J$4:$J$451,MATCH($O105&amp;"|"&amp;$R105&amp;"|"&amp;$AE105,'ASIGNACIONES'!$N$4:$N$451,0)),"")))</f>
        <v/>
      </c>
      <c r="AG105" s="14">
        <f>IF($AE105="","",SUMIFS('ORDENES'!$M$4:$M$1203,'ORDENES'!$AE$4:$AE$1203,$AE105,'ORDENES'!$O$4:$O$1203,$O105,'ORDENES'!$R$4:$R$1203,$R105))</f>
        <v/>
      </c>
      <c r="AH105" s="14">
        <f>IF($AG105="","",p_factor_productividad*IFERROR(INDEX('ASIGNACIONES'!$M$4:$M$451,MATCH($O105&amp;"|"&amp;$R105&amp;"|"&amp;$AE105,'ASIGNACIONES'!$N$4:$N$451,0)),0)-$AG105)</f>
        <v/>
      </c>
      <c r="AI105" s="11">
        <f>IF($A105="","",IFERROR(INDEX('2_IMPORTAR_EJECUCION'!$F$9:$F$1208,MATCH($AQ105,'2_IMPORTAR_EJECUCION'!$J$9:$J$1208,0)),0))</f>
        <v/>
      </c>
      <c r="AJ105" s="11">
        <f>IF($A105="","",MAX(0,IFERROR(INDEX('2_IMPORTAR_EJECUCION'!$H$9:$H$1208,MATCH($AQ105,'2_IMPORTAR_EJECUCION'!$J$9:$J$1208,0)),0)-$AI105))</f>
        <v/>
      </c>
      <c r="AK105" s="11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46239</v>
      </c>
      <c r="K106" s="3" t="n">
        <v>8</v>
      </c>
      <c r="L106" s="11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IF($H106="","",IFERROR(INDEX('CAT_ACTIVIDADES'!$B$4:$B$8,MATCH($H106,'CAT_ACTIVIDADES'!$A$4:$A$8,0)),"(sin catálogo)"))</f>
        <v/>
      </c>
      <c r="AA106" s="13">
        <f>IF($J106="","",TODAY()-$J106)</f>
        <v/>
      </c>
      <c r="AB106" s="13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15</t>
        </is>
      </c>
      <c r="AF106" s="3">
        <f>IF($AE106="","",IF((IFERROR(INDEX('ASIGNACIONES'!$J$4:$J$451,MATCH($O106&amp;"|"&amp;$R106&amp;"|"&amp;$AE106,'ASIGNACIONES'!$N$4:$N$451,0)),""))=0,"",IFERROR(INDEX('ASIGNACIONES'!$J$4:$J$451,MATCH($O106&amp;"|"&amp;$R106&amp;"|"&amp;$AE106,'ASIGNACIONES'!$N$4:$N$451,0)),"")))</f>
        <v/>
      </c>
      <c r="AG106" s="14">
        <f>IF($AE106="","",SUMIFS('ORDENES'!$M$4:$M$1203,'ORDENES'!$AE$4:$AE$1203,$AE106,'ORDENES'!$O$4:$O$1203,$O106,'ORDENES'!$R$4:$R$1203,$R106))</f>
        <v/>
      </c>
      <c r="AH106" s="14">
        <f>IF($AG106="","",p_factor_productividad*IFERROR(INDEX('ASIGNACIONES'!$M$4:$M$451,MATCH($O106&amp;"|"&amp;$R106&amp;"|"&amp;$AE106,'ASIGNACIONES'!$N$4:$N$451,0)),0)-$AG106)</f>
        <v/>
      </c>
      <c r="AI106" s="11">
        <f>IF($A106="","",IFERROR(INDEX('2_IMPORTAR_EJECUCION'!$F$9:$F$1208,MATCH($AQ106,'2_IMPORTAR_EJECUCION'!$J$9:$J$1208,0)),0))</f>
        <v/>
      </c>
      <c r="AJ106" s="11">
        <f>IF($A106="","",MAX(0,IFERROR(INDEX('2_IMPORTAR_EJECUCION'!$H$9:$H$1208,MATCH($AQ106,'2_IMPORTAR_EJECUCION'!$J$9:$J$1208,0)),0)-$AI106))</f>
        <v/>
      </c>
      <c r="AK106" s="11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46240</v>
      </c>
      <c r="K107" s="3" t="n">
        <v>6</v>
      </c>
      <c r="L107" s="11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IF($H107="","",IFERROR(INDEX('CAT_ACTIVIDADES'!$B$4:$B$8,MATCH($H107,'CAT_ACTIVIDADES'!$A$4:$A$8,0)),"(sin catálogo)"))</f>
        <v/>
      </c>
      <c r="AA107" s="13">
        <f>IF($J107="","",TODAY()-$J107)</f>
        <v/>
      </c>
      <c r="AB107" s="13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16</t>
        </is>
      </c>
      <c r="AF107" s="3">
        <f>IF($AE107="","",IF((IFERROR(INDEX('ASIGNACIONES'!$J$4:$J$451,MATCH($O107&amp;"|"&amp;$R107&amp;"|"&amp;$AE107,'ASIGNACIONES'!$N$4:$N$451,0)),""))=0,"",IFERROR(INDEX('ASIGNACIONES'!$J$4:$J$451,MATCH($O107&amp;"|"&amp;$R107&amp;"|"&amp;$AE107,'ASIGNACIONES'!$N$4:$N$451,0)),"")))</f>
        <v/>
      </c>
      <c r="AG107" s="14">
        <f>IF($AE107="","",SUMIFS('ORDENES'!$M$4:$M$1203,'ORDENES'!$AE$4:$AE$1203,$AE107,'ORDENES'!$O$4:$O$1203,$O107,'ORDENES'!$R$4:$R$1203,$R107))</f>
        <v/>
      </c>
      <c r="AH107" s="14">
        <f>IF($AG107="","",p_factor_productividad*IFERROR(INDEX('ASIGNACIONES'!$M$4:$M$451,MATCH($O107&amp;"|"&amp;$R107&amp;"|"&amp;$AE107,'ASIGNACIONES'!$N$4:$N$451,0)),0)-$AG107)</f>
        <v/>
      </c>
      <c r="AI107" s="11">
        <f>IF($A107="","",IFERROR(INDEX('2_IMPORTAR_EJECUCION'!$F$9:$F$1208,MATCH($AQ107,'2_IMPORTAR_EJECUCION'!$J$9:$J$1208,0)),0))</f>
        <v/>
      </c>
      <c r="AJ107" s="11">
        <f>IF($A107="","",MAX(0,IFERROR(INDEX('2_IMPORTAR_EJECUCION'!$H$9:$H$1208,MATCH($AQ107,'2_IMPORTAR_EJECUCION'!$J$9:$J$1208,0)),0)-$AI107))</f>
        <v/>
      </c>
      <c r="AK107" s="11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46241</v>
      </c>
      <c r="K108" s="3" t="n">
        <v>6</v>
      </c>
      <c r="L108" s="11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IF($H108="","",IFERROR(INDEX('CAT_ACTIVIDADES'!$B$4:$B$8,MATCH($H108,'CAT_ACTIVIDADES'!$A$4:$A$8,0)),"(sin catálogo)"))</f>
        <v/>
      </c>
      <c r="AA108" s="13">
        <f>IF($J108="","",TODAY()-$J108)</f>
        <v/>
      </c>
      <c r="AB108" s="13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15</t>
        </is>
      </c>
      <c r="AF108" s="3">
        <f>IF($AE108="","",IF((IFERROR(INDEX('ASIGNACIONES'!$J$4:$J$451,MATCH($O108&amp;"|"&amp;$R108&amp;"|"&amp;$AE108,'ASIGNACIONES'!$N$4:$N$451,0)),""))=0,"",IFERROR(INDEX('ASIGNACIONES'!$J$4:$J$451,MATCH($O108&amp;"|"&amp;$R108&amp;"|"&amp;$AE108,'ASIGNACIONES'!$N$4:$N$451,0)),"")))</f>
        <v/>
      </c>
      <c r="AG108" s="14">
        <f>IF($AE108="","",SUMIFS('ORDENES'!$M$4:$M$1203,'ORDENES'!$AE$4:$AE$1203,$AE108,'ORDENES'!$O$4:$O$1203,$O108,'ORDENES'!$R$4:$R$1203,$R108))</f>
        <v/>
      </c>
      <c r="AH108" s="14">
        <f>IF($AG108="","",p_factor_productividad*IFERROR(INDEX('ASIGNACIONES'!$M$4:$M$451,MATCH($O108&amp;"|"&amp;$R108&amp;"|"&amp;$AE108,'ASIGNACIONES'!$N$4:$N$451,0)),0)-$AG108)</f>
        <v/>
      </c>
      <c r="AI108" s="11">
        <f>IF($A108="","",IFERROR(INDEX('2_IMPORTAR_EJECUCION'!$F$9:$F$1208,MATCH($AQ108,'2_IMPORTAR_EJECUCION'!$J$9:$J$1208,0)),0))</f>
        <v/>
      </c>
      <c r="AJ108" s="11">
        <f>IF($A108="","",MAX(0,IFERROR(INDEX('2_IMPORTAR_EJECUCION'!$H$9:$H$1208,MATCH($AQ108,'2_IMPORTAR_EJECUCION'!$J$9:$J$1208,0)),0)-$AI108))</f>
        <v/>
      </c>
      <c r="AK108" s="11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46237</v>
      </c>
      <c r="K109" s="3" t="n">
        <v>6</v>
      </c>
      <c r="L109" s="11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IF($H109="","",IFERROR(INDEX('CAT_ACTIVIDADES'!$B$4:$B$8,MATCH($H109,'CAT_ACTIVIDADES'!$A$4:$A$8,0)),"(sin catálogo)"))</f>
        <v/>
      </c>
      <c r="AA109" s="13">
        <f>IF($J109="","",TODAY()-$J109)</f>
        <v/>
      </c>
      <c r="AB109" s="13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16</t>
        </is>
      </c>
      <c r="AF109" s="3">
        <f>IF($AE109="","",IF((IFERROR(INDEX('ASIGNACIONES'!$J$4:$J$451,MATCH($O109&amp;"|"&amp;$R109&amp;"|"&amp;$AE109,'ASIGNACIONES'!$N$4:$N$451,0)),""))=0,"",IFERROR(INDEX('ASIGNACIONES'!$J$4:$J$451,MATCH($O109&amp;"|"&amp;$R109&amp;"|"&amp;$AE109,'ASIGNACIONES'!$N$4:$N$451,0)),"")))</f>
        <v/>
      </c>
      <c r="AG109" s="14">
        <f>IF($AE109="","",SUMIFS('ORDENES'!$M$4:$M$1203,'ORDENES'!$AE$4:$AE$1203,$AE109,'ORDENES'!$O$4:$O$1203,$O109,'ORDENES'!$R$4:$R$1203,$R109))</f>
        <v/>
      </c>
      <c r="AH109" s="14">
        <f>IF($AG109="","",p_factor_productividad*IFERROR(INDEX('ASIGNACIONES'!$M$4:$M$451,MATCH($O109&amp;"|"&amp;$R109&amp;"|"&amp;$AE109,'ASIGNACIONES'!$N$4:$N$451,0)),0)-$AG109)</f>
        <v/>
      </c>
      <c r="AI109" s="11">
        <f>IF($A109="","",IFERROR(INDEX('2_IMPORTAR_EJECUCION'!$F$9:$F$1208,MATCH($AQ109,'2_IMPORTAR_EJECUCION'!$J$9:$J$1208,0)),0))</f>
        <v/>
      </c>
      <c r="AJ109" s="11">
        <f>IF($A109="","",MAX(0,IFERROR(INDEX('2_IMPORTAR_EJECUCION'!$H$9:$H$1208,MATCH($AQ109,'2_IMPORTAR_EJECUCION'!$J$9:$J$1208,0)),0)-$AI109))</f>
        <v/>
      </c>
      <c r="AK109" s="11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46223</v>
      </c>
      <c r="K110" s="3" t="n">
        <v>10</v>
      </c>
      <c r="L110" s="11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IF($H110="","",IFERROR(INDEX('CAT_ACTIVIDADES'!$B$4:$B$8,MATCH($H110,'CAT_ACTIVIDADES'!$A$4:$A$8,0)),"(sin catálogo)"))</f>
        <v/>
      </c>
      <c r="AA110" s="13">
        <f>IF($J110="","",TODAY()-$J110)</f>
        <v/>
      </c>
      <c r="AB110" s="13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/>
      <c r="AF110" s="3">
        <f>IF($AE110="","",IF((IFERROR(INDEX('ASIGNACIONES'!$J$4:$J$451,MATCH($O110&amp;"|"&amp;$R110&amp;"|"&amp;$AE110,'ASIGNACIONES'!$N$4:$N$451,0)),""))=0,"",IFERROR(INDEX('ASIGNACIONES'!$J$4:$J$451,MATCH($O110&amp;"|"&amp;$R110&amp;"|"&amp;$AE110,'ASIGNACIONES'!$N$4:$N$451,0)),"")))</f>
        <v/>
      </c>
      <c r="AG110" s="14">
        <f>IF($AE110="","",SUMIFS('ORDENES'!$M$4:$M$1203,'ORDENES'!$AE$4:$AE$1203,$AE110,'ORDENES'!$O$4:$O$1203,$O110,'ORDENES'!$R$4:$R$1203,$R110))</f>
        <v/>
      </c>
      <c r="AH110" s="14">
        <f>IF($AG110="","",p_factor_productividad*IFERROR(INDEX('ASIGNACIONES'!$M$4:$M$451,MATCH($O110&amp;"|"&amp;$R110&amp;"|"&amp;$AE110,'ASIGNACIONES'!$N$4:$N$451,0)),0)-$AG110)</f>
        <v/>
      </c>
      <c r="AI110" s="11">
        <f>IF($A110="","",IFERROR(INDEX('2_IMPORTAR_EJECUCION'!$F$9:$F$1208,MATCH($AQ110,'2_IMPORTAR_EJECUCION'!$J$9:$J$1208,0)),0))</f>
        <v/>
      </c>
      <c r="AJ110" s="11">
        <f>IF($A110="","",MAX(0,IFERROR(INDEX('2_IMPORTAR_EJECUCION'!$H$9:$H$1208,MATCH($AQ110,'2_IMPORTAR_EJECUCION'!$J$9:$J$1208,0)),0)-$AI110))</f>
        <v/>
      </c>
      <c r="AK110" s="11">
        <f>IF($A110="","",$AI110+$AJ110)</f>
        <v/>
      </c>
      <c r="AL110" s="6" t="inlineStr"/>
      <c r="AM110" s="6" t="inlineStr"/>
      <c r="AN110" s="6" t="inlineStr"/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46224</v>
      </c>
      <c r="K111" s="3" t="n">
        <v>6</v>
      </c>
      <c r="L111" s="11" t="n">
        <v>150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IF($H111="","",IFERROR(INDEX('CAT_ACTIVIDADES'!$B$4:$B$8,MATCH($H111,'CAT_ACTIVIDADES'!$A$4:$A$8,0)),"(sin catálogo)"))</f>
        <v/>
      </c>
      <c r="AA111" s="13">
        <f>IF($J111="","",TODAY()-$J111)</f>
        <v/>
      </c>
      <c r="AB111" s="13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IF($AE111="","",IF((IFERROR(INDEX('ASIGNACIONES'!$J$4:$J$451,MATCH($O111&amp;"|"&amp;$R111&amp;"|"&amp;$AE111,'ASIGNACIONES'!$N$4:$N$451,0)),""))=0,"",IFERROR(INDEX('ASIGNACIONES'!$J$4:$J$451,MATCH($O111&amp;"|"&amp;$R111&amp;"|"&amp;$AE111,'ASIGNACIONES'!$N$4:$N$451,0)),"")))</f>
        <v/>
      </c>
      <c r="AG111" s="14">
        <f>IF($AE111="","",SUMIFS('ORDENES'!$M$4:$M$1203,'ORDENES'!$AE$4:$AE$1203,$AE111,'ORDENES'!$O$4:$O$1203,$O111,'ORDENES'!$R$4:$R$1203,$R111))</f>
        <v/>
      </c>
      <c r="AH111" s="14">
        <f>IF($AG111="","",p_factor_productividad*IFERROR(INDEX('ASIGNACIONES'!$M$4:$M$451,MATCH($O111&amp;"|"&amp;$R111&amp;"|"&amp;$AE111,'ASIGNACIONES'!$N$4:$N$451,0)),0)-$AG111)</f>
        <v/>
      </c>
      <c r="AI111" s="11">
        <f>IF($A111="","",IFERROR(INDEX('2_IMPORTAR_EJECUCION'!$F$9:$F$1208,MATCH($AQ111,'2_IMPORTAR_EJECUCION'!$J$9:$J$1208,0)),0))</f>
        <v/>
      </c>
      <c r="AJ111" s="11">
        <f>IF($A111="","",MAX(0,IFERROR(INDEX('2_IMPORTAR_EJECUCION'!$H$9:$H$1208,MATCH($AQ111,'2_IMPORTAR_EJECUCION'!$J$9:$J$1208,0)),0)-$AI111))</f>
        <v/>
      </c>
      <c r="AK111" s="11">
        <f>IF($A111="","",$AI111+$AJ111)</f>
        <v/>
      </c>
      <c r="AL111" s="6" t="inlineStr"/>
      <c r="AM111" s="6" t="inlineStr"/>
      <c r="AN111" s="6" t="inlineStr"/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46230</v>
      </c>
      <c r="K112" s="3" t="n">
        <v>10</v>
      </c>
      <c r="L112" s="11" t="n">
        <v>250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IF($H112="","",IFERROR(INDEX('CAT_ACTIVIDADES'!$B$4:$B$8,MATCH($H112,'CAT_ACTIVIDADES'!$A$4:$A$8,0)),"(sin catálogo)"))</f>
        <v/>
      </c>
      <c r="AA112" s="13">
        <f>IF($J112="","",TODAY()-$J112)</f>
        <v/>
      </c>
      <c r="AB112" s="13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/>
      <c r="AF112" s="3">
        <f>IF($AE112="","",IF((IFERROR(INDEX('ASIGNACIONES'!$J$4:$J$451,MATCH($O112&amp;"|"&amp;$R112&amp;"|"&amp;$AE112,'ASIGNACIONES'!$N$4:$N$451,0)),""))=0,"",IFERROR(INDEX('ASIGNACIONES'!$J$4:$J$451,MATCH($O112&amp;"|"&amp;$R112&amp;"|"&amp;$AE112,'ASIGNACIONES'!$N$4:$N$451,0)),"")))</f>
        <v/>
      </c>
      <c r="AG112" s="14">
        <f>IF($AE112="","",SUMIFS('ORDENES'!$M$4:$M$1203,'ORDENES'!$AE$4:$AE$1203,$AE112,'ORDENES'!$O$4:$O$1203,$O112,'ORDENES'!$R$4:$R$1203,$R112))</f>
        <v/>
      </c>
      <c r="AH112" s="14">
        <f>IF($AG112="","",p_factor_productividad*IFERROR(INDEX('ASIGNACIONES'!$M$4:$M$451,MATCH($O112&amp;"|"&amp;$R112&amp;"|"&amp;$AE112,'ASIGNACIONES'!$N$4:$N$451,0)),0)-$AG112)</f>
        <v/>
      </c>
      <c r="AI112" s="11">
        <f>IF($A112="","",IFERROR(INDEX('2_IMPORTAR_EJECUCION'!$F$9:$F$1208,MATCH($AQ112,'2_IMPORTAR_EJECUCION'!$J$9:$J$1208,0)),0))</f>
        <v/>
      </c>
      <c r="AJ112" s="11">
        <f>IF($A112="","",MAX(0,IFERROR(INDEX('2_IMPORTAR_EJECUCION'!$H$9:$H$1208,MATCH($AQ112,'2_IMPORTAR_EJECUCION'!$J$9:$J$1208,0)),0)-$AI112))</f>
        <v/>
      </c>
      <c r="AK112" s="11">
        <f>IF($A112="","",$AI112+$AJ112)</f>
        <v/>
      </c>
      <c r="AL112" s="6" t="inlineStr"/>
      <c r="AM112" s="6" t="inlineStr"/>
      <c r="AN112" s="6" t="inlineStr"/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46231</v>
      </c>
      <c r="K113" s="3" t="n">
        <v>2</v>
      </c>
      <c r="L113" s="11" t="n">
        <v>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IF($H113="","",IFERROR(INDEX('CAT_ACTIVIDADES'!$B$4:$B$8,MATCH($H113,'CAT_ACTIVIDADES'!$A$4:$A$8,0)),"(sin catálogo)"))</f>
        <v/>
      </c>
      <c r="AA113" s="13">
        <f>IF($J113="","",TODAY()-$J113)</f>
        <v/>
      </c>
      <c r="AB113" s="13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/>
      <c r="AF113" s="3">
        <f>IF($AE113="","",IF((IFERROR(INDEX('ASIGNACIONES'!$J$4:$J$451,MATCH($O113&amp;"|"&amp;$R113&amp;"|"&amp;$AE113,'ASIGNACIONES'!$N$4:$N$451,0)),""))=0,"",IFERROR(INDEX('ASIGNACIONES'!$J$4:$J$451,MATCH($O113&amp;"|"&amp;$R113&amp;"|"&amp;$AE113,'ASIGNACIONES'!$N$4:$N$451,0)),"")))</f>
        <v/>
      </c>
      <c r="AG113" s="14">
        <f>IF($AE113="","",SUMIFS('ORDENES'!$M$4:$M$1203,'ORDENES'!$AE$4:$AE$1203,$AE113,'ORDENES'!$O$4:$O$1203,$O113,'ORDENES'!$R$4:$R$1203,$R113))</f>
        <v/>
      </c>
      <c r="AH113" s="14">
        <f>IF($AG113="","",p_factor_productividad*IFERROR(INDEX('ASIGNACIONES'!$M$4:$M$451,MATCH($O113&amp;"|"&amp;$R113&amp;"|"&amp;$AE113,'ASIGNACIONES'!$N$4:$N$451,0)),0)-$AG113)</f>
        <v/>
      </c>
      <c r="AI113" s="11">
        <f>IF($A113="","",IFERROR(INDEX('2_IMPORTAR_EJECUCION'!$F$9:$F$1208,MATCH($AQ113,'2_IMPORTAR_EJECUCION'!$J$9:$J$1208,0)),0))</f>
        <v/>
      </c>
      <c r="AJ113" s="11">
        <f>IF($A113="","",MAX(0,IFERROR(INDEX('2_IMPORTAR_EJECUCION'!$H$9:$H$1208,MATCH($AQ113,'2_IMPORTAR_EJECUCION'!$J$9:$J$1208,0)),0)-$AI113))</f>
        <v/>
      </c>
      <c r="AK113" s="11">
        <f>IF($A113="","",$AI113+$AJ113)</f>
        <v/>
      </c>
      <c r="AL113" s="6" t="inlineStr"/>
      <c r="AM113" s="6" t="inlineStr"/>
      <c r="AN113" s="6" t="inlineStr"/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46228</v>
      </c>
      <c r="K114" s="3" t="n">
        <v>6</v>
      </c>
      <c r="L114" s="11" t="n">
        <v>240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IF($H114="","",IFERROR(INDEX('CAT_ACTIVIDADES'!$B$4:$B$8,MATCH($H114,'CAT_ACTIVIDADES'!$A$4:$A$8,0)),"(sin catálogo)"))</f>
        <v/>
      </c>
      <c r="AA114" s="13">
        <f>IF($J114="","",TODAY()-$J114)</f>
        <v/>
      </c>
      <c r="AB114" s="13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01</t>
        </is>
      </c>
      <c r="AF114" s="3">
        <f>IF($AE114="","",IF((IFERROR(INDEX('ASIGNACIONES'!$J$4:$J$451,MATCH($O114&amp;"|"&amp;$R114&amp;"|"&amp;$AE114,'ASIGNACIONES'!$N$4:$N$451,0)),""))=0,"",IFERROR(INDEX('ASIGNACIONES'!$J$4:$J$451,MATCH($O114&amp;"|"&amp;$R114&amp;"|"&amp;$AE114,'ASIGNACIONES'!$N$4:$N$451,0)),"")))</f>
        <v/>
      </c>
      <c r="AG114" s="14">
        <f>IF($AE114="","",SUMIFS('ORDENES'!$M$4:$M$1203,'ORDENES'!$AE$4:$AE$1203,$AE114,'ORDENES'!$O$4:$O$1203,$O114,'ORDENES'!$R$4:$R$1203,$R114))</f>
        <v/>
      </c>
      <c r="AH114" s="14">
        <f>IF($AG114="","",p_factor_productividad*IFERROR(INDEX('ASIGNACIONES'!$M$4:$M$451,MATCH($O114&amp;"|"&amp;$R114&amp;"|"&amp;$AE114,'ASIGNACIONES'!$N$4:$N$451,0)),0)-$AG114)</f>
        <v/>
      </c>
      <c r="AI114" s="11">
        <f>IF($A114="","",IFERROR(INDEX('2_IMPORTAR_EJECUCION'!$F$9:$F$1208,MATCH($AQ114,'2_IMPORTAR_EJECUCION'!$J$9:$J$1208,0)),0))</f>
        <v/>
      </c>
      <c r="AJ114" s="11">
        <f>IF($A114="","",MAX(0,IFERROR(INDEX('2_IMPORTAR_EJECUCION'!$H$9:$H$1208,MATCH($AQ114,'2_IMPORTAR_EJECUCION'!$J$9:$J$1208,0)),0)-$AI114))</f>
        <v/>
      </c>
      <c r="AK114" s="11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46228</v>
      </c>
      <c r="K115" s="3" t="n">
        <v>4</v>
      </c>
      <c r="L115" s="11" t="n">
        <v>160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IF($H115="","",IFERROR(INDEX('CAT_ACTIVIDADES'!$B$4:$B$8,MATCH($H115,'CAT_ACTIVIDADES'!$A$4:$A$8,0)),"(sin catálogo)"))</f>
        <v/>
      </c>
      <c r="AA115" s="13">
        <f>IF($J115="","",TODAY()-$J115)</f>
        <v/>
      </c>
      <c r="AB115" s="13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08</t>
        </is>
      </c>
      <c r="AF115" s="3">
        <f>IF($AE115="","",IF((IFERROR(INDEX('ASIGNACIONES'!$J$4:$J$451,MATCH($O115&amp;"|"&amp;$R115&amp;"|"&amp;$AE115,'ASIGNACIONES'!$N$4:$N$451,0)),""))=0,"",IFERROR(INDEX('ASIGNACIONES'!$J$4:$J$451,MATCH($O115&amp;"|"&amp;$R115&amp;"|"&amp;$AE115,'ASIGNACIONES'!$N$4:$N$451,0)),"")))</f>
        <v/>
      </c>
      <c r="AG115" s="14">
        <f>IF($AE115="","",SUMIFS('ORDENES'!$M$4:$M$1203,'ORDENES'!$AE$4:$AE$1203,$AE115,'ORDENES'!$O$4:$O$1203,$O115,'ORDENES'!$R$4:$R$1203,$R115))</f>
        <v/>
      </c>
      <c r="AH115" s="14">
        <f>IF($AG115="","",p_factor_productividad*IFERROR(INDEX('ASIGNACIONES'!$M$4:$M$451,MATCH($O115&amp;"|"&amp;$R115&amp;"|"&amp;$AE115,'ASIGNACIONES'!$N$4:$N$451,0)),0)-$AG115)</f>
        <v/>
      </c>
      <c r="AI115" s="11">
        <f>IF($A115="","",IFERROR(INDEX('2_IMPORTAR_EJECUCION'!$F$9:$F$1208,MATCH($AQ115,'2_IMPORTAR_EJECUCION'!$J$9:$J$1208,0)),0))</f>
        <v/>
      </c>
      <c r="AJ115" s="11">
        <f>IF($A115="","",MAX(0,IFERROR(INDEX('2_IMPORTAR_EJECUCION'!$H$9:$H$1208,MATCH($AQ115,'2_IMPORTAR_EJECUCION'!$J$9:$J$1208,0)),0)-$AI115))</f>
        <v/>
      </c>
      <c r="AK115" s="11">
        <f>IF($A115="","",$AI115+$AJ115)</f>
        <v/>
      </c>
      <c r="AL115" s="6" t="inlineStr"/>
      <c r="AM115" s="6" t="inlineStr"/>
      <c r="AN115" s="6" t="inlineStr"/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46229</v>
      </c>
      <c r="K116" s="3" t="n">
        <v>8</v>
      </c>
      <c r="L116" s="11" t="n">
        <v>320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IF($H116="","",IFERROR(INDEX('CAT_ACTIVIDADES'!$B$4:$B$8,MATCH($H116,'CAT_ACTIVIDADES'!$A$4:$A$8,0)),"(sin catálogo)"))</f>
        <v/>
      </c>
      <c r="AA116" s="13">
        <f>IF($J116="","",TODAY()-$J116)</f>
        <v/>
      </c>
      <c r="AB116" s="13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/>
      <c r="AF116" s="3">
        <f>IF($AE116="","",IF((IFERROR(INDEX('ASIGNACIONES'!$J$4:$J$451,MATCH($O116&amp;"|"&amp;$R116&amp;"|"&amp;$AE116,'ASIGNACIONES'!$N$4:$N$451,0)),""))=0,"",IFERROR(INDEX('ASIGNACIONES'!$J$4:$J$451,MATCH($O116&amp;"|"&amp;$R116&amp;"|"&amp;$AE116,'ASIGNACIONES'!$N$4:$N$451,0)),"")))</f>
        <v/>
      </c>
      <c r="AG116" s="14">
        <f>IF($AE116="","",SUMIFS('ORDENES'!$M$4:$M$1203,'ORDENES'!$AE$4:$AE$1203,$AE116,'ORDENES'!$O$4:$O$1203,$O116,'ORDENES'!$R$4:$R$1203,$R116))</f>
        <v/>
      </c>
      <c r="AH116" s="14">
        <f>IF($AG116="","",p_factor_productividad*IFERROR(INDEX('ASIGNACIONES'!$M$4:$M$451,MATCH($O116&amp;"|"&amp;$R116&amp;"|"&amp;$AE116,'ASIGNACIONES'!$N$4:$N$451,0)),0)-$AG116)</f>
        <v/>
      </c>
      <c r="AI116" s="11">
        <f>IF($A116="","",IFERROR(INDEX('2_IMPORTAR_EJECUCION'!$F$9:$F$1208,MATCH($AQ116,'2_IMPORTAR_EJECUCION'!$J$9:$J$1208,0)),0))</f>
        <v/>
      </c>
      <c r="AJ116" s="11">
        <f>IF($A116="","",MAX(0,IFERROR(INDEX('2_IMPORTAR_EJECUCION'!$H$9:$H$1208,MATCH($AQ116,'2_IMPORTAR_EJECUCION'!$J$9:$J$1208,0)),0)-$AI116))</f>
        <v/>
      </c>
      <c r="AK116" s="11">
        <f>IF($A116="","",$AI116+$AJ116)</f>
        <v/>
      </c>
      <c r="AL116" s="6" t="inlineStr"/>
      <c r="AM116" s="6" t="inlineStr"/>
      <c r="AN116" s="6" t="inlineStr"/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46216</v>
      </c>
      <c r="K117" s="3" t="n">
        <v>2</v>
      </c>
      <c r="L117" s="11" t="n">
        <v>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IF($H117="","",IFERROR(INDEX('CAT_ACTIVIDADES'!$B$4:$B$8,MATCH($H117,'CAT_ACTIVIDADES'!$A$4:$A$8,0)),"(sin catálogo)"))</f>
        <v/>
      </c>
      <c r="AA117" s="13">
        <f>IF($J117="","",TODAY()-$J117)</f>
        <v/>
      </c>
      <c r="AB117" s="13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01</t>
        </is>
      </c>
      <c r="AF117" s="3">
        <f>IF($AE117="","",IF((IFERROR(INDEX('ASIGNACIONES'!$J$4:$J$451,MATCH($O117&amp;"|"&amp;$R117&amp;"|"&amp;$AE117,'ASIGNACIONES'!$N$4:$N$451,0)),""))=0,"",IFERROR(INDEX('ASIGNACIONES'!$J$4:$J$451,MATCH($O117&amp;"|"&amp;$R117&amp;"|"&amp;$AE117,'ASIGNACIONES'!$N$4:$N$451,0)),"")))</f>
        <v/>
      </c>
      <c r="AG117" s="14">
        <f>IF($AE117="","",SUMIFS('ORDENES'!$M$4:$M$1203,'ORDENES'!$AE$4:$AE$1203,$AE117,'ORDENES'!$O$4:$O$1203,$O117,'ORDENES'!$R$4:$R$1203,$R117))</f>
        <v/>
      </c>
      <c r="AH117" s="14">
        <f>IF($AG117="","",p_factor_productividad*IFERROR(INDEX('ASIGNACIONES'!$M$4:$M$451,MATCH($O117&amp;"|"&amp;$R117&amp;"|"&amp;$AE117,'ASIGNACIONES'!$N$4:$N$451,0)),0)-$AG117)</f>
        <v/>
      </c>
      <c r="AI117" s="11">
        <f>IF($A117="","",IFERROR(INDEX('2_IMPORTAR_EJECUCION'!$F$9:$F$1208,MATCH($AQ117,'2_IMPORTAR_EJECUCION'!$J$9:$J$1208,0)),0))</f>
        <v/>
      </c>
      <c r="AJ117" s="11">
        <f>IF($A117="","",MAX(0,IFERROR(INDEX('2_IMPORTAR_EJECUCION'!$H$9:$H$1208,MATCH($AQ117,'2_IMPORTAR_EJECUCION'!$J$9:$J$1208,0)),0)-$AI117))</f>
        <v/>
      </c>
      <c r="AK117" s="11">
        <f>IF($A117="","",$AI117+$AJ117)</f>
        <v/>
      </c>
      <c r="AL117" s="6" t="inlineStr"/>
      <c r="AM117" s="6" t="inlineStr"/>
      <c r="AN117" s="6" t="inlineStr"/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46237</v>
      </c>
      <c r="K118" s="3" t="n">
        <v>2</v>
      </c>
      <c r="L118" s="11" t="n">
        <v>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IF($H118="","",IFERROR(INDEX('CAT_ACTIVIDADES'!$B$4:$B$8,MATCH($H118,'CAT_ACTIVIDADES'!$A$4:$A$8,0)),"(sin catálogo)"))</f>
        <v/>
      </c>
      <c r="AA118" s="13">
        <f>IF($J118="","",TODAY()-$J118)</f>
        <v/>
      </c>
      <c r="AB118" s="13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06</t>
        </is>
      </c>
      <c r="AF118" s="3">
        <f>IF($AE118="","",IF((IFERROR(INDEX('ASIGNACIONES'!$J$4:$J$451,MATCH($O118&amp;"|"&amp;$R118&amp;"|"&amp;$AE118,'ASIGNACIONES'!$N$4:$N$451,0)),""))=0,"",IFERROR(INDEX('ASIGNACIONES'!$J$4:$J$451,MATCH($O118&amp;"|"&amp;$R118&amp;"|"&amp;$AE118,'ASIGNACIONES'!$N$4:$N$451,0)),"")))</f>
        <v/>
      </c>
      <c r="AG118" s="14">
        <f>IF($AE118="","",SUMIFS('ORDENES'!$M$4:$M$1203,'ORDENES'!$AE$4:$AE$1203,$AE118,'ORDENES'!$O$4:$O$1203,$O118,'ORDENES'!$R$4:$R$1203,$R118))</f>
        <v/>
      </c>
      <c r="AH118" s="14">
        <f>IF($AG118="","",p_factor_productividad*IFERROR(INDEX('ASIGNACIONES'!$M$4:$M$451,MATCH($O118&amp;"|"&amp;$R118&amp;"|"&amp;$AE118,'ASIGNACIONES'!$N$4:$N$451,0)),0)-$AG118)</f>
        <v/>
      </c>
      <c r="AI118" s="11">
        <f>IF($A118="","",IFERROR(INDEX('2_IMPORTAR_EJECUCION'!$F$9:$F$1208,MATCH($AQ118,'2_IMPORTAR_EJECUCION'!$J$9:$J$1208,0)),0))</f>
        <v/>
      </c>
      <c r="AJ118" s="11">
        <f>IF($A118="","",MAX(0,IFERROR(INDEX('2_IMPORTAR_EJECUCION'!$H$9:$H$1208,MATCH($AQ118,'2_IMPORTAR_EJECUCION'!$J$9:$J$1208,0)),0)-$AI118))</f>
        <v/>
      </c>
      <c r="AK118" s="11">
        <f>IF($A118="","",$AI118+$AJ118)</f>
        <v/>
      </c>
      <c r="AL118" s="6" t="inlineStr"/>
      <c r="AM118" s="6" t="inlineStr"/>
      <c r="AN118" s="6" t="inlineStr"/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46237</v>
      </c>
      <c r="K119" s="3" t="n">
        <v>2</v>
      </c>
      <c r="L119" s="11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IF($H119="","",IFERROR(INDEX('CAT_ACTIVIDADES'!$B$4:$B$8,MATCH($H119,'CAT_ACTIVIDADES'!$A$4:$A$8,0)),"(sin catálogo)"))</f>
        <v/>
      </c>
      <c r="AA119" s="13">
        <f>IF($J119="","",TODAY()-$J119)</f>
        <v/>
      </c>
      <c r="AB119" s="13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IF($AE119="","",IF((IFERROR(INDEX('ASIGNACIONES'!$J$4:$J$451,MATCH($O119&amp;"|"&amp;$R119&amp;"|"&amp;$AE119,'ASIGNACIONES'!$N$4:$N$451,0)),""))=0,"",IFERROR(INDEX('ASIGNACIONES'!$J$4:$J$451,MATCH($O119&amp;"|"&amp;$R119&amp;"|"&amp;$AE119,'ASIGNACIONES'!$N$4:$N$451,0)),"")))</f>
        <v/>
      </c>
      <c r="AG119" s="14">
        <f>IF($AE119="","",SUMIFS('ORDENES'!$M$4:$M$1203,'ORDENES'!$AE$4:$AE$1203,$AE119,'ORDENES'!$O$4:$O$1203,$O119,'ORDENES'!$R$4:$R$1203,$R119))</f>
        <v/>
      </c>
      <c r="AH119" s="14">
        <f>IF($AG119="","",p_factor_productividad*IFERROR(INDEX('ASIGNACIONES'!$M$4:$M$451,MATCH($O119&amp;"|"&amp;$R119&amp;"|"&amp;$AE119,'ASIGNACIONES'!$N$4:$N$451,0)),0)-$AG119)</f>
        <v/>
      </c>
      <c r="AI119" s="11">
        <f>IF($A119="","",IFERROR(INDEX('2_IMPORTAR_EJECUCION'!$F$9:$F$1208,MATCH($AQ119,'2_IMPORTAR_EJECUCION'!$J$9:$J$1208,0)),0))</f>
        <v/>
      </c>
      <c r="AJ119" s="11">
        <f>IF($A119="","",MAX(0,IFERROR(INDEX('2_IMPORTAR_EJECUCION'!$H$9:$H$1208,MATCH($AQ119,'2_IMPORTAR_EJECUCION'!$J$9:$J$1208,0)),0)-$AI119))</f>
        <v/>
      </c>
      <c r="AK119" s="11">
        <f>IF($A119="","",$AI119+$AJ119)</f>
        <v/>
      </c>
      <c r="AL119" s="6" t="inlineStr"/>
      <c r="AM119" s="6" t="inlineStr"/>
      <c r="AN119" s="6" t="inlineStr"/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46182</v>
      </c>
      <c r="K120" s="3" t="n">
        <v>4</v>
      </c>
      <c r="L120" s="11" t="n">
        <v>160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IF($H120="","",IFERROR(INDEX('CAT_ACTIVIDADES'!$B$4:$B$8,MATCH($H120,'CAT_ACTIVIDADES'!$A$4:$A$8,0)),"(sin catálogo)"))</f>
        <v/>
      </c>
      <c r="AA120" s="13">
        <f>IF($J120="","",TODAY()-$J120)</f>
        <v/>
      </c>
      <c r="AB120" s="13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/>
      <c r="AF120" s="3">
        <f>IF($AE120="","",IF((IFERROR(INDEX('ASIGNACIONES'!$J$4:$J$451,MATCH($O120&amp;"|"&amp;$R120&amp;"|"&amp;$AE120,'ASIGNACIONES'!$N$4:$N$451,0)),""))=0,"",IFERROR(INDEX('ASIGNACIONES'!$J$4:$J$451,MATCH($O120&amp;"|"&amp;$R120&amp;"|"&amp;$AE120,'ASIGNACIONES'!$N$4:$N$451,0)),"")))</f>
        <v/>
      </c>
      <c r="AG120" s="14">
        <f>IF($AE120="","",SUMIFS('ORDENES'!$M$4:$M$1203,'ORDENES'!$AE$4:$AE$1203,$AE120,'ORDENES'!$O$4:$O$1203,$O120,'ORDENES'!$R$4:$R$1203,$R120))</f>
        <v/>
      </c>
      <c r="AH120" s="14">
        <f>IF($AG120="","",p_factor_productividad*IFERROR(INDEX('ASIGNACIONES'!$M$4:$M$451,MATCH($O120&amp;"|"&amp;$R120&amp;"|"&amp;$AE120,'ASIGNACIONES'!$N$4:$N$451,0)),0)-$AG120)</f>
        <v/>
      </c>
      <c r="AI120" s="11">
        <f>IF($A120="","",IFERROR(INDEX('2_IMPORTAR_EJECUCION'!$F$9:$F$1208,MATCH($AQ120,'2_IMPORTAR_EJECUCION'!$J$9:$J$1208,0)),0))</f>
        <v/>
      </c>
      <c r="AJ120" s="11">
        <f>IF($A120="","",MAX(0,IFERROR(INDEX('2_IMPORTAR_EJECUCION'!$H$9:$H$1208,MATCH($AQ120,'2_IMPORTAR_EJECUCION'!$J$9:$J$1208,0)),0)-$AI120))</f>
        <v/>
      </c>
      <c r="AK120" s="11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46182</v>
      </c>
      <c r="K121" s="3" t="n">
        <v>6</v>
      </c>
      <c r="L121" s="11" t="n">
        <v>240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IF($H121="","",IFERROR(INDEX('CAT_ACTIVIDADES'!$B$4:$B$8,MATCH($H121,'CAT_ACTIVIDADES'!$A$4:$A$8,0)),"(sin catálogo)"))</f>
        <v/>
      </c>
      <c r="AA121" s="13">
        <f>IF($J121="","",TODAY()-$J121)</f>
        <v/>
      </c>
      <c r="AB121" s="13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/>
      <c r="AF121" s="3">
        <f>IF($AE121="","",IF((IFERROR(INDEX('ASIGNACIONES'!$J$4:$J$451,MATCH($O121&amp;"|"&amp;$R121&amp;"|"&amp;$AE121,'ASIGNACIONES'!$N$4:$N$451,0)),""))=0,"",IFERROR(INDEX('ASIGNACIONES'!$J$4:$J$451,MATCH($O121&amp;"|"&amp;$R121&amp;"|"&amp;$AE121,'ASIGNACIONES'!$N$4:$N$451,0)),"")))</f>
        <v/>
      </c>
      <c r="AG121" s="14">
        <f>IF($AE121="","",SUMIFS('ORDENES'!$M$4:$M$1203,'ORDENES'!$AE$4:$AE$1203,$AE121,'ORDENES'!$O$4:$O$1203,$O121,'ORDENES'!$R$4:$R$1203,$R121))</f>
        <v/>
      </c>
      <c r="AH121" s="14">
        <f>IF($AG121="","",p_factor_productividad*IFERROR(INDEX('ASIGNACIONES'!$M$4:$M$451,MATCH($O121&amp;"|"&amp;$R121&amp;"|"&amp;$AE121,'ASIGNACIONES'!$N$4:$N$451,0)),0)-$AG121)</f>
        <v/>
      </c>
      <c r="AI121" s="11">
        <f>IF($A121="","",IFERROR(INDEX('2_IMPORTAR_EJECUCION'!$F$9:$F$1208,MATCH($AQ121,'2_IMPORTAR_EJECUCION'!$J$9:$J$1208,0)),0))</f>
        <v/>
      </c>
      <c r="AJ121" s="11">
        <f>IF($A121="","",MAX(0,IFERROR(INDEX('2_IMPORTAR_EJECUCION'!$H$9:$H$1208,MATCH($AQ121,'2_IMPORTAR_EJECUCION'!$J$9:$J$1208,0)),0)-$AI121))</f>
        <v/>
      </c>
      <c r="AK121" s="11">
        <f>IF($A121="","",$AI121+$AJ121)</f>
        <v/>
      </c>
      <c r="AL121" s="6" t="inlineStr"/>
      <c r="AM121" s="6" t="inlineStr"/>
      <c r="AN121" s="6" t="inlineStr"/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46182</v>
      </c>
      <c r="K122" s="3" t="n">
        <v>8</v>
      </c>
      <c r="L122" s="11" t="n">
        <v>320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IF($H122="","",IFERROR(INDEX('CAT_ACTIVIDADES'!$B$4:$B$8,MATCH($H122,'CAT_ACTIVIDADES'!$A$4:$A$8,0)),"(sin catálogo)"))</f>
        <v/>
      </c>
      <c r="AA122" s="13">
        <f>IF($J122="","",TODAY()-$J122)</f>
        <v/>
      </c>
      <c r="AB122" s="13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/>
      <c r="AF122" s="3">
        <f>IF($AE122="","",IF((IFERROR(INDEX('ASIGNACIONES'!$J$4:$J$451,MATCH($O122&amp;"|"&amp;$R122&amp;"|"&amp;$AE122,'ASIGNACIONES'!$N$4:$N$451,0)),""))=0,"",IFERROR(INDEX('ASIGNACIONES'!$J$4:$J$451,MATCH($O122&amp;"|"&amp;$R122&amp;"|"&amp;$AE122,'ASIGNACIONES'!$N$4:$N$451,0)),"")))</f>
        <v/>
      </c>
      <c r="AG122" s="14">
        <f>IF($AE122="","",SUMIFS('ORDENES'!$M$4:$M$1203,'ORDENES'!$AE$4:$AE$1203,$AE122,'ORDENES'!$O$4:$O$1203,$O122,'ORDENES'!$R$4:$R$1203,$R122))</f>
        <v/>
      </c>
      <c r="AH122" s="14">
        <f>IF($AG122="","",p_factor_productividad*IFERROR(INDEX('ASIGNACIONES'!$M$4:$M$451,MATCH($O122&amp;"|"&amp;$R122&amp;"|"&amp;$AE122,'ASIGNACIONES'!$N$4:$N$451,0)),0)-$AG122)</f>
        <v/>
      </c>
      <c r="AI122" s="11">
        <f>IF($A122="","",IFERROR(INDEX('2_IMPORTAR_EJECUCION'!$F$9:$F$1208,MATCH($AQ122,'2_IMPORTAR_EJECUCION'!$J$9:$J$1208,0)),0))</f>
        <v/>
      </c>
      <c r="AJ122" s="11">
        <f>IF($A122="","",MAX(0,IFERROR(INDEX('2_IMPORTAR_EJECUCION'!$H$9:$H$1208,MATCH($AQ122,'2_IMPORTAR_EJECUCION'!$J$9:$J$1208,0)),0)-$AI122))</f>
        <v/>
      </c>
      <c r="AK122" s="11">
        <f>IF($A122="","",$AI122+$AJ122)</f>
        <v/>
      </c>
      <c r="AL122" s="6" t="inlineStr"/>
      <c r="AM122" s="6" t="inlineStr"/>
      <c r="AN122" s="6" t="inlineStr"/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46182</v>
      </c>
      <c r="K123" s="3" t="n">
        <v>4</v>
      </c>
      <c r="L123" s="11" t="n">
        <v>100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IF($H123="","",IFERROR(INDEX('CAT_ACTIVIDADES'!$B$4:$B$8,MATCH($H123,'CAT_ACTIVIDADES'!$A$4:$A$8,0)),"(sin catálogo)"))</f>
        <v/>
      </c>
      <c r="AA123" s="13">
        <f>IF($J123="","",TODAY()-$J123)</f>
        <v/>
      </c>
      <c r="AB123" s="13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IF($AE123="","",IF((IFERROR(INDEX('ASIGNACIONES'!$J$4:$J$451,MATCH($O123&amp;"|"&amp;$R123&amp;"|"&amp;$AE123,'ASIGNACIONES'!$N$4:$N$451,0)),""))=0,"",IFERROR(INDEX('ASIGNACIONES'!$J$4:$J$451,MATCH($O123&amp;"|"&amp;$R123&amp;"|"&amp;$AE123,'ASIGNACIONES'!$N$4:$N$451,0)),"")))</f>
        <v/>
      </c>
      <c r="AG123" s="14">
        <f>IF($AE123="","",SUMIFS('ORDENES'!$M$4:$M$1203,'ORDENES'!$AE$4:$AE$1203,$AE123,'ORDENES'!$O$4:$O$1203,$O123,'ORDENES'!$R$4:$R$1203,$R123))</f>
        <v/>
      </c>
      <c r="AH123" s="14">
        <f>IF($AG123="","",p_factor_productividad*IFERROR(INDEX('ASIGNACIONES'!$M$4:$M$451,MATCH($O123&amp;"|"&amp;$R123&amp;"|"&amp;$AE123,'ASIGNACIONES'!$N$4:$N$451,0)),0)-$AG123)</f>
        <v/>
      </c>
      <c r="AI123" s="11">
        <f>IF($A123="","",IFERROR(INDEX('2_IMPORTAR_EJECUCION'!$F$9:$F$1208,MATCH($AQ123,'2_IMPORTAR_EJECUCION'!$J$9:$J$1208,0)),0))</f>
        <v/>
      </c>
      <c r="AJ123" s="11">
        <f>IF($A123="","",MAX(0,IFERROR(INDEX('2_IMPORTAR_EJECUCION'!$H$9:$H$1208,MATCH($AQ123,'2_IMPORTAR_EJECUCION'!$J$9:$J$1208,0)),0)-$AI123))</f>
        <v/>
      </c>
      <c r="AK123" s="11">
        <f>IF($A123="","",$AI123+$AJ123)</f>
        <v/>
      </c>
      <c r="AL123" s="6" t="inlineStr"/>
      <c r="AM123" s="6" t="inlineStr"/>
      <c r="AN123" s="6" t="inlineStr"/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46182</v>
      </c>
      <c r="K124" s="3" t="n">
        <v>6</v>
      </c>
      <c r="L124" s="11" t="n">
        <v>240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IF($H124="","",IFERROR(INDEX('CAT_ACTIVIDADES'!$B$4:$B$8,MATCH($H124,'CAT_ACTIVIDADES'!$A$4:$A$8,0)),"(sin catálogo)"))</f>
        <v/>
      </c>
      <c r="AA124" s="13">
        <f>IF($J124="","",TODAY()-$J124)</f>
        <v/>
      </c>
      <c r="AB124" s="13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/>
      <c r="AF124" s="3">
        <f>IF($AE124="","",IF((IFERROR(INDEX('ASIGNACIONES'!$J$4:$J$451,MATCH($O124&amp;"|"&amp;$R124&amp;"|"&amp;$AE124,'ASIGNACIONES'!$N$4:$N$451,0)),""))=0,"",IFERROR(INDEX('ASIGNACIONES'!$J$4:$J$451,MATCH($O124&amp;"|"&amp;$R124&amp;"|"&amp;$AE124,'ASIGNACIONES'!$N$4:$N$451,0)),"")))</f>
        <v/>
      </c>
      <c r="AG124" s="14">
        <f>IF($AE124="","",SUMIFS('ORDENES'!$M$4:$M$1203,'ORDENES'!$AE$4:$AE$1203,$AE124,'ORDENES'!$O$4:$O$1203,$O124,'ORDENES'!$R$4:$R$1203,$R124))</f>
        <v/>
      </c>
      <c r="AH124" s="14">
        <f>IF($AG124="","",p_factor_productividad*IFERROR(INDEX('ASIGNACIONES'!$M$4:$M$451,MATCH($O124&amp;"|"&amp;$R124&amp;"|"&amp;$AE124,'ASIGNACIONES'!$N$4:$N$451,0)),0)-$AG124)</f>
        <v/>
      </c>
      <c r="AI124" s="11">
        <f>IF($A124="","",IFERROR(INDEX('2_IMPORTAR_EJECUCION'!$F$9:$F$1208,MATCH($AQ124,'2_IMPORTAR_EJECUCION'!$J$9:$J$1208,0)),0))</f>
        <v/>
      </c>
      <c r="AJ124" s="11">
        <f>IF($A124="","",MAX(0,IFERROR(INDEX('2_IMPORTAR_EJECUCION'!$H$9:$H$1208,MATCH($AQ124,'2_IMPORTAR_EJECUCION'!$J$9:$J$1208,0)),0)-$AI124))</f>
        <v/>
      </c>
      <c r="AK124" s="11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46182</v>
      </c>
      <c r="K125" s="3" t="n">
        <v>8</v>
      </c>
      <c r="L125" s="11" t="n">
        <v>320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IF($H125="","",IFERROR(INDEX('CAT_ACTIVIDADES'!$B$4:$B$8,MATCH($H125,'CAT_ACTIVIDADES'!$A$4:$A$8,0)),"(sin catálogo)"))</f>
        <v/>
      </c>
      <c r="AA125" s="13">
        <f>IF($J125="","",TODAY()-$J125)</f>
        <v/>
      </c>
      <c r="AB125" s="13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/>
      <c r="AF125" s="3">
        <f>IF($AE125="","",IF((IFERROR(INDEX('ASIGNACIONES'!$J$4:$J$451,MATCH($O125&amp;"|"&amp;$R125&amp;"|"&amp;$AE125,'ASIGNACIONES'!$N$4:$N$451,0)),""))=0,"",IFERROR(INDEX('ASIGNACIONES'!$J$4:$J$451,MATCH($O125&amp;"|"&amp;$R125&amp;"|"&amp;$AE125,'ASIGNACIONES'!$N$4:$N$451,0)),"")))</f>
        <v/>
      </c>
      <c r="AG125" s="14">
        <f>IF($AE125="","",SUMIFS('ORDENES'!$M$4:$M$1203,'ORDENES'!$AE$4:$AE$1203,$AE125,'ORDENES'!$O$4:$O$1203,$O125,'ORDENES'!$R$4:$R$1203,$R125))</f>
        <v/>
      </c>
      <c r="AH125" s="14">
        <f>IF($AG125="","",p_factor_productividad*IFERROR(INDEX('ASIGNACIONES'!$M$4:$M$451,MATCH($O125&amp;"|"&amp;$R125&amp;"|"&amp;$AE125,'ASIGNACIONES'!$N$4:$N$451,0)),0)-$AG125)</f>
        <v/>
      </c>
      <c r="AI125" s="11">
        <f>IF($A125="","",IFERROR(INDEX('2_IMPORTAR_EJECUCION'!$F$9:$F$1208,MATCH($AQ125,'2_IMPORTAR_EJECUCION'!$J$9:$J$1208,0)),0))</f>
        <v/>
      </c>
      <c r="AJ125" s="11">
        <f>IF($A125="","",MAX(0,IFERROR(INDEX('2_IMPORTAR_EJECUCION'!$H$9:$H$1208,MATCH($AQ125,'2_IMPORTAR_EJECUCION'!$J$9:$J$1208,0)),0)-$AI125))</f>
        <v/>
      </c>
      <c r="AK125" s="11">
        <f>IF($A125="","",$AI125+$AJ125)</f>
        <v/>
      </c>
      <c r="AL125" s="6" t="inlineStr"/>
      <c r="AM125" s="6" t="inlineStr"/>
      <c r="AN125" s="6" t="inlineStr"/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46182</v>
      </c>
      <c r="K126" s="3" t="n">
        <v>4</v>
      </c>
      <c r="L126" s="11" t="n">
        <v>160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IF($H126="","",IFERROR(INDEX('CAT_ACTIVIDADES'!$B$4:$B$8,MATCH($H126,'CAT_ACTIVIDADES'!$A$4:$A$8,0)),"(sin catálogo)"))</f>
        <v/>
      </c>
      <c r="AA126" s="13">
        <f>IF($J126="","",TODAY()-$J126)</f>
        <v/>
      </c>
      <c r="AB126" s="13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/>
      <c r="AF126" s="3">
        <f>IF($AE126="","",IF((IFERROR(INDEX('ASIGNACIONES'!$J$4:$J$451,MATCH($O126&amp;"|"&amp;$R126&amp;"|"&amp;$AE126,'ASIGNACIONES'!$N$4:$N$451,0)),""))=0,"",IFERROR(INDEX('ASIGNACIONES'!$J$4:$J$451,MATCH($O126&amp;"|"&amp;$R126&amp;"|"&amp;$AE126,'ASIGNACIONES'!$N$4:$N$451,0)),"")))</f>
        <v/>
      </c>
      <c r="AG126" s="14">
        <f>IF($AE126="","",SUMIFS('ORDENES'!$M$4:$M$1203,'ORDENES'!$AE$4:$AE$1203,$AE126,'ORDENES'!$O$4:$O$1203,$O126,'ORDENES'!$R$4:$R$1203,$R126))</f>
        <v/>
      </c>
      <c r="AH126" s="14">
        <f>IF($AG126="","",p_factor_productividad*IFERROR(INDEX('ASIGNACIONES'!$M$4:$M$451,MATCH($O126&amp;"|"&amp;$R126&amp;"|"&amp;$AE126,'ASIGNACIONES'!$N$4:$N$451,0)),0)-$AG126)</f>
        <v/>
      </c>
      <c r="AI126" s="11">
        <f>IF($A126="","",IFERROR(INDEX('2_IMPORTAR_EJECUCION'!$F$9:$F$1208,MATCH($AQ126,'2_IMPORTAR_EJECUCION'!$J$9:$J$1208,0)),0))</f>
        <v/>
      </c>
      <c r="AJ126" s="11">
        <f>IF($A126="","",MAX(0,IFERROR(INDEX('2_IMPORTAR_EJECUCION'!$H$9:$H$1208,MATCH($AQ126,'2_IMPORTAR_EJECUCION'!$J$9:$J$1208,0)),0)-$AI126))</f>
        <v/>
      </c>
      <c r="AK126" s="11">
        <f>IF($A126="","",$AI126+$AJ126)</f>
        <v/>
      </c>
      <c r="AL126" s="6" t="inlineStr"/>
      <c r="AM126" s="6" t="inlineStr"/>
      <c r="AN126" s="6" t="inlineStr"/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46182</v>
      </c>
      <c r="K127" s="3" t="n">
        <v>6</v>
      </c>
      <c r="L127" s="11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IF($H127="","",IFERROR(INDEX('CAT_ACTIVIDADES'!$B$4:$B$8,MATCH($H127,'CAT_ACTIVIDADES'!$A$4:$A$8,0)),"(sin catálogo)"))</f>
        <v/>
      </c>
      <c r="AA127" s="13">
        <f>IF($J127="","",TODAY()-$J127)</f>
        <v/>
      </c>
      <c r="AB127" s="13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/>
      <c r="AF127" s="3">
        <f>IF($AE127="","",IF((IFERROR(INDEX('ASIGNACIONES'!$J$4:$J$451,MATCH($O127&amp;"|"&amp;$R127&amp;"|"&amp;$AE127,'ASIGNACIONES'!$N$4:$N$451,0)),""))=0,"",IFERROR(INDEX('ASIGNACIONES'!$J$4:$J$451,MATCH($O127&amp;"|"&amp;$R127&amp;"|"&amp;$AE127,'ASIGNACIONES'!$N$4:$N$451,0)),"")))</f>
        <v/>
      </c>
      <c r="AG127" s="14">
        <f>IF($AE127="","",SUMIFS('ORDENES'!$M$4:$M$1203,'ORDENES'!$AE$4:$AE$1203,$AE127,'ORDENES'!$O$4:$O$1203,$O127,'ORDENES'!$R$4:$R$1203,$R127))</f>
        <v/>
      </c>
      <c r="AH127" s="14">
        <f>IF($AG127="","",p_factor_productividad*IFERROR(INDEX('ASIGNACIONES'!$M$4:$M$451,MATCH($O127&amp;"|"&amp;$R127&amp;"|"&amp;$AE127,'ASIGNACIONES'!$N$4:$N$451,0)),0)-$AG127)</f>
        <v/>
      </c>
      <c r="AI127" s="11">
        <f>IF($A127="","",IFERROR(INDEX('2_IMPORTAR_EJECUCION'!$F$9:$F$1208,MATCH($AQ127,'2_IMPORTAR_EJECUCION'!$J$9:$J$1208,0)),0))</f>
        <v/>
      </c>
      <c r="AJ127" s="11">
        <f>IF($A127="","",MAX(0,IFERROR(INDEX('2_IMPORTAR_EJECUCION'!$H$9:$H$1208,MATCH($AQ127,'2_IMPORTAR_EJECUCION'!$J$9:$J$1208,0)),0)-$AI127))</f>
        <v/>
      </c>
      <c r="AK127" s="11">
        <f>IF($A127="","",$AI127+$AJ127)</f>
        <v/>
      </c>
      <c r="AL127" s="6" t="inlineStr"/>
      <c r="AM127" s="6" t="inlineStr"/>
      <c r="AN127" s="6" t="inlineStr"/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46152</v>
      </c>
      <c r="K128" s="3" t="n">
        <v>4</v>
      </c>
      <c r="L128" s="11" t="n">
        <v>160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IF($H128="","",IFERROR(INDEX('CAT_ACTIVIDADES'!$B$4:$B$8,MATCH($H128,'CAT_ACTIVIDADES'!$A$4:$A$8,0)),"(sin catálogo)"))</f>
        <v/>
      </c>
      <c r="AA128" s="13">
        <f>IF($J128="","",TODAY()-$J128)</f>
        <v/>
      </c>
      <c r="AB128" s="13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/>
      <c r="AF128" s="3">
        <f>IF($AE128="","",IF((IFERROR(INDEX('ASIGNACIONES'!$J$4:$J$451,MATCH($O128&amp;"|"&amp;$R128&amp;"|"&amp;$AE128,'ASIGNACIONES'!$N$4:$N$451,0)),""))=0,"",IFERROR(INDEX('ASIGNACIONES'!$J$4:$J$451,MATCH($O128&amp;"|"&amp;$R128&amp;"|"&amp;$AE128,'ASIGNACIONES'!$N$4:$N$451,0)),"")))</f>
        <v/>
      </c>
      <c r="AG128" s="14">
        <f>IF($AE128="","",SUMIFS('ORDENES'!$M$4:$M$1203,'ORDENES'!$AE$4:$AE$1203,$AE128,'ORDENES'!$O$4:$O$1203,$O128,'ORDENES'!$R$4:$R$1203,$R128))</f>
        <v/>
      </c>
      <c r="AH128" s="14">
        <f>IF($AG128="","",p_factor_productividad*IFERROR(INDEX('ASIGNACIONES'!$M$4:$M$451,MATCH($O128&amp;"|"&amp;$R128&amp;"|"&amp;$AE128,'ASIGNACIONES'!$N$4:$N$451,0)),0)-$AG128)</f>
        <v/>
      </c>
      <c r="AI128" s="11">
        <f>IF($A128="","",IFERROR(INDEX('2_IMPORTAR_EJECUCION'!$F$9:$F$1208,MATCH($AQ128,'2_IMPORTAR_EJECUCION'!$J$9:$J$1208,0)),0))</f>
        <v/>
      </c>
      <c r="AJ128" s="11">
        <f>IF($A128="","",MAX(0,IFERROR(INDEX('2_IMPORTAR_EJECUCION'!$H$9:$H$1208,MATCH($AQ128,'2_IMPORTAR_EJECUCION'!$J$9:$J$1208,0)),0)-$AI128))</f>
        <v/>
      </c>
      <c r="AK128" s="11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46152</v>
      </c>
      <c r="K129" s="3" t="n">
        <v>6</v>
      </c>
      <c r="L129" s="11" t="n">
        <v>240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IF($H129="","",IFERROR(INDEX('CAT_ACTIVIDADES'!$B$4:$B$8,MATCH($H129,'CAT_ACTIVIDADES'!$A$4:$A$8,0)),"(sin catálogo)"))</f>
        <v/>
      </c>
      <c r="AA129" s="13">
        <f>IF($J129="","",TODAY()-$J129)</f>
        <v/>
      </c>
      <c r="AB129" s="13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IF($AE129="","",IF((IFERROR(INDEX('ASIGNACIONES'!$J$4:$J$451,MATCH($O129&amp;"|"&amp;$R129&amp;"|"&amp;$AE129,'ASIGNACIONES'!$N$4:$N$451,0)),""))=0,"",IFERROR(INDEX('ASIGNACIONES'!$J$4:$J$451,MATCH($O129&amp;"|"&amp;$R129&amp;"|"&amp;$AE129,'ASIGNACIONES'!$N$4:$N$451,0)),"")))</f>
        <v/>
      </c>
      <c r="AG129" s="14">
        <f>IF($AE129="","",SUMIFS('ORDENES'!$M$4:$M$1203,'ORDENES'!$AE$4:$AE$1203,$AE129,'ORDENES'!$O$4:$O$1203,$O129,'ORDENES'!$R$4:$R$1203,$R129))</f>
        <v/>
      </c>
      <c r="AH129" s="14">
        <f>IF($AG129="","",p_factor_productividad*IFERROR(INDEX('ASIGNACIONES'!$M$4:$M$451,MATCH($O129&amp;"|"&amp;$R129&amp;"|"&amp;$AE129,'ASIGNACIONES'!$N$4:$N$451,0)),0)-$AG129)</f>
        <v/>
      </c>
      <c r="AI129" s="11">
        <f>IF($A129="","",IFERROR(INDEX('2_IMPORTAR_EJECUCION'!$F$9:$F$1208,MATCH($AQ129,'2_IMPORTAR_EJECUCION'!$J$9:$J$1208,0)),0))</f>
        <v/>
      </c>
      <c r="AJ129" s="11">
        <f>IF($A129="","",MAX(0,IFERROR(INDEX('2_IMPORTAR_EJECUCION'!$H$9:$H$1208,MATCH($AQ129,'2_IMPORTAR_EJECUCION'!$J$9:$J$1208,0)),0)-$AI129))</f>
        <v/>
      </c>
      <c r="AK129" s="11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46152</v>
      </c>
      <c r="K130" s="3" t="n">
        <v>8</v>
      </c>
      <c r="L130" s="11" t="n">
        <v>320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IF($H130="","",IFERROR(INDEX('CAT_ACTIVIDADES'!$B$4:$B$8,MATCH($H130,'CAT_ACTIVIDADES'!$A$4:$A$8,0)),"(sin catálogo)"))</f>
        <v/>
      </c>
      <c r="AA130" s="13">
        <f>IF($J130="","",TODAY()-$J130)</f>
        <v/>
      </c>
      <c r="AB130" s="13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IF($AE130="","",IF((IFERROR(INDEX('ASIGNACIONES'!$J$4:$J$451,MATCH($O130&amp;"|"&amp;$R130&amp;"|"&amp;$AE130,'ASIGNACIONES'!$N$4:$N$451,0)),""))=0,"",IFERROR(INDEX('ASIGNACIONES'!$J$4:$J$451,MATCH($O130&amp;"|"&amp;$R130&amp;"|"&amp;$AE130,'ASIGNACIONES'!$N$4:$N$451,0)),"")))</f>
        <v/>
      </c>
      <c r="AG130" s="14">
        <f>IF($AE130="","",SUMIFS('ORDENES'!$M$4:$M$1203,'ORDENES'!$AE$4:$AE$1203,$AE130,'ORDENES'!$O$4:$O$1203,$O130,'ORDENES'!$R$4:$R$1203,$R130))</f>
        <v/>
      </c>
      <c r="AH130" s="14">
        <f>IF($AG130="","",p_factor_productividad*IFERROR(INDEX('ASIGNACIONES'!$M$4:$M$451,MATCH($O130&amp;"|"&amp;$R130&amp;"|"&amp;$AE130,'ASIGNACIONES'!$N$4:$N$451,0)),0)-$AG130)</f>
        <v/>
      </c>
      <c r="AI130" s="11">
        <f>IF($A130="","",IFERROR(INDEX('2_IMPORTAR_EJECUCION'!$F$9:$F$1208,MATCH($AQ130,'2_IMPORTAR_EJECUCION'!$J$9:$J$1208,0)),0))</f>
        <v/>
      </c>
      <c r="AJ130" s="11">
        <f>IF($A130="","",MAX(0,IFERROR(INDEX('2_IMPORTAR_EJECUCION'!$H$9:$H$1208,MATCH($AQ130,'2_IMPORTAR_EJECUCION'!$J$9:$J$1208,0)),0)-$AI130))</f>
        <v/>
      </c>
      <c r="AK130" s="11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46152</v>
      </c>
      <c r="K131" s="3" t="n">
        <v>4</v>
      </c>
      <c r="L131" s="11" t="n">
        <v>100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IF($H131="","",IFERROR(INDEX('CAT_ACTIVIDADES'!$B$4:$B$8,MATCH($H131,'CAT_ACTIVIDADES'!$A$4:$A$8,0)),"(sin catálogo)"))</f>
        <v/>
      </c>
      <c r="AA131" s="13">
        <f>IF($J131="","",TODAY()-$J131)</f>
        <v/>
      </c>
      <c r="AB131" s="13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IF($AE131="","",IF((IFERROR(INDEX('ASIGNACIONES'!$J$4:$J$451,MATCH($O131&amp;"|"&amp;$R131&amp;"|"&amp;$AE131,'ASIGNACIONES'!$N$4:$N$451,0)),""))=0,"",IFERROR(INDEX('ASIGNACIONES'!$J$4:$J$451,MATCH($O131&amp;"|"&amp;$R131&amp;"|"&amp;$AE131,'ASIGNACIONES'!$N$4:$N$451,0)),"")))</f>
        <v/>
      </c>
      <c r="AG131" s="14">
        <f>IF($AE131="","",SUMIFS('ORDENES'!$M$4:$M$1203,'ORDENES'!$AE$4:$AE$1203,$AE131,'ORDENES'!$O$4:$O$1203,$O131,'ORDENES'!$R$4:$R$1203,$R131))</f>
        <v/>
      </c>
      <c r="AH131" s="14">
        <f>IF($AG131="","",p_factor_productividad*IFERROR(INDEX('ASIGNACIONES'!$M$4:$M$451,MATCH($O131&amp;"|"&amp;$R131&amp;"|"&amp;$AE131,'ASIGNACIONES'!$N$4:$N$451,0)),0)-$AG131)</f>
        <v/>
      </c>
      <c r="AI131" s="11">
        <f>IF($A131="","",IFERROR(INDEX('2_IMPORTAR_EJECUCION'!$F$9:$F$1208,MATCH($AQ131,'2_IMPORTAR_EJECUCION'!$J$9:$J$1208,0)),0))</f>
        <v/>
      </c>
      <c r="AJ131" s="11">
        <f>IF($A131="","",MAX(0,IFERROR(INDEX('2_IMPORTAR_EJECUCION'!$H$9:$H$1208,MATCH($AQ131,'2_IMPORTAR_EJECUCION'!$J$9:$J$1208,0)),0)-$AI131))</f>
        <v/>
      </c>
      <c r="AK131" s="11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46152</v>
      </c>
      <c r="K132" s="3" t="n">
        <v>6</v>
      </c>
      <c r="L132" s="11" t="n">
        <v>240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IF($H132="","",IFERROR(INDEX('CAT_ACTIVIDADES'!$B$4:$B$8,MATCH($H132,'CAT_ACTIVIDADES'!$A$4:$A$8,0)),"(sin catálogo)"))</f>
        <v/>
      </c>
      <c r="AA132" s="13">
        <f>IF($J132="","",TODAY()-$J132)</f>
        <v/>
      </c>
      <c r="AB132" s="13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IF($AE132="","",IF((IFERROR(INDEX('ASIGNACIONES'!$J$4:$J$451,MATCH($O132&amp;"|"&amp;$R132&amp;"|"&amp;$AE132,'ASIGNACIONES'!$N$4:$N$451,0)),""))=0,"",IFERROR(INDEX('ASIGNACIONES'!$J$4:$J$451,MATCH($O132&amp;"|"&amp;$R132&amp;"|"&amp;$AE132,'ASIGNACIONES'!$N$4:$N$451,0)),"")))</f>
        <v/>
      </c>
      <c r="AG132" s="14">
        <f>IF($AE132="","",SUMIFS('ORDENES'!$M$4:$M$1203,'ORDENES'!$AE$4:$AE$1203,$AE132,'ORDENES'!$O$4:$O$1203,$O132,'ORDENES'!$R$4:$R$1203,$R132))</f>
        <v/>
      </c>
      <c r="AH132" s="14">
        <f>IF($AG132="","",p_factor_productividad*IFERROR(INDEX('ASIGNACIONES'!$M$4:$M$451,MATCH($O132&amp;"|"&amp;$R132&amp;"|"&amp;$AE132,'ASIGNACIONES'!$N$4:$N$451,0)),0)-$AG132)</f>
        <v/>
      </c>
      <c r="AI132" s="11">
        <f>IF($A132="","",IFERROR(INDEX('2_IMPORTAR_EJECUCION'!$F$9:$F$1208,MATCH($AQ132,'2_IMPORTAR_EJECUCION'!$J$9:$J$1208,0)),0))</f>
        <v/>
      </c>
      <c r="AJ132" s="11">
        <f>IF($A132="","",MAX(0,IFERROR(INDEX('2_IMPORTAR_EJECUCION'!$H$9:$H$1208,MATCH($AQ132,'2_IMPORTAR_EJECUCION'!$J$9:$J$1208,0)),0)-$AI132))</f>
        <v/>
      </c>
      <c r="AK132" s="11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46152</v>
      </c>
      <c r="K133" s="3" t="n">
        <v>8</v>
      </c>
      <c r="L133" s="11" t="n">
        <v>320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IF($H133="","",IFERROR(INDEX('CAT_ACTIVIDADES'!$B$4:$B$8,MATCH($H133,'CAT_ACTIVIDADES'!$A$4:$A$8,0)),"(sin catálogo)"))</f>
        <v/>
      </c>
      <c r="AA133" s="13">
        <f>IF($J133="","",TODAY()-$J133)</f>
        <v/>
      </c>
      <c r="AB133" s="13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/>
      <c r="AF133" s="3">
        <f>IF($AE133="","",IF((IFERROR(INDEX('ASIGNACIONES'!$J$4:$J$451,MATCH($O133&amp;"|"&amp;$R133&amp;"|"&amp;$AE133,'ASIGNACIONES'!$N$4:$N$451,0)),""))=0,"",IFERROR(INDEX('ASIGNACIONES'!$J$4:$J$451,MATCH($O133&amp;"|"&amp;$R133&amp;"|"&amp;$AE133,'ASIGNACIONES'!$N$4:$N$451,0)),"")))</f>
        <v/>
      </c>
      <c r="AG133" s="14">
        <f>IF($AE133="","",SUMIFS('ORDENES'!$M$4:$M$1203,'ORDENES'!$AE$4:$AE$1203,$AE133,'ORDENES'!$O$4:$O$1203,$O133,'ORDENES'!$R$4:$R$1203,$R133))</f>
        <v/>
      </c>
      <c r="AH133" s="14">
        <f>IF($AG133="","",p_factor_productividad*IFERROR(INDEX('ASIGNACIONES'!$M$4:$M$451,MATCH($O133&amp;"|"&amp;$R133&amp;"|"&amp;$AE133,'ASIGNACIONES'!$N$4:$N$451,0)),0)-$AG133)</f>
        <v/>
      </c>
      <c r="AI133" s="11">
        <f>IF($A133="","",IFERROR(INDEX('2_IMPORTAR_EJECUCION'!$F$9:$F$1208,MATCH($AQ133,'2_IMPORTAR_EJECUCION'!$J$9:$J$1208,0)),0))</f>
        <v/>
      </c>
      <c r="AJ133" s="11">
        <f>IF($A133="","",MAX(0,IFERROR(INDEX('2_IMPORTAR_EJECUCION'!$H$9:$H$1208,MATCH($AQ133,'2_IMPORTAR_EJECUCION'!$J$9:$J$1208,0)),0)-$AI133))</f>
        <v/>
      </c>
      <c r="AK133" s="11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46127</v>
      </c>
      <c r="K134" s="3" t="n">
        <v>4</v>
      </c>
      <c r="L134" s="11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IF($H134="","",IFERROR(INDEX('CAT_ACTIVIDADES'!$B$4:$B$8,MATCH($H134,'CAT_ACTIVIDADES'!$A$4:$A$8,0)),"(sin catálogo)"))</f>
        <v/>
      </c>
      <c r="AA134" s="13">
        <f>IF($J134="","",TODAY()-$J134)</f>
        <v/>
      </c>
      <c r="AB134" s="13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/>
      <c r="AF134" s="3">
        <f>IF($AE134="","",IF((IFERROR(INDEX('ASIGNACIONES'!$J$4:$J$451,MATCH($O134&amp;"|"&amp;$R134&amp;"|"&amp;$AE134,'ASIGNACIONES'!$N$4:$N$451,0)),""))=0,"",IFERROR(INDEX('ASIGNACIONES'!$J$4:$J$451,MATCH($O134&amp;"|"&amp;$R134&amp;"|"&amp;$AE134,'ASIGNACIONES'!$N$4:$N$451,0)),"")))</f>
        <v/>
      </c>
      <c r="AG134" s="14">
        <f>IF($AE134="","",SUMIFS('ORDENES'!$M$4:$M$1203,'ORDENES'!$AE$4:$AE$1203,$AE134,'ORDENES'!$O$4:$O$1203,$O134,'ORDENES'!$R$4:$R$1203,$R134))</f>
        <v/>
      </c>
      <c r="AH134" s="14">
        <f>IF($AG134="","",p_factor_productividad*IFERROR(INDEX('ASIGNACIONES'!$M$4:$M$451,MATCH($O134&amp;"|"&amp;$R134&amp;"|"&amp;$AE134,'ASIGNACIONES'!$N$4:$N$451,0)),0)-$AG134)</f>
        <v/>
      </c>
      <c r="AI134" s="11">
        <f>IF($A134="","",IFERROR(INDEX('2_IMPORTAR_EJECUCION'!$F$9:$F$1208,MATCH($AQ134,'2_IMPORTAR_EJECUCION'!$J$9:$J$1208,0)),0))</f>
        <v/>
      </c>
      <c r="AJ134" s="11">
        <f>IF($A134="","",MAX(0,IFERROR(INDEX('2_IMPORTAR_EJECUCION'!$H$9:$H$1208,MATCH($AQ134,'2_IMPORTAR_EJECUCION'!$J$9:$J$1208,0)),0)-$AI134))</f>
        <v/>
      </c>
      <c r="AK134" s="11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46127</v>
      </c>
      <c r="K135" s="3" t="n">
        <v>6</v>
      </c>
      <c r="L135" s="11" t="n">
        <v>240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IF($H135="","",IFERROR(INDEX('CAT_ACTIVIDADES'!$B$4:$B$8,MATCH($H135,'CAT_ACTIVIDADES'!$A$4:$A$8,0)),"(sin catálogo)"))</f>
        <v/>
      </c>
      <c r="AA135" s="13">
        <f>IF($J135="","",TODAY()-$J135)</f>
        <v/>
      </c>
      <c r="AB135" s="13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IF($AE135="","",IF((IFERROR(INDEX('ASIGNACIONES'!$J$4:$J$451,MATCH($O135&amp;"|"&amp;$R135&amp;"|"&amp;$AE135,'ASIGNACIONES'!$N$4:$N$451,0)),""))=0,"",IFERROR(INDEX('ASIGNACIONES'!$J$4:$J$451,MATCH($O135&amp;"|"&amp;$R135&amp;"|"&amp;$AE135,'ASIGNACIONES'!$N$4:$N$451,0)),"")))</f>
        <v/>
      </c>
      <c r="AG135" s="14">
        <f>IF($AE135="","",SUMIFS('ORDENES'!$M$4:$M$1203,'ORDENES'!$AE$4:$AE$1203,$AE135,'ORDENES'!$O$4:$O$1203,$O135,'ORDENES'!$R$4:$R$1203,$R135))</f>
        <v/>
      </c>
      <c r="AH135" s="14">
        <f>IF($AG135="","",p_factor_productividad*IFERROR(INDEX('ASIGNACIONES'!$M$4:$M$451,MATCH($O135&amp;"|"&amp;$R135&amp;"|"&amp;$AE135,'ASIGNACIONES'!$N$4:$N$451,0)),0)-$AG135)</f>
        <v/>
      </c>
      <c r="AI135" s="11">
        <f>IF($A135="","",IFERROR(INDEX('2_IMPORTAR_EJECUCION'!$F$9:$F$1208,MATCH($AQ135,'2_IMPORTAR_EJECUCION'!$J$9:$J$1208,0)),0))</f>
        <v/>
      </c>
      <c r="AJ135" s="11">
        <f>IF($A135="","",MAX(0,IFERROR(INDEX('2_IMPORTAR_EJECUCION'!$H$9:$H$1208,MATCH($AQ135,'2_IMPORTAR_EJECUCION'!$J$9:$J$1208,0)),0)-$AI135))</f>
        <v/>
      </c>
      <c r="AK135" s="11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46127</v>
      </c>
      <c r="K136" s="3" t="n">
        <v>8</v>
      </c>
      <c r="L136" s="11" t="n">
        <v>320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IF($H136="","",IFERROR(INDEX('CAT_ACTIVIDADES'!$B$4:$B$8,MATCH($H136,'CAT_ACTIVIDADES'!$A$4:$A$8,0)),"(sin catálogo)"))</f>
        <v/>
      </c>
      <c r="AA136" s="13">
        <f>IF($J136="","",TODAY()-$J136)</f>
        <v/>
      </c>
      <c r="AB136" s="13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/>
      <c r="AF136" s="3">
        <f>IF($AE136="","",IF((IFERROR(INDEX('ASIGNACIONES'!$J$4:$J$451,MATCH($O136&amp;"|"&amp;$R136&amp;"|"&amp;$AE136,'ASIGNACIONES'!$N$4:$N$451,0)),""))=0,"",IFERROR(INDEX('ASIGNACIONES'!$J$4:$J$451,MATCH($O136&amp;"|"&amp;$R136&amp;"|"&amp;$AE136,'ASIGNACIONES'!$N$4:$N$451,0)),"")))</f>
        <v/>
      </c>
      <c r="AG136" s="14">
        <f>IF($AE136="","",SUMIFS('ORDENES'!$M$4:$M$1203,'ORDENES'!$AE$4:$AE$1203,$AE136,'ORDENES'!$O$4:$O$1203,$O136,'ORDENES'!$R$4:$R$1203,$R136))</f>
        <v/>
      </c>
      <c r="AH136" s="14">
        <f>IF($AG136="","",p_factor_productividad*IFERROR(INDEX('ASIGNACIONES'!$M$4:$M$451,MATCH($O136&amp;"|"&amp;$R136&amp;"|"&amp;$AE136,'ASIGNACIONES'!$N$4:$N$451,0)),0)-$AG136)</f>
        <v/>
      </c>
      <c r="AI136" s="11">
        <f>IF($A136="","",IFERROR(INDEX('2_IMPORTAR_EJECUCION'!$F$9:$F$1208,MATCH($AQ136,'2_IMPORTAR_EJECUCION'!$J$9:$J$1208,0)),0))</f>
        <v/>
      </c>
      <c r="AJ136" s="11">
        <f>IF($A136="","",MAX(0,IFERROR(INDEX('2_IMPORTAR_EJECUCION'!$H$9:$H$1208,MATCH($AQ136,'2_IMPORTAR_EJECUCION'!$J$9:$J$1208,0)),0)-$AI136))</f>
        <v/>
      </c>
      <c r="AK136" s="11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46127</v>
      </c>
      <c r="K137" s="3" t="n">
        <v>4</v>
      </c>
      <c r="L137" s="11" t="n">
        <v>100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IF($H137="","",IFERROR(INDEX('CAT_ACTIVIDADES'!$B$4:$B$8,MATCH($H137,'CAT_ACTIVIDADES'!$A$4:$A$8,0)),"(sin catálogo)"))</f>
        <v/>
      </c>
      <c r="AA137" s="13">
        <f>IF($J137="","",TODAY()-$J137)</f>
        <v/>
      </c>
      <c r="AB137" s="13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/>
      <c r="AF137" s="3">
        <f>IF($AE137="","",IF((IFERROR(INDEX('ASIGNACIONES'!$J$4:$J$451,MATCH($O137&amp;"|"&amp;$R137&amp;"|"&amp;$AE137,'ASIGNACIONES'!$N$4:$N$451,0)),""))=0,"",IFERROR(INDEX('ASIGNACIONES'!$J$4:$J$451,MATCH($O137&amp;"|"&amp;$R137&amp;"|"&amp;$AE137,'ASIGNACIONES'!$N$4:$N$451,0)),"")))</f>
        <v/>
      </c>
      <c r="AG137" s="14">
        <f>IF($AE137="","",SUMIFS('ORDENES'!$M$4:$M$1203,'ORDENES'!$AE$4:$AE$1203,$AE137,'ORDENES'!$O$4:$O$1203,$O137,'ORDENES'!$R$4:$R$1203,$R137))</f>
        <v/>
      </c>
      <c r="AH137" s="14">
        <f>IF($AG137="","",p_factor_productividad*IFERROR(INDEX('ASIGNACIONES'!$M$4:$M$451,MATCH($O137&amp;"|"&amp;$R137&amp;"|"&amp;$AE137,'ASIGNACIONES'!$N$4:$N$451,0)),0)-$AG137)</f>
        <v/>
      </c>
      <c r="AI137" s="11">
        <f>IF($A137="","",IFERROR(INDEX('2_IMPORTAR_EJECUCION'!$F$9:$F$1208,MATCH($AQ137,'2_IMPORTAR_EJECUCION'!$J$9:$J$1208,0)),0))</f>
        <v/>
      </c>
      <c r="AJ137" s="11">
        <f>IF($A137="","",MAX(0,IFERROR(INDEX('2_IMPORTAR_EJECUCION'!$H$9:$H$1208,MATCH($AQ137,'2_IMPORTAR_EJECUCION'!$J$9:$J$1208,0)),0)-$AI137))</f>
        <v/>
      </c>
      <c r="AK137" s="11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46127</v>
      </c>
      <c r="K138" s="3" t="n">
        <v>6</v>
      </c>
      <c r="L138" s="11" t="n">
        <v>240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IF($H138="","",IFERROR(INDEX('CAT_ACTIVIDADES'!$B$4:$B$8,MATCH($H138,'CAT_ACTIVIDADES'!$A$4:$A$8,0)),"(sin catálogo)"))</f>
        <v/>
      </c>
      <c r="AA138" s="13">
        <f>IF($J138="","",TODAY()-$J138)</f>
        <v/>
      </c>
      <c r="AB138" s="13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/>
      <c r="AF138" s="3">
        <f>IF($AE138="","",IF((IFERROR(INDEX('ASIGNACIONES'!$J$4:$J$451,MATCH($O138&amp;"|"&amp;$R138&amp;"|"&amp;$AE138,'ASIGNACIONES'!$N$4:$N$451,0)),""))=0,"",IFERROR(INDEX('ASIGNACIONES'!$J$4:$J$451,MATCH($O138&amp;"|"&amp;$R138&amp;"|"&amp;$AE138,'ASIGNACIONES'!$N$4:$N$451,0)),"")))</f>
        <v/>
      </c>
      <c r="AG138" s="14">
        <f>IF($AE138="","",SUMIFS('ORDENES'!$M$4:$M$1203,'ORDENES'!$AE$4:$AE$1203,$AE138,'ORDENES'!$O$4:$O$1203,$O138,'ORDENES'!$R$4:$R$1203,$R138))</f>
        <v/>
      </c>
      <c r="AH138" s="14">
        <f>IF($AG138="","",p_factor_productividad*IFERROR(INDEX('ASIGNACIONES'!$M$4:$M$451,MATCH($O138&amp;"|"&amp;$R138&amp;"|"&amp;$AE138,'ASIGNACIONES'!$N$4:$N$451,0)),0)-$AG138)</f>
        <v/>
      </c>
      <c r="AI138" s="11">
        <f>IF($A138="","",IFERROR(INDEX('2_IMPORTAR_EJECUCION'!$F$9:$F$1208,MATCH($AQ138,'2_IMPORTAR_EJECUCION'!$J$9:$J$1208,0)),0))</f>
        <v/>
      </c>
      <c r="AJ138" s="11">
        <f>IF($A138="","",MAX(0,IFERROR(INDEX('2_IMPORTAR_EJECUCION'!$H$9:$H$1208,MATCH($AQ138,'2_IMPORTAR_EJECUCION'!$J$9:$J$1208,0)),0)-$AI138))</f>
        <v/>
      </c>
      <c r="AK138" s="11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46127</v>
      </c>
      <c r="K139" s="3" t="n">
        <v>8</v>
      </c>
      <c r="L139" s="11" t="n">
        <v>320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IF($H139="","",IFERROR(INDEX('CAT_ACTIVIDADES'!$B$4:$B$8,MATCH($H139,'CAT_ACTIVIDADES'!$A$4:$A$8,0)),"(sin catálogo)"))</f>
        <v/>
      </c>
      <c r="AA139" s="13">
        <f>IF($J139="","",TODAY()-$J139)</f>
        <v/>
      </c>
      <c r="AB139" s="13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/>
      <c r="AF139" s="3">
        <f>IF($AE139="","",IF((IFERROR(INDEX('ASIGNACIONES'!$J$4:$J$451,MATCH($O139&amp;"|"&amp;$R139&amp;"|"&amp;$AE139,'ASIGNACIONES'!$N$4:$N$451,0)),""))=0,"",IFERROR(INDEX('ASIGNACIONES'!$J$4:$J$451,MATCH($O139&amp;"|"&amp;$R139&amp;"|"&amp;$AE139,'ASIGNACIONES'!$N$4:$N$451,0)),"")))</f>
        <v/>
      </c>
      <c r="AG139" s="14">
        <f>IF($AE139="","",SUMIFS('ORDENES'!$M$4:$M$1203,'ORDENES'!$AE$4:$AE$1203,$AE139,'ORDENES'!$O$4:$O$1203,$O139,'ORDENES'!$R$4:$R$1203,$R139))</f>
        <v/>
      </c>
      <c r="AH139" s="14">
        <f>IF($AG139="","",p_factor_productividad*IFERROR(INDEX('ASIGNACIONES'!$M$4:$M$451,MATCH($O139&amp;"|"&amp;$R139&amp;"|"&amp;$AE139,'ASIGNACIONES'!$N$4:$N$451,0)),0)-$AG139)</f>
        <v/>
      </c>
      <c r="AI139" s="11">
        <f>IF($A139="","",IFERROR(INDEX('2_IMPORTAR_EJECUCION'!$F$9:$F$1208,MATCH($AQ139,'2_IMPORTAR_EJECUCION'!$J$9:$J$1208,0)),0))</f>
        <v/>
      </c>
      <c r="AJ139" s="11">
        <f>IF($A139="","",MAX(0,IFERROR(INDEX('2_IMPORTAR_EJECUCION'!$H$9:$H$1208,MATCH($AQ139,'2_IMPORTAR_EJECUCION'!$J$9:$J$1208,0)),0)-$AI139))</f>
        <v/>
      </c>
      <c r="AK139" s="11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46107</v>
      </c>
      <c r="K140" s="3" t="n">
        <v>4</v>
      </c>
      <c r="L140" s="11" t="n">
        <v>160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IF($H140="","",IFERROR(INDEX('CAT_ACTIVIDADES'!$B$4:$B$8,MATCH($H140,'CAT_ACTIVIDADES'!$A$4:$A$8,0)),"(sin catálogo)"))</f>
        <v/>
      </c>
      <c r="AA140" s="13">
        <f>IF($J140="","",TODAY()-$J140)</f>
        <v/>
      </c>
      <c r="AB140" s="13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/>
      <c r="AF140" s="3">
        <f>IF($AE140="","",IF((IFERROR(INDEX('ASIGNACIONES'!$J$4:$J$451,MATCH($O140&amp;"|"&amp;$R140&amp;"|"&amp;$AE140,'ASIGNACIONES'!$N$4:$N$451,0)),""))=0,"",IFERROR(INDEX('ASIGNACIONES'!$J$4:$J$451,MATCH($O140&amp;"|"&amp;$R140&amp;"|"&amp;$AE140,'ASIGNACIONES'!$N$4:$N$451,0)),"")))</f>
        <v/>
      </c>
      <c r="AG140" s="14">
        <f>IF($AE140="","",SUMIFS('ORDENES'!$M$4:$M$1203,'ORDENES'!$AE$4:$AE$1203,$AE140,'ORDENES'!$O$4:$O$1203,$O140,'ORDENES'!$R$4:$R$1203,$R140))</f>
        <v/>
      </c>
      <c r="AH140" s="14">
        <f>IF($AG140="","",p_factor_productividad*IFERROR(INDEX('ASIGNACIONES'!$M$4:$M$451,MATCH($O140&amp;"|"&amp;$R140&amp;"|"&amp;$AE140,'ASIGNACIONES'!$N$4:$N$451,0)),0)-$AG140)</f>
        <v/>
      </c>
      <c r="AI140" s="11">
        <f>IF($A140="","",IFERROR(INDEX('2_IMPORTAR_EJECUCION'!$F$9:$F$1208,MATCH($AQ140,'2_IMPORTAR_EJECUCION'!$J$9:$J$1208,0)),0))</f>
        <v/>
      </c>
      <c r="AJ140" s="11">
        <f>IF($A140="","",MAX(0,IFERROR(INDEX('2_IMPORTAR_EJECUCION'!$H$9:$H$1208,MATCH($AQ140,'2_IMPORTAR_EJECUCION'!$J$9:$J$1208,0)),0)-$AI140))</f>
        <v/>
      </c>
      <c r="AK140" s="11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46107</v>
      </c>
      <c r="K141" s="3" t="n">
        <v>6</v>
      </c>
      <c r="L141" s="11" t="n">
        <v>240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IF($H141="","",IFERROR(INDEX('CAT_ACTIVIDADES'!$B$4:$B$8,MATCH($H141,'CAT_ACTIVIDADES'!$A$4:$A$8,0)),"(sin catálogo)"))</f>
        <v/>
      </c>
      <c r="AA141" s="13">
        <f>IF($J141="","",TODAY()-$J141)</f>
        <v/>
      </c>
      <c r="AB141" s="13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IF($AE141="","",IF((IFERROR(INDEX('ASIGNACIONES'!$J$4:$J$451,MATCH($O141&amp;"|"&amp;$R141&amp;"|"&amp;$AE141,'ASIGNACIONES'!$N$4:$N$451,0)),""))=0,"",IFERROR(INDEX('ASIGNACIONES'!$J$4:$J$451,MATCH($O141&amp;"|"&amp;$R141&amp;"|"&amp;$AE141,'ASIGNACIONES'!$N$4:$N$451,0)),"")))</f>
        <v/>
      </c>
      <c r="AG141" s="14">
        <f>IF($AE141="","",SUMIFS('ORDENES'!$M$4:$M$1203,'ORDENES'!$AE$4:$AE$1203,$AE141,'ORDENES'!$O$4:$O$1203,$O141,'ORDENES'!$R$4:$R$1203,$R141))</f>
        <v/>
      </c>
      <c r="AH141" s="14">
        <f>IF($AG141="","",p_factor_productividad*IFERROR(INDEX('ASIGNACIONES'!$M$4:$M$451,MATCH($O141&amp;"|"&amp;$R141&amp;"|"&amp;$AE141,'ASIGNACIONES'!$N$4:$N$451,0)),0)-$AG141)</f>
        <v/>
      </c>
      <c r="AI141" s="11">
        <f>IF($A141="","",IFERROR(INDEX('2_IMPORTAR_EJECUCION'!$F$9:$F$1208,MATCH($AQ141,'2_IMPORTAR_EJECUCION'!$J$9:$J$1208,0)),0))</f>
        <v/>
      </c>
      <c r="AJ141" s="11">
        <f>IF($A141="","",MAX(0,IFERROR(INDEX('2_IMPORTAR_EJECUCION'!$H$9:$H$1208,MATCH($AQ141,'2_IMPORTAR_EJECUCION'!$J$9:$J$1208,0)),0)-$AI141))</f>
        <v/>
      </c>
      <c r="AK141" s="11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46107</v>
      </c>
      <c r="K142" s="3" t="n">
        <v>8</v>
      </c>
      <c r="L142" s="11" t="n">
        <v>320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IF($H142="","",IFERROR(INDEX('CAT_ACTIVIDADES'!$B$4:$B$8,MATCH($H142,'CAT_ACTIVIDADES'!$A$4:$A$8,0)),"(sin catálogo)"))</f>
        <v/>
      </c>
      <c r="AA142" s="13">
        <f>IF($J142="","",TODAY()-$J142)</f>
        <v/>
      </c>
      <c r="AB142" s="13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IF($AE142="","",IF((IFERROR(INDEX('ASIGNACIONES'!$J$4:$J$451,MATCH($O142&amp;"|"&amp;$R142&amp;"|"&amp;$AE142,'ASIGNACIONES'!$N$4:$N$451,0)),""))=0,"",IFERROR(INDEX('ASIGNACIONES'!$J$4:$J$451,MATCH($O142&amp;"|"&amp;$R142&amp;"|"&amp;$AE142,'ASIGNACIONES'!$N$4:$N$451,0)),"")))</f>
        <v/>
      </c>
      <c r="AG142" s="14">
        <f>IF($AE142="","",SUMIFS('ORDENES'!$M$4:$M$1203,'ORDENES'!$AE$4:$AE$1203,$AE142,'ORDENES'!$O$4:$O$1203,$O142,'ORDENES'!$R$4:$R$1203,$R142))</f>
        <v/>
      </c>
      <c r="AH142" s="14">
        <f>IF($AG142="","",p_factor_productividad*IFERROR(INDEX('ASIGNACIONES'!$M$4:$M$451,MATCH($O142&amp;"|"&amp;$R142&amp;"|"&amp;$AE142,'ASIGNACIONES'!$N$4:$N$451,0)),0)-$AG142)</f>
        <v/>
      </c>
      <c r="AI142" s="11">
        <f>IF($A142="","",IFERROR(INDEX('2_IMPORTAR_EJECUCION'!$F$9:$F$1208,MATCH($AQ142,'2_IMPORTAR_EJECUCION'!$J$9:$J$1208,0)),0))</f>
        <v/>
      </c>
      <c r="AJ142" s="11">
        <f>IF($A142="","",MAX(0,IFERROR(INDEX('2_IMPORTAR_EJECUCION'!$H$9:$H$1208,MATCH($AQ142,'2_IMPORTAR_EJECUCION'!$J$9:$J$1208,0)),0)-$AI142))</f>
        <v/>
      </c>
      <c r="AK142" s="11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46107</v>
      </c>
      <c r="K143" s="3" t="n">
        <v>4</v>
      </c>
      <c r="L143" s="11" t="n">
        <v>100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IF($H143="","",IFERROR(INDEX('CAT_ACTIVIDADES'!$B$4:$B$8,MATCH($H143,'CAT_ACTIVIDADES'!$A$4:$A$8,0)),"(sin catálogo)"))</f>
        <v/>
      </c>
      <c r="AA143" s="13">
        <f>IF($J143="","",TODAY()-$J143)</f>
        <v/>
      </c>
      <c r="AB143" s="13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IF($AE143="","",IF((IFERROR(INDEX('ASIGNACIONES'!$J$4:$J$451,MATCH($O143&amp;"|"&amp;$R143&amp;"|"&amp;$AE143,'ASIGNACIONES'!$N$4:$N$451,0)),""))=0,"",IFERROR(INDEX('ASIGNACIONES'!$J$4:$J$451,MATCH($O143&amp;"|"&amp;$R143&amp;"|"&amp;$AE143,'ASIGNACIONES'!$N$4:$N$451,0)),"")))</f>
        <v/>
      </c>
      <c r="AG143" s="14">
        <f>IF($AE143="","",SUMIFS('ORDENES'!$M$4:$M$1203,'ORDENES'!$AE$4:$AE$1203,$AE143,'ORDENES'!$O$4:$O$1203,$O143,'ORDENES'!$R$4:$R$1203,$R143))</f>
        <v/>
      </c>
      <c r="AH143" s="14">
        <f>IF($AG143="","",p_factor_productividad*IFERROR(INDEX('ASIGNACIONES'!$M$4:$M$451,MATCH($O143&amp;"|"&amp;$R143&amp;"|"&amp;$AE143,'ASIGNACIONES'!$N$4:$N$451,0)),0)-$AG143)</f>
        <v/>
      </c>
      <c r="AI143" s="11">
        <f>IF($A143="","",IFERROR(INDEX('2_IMPORTAR_EJECUCION'!$F$9:$F$1208,MATCH($AQ143,'2_IMPORTAR_EJECUCION'!$J$9:$J$1208,0)),0))</f>
        <v/>
      </c>
      <c r="AJ143" s="11">
        <f>IF($A143="","",MAX(0,IFERROR(INDEX('2_IMPORTAR_EJECUCION'!$H$9:$H$1208,MATCH($AQ143,'2_IMPORTAR_EJECUCION'!$J$9:$J$1208,0)),0)-$AI143))</f>
        <v/>
      </c>
      <c r="AK143" s="11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46077</v>
      </c>
      <c r="K144" s="3" t="n">
        <v>4</v>
      </c>
      <c r="L144" s="11" t="n">
        <v>160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IF($H144="","",IFERROR(INDEX('CAT_ACTIVIDADES'!$B$4:$B$8,MATCH($H144,'CAT_ACTIVIDADES'!$A$4:$A$8,0)),"(sin catálogo)"))</f>
        <v/>
      </c>
      <c r="AA144" s="13">
        <f>IF($J144="","",TODAY()-$J144)</f>
        <v/>
      </c>
      <c r="AB144" s="13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IF($AE144="","",IF((IFERROR(INDEX('ASIGNACIONES'!$J$4:$J$451,MATCH($O144&amp;"|"&amp;$R144&amp;"|"&amp;$AE144,'ASIGNACIONES'!$N$4:$N$451,0)),""))=0,"",IFERROR(INDEX('ASIGNACIONES'!$J$4:$J$451,MATCH($O144&amp;"|"&amp;$R144&amp;"|"&amp;$AE144,'ASIGNACIONES'!$N$4:$N$451,0)),"")))</f>
        <v/>
      </c>
      <c r="AG144" s="14">
        <f>IF($AE144="","",SUMIFS('ORDENES'!$M$4:$M$1203,'ORDENES'!$AE$4:$AE$1203,$AE144,'ORDENES'!$O$4:$O$1203,$O144,'ORDENES'!$R$4:$R$1203,$R144))</f>
        <v/>
      </c>
      <c r="AH144" s="14">
        <f>IF($AG144="","",p_factor_productividad*IFERROR(INDEX('ASIGNACIONES'!$M$4:$M$451,MATCH($O144&amp;"|"&amp;$R144&amp;"|"&amp;$AE144,'ASIGNACIONES'!$N$4:$N$451,0)),0)-$AG144)</f>
        <v/>
      </c>
      <c r="AI144" s="11">
        <f>IF($A144="","",IFERROR(INDEX('2_IMPORTAR_EJECUCION'!$F$9:$F$1208,MATCH($AQ144,'2_IMPORTAR_EJECUCION'!$J$9:$J$1208,0)),0))</f>
        <v/>
      </c>
      <c r="AJ144" s="11">
        <f>IF($A144="","",MAX(0,IFERROR(INDEX('2_IMPORTAR_EJECUCION'!$H$9:$H$1208,MATCH($AQ144,'2_IMPORTAR_EJECUCION'!$J$9:$J$1208,0)),0)-$AI144))</f>
        <v/>
      </c>
      <c r="AK144" s="11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46077</v>
      </c>
      <c r="K145" s="3" t="n">
        <v>6</v>
      </c>
      <c r="L145" s="11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IF($H145="","",IFERROR(INDEX('CAT_ACTIVIDADES'!$B$4:$B$8,MATCH($H145,'CAT_ACTIVIDADES'!$A$4:$A$8,0)),"(sin catálogo)"))</f>
        <v/>
      </c>
      <c r="AA145" s="13">
        <f>IF($J145="","",TODAY()-$J145)</f>
        <v/>
      </c>
      <c r="AB145" s="13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IF($AE145="","",IF((IFERROR(INDEX('ASIGNACIONES'!$J$4:$J$451,MATCH($O145&amp;"|"&amp;$R145&amp;"|"&amp;$AE145,'ASIGNACIONES'!$N$4:$N$451,0)),""))=0,"",IFERROR(INDEX('ASIGNACIONES'!$J$4:$J$451,MATCH($O145&amp;"|"&amp;$R145&amp;"|"&amp;$AE145,'ASIGNACIONES'!$N$4:$N$451,0)),"")))</f>
        <v/>
      </c>
      <c r="AG145" s="14">
        <f>IF($AE145="","",SUMIFS('ORDENES'!$M$4:$M$1203,'ORDENES'!$AE$4:$AE$1203,$AE145,'ORDENES'!$O$4:$O$1203,$O145,'ORDENES'!$R$4:$R$1203,$R145))</f>
        <v/>
      </c>
      <c r="AH145" s="14">
        <f>IF($AG145="","",p_factor_productividad*IFERROR(INDEX('ASIGNACIONES'!$M$4:$M$451,MATCH($O145&amp;"|"&amp;$R145&amp;"|"&amp;$AE145,'ASIGNACIONES'!$N$4:$N$451,0)),0)-$AG145)</f>
        <v/>
      </c>
      <c r="AI145" s="11">
        <f>IF($A145="","",IFERROR(INDEX('2_IMPORTAR_EJECUCION'!$F$9:$F$1208,MATCH($AQ145,'2_IMPORTAR_EJECUCION'!$J$9:$J$1208,0)),0))</f>
        <v/>
      </c>
      <c r="AJ145" s="11">
        <f>IF($A145="","",MAX(0,IFERROR(INDEX('2_IMPORTAR_EJECUCION'!$H$9:$H$1208,MATCH($AQ145,'2_IMPORTAR_EJECUCION'!$J$9:$J$1208,0)),0)-$AI145))</f>
        <v/>
      </c>
      <c r="AK145" s="11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46077</v>
      </c>
      <c r="K146" s="3" t="n">
        <v>8</v>
      </c>
      <c r="L146" s="11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IF($H146="","",IFERROR(INDEX('CAT_ACTIVIDADES'!$B$4:$B$8,MATCH($H146,'CAT_ACTIVIDADES'!$A$4:$A$8,0)),"(sin catálogo)"))</f>
        <v/>
      </c>
      <c r="AA146" s="13">
        <f>IF($J146="","",TODAY()-$J146)</f>
        <v/>
      </c>
      <c r="AB146" s="13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IF($AE146="","",IF((IFERROR(INDEX('ASIGNACIONES'!$J$4:$J$451,MATCH($O146&amp;"|"&amp;$R146&amp;"|"&amp;$AE146,'ASIGNACIONES'!$N$4:$N$451,0)),""))=0,"",IFERROR(INDEX('ASIGNACIONES'!$J$4:$J$451,MATCH($O146&amp;"|"&amp;$R146&amp;"|"&amp;$AE146,'ASIGNACIONES'!$N$4:$N$451,0)),"")))</f>
        <v/>
      </c>
      <c r="AG146" s="14">
        <f>IF($AE146="","",SUMIFS('ORDENES'!$M$4:$M$1203,'ORDENES'!$AE$4:$AE$1203,$AE146,'ORDENES'!$O$4:$O$1203,$O146,'ORDENES'!$R$4:$R$1203,$R146))</f>
        <v/>
      </c>
      <c r="AH146" s="14">
        <f>IF($AG146="","",p_factor_productividad*IFERROR(INDEX('ASIGNACIONES'!$M$4:$M$451,MATCH($O146&amp;"|"&amp;$R146&amp;"|"&amp;$AE146,'ASIGNACIONES'!$N$4:$N$451,0)),0)-$AG146)</f>
        <v/>
      </c>
      <c r="AI146" s="11">
        <f>IF($A146="","",IFERROR(INDEX('2_IMPORTAR_EJECUCION'!$F$9:$F$1208,MATCH($AQ146,'2_IMPORTAR_EJECUCION'!$J$9:$J$1208,0)),0))</f>
        <v/>
      </c>
      <c r="AJ146" s="11">
        <f>IF($A146="","",MAX(0,IFERROR(INDEX('2_IMPORTAR_EJECUCION'!$H$9:$H$1208,MATCH($AQ146,'2_IMPORTAR_EJECUCION'!$J$9:$J$1208,0)),0)-$AI146))</f>
        <v/>
      </c>
      <c r="AK146" s="11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46077</v>
      </c>
      <c r="K147" s="3" t="n">
        <v>4</v>
      </c>
      <c r="L147" s="11" t="n">
        <v>100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IF($H147="","",IFERROR(INDEX('CAT_ACTIVIDADES'!$B$4:$B$8,MATCH($H147,'CAT_ACTIVIDADES'!$A$4:$A$8,0)),"(sin catálogo)"))</f>
        <v/>
      </c>
      <c r="AA147" s="13">
        <f>IF($J147="","",TODAY()-$J147)</f>
        <v/>
      </c>
      <c r="AB147" s="13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IF($AE147="","",IF((IFERROR(INDEX('ASIGNACIONES'!$J$4:$J$451,MATCH($O147&amp;"|"&amp;$R147&amp;"|"&amp;$AE147,'ASIGNACIONES'!$N$4:$N$451,0)),""))=0,"",IFERROR(INDEX('ASIGNACIONES'!$J$4:$J$451,MATCH($O147&amp;"|"&amp;$R147&amp;"|"&amp;$AE147,'ASIGNACIONES'!$N$4:$N$451,0)),"")))</f>
        <v/>
      </c>
      <c r="AG147" s="14">
        <f>IF($AE147="","",SUMIFS('ORDENES'!$M$4:$M$1203,'ORDENES'!$AE$4:$AE$1203,$AE147,'ORDENES'!$O$4:$O$1203,$O147,'ORDENES'!$R$4:$R$1203,$R147))</f>
        <v/>
      </c>
      <c r="AH147" s="14">
        <f>IF($AG147="","",p_factor_productividad*IFERROR(INDEX('ASIGNACIONES'!$M$4:$M$451,MATCH($O147&amp;"|"&amp;$R147&amp;"|"&amp;$AE147,'ASIGNACIONES'!$N$4:$N$451,0)),0)-$AG147)</f>
        <v/>
      </c>
      <c r="AI147" s="11">
        <f>IF($A147="","",IFERROR(INDEX('2_IMPORTAR_EJECUCION'!$F$9:$F$1208,MATCH($AQ147,'2_IMPORTAR_EJECUCION'!$J$9:$J$1208,0)),0))</f>
        <v/>
      </c>
      <c r="AJ147" s="11">
        <f>IF($A147="","",MAX(0,IFERROR(INDEX('2_IMPORTAR_EJECUCION'!$H$9:$H$1208,MATCH($AQ147,'2_IMPORTAR_EJECUCION'!$J$9:$J$1208,0)),0)-$AI147))</f>
        <v/>
      </c>
      <c r="AK147" s="11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46187</v>
      </c>
      <c r="K148" s="3" t="n">
        <v>4</v>
      </c>
      <c r="L148" s="11" t="n">
        <v>100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IF($H148="","",IFERROR(INDEX('CAT_ACTIVIDADES'!$B$4:$B$8,MATCH($H148,'CAT_ACTIVIDADES'!$A$4:$A$8,0)),"(sin catálogo)"))</f>
        <v/>
      </c>
      <c r="AA148" s="13">
        <f>IF($J148="","",TODAY()-$J148)</f>
        <v/>
      </c>
      <c r="AB148" s="13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IF($AE148="","",IF((IFERROR(INDEX('ASIGNACIONES'!$J$4:$J$451,MATCH($O148&amp;"|"&amp;$R148&amp;"|"&amp;$AE148,'ASIGNACIONES'!$N$4:$N$451,0)),""))=0,"",IFERROR(INDEX('ASIGNACIONES'!$J$4:$J$451,MATCH($O148&amp;"|"&amp;$R148&amp;"|"&amp;$AE148,'ASIGNACIONES'!$N$4:$N$451,0)),"")))</f>
        <v/>
      </c>
      <c r="AG148" s="14">
        <f>IF($AE148="","",SUMIFS('ORDENES'!$M$4:$M$1203,'ORDENES'!$AE$4:$AE$1203,$AE148,'ORDENES'!$O$4:$O$1203,$O148,'ORDENES'!$R$4:$R$1203,$R148))</f>
        <v/>
      </c>
      <c r="AH148" s="14">
        <f>IF($AG148="","",p_factor_productividad*IFERROR(INDEX('ASIGNACIONES'!$M$4:$M$451,MATCH($O148&amp;"|"&amp;$R148&amp;"|"&amp;$AE148,'ASIGNACIONES'!$N$4:$N$451,0)),0)-$AG148)</f>
        <v/>
      </c>
      <c r="AI148" s="11">
        <f>IF($A148="","",IFERROR(INDEX('2_IMPORTAR_EJECUCION'!$F$9:$F$1208,MATCH($AQ148,'2_IMPORTAR_EJECUCION'!$J$9:$J$1208,0)),0))</f>
        <v/>
      </c>
      <c r="AJ148" s="11">
        <f>IF($A148="","",MAX(0,IFERROR(INDEX('2_IMPORTAR_EJECUCION'!$H$9:$H$1208,MATCH($AQ148,'2_IMPORTAR_EJECUCION'!$J$9:$J$1208,0)),0)-$AI148))</f>
        <v/>
      </c>
      <c r="AK148" s="11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46180</v>
      </c>
      <c r="K149" s="3" t="n">
        <v>6</v>
      </c>
      <c r="L149" s="11" t="n">
        <v>240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IF($H149="","",IFERROR(INDEX('CAT_ACTIVIDADES'!$B$4:$B$8,MATCH($H149,'CAT_ACTIVIDADES'!$A$4:$A$8,0)),"(sin catálogo)"))</f>
        <v/>
      </c>
      <c r="AA149" s="13">
        <f>IF($J149="","",TODAY()-$J149)</f>
        <v/>
      </c>
      <c r="AB149" s="13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IF($AE149="","",IF((IFERROR(INDEX('ASIGNACIONES'!$J$4:$J$451,MATCH($O149&amp;"|"&amp;$R149&amp;"|"&amp;$AE149,'ASIGNACIONES'!$N$4:$N$451,0)),""))=0,"",IFERROR(INDEX('ASIGNACIONES'!$J$4:$J$451,MATCH($O149&amp;"|"&amp;$R149&amp;"|"&amp;$AE149,'ASIGNACIONES'!$N$4:$N$451,0)),"")))</f>
        <v/>
      </c>
      <c r="AG149" s="14">
        <f>IF($AE149="","",SUMIFS('ORDENES'!$M$4:$M$1203,'ORDENES'!$AE$4:$AE$1203,$AE149,'ORDENES'!$O$4:$O$1203,$O149,'ORDENES'!$R$4:$R$1203,$R149))</f>
        <v/>
      </c>
      <c r="AH149" s="14">
        <f>IF($AG149="","",p_factor_productividad*IFERROR(INDEX('ASIGNACIONES'!$M$4:$M$451,MATCH($O149&amp;"|"&amp;$R149&amp;"|"&amp;$AE149,'ASIGNACIONES'!$N$4:$N$451,0)),0)-$AG149)</f>
        <v/>
      </c>
      <c r="AI149" s="11">
        <f>IF($A149="","",IFERROR(INDEX('2_IMPORTAR_EJECUCION'!$F$9:$F$1208,MATCH($AQ149,'2_IMPORTAR_EJECUCION'!$J$9:$J$1208,0)),0))</f>
        <v/>
      </c>
      <c r="AJ149" s="11">
        <f>IF($A149="","",MAX(0,IFERROR(INDEX('2_IMPORTAR_EJECUCION'!$H$9:$H$1208,MATCH($AQ149,'2_IMPORTAR_EJECUCION'!$J$9:$J$1208,0)),0)-$AI149))</f>
        <v/>
      </c>
      <c r="AK149" s="11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46173</v>
      </c>
      <c r="K150" s="3" t="n">
        <v>8</v>
      </c>
      <c r="L150" s="11" t="n">
        <v>200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IF($H150="","",IFERROR(INDEX('CAT_ACTIVIDADES'!$B$4:$B$8,MATCH($H150,'CAT_ACTIVIDADES'!$A$4:$A$8,0)),"(sin catálogo)"))</f>
        <v/>
      </c>
      <c r="AA150" s="13">
        <f>IF($J150="","",TODAY()-$J150)</f>
        <v/>
      </c>
      <c r="AB150" s="13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IF($AE150="","",IF((IFERROR(INDEX('ASIGNACIONES'!$J$4:$J$451,MATCH($O150&amp;"|"&amp;$R150&amp;"|"&amp;$AE150,'ASIGNACIONES'!$N$4:$N$451,0)),""))=0,"",IFERROR(INDEX('ASIGNACIONES'!$J$4:$J$451,MATCH($O150&amp;"|"&amp;$R150&amp;"|"&amp;$AE150,'ASIGNACIONES'!$N$4:$N$451,0)),"")))</f>
        <v/>
      </c>
      <c r="AG150" s="14">
        <f>IF($AE150="","",SUMIFS('ORDENES'!$M$4:$M$1203,'ORDENES'!$AE$4:$AE$1203,$AE150,'ORDENES'!$O$4:$O$1203,$O150,'ORDENES'!$R$4:$R$1203,$R150))</f>
        <v/>
      </c>
      <c r="AH150" s="14">
        <f>IF($AG150="","",p_factor_productividad*IFERROR(INDEX('ASIGNACIONES'!$M$4:$M$451,MATCH($O150&amp;"|"&amp;$R150&amp;"|"&amp;$AE150,'ASIGNACIONES'!$N$4:$N$451,0)),0)-$AG150)</f>
        <v/>
      </c>
      <c r="AI150" s="11">
        <f>IF($A150="","",IFERROR(INDEX('2_IMPORTAR_EJECUCION'!$F$9:$F$1208,MATCH($AQ150,'2_IMPORTAR_EJECUCION'!$J$9:$J$1208,0)),0))</f>
        <v/>
      </c>
      <c r="AJ150" s="11">
        <f>IF($A150="","",MAX(0,IFERROR(INDEX('2_IMPORTAR_EJECUCION'!$H$9:$H$1208,MATCH($AQ150,'2_IMPORTAR_EJECUCION'!$J$9:$J$1208,0)),0)-$AI150))</f>
        <v/>
      </c>
      <c r="AK150" s="11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46166</v>
      </c>
      <c r="K151" s="3" t="n">
        <v>4</v>
      </c>
      <c r="L151" s="11" t="n">
        <v>160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IF($H151="","",IFERROR(INDEX('CAT_ACTIVIDADES'!$B$4:$B$8,MATCH($H151,'CAT_ACTIVIDADES'!$A$4:$A$8,0)),"(sin catálogo)"))</f>
        <v/>
      </c>
      <c r="AA151" s="13">
        <f>IF($J151="","",TODAY()-$J151)</f>
        <v/>
      </c>
      <c r="AB151" s="13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IF($AE151="","",IF((IFERROR(INDEX('ASIGNACIONES'!$J$4:$J$451,MATCH($O151&amp;"|"&amp;$R151&amp;"|"&amp;$AE151,'ASIGNACIONES'!$N$4:$N$451,0)),""))=0,"",IFERROR(INDEX('ASIGNACIONES'!$J$4:$J$451,MATCH($O151&amp;"|"&amp;$R151&amp;"|"&amp;$AE151,'ASIGNACIONES'!$N$4:$N$451,0)),"")))</f>
        <v/>
      </c>
      <c r="AG151" s="14">
        <f>IF($AE151="","",SUMIFS('ORDENES'!$M$4:$M$1203,'ORDENES'!$AE$4:$AE$1203,$AE151,'ORDENES'!$O$4:$O$1203,$O151,'ORDENES'!$R$4:$R$1203,$R151))</f>
        <v/>
      </c>
      <c r="AH151" s="14">
        <f>IF($AG151="","",p_factor_productividad*IFERROR(INDEX('ASIGNACIONES'!$M$4:$M$451,MATCH($O151&amp;"|"&amp;$R151&amp;"|"&amp;$AE151,'ASIGNACIONES'!$N$4:$N$451,0)),0)-$AG151)</f>
        <v/>
      </c>
      <c r="AI151" s="11">
        <f>IF($A151="","",IFERROR(INDEX('2_IMPORTAR_EJECUCION'!$F$9:$F$1208,MATCH($AQ151,'2_IMPORTAR_EJECUCION'!$J$9:$J$1208,0)),0))</f>
        <v/>
      </c>
      <c r="AJ151" s="11">
        <f>IF($A151="","",MAX(0,IFERROR(INDEX('2_IMPORTAR_EJECUCION'!$H$9:$H$1208,MATCH($AQ151,'2_IMPORTAR_EJECUCION'!$J$9:$J$1208,0)),0)-$AI151))</f>
        <v/>
      </c>
      <c r="AK151" s="11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46159</v>
      </c>
      <c r="K152" s="3" t="n">
        <v>6</v>
      </c>
      <c r="L152" s="11" t="n">
        <v>150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IF($H152="","",IFERROR(INDEX('CAT_ACTIVIDADES'!$B$4:$B$8,MATCH($H152,'CAT_ACTIVIDADES'!$A$4:$A$8,0)),"(sin catálogo)"))</f>
        <v/>
      </c>
      <c r="AA152" s="13">
        <f>IF($J152="","",TODAY()-$J152)</f>
        <v/>
      </c>
      <c r="AB152" s="13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IF($AE152="","",IF((IFERROR(INDEX('ASIGNACIONES'!$J$4:$J$451,MATCH($O152&amp;"|"&amp;$R152&amp;"|"&amp;$AE152,'ASIGNACIONES'!$N$4:$N$451,0)),""))=0,"",IFERROR(INDEX('ASIGNACIONES'!$J$4:$J$451,MATCH($O152&amp;"|"&amp;$R152&amp;"|"&amp;$AE152,'ASIGNACIONES'!$N$4:$N$451,0)),"")))</f>
        <v/>
      </c>
      <c r="AG152" s="14">
        <f>IF($AE152="","",SUMIFS('ORDENES'!$M$4:$M$1203,'ORDENES'!$AE$4:$AE$1203,$AE152,'ORDENES'!$O$4:$O$1203,$O152,'ORDENES'!$R$4:$R$1203,$R152))</f>
        <v/>
      </c>
      <c r="AH152" s="14">
        <f>IF($AG152="","",p_factor_productividad*IFERROR(INDEX('ASIGNACIONES'!$M$4:$M$451,MATCH($O152&amp;"|"&amp;$R152&amp;"|"&amp;$AE152,'ASIGNACIONES'!$N$4:$N$451,0)),0)-$AG152)</f>
        <v/>
      </c>
      <c r="AI152" s="11">
        <f>IF($A152="","",IFERROR(INDEX('2_IMPORTAR_EJECUCION'!$F$9:$F$1208,MATCH($AQ152,'2_IMPORTAR_EJECUCION'!$J$9:$J$1208,0)),0))</f>
        <v/>
      </c>
      <c r="AJ152" s="11">
        <f>IF($A152="","",MAX(0,IFERROR(INDEX('2_IMPORTAR_EJECUCION'!$H$9:$H$1208,MATCH($AQ152,'2_IMPORTAR_EJECUCION'!$J$9:$J$1208,0)),0)-$AI152))</f>
        <v/>
      </c>
      <c r="AK152" s="11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46152</v>
      </c>
      <c r="K153" s="3" t="n">
        <v>8</v>
      </c>
      <c r="L153" s="11" t="n">
        <v>320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IF($H153="","",IFERROR(INDEX('CAT_ACTIVIDADES'!$B$4:$B$8,MATCH($H153,'CAT_ACTIVIDADES'!$A$4:$A$8,0)),"(sin catálogo)"))</f>
        <v/>
      </c>
      <c r="AA153" s="13">
        <f>IF($J153="","",TODAY()-$J153)</f>
        <v/>
      </c>
      <c r="AB153" s="13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IF($AE153="","",IF((IFERROR(INDEX('ASIGNACIONES'!$J$4:$J$451,MATCH($O153&amp;"|"&amp;$R153&amp;"|"&amp;$AE153,'ASIGNACIONES'!$N$4:$N$451,0)),""))=0,"",IFERROR(INDEX('ASIGNACIONES'!$J$4:$J$451,MATCH($O153&amp;"|"&amp;$R153&amp;"|"&amp;$AE153,'ASIGNACIONES'!$N$4:$N$451,0)),"")))</f>
        <v/>
      </c>
      <c r="AG153" s="14">
        <f>IF($AE153="","",SUMIFS('ORDENES'!$M$4:$M$1203,'ORDENES'!$AE$4:$AE$1203,$AE153,'ORDENES'!$O$4:$O$1203,$O153,'ORDENES'!$R$4:$R$1203,$R153))</f>
        <v/>
      </c>
      <c r="AH153" s="14">
        <f>IF($AG153="","",p_factor_productividad*IFERROR(INDEX('ASIGNACIONES'!$M$4:$M$451,MATCH($O153&amp;"|"&amp;$R153&amp;"|"&amp;$AE153,'ASIGNACIONES'!$N$4:$N$451,0)),0)-$AG153)</f>
        <v/>
      </c>
      <c r="AI153" s="11">
        <f>IF($A153="","",IFERROR(INDEX('2_IMPORTAR_EJECUCION'!$F$9:$F$1208,MATCH($AQ153,'2_IMPORTAR_EJECUCION'!$J$9:$J$1208,0)),0))</f>
        <v/>
      </c>
      <c r="AJ153" s="11">
        <f>IF($A153="","",MAX(0,IFERROR(INDEX('2_IMPORTAR_EJECUCION'!$H$9:$H$1208,MATCH($AQ153,'2_IMPORTAR_EJECUCION'!$J$9:$J$1208,0)),0)-$AI153))</f>
        <v/>
      </c>
      <c r="AK153" s="11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46145</v>
      </c>
      <c r="K154" s="3" t="n">
        <v>4</v>
      </c>
      <c r="L154" s="11" t="n">
        <v>100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IF($H154="","",IFERROR(INDEX('CAT_ACTIVIDADES'!$B$4:$B$8,MATCH($H154,'CAT_ACTIVIDADES'!$A$4:$A$8,0)),"(sin catálogo)"))</f>
        <v/>
      </c>
      <c r="AA154" s="13">
        <f>IF($J154="","",TODAY()-$J154)</f>
        <v/>
      </c>
      <c r="AB154" s="13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IF($AE154="","",IF((IFERROR(INDEX('ASIGNACIONES'!$J$4:$J$451,MATCH($O154&amp;"|"&amp;$R154&amp;"|"&amp;$AE154,'ASIGNACIONES'!$N$4:$N$451,0)),""))=0,"",IFERROR(INDEX('ASIGNACIONES'!$J$4:$J$451,MATCH($O154&amp;"|"&amp;$R154&amp;"|"&amp;$AE154,'ASIGNACIONES'!$N$4:$N$451,0)),"")))</f>
        <v/>
      </c>
      <c r="AG154" s="14">
        <f>IF($AE154="","",SUMIFS('ORDENES'!$M$4:$M$1203,'ORDENES'!$AE$4:$AE$1203,$AE154,'ORDENES'!$O$4:$O$1203,$O154,'ORDENES'!$R$4:$R$1203,$R154))</f>
        <v/>
      </c>
      <c r="AH154" s="14">
        <f>IF($AG154="","",p_factor_productividad*IFERROR(INDEX('ASIGNACIONES'!$M$4:$M$451,MATCH($O154&amp;"|"&amp;$R154&amp;"|"&amp;$AE154,'ASIGNACIONES'!$N$4:$N$451,0)),0)-$AG154)</f>
        <v/>
      </c>
      <c r="AI154" s="11">
        <f>IF($A154="","",IFERROR(INDEX('2_IMPORTAR_EJECUCION'!$F$9:$F$1208,MATCH($AQ154,'2_IMPORTAR_EJECUCION'!$J$9:$J$1208,0)),0))</f>
        <v/>
      </c>
      <c r="AJ154" s="11">
        <f>IF($A154="","",MAX(0,IFERROR(INDEX('2_IMPORTAR_EJECUCION'!$H$9:$H$1208,MATCH($AQ154,'2_IMPORTAR_EJECUCION'!$J$9:$J$1208,0)),0)-$AI154))</f>
        <v/>
      </c>
      <c r="AK154" s="11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46138</v>
      </c>
      <c r="K155" s="3" t="n">
        <v>6</v>
      </c>
      <c r="L155" s="11" t="n">
        <v>240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IF($H155="","",IFERROR(INDEX('CAT_ACTIVIDADES'!$B$4:$B$8,MATCH($H155,'CAT_ACTIVIDADES'!$A$4:$A$8,0)),"(sin catálogo)"))</f>
        <v/>
      </c>
      <c r="AA155" s="13">
        <f>IF($J155="","",TODAY()-$J155)</f>
        <v/>
      </c>
      <c r="AB155" s="13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IF($AE155="","",IF((IFERROR(INDEX('ASIGNACIONES'!$J$4:$J$451,MATCH($O155&amp;"|"&amp;$R155&amp;"|"&amp;$AE155,'ASIGNACIONES'!$N$4:$N$451,0)),""))=0,"",IFERROR(INDEX('ASIGNACIONES'!$J$4:$J$451,MATCH($O155&amp;"|"&amp;$R155&amp;"|"&amp;$AE155,'ASIGNACIONES'!$N$4:$N$451,0)),"")))</f>
        <v/>
      </c>
      <c r="AG155" s="14">
        <f>IF($AE155="","",SUMIFS('ORDENES'!$M$4:$M$1203,'ORDENES'!$AE$4:$AE$1203,$AE155,'ORDENES'!$O$4:$O$1203,$O155,'ORDENES'!$R$4:$R$1203,$R155))</f>
        <v/>
      </c>
      <c r="AH155" s="14">
        <f>IF($AG155="","",p_factor_productividad*IFERROR(INDEX('ASIGNACIONES'!$M$4:$M$451,MATCH($O155&amp;"|"&amp;$R155&amp;"|"&amp;$AE155,'ASIGNACIONES'!$N$4:$N$451,0)),0)-$AG155)</f>
        <v/>
      </c>
      <c r="AI155" s="11">
        <f>IF($A155="","",IFERROR(INDEX('2_IMPORTAR_EJECUCION'!$F$9:$F$1208,MATCH($AQ155,'2_IMPORTAR_EJECUCION'!$J$9:$J$1208,0)),0))</f>
        <v/>
      </c>
      <c r="AJ155" s="11">
        <f>IF($A155="","",MAX(0,IFERROR(INDEX('2_IMPORTAR_EJECUCION'!$H$9:$H$1208,MATCH($AQ155,'2_IMPORTAR_EJECUCION'!$J$9:$J$1208,0)),0)-$AI155))</f>
        <v/>
      </c>
      <c r="AK155" s="11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46131</v>
      </c>
      <c r="K156" s="3" t="n">
        <v>8</v>
      </c>
      <c r="L156" s="11" t="n">
        <v>200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IF($H156="","",IFERROR(INDEX('CAT_ACTIVIDADES'!$B$4:$B$8,MATCH($H156,'CAT_ACTIVIDADES'!$A$4:$A$8,0)),"(sin catálogo)"))</f>
        <v/>
      </c>
      <c r="AA156" s="13">
        <f>IF($J156="","",TODAY()-$J156)</f>
        <v/>
      </c>
      <c r="AB156" s="13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IF($AE156="","",IF((IFERROR(INDEX('ASIGNACIONES'!$J$4:$J$451,MATCH($O156&amp;"|"&amp;$R156&amp;"|"&amp;$AE156,'ASIGNACIONES'!$N$4:$N$451,0)),""))=0,"",IFERROR(INDEX('ASIGNACIONES'!$J$4:$J$451,MATCH($O156&amp;"|"&amp;$R156&amp;"|"&amp;$AE156,'ASIGNACIONES'!$N$4:$N$451,0)),"")))</f>
        <v/>
      </c>
      <c r="AG156" s="14">
        <f>IF($AE156="","",SUMIFS('ORDENES'!$M$4:$M$1203,'ORDENES'!$AE$4:$AE$1203,$AE156,'ORDENES'!$O$4:$O$1203,$O156,'ORDENES'!$R$4:$R$1203,$R156))</f>
        <v/>
      </c>
      <c r="AH156" s="14">
        <f>IF($AG156="","",p_factor_productividad*IFERROR(INDEX('ASIGNACIONES'!$M$4:$M$451,MATCH($O156&amp;"|"&amp;$R156&amp;"|"&amp;$AE156,'ASIGNACIONES'!$N$4:$N$451,0)),0)-$AG156)</f>
        <v/>
      </c>
      <c r="AI156" s="11">
        <f>IF($A156="","",IFERROR(INDEX('2_IMPORTAR_EJECUCION'!$F$9:$F$1208,MATCH($AQ156,'2_IMPORTAR_EJECUCION'!$J$9:$J$1208,0)),0))</f>
        <v/>
      </c>
      <c r="AJ156" s="11">
        <f>IF($A156="","",MAX(0,IFERROR(INDEX('2_IMPORTAR_EJECUCION'!$H$9:$H$1208,MATCH($AQ156,'2_IMPORTAR_EJECUCION'!$J$9:$J$1208,0)),0)-$AI156))</f>
        <v/>
      </c>
      <c r="AK156" s="11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46124</v>
      </c>
      <c r="K157" s="3" t="n">
        <v>4</v>
      </c>
      <c r="L157" s="11" t="n">
        <v>160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IF($H157="","",IFERROR(INDEX('CAT_ACTIVIDADES'!$B$4:$B$8,MATCH($H157,'CAT_ACTIVIDADES'!$A$4:$A$8,0)),"(sin catálogo)"))</f>
        <v/>
      </c>
      <c r="AA157" s="13">
        <f>IF($J157="","",TODAY()-$J157)</f>
        <v/>
      </c>
      <c r="AB157" s="13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IF($AE157="","",IF((IFERROR(INDEX('ASIGNACIONES'!$J$4:$J$451,MATCH($O157&amp;"|"&amp;$R157&amp;"|"&amp;$AE157,'ASIGNACIONES'!$N$4:$N$451,0)),""))=0,"",IFERROR(INDEX('ASIGNACIONES'!$J$4:$J$451,MATCH($O157&amp;"|"&amp;$R157&amp;"|"&amp;$AE157,'ASIGNACIONES'!$N$4:$N$451,0)),"")))</f>
        <v/>
      </c>
      <c r="AG157" s="14">
        <f>IF($AE157="","",SUMIFS('ORDENES'!$M$4:$M$1203,'ORDENES'!$AE$4:$AE$1203,$AE157,'ORDENES'!$O$4:$O$1203,$O157,'ORDENES'!$R$4:$R$1203,$R157))</f>
        <v/>
      </c>
      <c r="AH157" s="14">
        <f>IF($AG157="","",p_factor_productividad*IFERROR(INDEX('ASIGNACIONES'!$M$4:$M$451,MATCH($O157&amp;"|"&amp;$R157&amp;"|"&amp;$AE157,'ASIGNACIONES'!$N$4:$N$451,0)),0)-$AG157)</f>
        <v/>
      </c>
      <c r="AI157" s="11">
        <f>IF($A157="","",IFERROR(INDEX('2_IMPORTAR_EJECUCION'!$F$9:$F$1208,MATCH($AQ157,'2_IMPORTAR_EJECUCION'!$J$9:$J$1208,0)),0))</f>
        <v/>
      </c>
      <c r="AJ157" s="11">
        <f>IF($A157="","",MAX(0,IFERROR(INDEX('2_IMPORTAR_EJECUCION'!$H$9:$H$1208,MATCH($AQ157,'2_IMPORTAR_EJECUCION'!$J$9:$J$1208,0)),0)-$AI157))</f>
        <v/>
      </c>
      <c r="AK157" s="11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46117</v>
      </c>
      <c r="K158" s="3" t="n">
        <v>6</v>
      </c>
      <c r="L158" s="11" t="n">
        <v>150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IF($H158="","",IFERROR(INDEX('CAT_ACTIVIDADES'!$B$4:$B$8,MATCH($H158,'CAT_ACTIVIDADES'!$A$4:$A$8,0)),"(sin catálogo)"))</f>
        <v/>
      </c>
      <c r="AA158" s="13">
        <f>IF($J158="","",TODAY()-$J158)</f>
        <v/>
      </c>
      <c r="AB158" s="13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IF($AE158="","",IF((IFERROR(INDEX('ASIGNACIONES'!$J$4:$J$451,MATCH($O158&amp;"|"&amp;$R158&amp;"|"&amp;$AE158,'ASIGNACIONES'!$N$4:$N$451,0)),""))=0,"",IFERROR(INDEX('ASIGNACIONES'!$J$4:$J$451,MATCH($O158&amp;"|"&amp;$R158&amp;"|"&amp;$AE158,'ASIGNACIONES'!$N$4:$N$451,0)),"")))</f>
        <v/>
      </c>
      <c r="AG158" s="14">
        <f>IF($AE158="","",SUMIFS('ORDENES'!$M$4:$M$1203,'ORDENES'!$AE$4:$AE$1203,$AE158,'ORDENES'!$O$4:$O$1203,$O158,'ORDENES'!$R$4:$R$1203,$R158))</f>
        <v/>
      </c>
      <c r="AH158" s="14">
        <f>IF($AG158="","",p_factor_productividad*IFERROR(INDEX('ASIGNACIONES'!$M$4:$M$451,MATCH($O158&amp;"|"&amp;$R158&amp;"|"&amp;$AE158,'ASIGNACIONES'!$N$4:$N$451,0)),0)-$AG158)</f>
        <v/>
      </c>
      <c r="AI158" s="11">
        <f>IF($A158="","",IFERROR(INDEX('2_IMPORTAR_EJECUCION'!$F$9:$F$1208,MATCH($AQ158,'2_IMPORTAR_EJECUCION'!$J$9:$J$1208,0)),0))</f>
        <v/>
      </c>
      <c r="AJ158" s="11">
        <f>IF($A158="","",MAX(0,IFERROR(INDEX('2_IMPORTAR_EJECUCION'!$H$9:$H$1208,MATCH($AQ158,'2_IMPORTAR_EJECUCION'!$J$9:$J$1208,0)),0)-$AI158))</f>
        <v/>
      </c>
      <c r="AK158" s="11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46110</v>
      </c>
      <c r="K159" s="3" t="n">
        <v>8</v>
      </c>
      <c r="L159" s="11" t="n">
        <v>320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IF($H159="","",IFERROR(INDEX('CAT_ACTIVIDADES'!$B$4:$B$8,MATCH($H159,'CAT_ACTIVIDADES'!$A$4:$A$8,0)),"(sin catálogo)"))</f>
        <v/>
      </c>
      <c r="AA159" s="13">
        <f>IF($J159="","",TODAY()-$J159)</f>
        <v/>
      </c>
      <c r="AB159" s="13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IF($AE159="","",IF((IFERROR(INDEX('ASIGNACIONES'!$J$4:$J$451,MATCH($O159&amp;"|"&amp;$R159&amp;"|"&amp;$AE159,'ASIGNACIONES'!$N$4:$N$451,0)),""))=0,"",IFERROR(INDEX('ASIGNACIONES'!$J$4:$J$451,MATCH($O159&amp;"|"&amp;$R159&amp;"|"&amp;$AE159,'ASIGNACIONES'!$N$4:$N$451,0)),"")))</f>
        <v/>
      </c>
      <c r="AG159" s="14">
        <f>IF($AE159="","",SUMIFS('ORDENES'!$M$4:$M$1203,'ORDENES'!$AE$4:$AE$1203,$AE159,'ORDENES'!$O$4:$O$1203,$O159,'ORDENES'!$R$4:$R$1203,$R159))</f>
        <v/>
      </c>
      <c r="AH159" s="14">
        <f>IF($AG159="","",p_factor_productividad*IFERROR(INDEX('ASIGNACIONES'!$M$4:$M$451,MATCH($O159&amp;"|"&amp;$R159&amp;"|"&amp;$AE159,'ASIGNACIONES'!$N$4:$N$451,0)),0)-$AG159)</f>
        <v/>
      </c>
      <c r="AI159" s="11">
        <f>IF($A159="","",IFERROR(INDEX('2_IMPORTAR_EJECUCION'!$F$9:$F$1208,MATCH($AQ159,'2_IMPORTAR_EJECUCION'!$J$9:$J$1208,0)),0))</f>
        <v/>
      </c>
      <c r="AJ159" s="11">
        <f>IF($A159="","",MAX(0,IFERROR(INDEX('2_IMPORTAR_EJECUCION'!$H$9:$H$1208,MATCH($AQ159,'2_IMPORTAR_EJECUCION'!$J$9:$J$1208,0)),0)-$AI159))</f>
        <v/>
      </c>
      <c r="AK159" s="11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46103</v>
      </c>
      <c r="K160" s="3" t="n">
        <v>4</v>
      </c>
      <c r="L160" s="11" t="n">
        <v>100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IF($H160="","",IFERROR(INDEX('CAT_ACTIVIDADES'!$B$4:$B$8,MATCH($H160,'CAT_ACTIVIDADES'!$A$4:$A$8,0)),"(sin catálogo)"))</f>
        <v/>
      </c>
      <c r="AA160" s="13">
        <f>IF($J160="","",TODAY()-$J160)</f>
        <v/>
      </c>
      <c r="AB160" s="13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IF($AE160="","",IF((IFERROR(INDEX('ASIGNACIONES'!$J$4:$J$451,MATCH($O160&amp;"|"&amp;$R160&amp;"|"&amp;$AE160,'ASIGNACIONES'!$N$4:$N$451,0)),""))=0,"",IFERROR(INDEX('ASIGNACIONES'!$J$4:$J$451,MATCH($O160&amp;"|"&amp;$R160&amp;"|"&amp;$AE160,'ASIGNACIONES'!$N$4:$N$451,0)),"")))</f>
        <v/>
      </c>
      <c r="AG160" s="14">
        <f>IF($AE160="","",SUMIFS('ORDENES'!$M$4:$M$1203,'ORDENES'!$AE$4:$AE$1203,$AE160,'ORDENES'!$O$4:$O$1203,$O160,'ORDENES'!$R$4:$R$1203,$R160))</f>
        <v/>
      </c>
      <c r="AH160" s="14">
        <f>IF($AG160="","",p_factor_productividad*IFERROR(INDEX('ASIGNACIONES'!$M$4:$M$451,MATCH($O160&amp;"|"&amp;$R160&amp;"|"&amp;$AE160,'ASIGNACIONES'!$N$4:$N$451,0)),0)-$AG160)</f>
        <v/>
      </c>
      <c r="AI160" s="11">
        <f>IF($A160="","",IFERROR(INDEX('2_IMPORTAR_EJECUCION'!$F$9:$F$1208,MATCH($AQ160,'2_IMPORTAR_EJECUCION'!$J$9:$J$1208,0)),0))</f>
        <v/>
      </c>
      <c r="AJ160" s="11">
        <f>IF($A160="","",MAX(0,IFERROR(INDEX('2_IMPORTAR_EJECUCION'!$H$9:$H$1208,MATCH($AQ160,'2_IMPORTAR_EJECUCION'!$J$9:$J$1208,0)),0)-$AI160))</f>
        <v/>
      </c>
      <c r="AK160" s="11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46096</v>
      </c>
      <c r="K161" s="3" t="n">
        <v>6</v>
      </c>
      <c r="L161" s="11" t="n">
        <v>240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IF($H161="","",IFERROR(INDEX('CAT_ACTIVIDADES'!$B$4:$B$8,MATCH($H161,'CAT_ACTIVIDADES'!$A$4:$A$8,0)),"(sin catálogo)"))</f>
        <v/>
      </c>
      <c r="AA161" s="13">
        <f>IF($J161="","",TODAY()-$J161)</f>
        <v/>
      </c>
      <c r="AB161" s="13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IF($AE161="","",IF((IFERROR(INDEX('ASIGNACIONES'!$J$4:$J$451,MATCH($O161&amp;"|"&amp;$R161&amp;"|"&amp;$AE161,'ASIGNACIONES'!$N$4:$N$451,0)),""))=0,"",IFERROR(INDEX('ASIGNACIONES'!$J$4:$J$451,MATCH($O161&amp;"|"&amp;$R161&amp;"|"&amp;$AE161,'ASIGNACIONES'!$N$4:$N$451,0)),"")))</f>
        <v/>
      </c>
      <c r="AG161" s="14">
        <f>IF($AE161="","",SUMIFS('ORDENES'!$M$4:$M$1203,'ORDENES'!$AE$4:$AE$1203,$AE161,'ORDENES'!$O$4:$O$1203,$O161,'ORDENES'!$R$4:$R$1203,$R161))</f>
        <v/>
      </c>
      <c r="AH161" s="14">
        <f>IF($AG161="","",p_factor_productividad*IFERROR(INDEX('ASIGNACIONES'!$M$4:$M$451,MATCH($O161&amp;"|"&amp;$R161&amp;"|"&amp;$AE161,'ASIGNACIONES'!$N$4:$N$451,0)),0)-$AG161)</f>
        <v/>
      </c>
      <c r="AI161" s="11">
        <f>IF($A161="","",IFERROR(INDEX('2_IMPORTAR_EJECUCION'!$F$9:$F$1208,MATCH($AQ161,'2_IMPORTAR_EJECUCION'!$J$9:$J$1208,0)),0))</f>
        <v/>
      </c>
      <c r="AJ161" s="11">
        <f>IF($A161="","",MAX(0,IFERROR(INDEX('2_IMPORTAR_EJECUCION'!$H$9:$H$1208,MATCH($AQ161,'2_IMPORTAR_EJECUCION'!$J$9:$J$1208,0)),0)-$AI161))</f>
        <v/>
      </c>
      <c r="AK161" s="11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46089</v>
      </c>
      <c r="K162" s="3" t="n">
        <v>8</v>
      </c>
      <c r="L162" s="11" t="n">
        <v>200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IF($H162="","",IFERROR(INDEX('CAT_ACTIVIDADES'!$B$4:$B$8,MATCH($H162,'CAT_ACTIVIDADES'!$A$4:$A$8,0)),"(sin catálogo)"))</f>
        <v/>
      </c>
      <c r="AA162" s="13">
        <f>IF($J162="","",TODAY()-$J162)</f>
        <v/>
      </c>
      <c r="AB162" s="13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IF($AE162="","",IF((IFERROR(INDEX('ASIGNACIONES'!$J$4:$J$451,MATCH($O162&amp;"|"&amp;$R162&amp;"|"&amp;$AE162,'ASIGNACIONES'!$N$4:$N$451,0)),""))=0,"",IFERROR(INDEX('ASIGNACIONES'!$J$4:$J$451,MATCH($O162&amp;"|"&amp;$R162&amp;"|"&amp;$AE162,'ASIGNACIONES'!$N$4:$N$451,0)),"")))</f>
        <v/>
      </c>
      <c r="AG162" s="14">
        <f>IF($AE162="","",SUMIFS('ORDENES'!$M$4:$M$1203,'ORDENES'!$AE$4:$AE$1203,$AE162,'ORDENES'!$O$4:$O$1203,$O162,'ORDENES'!$R$4:$R$1203,$R162))</f>
        <v/>
      </c>
      <c r="AH162" s="14">
        <f>IF($AG162="","",p_factor_productividad*IFERROR(INDEX('ASIGNACIONES'!$M$4:$M$451,MATCH($O162&amp;"|"&amp;$R162&amp;"|"&amp;$AE162,'ASIGNACIONES'!$N$4:$N$451,0)),0)-$AG162)</f>
        <v/>
      </c>
      <c r="AI162" s="11">
        <f>IF($A162="","",IFERROR(INDEX('2_IMPORTAR_EJECUCION'!$F$9:$F$1208,MATCH($AQ162,'2_IMPORTAR_EJECUCION'!$J$9:$J$1208,0)),0))</f>
        <v/>
      </c>
      <c r="AJ162" s="11">
        <f>IF($A162="","",MAX(0,IFERROR(INDEX('2_IMPORTAR_EJECUCION'!$H$9:$H$1208,MATCH($AQ162,'2_IMPORTAR_EJECUCION'!$J$9:$J$1208,0)),0)-$AI162))</f>
        <v/>
      </c>
      <c r="AK162" s="11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46267</v>
      </c>
      <c r="K163" s="3" t="n">
        <v>6</v>
      </c>
      <c r="L163" s="11" t="n">
        <v>150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IF($H163="","",IFERROR(INDEX('CAT_ACTIVIDADES'!$B$4:$B$8,MATCH($H163,'CAT_ACTIVIDADES'!$A$4:$A$8,0)),"(sin catálogo)"))</f>
        <v/>
      </c>
      <c r="AA163" s="13">
        <f>IF($J163="","",TODAY()-$J163)</f>
        <v/>
      </c>
      <c r="AB163" s="13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IF($AE163="","",IF((IFERROR(INDEX('ASIGNACIONES'!$J$4:$J$451,MATCH($O163&amp;"|"&amp;$R163&amp;"|"&amp;$AE163,'ASIGNACIONES'!$N$4:$N$451,0)),""))=0,"",IFERROR(INDEX('ASIGNACIONES'!$J$4:$J$451,MATCH($O163&amp;"|"&amp;$R163&amp;"|"&amp;$AE163,'ASIGNACIONES'!$N$4:$N$451,0)),"")))</f>
        <v/>
      </c>
      <c r="AG163" s="14">
        <f>IF($AE163="","",SUMIFS('ORDENES'!$M$4:$M$1203,'ORDENES'!$AE$4:$AE$1203,$AE163,'ORDENES'!$O$4:$O$1203,$O163,'ORDENES'!$R$4:$R$1203,$R163))</f>
        <v/>
      </c>
      <c r="AH163" s="14">
        <f>IF($AG163="","",p_factor_productividad*IFERROR(INDEX('ASIGNACIONES'!$M$4:$M$451,MATCH($O163&amp;"|"&amp;$R163&amp;"|"&amp;$AE163,'ASIGNACIONES'!$N$4:$N$451,0)),0)-$AG163)</f>
        <v/>
      </c>
      <c r="AI163" s="11">
        <f>IF($A163="","",IFERROR(INDEX('2_IMPORTAR_EJECUCION'!$F$9:$F$1208,MATCH($AQ163,'2_IMPORTAR_EJECUCION'!$J$9:$J$1208,0)),0))</f>
        <v/>
      </c>
      <c r="AJ163" s="11">
        <f>IF($A163="","",MAX(0,IFERROR(INDEX('2_IMPORTAR_EJECUCION'!$H$9:$H$1208,MATCH($AQ163,'2_IMPORTAR_EJECUCION'!$J$9:$J$1208,0)),0)-$AI163))</f>
        <v/>
      </c>
      <c r="AK163" s="11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46267</v>
      </c>
      <c r="K164" s="3" t="n">
        <v>6</v>
      </c>
      <c r="L164" s="11" t="n">
        <v>150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IF($H164="","",IFERROR(INDEX('CAT_ACTIVIDADES'!$B$4:$B$8,MATCH($H164,'CAT_ACTIVIDADES'!$A$4:$A$8,0)),"(sin catálogo)"))</f>
        <v/>
      </c>
      <c r="AA164" s="13">
        <f>IF($J164="","",TODAY()-$J164)</f>
        <v/>
      </c>
      <c r="AB164" s="13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IF($AE164="","",IF((IFERROR(INDEX('ASIGNACIONES'!$J$4:$J$451,MATCH($O164&amp;"|"&amp;$R164&amp;"|"&amp;$AE164,'ASIGNACIONES'!$N$4:$N$451,0)),""))=0,"",IFERROR(INDEX('ASIGNACIONES'!$J$4:$J$451,MATCH($O164&amp;"|"&amp;$R164&amp;"|"&amp;$AE164,'ASIGNACIONES'!$N$4:$N$451,0)),"")))</f>
        <v/>
      </c>
      <c r="AG164" s="14">
        <f>IF($AE164="","",SUMIFS('ORDENES'!$M$4:$M$1203,'ORDENES'!$AE$4:$AE$1203,$AE164,'ORDENES'!$O$4:$O$1203,$O164,'ORDENES'!$R$4:$R$1203,$R164))</f>
        <v/>
      </c>
      <c r="AH164" s="14">
        <f>IF($AG164="","",p_factor_productividad*IFERROR(INDEX('ASIGNACIONES'!$M$4:$M$451,MATCH($O164&amp;"|"&amp;$R164&amp;"|"&amp;$AE164,'ASIGNACIONES'!$N$4:$N$451,0)),0)-$AG164)</f>
        <v/>
      </c>
      <c r="AI164" s="11">
        <f>IF($A164="","",IFERROR(INDEX('2_IMPORTAR_EJECUCION'!$F$9:$F$1208,MATCH($AQ164,'2_IMPORTAR_EJECUCION'!$J$9:$J$1208,0)),0))</f>
        <v/>
      </c>
      <c r="AJ164" s="11">
        <f>IF($A164="","",MAX(0,IFERROR(INDEX('2_IMPORTAR_EJECUCION'!$H$9:$H$1208,MATCH($AQ164,'2_IMPORTAR_EJECUCION'!$J$9:$J$1208,0)),0)-$AI164))</f>
        <v/>
      </c>
      <c r="AK164" s="11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46267</v>
      </c>
      <c r="K165" s="3" t="n">
        <v>6</v>
      </c>
      <c r="L165" s="11" t="n">
        <v>150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IF($H165="","",IFERROR(INDEX('CAT_ACTIVIDADES'!$B$4:$B$8,MATCH($H165,'CAT_ACTIVIDADES'!$A$4:$A$8,0)),"(sin catálogo)"))</f>
        <v/>
      </c>
      <c r="AA165" s="13">
        <f>IF($J165="","",TODAY()-$J165)</f>
        <v/>
      </c>
      <c r="AB165" s="13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IF($AE165="","",IF((IFERROR(INDEX('ASIGNACIONES'!$J$4:$J$451,MATCH($O165&amp;"|"&amp;$R165&amp;"|"&amp;$AE165,'ASIGNACIONES'!$N$4:$N$451,0)),""))=0,"",IFERROR(INDEX('ASIGNACIONES'!$J$4:$J$451,MATCH($O165&amp;"|"&amp;$R165&amp;"|"&amp;$AE165,'ASIGNACIONES'!$N$4:$N$451,0)),"")))</f>
        <v/>
      </c>
      <c r="AG165" s="14">
        <f>IF($AE165="","",SUMIFS('ORDENES'!$M$4:$M$1203,'ORDENES'!$AE$4:$AE$1203,$AE165,'ORDENES'!$O$4:$O$1203,$O165,'ORDENES'!$R$4:$R$1203,$R165))</f>
        <v/>
      </c>
      <c r="AH165" s="14">
        <f>IF($AG165="","",p_factor_productividad*IFERROR(INDEX('ASIGNACIONES'!$M$4:$M$451,MATCH($O165&amp;"|"&amp;$R165&amp;"|"&amp;$AE165,'ASIGNACIONES'!$N$4:$N$451,0)),0)-$AG165)</f>
        <v/>
      </c>
      <c r="AI165" s="11">
        <f>IF($A165="","",IFERROR(INDEX('2_IMPORTAR_EJECUCION'!$F$9:$F$1208,MATCH($AQ165,'2_IMPORTAR_EJECUCION'!$J$9:$J$1208,0)),0))</f>
        <v/>
      </c>
      <c r="AJ165" s="11">
        <f>IF($A165="","",MAX(0,IFERROR(INDEX('2_IMPORTAR_EJECUCION'!$H$9:$H$1208,MATCH($AQ165,'2_IMPORTAR_EJECUCION'!$J$9:$J$1208,0)),0)-$AI165))</f>
        <v/>
      </c>
      <c r="AK165" s="11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46327</v>
      </c>
      <c r="K166" s="3" t="n">
        <v>6</v>
      </c>
      <c r="L166" s="11" t="n">
        <v>150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IF($H166="","",IFERROR(INDEX('CAT_ACTIVIDADES'!$B$4:$B$8,MATCH($H166,'CAT_ACTIVIDADES'!$A$4:$A$8,0)),"(sin catálogo)"))</f>
        <v/>
      </c>
      <c r="AA166" s="13">
        <f>IF($J166="","",TODAY()-$J166)</f>
        <v/>
      </c>
      <c r="AB166" s="13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IF($AE166="","",IF((IFERROR(INDEX('ASIGNACIONES'!$J$4:$J$451,MATCH($O166&amp;"|"&amp;$R166&amp;"|"&amp;$AE166,'ASIGNACIONES'!$N$4:$N$451,0)),""))=0,"",IFERROR(INDEX('ASIGNACIONES'!$J$4:$J$451,MATCH($O166&amp;"|"&amp;$R166&amp;"|"&amp;$AE166,'ASIGNACIONES'!$N$4:$N$451,0)),"")))</f>
        <v/>
      </c>
      <c r="AG166" s="14">
        <f>IF($AE166="","",SUMIFS('ORDENES'!$M$4:$M$1203,'ORDENES'!$AE$4:$AE$1203,$AE166,'ORDENES'!$O$4:$O$1203,$O166,'ORDENES'!$R$4:$R$1203,$R166))</f>
        <v/>
      </c>
      <c r="AH166" s="14">
        <f>IF($AG166="","",p_factor_productividad*IFERROR(INDEX('ASIGNACIONES'!$M$4:$M$451,MATCH($O166&amp;"|"&amp;$R166&amp;"|"&amp;$AE166,'ASIGNACIONES'!$N$4:$N$451,0)),0)-$AG166)</f>
        <v/>
      </c>
      <c r="AI166" s="11">
        <f>IF($A166="","",IFERROR(INDEX('2_IMPORTAR_EJECUCION'!$F$9:$F$1208,MATCH($AQ166,'2_IMPORTAR_EJECUCION'!$J$9:$J$1208,0)),0))</f>
        <v/>
      </c>
      <c r="AJ166" s="11">
        <f>IF($A166="","",MAX(0,IFERROR(INDEX('2_IMPORTAR_EJECUCION'!$H$9:$H$1208,MATCH($AQ166,'2_IMPORTAR_EJECUCION'!$J$9:$J$1208,0)),0)-$AI166))</f>
        <v/>
      </c>
      <c r="AK166" s="11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46327</v>
      </c>
      <c r="K167" s="3" t="n">
        <v>6</v>
      </c>
      <c r="L167" s="11" t="n">
        <v>150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IF($H167="","",IFERROR(INDEX('CAT_ACTIVIDADES'!$B$4:$B$8,MATCH($H167,'CAT_ACTIVIDADES'!$A$4:$A$8,0)),"(sin catálogo)"))</f>
        <v/>
      </c>
      <c r="AA167" s="13">
        <f>IF($J167="","",TODAY()-$J167)</f>
        <v/>
      </c>
      <c r="AB167" s="13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IF($AE167="","",IF((IFERROR(INDEX('ASIGNACIONES'!$J$4:$J$451,MATCH($O167&amp;"|"&amp;$R167&amp;"|"&amp;$AE167,'ASIGNACIONES'!$N$4:$N$451,0)),""))=0,"",IFERROR(INDEX('ASIGNACIONES'!$J$4:$J$451,MATCH($O167&amp;"|"&amp;$R167&amp;"|"&amp;$AE167,'ASIGNACIONES'!$N$4:$N$451,0)),"")))</f>
        <v/>
      </c>
      <c r="AG167" s="14">
        <f>IF($AE167="","",SUMIFS('ORDENES'!$M$4:$M$1203,'ORDENES'!$AE$4:$AE$1203,$AE167,'ORDENES'!$O$4:$O$1203,$O167,'ORDENES'!$R$4:$R$1203,$R167))</f>
        <v/>
      </c>
      <c r="AH167" s="14">
        <f>IF($AG167="","",p_factor_productividad*IFERROR(INDEX('ASIGNACIONES'!$M$4:$M$451,MATCH($O167&amp;"|"&amp;$R167&amp;"|"&amp;$AE167,'ASIGNACIONES'!$N$4:$N$451,0)),0)-$AG167)</f>
        <v/>
      </c>
      <c r="AI167" s="11">
        <f>IF($A167="","",IFERROR(INDEX('2_IMPORTAR_EJECUCION'!$F$9:$F$1208,MATCH($AQ167,'2_IMPORTAR_EJECUCION'!$J$9:$J$1208,0)),0))</f>
        <v/>
      </c>
      <c r="AJ167" s="11">
        <f>IF($A167="","",MAX(0,IFERROR(INDEX('2_IMPORTAR_EJECUCION'!$H$9:$H$1208,MATCH($AQ167,'2_IMPORTAR_EJECUCION'!$J$9:$J$1208,0)),0)-$AI167))</f>
        <v/>
      </c>
      <c r="AK167" s="11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IF($H168="","",IFERROR(INDEX('CAT_ACTIVIDADES'!$B$4:$B$8,MATCH($H168,'CAT_ACTIVIDADES'!$A$4:$A$8,0)),"(sin catálogo)"))</f>
        <v/>
      </c>
      <c r="AA168" s="13">
        <f>IF($J168="","",TODAY()-$J168)</f>
        <v/>
      </c>
      <c r="AB168" s="13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IF($AE168="","",IF((IFERROR(INDEX('ASIGNACIONES'!$J$4:$J$451,MATCH($O168&amp;"|"&amp;$R168&amp;"|"&amp;$AE168,'ASIGNACIONES'!$N$4:$N$451,0)),""))=0,"",IFERROR(INDEX('ASIGNACIONES'!$J$4:$J$451,MATCH($O168&amp;"|"&amp;$R168&amp;"|"&amp;$AE168,'ASIGNACIONES'!$N$4:$N$451,0)),"")))</f>
        <v/>
      </c>
      <c r="AG168" s="14">
        <f>IF($AE168="","",SUMIFS('ORDENES'!$M$4:$M$1203,'ORDENES'!$AE$4:$AE$1203,$AE168,'ORDENES'!$O$4:$O$1203,$O168,'ORDENES'!$R$4:$R$1203,$R168))</f>
        <v/>
      </c>
      <c r="AH168" s="14">
        <f>IF($AG168="","",p_factor_productividad*IFERROR(INDEX('ASIGNACIONES'!$M$4:$M$451,MATCH($O168&amp;"|"&amp;$R168&amp;"|"&amp;$AE168,'ASIGNACIONES'!$N$4:$N$451,0)),0)-$AG168)</f>
        <v/>
      </c>
      <c r="AI168" s="11">
        <f>IF($A168="","",IFERROR(INDEX('2_IMPORTAR_EJECUCION'!$F$9:$F$1208,MATCH($AQ168,'2_IMPORTAR_EJECUCION'!$J$9:$J$1208,0)),0))</f>
        <v/>
      </c>
      <c r="AJ168" s="11">
        <f>IF($A168="","",MAX(0,IFERROR(INDEX('2_IMPORTAR_EJECUCION'!$H$9:$H$1208,MATCH($AQ168,'2_IMPORTAR_EJECUCION'!$J$9:$J$1208,0)),0)-$AI168))</f>
        <v/>
      </c>
      <c r="AK168" s="11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IF($H169="","",IFERROR(INDEX('CAT_ACTIVIDADES'!$B$4:$B$8,MATCH($H169,'CAT_ACTIVIDADES'!$A$4:$A$8,0)),"(sin catálogo)"))</f>
        <v/>
      </c>
      <c r="AA169" s="13">
        <f>IF($J169="","",TODAY()-$J169)</f>
        <v/>
      </c>
      <c r="AB169" s="13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IF($AE169="","",IF((IFERROR(INDEX('ASIGNACIONES'!$J$4:$J$451,MATCH($O169&amp;"|"&amp;$R169&amp;"|"&amp;$AE169,'ASIGNACIONES'!$N$4:$N$451,0)),""))=0,"",IFERROR(INDEX('ASIGNACIONES'!$J$4:$J$451,MATCH($O169&amp;"|"&amp;$R169&amp;"|"&amp;$AE169,'ASIGNACIONES'!$N$4:$N$451,0)),"")))</f>
        <v/>
      </c>
      <c r="AG169" s="14">
        <f>IF($AE169="","",SUMIFS('ORDENES'!$M$4:$M$1203,'ORDENES'!$AE$4:$AE$1203,$AE169,'ORDENES'!$O$4:$O$1203,$O169,'ORDENES'!$R$4:$R$1203,$R169))</f>
        <v/>
      </c>
      <c r="AH169" s="14">
        <f>IF($AG169="","",p_factor_productividad*IFERROR(INDEX('ASIGNACIONES'!$M$4:$M$451,MATCH($O169&amp;"|"&amp;$R169&amp;"|"&amp;$AE169,'ASIGNACIONES'!$N$4:$N$451,0)),0)-$AG169)</f>
        <v/>
      </c>
      <c r="AI169" s="11">
        <f>IF($A169="","",IFERROR(INDEX('2_IMPORTAR_EJECUCION'!$F$9:$F$1208,MATCH($AQ169,'2_IMPORTAR_EJECUCION'!$J$9:$J$1208,0)),0))</f>
        <v/>
      </c>
      <c r="AJ169" s="11">
        <f>IF($A169="","",MAX(0,IFERROR(INDEX('2_IMPORTAR_EJECUCION'!$H$9:$H$1208,MATCH($AQ169,'2_IMPORTAR_EJECUCION'!$J$9:$J$1208,0)),0)-$AI169))</f>
        <v/>
      </c>
      <c r="AK169" s="11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IF($H170="","",IFERROR(INDEX('CAT_ACTIVIDADES'!$B$4:$B$8,MATCH($H170,'CAT_ACTIVIDADES'!$A$4:$A$8,0)),"(sin catálogo)"))</f>
        <v/>
      </c>
      <c r="AA170" s="13">
        <f>IF($J170="","",TODAY()-$J170)</f>
        <v/>
      </c>
      <c r="AB170" s="13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IF($AE170="","",IF((IFERROR(INDEX('ASIGNACIONES'!$J$4:$J$451,MATCH($O170&amp;"|"&amp;$R170&amp;"|"&amp;$AE170,'ASIGNACIONES'!$N$4:$N$451,0)),""))=0,"",IFERROR(INDEX('ASIGNACIONES'!$J$4:$J$451,MATCH($O170&amp;"|"&amp;$R170&amp;"|"&amp;$AE170,'ASIGNACIONES'!$N$4:$N$451,0)),"")))</f>
        <v/>
      </c>
      <c r="AG170" s="14">
        <f>IF($AE170="","",SUMIFS('ORDENES'!$M$4:$M$1203,'ORDENES'!$AE$4:$AE$1203,$AE170,'ORDENES'!$O$4:$O$1203,$O170,'ORDENES'!$R$4:$R$1203,$R170))</f>
        <v/>
      </c>
      <c r="AH170" s="14">
        <f>IF($AG170="","",p_factor_productividad*IFERROR(INDEX('ASIGNACIONES'!$M$4:$M$451,MATCH($O170&amp;"|"&amp;$R170&amp;"|"&amp;$AE170,'ASIGNACIONES'!$N$4:$N$451,0)),0)-$AG170)</f>
        <v/>
      </c>
      <c r="AI170" s="11">
        <f>IF($A170="","",IFERROR(INDEX('2_IMPORTAR_EJECUCION'!$F$9:$F$1208,MATCH($AQ170,'2_IMPORTAR_EJECUCION'!$J$9:$J$1208,0)),0))</f>
        <v/>
      </c>
      <c r="AJ170" s="11">
        <f>IF($A170="","",MAX(0,IFERROR(INDEX('2_IMPORTAR_EJECUCION'!$H$9:$H$1208,MATCH($AQ170,'2_IMPORTAR_EJECUCION'!$J$9:$J$1208,0)),0)-$AI170))</f>
        <v/>
      </c>
      <c r="AK170" s="11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46177</v>
      </c>
      <c r="K171" s="3" t="n">
        <v>6</v>
      </c>
      <c r="L171" s="11" t="n">
        <v>240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IF($H171="","",IFERROR(INDEX('CAT_ACTIVIDADES'!$B$4:$B$8,MATCH($H171,'CAT_ACTIVIDADES'!$A$4:$A$8,0)),"(sin catálogo)"))</f>
        <v/>
      </c>
      <c r="AA171" s="13">
        <f>IF($J171="","",TODAY()-$J171)</f>
        <v/>
      </c>
      <c r="AB171" s="13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IF($AE171="","",IF((IFERROR(INDEX('ASIGNACIONES'!$J$4:$J$451,MATCH($O171&amp;"|"&amp;$R171&amp;"|"&amp;$AE171,'ASIGNACIONES'!$N$4:$N$451,0)),""))=0,"",IFERROR(INDEX('ASIGNACIONES'!$J$4:$J$451,MATCH($O171&amp;"|"&amp;$R171&amp;"|"&amp;$AE171,'ASIGNACIONES'!$N$4:$N$451,0)),"")))</f>
        <v/>
      </c>
      <c r="AG171" s="14">
        <f>IF($AE171="","",SUMIFS('ORDENES'!$M$4:$M$1203,'ORDENES'!$AE$4:$AE$1203,$AE171,'ORDENES'!$O$4:$O$1203,$O171,'ORDENES'!$R$4:$R$1203,$R171))</f>
        <v/>
      </c>
      <c r="AH171" s="14">
        <f>IF($AG171="","",p_factor_productividad*IFERROR(INDEX('ASIGNACIONES'!$M$4:$M$451,MATCH($O171&amp;"|"&amp;$R171&amp;"|"&amp;$AE171,'ASIGNACIONES'!$N$4:$N$451,0)),0)-$AG171)</f>
        <v/>
      </c>
      <c r="AI171" s="11">
        <f>IF($A171="","",IFERROR(INDEX('2_IMPORTAR_EJECUCION'!$F$9:$F$1208,MATCH($AQ171,'2_IMPORTAR_EJECUCION'!$J$9:$J$1208,0)),0))</f>
        <v/>
      </c>
      <c r="AJ171" s="11">
        <f>IF($A171="","",MAX(0,IFERROR(INDEX('2_IMPORTAR_EJECUCION'!$H$9:$H$1208,MATCH($AQ171,'2_IMPORTAR_EJECUCION'!$J$9:$J$1208,0)),0)-$AI171))</f>
        <v/>
      </c>
      <c r="AK171" s="11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46177</v>
      </c>
      <c r="K172" s="3" t="n">
        <v>6</v>
      </c>
      <c r="L172" s="11" t="n">
        <v>240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IF($H172="","",IFERROR(INDEX('CAT_ACTIVIDADES'!$B$4:$B$8,MATCH($H172,'CAT_ACTIVIDADES'!$A$4:$A$8,0)),"(sin catálogo)"))</f>
        <v/>
      </c>
      <c r="AA172" s="13">
        <f>IF($J172="","",TODAY()-$J172)</f>
        <v/>
      </c>
      <c r="AB172" s="13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IF($AE172="","",IF((IFERROR(INDEX('ASIGNACIONES'!$J$4:$J$451,MATCH($O172&amp;"|"&amp;$R172&amp;"|"&amp;$AE172,'ASIGNACIONES'!$N$4:$N$451,0)),""))=0,"",IFERROR(INDEX('ASIGNACIONES'!$J$4:$J$451,MATCH($O172&amp;"|"&amp;$R172&amp;"|"&amp;$AE172,'ASIGNACIONES'!$N$4:$N$451,0)),"")))</f>
        <v/>
      </c>
      <c r="AG172" s="14">
        <f>IF($AE172="","",SUMIFS('ORDENES'!$M$4:$M$1203,'ORDENES'!$AE$4:$AE$1203,$AE172,'ORDENES'!$O$4:$O$1203,$O172,'ORDENES'!$R$4:$R$1203,$R172))</f>
        <v/>
      </c>
      <c r="AH172" s="14">
        <f>IF($AG172="","",p_factor_productividad*IFERROR(INDEX('ASIGNACIONES'!$M$4:$M$451,MATCH($O172&amp;"|"&amp;$R172&amp;"|"&amp;$AE172,'ASIGNACIONES'!$N$4:$N$451,0)),0)-$AG172)</f>
        <v/>
      </c>
      <c r="AI172" s="11">
        <f>IF($A172="","",IFERROR(INDEX('2_IMPORTAR_EJECUCION'!$F$9:$F$1208,MATCH($AQ172,'2_IMPORTAR_EJECUCION'!$J$9:$J$1208,0)),0))</f>
        <v/>
      </c>
      <c r="AJ172" s="11">
        <f>IF($A172="","",MAX(0,IFERROR(INDEX('2_IMPORTAR_EJECUCION'!$H$9:$H$1208,MATCH($AQ172,'2_IMPORTAR_EJECUCION'!$J$9:$J$1208,0)),0)-$AI172))</f>
        <v/>
      </c>
      <c r="AK172" s="11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IF($H173="","",IFERROR(INDEX('CAT_ACTIVIDADES'!$B$4:$B$8,MATCH($H173,'CAT_ACTIVIDADES'!$A$4:$A$8,0)),"(sin catálogo)"))</f>
        <v/>
      </c>
      <c r="AA173" s="13">
        <f>IF($J173="","",TODAY()-$J173)</f>
        <v/>
      </c>
      <c r="AB173" s="13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IF($AE173="","",IF((IFERROR(INDEX('ASIGNACIONES'!$J$4:$J$451,MATCH($O173&amp;"|"&amp;$R173&amp;"|"&amp;$AE173,'ASIGNACIONES'!$N$4:$N$451,0)),""))=0,"",IFERROR(INDEX('ASIGNACIONES'!$J$4:$J$451,MATCH($O173&amp;"|"&amp;$R173&amp;"|"&amp;$AE173,'ASIGNACIONES'!$N$4:$N$451,0)),"")))</f>
        <v/>
      </c>
      <c r="AG173" s="14">
        <f>IF($AE173="","",SUMIFS('ORDENES'!$M$4:$M$1203,'ORDENES'!$AE$4:$AE$1203,$AE173,'ORDENES'!$O$4:$O$1203,$O173,'ORDENES'!$R$4:$R$1203,$R173))</f>
        <v/>
      </c>
      <c r="AH173" s="14">
        <f>IF($AG173="","",p_factor_productividad*IFERROR(INDEX('ASIGNACIONES'!$M$4:$M$451,MATCH($O173&amp;"|"&amp;$R173&amp;"|"&amp;$AE173,'ASIGNACIONES'!$N$4:$N$451,0)),0)-$AG173)</f>
        <v/>
      </c>
      <c r="AI173" s="11">
        <f>IF($A173="","",IFERROR(INDEX('2_IMPORTAR_EJECUCION'!$F$9:$F$1208,MATCH($AQ173,'2_IMPORTAR_EJECUCION'!$J$9:$J$1208,0)),0))</f>
        <v/>
      </c>
      <c r="AJ173" s="11">
        <f>IF($A173="","",MAX(0,IFERROR(INDEX('2_IMPORTAR_EJECUCION'!$H$9:$H$1208,MATCH($AQ173,'2_IMPORTAR_EJECUCION'!$J$9:$J$1208,0)),0)-$AI173))</f>
        <v/>
      </c>
      <c r="AK173" s="11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IF($H174="","",IFERROR(INDEX('CAT_ACTIVIDADES'!$B$4:$B$8,MATCH($H174,'CAT_ACTIVIDADES'!$A$4:$A$8,0)),"(sin catálogo)"))</f>
        <v/>
      </c>
      <c r="AA174" s="13">
        <f>IF($J174="","",TODAY()-$J174)</f>
        <v/>
      </c>
      <c r="AB174" s="13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IF($AE174="","",IF((IFERROR(INDEX('ASIGNACIONES'!$J$4:$J$451,MATCH($O174&amp;"|"&amp;$R174&amp;"|"&amp;$AE174,'ASIGNACIONES'!$N$4:$N$451,0)),""))=0,"",IFERROR(INDEX('ASIGNACIONES'!$J$4:$J$451,MATCH($O174&amp;"|"&amp;$R174&amp;"|"&amp;$AE174,'ASIGNACIONES'!$N$4:$N$451,0)),"")))</f>
        <v/>
      </c>
      <c r="AG174" s="14">
        <f>IF($AE174="","",SUMIFS('ORDENES'!$M$4:$M$1203,'ORDENES'!$AE$4:$AE$1203,$AE174,'ORDENES'!$O$4:$O$1203,$O174,'ORDENES'!$R$4:$R$1203,$R174))</f>
        <v/>
      </c>
      <c r="AH174" s="14">
        <f>IF($AG174="","",p_factor_productividad*IFERROR(INDEX('ASIGNACIONES'!$M$4:$M$451,MATCH($O174&amp;"|"&amp;$R174&amp;"|"&amp;$AE174,'ASIGNACIONES'!$N$4:$N$451,0)),0)-$AG174)</f>
        <v/>
      </c>
      <c r="AI174" s="11">
        <f>IF($A174="","",IFERROR(INDEX('2_IMPORTAR_EJECUCION'!$F$9:$F$1208,MATCH($AQ174,'2_IMPORTAR_EJECUCION'!$J$9:$J$1208,0)),0))</f>
        <v/>
      </c>
      <c r="AJ174" s="11">
        <f>IF($A174="","",MAX(0,IFERROR(INDEX('2_IMPORTAR_EJECUCION'!$H$9:$H$1208,MATCH($AQ174,'2_IMPORTAR_EJECUCION'!$J$9:$J$1208,0)),0)-$AI174))</f>
        <v/>
      </c>
      <c r="AK174" s="11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46172</v>
      </c>
      <c r="K175" s="3" t="n"/>
      <c r="L175" s="11" t="n">
        <v>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IF($H175="","",IFERROR(INDEX('CAT_ACTIVIDADES'!$B$4:$B$8,MATCH($H175,'CAT_ACTIVIDADES'!$A$4:$A$8,0)),"(sin catálogo)"))</f>
        <v/>
      </c>
      <c r="AA175" s="13">
        <f>IF($J175="","",TODAY()-$J175)</f>
        <v/>
      </c>
      <c r="AB175" s="13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IF($AE175="","",IF((IFERROR(INDEX('ASIGNACIONES'!$J$4:$J$451,MATCH($O175&amp;"|"&amp;$R175&amp;"|"&amp;$AE175,'ASIGNACIONES'!$N$4:$N$451,0)),""))=0,"",IFERROR(INDEX('ASIGNACIONES'!$J$4:$J$451,MATCH($O175&amp;"|"&amp;$R175&amp;"|"&amp;$AE175,'ASIGNACIONES'!$N$4:$N$451,0)),"")))</f>
        <v/>
      </c>
      <c r="AG175" s="14">
        <f>IF($AE175="","",SUMIFS('ORDENES'!$M$4:$M$1203,'ORDENES'!$AE$4:$AE$1203,$AE175,'ORDENES'!$O$4:$O$1203,$O175,'ORDENES'!$R$4:$R$1203,$R175))</f>
        <v/>
      </c>
      <c r="AH175" s="14">
        <f>IF($AG175="","",p_factor_productividad*IFERROR(INDEX('ASIGNACIONES'!$M$4:$M$451,MATCH($O175&amp;"|"&amp;$R175&amp;"|"&amp;$AE175,'ASIGNACIONES'!$N$4:$N$451,0)),0)-$AG175)</f>
        <v/>
      </c>
      <c r="AI175" s="11">
        <f>IF($A175="","",IFERROR(INDEX('2_IMPORTAR_EJECUCION'!$F$9:$F$1208,MATCH($AQ175,'2_IMPORTAR_EJECUCION'!$J$9:$J$1208,0)),0))</f>
        <v/>
      </c>
      <c r="AJ175" s="11">
        <f>IF($A175="","",MAX(0,IFERROR(INDEX('2_IMPORTAR_EJECUCION'!$H$9:$H$1208,MATCH($AQ175,'2_IMPORTAR_EJECUCION'!$J$9:$J$1208,0)),0)-$AI175))</f>
        <v/>
      </c>
      <c r="AK175" s="11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46172</v>
      </c>
      <c r="K176" s="3" t="n"/>
      <c r="L176" s="11" t="n">
        <v>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IF($H176="","",IFERROR(INDEX('CAT_ACTIVIDADES'!$B$4:$B$8,MATCH($H176,'CAT_ACTIVIDADES'!$A$4:$A$8,0)),"(sin catálogo)"))</f>
        <v/>
      </c>
      <c r="AA176" s="13">
        <f>IF($J176="","",TODAY()-$J176)</f>
        <v/>
      </c>
      <c r="AB176" s="13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IF($AE176="","",IF((IFERROR(INDEX('ASIGNACIONES'!$J$4:$J$451,MATCH($O176&amp;"|"&amp;$R176&amp;"|"&amp;$AE176,'ASIGNACIONES'!$N$4:$N$451,0)),""))=0,"",IFERROR(INDEX('ASIGNACIONES'!$J$4:$J$451,MATCH($O176&amp;"|"&amp;$R176&amp;"|"&amp;$AE176,'ASIGNACIONES'!$N$4:$N$451,0)),"")))</f>
        <v/>
      </c>
      <c r="AG176" s="14">
        <f>IF($AE176="","",SUMIFS('ORDENES'!$M$4:$M$1203,'ORDENES'!$AE$4:$AE$1203,$AE176,'ORDENES'!$O$4:$O$1203,$O176,'ORDENES'!$R$4:$R$1203,$R176))</f>
        <v/>
      </c>
      <c r="AH176" s="14">
        <f>IF($AG176="","",p_factor_productividad*IFERROR(INDEX('ASIGNACIONES'!$M$4:$M$451,MATCH($O176&amp;"|"&amp;$R176&amp;"|"&amp;$AE176,'ASIGNACIONES'!$N$4:$N$451,0)),0)-$AG176)</f>
        <v/>
      </c>
      <c r="AI176" s="11">
        <f>IF($A176="","",IFERROR(INDEX('2_IMPORTAR_EJECUCION'!$F$9:$F$1208,MATCH($AQ176,'2_IMPORTAR_EJECUCION'!$J$9:$J$1208,0)),0))</f>
        <v/>
      </c>
      <c r="AJ176" s="11">
        <f>IF($A176="","",MAX(0,IFERROR(INDEX('2_IMPORTAR_EJECUCION'!$H$9:$H$1208,MATCH($AQ176,'2_IMPORTAR_EJECUCION'!$J$9:$J$1208,0)),0)-$AI176))</f>
        <v/>
      </c>
      <c r="AK176" s="11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46167</v>
      </c>
      <c r="K177" s="3" t="n">
        <v>4</v>
      </c>
      <c r="L177" s="11" t="n">
        <v>160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IF($H177="","",IFERROR(INDEX('CAT_ACTIVIDADES'!$B$4:$B$8,MATCH($H177,'CAT_ACTIVIDADES'!$A$4:$A$8,0)),"(sin catálogo)"))</f>
        <v/>
      </c>
      <c r="AA177" s="13">
        <f>IF($J177="","",TODAY()-$J177)</f>
        <v/>
      </c>
      <c r="AB177" s="13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IF($AE177="","",IF((IFERROR(INDEX('ASIGNACIONES'!$J$4:$J$451,MATCH($O177&amp;"|"&amp;$R177&amp;"|"&amp;$AE177,'ASIGNACIONES'!$N$4:$N$451,0)),""))=0,"",IFERROR(INDEX('ASIGNACIONES'!$J$4:$J$451,MATCH($O177&amp;"|"&amp;$R177&amp;"|"&amp;$AE177,'ASIGNACIONES'!$N$4:$N$451,0)),"")))</f>
        <v/>
      </c>
      <c r="AG177" s="14">
        <f>IF($AE177="","",SUMIFS('ORDENES'!$M$4:$M$1203,'ORDENES'!$AE$4:$AE$1203,$AE177,'ORDENES'!$O$4:$O$1203,$O177,'ORDENES'!$R$4:$R$1203,$R177))</f>
        <v/>
      </c>
      <c r="AH177" s="14">
        <f>IF($AG177="","",p_factor_productividad*IFERROR(INDEX('ASIGNACIONES'!$M$4:$M$451,MATCH($O177&amp;"|"&amp;$R177&amp;"|"&amp;$AE177,'ASIGNACIONES'!$N$4:$N$451,0)),0)-$AG177)</f>
        <v/>
      </c>
      <c r="AI177" s="11">
        <f>IF($A177="","",IFERROR(INDEX('2_IMPORTAR_EJECUCION'!$F$9:$F$1208,MATCH($AQ177,'2_IMPORTAR_EJECUCION'!$J$9:$J$1208,0)),0))</f>
        <v/>
      </c>
      <c r="AJ177" s="11">
        <f>IF($A177="","",MAX(0,IFERROR(INDEX('2_IMPORTAR_EJECUCION'!$H$9:$H$1208,MATCH($AQ177,'2_IMPORTAR_EJECUCION'!$J$9:$J$1208,0)),0)-$AI177))</f>
        <v/>
      </c>
      <c r="AK177" s="11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46167</v>
      </c>
      <c r="K178" s="3" t="n">
        <v>4</v>
      </c>
      <c r="L178" s="11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IF($H178="","",IFERROR(INDEX('CAT_ACTIVIDADES'!$B$4:$B$8,MATCH($H178,'CAT_ACTIVIDADES'!$A$4:$A$8,0)),"(sin catálogo)"))</f>
        <v/>
      </c>
      <c r="AA178" s="13">
        <f>IF($J178="","",TODAY()-$J178)</f>
        <v/>
      </c>
      <c r="AB178" s="13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IF($AE178="","",IF((IFERROR(INDEX('ASIGNACIONES'!$J$4:$J$451,MATCH($O178&amp;"|"&amp;$R178&amp;"|"&amp;$AE178,'ASIGNACIONES'!$N$4:$N$451,0)),""))=0,"",IFERROR(INDEX('ASIGNACIONES'!$J$4:$J$451,MATCH($O178&amp;"|"&amp;$R178&amp;"|"&amp;$AE178,'ASIGNACIONES'!$N$4:$N$451,0)),"")))</f>
        <v/>
      </c>
      <c r="AG178" s="14">
        <f>IF($AE178="","",SUMIFS('ORDENES'!$M$4:$M$1203,'ORDENES'!$AE$4:$AE$1203,$AE178,'ORDENES'!$O$4:$O$1203,$O178,'ORDENES'!$R$4:$R$1203,$R178))</f>
        <v/>
      </c>
      <c r="AH178" s="14">
        <f>IF($AG178="","",p_factor_productividad*IFERROR(INDEX('ASIGNACIONES'!$M$4:$M$451,MATCH($O178&amp;"|"&amp;$R178&amp;"|"&amp;$AE178,'ASIGNACIONES'!$N$4:$N$451,0)),0)-$AG178)</f>
        <v/>
      </c>
      <c r="AI178" s="11">
        <f>IF($A178="","",IFERROR(INDEX('2_IMPORTAR_EJECUCION'!$F$9:$F$1208,MATCH($AQ178,'2_IMPORTAR_EJECUCION'!$J$9:$J$1208,0)),0))</f>
        <v/>
      </c>
      <c r="AJ178" s="11">
        <f>IF($A178="","",MAX(0,IFERROR(INDEX('2_IMPORTAR_EJECUCION'!$H$9:$H$1208,MATCH($AQ178,'2_IMPORTAR_EJECUCION'!$J$9:$J$1208,0)),0)-$AI178))</f>
        <v/>
      </c>
      <c r="AK178" s="11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46165</v>
      </c>
      <c r="K179" s="3" t="n">
        <v>4</v>
      </c>
      <c r="L179" s="11" t="n">
        <v>160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IF($H179="","",IFERROR(INDEX('CAT_ACTIVIDADES'!$B$4:$B$8,MATCH($H179,'CAT_ACTIVIDADES'!$A$4:$A$8,0)),"(sin catálogo)"))</f>
        <v/>
      </c>
      <c r="AA179" s="13">
        <f>IF($J179="","",TODAY()-$J179)</f>
        <v/>
      </c>
      <c r="AB179" s="13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IF($AE179="","",IF((IFERROR(INDEX('ASIGNACIONES'!$J$4:$J$451,MATCH($O179&amp;"|"&amp;$R179&amp;"|"&amp;$AE179,'ASIGNACIONES'!$N$4:$N$451,0)),""))=0,"",IFERROR(INDEX('ASIGNACIONES'!$J$4:$J$451,MATCH($O179&amp;"|"&amp;$R179&amp;"|"&amp;$AE179,'ASIGNACIONES'!$N$4:$N$451,0)),"")))</f>
        <v/>
      </c>
      <c r="AG179" s="14">
        <f>IF($AE179="","",SUMIFS('ORDENES'!$M$4:$M$1203,'ORDENES'!$AE$4:$AE$1203,$AE179,'ORDENES'!$O$4:$O$1203,$O179,'ORDENES'!$R$4:$R$1203,$R179))</f>
        <v/>
      </c>
      <c r="AH179" s="14">
        <f>IF($AG179="","",p_factor_productividad*IFERROR(INDEX('ASIGNACIONES'!$M$4:$M$451,MATCH($O179&amp;"|"&amp;$R179&amp;"|"&amp;$AE179,'ASIGNACIONES'!$N$4:$N$451,0)),0)-$AG179)</f>
        <v/>
      </c>
      <c r="AI179" s="11">
        <f>IF($A179="","",IFERROR(INDEX('2_IMPORTAR_EJECUCION'!$F$9:$F$1208,MATCH($AQ179,'2_IMPORTAR_EJECUCION'!$J$9:$J$1208,0)),0))</f>
        <v/>
      </c>
      <c r="AJ179" s="11">
        <f>IF($A179="","",MAX(0,IFERROR(INDEX('2_IMPORTAR_EJECUCION'!$H$9:$H$1208,MATCH($AQ179,'2_IMPORTAR_EJECUCION'!$J$9:$J$1208,0)),0)-$AI179))</f>
        <v/>
      </c>
      <c r="AK179" s="11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46165</v>
      </c>
      <c r="K180" s="3" t="n">
        <v>4</v>
      </c>
      <c r="L180" s="11" t="n">
        <v>160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IF($H180="","",IFERROR(INDEX('CAT_ACTIVIDADES'!$B$4:$B$8,MATCH($H180,'CAT_ACTIVIDADES'!$A$4:$A$8,0)),"(sin catálogo)"))</f>
        <v/>
      </c>
      <c r="AA180" s="13">
        <f>IF($J180="","",TODAY()-$J180)</f>
        <v/>
      </c>
      <c r="AB180" s="13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IF($AE180="","",IF((IFERROR(INDEX('ASIGNACIONES'!$J$4:$J$451,MATCH($O180&amp;"|"&amp;$R180&amp;"|"&amp;$AE180,'ASIGNACIONES'!$N$4:$N$451,0)),""))=0,"",IFERROR(INDEX('ASIGNACIONES'!$J$4:$J$451,MATCH($O180&amp;"|"&amp;$R180&amp;"|"&amp;$AE180,'ASIGNACIONES'!$N$4:$N$451,0)),"")))</f>
        <v/>
      </c>
      <c r="AG180" s="14">
        <f>IF($AE180="","",SUMIFS('ORDENES'!$M$4:$M$1203,'ORDENES'!$AE$4:$AE$1203,$AE180,'ORDENES'!$O$4:$O$1203,$O180,'ORDENES'!$R$4:$R$1203,$R180))</f>
        <v/>
      </c>
      <c r="AH180" s="14">
        <f>IF($AG180="","",p_factor_productividad*IFERROR(INDEX('ASIGNACIONES'!$M$4:$M$451,MATCH($O180&amp;"|"&amp;$R180&amp;"|"&amp;$AE180,'ASIGNACIONES'!$N$4:$N$451,0)),0)-$AG180)</f>
        <v/>
      </c>
      <c r="AI180" s="11">
        <f>IF($A180="","",IFERROR(INDEX('2_IMPORTAR_EJECUCION'!$F$9:$F$1208,MATCH($AQ180,'2_IMPORTAR_EJECUCION'!$J$9:$J$1208,0)),0))</f>
        <v/>
      </c>
      <c r="AJ180" s="11">
        <f>IF($A180="","",MAX(0,IFERROR(INDEX('2_IMPORTAR_EJECUCION'!$H$9:$H$1208,MATCH($AQ180,'2_IMPORTAR_EJECUCION'!$J$9:$J$1208,0)),0)-$AI180))</f>
        <v/>
      </c>
      <c r="AK180" s="11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46163</v>
      </c>
      <c r="K181" s="3" t="n">
        <v>4</v>
      </c>
      <c r="L181" s="11" t="n">
        <v>160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IF($H181="","",IFERROR(INDEX('CAT_ACTIVIDADES'!$B$4:$B$8,MATCH($H181,'CAT_ACTIVIDADES'!$A$4:$A$8,0)),"(sin catálogo)"))</f>
        <v/>
      </c>
      <c r="AA181" s="13">
        <f>IF($J181="","",TODAY()-$J181)</f>
        <v/>
      </c>
      <c r="AB181" s="13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IF($AE181="","",IF((IFERROR(INDEX('ASIGNACIONES'!$J$4:$J$451,MATCH($O181&amp;"|"&amp;$R181&amp;"|"&amp;$AE181,'ASIGNACIONES'!$N$4:$N$451,0)),""))=0,"",IFERROR(INDEX('ASIGNACIONES'!$J$4:$J$451,MATCH($O181&amp;"|"&amp;$R181&amp;"|"&amp;$AE181,'ASIGNACIONES'!$N$4:$N$451,0)),"")))</f>
        <v/>
      </c>
      <c r="AG181" s="14">
        <f>IF($AE181="","",SUMIFS('ORDENES'!$M$4:$M$1203,'ORDENES'!$AE$4:$AE$1203,$AE181,'ORDENES'!$O$4:$O$1203,$O181,'ORDENES'!$R$4:$R$1203,$R181))</f>
        <v/>
      </c>
      <c r="AH181" s="14">
        <f>IF($AG181="","",p_factor_productividad*IFERROR(INDEX('ASIGNACIONES'!$M$4:$M$451,MATCH($O181&amp;"|"&amp;$R181&amp;"|"&amp;$AE181,'ASIGNACIONES'!$N$4:$N$451,0)),0)-$AG181)</f>
        <v/>
      </c>
      <c r="AI181" s="11">
        <f>IF($A181="","",IFERROR(INDEX('2_IMPORTAR_EJECUCION'!$F$9:$F$1208,MATCH($AQ181,'2_IMPORTAR_EJECUCION'!$J$9:$J$1208,0)),0))</f>
        <v/>
      </c>
      <c r="AJ181" s="11">
        <f>IF($A181="","",MAX(0,IFERROR(INDEX('2_IMPORTAR_EJECUCION'!$H$9:$H$1208,MATCH($AQ181,'2_IMPORTAR_EJECUCION'!$J$9:$J$1208,0)),0)-$AI181))</f>
        <v/>
      </c>
      <c r="AK181" s="11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46192</v>
      </c>
      <c r="K182" s="3" t="n">
        <v>2</v>
      </c>
      <c r="L182" s="11" t="n">
        <v>80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IF($H182="","",IFERROR(INDEX('CAT_ACTIVIDADES'!$B$4:$B$8,MATCH($H182,'CAT_ACTIVIDADES'!$A$4:$A$8,0)),"(sin catálogo)"))</f>
        <v/>
      </c>
      <c r="AA182" s="13">
        <f>IF($J182="","",TODAY()-$J182)</f>
        <v/>
      </c>
      <c r="AB182" s="13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IF($AE182="","",IF((IFERROR(INDEX('ASIGNACIONES'!$J$4:$J$451,MATCH($O182&amp;"|"&amp;$R182&amp;"|"&amp;$AE182,'ASIGNACIONES'!$N$4:$N$451,0)),""))=0,"",IFERROR(INDEX('ASIGNACIONES'!$J$4:$J$451,MATCH($O182&amp;"|"&amp;$R182&amp;"|"&amp;$AE182,'ASIGNACIONES'!$N$4:$N$451,0)),"")))</f>
        <v/>
      </c>
      <c r="AG182" s="14">
        <f>IF($AE182="","",SUMIFS('ORDENES'!$M$4:$M$1203,'ORDENES'!$AE$4:$AE$1203,$AE182,'ORDENES'!$O$4:$O$1203,$O182,'ORDENES'!$R$4:$R$1203,$R182))</f>
        <v/>
      </c>
      <c r="AH182" s="14">
        <f>IF($AG182="","",p_factor_productividad*IFERROR(INDEX('ASIGNACIONES'!$M$4:$M$451,MATCH($O182&amp;"|"&amp;$R182&amp;"|"&amp;$AE182,'ASIGNACIONES'!$N$4:$N$451,0)),0)-$AG182)</f>
        <v/>
      </c>
      <c r="AI182" s="11">
        <f>IF($A182="","",IFERROR(INDEX('2_IMPORTAR_EJECUCION'!$F$9:$F$1208,MATCH($AQ182,'2_IMPORTAR_EJECUCION'!$J$9:$J$1208,0)),0))</f>
        <v/>
      </c>
      <c r="AJ182" s="11">
        <f>IF($A182="","",MAX(0,IFERROR(INDEX('2_IMPORTAR_EJECUCION'!$H$9:$H$1208,MATCH($AQ182,'2_IMPORTAR_EJECUCION'!$J$9:$J$1208,0)),0)-$AI182))</f>
        <v/>
      </c>
      <c r="AK182" s="11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46191</v>
      </c>
      <c r="K183" s="3" t="n">
        <v>2</v>
      </c>
      <c r="L183" s="11" t="n">
        <v>80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IF($H183="","",IFERROR(INDEX('CAT_ACTIVIDADES'!$B$4:$B$8,MATCH($H183,'CAT_ACTIVIDADES'!$A$4:$A$8,0)),"(sin catálogo)"))</f>
        <v/>
      </c>
      <c r="AA183" s="13">
        <f>IF($J183="","",TODAY()-$J183)</f>
        <v/>
      </c>
      <c r="AB183" s="13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IF($AE183="","",IF((IFERROR(INDEX('ASIGNACIONES'!$J$4:$J$451,MATCH($O183&amp;"|"&amp;$R183&amp;"|"&amp;$AE183,'ASIGNACIONES'!$N$4:$N$451,0)),""))=0,"",IFERROR(INDEX('ASIGNACIONES'!$J$4:$J$451,MATCH($O183&amp;"|"&amp;$R183&amp;"|"&amp;$AE183,'ASIGNACIONES'!$N$4:$N$451,0)),"")))</f>
        <v/>
      </c>
      <c r="AG183" s="14">
        <f>IF($AE183="","",SUMIFS('ORDENES'!$M$4:$M$1203,'ORDENES'!$AE$4:$AE$1203,$AE183,'ORDENES'!$O$4:$O$1203,$O183,'ORDENES'!$R$4:$R$1203,$R183))</f>
        <v/>
      </c>
      <c r="AH183" s="14">
        <f>IF($AG183="","",p_factor_productividad*IFERROR(INDEX('ASIGNACIONES'!$M$4:$M$451,MATCH($O183&amp;"|"&amp;$R183&amp;"|"&amp;$AE183,'ASIGNACIONES'!$N$4:$N$451,0)),0)-$AG183)</f>
        <v/>
      </c>
      <c r="AI183" s="11">
        <f>IF($A183="","",IFERROR(INDEX('2_IMPORTAR_EJECUCION'!$F$9:$F$1208,MATCH($AQ183,'2_IMPORTAR_EJECUCION'!$J$9:$J$1208,0)),0))</f>
        <v/>
      </c>
      <c r="AJ183" s="11">
        <f>IF($A183="","",MAX(0,IFERROR(INDEX('2_IMPORTAR_EJECUCION'!$H$9:$H$1208,MATCH($AQ183,'2_IMPORTAR_EJECUCION'!$J$9:$J$1208,0)),0)-$AI183))</f>
        <v/>
      </c>
      <c r="AK183" s="11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46190</v>
      </c>
      <c r="K184" s="3" t="n">
        <v>2</v>
      </c>
      <c r="L184" s="11" t="n">
        <v>80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IF($H184="","",IFERROR(INDEX('CAT_ACTIVIDADES'!$B$4:$B$8,MATCH($H184,'CAT_ACTIVIDADES'!$A$4:$A$8,0)),"(sin catálogo)"))</f>
        <v/>
      </c>
      <c r="AA184" s="13">
        <f>IF($J184="","",TODAY()-$J184)</f>
        <v/>
      </c>
      <c r="AB184" s="13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IF($AE184="","",IF((IFERROR(INDEX('ASIGNACIONES'!$J$4:$J$451,MATCH($O184&amp;"|"&amp;$R184&amp;"|"&amp;$AE184,'ASIGNACIONES'!$N$4:$N$451,0)),""))=0,"",IFERROR(INDEX('ASIGNACIONES'!$J$4:$J$451,MATCH($O184&amp;"|"&amp;$R184&amp;"|"&amp;$AE184,'ASIGNACIONES'!$N$4:$N$451,0)),"")))</f>
        <v/>
      </c>
      <c r="AG184" s="14">
        <f>IF($AE184="","",SUMIFS('ORDENES'!$M$4:$M$1203,'ORDENES'!$AE$4:$AE$1203,$AE184,'ORDENES'!$O$4:$O$1203,$O184,'ORDENES'!$R$4:$R$1203,$R184))</f>
        <v/>
      </c>
      <c r="AH184" s="14">
        <f>IF($AG184="","",p_factor_productividad*IFERROR(INDEX('ASIGNACIONES'!$M$4:$M$451,MATCH($O184&amp;"|"&amp;$R184&amp;"|"&amp;$AE184,'ASIGNACIONES'!$N$4:$N$451,0)),0)-$AG184)</f>
        <v/>
      </c>
      <c r="AI184" s="11">
        <f>IF($A184="","",IFERROR(INDEX('2_IMPORTAR_EJECUCION'!$F$9:$F$1208,MATCH($AQ184,'2_IMPORTAR_EJECUCION'!$J$9:$J$1208,0)),0))</f>
        <v/>
      </c>
      <c r="AJ184" s="11">
        <f>IF($A184="","",MAX(0,IFERROR(INDEX('2_IMPORTAR_EJECUCION'!$H$9:$H$1208,MATCH($AQ184,'2_IMPORTAR_EJECUCION'!$J$9:$J$1208,0)),0)-$AI184))</f>
        <v/>
      </c>
      <c r="AK184" s="11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46189</v>
      </c>
      <c r="K185" s="3" t="n">
        <v>2</v>
      </c>
      <c r="L185" s="11" t="n">
        <v>80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IF($H185="","",IFERROR(INDEX('CAT_ACTIVIDADES'!$B$4:$B$8,MATCH($H185,'CAT_ACTIVIDADES'!$A$4:$A$8,0)),"(sin catálogo)"))</f>
        <v/>
      </c>
      <c r="AA185" s="13">
        <f>IF($J185="","",TODAY()-$J185)</f>
        <v/>
      </c>
      <c r="AB185" s="13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IF($AE185="","",IF((IFERROR(INDEX('ASIGNACIONES'!$J$4:$J$451,MATCH($O185&amp;"|"&amp;$R185&amp;"|"&amp;$AE185,'ASIGNACIONES'!$N$4:$N$451,0)),""))=0,"",IFERROR(INDEX('ASIGNACIONES'!$J$4:$J$451,MATCH($O185&amp;"|"&amp;$R185&amp;"|"&amp;$AE185,'ASIGNACIONES'!$N$4:$N$451,0)),"")))</f>
        <v/>
      </c>
      <c r="AG185" s="14">
        <f>IF($AE185="","",SUMIFS('ORDENES'!$M$4:$M$1203,'ORDENES'!$AE$4:$AE$1203,$AE185,'ORDENES'!$O$4:$O$1203,$O185,'ORDENES'!$R$4:$R$1203,$R185))</f>
        <v/>
      </c>
      <c r="AH185" s="14">
        <f>IF($AG185="","",p_factor_productividad*IFERROR(INDEX('ASIGNACIONES'!$M$4:$M$451,MATCH($O185&amp;"|"&amp;$R185&amp;"|"&amp;$AE185,'ASIGNACIONES'!$N$4:$N$451,0)),0)-$AG185)</f>
        <v/>
      </c>
      <c r="AI185" s="11">
        <f>IF($A185="","",IFERROR(INDEX('2_IMPORTAR_EJECUCION'!$F$9:$F$1208,MATCH($AQ185,'2_IMPORTAR_EJECUCION'!$J$9:$J$1208,0)),0))</f>
        <v/>
      </c>
      <c r="AJ185" s="11">
        <f>IF($A185="","",MAX(0,IFERROR(INDEX('2_IMPORTAR_EJECUCION'!$H$9:$H$1208,MATCH($AQ185,'2_IMPORTAR_EJECUCION'!$J$9:$J$1208,0)),0)-$AI185))</f>
        <v/>
      </c>
      <c r="AK185" s="11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46188</v>
      </c>
      <c r="K186" s="3" t="n">
        <v>2</v>
      </c>
      <c r="L186" s="11" t="n">
        <v>80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IF($H186="","",IFERROR(INDEX('CAT_ACTIVIDADES'!$B$4:$B$8,MATCH($H186,'CAT_ACTIVIDADES'!$A$4:$A$8,0)),"(sin catálogo)"))</f>
        <v/>
      </c>
      <c r="AA186" s="13">
        <f>IF($J186="","",TODAY()-$J186)</f>
        <v/>
      </c>
      <c r="AB186" s="13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IF($AE186="","",IF((IFERROR(INDEX('ASIGNACIONES'!$J$4:$J$451,MATCH($O186&amp;"|"&amp;$R186&amp;"|"&amp;$AE186,'ASIGNACIONES'!$N$4:$N$451,0)),""))=0,"",IFERROR(INDEX('ASIGNACIONES'!$J$4:$J$451,MATCH($O186&amp;"|"&amp;$R186&amp;"|"&amp;$AE186,'ASIGNACIONES'!$N$4:$N$451,0)),"")))</f>
        <v/>
      </c>
      <c r="AG186" s="14">
        <f>IF($AE186="","",SUMIFS('ORDENES'!$M$4:$M$1203,'ORDENES'!$AE$4:$AE$1203,$AE186,'ORDENES'!$O$4:$O$1203,$O186,'ORDENES'!$R$4:$R$1203,$R186))</f>
        <v/>
      </c>
      <c r="AH186" s="14">
        <f>IF($AG186="","",p_factor_productividad*IFERROR(INDEX('ASIGNACIONES'!$M$4:$M$451,MATCH($O186&amp;"|"&amp;$R186&amp;"|"&amp;$AE186,'ASIGNACIONES'!$N$4:$N$451,0)),0)-$AG186)</f>
        <v/>
      </c>
      <c r="AI186" s="11">
        <f>IF($A186="","",IFERROR(INDEX('2_IMPORTAR_EJECUCION'!$F$9:$F$1208,MATCH($AQ186,'2_IMPORTAR_EJECUCION'!$J$9:$J$1208,0)),0))</f>
        <v/>
      </c>
      <c r="AJ186" s="11">
        <f>IF($A186="","",MAX(0,IFERROR(INDEX('2_IMPORTAR_EJECUCION'!$H$9:$H$1208,MATCH($AQ186,'2_IMPORTAR_EJECUCION'!$J$9:$J$1208,0)),0)-$AI186))</f>
        <v/>
      </c>
      <c r="AK186" s="11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46187</v>
      </c>
      <c r="K187" s="3" t="n">
        <v>2</v>
      </c>
      <c r="L187" s="11" t="n">
        <v>80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IF($H187="","",IFERROR(INDEX('CAT_ACTIVIDADES'!$B$4:$B$8,MATCH($H187,'CAT_ACTIVIDADES'!$A$4:$A$8,0)),"(sin catálogo)"))</f>
        <v/>
      </c>
      <c r="AA187" s="13">
        <f>IF($J187="","",TODAY()-$J187)</f>
        <v/>
      </c>
      <c r="AB187" s="13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IF($AE187="","",IF((IFERROR(INDEX('ASIGNACIONES'!$J$4:$J$451,MATCH($O187&amp;"|"&amp;$R187&amp;"|"&amp;$AE187,'ASIGNACIONES'!$N$4:$N$451,0)),""))=0,"",IFERROR(INDEX('ASIGNACIONES'!$J$4:$J$451,MATCH($O187&amp;"|"&amp;$R187&amp;"|"&amp;$AE187,'ASIGNACIONES'!$N$4:$N$451,0)),"")))</f>
        <v/>
      </c>
      <c r="AG187" s="14">
        <f>IF($AE187="","",SUMIFS('ORDENES'!$M$4:$M$1203,'ORDENES'!$AE$4:$AE$1203,$AE187,'ORDENES'!$O$4:$O$1203,$O187,'ORDENES'!$R$4:$R$1203,$R187))</f>
        <v/>
      </c>
      <c r="AH187" s="14">
        <f>IF($AG187="","",p_factor_productividad*IFERROR(INDEX('ASIGNACIONES'!$M$4:$M$451,MATCH($O187&amp;"|"&amp;$R187&amp;"|"&amp;$AE187,'ASIGNACIONES'!$N$4:$N$451,0)),0)-$AG187)</f>
        <v/>
      </c>
      <c r="AI187" s="11">
        <f>IF($A187="","",IFERROR(INDEX('2_IMPORTAR_EJECUCION'!$F$9:$F$1208,MATCH($AQ187,'2_IMPORTAR_EJECUCION'!$J$9:$J$1208,0)),0))</f>
        <v/>
      </c>
      <c r="AJ187" s="11">
        <f>IF($A187="","",MAX(0,IFERROR(INDEX('2_IMPORTAR_EJECUCION'!$H$9:$H$1208,MATCH($AQ187,'2_IMPORTAR_EJECUCION'!$J$9:$J$1208,0)),0)-$AI187))</f>
        <v/>
      </c>
      <c r="AK187" s="11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46186</v>
      </c>
      <c r="K188" s="3" t="n">
        <v>2</v>
      </c>
      <c r="L188" s="11" t="n">
        <v>80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IF($H188="","",IFERROR(INDEX('CAT_ACTIVIDADES'!$B$4:$B$8,MATCH($H188,'CAT_ACTIVIDADES'!$A$4:$A$8,0)),"(sin catálogo)"))</f>
        <v/>
      </c>
      <c r="AA188" s="13">
        <f>IF($J188="","",TODAY()-$J188)</f>
        <v/>
      </c>
      <c r="AB188" s="13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IF($AE188="","",IF((IFERROR(INDEX('ASIGNACIONES'!$J$4:$J$451,MATCH($O188&amp;"|"&amp;$R188&amp;"|"&amp;$AE188,'ASIGNACIONES'!$N$4:$N$451,0)),""))=0,"",IFERROR(INDEX('ASIGNACIONES'!$J$4:$J$451,MATCH($O188&amp;"|"&amp;$R188&amp;"|"&amp;$AE188,'ASIGNACIONES'!$N$4:$N$451,0)),"")))</f>
        <v/>
      </c>
      <c r="AG188" s="14">
        <f>IF($AE188="","",SUMIFS('ORDENES'!$M$4:$M$1203,'ORDENES'!$AE$4:$AE$1203,$AE188,'ORDENES'!$O$4:$O$1203,$O188,'ORDENES'!$R$4:$R$1203,$R188))</f>
        <v/>
      </c>
      <c r="AH188" s="14">
        <f>IF($AG188="","",p_factor_productividad*IFERROR(INDEX('ASIGNACIONES'!$M$4:$M$451,MATCH($O188&amp;"|"&amp;$R188&amp;"|"&amp;$AE188,'ASIGNACIONES'!$N$4:$N$451,0)),0)-$AG188)</f>
        <v/>
      </c>
      <c r="AI188" s="11">
        <f>IF($A188="","",IFERROR(INDEX('2_IMPORTAR_EJECUCION'!$F$9:$F$1208,MATCH($AQ188,'2_IMPORTAR_EJECUCION'!$J$9:$J$1208,0)),0))</f>
        <v/>
      </c>
      <c r="AJ188" s="11">
        <f>IF($A188="","",MAX(0,IFERROR(INDEX('2_IMPORTAR_EJECUCION'!$H$9:$H$1208,MATCH($AQ188,'2_IMPORTAR_EJECUCION'!$J$9:$J$1208,0)),0)-$AI188))</f>
        <v/>
      </c>
      <c r="AK188" s="11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46185</v>
      </c>
      <c r="K189" s="3" t="n">
        <v>2</v>
      </c>
      <c r="L189" s="11" t="n">
        <v>80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IF($H189="","",IFERROR(INDEX('CAT_ACTIVIDADES'!$B$4:$B$8,MATCH($H189,'CAT_ACTIVIDADES'!$A$4:$A$8,0)),"(sin catálogo)"))</f>
        <v/>
      </c>
      <c r="AA189" s="13">
        <f>IF($J189="","",TODAY()-$J189)</f>
        <v/>
      </c>
      <c r="AB189" s="13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IF($AE189="","",IF((IFERROR(INDEX('ASIGNACIONES'!$J$4:$J$451,MATCH($O189&amp;"|"&amp;$R189&amp;"|"&amp;$AE189,'ASIGNACIONES'!$N$4:$N$451,0)),""))=0,"",IFERROR(INDEX('ASIGNACIONES'!$J$4:$J$451,MATCH($O189&amp;"|"&amp;$R189&amp;"|"&amp;$AE189,'ASIGNACIONES'!$N$4:$N$451,0)),"")))</f>
        <v/>
      </c>
      <c r="AG189" s="14">
        <f>IF($AE189="","",SUMIFS('ORDENES'!$M$4:$M$1203,'ORDENES'!$AE$4:$AE$1203,$AE189,'ORDENES'!$O$4:$O$1203,$O189,'ORDENES'!$R$4:$R$1203,$R189))</f>
        <v/>
      </c>
      <c r="AH189" s="14">
        <f>IF($AG189="","",p_factor_productividad*IFERROR(INDEX('ASIGNACIONES'!$M$4:$M$451,MATCH($O189&amp;"|"&amp;$R189&amp;"|"&amp;$AE189,'ASIGNACIONES'!$N$4:$N$451,0)),0)-$AG189)</f>
        <v/>
      </c>
      <c r="AI189" s="11">
        <f>IF($A189="","",IFERROR(INDEX('2_IMPORTAR_EJECUCION'!$F$9:$F$1208,MATCH($AQ189,'2_IMPORTAR_EJECUCION'!$J$9:$J$1208,0)),0))</f>
        <v/>
      </c>
      <c r="AJ189" s="11">
        <f>IF($A189="","",MAX(0,IFERROR(INDEX('2_IMPORTAR_EJECUCION'!$H$9:$H$1208,MATCH($AQ189,'2_IMPORTAR_EJECUCION'!$J$9:$J$1208,0)),0)-$AI189))</f>
        <v/>
      </c>
      <c r="AK189" s="11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46184</v>
      </c>
      <c r="K190" s="3" t="n">
        <v>2</v>
      </c>
      <c r="L190" s="11" t="n">
        <v>80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IF($H190="","",IFERROR(INDEX('CAT_ACTIVIDADES'!$B$4:$B$8,MATCH($H190,'CAT_ACTIVIDADES'!$A$4:$A$8,0)),"(sin catálogo)"))</f>
        <v/>
      </c>
      <c r="AA190" s="13">
        <f>IF($J190="","",TODAY()-$J190)</f>
        <v/>
      </c>
      <c r="AB190" s="13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IF($AE190="","",IF((IFERROR(INDEX('ASIGNACIONES'!$J$4:$J$451,MATCH($O190&amp;"|"&amp;$R190&amp;"|"&amp;$AE190,'ASIGNACIONES'!$N$4:$N$451,0)),""))=0,"",IFERROR(INDEX('ASIGNACIONES'!$J$4:$J$451,MATCH($O190&amp;"|"&amp;$R190&amp;"|"&amp;$AE190,'ASIGNACIONES'!$N$4:$N$451,0)),"")))</f>
        <v/>
      </c>
      <c r="AG190" s="14">
        <f>IF($AE190="","",SUMIFS('ORDENES'!$M$4:$M$1203,'ORDENES'!$AE$4:$AE$1203,$AE190,'ORDENES'!$O$4:$O$1203,$O190,'ORDENES'!$R$4:$R$1203,$R190))</f>
        <v/>
      </c>
      <c r="AH190" s="14">
        <f>IF($AG190="","",p_factor_productividad*IFERROR(INDEX('ASIGNACIONES'!$M$4:$M$451,MATCH($O190&amp;"|"&amp;$R190&amp;"|"&amp;$AE190,'ASIGNACIONES'!$N$4:$N$451,0)),0)-$AG190)</f>
        <v/>
      </c>
      <c r="AI190" s="11">
        <f>IF($A190="","",IFERROR(INDEX('2_IMPORTAR_EJECUCION'!$F$9:$F$1208,MATCH($AQ190,'2_IMPORTAR_EJECUCION'!$J$9:$J$1208,0)),0))</f>
        <v/>
      </c>
      <c r="AJ190" s="11">
        <f>IF($A190="","",MAX(0,IFERROR(INDEX('2_IMPORTAR_EJECUCION'!$H$9:$H$1208,MATCH($AQ190,'2_IMPORTAR_EJECUCION'!$J$9:$J$1208,0)),0)-$AI190))</f>
        <v/>
      </c>
      <c r="AK190" s="11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46183</v>
      </c>
      <c r="K191" s="3" t="n">
        <v>2</v>
      </c>
      <c r="L191" s="11" t="n">
        <v>80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IF($H191="","",IFERROR(INDEX('CAT_ACTIVIDADES'!$B$4:$B$8,MATCH($H191,'CAT_ACTIVIDADES'!$A$4:$A$8,0)),"(sin catálogo)"))</f>
        <v/>
      </c>
      <c r="AA191" s="13">
        <f>IF($J191="","",TODAY()-$J191)</f>
        <v/>
      </c>
      <c r="AB191" s="13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IF($AE191="","",IF((IFERROR(INDEX('ASIGNACIONES'!$J$4:$J$451,MATCH($O191&amp;"|"&amp;$R191&amp;"|"&amp;$AE191,'ASIGNACIONES'!$N$4:$N$451,0)),""))=0,"",IFERROR(INDEX('ASIGNACIONES'!$J$4:$J$451,MATCH($O191&amp;"|"&amp;$R191&amp;"|"&amp;$AE191,'ASIGNACIONES'!$N$4:$N$451,0)),"")))</f>
        <v/>
      </c>
      <c r="AG191" s="14">
        <f>IF($AE191="","",SUMIFS('ORDENES'!$M$4:$M$1203,'ORDENES'!$AE$4:$AE$1203,$AE191,'ORDENES'!$O$4:$O$1203,$O191,'ORDENES'!$R$4:$R$1203,$R191))</f>
        <v/>
      </c>
      <c r="AH191" s="14">
        <f>IF($AG191="","",p_factor_productividad*IFERROR(INDEX('ASIGNACIONES'!$M$4:$M$451,MATCH($O191&amp;"|"&amp;$R191&amp;"|"&amp;$AE191,'ASIGNACIONES'!$N$4:$N$451,0)),0)-$AG191)</f>
        <v/>
      </c>
      <c r="AI191" s="11">
        <f>IF($A191="","",IFERROR(INDEX('2_IMPORTAR_EJECUCION'!$F$9:$F$1208,MATCH($AQ191,'2_IMPORTAR_EJECUCION'!$J$9:$J$1208,0)),0))</f>
        <v/>
      </c>
      <c r="AJ191" s="11">
        <f>IF($A191="","",MAX(0,IFERROR(INDEX('2_IMPORTAR_EJECUCION'!$H$9:$H$1208,MATCH($AQ191,'2_IMPORTAR_EJECUCION'!$J$9:$J$1208,0)),0)-$AI191))</f>
        <v/>
      </c>
      <c r="AK191" s="11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46182</v>
      </c>
      <c r="K192" s="3" t="n">
        <v>2</v>
      </c>
      <c r="L192" s="11" t="n">
        <v>80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IF($H192="","",IFERROR(INDEX('CAT_ACTIVIDADES'!$B$4:$B$8,MATCH($H192,'CAT_ACTIVIDADES'!$A$4:$A$8,0)),"(sin catálogo)"))</f>
        <v/>
      </c>
      <c r="AA192" s="13">
        <f>IF($J192="","",TODAY()-$J192)</f>
        <v/>
      </c>
      <c r="AB192" s="13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IF($AE192="","",IF((IFERROR(INDEX('ASIGNACIONES'!$J$4:$J$451,MATCH($O192&amp;"|"&amp;$R192&amp;"|"&amp;$AE192,'ASIGNACIONES'!$N$4:$N$451,0)),""))=0,"",IFERROR(INDEX('ASIGNACIONES'!$J$4:$J$451,MATCH($O192&amp;"|"&amp;$R192&amp;"|"&amp;$AE192,'ASIGNACIONES'!$N$4:$N$451,0)),"")))</f>
        <v/>
      </c>
      <c r="AG192" s="14">
        <f>IF($AE192="","",SUMIFS('ORDENES'!$M$4:$M$1203,'ORDENES'!$AE$4:$AE$1203,$AE192,'ORDENES'!$O$4:$O$1203,$O192,'ORDENES'!$R$4:$R$1203,$R192))</f>
        <v/>
      </c>
      <c r="AH192" s="14">
        <f>IF($AG192="","",p_factor_productividad*IFERROR(INDEX('ASIGNACIONES'!$M$4:$M$451,MATCH($O192&amp;"|"&amp;$R192&amp;"|"&amp;$AE192,'ASIGNACIONES'!$N$4:$N$451,0)),0)-$AG192)</f>
        <v/>
      </c>
      <c r="AI192" s="11">
        <f>IF($A192="","",IFERROR(INDEX('2_IMPORTAR_EJECUCION'!$F$9:$F$1208,MATCH($AQ192,'2_IMPORTAR_EJECUCION'!$J$9:$J$1208,0)),0))</f>
        <v/>
      </c>
      <c r="AJ192" s="11">
        <f>IF($A192="","",MAX(0,IFERROR(INDEX('2_IMPORTAR_EJECUCION'!$H$9:$H$1208,MATCH($AQ192,'2_IMPORTAR_EJECUCION'!$J$9:$J$1208,0)),0)-$AI192))</f>
        <v/>
      </c>
      <c r="AK192" s="11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46181</v>
      </c>
      <c r="K193" s="3" t="n">
        <v>2</v>
      </c>
      <c r="L193" s="11" t="n">
        <v>80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IF($H193="","",IFERROR(INDEX('CAT_ACTIVIDADES'!$B$4:$B$8,MATCH($H193,'CAT_ACTIVIDADES'!$A$4:$A$8,0)),"(sin catálogo)"))</f>
        <v/>
      </c>
      <c r="AA193" s="13">
        <f>IF($J193="","",TODAY()-$J193)</f>
        <v/>
      </c>
      <c r="AB193" s="13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IF($AE193="","",IF((IFERROR(INDEX('ASIGNACIONES'!$J$4:$J$451,MATCH($O193&amp;"|"&amp;$R193&amp;"|"&amp;$AE193,'ASIGNACIONES'!$N$4:$N$451,0)),""))=0,"",IFERROR(INDEX('ASIGNACIONES'!$J$4:$J$451,MATCH($O193&amp;"|"&amp;$R193&amp;"|"&amp;$AE193,'ASIGNACIONES'!$N$4:$N$451,0)),"")))</f>
        <v/>
      </c>
      <c r="AG193" s="14">
        <f>IF($AE193="","",SUMIFS('ORDENES'!$M$4:$M$1203,'ORDENES'!$AE$4:$AE$1203,$AE193,'ORDENES'!$O$4:$O$1203,$O193,'ORDENES'!$R$4:$R$1203,$R193))</f>
        <v/>
      </c>
      <c r="AH193" s="14">
        <f>IF($AG193="","",p_factor_productividad*IFERROR(INDEX('ASIGNACIONES'!$M$4:$M$451,MATCH($O193&amp;"|"&amp;$R193&amp;"|"&amp;$AE193,'ASIGNACIONES'!$N$4:$N$451,0)),0)-$AG193)</f>
        <v/>
      </c>
      <c r="AI193" s="11">
        <f>IF($A193="","",IFERROR(INDEX('2_IMPORTAR_EJECUCION'!$F$9:$F$1208,MATCH($AQ193,'2_IMPORTAR_EJECUCION'!$J$9:$J$1208,0)),0))</f>
        <v/>
      </c>
      <c r="AJ193" s="11">
        <f>IF($A193="","",MAX(0,IFERROR(INDEX('2_IMPORTAR_EJECUCION'!$H$9:$H$1208,MATCH($AQ193,'2_IMPORTAR_EJECUCION'!$J$9:$J$1208,0)),0)-$AI193))</f>
        <v/>
      </c>
      <c r="AK193" s="11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46180</v>
      </c>
      <c r="K194" s="3" t="n">
        <v>2</v>
      </c>
      <c r="L194" s="11" t="n">
        <v>80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IF($H194="","",IFERROR(INDEX('CAT_ACTIVIDADES'!$B$4:$B$8,MATCH($H194,'CAT_ACTIVIDADES'!$A$4:$A$8,0)),"(sin catálogo)"))</f>
        <v/>
      </c>
      <c r="AA194" s="13">
        <f>IF($J194="","",TODAY()-$J194)</f>
        <v/>
      </c>
      <c r="AB194" s="13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IF($AE194="","",IF((IFERROR(INDEX('ASIGNACIONES'!$J$4:$J$451,MATCH($O194&amp;"|"&amp;$R194&amp;"|"&amp;$AE194,'ASIGNACIONES'!$N$4:$N$451,0)),""))=0,"",IFERROR(INDEX('ASIGNACIONES'!$J$4:$J$451,MATCH($O194&amp;"|"&amp;$R194&amp;"|"&amp;$AE194,'ASIGNACIONES'!$N$4:$N$451,0)),"")))</f>
        <v/>
      </c>
      <c r="AG194" s="14">
        <f>IF($AE194="","",SUMIFS('ORDENES'!$M$4:$M$1203,'ORDENES'!$AE$4:$AE$1203,$AE194,'ORDENES'!$O$4:$O$1203,$O194,'ORDENES'!$R$4:$R$1203,$R194))</f>
        <v/>
      </c>
      <c r="AH194" s="14">
        <f>IF($AG194="","",p_factor_productividad*IFERROR(INDEX('ASIGNACIONES'!$M$4:$M$451,MATCH($O194&amp;"|"&amp;$R194&amp;"|"&amp;$AE194,'ASIGNACIONES'!$N$4:$N$451,0)),0)-$AG194)</f>
        <v/>
      </c>
      <c r="AI194" s="11">
        <f>IF($A194="","",IFERROR(INDEX('2_IMPORTAR_EJECUCION'!$F$9:$F$1208,MATCH($AQ194,'2_IMPORTAR_EJECUCION'!$J$9:$J$1208,0)),0))</f>
        <v/>
      </c>
      <c r="AJ194" s="11">
        <f>IF($A194="","",MAX(0,IFERROR(INDEX('2_IMPORTAR_EJECUCION'!$H$9:$H$1208,MATCH($AQ194,'2_IMPORTAR_EJECUCION'!$J$9:$J$1208,0)),0)-$AI194))</f>
        <v/>
      </c>
      <c r="AK194" s="11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46179</v>
      </c>
      <c r="K195" s="3" t="n">
        <v>2</v>
      </c>
      <c r="L195" s="11" t="n">
        <v>80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IF($H195="","",IFERROR(INDEX('CAT_ACTIVIDADES'!$B$4:$B$8,MATCH($H195,'CAT_ACTIVIDADES'!$A$4:$A$8,0)),"(sin catálogo)"))</f>
        <v/>
      </c>
      <c r="AA195" s="13">
        <f>IF($J195="","",TODAY()-$J195)</f>
        <v/>
      </c>
      <c r="AB195" s="13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IF($AE195="","",IF((IFERROR(INDEX('ASIGNACIONES'!$J$4:$J$451,MATCH($O195&amp;"|"&amp;$R195&amp;"|"&amp;$AE195,'ASIGNACIONES'!$N$4:$N$451,0)),""))=0,"",IFERROR(INDEX('ASIGNACIONES'!$J$4:$J$451,MATCH($O195&amp;"|"&amp;$R195&amp;"|"&amp;$AE195,'ASIGNACIONES'!$N$4:$N$451,0)),"")))</f>
        <v/>
      </c>
      <c r="AG195" s="14">
        <f>IF($AE195="","",SUMIFS('ORDENES'!$M$4:$M$1203,'ORDENES'!$AE$4:$AE$1203,$AE195,'ORDENES'!$O$4:$O$1203,$O195,'ORDENES'!$R$4:$R$1203,$R195))</f>
        <v/>
      </c>
      <c r="AH195" s="14">
        <f>IF($AG195="","",p_factor_productividad*IFERROR(INDEX('ASIGNACIONES'!$M$4:$M$451,MATCH($O195&amp;"|"&amp;$R195&amp;"|"&amp;$AE195,'ASIGNACIONES'!$N$4:$N$451,0)),0)-$AG195)</f>
        <v/>
      </c>
      <c r="AI195" s="11">
        <f>IF($A195="","",IFERROR(INDEX('2_IMPORTAR_EJECUCION'!$F$9:$F$1208,MATCH($AQ195,'2_IMPORTAR_EJECUCION'!$J$9:$J$1208,0)),0))</f>
        <v/>
      </c>
      <c r="AJ195" s="11">
        <f>IF($A195="","",MAX(0,IFERROR(INDEX('2_IMPORTAR_EJECUCION'!$H$9:$H$1208,MATCH($AQ195,'2_IMPORTAR_EJECUCION'!$J$9:$J$1208,0)),0)-$AI195))</f>
        <v/>
      </c>
      <c r="AK195" s="11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46178</v>
      </c>
      <c r="K196" s="3" t="n">
        <v>2</v>
      </c>
      <c r="L196" s="11" t="n">
        <v>80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IF($H196="","",IFERROR(INDEX('CAT_ACTIVIDADES'!$B$4:$B$8,MATCH($H196,'CAT_ACTIVIDADES'!$A$4:$A$8,0)),"(sin catálogo)"))</f>
        <v/>
      </c>
      <c r="AA196" s="13">
        <f>IF($J196="","",TODAY()-$J196)</f>
        <v/>
      </c>
      <c r="AB196" s="13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IF($AE196="","",IF((IFERROR(INDEX('ASIGNACIONES'!$J$4:$J$451,MATCH($O196&amp;"|"&amp;$R196&amp;"|"&amp;$AE196,'ASIGNACIONES'!$N$4:$N$451,0)),""))=0,"",IFERROR(INDEX('ASIGNACIONES'!$J$4:$J$451,MATCH($O196&amp;"|"&amp;$R196&amp;"|"&amp;$AE196,'ASIGNACIONES'!$N$4:$N$451,0)),"")))</f>
        <v/>
      </c>
      <c r="AG196" s="14">
        <f>IF($AE196="","",SUMIFS('ORDENES'!$M$4:$M$1203,'ORDENES'!$AE$4:$AE$1203,$AE196,'ORDENES'!$O$4:$O$1203,$O196,'ORDENES'!$R$4:$R$1203,$R196))</f>
        <v/>
      </c>
      <c r="AH196" s="14">
        <f>IF($AG196="","",p_factor_productividad*IFERROR(INDEX('ASIGNACIONES'!$M$4:$M$451,MATCH($O196&amp;"|"&amp;$R196&amp;"|"&amp;$AE196,'ASIGNACIONES'!$N$4:$N$451,0)),0)-$AG196)</f>
        <v/>
      </c>
      <c r="AI196" s="11">
        <f>IF($A196="","",IFERROR(INDEX('2_IMPORTAR_EJECUCION'!$F$9:$F$1208,MATCH($AQ196,'2_IMPORTAR_EJECUCION'!$J$9:$J$1208,0)),0))</f>
        <v/>
      </c>
      <c r="AJ196" s="11">
        <f>IF($A196="","",MAX(0,IFERROR(INDEX('2_IMPORTAR_EJECUCION'!$H$9:$H$1208,MATCH($AQ196,'2_IMPORTAR_EJECUCION'!$J$9:$J$1208,0)),0)-$AI196))</f>
        <v/>
      </c>
      <c r="AK196" s="11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46177</v>
      </c>
      <c r="K197" s="3" t="n">
        <v>2</v>
      </c>
      <c r="L197" s="11" t="n">
        <v>80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IF($H197="","",IFERROR(INDEX('CAT_ACTIVIDADES'!$B$4:$B$8,MATCH($H197,'CAT_ACTIVIDADES'!$A$4:$A$8,0)),"(sin catálogo)"))</f>
        <v/>
      </c>
      <c r="AA197" s="13">
        <f>IF($J197="","",TODAY()-$J197)</f>
        <v/>
      </c>
      <c r="AB197" s="13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IF($AE197="","",IF((IFERROR(INDEX('ASIGNACIONES'!$J$4:$J$451,MATCH($O197&amp;"|"&amp;$R197&amp;"|"&amp;$AE197,'ASIGNACIONES'!$N$4:$N$451,0)),""))=0,"",IFERROR(INDEX('ASIGNACIONES'!$J$4:$J$451,MATCH($O197&amp;"|"&amp;$R197&amp;"|"&amp;$AE197,'ASIGNACIONES'!$N$4:$N$451,0)),"")))</f>
        <v/>
      </c>
      <c r="AG197" s="14">
        <f>IF($AE197="","",SUMIFS('ORDENES'!$M$4:$M$1203,'ORDENES'!$AE$4:$AE$1203,$AE197,'ORDENES'!$O$4:$O$1203,$O197,'ORDENES'!$R$4:$R$1203,$R197))</f>
        <v/>
      </c>
      <c r="AH197" s="14">
        <f>IF($AG197="","",p_factor_productividad*IFERROR(INDEX('ASIGNACIONES'!$M$4:$M$451,MATCH($O197&amp;"|"&amp;$R197&amp;"|"&amp;$AE197,'ASIGNACIONES'!$N$4:$N$451,0)),0)-$AG197)</f>
        <v/>
      </c>
      <c r="AI197" s="11">
        <f>IF($A197="","",IFERROR(INDEX('2_IMPORTAR_EJECUCION'!$F$9:$F$1208,MATCH($AQ197,'2_IMPORTAR_EJECUCION'!$J$9:$J$1208,0)),0))</f>
        <v/>
      </c>
      <c r="AJ197" s="11">
        <f>IF($A197="","",MAX(0,IFERROR(INDEX('2_IMPORTAR_EJECUCION'!$H$9:$H$1208,MATCH($AQ197,'2_IMPORTAR_EJECUCION'!$J$9:$J$1208,0)),0)-$AI197))</f>
        <v/>
      </c>
      <c r="AK197" s="11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46176</v>
      </c>
      <c r="K198" s="3" t="n">
        <v>2</v>
      </c>
      <c r="L198" s="11" t="n">
        <v>80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IF($H198="","",IFERROR(INDEX('CAT_ACTIVIDADES'!$B$4:$B$8,MATCH($H198,'CAT_ACTIVIDADES'!$A$4:$A$8,0)),"(sin catálogo)"))</f>
        <v/>
      </c>
      <c r="AA198" s="13">
        <f>IF($J198="","",TODAY()-$J198)</f>
        <v/>
      </c>
      <c r="AB198" s="13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IF($AE198="","",IF((IFERROR(INDEX('ASIGNACIONES'!$J$4:$J$451,MATCH($O198&amp;"|"&amp;$R198&amp;"|"&amp;$AE198,'ASIGNACIONES'!$N$4:$N$451,0)),""))=0,"",IFERROR(INDEX('ASIGNACIONES'!$J$4:$J$451,MATCH($O198&amp;"|"&amp;$R198&amp;"|"&amp;$AE198,'ASIGNACIONES'!$N$4:$N$451,0)),"")))</f>
        <v/>
      </c>
      <c r="AG198" s="14">
        <f>IF($AE198="","",SUMIFS('ORDENES'!$M$4:$M$1203,'ORDENES'!$AE$4:$AE$1203,$AE198,'ORDENES'!$O$4:$O$1203,$O198,'ORDENES'!$R$4:$R$1203,$R198))</f>
        <v/>
      </c>
      <c r="AH198" s="14">
        <f>IF($AG198="","",p_factor_productividad*IFERROR(INDEX('ASIGNACIONES'!$M$4:$M$451,MATCH($O198&amp;"|"&amp;$R198&amp;"|"&amp;$AE198,'ASIGNACIONES'!$N$4:$N$451,0)),0)-$AG198)</f>
        <v/>
      </c>
      <c r="AI198" s="11">
        <f>IF($A198="","",IFERROR(INDEX('2_IMPORTAR_EJECUCION'!$F$9:$F$1208,MATCH($AQ198,'2_IMPORTAR_EJECUCION'!$J$9:$J$1208,0)),0))</f>
        <v/>
      </c>
      <c r="AJ198" s="11">
        <f>IF($A198="","",MAX(0,IFERROR(INDEX('2_IMPORTAR_EJECUCION'!$H$9:$H$1208,MATCH($AQ198,'2_IMPORTAR_EJECUCION'!$J$9:$J$1208,0)),0)-$AI198))</f>
        <v/>
      </c>
      <c r="AK198" s="11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46175</v>
      </c>
      <c r="K199" s="3" t="n">
        <v>2</v>
      </c>
      <c r="L199" s="11" t="n">
        <v>80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IF($H199="","",IFERROR(INDEX('CAT_ACTIVIDADES'!$B$4:$B$8,MATCH($H199,'CAT_ACTIVIDADES'!$A$4:$A$8,0)),"(sin catálogo)"))</f>
        <v/>
      </c>
      <c r="AA199" s="13">
        <f>IF($J199="","",TODAY()-$J199)</f>
        <v/>
      </c>
      <c r="AB199" s="13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IF($AE199="","",IF((IFERROR(INDEX('ASIGNACIONES'!$J$4:$J$451,MATCH($O199&amp;"|"&amp;$R199&amp;"|"&amp;$AE199,'ASIGNACIONES'!$N$4:$N$451,0)),""))=0,"",IFERROR(INDEX('ASIGNACIONES'!$J$4:$J$451,MATCH($O199&amp;"|"&amp;$R199&amp;"|"&amp;$AE199,'ASIGNACIONES'!$N$4:$N$451,0)),"")))</f>
        <v/>
      </c>
      <c r="AG199" s="14">
        <f>IF($AE199="","",SUMIFS('ORDENES'!$M$4:$M$1203,'ORDENES'!$AE$4:$AE$1203,$AE199,'ORDENES'!$O$4:$O$1203,$O199,'ORDENES'!$R$4:$R$1203,$R199))</f>
        <v/>
      </c>
      <c r="AH199" s="14">
        <f>IF($AG199="","",p_factor_productividad*IFERROR(INDEX('ASIGNACIONES'!$M$4:$M$451,MATCH($O199&amp;"|"&amp;$R199&amp;"|"&amp;$AE199,'ASIGNACIONES'!$N$4:$N$451,0)),0)-$AG199)</f>
        <v/>
      </c>
      <c r="AI199" s="11">
        <f>IF($A199="","",IFERROR(INDEX('2_IMPORTAR_EJECUCION'!$F$9:$F$1208,MATCH($AQ199,'2_IMPORTAR_EJECUCION'!$J$9:$J$1208,0)),0))</f>
        <v/>
      </c>
      <c r="AJ199" s="11">
        <f>IF($A199="","",MAX(0,IFERROR(INDEX('2_IMPORTAR_EJECUCION'!$H$9:$H$1208,MATCH($AQ199,'2_IMPORTAR_EJECUCION'!$J$9:$J$1208,0)),0)-$AI199))</f>
        <v/>
      </c>
      <c r="AK199" s="11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46174</v>
      </c>
      <c r="K200" s="3" t="n">
        <v>2</v>
      </c>
      <c r="L200" s="11" t="n">
        <v>80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IF($H200="","",IFERROR(INDEX('CAT_ACTIVIDADES'!$B$4:$B$8,MATCH($H200,'CAT_ACTIVIDADES'!$A$4:$A$8,0)),"(sin catálogo)"))</f>
        <v/>
      </c>
      <c r="AA200" s="13">
        <f>IF($J200="","",TODAY()-$J200)</f>
        <v/>
      </c>
      <c r="AB200" s="13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IF($AE200="","",IF((IFERROR(INDEX('ASIGNACIONES'!$J$4:$J$451,MATCH($O200&amp;"|"&amp;$R200&amp;"|"&amp;$AE200,'ASIGNACIONES'!$N$4:$N$451,0)),""))=0,"",IFERROR(INDEX('ASIGNACIONES'!$J$4:$J$451,MATCH($O200&amp;"|"&amp;$R200&amp;"|"&amp;$AE200,'ASIGNACIONES'!$N$4:$N$451,0)),"")))</f>
        <v/>
      </c>
      <c r="AG200" s="14">
        <f>IF($AE200="","",SUMIFS('ORDENES'!$M$4:$M$1203,'ORDENES'!$AE$4:$AE$1203,$AE200,'ORDENES'!$O$4:$O$1203,$O200,'ORDENES'!$R$4:$R$1203,$R200))</f>
        <v/>
      </c>
      <c r="AH200" s="14">
        <f>IF($AG200="","",p_factor_productividad*IFERROR(INDEX('ASIGNACIONES'!$M$4:$M$451,MATCH($O200&amp;"|"&amp;$R200&amp;"|"&amp;$AE200,'ASIGNACIONES'!$N$4:$N$451,0)),0)-$AG200)</f>
        <v/>
      </c>
      <c r="AI200" s="11">
        <f>IF($A200="","",IFERROR(INDEX('2_IMPORTAR_EJECUCION'!$F$9:$F$1208,MATCH($AQ200,'2_IMPORTAR_EJECUCION'!$J$9:$J$1208,0)),0))</f>
        <v/>
      </c>
      <c r="AJ200" s="11">
        <f>IF($A200="","",MAX(0,IFERROR(INDEX('2_IMPORTAR_EJECUCION'!$H$9:$H$1208,MATCH($AQ200,'2_IMPORTAR_EJECUCION'!$J$9:$J$1208,0)),0)-$AI200))</f>
        <v/>
      </c>
      <c r="AK200" s="11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46173</v>
      </c>
      <c r="K201" s="3" t="n">
        <v>2</v>
      </c>
      <c r="L201" s="11" t="n">
        <v>80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IF($H201="","",IFERROR(INDEX('CAT_ACTIVIDADES'!$B$4:$B$8,MATCH($H201,'CAT_ACTIVIDADES'!$A$4:$A$8,0)),"(sin catálogo)"))</f>
        <v/>
      </c>
      <c r="AA201" s="13">
        <f>IF($J201="","",TODAY()-$J201)</f>
        <v/>
      </c>
      <c r="AB201" s="13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IF($AE201="","",IF((IFERROR(INDEX('ASIGNACIONES'!$J$4:$J$451,MATCH($O201&amp;"|"&amp;$R201&amp;"|"&amp;$AE201,'ASIGNACIONES'!$N$4:$N$451,0)),""))=0,"",IFERROR(INDEX('ASIGNACIONES'!$J$4:$J$451,MATCH($O201&amp;"|"&amp;$R201&amp;"|"&amp;$AE201,'ASIGNACIONES'!$N$4:$N$451,0)),"")))</f>
        <v/>
      </c>
      <c r="AG201" s="14">
        <f>IF($AE201="","",SUMIFS('ORDENES'!$M$4:$M$1203,'ORDENES'!$AE$4:$AE$1203,$AE201,'ORDENES'!$O$4:$O$1203,$O201,'ORDENES'!$R$4:$R$1203,$R201))</f>
        <v/>
      </c>
      <c r="AH201" s="14">
        <f>IF($AG201="","",p_factor_productividad*IFERROR(INDEX('ASIGNACIONES'!$M$4:$M$451,MATCH($O201&amp;"|"&amp;$R201&amp;"|"&amp;$AE201,'ASIGNACIONES'!$N$4:$N$451,0)),0)-$AG201)</f>
        <v/>
      </c>
      <c r="AI201" s="11">
        <f>IF($A201="","",IFERROR(INDEX('2_IMPORTAR_EJECUCION'!$F$9:$F$1208,MATCH($AQ201,'2_IMPORTAR_EJECUCION'!$J$9:$J$1208,0)),0))</f>
        <v/>
      </c>
      <c r="AJ201" s="11">
        <f>IF($A201="","",MAX(0,IFERROR(INDEX('2_IMPORTAR_EJECUCION'!$H$9:$H$1208,MATCH($AQ201,'2_IMPORTAR_EJECUCION'!$J$9:$J$1208,0)),0)-$AI201))</f>
        <v/>
      </c>
      <c r="AK201" s="11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46172</v>
      </c>
      <c r="K202" s="3" t="n">
        <v>2</v>
      </c>
      <c r="L202" s="11" t="n">
        <v>80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IF($H202="","",IFERROR(INDEX('CAT_ACTIVIDADES'!$B$4:$B$8,MATCH($H202,'CAT_ACTIVIDADES'!$A$4:$A$8,0)),"(sin catálogo)"))</f>
        <v/>
      </c>
      <c r="AA202" s="13">
        <f>IF($J202="","",TODAY()-$J202)</f>
        <v/>
      </c>
      <c r="AB202" s="13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IF($AE202="","",IF((IFERROR(INDEX('ASIGNACIONES'!$J$4:$J$451,MATCH($O202&amp;"|"&amp;$R202&amp;"|"&amp;$AE202,'ASIGNACIONES'!$N$4:$N$451,0)),""))=0,"",IFERROR(INDEX('ASIGNACIONES'!$J$4:$J$451,MATCH($O202&amp;"|"&amp;$R202&amp;"|"&amp;$AE202,'ASIGNACIONES'!$N$4:$N$451,0)),"")))</f>
        <v/>
      </c>
      <c r="AG202" s="14">
        <f>IF($AE202="","",SUMIFS('ORDENES'!$M$4:$M$1203,'ORDENES'!$AE$4:$AE$1203,$AE202,'ORDENES'!$O$4:$O$1203,$O202,'ORDENES'!$R$4:$R$1203,$R202))</f>
        <v/>
      </c>
      <c r="AH202" s="14">
        <f>IF($AG202="","",p_factor_productividad*IFERROR(INDEX('ASIGNACIONES'!$M$4:$M$451,MATCH($O202&amp;"|"&amp;$R202&amp;"|"&amp;$AE202,'ASIGNACIONES'!$N$4:$N$451,0)),0)-$AG202)</f>
        <v/>
      </c>
      <c r="AI202" s="11">
        <f>IF($A202="","",IFERROR(INDEX('2_IMPORTAR_EJECUCION'!$F$9:$F$1208,MATCH($AQ202,'2_IMPORTAR_EJECUCION'!$J$9:$J$1208,0)),0))</f>
        <v/>
      </c>
      <c r="AJ202" s="11">
        <f>IF($A202="","",MAX(0,IFERROR(INDEX('2_IMPORTAR_EJECUCION'!$H$9:$H$1208,MATCH($AQ202,'2_IMPORTAR_EJECUCION'!$J$9:$J$1208,0)),0)-$AI202))</f>
        <v/>
      </c>
      <c r="AK202" s="11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46171</v>
      </c>
      <c r="K203" s="3" t="n">
        <v>2</v>
      </c>
      <c r="L203" s="11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IF($H203="","",IFERROR(INDEX('CAT_ACTIVIDADES'!$B$4:$B$8,MATCH($H203,'CAT_ACTIVIDADES'!$A$4:$A$8,0)),"(sin catálogo)"))</f>
        <v/>
      </c>
      <c r="AA203" s="13">
        <f>IF($J203="","",TODAY()-$J203)</f>
        <v/>
      </c>
      <c r="AB203" s="13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IF($AE203="","",IF((IFERROR(INDEX('ASIGNACIONES'!$J$4:$J$451,MATCH($O203&amp;"|"&amp;$R203&amp;"|"&amp;$AE203,'ASIGNACIONES'!$N$4:$N$451,0)),""))=0,"",IFERROR(INDEX('ASIGNACIONES'!$J$4:$J$451,MATCH($O203&amp;"|"&amp;$R203&amp;"|"&amp;$AE203,'ASIGNACIONES'!$N$4:$N$451,0)),"")))</f>
        <v/>
      </c>
      <c r="AG203" s="14">
        <f>IF($AE203="","",SUMIFS('ORDENES'!$M$4:$M$1203,'ORDENES'!$AE$4:$AE$1203,$AE203,'ORDENES'!$O$4:$O$1203,$O203,'ORDENES'!$R$4:$R$1203,$R203))</f>
        <v/>
      </c>
      <c r="AH203" s="14">
        <f>IF($AG203="","",p_factor_productividad*IFERROR(INDEX('ASIGNACIONES'!$M$4:$M$451,MATCH($O203&amp;"|"&amp;$R203&amp;"|"&amp;$AE203,'ASIGNACIONES'!$N$4:$N$451,0)),0)-$AG203)</f>
        <v/>
      </c>
      <c r="AI203" s="11">
        <f>IF($A203="","",IFERROR(INDEX('2_IMPORTAR_EJECUCION'!$F$9:$F$1208,MATCH($AQ203,'2_IMPORTAR_EJECUCION'!$J$9:$J$1208,0)),0))</f>
        <v/>
      </c>
      <c r="AJ203" s="11">
        <f>IF($A203="","",MAX(0,IFERROR(INDEX('2_IMPORTAR_EJECUCION'!$H$9:$H$1208,MATCH($AQ203,'2_IMPORTAR_EJECUCION'!$J$9:$J$1208,0)),0)-$AI203))</f>
        <v/>
      </c>
      <c r="AK203" s="11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IF($H204="","",IFERROR(INDEX('CAT_ACTIVIDADES'!$B$4:$B$8,MATCH($H204,'CAT_ACTIVIDADES'!$A$4:$A$8,0)),"(sin catálogo)"))</f>
        <v/>
      </c>
      <c r="AA204" s="13">
        <f>IF($J204="","",TODAY()-$J204)</f>
        <v/>
      </c>
      <c r="AB204" s="13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IF($AE204="","",IF((IFERROR(INDEX('ASIGNACIONES'!$J$4:$J$451,MATCH($O204&amp;"|"&amp;$R204&amp;"|"&amp;$AE204,'ASIGNACIONES'!$N$4:$N$451,0)),""))=0,"",IFERROR(INDEX('ASIGNACIONES'!$J$4:$J$451,MATCH($O204&amp;"|"&amp;$R204&amp;"|"&amp;$AE204,'ASIGNACIONES'!$N$4:$N$451,0)),"")))</f>
        <v/>
      </c>
      <c r="AG204" s="14">
        <f>IF($AE204="","",SUMIFS('ORDENES'!$M$4:$M$1203,'ORDENES'!$AE$4:$AE$1203,$AE204,'ORDENES'!$O$4:$O$1203,$O204,'ORDENES'!$R$4:$R$1203,$R204))</f>
        <v/>
      </c>
      <c r="AH204" s="14">
        <f>IF($AG204="","",p_factor_productividad*IFERROR(INDEX('ASIGNACIONES'!$M$4:$M$451,MATCH($O204&amp;"|"&amp;$R204&amp;"|"&amp;$AE204,'ASIGNACIONES'!$N$4:$N$451,0)),0)-$AG204)</f>
        <v/>
      </c>
      <c r="AI204" s="11">
        <f>IF($A204="","",IFERROR(INDEX('2_IMPORTAR_EJECUCION'!$F$9:$F$1208,MATCH($AQ204,'2_IMPORTAR_EJECUCION'!$J$9:$J$1208,0)),0))</f>
        <v/>
      </c>
      <c r="AJ204" s="11">
        <f>IF($A204="","",MAX(0,IFERROR(INDEX('2_IMPORTAR_EJECUCION'!$H$9:$H$1208,MATCH($AQ204,'2_IMPORTAR_EJECUCION'!$J$9:$J$1208,0)),0)-$AI204))</f>
        <v/>
      </c>
      <c r="AK204" s="11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IF($H205="","",IFERROR(INDEX('CAT_ACTIVIDADES'!$B$4:$B$8,MATCH($H205,'CAT_ACTIVIDADES'!$A$4:$A$8,0)),"(sin catálogo)"))</f>
        <v/>
      </c>
      <c r="AA205" s="13">
        <f>IF($J205="","",TODAY()-$J205)</f>
        <v/>
      </c>
      <c r="AB205" s="13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IF($AE205="","",IF((IFERROR(INDEX('ASIGNACIONES'!$J$4:$J$451,MATCH($O205&amp;"|"&amp;$R205&amp;"|"&amp;$AE205,'ASIGNACIONES'!$N$4:$N$451,0)),""))=0,"",IFERROR(INDEX('ASIGNACIONES'!$J$4:$J$451,MATCH($O205&amp;"|"&amp;$R205&amp;"|"&amp;$AE205,'ASIGNACIONES'!$N$4:$N$451,0)),"")))</f>
        <v/>
      </c>
      <c r="AG205" s="14">
        <f>IF($AE205="","",SUMIFS('ORDENES'!$M$4:$M$1203,'ORDENES'!$AE$4:$AE$1203,$AE205,'ORDENES'!$O$4:$O$1203,$O205,'ORDENES'!$R$4:$R$1203,$R205))</f>
        <v/>
      </c>
      <c r="AH205" s="14">
        <f>IF($AG205="","",p_factor_productividad*IFERROR(INDEX('ASIGNACIONES'!$M$4:$M$451,MATCH($O205&amp;"|"&amp;$R205&amp;"|"&amp;$AE205,'ASIGNACIONES'!$N$4:$N$451,0)),0)-$AG205)</f>
        <v/>
      </c>
      <c r="AI205" s="11">
        <f>IF($A205="","",IFERROR(INDEX('2_IMPORTAR_EJECUCION'!$F$9:$F$1208,MATCH($AQ205,'2_IMPORTAR_EJECUCION'!$J$9:$J$1208,0)),0))</f>
        <v/>
      </c>
      <c r="AJ205" s="11">
        <f>IF($A205="","",MAX(0,IFERROR(INDEX('2_IMPORTAR_EJECUCION'!$H$9:$H$1208,MATCH($AQ205,'2_IMPORTAR_EJECUCION'!$J$9:$J$1208,0)),0)-$AI205))</f>
        <v/>
      </c>
      <c r="AK205" s="11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IF($H206="","",IFERROR(INDEX('CAT_ACTIVIDADES'!$B$4:$B$8,MATCH($H206,'CAT_ACTIVIDADES'!$A$4:$A$8,0)),"(sin catálogo)"))</f>
        <v/>
      </c>
      <c r="AA206" s="13">
        <f>IF($J206="","",TODAY()-$J206)</f>
        <v/>
      </c>
      <c r="AB206" s="13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IF($AE206="","",IF((IFERROR(INDEX('ASIGNACIONES'!$J$4:$J$451,MATCH($O206&amp;"|"&amp;$R206&amp;"|"&amp;$AE206,'ASIGNACIONES'!$N$4:$N$451,0)),""))=0,"",IFERROR(INDEX('ASIGNACIONES'!$J$4:$J$451,MATCH($O206&amp;"|"&amp;$R206&amp;"|"&amp;$AE206,'ASIGNACIONES'!$N$4:$N$451,0)),"")))</f>
        <v/>
      </c>
      <c r="AG206" s="14">
        <f>IF($AE206="","",SUMIFS('ORDENES'!$M$4:$M$1203,'ORDENES'!$AE$4:$AE$1203,$AE206,'ORDENES'!$O$4:$O$1203,$O206,'ORDENES'!$R$4:$R$1203,$R206))</f>
        <v/>
      </c>
      <c r="AH206" s="14">
        <f>IF($AG206="","",p_factor_productividad*IFERROR(INDEX('ASIGNACIONES'!$M$4:$M$451,MATCH($O206&amp;"|"&amp;$R206&amp;"|"&amp;$AE206,'ASIGNACIONES'!$N$4:$N$451,0)),0)-$AG206)</f>
        <v/>
      </c>
      <c r="AI206" s="11">
        <f>IF($A206="","",IFERROR(INDEX('2_IMPORTAR_EJECUCION'!$F$9:$F$1208,MATCH($AQ206,'2_IMPORTAR_EJECUCION'!$J$9:$J$1208,0)),0))</f>
        <v/>
      </c>
      <c r="AJ206" s="11">
        <f>IF($A206="","",MAX(0,IFERROR(INDEX('2_IMPORTAR_EJECUCION'!$H$9:$H$1208,MATCH($AQ206,'2_IMPORTAR_EJECUCION'!$J$9:$J$1208,0)),0)-$AI206))</f>
        <v/>
      </c>
      <c r="AK206" s="11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IF($H207="","",IFERROR(INDEX('CAT_ACTIVIDADES'!$B$4:$B$8,MATCH($H207,'CAT_ACTIVIDADES'!$A$4:$A$8,0)),"(sin catálogo)"))</f>
        <v/>
      </c>
      <c r="AA207" s="13">
        <f>IF($J207="","",TODAY()-$J207)</f>
        <v/>
      </c>
      <c r="AB207" s="13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IF($AE207="","",IF((IFERROR(INDEX('ASIGNACIONES'!$J$4:$J$451,MATCH($O207&amp;"|"&amp;$R207&amp;"|"&amp;$AE207,'ASIGNACIONES'!$N$4:$N$451,0)),""))=0,"",IFERROR(INDEX('ASIGNACIONES'!$J$4:$J$451,MATCH($O207&amp;"|"&amp;$R207&amp;"|"&amp;$AE207,'ASIGNACIONES'!$N$4:$N$451,0)),"")))</f>
        <v/>
      </c>
      <c r="AG207" s="14">
        <f>IF($AE207="","",SUMIFS('ORDENES'!$M$4:$M$1203,'ORDENES'!$AE$4:$AE$1203,$AE207,'ORDENES'!$O$4:$O$1203,$O207,'ORDENES'!$R$4:$R$1203,$R207))</f>
        <v/>
      </c>
      <c r="AH207" s="14">
        <f>IF($AG207="","",p_factor_productividad*IFERROR(INDEX('ASIGNACIONES'!$M$4:$M$451,MATCH($O207&amp;"|"&amp;$R207&amp;"|"&amp;$AE207,'ASIGNACIONES'!$N$4:$N$451,0)),0)-$AG207)</f>
        <v/>
      </c>
      <c r="AI207" s="11">
        <f>IF($A207="","",IFERROR(INDEX('2_IMPORTAR_EJECUCION'!$F$9:$F$1208,MATCH($AQ207,'2_IMPORTAR_EJECUCION'!$J$9:$J$1208,0)),0))</f>
        <v/>
      </c>
      <c r="AJ207" s="11">
        <f>IF($A207="","",MAX(0,IFERROR(INDEX('2_IMPORTAR_EJECUCION'!$H$9:$H$1208,MATCH($AQ207,'2_IMPORTAR_EJECUCION'!$J$9:$J$1208,0)),0)-$AI207))</f>
        <v/>
      </c>
      <c r="AK207" s="11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IF($H208="","",IFERROR(INDEX('CAT_ACTIVIDADES'!$B$4:$B$8,MATCH($H208,'CAT_ACTIVIDADES'!$A$4:$A$8,0)),"(sin catálogo)"))</f>
        <v/>
      </c>
      <c r="AA208" s="13">
        <f>IF($J208="","",TODAY()-$J208)</f>
        <v/>
      </c>
      <c r="AB208" s="13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IF($AE208="","",IF((IFERROR(INDEX('ASIGNACIONES'!$J$4:$J$451,MATCH($O208&amp;"|"&amp;$R208&amp;"|"&amp;$AE208,'ASIGNACIONES'!$N$4:$N$451,0)),""))=0,"",IFERROR(INDEX('ASIGNACIONES'!$J$4:$J$451,MATCH($O208&amp;"|"&amp;$R208&amp;"|"&amp;$AE208,'ASIGNACIONES'!$N$4:$N$451,0)),"")))</f>
        <v/>
      </c>
      <c r="AG208" s="14">
        <f>IF($AE208="","",SUMIFS('ORDENES'!$M$4:$M$1203,'ORDENES'!$AE$4:$AE$1203,$AE208,'ORDENES'!$O$4:$O$1203,$O208,'ORDENES'!$R$4:$R$1203,$R208))</f>
        <v/>
      </c>
      <c r="AH208" s="14">
        <f>IF($AG208="","",p_factor_productividad*IFERROR(INDEX('ASIGNACIONES'!$M$4:$M$451,MATCH($O208&amp;"|"&amp;$R208&amp;"|"&amp;$AE208,'ASIGNACIONES'!$N$4:$N$451,0)),0)-$AG208)</f>
        <v/>
      </c>
      <c r="AI208" s="11">
        <f>IF($A208="","",IFERROR(INDEX('2_IMPORTAR_EJECUCION'!$F$9:$F$1208,MATCH($AQ208,'2_IMPORTAR_EJECUCION'!$J$9:$J$1208,0)),0))</f>
        <v/>
      </c>
      <c r="AJ208" s="11">
        <f>IF($A208="","",MAX(0,IFERROR(INDEX('2_IMPORTAR_EJECUCION'!$H$9:$H$1208,MATCH($AQ208,'2_IMPORTAR_EJECUCION'!$J$9:$J$1208,0)),0)-$AI208))</f>
        <v/>
      </c>
      <c r="AK208" s="11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IF($H209="","",IFERROR(INDEX('CAT_ACTIVIDADES'!$B$4:$B$8,MATCH($H209,'CAT_ACTIVIDADES'!$A$4:$A$8,0)),"(sin catálogo)"))</f>
        <v/>
      </c>
      <c r="AA209" s="13">
        <f>IF($J209="","",TODAY()-$J209)</f>
        <v/>
      </c>
      <c r="AB209" s="13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IF($AE209="","",IF((IFERROR(INDEX('ASIGNACIONES'!$J$4:$J$451,MATCH($O209&amp;"|"&amp;$R209&amp;"|"&amp;$AE209,'ASIGNACIONES'!$N$4:$N$451,0)),""))=0,"",IFERROR(INDEX('ASIGNACIONES'!$J$4:$J$451,MATCH($O209&amp;"|"&amp;$R209&amp;"|"&amp;$AE209,'ASIGNACIONES'!$N$4:$N$451,0)),"")))</f>
        <v/>
      </c>
      <c r="AG209" s="14">
        <f>IF($AE209="","",SUMIFS('ORDENES'!$M$4:$M$1203,'ORDENES'!$AE$4:$AE$1203,$AE209,'ORDENES'!$O$4:$O$1203,$O209,'ORDENES'!$R$4:$R$1203,$R209))</f>
        <v/>
      </c>
      <c r="AH209" s="14">
        <f>IF($AG209="","",p_factor_productividad*IFERROR(INDEX('ASIGNACIONES'!$M$4:$M$451,MATCH($O209&amp;"|"&amp;$R209&amp;"|"&amp;$AE209,'ASIGNACIONES'!$N$4:$N$451,0)),0)-$AG209)</f>
        <v/>
      </c>
      <c r="AI209" s="11">
        <f>IF($A209="","",IFERROR(INDEX('2_IMPORTAR_EJECUCION'!$F$9:$F$1208,MATCH($AQ209,'2_IMPORTAR_EJECUCION'!$J$9:$J$1208,0)),0))</f>
        <v/>
      </c>
      <c r="AJ209" s="11">
        <f>IF($A209="","",MAX(0,IFERROR(INDEX('2_IMPORTAR_EJECUCION'!$H$9:$H$1208,MATCH($AQ209,'2_IMPORTAR_EJECUCION'!$J$9:$J$1208,0)),0)-$AI209))</f>
        <v/>
      </c>
      <c r="AK209" s="11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IF($H210="","",IFERROR(INDEX('CAT_ACTIVIDADES'!$B$4:$B$8,MATCH($H210,'CAT_ACTIVIDADES'!$A$4:$A$8,0)),"(sin catálogo)"))</f>
        <v/>
      </c>
      <c r="AA210" s="13">
        <f>IF($J210="","",TODAY()-$J210)</f>
        <v/>
      </c>
      <c r="AB210" s="13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IF($AE210="","",IF((IFERROR(INDEX('ASIGNACIONES'!$J$4:$J$451,MATCH($O210&amp;"|"&amp;$R210&amp;"|"&amp;$AE210,'ASIGNACIONES'!$N$4:$N$451,0)),""))=0,"",IFERROR(INDEX('ASIGNACIONES'!$J$4:$J$451,MATCH($O210&amp;"|"&amp;$R210&amp;"|"&amp;$AE210,'ASIGNACIONES'!$N$4:$N$451,0)),"")))</f>
        <v/>
      </c>
      <c r="AG210" s="14">
        <f>IF($AE210="","",SUMIFS('ORDENES'!$M$4:$M$1203,'ORDENES'!$AE$4:$AE$1203,$AE210,'ORDENES'!$O$4:$O$1203,$O210,'ORDENES'!$R$4:$R$1203,$R210))</f>
        <v/>
      </c>
      <c r="AH210" s="14">
        <f>IF($AG210="","",p_factor_productividad*IFERROR(INDEX('ASIGNACIONES'!$M$4:$M$451,MATCH($O210&amp;"|"&amp;$R210&amp;"|"&amp;$AE210,'ASIGNACIONES'!$N$4:$N$451,0)),0)-$AG210)</f>
        <v/>
      </c>
      <c r="AI210" s="11">
        <f>IF($A210="","",IFERROR(INDEX('2_IMPORTAR_EJECUCION'!$F$9:$F$1208,MATCH($AQ210,'2_IMPORTAR_EJECUCION'!$J$9:$J$1208,0)),0))</f>
        <v/>
      </c>
      <c r="AJ210" s="11">
        <f>IF($A210="","",MAX(0,IFERROR(INDEX('2_IMPORTAR_EJECUCION'!$H$9:$H$1208,MATCH($AQ210,'2_IMPORTAR_EJECUCION'!$J$9:$J$1208,0)),0)-$AI210))</f>
        <v/>
      </c>
      <c r="AK210" s="11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IF($H211="","",IFERROR(INDEX('CAT_ACTIVIDADES'!$B$4:$B$8,MATCH($H211,'CAT_ACTIVIDADES'!$A$4:$A$8,0)),"(sin catálogo)"))</f>
        <v/>
      </c>
      <c r="AA211" s="13">
        <f>IF($J211="","",TODAY()-$J211)</f>
        <v/>
      </c>
      <c r="AB211" s="13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IF($AE211="","",IF((IFERROR(INDEX('ASIGNACIONES'!$J$4:$J$451,MATCH($O211&amp;"|"&amp;$R211&amp;"|"&amp;$AE211,'ASIGNACIONES'!$N$4:$N$451,0)),""))=0,"",IFERROR(INDEX('ASIGNACIONES'!$J$4:$J$451,MATCH($O211&amp;"|"&amp;$R211&amp;"|"&amp;$AE211,'ASIGNACIONES'!$N$4:$N$451,0)),"")))</f>
        <v/>
      </c>
      <c r="AG211" s="14">
        <f>IF($AE211="","",SUMIFS('ORDENES'!$M$4:$M$1203,'ORDENES'!$AE$4:$AE$1203,$AE211,'ORDENES'!$O$4:$O$1203,$O211,'ORDENES'!$R$4:$R$1203,$R211))</f>
        <v/>
      </c>
      <c r="AH211" s="14">
        <f>IF($AG211="","",p_factor_productividad*IFERROR(INDEX('ASIGNACIONES'!$M$4:$M$451,MATCH($O211&amp;"|"&amp;$R211&amp;"|"&amp;$AE211,'ASIGNACIONES'!$N$4:$N$451,0)),0)-$AG211)</f>
        <v/>
      </c>
      <c r="AI211" s="11">
        <f>IF($A211="","",IFERROR(INDEX('2_IMPORTAR_EJECUCION'!$F$9:$F$1208,MATCH($AQ211,'2_IMPORTAR_EJECUCION'!$J$9:$J$1208,0)),0))</f>
        <v/>
      </c>
      <c r="AJ211" s="11">
        <f>IF($A211="","",MAX(0,IFERROR(INDEX('2_IMPORTAR_EJECUCION'!$H$9:$H$1208,MATCH($AQ211,'2_IMPORTAR_EJECUCION'!$J$9:$J$1208,0)),0)-$AI211))</f>
        <v/>
      </c>
      <c r="AK211" s="11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IF($H212="","",IFERROR(INDEX('CAT_ACTIVIDADES'!$B$4:$B$8,MATCH($H212,'CAT_ACTIVIDADES'!$A$4:$A$8,0)),"(sin catálogo)"))</f>
        <v/>
      </c>
      <c r="AA212" s="13">
        <f>IF($J212="","",TODAY()-$J212)</f>
        <v/>
      </c>
      <c r="AB212" s="13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IF($AE212="","",IF((IFERROR(INDEX('ASIGNACIONES'!$J$4:$J$451,MATCH($O212&amp;"|"&amp;$R212&amp;"|"&amp;$AE212,'ASIGNACIONES'!$N$4:$N$451,0)),""))=0,"",IFERROR(INDEX('ASIGNACIONES'!$J$4:$J$451,MATCH($O212&amp;"|"&amp;$R212&amp;"|"&amp;$AE212,'ASIGNACIONES'!$N$4:$N$451,0)),"")))</f>
        <v/>
      </c>
      <c r="AG212" s="14">
        <f>IF($AE212="","",SUMIFS('ORDENES'!$M$4:$M$1203,'ORDENES'!$AE$4:$AE$1203,$AE212,'ORDENES'!$O$4:$O$1203,$O212,'ORDENES'!$R$4:$R$1203,$R212))</f>
        <v/>
      </c>
      <c r="AH212" s="14">
        <f>IF($AG212="","",p_factor_productividad*IFERROR(INDEX('ASIGNACIONES'!$M$4:$M$451,MATCH($O212&amp;"|"&amp;$R212&amp;"|"&amp;$AE212,'ASIGNACIONES'!$N$4:$N$451,0)),0)-$AG212)</f>
        <v/>
      </c>
      <c r="AI212" s="11">
        <f>IF($A212="","",IFERROR(INDEX('2_IMPORTAR_EJECUCION'!$F$9:$F$1208,MATCH($AQ212,'2_IMPORTAR_EJECUCION'!$J$9:$J$1208,0)),0))</f>
        <v/>
      </c>
      <c r="AJ212" s="11">
        <f>IF($A212="","",MAX(0,IFERROR(INDEX('2_IMPORTAR_EJECUCION'!$H$9:$H$1208,MATCH($AQ212,'2_IMPORTAR_EJECUCION'!$J$9:$J$1208,0)),0)-$AI212))</f>
        <v/>
      </c>
      <c r="AK212" s="11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IF($H213="","",IFERROR(INDEX('CAT_ACTIVIDADES'!$B$4:$B$8,MATCH($H213,'CAT_ACTIVIDADES'!$A$4:$A$8,0)),"(sin catálogo)"))</f>
        <v/>
      </c>
      <c r="AA213" s="13">
        <f>IF($J213="","",TODAY()-$J213)</f>
        <v/>
      </c>
      <c r="AB213" s="13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IF($AE213="","",IF((IFERROR(INDEX('ASIGNACIONES'!$J$4:$J$451,MATCH($O213&amp;"|"&amp;$R213&amp;"|"&amp;$AE213,'ASIGNACIONES'!$N$4:$N$451,0)),""))=0,"",IFERROR(INDEX('ASIGNACIONES'!$J$4:$J$451,MATCH($O213&amp;"|"&amp;$R213&amp;"|"&amp;$AE213,'ASIGNACIONES'!$N$4:$N$451,0)),"")))</f>
        <v/>
      </c>
      <c r="AG213" s="14">
        <f>IF($AE213="","",SUMIFS('ORDENES'!$M$4:$M$1203,'ORDENES'!$AE$4:$AE$1203,$AE213,'ORDENES'!$O$4:$O$1203,$O213,'ORDENES'!$R$4:$R$1203,$R213))</f>
        <v/>
      </c>
      <c r="AH213" s="14">
        <f>IF($AG213="","",p_factor_productividad*IFERROR(INDEX('ASIGNACIONES'!$M$4:$M$451,MATCH($O213&amp;"|"&amp;$R213&amp;"|"&amp;$AE213,'ASIGNACIONES'!$N$4:$N$451,0)),0)-$AG213)</f>
        <v/>
      </c>
      <c r="AI213" s="11">
        <f>IF($A213="","",IFERROR(INDEX('2_IMPORTAR_EJECUCION'!$F$9:$F$1208,MATCH($AQ213,'2_IMPORTAR_EJECUCION'!$J$9:$J$1208,0)),0))</f>
        <v/>
      </c>
      <c r="AJ213" s="11">
        <f>IF($A213="","",MAX(0,IFERROR(INDEX('2_IMPORTAR_EJECUCION'!$H$9:$H$1208,MATCH($AQ213,'2_IMPORTAR_EJECUCION'!$J$9:$J$1208,0)),0)-$AI213))</f>
        <v/>
      </c>
      <c r="AK213" s="11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IF($H214="","",IFERROR(INDEX('CAT_ACTIVIDADES'!$B$4:$B$8,MATCH($H214,'CAT_ACTIVIDADES'!$A$4:$A$8,0)),"(sin catálogo)"))</f>
        <v/>
      </c>
      <c r="AA214" s="13">
        <f>IF($J214="","",TODAY()-$J214)</f>
        <v/>
      </c>
      <c r="AB214" s="13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IF($AE214="","",IF((IFERROR(INDEX('ASIGNACIONES'!$J$4:$J$451,MATCH($O214&amp;"|"&amp;$R214&amp;"|"&amp;$AE214,'ASIGNACIONES'!$N$4:$N$451,0)),""))=0,"",IFERROR(INDEX('ASIGNACIONES'!$J$4:$J$451,MATCH($O214&amp;"|"&amp;$R214&amp;"|"&amp;$AE214,'ASIGNACIONES'!$N$4:$N$451,0)),"")))</f>
        <v/>
      </c>
      <c r="AG214" s="14">
        <f>IF($AE214="","",SUMIFS('ORDENES'!$M$4:$M$1203,'ORDENES'!$AE$4:$AE$1203,$AE214,'ORDENES'!$O$4:$O$1203,$O214,'ORDENES'!$R$4:$R$1203,$R214))</f>
        <v/>
      </c>
      <c r="AH214" s="14">
        <f>IF($AG214="","",p_factor_productividad*IFERROR(INDEX('ASIGNACIONES'!$M$4:$M$451,MATCH($O214&amp;"|"&amp;$R214&amp;"|"&amp;$AE214,'ASIGNACIONES'!$N$4:$N$451,0)),0)-$AG214)</f>
        <v/>
      </c>
      <c r="AI214" s="11">
        <f>IF($A214="","",IFERROR(INDEX('2_IMPORTAR_EJECUCION'!$F$9:$F$1208,MATCH($AQ214,'2_IMPORTAR_EJECUCION'!$J$9:$J$1208,0)),0))</f>
        <v/>
      </c>
      <c r="AJ214" s="11">
        <f>IF($A214="","",MAX(0,IFERROR(INDEX('2_IMPORTAR_EJECUCION'!$H$9:$H$1208,MATCH($AQ214,'2_IMPORTAR_EJECUCION'!$J$9:$J$1208,0)),0)-$AI214))</f>
        <v/>
      </c>
      <c r="AK214" s="11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IF($H215="","",IFERROR(INDEX('CAT_ACTIVIDADES'!$B$4:$B$8,MATCH($H215,'CAT_ACTIVIDADES'!$A$4:$A$8,0)),"(sin catálogo)"))</f>
        <v/>
      </c>
      <c r="AA215" s="13">
        <f>IF($J215="","",TODAY()-$J215)</f>
        <v/>
      </c>
      <c r="AB215" s="13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IF($AE215="","",IF((IFERROR(INDEX('ASIGNACIONES'!$J$4:$J$451,MATCH($O215&amp;"|"&amp;$R215&amp;"|"&amp;$AE215,'ASIGNACIONES'!$N$4:$N$451,0)),""))=0,"",IFERROR(INDEX('ASIGNACIONES'!$J$4:$J$451,MATCH($O215&amp;"|"&amp;$R215&amp;"|"&amp;$AE215,'ASIGNACIONES'!$N$4:$N$451,0)),"")))</f>
        <v/>
      </c>
      <c r="AG215" s="14">
        <f>IF($AE215="","",SUMIFS('ORDENES'!$M$4:$M$1203,'ORDENES'!$AE$4:$AE$1203,$AE215,'ORDENES'!$O$4:$O$1203,$O215,'ORDENES'!$R$4:$R$1203,$R215))</f>
        <v/>
      </c>
      <c r="AH215" s="14">
        <f>IF($AG215="","",p_factor_productividad*IFERROR(INDEX('ASIGNACIONES'!$M$4:$M$451,MATCH($O215&amp;"|"&amp;$R215&amp;"|"&amp;$AE215,'ASIGNACIONES'!$N$4:$N$451,0)),0)-$AG215)</f>
        <v/>
      </c>
      <c r="AI215" s="11">
        <f>IF($A215="","",IFERROR(INDEX('2_IMPORTAR_EJECUCION'!$F$9:$F$1208,MATCH($AQ215,'2_IMPORTAR_EJECUCION'!$J$9:$J$1208,0)),0))</f>
        <v/>
      </c>
      <c r="AJ215" s="11">
        <f>IF($A215="","",MAX(0,IFERROR(INDEX('2_IMPORTAR_EJECUCION'!$H$9:$H$1208,MATCH($AQ215,'2_IMPORTAR_EJECUCION'!$J$9:$J$1208,0)),0)-$AI215))</f>
        <v/>
      </c>
      <c r="AK215" s="11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IF($H216="","",IFERROR(INDEX('CAT_ACTIVIDADES'!$B$4:$B$8,MATCH($H216,'CAT_ACTIVIDADES'!$A$4:$A$8,0)),"(sin catálogo)"))</f>
        <v/>
      </c>
      <c r="AA216" s="13">
        <f>IF($J216="","",TODAY()-$J216)</f>
        <v/>
      </c>
      <c r="AB216" s="13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IF($AE216="","",IF((IFERROR(INDEX('ASIGNACIONES'!$J$4:$J$451,MATCH($O216&amp;"|"&amp;$R216&amp;"|"&amp;$AE216,'ASIGNACIONES'!$N$4:$N$451,0)),""))=0,"",IFERROR(INDEX('ASIGNACIONES'!$J$4:$J$451,MATCH($O216&amp;"|"&amp;$R216&amp;"|"&amp;$AE216,'ASIGNACIONES'!$N$4:$N$451,0)),"")))</f>
        <v/>
      </c>
      <c r="AG216" s="14">
        <f>IF($AE216="","",SUMIFS('ORDENES'!$M$4:$M$1203,'ORDENES'!$AE$4:$AE$1203,$AE216,'ORDENES'!$O$4:$O$1203,$O216,'ORDENES'!$R$4:$R$1203,$R216))</f>
        <v/>
      </c>
      <c r="AH216" s="14">
        <f>IF($AG216="","",p_factor_productividad*IFERROR(INDEX('ASIGNACIONES'!$M$4:$M$451,MATCH($O216&amp;"|"&amp;$R216&amp;"|"&amp;$AE216,'ASIGNACIONES'!$N$4:$N$451,0)),0)-$AG216)</f>
        <v/>
      </c>
      <c r="AI216" s="11">
        <f>IF($A216="","",IFERROR(INDEX('2_IMPORTAR_EJECUCION'!$F$9:$F$1208,MATCH($AQ216,'2_IMPORTAR_EJECUCION'!$J$9:$J$1208,0)),0))</f>
        <v/>
      </c>
      <c r="AJ216" s="11">
        <f>IF($A216="","",MAX(0,IFERROR(INDEX('2_IMPORTAR_EJECUCION'!$H$9:$H$1208,MATCH($AQ216,'2_IMPORTAR_EJECUCION'!$J$9:$J$1208,0)),0)-$AI216))</f>
        <v/>
      </c>
      <c r="AK216" s="11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IF($H217="","",IFERROR(INDEX('CAT_ACTIVIDADES'!$B$4:$B$8,MATCH($H217,'CAT_ACTIVIDADES'!$A$4:$A$8,0)),"(sin catálogo)"))</f>
        <v/>
      </c>
      <c r="AA217" s="13">
        <f>IF($J217="","",TODAY()-$J217)</f>
        <v/>
      </c>
      <c r="AB217" s="13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IF($AE217="","",IF((IFERROR(INDEX('ASIGNACIONES'!$J$4:$J$451,MATCH($O217&amp;"|"&amp;$R217&amp;"|"&amp;$AE217,'ASIGNACIONES'!$N$4:$N$451,0)),""))=0,"",IFERROR(INDEX('ASIGNACIONES'!$J$4:$J$451,MATCH($O217&amp;"|"&amp;$R217&amp;"|"&amp;$AE217,'ASIGNACIONES'!$N$4:$N$451,0)),"")))</f>
        <v/>
      </c>
      <c r="AG217" s="14">
        <f>IF($AE217="","",SUMIFS('ORDENES'!$M$4:$M$1203,'ORDENES'!$AE$4:$AE$1203,$AE217,'ORDENES'!$O$4:$O$1203,$O217,'ORDENES'!$R$4:$R$1203,$R217))</f>
        <v/>
      </c>
      <c r="AH217" s="14">
        <f>IF($AG217="","",p_factor_productividad*IFERROR(INDEX('ASIGNACIONES'!$M$4:$M$451,MATCH($O217&amp;"|"&amp;$R217&amp;"|"&amp;$AE217,'ASIGNACIONES'!$N$4:$N$451,0)),0)-$AG217)</f>
        <v/>
      </c>
      <c r="AI217" s="11">
        <f>IF($A217="","",IFERROR(INDEX('2_IMPORTAR_EJECUCION'!$F$9:$F$1208,MATCH($AQ217,'2_IMPORTAR_EJECUCION'!$J$9:$J$1208,0)),0))</f>
        <v/>
      </c>
      <c r="AJ217" s="11">
        <f>IF($A217="","",MAX(0,IFERROR(INDEX('2_IMPORTAR_EJECUCION'!$H$9:$H$1208,MATCH($AQ217,'2_IMPORTAR_EJECUCION'!$J$9:$J$1208,0)),0)-$AI217))</f>
        <v/>
      </c>
      <c r="AK217" s="11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IF($H218="","",IFERROR(INDEX('CAT_ACTIVIDADES'!$B$4:$B$8,MATCH($H218,'CAT_ACTIVIDADES'!$A$4:$A$8,0)),"(sin catálogo)"))</f>
        <v/>
      </c>
      <c r="AA218" s="13">
        <f>IF($J218="","",TODAY()-$J218)</f>
        <v/>
      </c>
      <c r="AB218" s="13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IF($AE218="","",IF((IFERROR(INDEX('ASIGNACIONES'!$J$4:$J$451,MATCH($O218&amp;"|"&amp;$R218&amp;"|"&amp;$AE218,'ASIGNACIONES'!$N$4:$N$451,0)),""))=0,"",IFERROR(INDEX('ASIGNACIONES'!$J$4:$J$451,MATCH($O218&amp;"|"&amp;$R218&amp;"|"&amp;$AE218,'ASIGNACIONES'!$N$4:$N$451,0)),"")))</f>
        <v/>
      </c>
      <c r="AG218" s="14">
        <f>IF($AE218="","",SUMIFS('ORDENES'!$M$4:$M$1203,'ORDENES'!$AE$4:$AE$1203,$AE218,'ORDENES'!$O$4:$O$1203,$O218,'ORDENES'!$R$4:$R$1203,$R218))</f>
        <v/>
      </c>
      <c r="AH218" s="14">
        <f>IF($AG218="","",p_factor_productividad*IFERROR(INDEX('ASIGNACIONES'!$M$4:$M$451,MATCH($O218&amp;"|"&amp;$R218&amp;"|"&amp;$AE218,'ASIGNACIONES'!$N$4:$N$451,0)),0)-$AG218)</f>
        <v/>
      </c>
      <c r="AI218" s="11">
        <f>IF($A218="","",IFERROR(INDEX('2_IMPORTAR_EJECUCION'!$F$9:$F$1208,MATCH($AQ218,'2_IMPORTAR_EJECUCION'!$J$9:$J$1208,0)),0))</f>
        <v/>
      </c>
      <c r="AJ218" s="11">
        <f>IF($A218="","",MAX(0,IFERROR(INDEX('2_IMPORTAR_EJECUCION'!$H$9:$H$1208,MATCH($AQ218,'2_IMPORTAR_EJECUCION'!$J$9:$J$1208,0)),0)-$AI218))</f>
        <v/>
      </c>
      <c r="AK218" s="11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IF($H219="","",IFERROR(INDEX('CAT_ACTIVIDADES'!$B$4:$B$8,MATCH($H219,'CAT_ACTIVIDADES'!$A$4:$A$8,0)),"(sin catálogo)"))</f>
        <v/>
      </c>
      <c r="AA219" s="13">
        <f>IF($J219="","",TODAY()-$J219)</f>
        <v/>
      </c>
      <c r="AB219" s="13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IF($AE219="","",IF((IFERROR(INDEX('ASIGNACIONES'!$J$4:$J$451,MATCH($O219&amp;"|"&amp;$R219&amp;"|"&amp;$AE219,'ASIGNACIONES'!$N$4:$N$451,0)),""))=0,"",IFERROR(INDEX('ASIGNACIONES'!$J$4:$J$451,MATCH($O219&amp;"|"&amp;$R219&amp;"|"&amp;$AE219,'ASIGNACIONES'!$N$4:$N$451,0)),"")))</f>
        <v/>
      </c>
      <c r="AG219" s="14">
        <f>IF($AE219="","",SUMIFS('ORDENES'!$M$4:$M$1203,'ORDENES'!$AE$4:$AE$1203,$AE219,'ORDENES'!$O$4:$O$1203,$O219,'ORDENES'!$R$4:$R$1203,$R219))</f>
        <v/>
      </c>
      <c r="AH219" s="14">
        <f>IF($AG219="","",p_factor_productividad*IFERROR(INDEX('ASIGNACIONES'!$M$4:$M$451,MATCH($O219&amp;"|"&amp;$R219&amp;"|"&amp;$AE219,'ASIGNACIONES'!$N$4:$N$451,0)),0)-$AG219)</f>
        <v/>
      </c>
      <c r="AI219" s="11">
        <f>IF($A219="","",IFERROR(INDEX('2_IMPORTAR_EJECUCION'!$F$9:$F$1208,MATCH($AQ219,'2_IMPORTAR_EJECUCION'!$J$9:$J$1208,0)),0))</f>
        <v/>
      </c>
      <c r="AJ219" s="11">
        <f>IF($A219="","",MAX(0,IFERROR(INDEX('2_IMPORTAR_EJECUCION'!$H$9:$H$1208,MATCH($AQ219,'2_IMPORTAR_EJECUCION'!$J$9:$J$1208,0)),0)-$AI219))</f>
        <v/>
      </c>
      <c r="AK219" s="11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IF($H220="","",IFERROR(INDEX('CAT_ACTIVIDADES'!$B$4:$B$8,MATCH($H220,'CAT_ACTIVIDADES'!$A$4:$A$8,0)),"(sin catálogo)"))</f>
        <v/>
      </c>
      <c r="AA220" s="13">
        <f>IF($J220="","",TODAY()-$J220)</f>
        <v/>
      </c>
      <c r="AB220" s="13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IF($AE220="","",IF((IFERROR(INDEX('ASIGNACIONES'!$J$4:$J$451,MATCH($O220&amp;"|"&amp;$R220&amp;"|"&amp;$AE220,'ASIGNACIONES'!$N$4:$N$451,0)),""))=0,"",IFERROR(INDEX('ASIGNACIONES'!$J$4:$J$451,MATCH($O220&amp;"|"&amp;$R220&amp;"|"&amp;$AE220,'ASIGNACIONES'!$N$4:$N$451,0)),"")))</f>
        <v/>
      </c>
      <c r="AG220" s="14">
        <f>IF($AE220="","",SUMIFS('ORDENES'!$M$4:$M$1203,'ORDENES'!$AE$4:$AE$1203,$AE220,'ORDENES'!$O$4:$O$1203,$O220,'ORDENES'!$R$4:$R$1203,$R220))</f>
        <v/>
      </c>
      <c r="AH220" s="14">
        <f>IF($AG220="","",p_factor_productividad*IFERROR(INDEX('ASIGNACIONES'!$M$4:$M$451,MATCH($O220&amp;"|"&amp;$R220&amp;"|"&amp;$AE220,'ASIGNACIONES'!$N$4:$N$451,0)),0)-$AG220)</f>
        <v/>
      </c>
      <c r="AI220" s="11">
        <f>IF($A220="","",IFERROR(INDEX('2_IMPORTAR_EJECUCION'!$F$9:$F$1208,MATCH($AQ220,'2_IMPORTAR_EJECUCION'!$J$9:$J$1208,0)),0))</f>
        <v/>
      </c>
      <c r="AJ220" s="11">
        <f>IF($A220="","",MAX(0,IFERROR(INDEX('2_IMPORTAR_EJECUCION'!$H$9:$H$1208,MATCH($AQ220,'2_IMPORTAR_EJECUCION'!$J$9:$J$1208,0)),0)-$AI220))</f>
        <v/>
      </c>
      <c r="AK220" s="11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IF($H221="","",IFERROR(INDEX('CAT_ACTIVIDADES'!$B$4:$B$8,MATCH($H221,'CAT_ACTIVIDADES'!$A$4:$A$8,0)),"(sin catálogo)"))</f>
        <v/>
      </c>
      <c r="AA221" s="13">
        <f>IF($J221="","",TODAY()-$J221)</f>
        <v/>
      </c>
      <c r="AB221" s="13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IF($AE221="","",IF((IFERROR(INDEX('ASIGNACIONES'!$J$4:$J$451,MATCH($O221&amp;"|"&amp;$R221&amp;"|"&amp;$AE221,'ASIGNACIONES'!$N$4:$N$451,0)),""))=0,"",IFERROR(INDEX('ASIGNACIONES'!$J$4:$J$451,MATCH($O221&amp;"|"&amp;$R221&amp;"|"&amp;$AE221,'ASIGNACIONES'!$N$4:$N$451,0)),"")))</f>
        <v/>
      </c>
      <c r="AG221" s="14">
        <f>IF($AE221="","",SUMIFS('ORDENES'!$M$4:$M$1203,'ORDENES'!$AE$4:$AE$1203,$AE221,'ORDENES'!$O$4:$O$1203,$O221,'ORDENES'!$R$4:$R$1203,$R221))</f>
        <v/>
      </c>
      <c r="AH221" s="14">
        <f>IF($AG221="","",p_factor_productividad*IFERROR(INDEX('ASIGNACIONES'!$M$4:$M$451,MATCH($O221&amp;"|"&amp;$R221&amp;"|"&amp;$AE221,'ASIGNACIONES'!$N$4:$N$451,0)),0)-$AG221)</f>
        <v/>
      </c>
      <c r="AI221" s="11">
        <f>IF($A221="","",IFERROR(INDEX('2_IMPORTAR_EJECUCION'!$F$9:$F$1208,MATCH($AQ221,'2_IMPORTAR_EJECUCION'!$J$9:$J$1208,0)),0))</f>
        <v/>
      </c>
      <c r="AJ221" s="11">
        <f>IF($A221="","",MAX(0,IFERROR(INDEX('2_IMPORTAR_EJECUCION'!$H$9:$H$1208,MATCH($AQ221,'2_IMPORTAR_EJECUCION'!$J$9:$J$1208,0)),0)-$AI221))</f>
        <v/>
      </c>
      <c r="AK221" s="11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IF($H222="","",IFERROR(INDEX('CAT_ACTIVIDADES'!$B$4:$B$8,MATCH($H222,'CAT_ACTIVIDADES'!$A$4:$A$8,0)),"(sin catálogo)"))</f>
        <v/>
      </c>
      <c r="AA222" s="13">
        <f>IF($J222="","",TODAY()-$J222)</f>
        <v/>
      </c>
      <c r="AB222" s="13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IF($AE222="","",IF((IFERROR(INDEX('ASIGNACIONES'!$J$4:$J$451,MATCH($O222&amp;"|"&amp;$R222&amp;"|"&amp;$AE222,'ASIGNACIONES'!$N$4:$N$451,0)),""))=0,"",IFERROR(INDEX('ASIGNACIONES'!$J$4:$J$451,MATCH($O222&amp;"|"&amp;$R222&amp;"|"&amp;$AE222,'ASIGNACIONES'!$N$4:$N$451,0)),"")))</f>
        <v/>
      </c>
      <c r="AG222" s="14">
        <f>IF($AE222="","",SUMIFS('ORDENES'!$M$4:$M$1203,'ORDENES'!$AE$4:$AE$1203,$AE222,'ORDENES'!$O$4:$O$1203,$O222,'ORDENES'!$R$4:$R$1203,$R222))</f>
        <v/>
      </c>
      <c r="AH222" s="14">
        <f>IF($AG222="","",p_factor_productividad*IFERROR(INDEX('ASIGNACIONES'!$M$4:$M$451,MATCH($O222&amp;"|"&amp;$R222&amp;"|"&amp;$AE222,'ASIGNACIONES'!$N$4:$N$451,0)),0)-$AG222)</f>
        <v/>
      </c>
      <c r="AI222" s="11">
        <f>IF($A222="","",IFERROR(INDEX('2_IMPORTAR_EJECUCION'!$F$9:$F$1208,MATCH($AQ222,'2_IMPORTAR_EJECUCION'!$J$9:$J$1208,0)),0))</f>
        <v/>
      </c>
      <c r="AJ222" s="11">
        <f>IF($A222="","",MAX(0,IFERROR(INDEX('2_IMPORTAR_EJECUCION'!$H$9:$H$1208,MATCH($AQ222,'2_IMPORTAR_EJECUCION'!$J$9:$J$1208,0)),0)-$AI222))</f>
        <v/>
      </c>
      <c r="AK222" s="11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IF($H223="","",IFERROR(INDEX('CAT_ACTIVIDADES'!$B$4:$B$8,MATCH($H223,'CAT_ACTIVIDADES'!$A$4:$A$8,0)),"(sin catálogo)"))</f>
        <v/>
      </c>
      <c r="AA223" s="13">
        <f>IF($J223="","",TODAY()-$J223)</f>
        <v/>
      </c>
      <c r="AB223" s="13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IF($AE223="","",IF((IFERROR(INDEX('ASIGNACIONES'!$J$4:$J$451,MATCH($O223&amp;"|"&amp;$R223&amp;"|"&amp;$AE223,'ASIGNACIONES'!$N$4:$N$451,0)),""))=0,"",IFERROR(INDEX('ASIGNACIONES'!$J$4:$J$451,MATCH($O223&amp;"|"&amp;$R223&amp;"|"&amp;$AE223,'ASIGNACIONES'!$N$4:$N$451,0)),"")))</f>
        <v/>
      </c>
      <c r="AG223" s="14">
        <f>IF($AE223="","",SUMIFS('ORDENES'!$M$4:$M$1203,'ORDENES'!$AE$4:$AE$1203,$AE223,'ORDENES'!$O$4:$O$1203,$O223,'ORDENES'!$R$4:$R$1203,$R223))</f>
        <v/>
      </c>
      <c r="AH223" s="14">
        <f>IF($AG223="","",p_factor_productividad*IFERROR(INDEX('ASIGNACIONES'!$M$4:$M$451,MATCH($O223&amp;"|"&amp;$R223&amp;"|"&amp;$AE223,'ASIGNACIONES'!$N$4:$N$451,0)),0)-$AG223)</f>
        <v/>
      </c>
      <c r="AI223" s="11">
        <f>IF($A223="","",IFERROR(INDEX('2_IMPORTAR_EJECUCION'!$F$9:$F$1208,MATCH($AQ223,'2_IMPORTAR_EJECUCION'!$J$9:$J$1208,0)),0))</f>
        <v/>
      </c>
      <c r="AJ223" s="11">
        <f>IF($A223="","",MAX(0,IFERROR(INDEX('2_IMPORTAR_EJECUCION'!$H$9:$H$1208,MATCH($AQ223,'2_IMPORTAR_EJECUCION'!$J$9:$J$1208,0)),0)-$AI223))</f>
        <v/>
      </c>
      <c r="AK223" s="11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IF($H224="","",IFERROR(INDEX('CAT_ACTIVIDADES'!$B$4:$B$8,MATCH($H224,'CAT_ACTIVIDADES'!$A$4:$A$8,0)),"(sin catálogo)"))</f>
        <v/>
      </c>
      <c r="AA224" s="13">
        <f>IF($J224="","",TODAY()-$J224)</f>
        <v/>
      </c>
      <c r="AB224" s="13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IF($AE224="","",IF((IFERROR(INDEX('ASIGNACIONES'!$J$4:$J$451,MATCH($O224&amp;"|"&amp;$R224&amp;"|"&amp;$AE224,'ASIGNACIONES'!$N$4:$N$451,0)),""))=0,"",IFERROR(INDEX('ASIGNACIONES'!$J$4:$J$451,MATCH($O224&amp;"|"&amp;$R224&amp;"|"&amp;$AE224,'ASIGNACIONES'!$N$4:$N$451,0)),"")))</f>
        <v/>
      </c>
      <c r="AG224" s="14">
        <f>IF($AE224="","",SUMIFS('ORDENES'!$M$4:$M$1203,'ORDENES'!$AE$4:$AE$1203,$AE224,'ORDENES'!$O$4:$O$1203,$O224,'ORDENES'!$R$4:$R$1203,$R224))</f>
        <v/>
      </c>
      <c r="AH224" s="14">
        <f>IF($AG224="","",p_factor_productividad*IFERROR(INDEX('ASIGNACIONES'!$M$4:$M$451,MATCH($O224&amp;"|"&amp;$R224&amp;"|"&amp;$AE224,'ASIGNACIONES'!$N$4:$N$451,0)),0)-$AG224)</f>
        <v/>
      </c>
      <c r="AI224" s="11">
        <f>IF($A224="","",IFERROR(INDEX('2_IMPORTAR_EJECUCION'!$F$9:$F$1208,MATCH($AQ224,'2_IMPORTAR_EJECUCION'!$J$9:$J$1208,0)),0))</f>
        <v/>
      </c>
      <c r="AJ224" s="11">
        <f>IF($A224="","",MAX(0,IFERROR(INDEX('2_IMPORTAR_EJECUCION'!$H$9:$H$1208,MATCH($AQ224,'2_IMPORTAR_EJECUCION'!$J$9:$J$1208,0)),0)-$AI224))</f>
        <v/>
      </c>
      <c r="AK224" s="11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IF($H225="","",IFERROR(INDEX('CAT_ACTIVIDADES'!$B$4:$B$8,MATCH($H225,'CAT_ACTIVIDADES'!$A$4:$A$8,0)),"(sin catálogo)"))</f>
        <v/>
      </c>
      <c r="AA225" s="13">
        <f>IF($J225="","",TODAY()-$J225)</f>
        <v/>
      </c>
      <c r="AB225" s="13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IF($AE225="","",IF((IFERROR(INDEX('ASIGNACIONES'!$J$4:$J$451,MATCH($O225&amp;"|"&amp;$R225&amp;"|"&amp;$AE225,'ASIGNACIONES'!$N$4:$N$451,0)),""))=0,"",IFERROR(INDEX('ASIGNACIONES'!$J$4:$J$451,MATCH($O225&amp;"|"&amp;$R225&amp;"|"&amp;$AE225,'ASIGNACIONES'!$N$4:$N$451,0)),"")))</f>
        <v/>
      </c>
      <c r="AG225" s="14">
        <f>IF($AE225="","",SUMIFS('ORDENES'!$M$4:$M$1203,'ORDENES'!$AE$4:$AE$1203,$AE225,'ORDENES'!$O$4:$O$1203,$O225,'ORDENES'!$R$4:$R$1203,$R225))</f>
        <v/>
      </c>
      <c r="AH225" s="14">
        <f>IF($AG225="","",p_factor_productividad*IFERROR(INDEX('ASIGNACIONES'!$M$4:$M$451,MATCH($O225&amp;"|"&amp;$R225&amp;"|"&amp;$AE225,'ASIGNACIONES'!$N$4:$N$451,0)),0)-$AG225)</f>
        <v/>
      </c>
      <c r="AI225" s="11">
        <f>IF($A225="","",IFERROR(INDEX('2_IMPORTAR_EJECUCION'!$F$9:$F$1208,MATCH($AQ225,'2_IMPORTAR_EJECUCION'!$J$9:$J$1208,0)),0))</f>
        <v/>
      </c>
      <c r="AJ225" s="11">
        <f>IF($A225="","",MAX(0,IFERROR(INDEX('2_IMPORTAR_EJECUCION'!$H$9:$H$1208,MATCH($AQ225,'2_IMPORTAR_EJECUCION'!$J$9:$J$1208,0)),0)-$AI225))</f>
        <v/>
      </c>
      <c r="AK225" s="11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IF($H226="","",IFERROR(INDEX('CAT_ACTIVIDADES'!$B$4:$B$8,MATCH($H226,'CAT_ACTIVIDADES'!$A$4:$A$8,0)),"(sin catálogo)"))</f>
        <v/>
      </c>
      <c r="AA226" s="13">
        <f>IF($J226="","",TODAY()-$J226)</f>
        <v/>
      </c>
      <c r="AB226" s="13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IF($AE226="","",IF((IFERROR(INDEX('ASIGNACIONES'!$J$4:$J$451,MATCH($O226&amp;"|"&amp;$R226&amp;"|"&amp;$AE226,'ASIGNACIONES'!$N$4:$N$451,0)),""))=0,"",IFERROR(INDEX('ASIGNACIONES'!$J$4:$J$451,MATCH($O226&amp;"|"&amp;$R226&amp;"|"&amp;$AE226,'ASIGNACIONES'!$N$4:$N$451,0)),"")))</f>
        <v/>
      </c>
      <c r="AG226" s="14">
        <f>IF($AE226="","",SUMIFS('ORDENES'!$M$4:$M$1203,'ORDENES'!$AE$4:$AE$1203,$AE226,'ORDENES'!$O$4:$O$1203,$O226,'ORDENES'!$R$4:$R$1203,$R226))</f>
        <v/>
      </c>
      <c r="AH226" s="14">
        <f>IF($AG226="","",p_factor_productividad*IFERROR(INDEX('ASIGNACIONES'!$M$4:$M$451,MATCH($O226&amp;"|"&amp;$R226&amp;"|"&amp;$AE226,'ASIGNACIONES'!$N$4:$N$451,0)),0)-$AG226)</f>
        <v/>
      </c>
      <c r="AI226" s="11">
        <f>IF($A226="","",IFERROR(INDEX('2_IMPORTAR_EJECUCION'!$F$9:$F$1208,MATCH($AQ226,'2_IMPORTAR_EJECUCION'!$J$9:$J$1208,0)),0))</f>
        <v/>
      </c>
      <c r="AJ226" s="11">
        <f>IF($A226="","",MAX(0,IFERROR(INDEX('2_IMPORTAR_EJECUCION'!$H$9:$H$1208,MATCH($AQ226,'2_IMPORTAR_EJECUCION'!$J$9:$J$1208,0)),0)-$AI226))</f>
        <v/>
      </c>
      <c r="AK226" s="11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IF($H227="","",IFERROR(INDEX('CAT_ACTIVIDADES'!$B$4:$B$8,MATCH($H227,'CAT_ACTIVIDADES'!$A$4:$A$8,0)),"(sin catálogo)"))</f>
        <v/>
      </c>
      <c r="AA227" s="13">
        <f>IF($J227="","",TODAY()-$J227)</f>
        <v/>
      </c>
      <c r="AB227" s="13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IF($AE227="","",IF((IFERROR(INDEX('ASIGNACIONES'!$J$4:$J$451,MATCH($O227&amp;"|"&amp;$R227&amp;"|"&amp;$AE227,'ASIGNACIONES'!$N$4:$N$451,0)),""))=0,"",IFERROR(INDEX('ASIGNACIONES'!$J$4:$J$451,MATCH($O227&amp;"|"&amp;$R227&amp;"|"&amp;$AE227,'ASIGNACIONES'!$N$4:$N$451,0)),"")))</f>
        <v/>
      </c>
      <c r="AG227" s="14">
        <f>IF($AE227="","",SUMIFS('ORDENES'!$M$4:$M$1203,'ORDENES'!$AE$4:$AE$1203,$AE227,'ORDENES'!$O$4:$O$1203,$O227,'ORDENES'!$R$4:$R$1203,$R227))</f>
        <v/>
      </c>
      <c r="AH227" s="14">
        <f>IF($AG227="","",p_factor_productividad*IFERROR(INDEX('ASIGNACIONES'!$M$4:$M$451,MATCH($O227&amp;"|"&amp;$R227&amp;"|"&amp;$AE227,'ASIGNACIONES'!$N$4:$N$451,0)),0)-$AG227)</f>
        <v/>
      </c>
      <c r="AI227" s="11">
        <f>IF($A227="","",IFERROR(INDEX('2_IMPORTAR_EJECUCION'!$F$9:$F$1208,MATCH($AQ227,'2_IMPORTAR_EJECUCION'!$J$9:$J$1208,0)),0))</f>
        <v/>
      </c>
      <c r="AJ227" s="11">
        <f>IF($A227="","",MAX(0,IFERROR(INDEX('2_IMPORTAR_EJECUCION'!$H$9:$H$1208,MATCH($AQ227,'2_IMPORTAR_EJECUCION'!$J$9:$J$1208,0)),0)-$AI227))</f>
        <v/>
      </c>
      <c r="AK227" s="11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IF($H228="","",IFERROR(INDEX('CAT_ACTIVIDADES'!$B$4:$B$8,MATCH($H228,'CAT_ACTIVIDADES'!$A$4:$A$8,0)),"(sin catálogo)"))</f>
        <v/>
      </c>
      <c r="AA228" s="13">
        <f>IF($J228="","",TODAY()-$J228)</f>
        <v/>
      </c>
      <c r="AB228" s="13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IF($AE228="","",IF((IFERROR(INDEX('ASIGNACIONES'!$J$4:$J$451,MATCH($O228&amp;"|"&amp;$R228&amp;"|"&amp;$AE228,'ASIGNACIONES'!$N$4:$N$451,0)),""))=0,"",IFERROR(INDEX('ASIGNACIONES'!$J$4:$J$451,MATCH($O228&amp;"|"&amp;$R228&amp;"|"&amp;$AE228,'ASIGNACIONES'!$N$4:$N$451,0)),"")))</f>
        <v/>
      </c>
      <c r="AG228" s="14">
        <f>IF($AE228="","",SUMIFS('ORDENES'!$M$4:$M$1203,'ORDENES'!$AE$4:$AE$1203,$AE228,'ORDENES'!$O$4:$O$1203,$O228,'ORDENES'!$R$4:$R$1203,$R228))</f>
        <v/>
      </c>
      <c r="AH228" s="14">
        <f>IF($AG228="","",p_factor_productividad*IFERROR(INDEX('ASIGNACIONES'!$M$4:$M$451,MATCH($O228&amp;"|"&amp;$R228&amp;"|"&amp;$AE228,'ASIGNACIONES'!$N$4:$N$451,0)),0)-$AG228)</f>
        <v/>
      </c>
      <c r="AI228" s="11">
        <f>IF($A228="","",IFERROR(INDEX('2_IMPORTAR_EJECUCION'!$F$9:$F$1208,MATCH($AQ228,'2_IMPORTAR_EJECUCION'!$J$9:$J$1208,0)),0))</f>
        <v/>
      </c>
      <c r="AJ228" s="11">
        <f>IF($A228="","",MAX(0,IFERROR(INDEX('2_IMPORTAR_EJECUCION'!$H$9:$H$1208,MATCH($AQ228,'2_IMPORTAR_EJECUCION'!$J$9:$J$1208,0)),0)-$AI228))</f>
        <v/>
      </c>
      <c r="AK228" s="11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IF($H229="","",IFERROR(INDEX('CAT_ACTIVIDADES'!$B$4:$B$8,MATCH($H229,'CAT_ACTIVIDADES'!$A$4:$A$8,0)),"(sin catálogo)"))</f>
        <v/>
      </c>
      <c r="AA229" s="13">
        <f>IF($J229="","",TODAY()-$J229)</f>
        <v/>
      </c>
      <c r="AB229" s="13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IF($AE229="","",IF((IFERROR(INDEX('ASIGNACIONES'!$J$4:$J$451,MATCH($O229&amp;"|"&amp;$R229&amp;"|"&amp;$AE229,'ASIGNACIONES'!$N$4:$N$451,0)),""))=0,"",IFERROR(INDEX('ASIGNACIONES'!$J$4:$J$451,MATCH($O229&amp;"|"&amp;$R229&amp;"|"&amp;$AE229,'ASIGNACIONES'!$N$4:$N$451,0)),"")))</f>
        <v/>
      </c>
      <c r="AG229" s="14">
        <f>IF($AE229="","",SUMIFS('ORDENES'!$M$4:$M$1203,'ORDENES'!$AE$4:$AE$1203,$AE229,'ORDENES'!$O$4:$O$1203,$O229,'ORDENES'!$R$4:$R$1203,$R229))</f>
        <v/>
      </c>
      <c r="AH229" s="14">
        <f>IF($AG229="","",p_factor_productividad*IFERROR(INDEX('ASIGNACIONES'!$M$4:$M$451,MATCH($O229&amp;"|"&amp;$R229&amp;"|"&amp;$AE229,'ASIGNACIONES'!$N$4:$N$451,0)),0)-$AG229)</f>
        <v/>
      </c>
      <c r="AI229" s="11">
        <f>IF($A229="","",IFERROR(INDEX('2_IMPORTAR_EJECUCION'!$F$9:$F$1208,MATCH($AQ229,'2_IMPORTAR_EJECUCION'!$J$9:$J$1208,0)),0))</f>
        <v/>
      </c>
      <c r="AJ229" s="11">
        <f>IF($A229="","",MAX(0,IFERROR(INDEX('2_IMPORTAR_EJECUCION'!$H$9:$H$1208,MATCH($AQ229,'2_IMPORTAR_EJECUCION'!$J$9:$J$1208,0)),0)-$AI229))</f>
        <v/>
      </c>
      <c r="AK229" s="11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IF($H230="","",IFERROR(INDEX('CAT_ACTIVIDADES'!$B$4:$B$8,MATCH($H230,'CAT_ACTIVIDADES'!$A$4:$A$8,0)),"(sin catálogo)"))</f>
        <v/>
      </c>
      <c r="AA230" s="13">
        <f>IF($J230="","",TODAY()-$J230)</f>
        <v/>
      </c>
      <c r="AB230" s="13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IF($AE230="","",IF((IFERROR(INDEX('ASIGNACIONES'!$J$4:$J$451,MATCH($O230&amp;"|"&amp;$R230&amp;"|"&amp;$AE230,'ASIGNACIONES'!$N$4:$N$451,0)),""))=0,"",IFERROR(INDEX('ASIGNACIONES'!$J$4:$J$451,MATCH($O230&amp;"|"&amp;$R230&amp;"|"&amp;$AE230,'ASIGNACIONES'!$N$4:$N$451,0)),"")))</f>
        <v/>
      </c>
      <c r="AG230" s="14">
        <f>IF($AE230="","",SUMIFS('ORDENES'!$M$4:$M$1203,'ORDENES'!$AE$4:$AE$1203,$AE230,'ORDENES'!$O$4:$O$1203,$O230,'ORDENES'!$R$4:$R$1203,$R230))</f>
        <v/>
      </c>
      <c r="AH230" s="14">
        <f>IF($AG230="","",p_factor_productividad*IFERROR(INDEX('ASIGNACIONES'!$M$4:$M$451,MATCH($O230&amp;"|"&amp;$R230&amp;"|"&amp;$AE230,'ASIGNACIONES'!$N$4:$N$451,0)),0)-$AG230)</f>
        <v/>
      </c>
      <c r="AI230" s="11">
        <f>IF($A230="","",IFERROR(INDEX('2_IMPORTAR_EJECUCION'!$F$9:$F$1208,MATCH($AQ230,'2_IMPORTAR_EJECUCION'!$J$9:$J$1208,0)),0))</f>
        <v/>
      </c>
      <c r="AJ230" s="11">
        <f>IF($A230="","",MAX(0,IFERROR(INDEX('2_IMPORTAR_EJECUCION'!$H$9:$H$1208,MATCH($AQ230,'2_IMPORTAR_EJECUCION'!$J$9:$J$1208,0)),0)-$AI230))</f>
        <v/>
      </c>
      <c r="AK230" s="11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IF($H231="","",IFERROR(INDEX('CAT_ACTIVIDADES'!$B$4:$B$8,MATCH($H231,'CAT_ACTIVIDADES'!$A$4:$A$8,0)),"(sin catálogo)"))</f>
        <v/>
      </c>
      <c r="AA231" s="13">
        <f>IF($J231="","",TODAY()-$J231)</f>
        <v/>
      </c>
      <c r="AB231" s="13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IF($AE231="","",IF((IFERROR(INDEX('ASIGNACIONES'!$J$4:$J$451,MATCH($O231&amp;"|"&amp;$R231&amp;"|"&amp;$AE231,'ASIGNACIONES'!$N$4:$N$451,0)),""))=0,"",IFERROR(INDEX('ASIGNACIONES'!$J$4:$J$451,MATCH($O231&amp;"|"&amp;$R231&amp;"|"&amp;$AE231,'ASIGNACIONES'!$N$4:$N$451,0)),"")))</f>
        <v/>
      </c>
      <c r="AG231" s="14">
        <f>IF($AE231="","",SUMIFS('ORDENES'!$M$4:$M$1203,'ORDENES'!$AE$4:$AE$1203,$AE231,'ORDENES'!$O$4:$O$1203,$O231,'ORDENES'!$R$4:$R$1203,$R231))</f>
        <v/>
      </c>
      <c r="AH231" s="14">
        <f>IF($AG231="","",p_factor_productividad*IFERROR(INDEX('ASIGNACIONES'!$M$4:$M$451,MATCH($O231&amp;"|"&amp;$R231&amp;"|"&amp;$AE231,'ASIGNACIONES'!$N$4:$N$451,0)),0)-$AG231)</f>
        <v/>
      </c>
      <c r="AI231" s="11">
        <f>IF($A231="","",IFERROR(INDEX('2_IMPORTAR_EJECUCION'!$F$9:$F$1208,MATCH($AQ231,'2_IMPORTAR_EJECUCION'!$J$9:$J$1208,0)),0))</f>
        <v/>
      </c>
      <c r="AJ231" s="11">
        <f>IF($A231="","",MAX(0,IFERROR(INDEX('2_IMPORTAR_EJECUCION'!$H$9:$H$1208,MATCH($AQ231,'2_IMPORTAR_EJECUCION'!$J$9:$J$1208,0)),0)-$AI231))</f>
        <v/>
      </c>
      <c r="AK231" s="11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IF($H232="","",IFERROR(INDEX('CAT_ACTIVIDADES'!$B$4:$B$8,MATCH($H232,'CAT_ACTIVIDADES'!$A$4:$A$8,0)),"(sin catálogo)"))</f>
        <v/>
      </c>
      <c r="AA232" s="13">
        <f>IF($J232="","",TODAY()-$J232)</f>
        <v/>
      </c>
      <c r="AB232" s="13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IF($AE232="","",IF((IFERROR(INDEX('ASIGNACIONES'!$J$4:$J$451,MATCH($O232&amp;"|"&amp;$R232&amp;"|"&amp;$AE232,'ASIGNACIONES'!$N$4:$N$451,0)),""))=0,"",IFERROR(INDEX('ASIGNACIONES'!$J$4:$J$451,MATCH($O232&amp;"|"&amp;$R232&amp;"|"&amp;$AE232,'ASIGNACIONES'!$N$4:$N$451,0)),"")))</f>
        <v/>
      </c>
      <c r="AG232" s="14">
        <f>IF($AE232="","",SUMIFS('ORDENES'!$M$4:$M$1203,'ORDENES'!$AE$4:$AE$1203,$AE232,'ORDENES'!$O$4:$O$1203,$O232,'ORDENES'!$R$4:$R$1203,$R232))</f>
        <v/>
      </c>
      <c r="AH232" s="14">
        <f>IF($AG232="","",p_factor_productividad*IFERROR(INDEX('ASIGNACIONES'!$M$4:$M$451,MATCH($O232&amp;"|"&amp;$R232&amp;"|"&amp;$AE232,'ASIGNACIONES'!$N$4:$N$451,0)),0)-$AG232)</f>
        <v/>
      </c>
      <c r="AI232" s="11">
        <f>IF($A232="","",IFERROR(INDEX('2_IMPORTAR_EJECUCION'!$F$9:$F$1208,MATCH($AQ232,'2_IMPORTAR_EJECUCION'!$J$9:$J$1208,0)),0))</f>
        <v/>
      </c>
      <c r="AJ232" s="11">
        <f>IF($A232="","",MAX(0,IFERROR(INDEX('2_IMPORTAR_EJECUCION'!$H$9:$H$1208,MATCH($AQ232,'2_IMPORTAR_EJECUCION'!$J$9:$J$1208,0)),0)-$AI232))</f>
        <v/>
      </c>
      <c r="AK232" s="11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IF($H233="","",IFERROR(INDEX('CAT_ACTIVIDADES'!$B$4:$B$8,MATCH($H233,'CAT_ACTIVIDADES'!$A$4:$A$8,0)),"(sin catálogo)"))</f>
        <v/>
      </c>
      <c r="AA233" s="13">
        <f>IF($J233="","",TODAY()-$J233)</f>
        <v/>
      </c>
      <c r="AB233" s="13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IF($AE233="","",IF((IFERROR(INDEX('ASIGNACIONES'!$J$4:$J$451,MATCH($O233&amp;"|"&amp;$R233&amp;"|"&amp;$AE233,'ASIGNACIONES'!$N$4:$N$451,0)),""))=0,"",IFERROR(INDEX('ASIGNACIONES'!$J$4:$J$451,MATCH($O233&amp;"|"&amp;$R233&amp;"|"&amp;$AE233,'ASIGNACIONES'!$N$4:$N$451,0)),"")))</f>
        <v/>
      </c>
      <c r="AG233" s="14">
        <f>IF($AE233="","",SUMIFS('ORDENES'!$M$4:$M$1203,'ORDENES'!$AE$4:$AE$1203,$AE233,'ORDENES'!$O$4:$O$1203,$O233,'ORDENES'!$R$4:$R$1203,$R233))</f>
        <v/>
      </c>
      <c r="AH233" s="14">
        <f>IF($AG233="","",p_factor_productividad*IFERROR(INDEX('ASIGNACIONES'!$M$4:$M$451,MATCH($O233&amp;"|"&amp;$R233&amp;"|"&amp;$AE233,'ASIGNACIONES'!$N$4:$N$451,0)),0)-$AG233)</f>
        <v/>
      </c>
      <c r="AI233" s="11">
        <f>IF($A233="","",IFERROR(INDEX('2_IMPORTAR_EJECUCION'!$F$9:$F$1208,MATCH($AQ233,'2_IMPORTAR_EJECUCION'!$J$9:$J$1208,0)),0))</f>
        <v/>
      </c>
      <c r="AJ233" s="11">
        <f>IF($A233="","",MAX(0,IFERROR(INDEX('2_IMPORTAR_EJECUCION'!$H$9:$H$1208,MATCH($AQ233,'2_IMPORTAR_EJECUCION'!$J$9:$J$1208,0)),0)-$AI233))</f>
        <v/>
      </c>
      <c r="AK233" s="11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IF($H234="","",IFERROR(INDEX('CAT_ACTIVIDADES'!$B$4:$B$8,MATCH($H234,'CAT_ACTIVIDADES'!$A$4:$A$8,0)),"(sin catálogo)"))</f>
        <v/>
      </c>
      <c r="AA234" s="13">
        <f>IF($J234="","",TODAY()-$J234)</f>
        <v/>
      </c>
      <c r="AB234" s="13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IF($AE234="","",IF((IFERROR(INDEX('ASIGNACIONES'!$J$4:$J$451,MATCH($O234&amp;"|"&amp;$R234&amp;"|"&amp;$AE234,'ASIGNACIONES'!$N$4:$N$451,0)),""))=0,"",IFERROR(INDEX('ASIGNACIONES'!$J$4:$J$451,MATCH($O234&amp;"|"&amp;$R234&amp;"|"&amp;$AE234,'ASIGNACIONES'!$N$4:$N$451,0)),"")))</f>
        <v/>
      </c>
      <c r="AG234" s="14">
        <f>IF($AE234="","",SUMIFS('ORDENES'!$M$4:$M$1203,'ORDENES'!$AE$4:$AE$1203,$AE234,'ORDENES'!$O$4:$O$1203,$O234,'ORDENES'!$R$4:$R$1203,$R234))</f>
        <v/>
      </c>
      <c r="AH234" s="14">
        <f>IF($AG234="","",p_factor_productividad*IFERROR(INDEX('ASIGNACIONES'!$M$4:$M$451,MATCH($O234&amp;"|"&amp;$R234&amp;"|"&amp;$AE234,'ASIGNACIONES'!$N$4:$N$451,0)),0)-$AG234)</f>
        <v/>
      </c>
      <c r="AI234" s="11">
        <f>IF($A234="","",IFERROR(INDEX('2_IMPORTAR_EJECUCION'!$F$9:$F$1208,MATCH($AQ234,'2_IMPORTAR_EJECUCION'!$J$9:$J$1208,0)),0))</f>
        <v/>
      </c>
      <c r="AJ234" s="11">
        <f>IF($A234="","",MAX(0,IFERROR(INDEX('2_IMPORTAR_EJECUCION'!$H$9:$H$1208,MATCH($AQ234,'2_IMPORTAR_EJECUCION'!$J$9:$J$1208,0)),0)-$AI234))</f>
        <v/>
      </c>
      <c r="AK234" s="11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IF($H235="","",IFERROR(INDEX('CAT_ACTIVIDADES'!$B$4:$B$8,MATCH($H235,'CAT_ACTIVIDADES'!$A$4:$A$8,0)),"(sin catálogo)"))</f>
        <v/>
      </c>
      <c r="AA235" s="13">
        <f>IF($J235="","",TODAY()-$J235)</f>
        <v/>
      </c>
      <c r="AB235" s="13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IF($AE235="","",IF((IFERROR(INDEX('ASIGNACIONES'!$J$4:$J$451,MATCH($O235&amp;"|"&amp;$R235&amp;"|"&amp;$AE235,'ASIGNACIONES'!$N$4:$N$451,0)),""))=0,"",IFERROR(INDEX('ASIGNACIONES'!$J$4:$J$451,MATCH($O235&amp;"|"&amp;$R235&amp;"|"&amp;$AE235,'ASIGNACIONES'!$N$4:$N$451,0)),"")))</f>
        <v/>
      </c>
      <c r="AG235" s="14">
        <f>IF($AE235="","",SUMIFS('ORDENES'!$M$4:$M$1203,'ORDENES'!$AE$4:$AE$1203,$AE235,'ORDENES'!$O$4:$O$1203,$O235,'ORDENES'!$R$4:$R$1203,$R235))</f>
        <v/>
      </c>
      <c r="AH235" s="14">
        <f>IF($AG235="","",p_factor_productividad*IFERROR(INDEX('ASIGNACIONES'!$M$4:$M$451,MATCH($O235&amp;"|"&amp;$R235&amp;"|"&amp;$AE235,'ASIGNACIONES'!$N$4:$N$451,0)),0)-$AG235)</f>
        <v/>
      </c>
      <c r="AI235" s="11">
        <f>IF($A235="","",IFERROR(INDEX('2_IMPORTAR_EJECUCION'!$F$9:$F$1208,MATCH($AQ235,'2_IMPORTAR_EJECUCION'!$J$9:$J$1208,0)),0))</f>
        <v/>
      </c>
      <c r="AJ235" s="11">
        <f>IF($A235="","",MAX(0,IFERROR(INDEX('2_IMPORTAR_EJECUCION'!$H$9:$H$1208,MATCH($AQ235,'2_IMPORTAR_EJECUCION'!$J$9:$J$1208,0)),0)-$AI235))</f>
        <v/>
      </c>
      <c r="AK235" s="11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IF($H236="","",IFERROR(INDEX('CAT_ACTIVIDADES'!$B$4:$B$8,MATCH($H236,'CAT_ACTIVIDADES'!$A$4:$A$8,0)),"(sin catálogo)"))</f>
        <v/>
      </c>
      <c r="AA236" s="13">
        <f>IF($J236="","",TODAY()-$J236)</f>
        <v/>
      </c>
      <c r="AB236" s="13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IF($AE236="","",IF((IFERROR(INDEX('ASIGNACIONES'!$J$4:$J$451,MATCH($O236&amp;"|"&amp;$R236&amp;"|"&amp;$AE236,'ASIGNACIONES'!$N$4:$N$451,0)),""))=0,"",IFERROR(INDEX('ASIGNACIONES'!$J$4:$J$451,MATCH($O236&amp;"|"&amp;$R236&amp;"|"&amp;$AE236,'ASIGNACIONES'!$N$4:$N$451,0)),"")))</f>
        <v/>
      </c>
      <c r="AG236" s="14">
        <f>IF($AE236="","",SUMIFS('ORDENES'!$M$4:$M$1203,'ORDENES'!$AE$4:$AE$1203,$AE236,'ORDENES'!$O$4:$O$1203,$O236,'ORDENES'!$R$4:$R$1203,$R236))</f>
        <v/>
      </c>
      <c r="AH236" s="14">
        <f>IF($AG236="","",p_factor_productividad*IFERROR(INDEX('ASIGNACIONES'!$M$4:$M$451,MATCH($O236&amp;"|"&amp;$R236&amp;"|"&amp;$AE236,'ASIGNACIONES'!$N$4:$N$451,0)),0)-$AG236)</f>
        <v/>
      </c>
      <c r="AI236" s="11">
        <f>IF($A236="","",IFERROR(INDEX('2_IMPORTAR_EJECUCION'!$F$9:$F$1208,MATCH($AQ236,'2_IMPORTAR_EJECUCION'!$J$9:$J$1208,0)),0))</f>
        <v/>
      </c>
      <c r="AJ236" s="11">
        <f>IF($A236="","",MAX(0,IFERROR(INDEX('2_IMPORTAR_EJECUCION'!$H$9:$H$1208,MATCH($AQ236,'2_IMPORTAR_EJECUCION'!$J$9:$J$1208,0)),0)-$AI236))</f>
        <v/>
      </c>
      <c r="AK236" s="11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IF($H237="","",IFERROR(INDEX('CAT_ACTIVIDADES'!$B$4:$B$8,MATCH($H237,'CAT_ACTIVIDADES'!$A$4:$A$8,0)),"(sin catálogo)"))</f>
        <v/>
      </c>
      <c r="AA237" s="13">
        <f>IF($J237="","",TODAY()-$J237)</f>
        <v/>
      </c>
      <c r="AB237" s="13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IF($AE237="","",IF((IFERROR(INDEX('ASIGNACIONES'!$J$4:$J$451,MATCH($O237&amp;"|"&amp;$R237&amp;"|"&amp;$AE237,'ASIGNACIONES'!$N$4:$N$451,0)),""))=0,"",IFERROR(INDEX('ASIGNACIONES'!$J$4:$J$451,MATCH($O237&amp;"|"&amp;$R237&amp;"|"&amp;$AE237,'ASIGNACIONES'!$N$4:$N$451,0)),"")))</f>
        <v/>
      </c>
      <c r="AG237" s="14">
        <f>IF($AE237="","",SUMIFS('ORDENES'!$M$4:$M$1203,'ORDENES'!$AE$4:$AE$1203,$AE237,'ORDENES'!$O$4:$O$1203,$O237,'ORDENES'!$R$4:$R$1203,$R237))</f>
        <v/>
      </c>
      <c r="AH237" s="14">
        <f>IF($AG237="","",p_factor_productividad*IFERROR(INDEX('ASIGNACIONES'!$M$4:$M$451,MATCH($O237&amp;"|"&amp;$R237&amp;"|"&amp;$AE237,'ASIGNACIONES'!$N$4:$N$451,0)),0)-$AG237)</f>
        <v/>
      </c>
      <c r="AI237" s="11">
        <f>IF($A237="","",IFERROR(INDEX('2_IMPORTAR_EJECUCION'!$F$9:$F$1208,MATCH($AQ237,'2_IMPORTAR_EJECUCION'!$J$9:$J$1208,0)),0))</f>
        <v/>
      </c>
      <c r="AJ237" s="11">
        <f>IF($A237="","",MAX(0,IFERROR(INDEX('2_IMPORTAR_EJECUCION'!$H$9:$H$1208,MATCH($AQ237,'2_IMPORTAR_EJECUCION'!$J$9:$J$1208,0)),0)-$AI237))</f>
        <v/>
      </c>
      <c r="AK237" s="11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IF($H238="","",IFERROR(INDEX('CAT_ACTIVIDADES'!$B$4:$B$8,MATCH($H238,'CAT_ACTIVIDADES'!$A$4:$A$8,0)),"(sin catálogo)"))</f>
        <v/>
      </c>
      <c r="AA238" s="13">
        <f>IF($J238="","",TODAY()-$J238)</f>
        <v/>
      </c>
      <c r="AB238" s="13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IF($AE238="","",IF((IFERROR(INDEX('ASIGNACIONES'!$J$4:$J$451,MATCH($O238&amp;"|"&amp;$R238&amp;"|"&amp;$AE238,'ASIGNACIONES'!$N$4:$N$451,0)),""))=0,"",IFERROR(INDEX('ASIGNACIONES'!$J$4:$J$451,MATCH($O238&amp;"|"&amp;$R238&amp;"|"&amp;$AE238,'ASIGNACIONES'!$N$4:$N$451,0)),"")))</f>
        <v/>
      </c>
      <c r="AG238" s="14">
        <f>IF($AE238="","",SUMIFS('ORDENES'!$M$4:$M$1203,'ORDENES'!$AE$4:$AE$1203,$AE238,'ORDENES'!$O$4:$O$1203,$O238,'ORDENES'!$R$4:$R$1203,$R238))</f>
        <v/>
      </c>
      <c r="AH238" s="14">
        <f>IF($AG238="","",p_factor_productividad*IFERROR(INDEX('ASIGNACIONES'!$M$4:$M$451,MATCH($O238&amp;"|"&amp;$R238&amp;"|"&amp;$AE238,'ASIGNACIONES'!$N$4:$N$451,0)),0)-$AG238)</f>
        <v/>
      </c>
      <c r="AI238" s="11">
        <f>IF($A238="","",IFERROR(INDEX('2_IMPORTAR_EJECUCION'!$F$9:$F$1208,MATCH($AQ238,'2_IMPORTAR_EJECUCION'!$J$9:$J$1208,0)),0))</f>
        <v/>
      </c>
      <c r="AJ238" s="11">
        <f>IF($A238="","",MAX(0,IFERROR(INDEX('2_IMPORTAR_EJECUCION'!$H$9:$H$1208,MATCH($AQ238,'2_IMPORTAR_EJECUCION'!$J$9:$J$1208,0)),0)-$AI238))</f>
        <v/>
      </c>
      <c r="AK238" s="11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IF($H239="","",IFERROR(INDEX('CAT_ACTIVIDADES'!$B$4:$B$8,MATCH($H239,'CAT_ACTIVIDADES'!$A$4:$A$8,0)),"(sin catálogo)"))</f>
        <v/>
      </c>
      <c r="AA239" s="13">
        <f>IF($J239="","",TODAY()-$J239)</f>
        <v/>
      </c>
      <c r="AB239" s="13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IF($AE239="","",IF((IFERROR(INDEX('ASIGNACIONES'!$J$4:$J$451,MATCH($O239&amp;"|"&amp;$R239&amp;"|"&amp;$AE239,'ASIGNACIONES'!$N$4:$N$451,0)),""))=0,"",IFERROR(INDEX('ASIGNACIONES'!$J$4:$J$451,MATCH($O239&amp;"|"&amp;$R239&amp;"|"&amp;$AE239,'ASIGNACIONES'!$N$4:$N$451,0)),"")))</f>
        <v/>
      </c>
      <c r="AG239" s="14">
        <f>IF($AE239="","",SUMIFS('ORDENES'!$M$4:$M$1203,'ORDENES'!$AE$4:$AE$1203,$AE239,'ORDENES'!$O$4:$O$1203,$O239,'ORDENES'!$R$4:$R$1203,$R239))</f>
        <v/>
      </c>
      <c r="AH239" s="14">
        <f>IF($AG239="","",p_factor_productividad*IFERROR(INDEX('ASIGNACIONES'!$M$4:$M$451,MATCH($O239&amp;"|"&amp;$R239&amp;"|"&amp;$AE239,'ASIGNACIONES'!$N$4:$N$451,0)),0)-$AG239)</f>
        <v/>
      </c>
      <c r="AI239" s="11">
        <f>IF($A239="","",IFERROR(INDEX('2_IMPORTAR_EJECUCION'!$F$9:$F$1208,MATCH($AQ239,'2_IMPORTAR_EJECUCION'!$J$9:$J$1208,0)),0))</f>
        <v/>
      </c>
      <c r="AJ239" s="11">
        <f>IF($A239="","",MAX(0,IFERROR(INDEX('2_IMPORTAR_EJECUCION'!$H$9:$H$1208,MATCH($AQ239,'2_IMPORTAR_EJECUCION'!$J$9:$J$1208,0)),0)-$AI239))</f>
        <v/>
      </c>
      <c r="AK239" s="11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IF($H240="","",IFERROR(INDEX('CAT_ACTIVIDADES'!$B$4:$B$8,MATCH($H240,'CAT_ACTIVIDADES'!$A$4:$A$8,0)),"(sin catálogo)"))</f>
        <v/>
      </c>
      <c r="AA240" s="13">
        <f>IF($J240="","",TODAY()-$J240)</f>
        <v/>
      </c>
      <c r="AB240" s="13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IF($AE240="","",IF((IFERROR(INDEX('ASIGNACIONES'!$J$4:$J$451,MATCH($O240&amp;"|"&amp;$R240&amp;"|"&amp;$AE240,'ASIGNACIONES'!$N$4:$N$451,0)),""))=0,"",IFERROR(INDEX('ASIGNACIONES'!$J$4:$J$451,MATCH($O240&amp;"|"&amp;$R240&amp;"|"&amp;$AE240,'ASIGNACIONES'!$N$4:$N$451,0)),"")))</f>
        <v/>
      </c>
      <c r="AG240" s="14">
        <f>IF($AE240="","",SUMIFS('ORDENES'!$M$4:$M$1203,'ORDENES'!$AE$4:$AE$1203,$AE240,'ORDENES'!$O$4:$O$1203,$O240,'ORDENES'!$R$4:$R$1203,$R240))</f>
        <v/>
      </c>
      <c r="AH240" s="14">
        <f>IF($AG240="","",p_factor_productividad*IFERROR(INDEX('ASIGNACIONES'!$M$4:$M$451,MATCH($O240&amp;"|"&amp;$R240&amp;"|"&amp;$AE240,'ASIGNACIONES'!$N$4:$N$451,0)),0)-$AG240)</f>
        <v/>
      </c>
      <c r="AI240" s="11">
        <f>IF($A240="","",IFERROR(INDEX('2_IMPORTAR_EJECUCION'!$F$9:$F$1208,MATCH($AQ240,'2_IMPORTAR_EJECUCION'!$J$9:$J$1208,0)),0))</f>
        <v/>
      </c>
      <c r="AJ240" s="11">
        <f>IF($A240="","",MAX(0,IFERROR(INDEX('2_IMPORTAR_EJECUCION'!$H$9:$H$1208,MATCH($AQ240,'2_IMPORTAR_EJECUCION'!$J$9:$J$1208,0)),0)-$AI240))</f>
        <v/>
      </c>
      <c r="AK240" s="11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IF($H241="","",IFERROR(INDEX('CAT_ACTIVIDADES'!$B$4:$B$8,MATCH($H241,'CAT_ACTIVIDADES'!$A$4:$A$8,0)),"(sin catálogo)"))</f>
        <v/>
      </c>
      <c r="AA241" s="13">
        <f>IF($J241="","",TODAY()-$J241)</f>
        <v/>
      </c>
      <c r="AB241" s="13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IF($AE241="","",IF((IFERROR(INDEX('ASIGNACIONES'!$J$4:$J$451,MATCH($O241&amp;"|"&amp;$R241&amp;"|"&amp;$AE241,'ASIGNACIONES'!$N$4:$N$451,0)),""))=0,"",IFERROR(INDEX('ASIGNACIONES'!$J$4:$J$451,MATCH($O241&amp;"|"&amp;$R241&amp;"|"&amp;$AE241,'ASIGNACIONES'!$N$4:$N$451,0)),"")))</f>
        <v/>
      </c>
      <c r="AG241" s="14">
        <f>IF($AE241="","",SUMIFS('ORDENES'!$M$4:$M$1203,'ORDENES'!$AE$4:$AE$1203,$AE241,'ORDENES'!$O$4:$O$1203,$O241,'ORDENES'!$R$4:$R$1203,$R241))</f>
        <v/>
      </c>
      <c r="AH241" s="14">
        <f>IF($AG241="","",p_factor_productividad*IFERROR(INDEX('ASIGNACIONES'!$M$4:$M$451,MATCH($O241&amp;"|"&amp;$R241&amp;"|"&amp;$AE241,'ASIGNACIONES'!$N$4:$N$451,0)),0)-$AG241)</f>
        <v/>
      </c>
      <c r="AI241" s="11">
        <f>IF($A241="","",IFERROR(INDEX('2_IMPORTAR_EJECUCION'!$F$9:$F$1208,MATCH($AQ241,'2_IMPORTAR_EJECUCION'!$J$9:$J$1208,0)),0))</f>
        <v/>
      </c>
      <c r="AJ241" s="11">
        <f>IF($A241="","",MAX(0,IFERROR(INDEX('2_IMPORTAR_EJECUCION'!$H$9:$H$1208,MATCH($AQ241,'2_IMPORTAR_EJECUCION'!$J$9:$J$1208,0)),0)-$AI241))</f>
        <v/>
      </c>
      <c r="AK241" s="11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IF($H242="","",IFERROR(INDEX('CAT_ACTIVIDADES'!$B$4:$B$8,MATCH($H242,'CAT_ACTIVIDADES'!$A$4:$A$8,0)),"(sin catálogo)"))</f>
        <v/>
      </c>
      <c r="AA242" s="13">
        <f>IF($J242="","",TODAY()-$J242)</f>
        <v/>
      </c>
      <c r="AB242" s="13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IF($AE242="","",IF((IFERROR(INDEX('ASIGNACIONES'!$J$4:$J$451,MATCH($O242&amp;"|"&amp;$R242&amp;"|"&amp;$AE242,'ASIGNACIONES'!$N$4:$N$451,0)),""))=0,"",IFERROR(INDEX('ASIGNACIONES'!$J$4:$J$451,MATCH($O242&amp;"|"&amp;$R242&amp;"|"&amp;$AE242,'ASIGNACIONES'!$N$4:$N$451,0)),"")))</f>
        <v/>
      </c>
      <c r="AG242" s="14">
        <f>IF($AE242="","",SUMIFS('ORDENES'!$M$4:$M$1203,'ORDENES'!$AE$4:$AE$1203,$AE242,'ORDENES'!$O$4:$O$1203,$O242,'ORDENES'!$R$4:$R$1203,$R242))</f>
        <v/>
      </c>
      <c r="AH242" s="14">
        <f>IF($AG242="","",p_factor_productividad*IFERROR(INDEX('ASIGNACIONES'!$M$4:$M$451,MATCH($O242&amp;"|"&amp;$R242&amp;"|"&amp;$AE242,'ASIGNACIONES'!$N$4:$N$451,0)),0)-$AG242)</f>
        <v/>
      </c>
      <c r="AI242" s="11">
        <f>IF($A242="","",IFERROR(INDEX('2_IMPORTAR_EJECUCION'!$F$9:$F$1208,MATCH($AQ242,'2_IMPORTAR_EJECUCION'!$J$9:$J$1208,0)),0))</f>
        <v/>
      </c>
      <c r="AJ242" s="11">
        <f>IF($A242="","",MAX(0,IFERROR(INDEX('2_IMPORTAR_EJECUCION'!$H$9:$H$1208,MATCH($AQ242,'2_IMPORTAR_EJECUCION'!$J$9:$J$1208,0)),0)-$AI242))</f>
        <v/>
      </c>
      <c r="AK242" s="11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IF($H243="","",IFERROR(INDEX('CAT_ACTIVIDADES'!$B$4:$B$8,MATCH($H243,'CAT_ACTIVIDADES'!$A$4:$A$8,0)),"(sin catálogo)"))</f>
        <v/>
      </c>
      <c r="AA243" s="13">
        <f>IF($J243="","",TODAY()-$J243)</f>
        <v/>
      </c>
      <c r="AB243" s="13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IF($AE243="","",IF((IFERROR(INDEX('ASIGNACIONES'!$J$4:$J$451,MATCH($O243&amp;"|"&amp;$R243&amp;"|"&amp;$AE243,'ASIGNACIONES'!$N$4:$N$451,0)),""))=0,"",IFERROR(INDEX('ASIGNACIONES'!$J$4:$J$451,MATCH($O243&amp;"|"&amp;$R243&amp;"|"&amp;$AE243,'ASIGNACIONES'!$N$4:$N$451,0)),"")))</f>
        <v/>
      </c>
      <c r="AG243" s="14">
        <f>IF($AE243="","",SUMIFS('ORDENES'!$M$4:$M$1203,'ORDENES'!$AE$4:$AE$1203,$AE243,'ORDENES'!$O$4:$O$1203,$O243,'ORDENES'!$R$4:$R$1203,$R243))</f>
        <v/>
      </c>
      <c r="AH243" s="14">
        <f>IF($AG243="","",p_factor_productividad*IFERROR(INDEX('ASIGNACIONES'!$M$4:$M$451,MATCH($O243&amp;"|"&amp;$R243&amp;"|"&amp;$AE243,'ASIGNACIONES'!$N$4:$N$451,0)),0)-$AG243)</f>
        <v/>
      </c>
      <c r="AI243" s="11">
        <f>IF($A243="","",IFERROR(INDEX('2_IMPORTAR_EJECUCION'!$F$9:$F$1208,MATCH($AQ243,'2_IMPORTAR_EJECUCION'!$J$9:$J$1208,0)),0))</f>
        <v/>
      </c>
      <c r="AJ243" s="11">
        <f>IF($A243="","",MAX(0,IFERROR(INDEX('2_IMPORTAR_EJECUCION'!$H$9:$H$1208,MATCH($AQ243,'2_IMPORTAR_EJECUCION'!$J$9:$J$1208,0)),0)-$AI243))</f>
        <v/>
      </c>
      <c r="AK243" s="11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IF($H244="","",IFERROR(INDEX('CAT_ACTIVIDADES'!$B$4:$B$8,MATCH($H244,'CAT_ACTIVIDADES'!$A$4:$A$8,0)),"(sin catálogo)"))</f>
        <v/>
      </c>
      <c r="AA244" s="13">
        <f>IF($J244="","",TODAY()-$J244)</f>
        <v/>
      </c>
      <c r="AB244" s="13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IF($AE244="","",IF((IFERROR(INDEX('ASIGNACIONES'!$J$4:$J$451,MATCH($O244&amp;"|"&amp;$R244&amp;"|"&amp;$AE244,'ASIGNACIONES'!$N$4:$N$451,0)),""))=0,"",IFERROR(INDEX('ASIGNACIONES'!$J$4:$J$451,MATCH($O244&amp;"|"&amp;$R244&amp;"|"&amp;$AE244,'ASIGNACIONES'!$N$4:$N$451,0)),"")))</f>
        <v/>
      </c>
      <c r="AG244" s="14">
        <f>IF($AE244="","",SUMIFS('ORDENES'!$M$4:$M$1203,'ORDENES'!$AE$4:$AE$1203,$AE244,'ORDENES'!$O$4:$O$1203,$O244,'ORDENES'!$R$4:$R$1203,$R244))</f>
        <v/>
      </c>
      <c r="AH244" s="14">
        <f>IF($AG244="","",p_factor_productividad*IFERROR(INDEX('ASIGNACIONES'!$M$4:$M$451,MATCH($O244&amp;"|"&amp;$R244&amp;"|"&amp;$AE244,'ASIGNACIONES'!$N$4:$N$451,0)),0)-$AG244)</f>
        <v/>
      </c>
      <c r="AI244" s="11">
        <f>IF($A244="","",IFERROR(INDEX('2_IMPORTAR_EJECUCION'!$F$9:$F$1208,MATCH($AQ244,'2_IMPORTAR_EJECUCION'!$J$9:$J$1208,0)),0))</f>
        <v/>
      </c>
      <c r="AJ244" s="11">
        <f>IF($A244="","",MAX(0,IFERROR(INDEX('2_IMPORTAR_EJECUCION'!$H$9:$H$1208,MATCH($AQ244,'2_IMPORTAR_EJECUCION'!$J$9:$J$1208,0)),0)-$AI244))</f>
        <v/>
      </c>
      <c r="AK244" s="11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IF($H245="","",IFERROR(INDEX('CAT_ACTIVIDADES'!$B$4:$B$8,MATCH($H245,'CAT_ACTIVIDADES'!$A$4:$A$8,0)),"(sin catálogo)"))</f>
        <v/>
      </c>
      <c r="AA245" s="13">
        <f>IF($J245="","",TODAY()-$J245)</f>
        <v/>
      </c>
      <c r="AB245" s="13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IF($AE245="","",IF((IFERROR(INDEX('ASIGNACIONES'!$J$4:$J$451,MATCH($O245&amp;"|"&amp;$R245&amp;"|"&amp;$AE245,'ASIGNACIONES'!$N$4:$N$451,0)),""))=0,"",IFERROR(INDEX('ASIGNACIONES'!$J$4:$J$451,MATCH($O245&amp;"|"&amp;$R245&amp;"|"&amp;$AE245,'ASIGNACIONES'!$N$4:$N$451,0)),"")))</f>
        <v/>
      </c>
      <c r="AG245" s="14">
        <f>IF($AE245="","",SUMIFS('ORDENES'!$M$4:$M$1203,'ORDENES'!$AE$4:$AE$1203,$AE245,'ORDENES'!$O$4:$O$1203,$O245,'ORDENES'!$R$4:$R$1203,$R245))</f>
        <v/>
      </c>
      <c r="AH245" s="14">
        <f>IF($AG245="","",p_factor_productividad*IFERROR(INDEX('ASIGNACIONES'!$M$4:$M$451,MATCH($O245&amp;"|"&amp;$R245&amp;"|"&amp;$AE245,'ASIGNACIONES'!$N$4:$N$451,0)),0)-$AG245)</f>
        <v/>
      </c>
      <c r="AI245" s="11">
        <f>IF($A245="","",IFERROR(INDEX('2_IMPORTAR_EJECUCION'!$F$9:$F$1208,MATCH($AQ245,'2_IMPORTAR_EJECUCION'!$J$9:$J$1208,0)),0))</f>
        <v/>
      </c>
      <c r="AJ245" s="11">
        <f>IF($A245="","",MAX(0,IFERROR(INDEX('2_IMPORTAR_EJECUCION'!$H$9:$H$1208,MATCH($AQ245,'2_IMPORTAR_EJECUCION'!$J$9:$J$1208,0)),0)-$AI245))</f>
        <v/>
      </c>
      <c r="AK245" s="11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IF($H246="","",IFERROR(INDEX('CAT_ACTIVIDADES'!$B$4:$B$8,MATCH($H246,'CAT_ACTIVIDADES'!$A$4:$A$8,0)),"(sin catálogo)"))</f>
        <v/>
      </c>
      <c r="AA246" s="13">
        <f>IF($J246="","",TODAY()-$J246)</f>
        <v/>
      </c>
      <c r="AB246" s="13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IF($AE246="","",IF((IFERROR(INDEX('ASIGNACIONES'!$J$4:$J$451,MATCH($O246&amp;"|"&amp;$R246&amp;"|"&amp;$AE246,'ASIGNACIONES'!$N$4:$N$451,0)),""))=0,"",IFERROR(INDEX('ASIGNACIONES'!$J$4:$J$451,MATCH($O246&amp;"|"&amp;$R246&amp;"|"&amp;$AE246,'ASIGNACIONES'!$N$4:$N$451,0)),"")))</f>
        <v/>
      </c>
      <c r="AG246" s="14">
        <f>IF($AE246="","",SUMIFS('ORDENES'!$M$4:$M$1203,'ORDENES'!$AE$4:$AE$1203,$AE246,'ORDENES'!$O$4:$O$1203,$O246,'ORDENES'!$R$4:$R$1203,$R246))</f>
        <v/>
      </c>
      <c r="AH246" s="14">
        <f>IF($AG246="","",p_factor_productividad*IFERROR(INDEX('ASIGNACIONES'!$M$4:$M$451,MATCH($O246&amp;"|"&amp;$R246&amp;"|"&amp;$AE246,'ASIGNACIONES'!$N$4:$N$451,0)),0)-$AG246)</f>
        <v/>
      </c>
      <c r="AI246" s="11">
        <f>IF($A246="","",IFERROR(INDEX('2_IMPORTAR_EJECUCION'!$F$9:$F$1208,MATCH($AQ246,'2_IMPORTAR_EJECUCION'!$J$9:$J$1208,0)),0))</f>
        <v/>
      </c>
      <c r="AJ246" s="11">
        <f>IF($A246="","",MAX(0,IFERROR(INDEX('2_IMPORTAR_EJECUCION'!$H$9:$H$1208,MATCH($AQ246,'2_IMPORTAR_EJECUCION'!$J$9:$J$1208,0)),0)-$AI246))</f>
        <v/>
      </c>
      <c r="AK246" s="11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IF($H247="","",IFERROR(INDEX('CAT_ACTIVIDADES'!$B$4:$B$8,MATCH($H247,'CAT_ACTIVIDADES'!$A$4:$A$8,0)),"(sin catálogo)"))</f>
        <v/>
      </c>
      <c r="AA247" s="13">
        <f>IF($J247="","",TODAY()-$J247)</f>
        <v/>
      </c>
      <c r="AB247" s="13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IF($AE247="","",IF((IFERROR(INDEX('ASIGNACIONES'!$J$4:$J$451,MATCH($O247&amp;"|"&amp;$R247&amp;"|"&amp;$AE247,'ASIGNACIONES'!$N$4:$N$451,0)),""))=0,"",IFERROR(INDEX('ASIGNACIONES'!$J$4:$J$451,MATCH($O247&amp;"|"&amp;$R247&amp;"|"&amp;$AE247,'ASIGNACIONES'!$N$4:$N$451,0)),"")))</f>
        <v/>
      </c>
      <c r="AG247" s="14">
        <f>IF($AE247="","",SUMIFS('ORDENES'!$M$4:$M$1203,'ORDENES'!$AE$4:$AE$1203,$AE247,'ORDENES'!$O$4:$O$1203,$O247,'ORDENES'!$R$4:$R$1203,$R247))</f>
        <v/>
      </c>
      <c r="AH247" s="14">
        <f>IF($AG247="","",p_factor_productividad*IFERROR(INDEX('ASIGNACIONES'!$M$4:$M$451,MATCH($O247&amp;"|"&amp;$R247&amp;"|"&amp;$AE247,'ASIGNACIONES'!$N$4:$N$451,0)),0)-$AG247)</f>
        <v/>
      </c>
      <c r="AI247" s="11">
        <f>IF($A247="","",IFERROR(INDEX('2_IMPORTAR_EJECUCION'!$F$9:$F$1208,MATCH($AQ247,'2_IMPORTAR_EJECUCION'!$J$9:$J$1208,0)),0))</f>
        <v/>
      </c>
      <c r="AJ247" s="11">
        <f>IF($A247="","",MAX(0,IFERROR(INDEX('2_IMPORTAR_EJECUCION'!$H$9:$H$1208,MATCH($AQ247,'2_IMPORTAR_EJECUCION'!$J$9:$J$1208,0)),0)-$AI247))</f>
        <v/>
      </c>
      <c r="AK247" s="11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IF($H248="","",IFERROR(INDEX('CAT_ACTIVIDADES'!$B$4:$B$8,MATCH($H248,'CAT_ACTIVIDADES'!$A$4:$A$8,0)),"(sin catálogo)"))</f>
        <v/>
      </c>
      <c r="AA248" s="13">
        <f>IF($J248="","",TODAY()-$J248)</f>
        <v/>
      </c>
      <c r="AB248" s="13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IF($AE248="","",IF((IFERROR(INDEX('ASIGNACIONES'!$J$4:$J$451,MATCH($O248&amp;"|"&amp;$R248&amp;"|"&amp;$AE248,'ASIGNACIONES'!$N$4:$N$451,0)),""))=0,"",IFERROR(INDEX('ASIGNACIONES'!$J$4:$J$451,MATCH($O248&amp;"|"&amp;$R248&amp;"|"&amp;$AE248,'ASIGNACIONES'!$N$4:$N$451,0)),"")))</f>
        <v/>
      </c>
      <c r="AG248" s="14">
        <f>IF($AE248="","",SUMIFS('ORDENES'!$M$4:$M$1203,'ORDENES'!$AE$4:$AE$1203,$AE248,'ORDENES'!$O$4:$O$1203,$O248,'ORDENES'!$R$4:$R$1203,$R248))</f>
        <v/>
      </c>
      <c r="AH248" s="14">
        <f>IF($AG248="","",p_factor_productividad*IFERROR(INDEX('ASIGNACIONES'!$M$4:$M$451,MATCH($O248&amp;"|"&amp;$R248&amp;"|"&amp;$AE248,'ASIGNACIONES'!$N$4:$N$451,0)),0)-$AG248)</f>
        <v/>
      </c>
      <c r="AI248" s="11">
        <f>IF($A248="","",IFERROR(INDEX('2_IMPORTAR_EJECUCION'!$F$9:$F$1208,MATCH($AQ248,'2_IMPORTAR_EJECUCION'!$J$9:$J$1208,0)),0))</f>
        <v/>
      </c>
      <c r="AJ248" s="11">
        <f>IF($A248="","",MAX(0,IFERROR(INDEX('2_IMPORTAR_EJECUCION'!$H$9:$H$1208,MATCH($AQ248,'2_IMPORTAR_EJECUCION'!$J$9:$J$1208,0)),0)-$AI248))</f>
        <v/>
      </c>
      <c r="AK248" s="11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IF($H249="","",IFERROR(INDEX('CAT_ACTIVIDADES'!$B$4:$B$8,MATCH($H249,'CAT_ACTIVIDADES'!$A$4:$A$8,0)),"(sin catálogo)"))</f>
        <v/>
      </c>
      <c r="AA249" s="13">
        <f>IF($J249="","",TODAY()-$J249)</f>
        <v/>
      </c>
      <c r="AB249" s="13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IF($AE249="","",IF((IFERROR(INDEX('ASIGNACIONES'!$J$4:$J$451,MATCH($O249&amp;"|"&amp;$R249&amp;"|"&amp;$AE249,'ASIGNACIONES'!$N$4:$N$451,0)),""))=0,"",IFERROR(INDEX('ASIGNACIONES'!$J$4:$J$451,MATCH($O249&amp;"|"&amp;$R249&amp;"|"&amp;$AE249,'ASIGNACIONES'!$N$4:$N$451,0)),"")))</f>
        <v/>
      </c>
      <c r="AG249" s="14">
        <f>IF($AE249="","",SUMIFS('ORDENES'!$M$4:$M$1203,'ORDENES'!$AE$4:$AE$1203,$AE249,'ORDENES'!$O$4:$O$1203,$O249,'ORDENES'!$R$4:$R$1203,$R249))</f>
        <v/>
      </c>
      <c r="AH249" s="14">
        <f>IF($AG249="","",p_factor_productividad*IFERROR(INDEX('ASIGNACIONES'!$M$4:$M$451,MATCH($O249&amp;"|"&amp;$R249&amp;"|"&amp;$AE249,'ASIGNACIONES'!$N$4:$N$451,0)),0)-$AG249)</f>
        <v/>
      </c>
      <c r="AI249" s="11">
        <f>IF($A249="","",IFERROR(INDEX('2_IMPORTAR_EJECUCION'!$F$9:$F$1208,MATCH($AQ249,'2_IMPORTAR_EJECUCION'!$J$9:$J$1208,0)),0))</f>
        <v/>
      </c>
      <c r="AJ249" s="11">
        <f>IF($A249="","",MAX(0,IFERROR(INDEX('2_IMPORTAR_EJECUCION'!$H$9:$H$1208,MATCH($AQ249,'2_IMPORTAR_EJECUCION'!$J$9:$J$1208,0)),0)-$AI249))</f>
        <v/>
      </c>
      <c r="AK249" s="11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IF($H250="","",IFERROR(INDEX('CAT_ACTIVIDADES'!$B$4:$B$8,MATCH($H250,'CAT_ACTIVIDADES'!$A$4:$A$8,0)),"(sin catálogo)"))</f>
        <v/>
      </c>
      <c r="AA250" s="13">
        <f>IF($J250="","",TODAY()-$J250)</f>
        <v/>
      </c>
      <c r="AB250" s="13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IF($AE250="","",IF((IFERROR(INDEX('ASIGNACIONES'!$J$4:$J$451,MATCH($O250&amp;"|"&amp;$R250&amp;"|"&amp;$AE250,'ASIGNACIONES'!$N$4:$N$451,0)),""))=0,"",IFERROR(INDEX('ASIGNACIONES'!$J$4:$J$451,MATCH($O250&amp;"|"&amp;$R250&amp;"|"&amp;$AE250,'ASIGNACIONES'!$N$4:$N$451,0)),"")))</f>
        <v/>
      </c>
      <c r="AG250" s="14">
        <f>IF($AE250="","",SUMIFS('ORDENES'!$M$4:$M$1203,'ORDENES'!$AE$4:$AE$1203,$AE250,'ORDENES'!$O$4:$O$1203,$O250,'ORDENES'!$R$4:$R$1203,$R250))</f>
        <v/>
      </c>
      <c r="AH250" s="14">
        <f>IF($AG250="","",p_factor_productividad*IFERROR(INDEX('ASIGNACIONES'!$M$4:$M$451,MATCH($O250&amp;"|"&amp;$R250&amp;"|"&amp;$AE250,'ASIGNACIONES'!$N$4:$N$451,0)),0)-$AG250)</f>
        <v/>
      </c>
      <c r="AI250" s="11">
        <f>IF($A250="","",IFERROR(INDEX('2_IMPORTAR_EJECUCION'!$F$9:$F$1208,MATCH($AQ250,'2_IMPORTAR_EJECUCION'!$J$9:$J$1208,0)),0))</f>
        <v/>
      </c>
      <c r="AJ250" s="11">
        <f>IF($A250="","",MAX(0,IFERROR(INDEX('2_IMPORTAR_EJECUCION'!$H$9:$H$1208,MATCH($AQ250,'2_IMPORTAR_EJECUCION'!$J$9:$J$1208,0)),0)-$AI250))</f>
        <v/>
      </c>
      <c r="AK250" s="11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IF($H251="","",IFERROR(INDEX('CAT_ACTIVIDADES'!$B$4:$B$8,MATCH($H251,'CAT_ACTIVIDADES'!$A$4:$A$8,0)),"(sin catálogo)"))</f>
        <v/>
      </c>
      <c r="AA251" s="13">
        <f>IF($J251="","",TODAY()-$J251)</f>
        <v/>
      </c>
      <c r="AB251" s="13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IF($AE251="","",IF((IFERROR(INDEX('ASIGNACIONES'!$J$4:$J$451,MATCH($O251&amp;"|"&amp;$R251&amp;"|"&amp;$AE251,'ASIGNACIONES'!$N$4:$N$451,0)),""))=0,"",IFERROR(INDEX('ASIGNACIONES'!$J$4:$J$451,MATCH($O251&amp;"|"&amp;$R251&amp;"|"&amp;$AE251,'ASIGNACIONES'!$N$4:$N$451,0)),"")))</f>
        <v/>
      </c>
      <c r="AG251" s="14">
        <f>IF($AE251="","",SUMIFS('ORDENES'!$M$4:$M$1203,'ORDENES'!$AE$4:$AE$1203,$AE251,'ORDENES'!$O$4:$O$1203,$O251,'ORDENES'!$R$4:$R$1203,$R251))</f>
        <v/>
      </c>
      <c r="AH251" s="14">
        <f>IF($AG251="","",p_factor_productividad*IFERROR(INDEX('ASIGNACIONES'!$M$4:$M$451,MATCH($O251&amp;"|"&amp;$R251&amp;"|"&amp;$AE251,'ASIGNACIONES'!$N$4:$N$451,0)),0)-$AG251)</f>
        <v/>
      </c>
      <c r="AI251" s="11">
        <f>IF($A251="","",IFERROR(INDEX('2_IMPORTAR_EJECUCION'!$F$9:$F$1208,MATCH($AQ251,'2_IMPORTAR_EJECUCION'!$J$9:$J$1208,0)),0))</f>
        <v/>
      </c>
      <c r="AJ251" s="11">
        <f>IF($A251="","",MAX(0,IFERROR(INDEX('2_IMPORTAR_EJECUCION'!$H$9:$H$1208,MATCH($AQ251,'2_IMPORTAR_EJECUCION'!$J$9:$J$1208,0)),0)-$AI251))</f>
        <v/>
      </c>
      <c r="AK251" s="11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IF($H252="","",IFERROR(INDEX('CAT_ACTIVIDADES'!$B$4:$B$8,MATCH($H252,'CAT_ACTIVIDADES'!$A$4:$A$8,0)),"(sin catálogo)"))</f>
        <v/>
      </c>
      <c r="AA252" s="13">
        <f>IF($J252="","",TODAY()-$J252)</f>
        <v/>
      </c>
      <c r="AB252" s="13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IF($AE252="","",IF((IFERROR(INDEX('ASIGNACIONES'!$J$4:$J$451,MATCH($O252&amp;"|"&amp;$R252&amp;"|"&amp;$AE252,'ASIGNACIONES'!$N$4:$N$451,0)),""))=0,"",IFERROR(INDEX('ASIGNACIONES'!$J$4:$J$451,MATCH($O252&amp;"|"&amp;$R252&amp;"|"&amp;$AE252,'ASIGNACIONES'!$N$4:$N$451,0)),"")))</f>
        <v/>
      </c>
      <c r="AG252" s="14">
        <f>IF($AE252="","",SUMIFS('ORDENES'!$M$4:$M$1203,'ORDENES'!$AE$4:$AE$1203,$AE252,'ORDENES'!$O$4:$O$1203,$O252,'ORDENES'!$R$4:$R$1203,$R252))</f>
        <v/>
      </c>
      <c r="AH252" s="14">
        <f>IF($AG252="","",p_factor_productividad*IFERROR(INDEX('ASIGNACIONES'!$M$4:$M$451,MATCH($O252&amp;"|"&amp;$R252&amp;"|"&amp;$AE252,'ASIGNACIONES'!$N$4:$N$451,0)),0)-$AG252)</f>
        <v/>
      </c>
      <c r="AI252" s="11">
        <f>IF($A252="","",IFERROR(INDEX('2_IMPORTAR_EJECUCION'!$F$9:$F$1208,MATCH($AQ252,'2_IMPORTAR_EJECUCION'!$J$9:$J$1208,0)),0))</f>
        <v/>
      </c>
      <c r="AJ252" s="11">
        <f>IF($A252="","",MAX(0,IFERROR(INDEX('2_IMPORTAR_EJECUCION'!$H$9:$H$1208,MATCH($AQ252,'2_IMPORTAR_EJECUCION'!$J$9:$J$1208,0)),0)-$AI252))</f>
        <v/>
      </c>
      <c r="AK252" s="11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IF($H253="","",IFERROR(INDEX('CAT_ACTIVIDADES'!$B$4:$B$8,MATCH($H253,'CAT_ACTIVIDADES'!$A$4:$A$8,0)),"(sin catálogo)"))</f>
        <v/>
      </c>
      <c r="AA253" s="13">
        <f>IF($J253="","",TODAY()-$J253)</f>
        <v/>
      </c>
      <c r="AB253" s="13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IF($AE253="","",IF((IFERROR(INDEX('ASIGNACIONES'!$J$4:$J$451,MATCH($O253&amp;"|"&amp;$R253&amp;"|"&amp;$AE253,'ASIGNACIONES'!$N$4:$N$451,0)),""))=0,"",IFERROR(INDEX('ASIGNACIONES'!$J$4:$J$451,MATCH($O253&amp;"|"&amp;$R253&amp;"|"&amp;$AE253,'ASIGNACIONES'!$N$4:$N$451,0)),"")))</f>
        <v/>
      </c>
      <c r="AG253" s="14">
        <f>IF($AE253="","",SUMIFS('ORDENES'!$M$4:$M$1203,'ORDENES'!$AE$4:$AE$1203,$AE253,'ORDENES'!$O$4:$O$1203,$O253,'ORDENES'!$R$4:$R$1203,$R253))</f>
        <v/>
      </c>
      <c r="AH253" s="14">
        <f>IF($AG253="","",p_factor_productividad*IFERROR(INDEX('ASIGNACIONES'!$M$4:$M$451,MATCH($O253&amp;"|"&amp;$R253&amp;"|"&amp;$AE253,'ASIGNACIONES'!$N$4:$N$451,0)),0)-$AG253)</f>
        <v/>
      </c>
      <c r="AI253" s="11">
        <f>IF($A253="","",IFERROR(INDEX('2_IMPORTAR_EJECUCION'!$F$9:$F$1208,MATCH($AQ253,'2_IMPORTAR_EJECUCION'!$J$9:$J$1208,0)),0))</f>
        <v/>
      </c>
      <c r="AJ253" s="11">
        <f>IF($A253="","",MAX(0,IFERROR(INDEX('2_IMPORTAR_EJECUCION'!$H$9:$H$1208,MATCH($AQ253,'2_IMPORTAR_EJECUCION'!$J$9:$J$1208,0)),0)-$AI253))</f>
        <v/>
      </c>
      <c r="AK253" s="11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IF($H254="","",IFERROR(INDEX('CAT_ACTIVIDADES'!$B$4:$B$8,MATCH($H254,'CAT_ACTIVIDADES'!$A$4:$A$8,0)),"(sin catálogo)"))</f>
        <v/>
      </c>
      <c r="AA254" s="13">
        <f>IF($J254="","",TODAY()-$J254)</f>
        <v/>
      </c>
      <c r="AB254" s="13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IF($AE254="","",IF((IFERROR(INDEX('ASIGNACIONES'!$J$4:$J$451,MATCH($O254&amp;"|"&amp;$R254&amp;"|"&amp;$AE254,'ASIGNACIONES'!$N$4:$N$451,0)),""))=0,"",IFERROR(INDEX('ASIGNACIONES'!$J$4:$J$451,MATCH($O254&amp;"|"&amp;$R254&amp;"|"&amp;$AE254,'ASIGNACIONES'!$N$4:$N$451,0)),"")))</f>
        <v/>
      </c>
      <c r="AG254" s="14">
        <f>IF($AE254="","",SUMIFS('ORDENES'!$M$4:$M$1203,'ORDENES'!$AE$4:$AE$1203,$AE254,'ORDENES'!$O$4:$O$1203,$O254,'ORDENES'!$R$4:$R$1203,$R254))</f>
        <v/>
      </c>
      <c r="AH254" s="14">
        <f>IF($AG254="","",p_factor_productividad*IFERROR(INDEX('ASIGNACIONES'!$M$4:$M$451,MATCH($O254&amp;"|"&amp;$R254&amp;"|"&amp;$AE254,'ASIGNACIONES'!$N$4:$N$451,0)),0)-$AG254)</f>
        <v/>
      </c>
      <c r="AI254" s="11">
        <f>IF($A254="","",IFERROR(INDEX('2_IMPORTAR_EJECUCION'!$F$9:$F$1208,MATCH($AQ254,'2_IMPORTAR_EJECUCION'!$J$9:$J$1208,0)),0))</f>
        <v/>
      </c>
      <c r="AJ254" s="11">
        <f>IF($A254="","",MAX(0,IFERROR(INDEX('2_IMPORTAR_EJECUCION'!$H$9:$H$1208,MATCH($AQ254,'2_IMPORTAR_EJECUCION'!$J$9:$J$1208,0)),0)-$AI254))</f>
        <v/>
      </c>
      <c r="AK254" s="11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IF($H255="","",IFERROR(INDEX('CAT_ACTIVIDADES'!$B$4:$B$8,MATCH($H255,'CAT_ACTIVIDADES'!$A$4:$A$8,0)),"(sin catálogo)"))</f>
        <v/>
      </c>
      <c r="AA255" s="13">
        <f>IF($J255="","",TODAY()-$J255)</f>
        <v/>
      </c>
      <c r="AB255" s="13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IF($AE255="","",IF((IFERROR(INDEX('ASIGNACIONES'!$J$4:$J$451,MATCH($O255&amp;"|"&amp;$R255&amp;"|"&amp;$AE255,'ASIGNACIONES'!$N$4:$N$451,0)),""))=0,"",IFERROR(INDEX('ASIGNACIONES'!$J$4:$J$451,MATCH($O255&amp;"|"&amp;$R255&amp;"|"&amp;$AE255,'ASIGNACIONES'!$N$4:$N$451,0)),"")))</f>
        <v/>
      </c>
      <c r="AG255" s="14">
        <f>IF($AE255="","",SUMIFS('ORDENES'!$M$4:$M$1203,'ORDENES'!$AE$4:$AE$1203,$AE255,'ORDENES'!$O$4:$O$1203,$O255,'ORDENES'!$R$4:$R$1203,$R255))</f>
        <v/>
      </c>
      <c r="AH255" s="14">
        <f>IF($AG255="","",p_factor_productividad*IFERROR(INDEX('ASIGNACIONES'!$M$4:$M$451,MATCH($O255&amp;"|"&amp;$R255&amp;"|"&amp;$AE255,'ASIGNACIONES'!$N$4:$N$451,0)),0)-$AG255)</f>
        <v/>
      </c>
      <c r="AI255" s="11">
        <f>IF($A255="","",IFERROR(INDEX('2_IMPORTAR_EJECUCION'!$F$9:$F$1208,MATCH($AQ255,'2_IMPORTAR_EJECUCION'!$J$9:$J$1208,0)),0))</f>
        <v/>
      </c>
      <c r="AJ255" s="11">
        <f>IF($A255="","",MAX(0,IFERROR(INDEX('2_IMPORTAR_EJECUCION'!$H$9:$H$1208,MATCH($AQ255,'2_IMPORTAR_EJECUCION'!$J$9:$J$1208,0)),0)-$AI255))</f>
        <v/>
      </c>
      <c r="AK255" s="11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IF($H256="","",IFERROR(INDEX('CAT_ACTIVIDADES'!$B$4:$B$8,MATCH($H256,'CAT_ACTIVIDADES'!$A$4:$A$8,0)),"(sin catálogo)"))</f>
        <v/>
      </c>
      <c r="AA256" s="13">
        <f>IF($J256="","",TODAY()-$J256)</f>
        <v/>
      </c>
      <c r="AB256" s="13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IF($AE256="","",IF((IFERROR(INDEX('ASIGNACIONES'!$J$4:$J$451,MATCH($O256&amp;"|"&amp;$R256&amp;"|"&amp;$AE256,'ASIGNACIONES'!$N$4:$N$451,0)),""))=0,"",IFERROR(INDEX('ASIGNACIONES'!$J$4:$J$451,MATCH($O256&amp;"|"&amp;$R256&amp;"|"&amp;$AE256,'ASIGNACIONES'!$N$4:$N$451,0)),"")))</f>
        <v/>
      </c>
      <c r="AG256" s="14">
        <f>IF($AE256="","",SUMIFS('ORDENES'!$M$4:$M$1203,'ORDENES'!$AE$4:$AE$1203,$AE256,'ORDENES'!$O$4:$O$1203,$O256,'ORDENES'!$R$4:$R$1203,$R256))</f>
        <v/>
      </c>
      <c r="AH256" s="14">
        <f>IF($AG256="","",p_factor_productividad*IFERROR(INDEX('ASIGNACIONES'!$M$4:$M$451,MATCH($O256&amp;"|"&amp;$R256&amp;"|"&amp;$AE256,'ASIGNACIONES'!$N$4:$N$451,0)),0)-$AG256)</f>
        <v/>
      </c>
      <c r="AI256" s="11">
        <f>IF($A256="","",IFERROR(INDEX('2_IMPORTAR_EJECUCION'!$F$9:$F$1208,MATCH($AQ256,'2_IMPORTAR_EJECUCION'!$J$9:$J$1208,0)),0))</f>
        <v/>
      </c>
      <c r="AJ256" s="11">
        <f>IF($A256="","",MAX(0,IFERROR(INDEX('2_IMPORTAR_EJECUCION'!$H$9:$H$1208,MATCH($AQ256,'2_IMPORTAR_EJECUCION'!$J$9:$J$1208,0)),0)-$AI256))</f>
        <v/>
      </c>
      <c r="AK256" s="11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IF($H257="","",IFERROR(INDEX('CAT_ACTIVIDADES'!$B$4:$B$8,MATCH($H257,'CAT_ACTIVIDADES'!$A$4:$A$8,0)),"(sin catálogo)"))</f>
        <v/>
      </c>
      <c r="AA257" s="13">
        <f>IF($J257="","",TODAY()-$J257)</f>
        <v/>
      </c>
      <c r="AB257" s="13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IF($AE257="","",IF((IFERROR(INDEX('ASIGNACIONES'!$J$4:$J$451,MATCH($O257&amp;"|"&amp;$R257&amp;"|"&amp;$AE257,'ASIGNACIONES'!$N$4:$N$451,0)),""))=0,"",IFERROR(INDEX('ASIGNACIONES'!$J$4:$J$451,MATCH($O257&amp;"|"&amp;$R257&amp;"|"&amp;$AE257,'ASIGNACIONES'!$N$4:$N$451,0)),"")))</f>
        <v/>
      </c>
      <c r="AG257" s="14">
        <f>IF($AE257="","",SUMIFS('ORDENES'!$M$4:$M$1203,'ORDENES'!$AE$4:$AE$1203,$AE257,'ORDENES'!$O$4:$O$1203,$O257,'ORDENES'!$R$4:$R$1203,$R257))</f>
        <v/>
      </c>
      <c r="AH257" s="14">
        <f>IF($AG257="","",p_factor_productividad*IFERROR(INDEX('ASIGNACIONES'!$M$4:$M$451,MATCH($O257&amp;"|"&amp;$R257&amp;"|"&amp;$AE257,'ASIGNACIONES'!$N$4:$N$451,0)),0)-$AG257)</f>
        <v/>
      </c>
      <c r="AI257" s="11">
        <f>IF($A257="","",IFERROR(INDEX('2_IMPORTAR_EJECUCION'!$F$9:$F$1208,MATCH($AQ257,'2_IMPORTAR_EJECUCION'!$J$9:$J$1208,0)),0))</f>
        <v/>
      </c>
      <c r="AJ257" s="11">
        <f>IF($A257="","",MAX(0,IFERROR(INDEX('2_IMPORTAR_EJECUCION'!$H$9:$H$1208,MATCH($AQ257,'2_IMPORTAR_EJECUCION'!$J$9:$J$1208,0)),0)-$AI257))</f>
        <v/>
      </c>
      <c r="AK257" s="11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IF($H258="","",IFERROR(INDEX('CAT_ACTIVIDADES'!$B$4:$B$8,MATCH($H258,'CAT_ACTIVIDADES'!$A$4:$A$8,0)),"(sin catálogo)"))</f>
        <v/>
      </c>
      <c r="AA258" s="13">
        <f>IF($J258="","",TODAY()-$J258)</f>
        <v/>
      </c>
      <c r="AB258" s="13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IF($AE258="","",IF((IFERROR(INDEX('ASIGNACIONES'!$J$4:$J$451,MATCH($O258&amp;"|"&amp;$R258&amp;"|"&amp;$AE258,'ASIGNACIONES'!$N$4:$N$451,0)),""))=0,"",IFERROR(INDEX('ASIGNACIONES'!$J$4:$J$451,MATCH($O258&amp;"|"&amp;$R258&amp;"|"&amp;$AE258,'ASIGNACIONES'!$N$4:$N$451,0)),"")))</f>
        <v/>
      </c>
      <c r="AG258" s="14">
        <f>IF($AE258="","",SUMIFS('ORDENES'!$M$4:$M$1203,'ORDENES'!$AE$4:$AE$1203,$AE258,'ORDENES'!$O$4:$O$1203,$O258,'ORDENES'!$R$4:$R$1203,$R258))</f>
        <v/>
      </c>
      <c r="AH258" s="14">
        <f>IF($AG258="","",p_factor_productividad*IFERROR(INDEX('ASIGNACIONES'!$M$4:$M$451,MATCH($O258&amp;"|"&amp;$R258&amp;"|"&amp;$AE258,'ASIGNACIONES'!$N$4:$N$451,0)),0)-$AG258)</f>
        <v/>
      </c>
      <c r="AI258" s="11">
        <f>IF($A258="","",IFERROR(INDEX('2_IMPORTAR_EJECUCION'!$F$9:$F$1208,MATCH($AQ258,'2_IMPORTAR_EJECUCION'!$J$9:$J$1208,0)),0))</f>
        <v/>
      </c>
      <c r="AJ258" s="11">
        <f>IF($A258="","",MAX(0,IFERROR(INDEX('2_IMPORTAR_EJECUCION'!$H$9:$H$1208,MATCH($AQ258,'2_IMPORTAR_EJECUCION'!$J$9:$J$1208,0)),0)-$AI258))</f>
        <v/>
      </c>
      <c r="AK258" s="11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IF($H259="","",IFERROR(INDEX('CAT_ACTIVIDADES'!$B$4:$B$8,MATCH($H259,'CAT_ACTIVIDADES'!$A$4:$A$8,0)),"(sin catálogo)"))</f>
        <v/>
      </c>
      <c r="AA259" s="13">
        <f>IF($J259="","",TODAY()-$J259)</f>
        <v/>
      </c>
      <c r="AB259" s="13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IF($AE259="","",IF((IFERROR(INDEX('ASIGNACIONES'!$J$4:$J$451,MATCH($O259&amp;"|"&amp;$R259&amp;"|"&amp;$AE259,'ASIGNACIONES'!$N$4:$N$451,0)),""))=0,"",IFERROR(INDEX('ASIGNACIONES'!$J$4:$J$451,MATCH($O259&amp;"|"&amp;$R259&amp;"|"&amp;$AE259,'ASIGNACIONES'!$N$4:$N$451,0)),"")))</f>
        <v/>
      </c>
      <c r="AG259" s="14">
        <f>IF($AE259="","",SUMIFS('ORDENES'!$M$4:$M$1203,'ORDENES'!$AE$4:$AE$1203,$AE259,'ORDENES'!$O$4:$O$1203,$O259,'ORDENES'!$R$4:$R$1203,$R259))</f>
        <v/>
      </c>
      <c r="AH259" s="14">
        <f>IF($AG259="","",p_factor_productividad*IFERROR(INDEX('ASIGNACIONES'!$M$4:$M$451,MATCH($O259&amp;"|"&amp;$R259&amp;"|"&amp;$AE259,'ASIGNACIONES'!$N$4:$N$451,0)),0)-$AG259)</f>
        <v/>
      </c>
      <c r="AI259" s="11">
        <f>IF($A259="","",IFERROR(INDEX('2_IMPORTAR_EJECUCION'!$F$9:$F$1208,MATCH($AQ259,'2_IMPORTAR_EJECUCION'!$J$9:$J$1208,0)),0))</f>
        <v/>
      </c>
      <c r="AJ259" s="11">
        <f>IF($A259="","",MAX(0,IFERROR(INDEX('2_IMPORTAR_EJECUCION'!$H$9:$H$1208,MATCH($AQ259,'2_IMPORTAR_EJECUCION'!$J$9:$J$1208,0)),0)-$AI259))</f>
        <v/>
      </c>
      <c r="AK259" s="11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IF($H260="","",IFERROR(INDEX('CAT_ACTIVIDADES'!$B$4:$B$8,MATCH($H260,'CAT_ACTIVIDADES'!$A$4:$A$8,0)),"(sin catálogo)"))</f>
        <v/>
      </c>
      <c r="AA260" s="13">
        <f>IF($J260="","",TODAY()-$J260)</f>
        <v/>
      </c>
      <c r="AB260" s="13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IF($AE260="","",IF((IFERROR(INDEX('ASIGNACIONES'!$J$4:$J$451,MATCH($O260&amp;"|"&amp;$R260&amp;"|"&amp;$AE260,'ASIGNACIONES'!$N$4:$N$451,0)),""))=0,"",IFERROR(INDEX('ASIGNACIONES'!$J$4:$J$451,MATCH($O260&amp;"|"&amp;$R260&amp;"|"&amp;$AE260,'ASIGNACIONES'!$N$4:$N$451,0)),"")))</f>
        <v/>
      </c>
      <c r="AG260" s="14">
        <f>IF($AE260="","",SUMIFS('ORDENES'!$M$4:$M$1203,'ORDENES'!$AE$4:$AE$1203,$AE260,'ORDENES'!$O$4:$O$1203,$O260,'ORDENES'!$R$4:$R$1203,$R260))</f>
        <v/>
      </c>
      <c r="AH260" s="14">
        <f>IF($AG260="","",p_factor_productividad*IFERROR(INDEX('ASIGNACIONES'!$M$4:$M$451,MATCH($O260&amp;"|"&amp;$R260&amp;"|"&amp;$AE260,'ASIGNACIONES'!$N$4:$N$451,0)),0)-$AG260)</f>
        <v/>
      </c>
      <c r="AI260" s="11">
        <f>IF($A260="","",IFERROR(INDEX('2_IMPORTAR_EJECUCION'!$F$9:$F$1208,MATCH($AQ260,'2_IMPORTAR_EJECUCION'!$J$9:$J$1208,0)),0))</f>
        <v/>
      </c>
      <c r="AJ260" s="11">
        <f>IF($A260="","",MAX(0,IFERROR(INDEX('2_IMPORTAR_EJECUCION'!$H$9:$H$1208,MATCH($AQ260,'2_IMPORTAR_EJECUCION'!$J$9:$J$1208,0)),0)-$AI260))</f>
        <v/>
      </c>
      <c r="AK260" s="11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IF($H261="","",IFERROR(INDEX('CAT_ACTIVIDADES'!$B$4:$B$8,MATCH($H261,'CAT_ACTIVIDADES'!$A$4:$A$8,0)),"(sin catálogo)"))</f>
        <v/>
      </c>
      <c r="AA261" s="13">
        <f>IF($J261="","",TODAY()-$J261)</f>
        <v/>
      </c>
      <c r="AB261" s="13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IF($AE261="","",IF((IFERROR(INDEX('ASIGNACIONES'!$J$4:$J$451,MATCH($O261&amp;"|"&amp;$R261&amp;"|"&amp;$AE261,'ASIGNACIONES'!$N$4:$N$451,0)),""))=0,"",IFERROR(INDEX('ASIGNACIONES'!$J$4:$J$451,MATCH($O261&amp;"|"&amp;$R261&amp;"|"&amp;$AE261,'ASIGNACIONES'!$N$4:$N$451,0)),"")))</f>
        <v/>
      </c>
      <c r="AG261" s="14">
        <f>IF($AE261="","",SUMIFS('ORDENES'!$M$4:$M$1203,'ORDENES'!$AE$4:$AE$1203,$AE261,'ORDENES'!$O$4:$O$1203,$O261,'ORDENES'!$R$4:$R$1203,$R261))</f>
        <v/>
      </c>
      <c r="AH261" s="14">
        <f>IF($AG261="","",p_factor_productividad*IFERROR(INDEX('ASIGNACIONES'!$M$4:$M$451,MATCH($O261&amp;"|"&amp;$R261&amp;"|"&amp;$AE261,'ASIGNACIONES'!$N$4:$N$451,0)),0)-$AG261)</f>
        <v/>
      </c>
      <c r="AI261" s="11">
        <f>IF($A261="","",IFERROR(INDEX('2_IMPORTAR_EJECUCION'!$F$9:$F$1208,MATCH($AQ261,'2_IMPORTAR_EJECUCION'!$J$9:$J$1208,0)),0))</f>
        <v/>
      </c>
      <c r="AJ261" s="11">
        <f>IF($A261="","",MAX(0,IFERROR(INDEX('2_IMPORTAR_EJECUCION'!$H$9:$H$1208,MATCH($AQ261,'2_IMPORTAR_EJECUCION'!$J$9:$J$1208,0)),0)-$AI261))</f>
        <v/>
      </c>
      <c r="AK261" s="11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IF($H262="","",IFERROR(INDEX('CAT_ACTIVIDADES'!$B$4:$B$8,MATCH($H262,'CAT_ACTIVIDADES'!$A$4:$A$8,0)),"(sin catálogo)"))</f>
        <v/>
      </c>
      <c r="AA262" s="13">
        <f>IF($J262="","",TODAY()-$J262)</f>
        <v/>
      </c>
      <c r="AB262" s="13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IF($AE262="","",IF((IFERROR(INDEX('ASIGNACIONES'!$J$4:$J$451,MATCH($O262&amp;"|"&amp;$R262&amp;"|"&amp;$AE262,'ASIGNACIONES'!$N$4:$N$451,0)),""))=0,"",IFERROR(INDEX('ASIGNACIONES'!$J$4:$J$451,MATCH($O262&amp;"|"&amp;$R262&amp;"|"&amp;$AE262,'ASIGNACIONES'!$N$4:$N$451,0)),"")))</f>
        <v/>
      </c>
      <c r="AG262" s="14">
        <f>IF($AE262="","",SUMIFS('ORDENES'!$M$4:$M$1203,'ORDENES'!$AE$4:$AE$1203,$AE262,'ORDENES'!$O$4:$O$1203,$O262,'ORDENES'!$R$4:$R$1203,$R262))</f>
        <v/>
      </c>
      <c r="AH262" s="14">
        <f>IF($AG262="","",p_factor_productividad*IFERROR(INDEX('ASIGNACIONES'!$M$4:$M$451,MATCH($O262&amp;"|"&amp;$R262&amp;"|"&amp;$AE262,'ASIGNACIONES'!$N$4:$N$451,0)),0)-$AG262)</f>
        <v/>
      </c>
      <c r="AI262" s="11">
        <f>IF($A262="","",IFERROR(INDEX('2_IMPORTAR_EJECUCION'!$F$9:$F$1208,MATCH($AQ262,'2_IMPORTAR_EJECUCION'!$J$9:$J$1208,0)),0))</f>
        <v/>
      </c>
      <c r="AJ262" s="11">
        <f>IF($A262="","",MAX(0,IFERROR(INDEX('2_IMPORTAR_EJECUCION'!$H$9:$H$1208,MATCH($AQ262,'2_IMPORTAR_EJECUCION'!$J$9:$J$1208,0)),0)-$AI262))</f>
        <v/>
      </c>
      <c r="AK262" s="11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IF($H263="","",IFERROR(INDEX('CAT_ACTIVIDADES'!$B$4:$B$8,MATCH($H263,'CAT_ACTIVIDADES'!$A$4:$A$8,0)),"(sin catálogo)"))</f>
        <v/>
      </c>
      <c r="AA263" s="13">
        <f>IF($J263="","",TODAY()-$J263)</f>
        <v/>
      </c>
      <c r="AB263" s="13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IF($AE263="","",IF((IFERROR(INDEX('ASIGNACIONES'!$J$4:$J$451,MATCH($O263&amp;"|"&amp;$R263&amp;"|"&amp;$AE263,'ASIGNACIONES'!$N$4:$N$451,0)),""))=0,"",IFERROR(INDEX('ASIGNACIONES'!$J$4:$J$451,MATCH($O263&amp;"|"&amp;$R263&amp;"|"&amp;$AE263,'ASIGNACIONES'!$N$4:$N$451,0)),"")))</f>
        <v/>
      </c>
      <c r="AG263" s="14">
        <f>IF($AE263="","",SUMIFS('ORDENES'!$M$4:$M$1203,'ORDENES'!$AE$4:$AE$1203,$AE263,'ORDENES'!$O$4:$O$1203,$O263,'ORDENES'!$R$4:$R$1203,$R263))</f>
        <v/>
      </c>
      <c r="AH263" s="14">
        <f>IF($AG263="","",p_factor_productividad*IFERROR(INDEX('ASIGNACIONES'!$M$4:$M$451,MATCH($O263&amp;"|"&amp;$R263&amp;"|"&amp;$AE263,'ASIGNACIONES'!$N$4:$N$451,0)),0)-$AG263)</f>
        <v/>
      </c>
      <c r="AI263" s="11">
        <f>IF($A263="","",IFERROR(INDEX('2_IMPORTAR_EJECUCION'!$F$9:$F$1208,MATCH($AQ263,'2_IMPORTAR_EJECUCION'!$J$9:$J$1208,0)),0))</f>
        <v/>
      </c>
      <c r="AJ263" s="11">
        <f>IF($A263="","",MAX(0,IFERROR(INDEX('2_IMPORTAR_EJECUCION'!$H$9:$H$1208,MATCH($AQ263,'2_IMPORTAR_EJECUCION'!$J$9:$J$1208,0)),0)-$AI263))</f>
        <v/>
      </c>
      <c r="AK263" s="11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IF($H264="","",IFERROR(INDEX('CAT_ACTIVIDADES'!$B$4:$B$8,MATCH($H264,'CAT_ACTIVIDADES'!$A$4:$A$8,0)),"(sin catálogo)"))</f>
        <v/>
      </c>
      <c r="AA264" s="13">
        <f>IF($J264="","",TODAY()-$J264)</f>
        <v/>
      </c>
      <c r="AB264" s="13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IF($AE264="","",IF((IFERROR(INDEX('ASIGNACIONES'!$J$4:$J$451,MATCH($O264&amp;"|"&amp;$R264&amp;"|"&amp;$AE264,'ASIGNACIONES'!$N$4:$N$451,0)),""))=0,"",IFERROR(INDEX('ASIGNACIONES'!$J$4:$J$451,MATCH($O264&amp;"|"&amp;$R264&amp;"|"&amp;$AE264,'ASIGNACIONES'!$N$4:$N$451,0)),"")))</f>
        <v/>
      </c>
      <c r="AG264" s="14">
        <f>IF($AE264="","",SUMIFS('ORDENES'!$M$4:$M$1203,'ORDENES'!$AE$4:$AE$1203,$AE264,'ORDENES'!$O$4:$O$1203,$O264,'ORDENES'!$R$4:$R$1203,$R264))</f>
        <v/>
      </c>
      <c r="AH264" s="14">
        <f>IF($AG264="","",p_factor_productividad*IFERROR(INDEX('ASIGNACIONES'!$M$4:$M$451,MATCH($O264&amp;"|"&amp;$R264&amp;"|"&amp;$AE264,'ASIGNACIONES'!$N$4:$N$451,0)),0)-$AG264)</f>
        <v/>
      </c>
      <c r="AI264" s="11">
        <f>IF($A264="","",IFERROR(INDEX('2_IMPORTAR_EJECUCION'!$F$9:$F$1208,MATCH($AQ264,'2_IMPORTAR_EJECUCION'!$J$9:$J$1208,0)),0))</f>
        <v/>
      </c>
      <c r="AJ264" s="11">
        <f>IF($A264="","",MAX(0,IFERROR(INDEX('2_IMPORTAR_EJECUCION'!$H$9:$H$1208,MATCH($AQ264,'2_IMPORTAR_EJECUCION'!$J$9:$J$1208,0)),0)-$AI264))</f>
        <v/>
      </c>
      <c r="AK264" s="11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IF($H265="","",IFERROR(INDEX('CAT_ACTIVIDADES'!$B$4:$B$8,MATCH($H265,'CAT_ACTIVIDADES'!$A$4:$A$8,0)),"(sin catálogo)"))</f>
        <v/>
      </c>
      <c r="AA265" s="13">
        <f>IF($J265="","",TODAY()-$J265)</f>
        <v/>
      </c>
      <c r="AB265" s="13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IF($AE265="","",IF((IFERROR(INDEX('ASIGNACIONES'!$J$4:$J$451,MATCH($O265&amp;"|"&amp;$R265&amp;"|"&amp;$AE265,'ASIGNACIONES'!$N$4:$N$451,0)),""))=0,"",IFERROR(INDEX('ASIGNACIONES'!$J$4:$J$451,MATCH($O265&amp;"|"&amp;$R265&amp;"|"&amp;$AE265,'ASIGNACIONES'!$N$4:$N$451,0)),"")))</f>
        <v/>
      </c>
      <c r="AG265" s="14">
        <f>IF($AE265="","",SUMIFS('ORDENES'!$M$4:$M$1203,'ORDENES'!$AE$4:$AE$1203,$AE265,'ORDENES'!$O$4:$O$1203,$O265,'ORDENES'!$R$4:$R$1203,$R265))</f>
        <v/>
      </c>
      <c r="AH265" s="14">
        <f>IF($AG265="","",p_factor_productividad*IFERROR(INDEX('ASIGNACIONES'!$M$4:$M$451,MATCH($O265&amp;"|"&amp;$R265&amp;"|"&amp;$AE265,'ASIGNACIONES'!$N$4:$N$451,0)),0)-$AG265)</f>
        <v/>
      </c>
      <c r="AI265" s="11">
        <f>IF($A265="","",IFERROR(INDEX('2_IMPORTAR_EJECUCION'!$F$9:$F$1208,MATCH($AQ265,'2_IMPORTAR_EJECUCION'!$J$9:$J$1208,0)),0))</f>
        <v/>
      </c>
      <c r="AJ265" s="11">
        <f>IF($A265="","",MAX(0,IFERROR(INDEX('2_IMPORTAR_EJECUCION'!$H$9:$H$1208,MATCH($AQ265,'2_IMPORTAR_EJECUCION'!$J$9:$J$1208,0)),0)-$AI265))</f>
        <v/>
      </c>
      <c r="AK265" s="11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IF($H266="","",IFERROR(INDEX('CAT_ACTIVIDADES'!$B$4:$B$8,MATCH($H266,'CAT_ACTIVIDADES'!$A$4:$A$8,0)),"(sin catálogo)"))</f>
        <v/>
      </c>
      <c r="AA266" s="13">
        <f>IF($J266="","",TODAY()-$J266)</f>
        <v/>
      </c>
      <c r="AB266" s="13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IF($AE266="","",IF((IFERROR(INDEX('ASIGNACIONES'!$J$4:$J$451,MATCH($O266&amp;"|"&amp;$R266&amp;"|"&amp;$AE266,'ASIGNACIONES'!$N$4:$N$451,0)),""))=0,"",IFERROR(INDEX('ASIGNACIONES'!$J$4:$J$451,MATCH($O266&amp;"|"&amp;$R266&amp;"|"&amp;$AE266,'ASIGNACIONES'!$N$4:$N$451,0)),"")))</f>
        <v/>
      </c>
      <c r="AG266" s="14">
        <f>IF($AE266="","",SUMIFS('ORDENES'!$M$4:$M$1203,'ORDENES'!$AE$4:$AE$1203,$AE266,'ORDENES'!$O$4:$O$1203,$O266,'ORDENES'!$R$4:$R$1203,$R266))</f>
        <v/>
      </c>
      <c r="AH266" s="14">
        <f>IF($AG266="","",p_factor_productividad*IFERROR(INDEX('ASIGNACIONES'!$M$4:$M$451,MATCH($O266&amp;"|"&amp;$R266&amp;"|"&amp;$AE266,'ASIGNACIONES'!$N$4:$N$451,0)),0)-$AG266)</f>
        <v/>
      </c>
      <c r="AI266" s="11">
        <f>IF($A266="","",IFERROR(INDEX('2_IMPORTAR_EJECUCION'!$F$9:$F$1208,MATCH($AQ266,'2_IMPORTAR_EJECUCION'!$J$9:$J$1208,0)),0))</f>
        <v/>
      </c>
      <c r="AJ266" s="11">
        <f>IF($A266="","",MAX(0,IFERROR(INDEX('2_IMPORTAR_EJECUCION'!$H$9:$H$1208,MATCH($AQ266,'2_IMPORTAR_EJECUCION'!$J$9:$J$1208,0)),0)-$AI266))</f>
        <v/>
      </c>
      <c r="AK266" s="11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IF($H267="","",IFERROR(INDEX('CAT_ACTIVIDADES'!$B$4:$B$8,MATCH($H267,'CAT_ACTIVIDADES'!$A$4:$A$8,0)),"(sin catálogo)"))</f>
        <v/>
      </c>
      <c r="AA267" s="13">
        <f>IF($J267="","",TODAY()-$J267)</f>
        <v/>
      </c>
      <c r="AB267" s="13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IF($AE267="","",IF((IFERROR(INDEX('ASIGNACIONES'!$J$4:$J$451,MATCH($O267&amp;"|"&amp;$R267&amp;"|"&amp;$AE267,'ASIGNACIONES'!$N$4:$N$451,0)),""))=0,"",IFERROR(INDEX('ASIGNACIONES'!$J$4:$J$451,MATCH($O267&amp;"|"&amp;$R267&amp;"|"&amp;$AE267,'ASIGNACIONES'!$N$4:$N$451,0)),"")))</f>
        <v/>
      </c>
      <c r="AG267" s="14">
        <f>IF($AE267="","",SUMIFS('ORDENES'!$M$4:$M$1203,'ORDENES'!$AE$4:$AE$1203,$AE267,'ORDENES'!$O$4:$O$1203,$O267,'ORDENES'!$R$4:$R$1203,$R267))</f>
        <v/>
      </c>
      <c r="AH267" s="14">
        <f>IF($AG267="","",p_factor_productividad*IFERROR(INDEX('ASIGNACIONES'!$M$4:$M$451,MATCH($O267&amp;"|"&amp;$R267&amp;"|"&amp;$AE267,'ASIGNACIONES'!$N$4:$N$451,0)),0)-$AG267)</f>
        <v/>
      </c>
      <c r="AI267" s="11">
        <f>IF($A267="","",IFERROR(INDEX('2_IMPORTAR_EJECUCION'!$F$9:$F$1208,MATCH($AQ267,'2_IMPORTAR_EJECUCION'!$J$9:$J$1208,0)),0))</f>
        <v/>
      </c>
      <c r="AJ267" s="11">
        <f>IF($A267="","",MAX(0,IFERROR(INDEX('2_IMPORTAR_EJECUCION'!$H$9:$H$1208,MATCH($AQ267,'2_IMPORTAR_EJECUCION'!$J$9:$J$1208,0)),0)-$AI267))</f>
        <v/>
      </c>
      <c r="AK267" s="11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IF($H268="","",IFERROR(INDEX('CAT_ACTIVIDADES'!$B$4:$B$8,MATCH($H268,'CAT_ACTIVIDADES'!$A$4:$A$8,0)),"(sin catálogo)"))</f>
        <v/>
      </c>
      <c r="AA268" s="13">
        <f>IF($J268="","",TODAY()-$J268)</f>
        <v/>
      </c>
      <c r="AB268" s="13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IF($AE268="","",IF((IFERROR(INDEX('ASIGNACIONES'!$J$4:$J$451,MATCH($O268&amp;"|"&amp;$R268&amp;"|"&amp;$AE268,'ASIGNACIONES'!$N$4:$N$451,0)),""))=0,"",IFERROR(INDEX('ASIGNACIONES'!$J$4:$J$451,MATCH($O268&amp;"|"&amp;$R268&amp;"|"&amp;$AE268,'ASIGNACIONES'!$N$4:$N$451,0)),"")))</f>
        <v/>
      </c>
      <c r="AG268" s="14">
        <f>IF($AE268="","",SUMIFS('ORDENES'!$M$4:$M$1203,'ORDENES'!$AE$4:$AE$1203,$AE268,'ORDENES'!$O$4:$O$1203,$O268,'ORDENES'!$R$4:$R$1203,$R268))</f>
        <v/>
      </c>
      <c r="AH268" s="14">
        <f>IF($AG268="","",p_factor_productividad*IFERROR(INDEX('ASIGNACIONES'!$M$4:$M$451,MATCH($O268&amp;"|"&amp;$R268&amp;"|"&amp;$AE268,'ASIGNACIONES'!$N$4:$N$451,0)),0)-$AG268)</f>
        <v/>
      </c>
      <c r="AI268" s="11">
        <f>IF($A268="","",IFERROR(INDEX('2_IMPORTAR_EJECUCION'!$F$9:$F$1208,MATCH($AQ268,'2_IMPORTAR_EJECUCION'!$J$9:$J$1208,0)),0))</f>
        <v/>
      </c>
      <c r="AJ268" s="11">
        <f>IF($A268="","",MAX(0,IFERROR(INDEX('2_IMPORTAR_EJECUCION'!$H$9:$H$1208,MATCH($AQ268,'2_IMPORTAR_EJECUCION'!$J$9:$J$1208,0)),0)-$AI268))</f>
        <v/>
      </c>
      <c r="AK268" s="11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IF($H269="","",IFERROR(INDEX('CAT_ACTIVIDADES'!$B$4:$B$8,MATCH($H269,'CAT_ACTIVIDADES'!$A$4:$A$8,0)),"(sin catálogo)"))</f>
        <v/>
      </c>
      <c r="AA269" s="13">
        <f>IF($J269="","",TODAY()-$J269)</f>
        <v/>
      </c>
      <c r="AB269" s="13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IF($AE269="","",IF((IFERROR(INDEX('ASIGNACIONES'!$J$4:$J$451,MATCH($O269&amp;"|"&amp;$R269&amp;"|"&amp;$AE269,'ASIGNACIONES'!$N$4:$N$451,0)),""))=0,"",IFERROR(INDEX('ASIGNACIONES'!$J$4:$J$451,MATCH($O269&amp;"|"&amp;$R269&amp;"|"&amp;$AE269,'ASIGNACIONES'!$N$4:$N$451,0)),"")))</f>
        <v/>
      </c>
      <c r="AG269" s="14">
        <f>IF($AE269="","",SUMIFS('ORDENES'!$M$4:$M$1203,'ORDENES'!$AE$4:$AE$1203,$AE269,'ORDENES'!$O$4:$O$1203,$O269,'ORDENES'!$R$4:$R$1203,$R269))</f>
        <v/>
      </c>
      <c r="AH269" s="14">
        <f>IF($AG269="","",p_factor_productividad*IFERROR(INDEX('ASIGNACIONES'!$M$4:$M$451,MATCH($O269&amp;"|"&amp;$R269&amp;"|"&amp;$AE269,'ASIGNACIONES'!$N$4:$N$451,0)),0)-$AG269)</f>
        <v/>
      </c>
      <c r="AI269" s="11">
        <f>IF($A269="","",IFERROR(INDEX('2_IMPORTAR_EJECUCION'!$F$9:$F$1208,MATCH($AQ269,'2_IMPORTAR_EJECUCION'!$J$9:$J$1208,0)),0))</f>
        <v/>
      </c>
      <c r="AJ269" s="11">
        <f>IF($A269="","",MAX(0,IFERROR(INDEX('2_IMPORTAR_EJECUCION'!$H$9:$H$1208,MATCH($AQ269,'2_IMPORTAR_EJECUCION'!$J$9:$J$1208,0)),0)-$AI269))</f>
        <v/>
      </c>
      <c r="AK269" s="11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IF($H270="","",IFERROR(INDEX('CAT_ACTIVIDADES'!$B$4:$B$8,MATCH($H270,'CAT_ACTIVIDADES'!$A$4:$A$8,0)),"(sin catálogo)"))</f>
        <v/>
      </c>
      <c r="AA270" s="13">
        <f>IF($J270="","",TODAY()-$J270)</f>
        <v/>
      </c>
      <c r="AB270" s="13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IF($AE270="","",IF((IFERROR(INDEX('ASIGNACIONES'!$J$4:$J$451,MATCH($O270&amp;"|"&amp;$R270&amp;"|"&amp;$AE270,'ASIGNACIONES'!$N$4:$N$451,0)),""))=0,"",IFERROR(INDEX('ASIGNACIONES'!$J$4:$J$451,MATCH($O270&amp;"|"&amp;$R270&amp;"|"&amp;$AE270,'ASIGNACIONES'!$N$4:$N$451,0)),"")))</f>
        <v/>
      </c>
      <c r="AG270" s="14">
        <f>IF($AE270="","",SUMIFS('ORDENES'!$M$4:$M$1203,'ORDENES'!$AE$4:$AE$1203,$AE270,'ORDENES'!$O$4:$O$1203,$O270,'ORDENES'!$R$4:$R$1203,$R270))</f>
        <v/>
      </c>
      <c r="AH270" s="14">
        <f>IF($AG270="","",p_factor_productividad*IFERROR(INDEX('ASIGNACIONES'!$M$4:$M$451,MATCH($O270&amp;"|"&amp;$R270&amp;"|"&amp;$AE270,'ASIGNACIONES'!$N$4:$N$451,0)),0)-$AG270)</f>
        <v/>
      </c>
      <c r="AI270" s="11">
        <f>IF($A270="","",IFERROR(INDEX('2_IMPORTAR_EJECUCION'!$F$9:$F$1208,MATCH($AQ270,'2_IMPORTAR_EJECUCION'!$J$9:$J$1208,0)),0))</f>
        <v/>
      </c>
      <c r="AJ270" s="11">
        <f>IF($A270="","",MAX(0,IFERROR(INDEX('2_IMPORTAR_EJECUCION'!$H$9:$H$1208,MATCH($AQ270,'2_IMPORTAR_EJECUCION'!$J$9:$J$1208,0)),0)-$AI270))</f>
        <v/>
      </c>
      <c r="AK270" s="11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IF($H271="","",IFERROR(INDEX('CAT_ACTIVIDADES'!$B$4:$B$8,MATCH($H271,'CAT_ACTIVIDADES'!$A$4:$A$8,0)),"(sin catálogo)"))</f>
        <v/>
      </c>
      <c r="AA271" s="13">
        <f>IF($J271="","",TODAY()-$J271)</f>
        <v/>
      </c>
      <c r="AB271" s="13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IF($AE271="","",IF((IFERROR(INDEX('ASIGNACIONES'!$J$4:$J$451,MATCH($O271&amp;"|"&amp;$R271&amp;"|"&amp;$AE271,'ASIGNACIONES'!$N$4:$N$451,0)),""))=0,"",IFERROR(INDEX('ASIGNACIONES'!$J$4:$J$451,MATCH($O271&amp;"|"&amp;$R271&amp;"|"&amp;$AE271,'ASIGNACIONES'!$N$4:$N$451,0)),"")))</f>
        <v/>
      </c>
      <c r="AG271" s="14">
        <f>IF($AE271="","",SUMIFS('ORDENES'!$M$4:$M$1203,'ORDENES'!$AE$4:$AE$1203,$AE271,'ORDENES'!$O$4:$O$1203,$O271,'ORDENES'!$R$4:$R$1203,$R271))</f>
        <v/>
      </c>
      <c r="AH271" s="14">
        <f>IF($AG271="","",p_factor_productividad*IFERROR(INDEX('ASIGNACIONES'!$M$4:$M$451,MATCH($O271&amp;"|"&amp;$R271&amp;"|"&amp;$AE271,'ASIGNACIONES'!$N$4:$N$451,0)),0)-$AG271)</f>
        <v/>
      </c>
      <c r="AI271" s="11">
        <f>IF($A271="","",IFERROR(INDEX('2_IMPORTAR_EJECUCION'!$F$9:$F$1208,MATCH($AQ271,'2_IMPORTAR_EJECUCION'!$J$9:$J$1208,0)),0))</f>
        <v/>
      </c>
      <c r="AJ271" s="11">
        <f>IF($A271="","",MAX(0,IFERROR(INDEX('2_IMPORTAR_EJECUCION'!$H$9:$H$1208,MATCH($AQ271,'2_IMPORTAR_EJECUCION'!$J$9:$J$1208,0)),0)-$AI271))</f>
        <v/>
      </c>
      <c r="AK271" s="11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IF($H272="","",IFERROR(INDEX('CAT_ACTIVIDADES'!$B$4:$B$8,MATCH($H272,'CAT_ACTIVIDADES'!$A$4:$A$8,0)),"(sin catálogo)"))</f>
        <v/>
      </c>
      <c r="AA272" s="13">
        <f>IF($J272="","",TODAY()-$J272)</f>
        <v/>
      </c>
      <c r="AB272" s="13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IF($AE272="","",IF((IFERROR(INDEX('ASIGNACIONES'!$J$4:$J$451,MATCH($O272&amp;"|"&amp;$R272&amp;"|"&amp;$AE272,'ASIGNACIONES'!$N$4:$N$451,0)),""))=0,"",IFERROR(INDEX('ASIGNACIONES'!$J$4:$J$451,MATCH($O272&amp;"|"&amp;$R272&amp;"|"&amp;$AE272,'ASIGNACIONES'!$N$4:$N$451,0)),"")))</f>
        <v/>
      </c>
      <c r="AG272" s="14">
        <f>IF($AE272="","",SUMIFS('ORDENES'!$M$4:$M$1203,'ORDENES'!$AE$4:$AE$1203,$AE272,'ORDENES'!$O$4:$O$1203,$O272,'ORDENES'!$R$4:$R$1203,$R272))</f>
        <v/>
      </c>
      <c r="AH272" s="14">
        <f>IF($AG272="","",p_factor_productividad*IFERROR(INDEX('ASIGNACIONES'!$M$4:$M$451,MATCH($O272&amp;"|"&amp;$R272&amp;"|"&amp;$AE272,'ASIGNACIONES'!$N$4:$N$451,0)),0)-$AG272)</f>
        <v/>
      </c>
      <c r="AI272" s="11">
        <f>IF($A272="","",IFERROR(INDEX('2_IMPORTAR_EJECUCION'!$F$9:$F$1208,MATCH($AQ272,'2_IMPORTAR_EJECUCION'!$J$9:$J$1208,0)),0))</f>
        <v/>
      </c>
      <c r="AJ272" s="11">
        <f>IF($A272="","",MAX(0,IFERROR(INDEX('2_IMPORTAR_EJECUCION'!$H$9:$H$1208,MATCH($AQ272,'2_IMPORTAR_EJECUCION'!$J$9:$J$1208,0)),0)-$AI272))</f>
        <v/>
      </c>
      <c r="AK272" s="11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IF($H273="","",IFERROR(INDEX('CAT_ACTIVIDADES'!$B$4:$B$8,MATCH($H273,'CAT_ACTIVIDADES'!$A$4:$A$8,0)),"(sin catálogo)"))</f>
        <v/>
      </c>
      <c r="AA273" s="13">
        <f>IF($J273="","",TODAY()-$J273)</f>
        <v/>
      </c>
      <c r="AB273" s="13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IF($AE273="","",IF((IFERROR(INDEX('ASIGNACIONES'!$J$4:$J$451,MATCH($O273&amp;"|"&amp;$R273&amp;"|"&amp;$AE273,'ASIGNACIONES'!$N$4:$N$451,0)),""))=0,"",IFERROR(INDEX('ASIGNACIONES'!$J$4:$J$451,MATCH($O273&amp;"|"&amp;$R273&amp;"|"&amp;$AE273,'ASIGNACIONES'!$N$4:$N$451,0)),"")))</f>
        <v/>
      </c>
      <c r="AG273" s="14">
        <f>IF($AE273="","",SUMIFS('ORDENES'!$M$4:$M$1203,'ORDENES'!$AE$4:$AE$1203,$AE273,'ORDENES'!$O$4:$O$1203,$O273,'ORDENES'!$R$4:$R$1203,$R273))</f>
        <v/>
      </c>
      <c r="AH273" s="14">
        <f>IF($AG273="","",p_factor_productividad*IFERROR(INDEX('ASIGNACIONES'!$M$4:$M$451,MATCH($O273&amp;"|"&amp;$R273&amp;"|"&amp;$AE273,'ASIGNACIONES'!$N$4:$N$451,0)),0)-$AG273)</f>
        <v/>
      </c>
      <c r="AI273" s="11">
        <f>IF($A273="","",IFERROR(INDEX('2_IMPORTAR_EJECUCION'!$F$9:$F$1208,MATCH($AQ273,'2_IMPORTAR_EJECUCION'!$J$9:$J$1208,0)),0))</f>
        <v/>
      </c>
      <c r="AJ273" s="11">
        <f>IF($A273="","",MAX(0,IFERROR(INDEX('2_IMPORTAR_EJECUCION'!$H$9:$H$1208,MATCH($AQ273,'2_IMPORTAR_EJECUCION'!$J$9:$J$1208,0)),0)-$AI273))</f>
        <v/>
      </c>
      <c r="AK273" s="11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IF($H274="","",IFERROR(INDEX('CAT_ACTIVIDADES'!$B$4:$B$8,MATCH($H274,'CAT_ACTIVIDADES'!$A$4:$A$8,0)),"(sin catálogo)"))</f>
        <v/>
      </c>
      <c r="AA274" s="13">
        <f>IF($J274="","",TODAY()-$J274)</f>
        <v/>
      </c>
      <c r="AB274" s="13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IF($AE274="","",IF((IFERROR(INDEX('ASIGNACIONES'!$J$4:$J$451,MATCH($O274&amp;"|"&amp;$R274&amp;"|"&amp;$AE274,'ASIGNACIONES'!$N$4:$N$451,0)),""))=0,"",IFERROR(INDEX('ASIGNACIONES'!$J$4:$J$451,MATCH($O274&amp;"|"&amp;$R274&amp;"|"&amp;$AE274,'ASIGNACIONES'!$N$4:$N$451,0)),"")))</f>
        <v/>
      </c>
      <c r="AG274" s="14">
        <f>IF($AE274="","",SUMIFS('ORDENES'!$M$4:$M$1203,'ORDENES'!$AE$4:$AE$1203,$AE274,'ORDENES'!$O$4:$O$1203,$O274,'ORDENES'!$R$4:$R$1203,$R274))</f>
        <v/>
      </c>
      <c r="AH274" s="14">
        <f>IF($AG274="","",p_factor_productividad*IFERROR(INDEX('ASIGNACIONES'!$M$4:$M$451,MATCH($O274&amp;"|"&amp;$R274&amp;"|"&amp;$AE274,'ASIGNACIONES'!$N$4:$N$451,0)),0)-$AG274)</f>
        <v/>
      </c>
      <c r="AI274" s="11">
        <f>IF($A274="","",IFERROR(INDEX('2_IMPORTAR_EJECUCION'!$F$9:$F$1208,MATCH($AQ274,'2_IMPORTAR_EJECUCION'!$J$9:$J$1208,0)),0))</f>
        <v/>
      </c>
      <c r="AJ274" s="11">
        <f>IF($A274="","",MAX(0,IFERROR(INDEX('2_IMPORTAR_EJECUCION'!$H$9:$H$1208,MATCH($AQ274,'2_IMPORTAR_EJECUCION'!$J$9:$J$1208,0)),0)-$AI274))</f>
        <v/>
      </c>
      <c r="AK274" s="11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IF($H275="","",IFERROR(INDEX('CAT_ACTIVIDADES'!$B$4:$B$8,MATCH($H275,'CAT_ACTIVIDADES'!$A$4:$A$8,0)),"(sin catálogo)"))</f>
        <v/>
      </c>
      <c r="AA275" s="13">
        <f>IF($J275="","",TODAY()-$J275)</f>
        <v/>
      </c>
      <c r="AB275" s="13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IF($AE275="","",IF((IFERROR(INDEX('ASIGNACIONES'!$J$4:$J$451,MATCH($O275&amp;"|"&amp;$R275&amp;"|"&amp;$AE275,'ASIGNACIONES'!$N$4:$N$451,0)),""))=0,"",IFERROR(INDEX('ASIGNACIONES'!$J$4:$J$451,MATCH($O275&amp;"|"&amp;$R275&amp;"|"&amp;$AE275,'ASIGNACIONES'!$N$4:$N$451,0)),"")))</f>
        <v/>
      </c>
      <c r="AG275" s="14">
        <f>IF($AE275="","",SUMIFS('ORDENES'!$M$4:$M$1203,'ORDENES'!$AE$4:$AE$1203,$AE275,'ORDENES'!$O$4:$O$1203,$O275,'ORDENES'!$R$4:$R$1203,$R275))</f>
        <v/>
      </c>
      <c r="AH275" s="14">
        <f>IF($AG275="","",p_factor_productividad*IFERROR(INDEX('ASIGNACIONES'!$M$4:$M$451,MATCH($O275&amp;"|"&amp;$R275&amp;"|"&amp;$AE275,'ASIGNACIONES'!$N$4:$N$451,0)),0)-$AG275)</f>
        <v/>
      </c>
      <c r="AI275" s="11">
        <f>IF($A275="","",IFERROR(INDEX('2_IMPORTAR_EJECUCION'!$F$9:$F$1208,MATCH($AQ275,'2_IMPORTAR_EJECUCION'!$J$9:$J$1208,0)),0))</f>
        <v/>
      </c>
      <c r="AJ275" s="11">
        <f>IF($A275="","",MAX(0,IFERROR(INDEX('2_IMPORTAR_EJECUCION'!$H$9:$H$1208,MATCH($AQ275,'2_IMPORTAR_EJECUCION'!$J$9:$J$1208,0)),0)-$AI275))</f>
        <v/>
      </c>
      <c r="AK275" s="11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IF($H276="","",IFERROR(INDEX('CAT_ACTIVIDADES'!$B$4:$B$8,MATCH($H276,'CAT_ACTIVIDADES'!$A$4:$A$8,0)),"(sin catálogo)"))</f>
        <v/>
      </c>
      <c r="AA276" s="13">
        <f>IF($J276="","",TODAY()-$J276)</f>
        <v/>
      </c>
      <c r="AB276" s="13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IF($AE276="","",IF((IFERROR(INDEX('ASIGNACIONES'!$J$4:$J$451,MATCH($O276&amp;"|"&amp;$R276&amp;"|"&amp;$AE276,'ASIGNACIONES'!$N$4:$N$451,0)),""))=0,"",IFERROR(INDEX('ASIGNACIONES'!$J$4:$J$451,MATCH($O276&amp;"|"&amp;$R276&amp;"|"&amp;$AE276,'ASIGNACIONES'!$N$4:$N$451,0)),"")))</f>
        <v/>
      </c>
      <c r="AG276" s="14">
        <f>IF($AE276="","",SUMIFS('ORDENES'!$M$4:$M$1203,'ORDENES'!$AE$4:$AE$1203,$AE276,'ORDENES'!$O$4:$O$1203,$O276,'ORDENES'!$R$4:$R$1203,$R276))</f>
        <v/>
      </c>
      <c r="AH276" s="14">
        <f>IF($AG276="","",p_factor_productividad*IFERROR(INDEX('ASIGNACIONES'!$M$4:$M$451,MATCH($O276&amp;"|"&amp;$R276&amp;"|"&amp;$AE276,'ASIGNACIONES'!$N$4:$N$451,0)),0)-$AG276)</f>
        <v/>
      </c>
      <c r="AI276" s="11">
        <f>IF($A276="","",IFERROR(INDEX('2_IMPORTAR_EJECUCION'!$F$9:$F$1208,MATCH($AQ276,'2_IMPORTAR_EJECUCION'!$J$9:$J$1208,0)),0))</f>
        <v/>
      </c>
      <c r="AJ276" s="11">
        <f>IF($A276="","",MAX(0,IFERROR(INDEX('2_IMPORTAR_EJECUCION'!$H$9:$H$1208,MATCH($AQ276,'2_IMPORTAR_EJECUCION'!$J$9:$J$1208,0)),0)-$AI276))</f>
        <v/>
      </c>
      <c r="AK276" s="11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IF($H277="","",IFERROR(INDEX('CAT_ACTIVIDADES'!$B$4:$B$8,MATCH($H277,'CAT_ACTIVIDADES'!$A$4:$A$8,0)),"(sin catálogo)"))</f>
        <v/>
      </c>
      <c r="AA277" s="13">
        <f>IF($J277="","",TODAY()-$J277)</f>
        <v/>
      </c>
      <c r="AB277" s="13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IF($AE277="","",IF((IFERROR(INDEX('ASIGNACIONES'!$J$4:$J$451,MATCH($O277&amp;"|"&amp;$R277&amp;"|"&amp;$AE277,'ASIGNACIONES'!$N$4:$N$451,0)),""))=0,"",IFERROR(INDEX('ASIGNACIONES'!$J$4:$J$451,MATCH($O277&amp;"|"&amp;$R277&amp;"|"&amp;$AE277,'ASIGNACIONES'!$N$4:$N$451,0)),"")))</f>
        <v/>
      </c>
      <c r="AG277" s="14">
        <f>IF($AE277="","",SUMIFS('ORDENES'!$M$4:$M$1203,'ORDENES'!$AE$4:$AE$1203,$AE277,'ORDENES'!$O$4:$O$1203,$O277,'ORDENES'!$R$4:$R$1203,$R277))</f>
        <v/>
      </c>
      <c r="AH277" s="14">
        <f>IF($AG277="","",p_factor_productividad*IFERROR(INDEX('ASIGNACIONES'!$M$4:$M$451,MATCH($O277&amp;"|"&amp;$R277&amp;"|"&amp;$AE277,'ASIGNACIONES'!$N$4:$N$451,0)),0)-$AG277)</f>
        <v/>
      </c>
      <c r="AI277" s="11">
        <f>IF($A277="","",IFERROR(INDEX('2_IMPORTAR_EJECUCION'!$F$9:$F$1208,MATCH($AQ277,'2_IMPORTAR_EJECUCION'!$J$9:$J$1208,0)),0))</f>
        <v/>
      </c>
      <c r="AJ277" s="11">
        <f>IF($A277="","",MAX(0,IFERROR(INDEX('2_IMPORTAR_EJECUCION'!$H$9:$H$1208,MATCH($AQ277,'2_IMPORTAR_EJECUCION'!$J$9:$J$1208,0)),0)-$AI277))</f>
        <v/>
      </c>
      <c r="AK277" s="11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IF($H278="","",IFERROR(INDEX('CAT_ACTIVIDADES'!$B$4:$B$8,MATCH($H278,'CAT_ACTIVIDADES'!$A$4:$A$8,0)),"(sin catálogo)"))</f>
        <v/>
      </c>
      <c r="AA278" s="13">
        <f>IF($J278="","",TODAY()-$J278)</f>
        <v/>
      </c>
      <c r="AB278" s="13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IF($AE278="","",IF((IFERROR(INDEX('ASIGNACIONES'!$J$4:$J$451,MATCH($O278&amp;"|"&amp;$R278&amp;"|"&amp;$AE278,'ASIGNACIONES'!$N$4:$N$451,0)),""))=0,"",IFERROR(INDEX('ASIGNACIONES'!$J$4:$J$451,MATCH($O278&amp;"|"&amp;$R278&amp;"|"&amp;$AE278,'ASIGNACIONES'!$N$4:$N$451,0)),"")))</f>
        <v/>
      </c>
      <c r="AG278" s="14">
        <f>IF($AE278="","",SUMIFS('ORDENES'!$M$4:$M$1203,'ORDENES'!$AE$4:$AE$1203,$AE278,'ORDENES'!$O$4:$O$1203,$O278,'ORDENES'!$R$4:$R$1203,$R278))</f>
        <v/>
      </c>
      <c r="AH278" s="14">
        <f>IF($AG278="","",p_factor_productividad*IFERROR(INDEX('ASIGNACIONES'!$M$4:$M$451,MATCH($O278&amp;"|"&amp;$R278&amp;"|"&amp;$AE278,'ASIGNACIONES'!$N$4:$N$451,0)),0)-$AG278)</f>
        <v/>
      </c>
      <c r="AI278" s="11">
        <f>IF($A278="","",IFERROR(INDEX('2_IMPORTAR_EJECUCION'!$F$9:$F$1208,MATCH($AQ278,'2_IMPORTAR_EJECUCION'!$J$9:$J$1208,0)),0))</f>
        <v/>
      </c>
      <c r="AJ278" s="11">
        <f>IF($A278="","",MAX(0,IFERROR(INDEX('2_IMPORTAR_EJECUCION'!$H$9:$H$1208,MATCH($AQ278,'2_IMPORTAR_EJECUCION'!$J$9:$J$1208,0)),0)-$AI278))</f>
        <v/>
      </c>
      <c r="AK278" s="11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IF($H279="","",IFERROR(INDEX('CAT_ACTIVIDADES'!$B$4:$B$8,MATCH($H279,'CAT_ACTIVIDADES'!$A$4:$A$8,0)),"(sin catálogo)"))</f>
        <v/>
      </c>
      <c r="AA279" s="13">
        <f>IF($J279="","",TODAY()-$J279)</f>
        <v/>
      </c>
      <c r="AB279" s="13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IF($AE279="","",IF((IFERROR(INDEX('ASIGNACIONES'!$J$4:$J$451,MATCH($O279&amp;"|"&amp;$R279&amp;"|"&amp;$AE279,'ASIGNACIONES'!$N$4:$N$451,0)),""))=0,"",IFERROR(INDEX('ASIGNACIONES'!$J$4:$J$451,MATCH($O279&amp;"|"&amp;$R279&amp;"|"&amp;$AE279,'ASIGNACIONES'!$N$4:$N$451,0)),"")))</f>
        <v/>
      </c>
      <c r="AG279" s="14">
        <f>IF($AE279="","",SUMIFS('ORDENES'!$M$4:$M$1203,'ORDENES'!$AE$4:$AE$1203,$AE279,'ORDENES'!$O$4:$O$1203,$O279,'ORDENES'!$R$4:$R$1203,$R279))</f>
        <v/>
      </c>
      <c r="AH279" s="14">
        <f>IF($AG279="","",p_factor_productividad*IFERROR(INDEX('ASIGNACIONES'!$M$4:$M$451,MATCH($O279&amp;"|"&amp;$R279&amp;"|"&amp;$AE279,'ASIGNACIONES'!$N$4:$N$451,0)),0)-$AG279)</f>
        <v/>
      </c>
      <c r="AI279" s="11">
        <f>IF($A279="","",IFERROR(INDEX('2_IMPORTAR_EJECUCION'!$F$9:$F$1208,MATCH($AQ279,'2_IMPORTAR_EJECUCION'!$J$9:$J$1208,0)),0))</f>
        <v/>
      </c>
      <c r="AJ279" s="11">
        <f>IF($A279="","",MAX(0,IFERROR(INDEX('2_IMPORTAR_EJECUCION'!$H$9:$H$1208,MATCH($AQ279,'2_IMPORTAR_EJECUCION'!$J$9:$J$1208,0)),0)-$AI279))</f>
        <v/>
      </c>
      <c r="AK279" s="11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IF($H280="","",IFERROR(INDEX('CAT_ACTIVIDADES'!$B$4:$B$8,MATCH($H280,'CAT_ACTIVIDADES'!$A$4:$A$8,0)),"(sin catálogo)"))</f>
        <v/>
      </c>
      <c r="AA280" s="13">
        <f>IF($J280="","",TODAY()-$J280)</f>
        <v/>
      </c>
      <c r="AB280" s="13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IF($AE280="","",IF((IFERROR(INDEX('ASIGNACIONES'!$J$4:$J$451,MATCH($O280&amp;"|"&amp;$R280&amp;"|"&amp;$AE280,'ASIGNACIONES'!$N$4:$N$451,0)),""))=0,"",IFERROR(INDEX('ASIGNACIONES'!$J$4:$J$451,MATCH($O280&amp;"|"&amp;$R280&amp;"|"&amp;$AE280,'ASIGNACIONES'!$N$4:$N$451,0)),"")))</f>
        <v/>
      </c>
      <c r="AG280" s="14">
        <f>IF($AE280="","",SUMIFS('ORDENES'!$M$4:$M$1203,'ORDENES'!$AE$4:$AE$1203,$AE280,'ORDENES'!$O$4:$O$1203,$O280,'ORDENES'!$R$4:$R$1203,$R280))</f>
        <v/>
      </c>
      <c r="AH280" s="14">
        <f>IF($AG280="","",p_factor_productividad*IFERROR(INDEX('ASIGNACIONES'!$M$4:$M$451,MATCH($O280&amp;"|"&amp;$R280&amp;"|"&amp;$AE280,'ASIGNACIONES'!$N$4:$N$451,0)),0)-$AG280)</f>
        <v/>
      </c>
      <c r="AI280" s="11">
        <f>IF($A280="","",IFERROR(INDEX('2_IMPORTAR_EJECUCION'!$F$9:$F$1208,MATCH($AQ280,'2_IMPORTAR_EJECUCION'!$J$9:$J$1208,0)),0))</f>
        <v/>
      </c>
      <c r="AJ280" s="11">
        <f>IF($A280="","",MAX(0,IFERROR(INDEX('2_IMPORTAR_EJECUCION'!$H$9:$H$1208,MATCH($AQ280,'2_IMPORTAR_EJECUCION'!$J$9:$J$1208,0)),0)-$AI280))</f>
        <v/>
      </c>
      <c r="AK280" s="11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IF($H281="","",IFERROR(INDEX('CAT_ACTIVIDADES'!$B$4:$B$8,MATCH($H281,'CAT_ACTIVIDADES'!$A$4:$A$8,0)),"(sin catálogo)"))</f>
        <v/>
      </c>
      <c r="AA281" s="13">
        <f>IF($J281="","",TODAY()-$J281)</f>
        <v/>
      </c>
      <c r="AB281" s="13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IF($AE281="","",IF((IFERROR(INDEX('ASIGNACIONES'!$J$4:$J$451,MATCH($O281&amp;"|"&amp;$R281&amp;"|"&amp;$AE281,'ASIGNACIONES'!$N$4:$N$451,0)),""))=0,"",IFERROR(INDEX('ASIGNACIONES'!$J$4:$J$451,MATCH($O281&amp;"|"&amp;$R281&amp;"|"&amp;$AE281,'ASIGNACIONES'!$N$4:$N$451,0)),"")))</f>
        <v/>
      </c>
      <c r="AG281" s="14">
        <f>IF($AE281="","",SUMIFS('ORDENES'!$M$4:$M$1203,'ORDENES'!$AE$4:$AE$1203,$AE281,'ORDENES'!$O$4:$O$1203,$O281,'ORDENES'!$R$4:$R$1203,$R281))</f>
        <v/>
      </c>
      <c r="AH281" s="14">
        <f>IF($AG281="","",p_factor_productividad*IFERROR(INDEX('ASIGNACIONES'!$M$4:$M$451,MATCH($O281&amp;"|"&amp;$R281&amp;"|"&amp;$AE281,'ASIGNACIONES'!$N$4:$N$451,0)),0)-$AG281)</f>
        <v/>
      </c>
      <c r="AI281" s="11">
        <f>IF($A281="","",IFERROR(INDEX('2_IMPORTAR_EJECUCION'!$F$9:$F$1208,MATCH($AQ281,'2_IMPORTAR_EJECUCION'!$J$9:$J$1208,0)),0))</f>
        <v/>
      </c>
      <c r="AJ281" s="11">
        <f>IF($A281="","",MAX(0,IFERROR(INDEX('2_IMPORTAR_EJECUCION'!$H$9:$H$1208,MATCH($AQ281,'2_IMPORTAR_EJECUCION'!$J$9:$J$1208,0)),0)-$AI281))</f>
        <v/>
      </c>
      <c r="AK281" s="11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IF($H282="","",IFERROR(INDEX('CAT_ACTIVIDADES'!$B$4:$B$8,MATCH($H282,'CAT_ACTIVIDADES'!$A$4:$A$8,0)),"(sin catálogo)"))</f>
        <v/>
      </c>
      <c r="AA282" s="13">
        <f>IF($J282="","",TODAY()-$J282)</f>
        <v/>
      </c>
      <c r="AB282" s="13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IF($AE282="","",IF((IFERROR(INDEX('ASIGNACIONES'!$J$4:$J$451,MATCH($O282&amp;"|"&amp;$R282&amp;"|"&amp;$AE282,'ASIGNACIONES'!$N$4:$N$451,0)),""))=0,"",IFERROR(INDEX('ASIGNACIONES'!$J$4:$J$451,MATCH($O282&amp;"|"&amp;$R282&amp;"|"&amp;$AE282,'ASIGNACIONES'!$N$4:$N$451,0)),"")))</f>
        <v/>
      </c>
      <c r="AG282" s="14">
        <f>IF($AE282="","",SUMIFS('ORDENES'!$M$4:$M$1203,'ORDENES'!$AE$4:$AE$1203,$AE282,'ORDENES'!$O$4:$O$1203,$O282,'ORDENES'!$R$4:$R$1203,$R282))</f>
        <v/>
      </c>
      <c r="AH282" s="14">
        <f>IF($AG282="","",p_factor_productividad*IFERROR(INDEX('ASIGNACIONES'!$M$4:$M$451,MATCH($O282&amp;"|"&amp;$R282&amp;"|"&amp;$AE282,'ASIGNACIONES'!$N$4:$N$451,0)),0)-$AG282)</f>
        <v/>
      </c>
      <c r="AI282" s="11">
        <f>IF($A282="","",IFERROR(INDEX('2_IMPORTAR_EJECUCION'!$F$9:$F$1208,MATCH($AQ282,'2_IMPORTAR_EJECUCION'!$J$9:$J$1208,0)),0))</f>
        <v/>
      </c>
      <c r="AJ282" s="11">
        <f>IF($A282="","",MAX(0,IFERROR(INDEX('2_IMPORTAR_EJECUCION'!$H$9:$H$1208,MATCH($AQ282,'2_IMPORTAR_EJECUCION'!$J$9:$J$1208,0)),0)-$AI282))</f>
        <v/>
      </c>
      <c r="AK282" s="11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IF($H283="","",IFERROR(INDEX('CAT_ACTIVIDADES'!$B$4:$B$8,MATCH($H283,'CAT_ACTIVIDADES'!$A$4:$A$8,0)),"(sin catálogo)"))</f>
        <v/>
      </c>
      <c r="AA283" s="13">
        <f>IF($J283="","",TODAY()-$J283)</f>
        <v/>
      </c>
      <c r="AB283" s="13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IF($AE283="","",IF((IFERROR(INDEX('ASIGNACIONES'!$J$4:$J$451,MATCH($O283&amp;"|"&amp;$R283&amp;"|"&amp;$AE283,'ASIGNACIONES'!$N$4:$N$451,0)),""))=0,"",IFERROR(INDEX('ASIGNACIONES'!$J$4:$J$451,MATCH($O283&amp;"|"&amp;$R283&amp;"|"&amp;$AE283,'ASIGNACIONES'!$N$4:$N$451,0)),"")))</f>
        <v/>
      </c>
      <c r="AG283" s="14">
        <f>IF($AE283="","",SUMIFS('ORDENES'!$M$4:$M$1203,'ORDENES'!$AE$4:$AE$1203,$AE283,'ORDENES'!$O$4:$O$1203,$O283,'ORDENES'!$R$4:$R$1203,$R283))</f>
        <v/>
      </c>
      <c r="AH283" s="14">
        <f>IF($AG283="","",p_factor_productividad*IFERROR(INDEX('ASIGNACIONES'!$M$4:$M$451,MATCH($O283&amp;"|"&amp;$R283&amp;"|"&amp;$AE283,'ASIGNACIONES'!$N$4:$N$451,0)),0)-$AG283)</f>
        <v/>
      </c>
      <c r="AI283" s="11">
        <f>IF($A283="","",IFERROR(INDEX('2_IMPORTAR_EJECUCION'!$F$9:$F$1208,MATCH($AQ283,'2_IMPORTAR_EJECUCION'!$J$9:$J$1208,0)),0))</f>
        <v/>
      </c>
      <c r="AJ283" s="11">
        <f>IF($A283="","",MAX(0,IFERROR(INDEX('2_IMPORTAR_EJECUCION'!$H$9:$H$1208,MATCH($AQ283,'2_IMPORTAR_EJECUCION'!$J$9:$J$1208,0)),0)-$AI283))</f>
        <v/>
      </c>
      <c r="AK283" s="11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IF($H284="","",IFERROR(INDEX('CAT_ACTIVIDADES'!$B$4:$B$8,MATCH($H284,'CAT_ACTIVIDADES'!$A$4:$A$8,0)),"(sin catálogo)"))</f>
        <v/>
      </c>
      <c r="AA284" s="13">
        <f>IF($J284="","",TODAY()-$J284)</f>
        <v/>
      </c>
      <c r="AB284" s="13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IF($AE284="","",IF((IFERROR(INDEX('ASIGNACIONES'!$J$4:$J$451,MATCH($O284&amp;"|"&amp;$R284&amp;"|"&amp;$AE284,'ASIGNACIONES'!$N$4:$N$451,0)),""))=0,"",IFERROR(INDEX('ASIGNACIONES'!$J$4:$J$451,MATCH($O284&amp;"|"&amp;$R284&amp;"|"&amp;$AE284,'ASIGNACIONES'!$N$4:$N$451,0)),"")))</f>
        <v/>
      </c>
      <c r="AG284" s="14">
        <f>IF($AE284="","",SUMIFS('ORDENES'!$M$4:$M$1203,'ORDENES'!$AE$4:$AE$1203,$AE284,'ORDENES'!$O$4:$O$1203,$O284,'ORDENES'!$R$4:$R$1203,$R284))</f>
        <v/>
      </c>
      <c r="AH284" s="14">
        <f>IF($AG284="","",p_factor_productividad*IFERROR(INDEX('ASIGNACIONES'!$M$4:$M$451,MATCH($O284&amp;"|"&amp;$R284&amp;"|"&amp;$AE284,'ASIGNACIONES'!$N$4:$N$451,0)),0)-$AG284)</f>
        <v/>
      </c>
      <c r="AI284" s="11">
        <f>IF($A284="","",IFERROR(INDEX('2_IMPORTAR_EJECUCION'!$F$9:$F$1208,MATCH($AQ284,'2_IMPORTAR_EJECUCION'!$J$9:$J$1208,0)),0))</f>
        <v/>
      </c>
      <c r="AJ284" s="11">
        <f>IF($A284="","",MAX(0,IFERROR(INDEX('2_IMPORTAR_EJECUCION'!$H$9:$H$1208,MATCH($AQ284,'2_IMPORTAR_EJECUCION'!$J$9:$J$1208,0)),0)-$AI284))</f>
        <v/>
      </c>
      <c r="AK284" s="11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IF($H285="","",IFERROR(INDEX('CAT_ACTIVIDADES'!$B$4:$B$8,MATCH($H285,'CAT_ACTIVIDADES'!$A$4:$A$8,0)),"(sin catálogo)"))</f>
        <v/>
      </c>
      <c r="AA285" s="13">
        <f>IF($J285="","",TODAY()-$J285)</f>
        <v/>
      </c>
      <c r="AB285" s="13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IF($AE285="","",IF((IFERROR(INDEX('ASIGNACIONES'!$J$4:$J$451,MATCH($O285&amp;"|"&amp;$R285&amp;"|"&amp;$AE285,'ASIGNACIONES'!$N$4:$N$451,0)),""))=0,"",IFERROR(INDEX('ASIGNACIONES'!$J$4:$J$451,MATCH($O285&amp;"|"&amp;$R285&amp;"|"&amp;$AE285,'ASIGNACIONES'!$N$4:$N$451,0)),"")))</f>
        <v/>
      </c>
      <c r="AG285" s="14">
        <f>IF($AE285="","",SUMIFS('ORDENES'!$M$4:$M$1203,'ORDENES'!$AE$4:$AE$1203,$AE285,'ORDENES'!$O$4:$O$1203,$O285,'ORDENES'!$R$4:$R$1203,$R285))</f>
        <v/>
      </c>
      <c r="AH285" s="14">
        <f>IF($AG285="","",p_factor_productividad*IFERROR(INDEX('ASIGNACIONES'!$M$4:$M$451,MATCH($O285&amp;"|"&amp;$R285&amp;"|"&amp;$AE285,'ASIGNACIONES'!$N$4:$N$451,0)),0)-$AG285)</f>
        <v/>
      </c>
      <c r="AI285" s="11">
        <f>IF($A285="","",IFERROR(INDEX('2_IMPORTAR_EJECUCION'!$F$9:$F$1208,MATCH($AQ285,'2_IMPORTAR_EJECUCION'!$J$9:$J$1208,0)),0))</f>
        <v/>
      </c>
      <c r="AJ285" s="11">
        <f>IF($A285="","",MAX(0,IFERROR(INDEX('2_IMPORTAR_EJECUCION'!$H$9:$H$1208,MATCH($AQ285,'2_IMPORTAR_EJECUCION'!$J$9:$J$1208,0)),0)-$AI285))</f>
        <v/>
      </c>
      <c r="AK285" s="11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IF($H286="","",IFERROR(INDEX('CAT_ACTIVIDADES'!$B$4:$B$8,MATCH($H286,'CAT_ACTIVIDADES'!$A$4:$A$8,0)),"(sin catálogo)"))</f>
        <v/>
      </c>
      <c r="AA286" s="13">
        <f>IF($J286="","",TODAY()-$J286)</f>
        <v/>
      </c>
      <c r="AB286" s="13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IF($AE286="","",IF((IFERROR(INDEX('ASIGNACIONES'!$J$4:$J$451,MATCH($O286&amp;"|"&amp;$R286&amp;"|"&amp;$AE286,'ASIGNACIONES'!$N$4:$N$451,0)),""))=0,"",IFERROR(INDEX('ASIGNACIONES'!$J$4:$J$451,MATCH($O286&amp;"|"&amp;$R286&amp;"|"&amp;$AE286,'ASIGNACIONES'!$N$4:$N$451,0)),"")))</f>
        <v/>
      </c>
      <c r="AG286" s="14">
        <f>IF($AE286="","",SUMIFS('ORDENES'!$M$4:$M$1203,'ORDENES'!$AE$4:$AE$1203,$AE286,'ORDENES'!$O$4:$O$1203,$O286,'ORDENES'!$R$4:$R$1203,$R286))</f>
        <v/>
      </c>
      <c r="AH286" s="14">
        <f>IF($AG286="","",p_factor_productividad*IFERROR(INDEX('ASIGNACIONES'!$M$4:$M$451,MATCH($O286&amp;"|"&amp;$R286&amp;"|"&amp;$AE286,'ASIGNACIONES'!$N$4:$N$451,0)),0)-$AG286)</f>
        <v/>
      </c>
      <c r="AI286" s="11">
        <f>IF($A286="","",IFERROR(INDEX('2_IMPORTAR_EJECUCION'!$F$9:$F$1208,MATCH($AQ286,'2_IMPORTAR_EJECUCION'!$J$9:$J$1208,0)),0))</f>
        <v/>
      </c>
      <c r="AJ286" s="11">
        <f>IF($A286="","",MAX(0,IFERROR(INDEX('2_IMPORTAR_EJECUCION'!$H$9:$H$1208,MATCH($AQ286,'2_IMPORTAR_EJECUCION'!$J$9:$J$1208,0)),0)-$AI286))</f>
        <v/>
      </c>
      <c r="AK286" s="11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IF($H287="","",IFERROR(INDEX('CAT_ACTIVIDADES'!$B$4:$B$8,MATCH($H287,'CAT_ACTIVIDADES'!$A$4:$A$8,0)),"(sin catálogo)"))</f>
        <v/>
      </c>
      <c r="AA287" s="13">
        <f>IF($J287="","",TODAY()-$J287)</f>
        <v/>
      </c>
      <c r="AB287" s="13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IF($AE287="","",IF((IFERROR(INDEX('ASIGNACIONES'!$J$4:$J$451,MATCH($O287&amp;"|"&amp;$R287&amp;"|"&amp;$AE287,'ASIGNACIONES'!$N$4:$N$451,0)),""))=0,"",IFERROR(INDEX('ASIGNACIONES'!$J$4:$J$451,MATCH($O287&amp;"|"&amp;$R287&amp;"|"&amp;$AE287,'ASIGNACIONES'!$N$4:$N$451,0)),"")))</f>
        <v/>
      </c>
      <c r="AG287" s="14">
        <f>IF($AE287="","",SUMIFS('ORDENES'!$M$4:$M$1203,'ORDENES'!$AE$4:$AE$1203,$AE287,'ORDENES'!$O$4:$O$1203,$O287,'ORDENES'!$R$4:$R$1203,$R287))</f>
        <v/>
      </c>
      <c r="AH287" s="14">
        <f>IF($AG287="","",p_factor_productividad*IFERROR(INDEX('ASIGNACIONES'!$M$4:$M$451,MATCH($O287&amp;"|"&amp;$R287&amp;"|"&amp;$AE287,'ASIGNACIONES'!$N$4:$N$451,0)),0)-$AG287)</f>
        <v/>
      </c>
      <c r="AI287" s="11">
        <f>IF($A287="","",IFERROR(INDEX('2_IMPORTAR_EJECUCION'!$F$9:$F$1208,MATCH($AQ287,'2_IMPORTAR_EJECUCION'!$J$9:$J$1208,0)),0))</f>
        <v/>
      </c>
      <c r="AJ287" s="11">
        <f>IF($A287="","",MAX(0,IFERROR(INDEX('2_IMPORTAR_EJECUCION'!$H$9:$H$1208,MATCH($AQ287,'2_IMPORTAR_EJECUCION'!$J$9:$J$1208,0)),0)-$AI287))</f>
        <v/>
      </c>
      <c r="AK287" s="11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IF($H288="","",IFERROR(INDEX('CAT_ACTIVIDADES'!$B$4:$B$8,MATCH($H288,'CAT_ACTIVIDADES'!$A$4:$A$8,0)),"(sin catálogo)"))</f>
        <v/>
      </c>
      <c r="AA288" s="13">
        <f>IF($J288="","",TODAY()-$J288)</f>
        <v/>
      </c>
      <c r="AB288" s="13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IF($AE288="","",IF((IFERROR(INDEX('ASIGNACIONES'!$J$4:$J$451,MATCH($O288&amp;"|"&amp;$R288&amp;"|"&amp;$AE288,'ASIGNACIONES'!$N$4:$N$451,0)),""))=0,"",IFERROR(INDEX('ASIGNACIONES'!$J$4:$J$451,MATCH($O288&amp;"|"&amp;$R288&amp;"|"&amp;$AE288,'ASIGNACIONES'!$N$4:$N$451,0)),"")))</f>
        <v/>
      </c>
      <c r="AG288" s="14">
        <f>IF($AE288="","",SUMIFS('ORDENES'!$M$4:$M$1203,'ORDENES'!$AE$4:$AE$1203,$AE288,'ORDENES'!$O$4:$O$1203,$O288,'ORDENES'!$R$4:$R$1203,$R288))</f>
        <v/>
      </c>
      <c r="AH288" s="14">
        <f>IF($AG288="","",p_factor_productividad*IFERROR(INDEX('ASIGNACIONES'!$M$4:$M$451,MATCH($O288&amp;"|"&amp;$R288&amp;"|"&amp;$AE288,'ASIGNACIONES'!$N$4:$N$451,0)),0)-$AG288)</f>
        <v/>
      </c>
      <c r="AI288" s="11">
        <f>IF($A288="","",IFERROR(INDEX('2_IMPORTAR_EJECUCION'!$F$9:$F$1208,MATCH($AQ288,'2_IMPORTAR_EJECUCION'!$J$9:$J$1208,0)),0))</f>
        <v/>
      </c>
      <c r="AJ288" s="11">
        <f>IF($A288="","",MAX(0,IFERROR(INDEX('2_IMPORTAR_EJECUCION'!$H$9:$H$1208,MATCH($AQ288,'2_IMPORTAR_EJECUCION'!$J$9:$J$1208,0)),0)-$AI288))</f>
        <v/>
      </c>
      <c r="AK288" s="11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IF($H289="","",IFERROR(INDEX('CAT_ACTIVIDADES'!$B$4:$B$8,MATCH($H289,'CAT_ACTIVIDADES'!$A$4:$A$8,0)),"(sin catálogo)"))</f>
        <v/>
      </c>
      <c r="AA289" s="13">
        <f>IF($J289="","",TODAY()-$J289)</f>
        <v/>
      </c>
      <c r="AB289" s="13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IF($AE289="","",IF((IFERROR(INDEX('ASIGNACIONES'!$J$4:$J$451,MATCH($O289&amp;"|"&amp;$R289&amp;"|"&amp;$AE289,'ASIGNACIONES'!$N$4:$N$451,0)),""))=0,"",IFERROR(INDEX('ASIGNACIONES'!$J$4:$J$451,MATCH($O289&amp;"|"&amp;$R289&amp;"|"&amp;$AE289,'ASIGNACIONES'!$N$4:$N$451,0)),"")))</f>
        <v/>
      </c>
      <c r="AG289" s="14">
        <f>IF($AE289="","",SUMIFS('ORDENES'!$M$4:$M$1203,'ORDENES'!$AE$4:$AE$1203,$AE289,'ORDENES'!$O$4:$O$1203,$O289,'ORDENES'!$R$4:$R$1203,$R289))</f>
        <v/>
      </c>
      <c r="AH289" s="14">
        <f>IF($AG289="","",p_factor_productividad*IFERROR(INDEX('ASIGNACIONES'!$M$4:$M$451,MATCH($O289&amp;"|"&amp;$R289&amp;"|"&amp;$AE289,'ASIGNACIONES'!$N$4:$N$451,0)),0)-$AG289)</f>
        <v/>
      </c>
      <c r="AI289" s="11">
        <f>IF($A289="","",IFERROR(INDEX('2_IMPORTAR_EJECUCION'!$F$9:$F$1208,MATCH($AQ289,'2_IMPORTAR_EJECUCION'!$J$9:$J$1208,0)),0))</f>
        <v/>
      </c>
      <c r="AJ289" s="11">
        <f>IF($A289="","",MAX(0,IFERROR(INDEX('2_IMPORTAR_EJECUCION'!$H$9:$H$1208,MATCH($AQ289,'2_IMPORTAR_EJECUCION'!$J$9:$J$1208,0)),0)-$AI289))</f>
        <v/>
      </c>
      <c r="AK289" s="11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IF($H290="","",IFERROR(INDEX('CAT_ACTIVIDADES'!$B$4:$B$8,MATCH($H290,'CAT_ACTIVIDADES'!$A$4:$A$8,0)),"(sin catálogo)"))</f>
        <v/>
      </c>
      <c r="AA290" s="13">
        <f>IF($J290="","",TODAY()-$J290)</f>
        <v/>
      </c>
      <c r="AB290" s="13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IF($AE290="","",IF((IFERROR(INDEX('ASIGNACIONES'!$J$4:$J$451,MATCH($O290&amp;"|"&amp;$R290&amp;"|"&amp;$AE290,'ASIGNACIONES'!$N$4:$N$451,0)),""))=0,"",IFERROR(INDEX('ASIGNACIONES'!$J$4:$J$451,MATCH($O290&amp;"|"&amp;$R290&amp;"|"&amp;$AE290,'ASIGNACIONES'!$N$4:$N$451,0)),"")))</f>
        <v/>
      </c>
      <c r="AG290" s="14">
        <f>IF($AE290="","",SUMIFS('ORDENES'!$M$4:$M$1203,'ORDENES'!$AE$4:$AE$1203,$AE290,'ORDENES'!$O$4:$O$1203,$O290,'ORDENES'!$R$4:$R$1203,$R290))</f>
        <v/>
      </c>
      <c r="AH290" s="14">
        <f>IF($AG290="","",p_factor_productividad*IFERROR(INDEX('ASIGNACIONES'!$M$4:$M$451,MATCH($O290&amp;"|"&amp;$R290&amp;"|"&amp;$AE290,'ASIGNACIONES'!$N$4:$N$451,0)),0)-$AG290)</f>
        <v/>
      </c>
      <c r="AI290" s="11">
        <f>IF($A290="","",IFERROR(INDEX('2_IMPORTAR_EJECUCION'!$F$9:$F$1208,MATCH($AQ290,'2_IMPORTAR_EJECUCION'!$J$9:$J$1208,0)),0))</f>
        <v/>
      </c>
      <c r="AJ290" s="11">
        <f>IF($A290="","",MAX(0,IFERROR(INDEX('2_IMPORTAR_EJECUCION'!$H$9:$H$1208,MATCH($AQ290,'2_IMPORTAR_EJECUCION'!$J$9:$J$1208,0)),0)-$AI290))</f>
        <v/>
      </c>
      <c r="AK290" s="11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IF($H291="","",IFERROR(INDEX('CAT_ACTIVIDADES'!$B$4:$B$8,MATCH($H291,'CAT_ACTIVIDADES'!$A$4:$A$8,0)),"(sin catálogo)"))</f>
        <v/>
      </c>
      <c r="AA291" s="13">
        <f>IF($J291="","",TODAY()-$J291)</f>
        <v/>
      </c>
      <c r="AB291" s="13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IF($AE291="","",IF((IFERROR(INDEX('ASIGNACIONES'!$J$4:$J$451,MATCH($O291&amp;"|"&amp;$R291&amp;"|"&amp;$AE291,'ASIGNACIONES'!$N$4:$N$451,0)),""))=0,"",IFERROR(INDEX('ASIGNACIONES'!$J$4:$J$451,MATCH($O291&amp;"|"&amp;$R291&amp;"|"&amp;$AE291,'ASIGNACIONES'!$N$4:$N$451,0)),"")))</f>
        <v/>
      </c>
      <c r="AG291" s="14">
        <f>IF($AE291="","",SUMIFS('ORDENES'!$M$4:$M$1203,'ORDENES'!$AE$4:$AE$1203,$AE291,'ORDENES'!$O$4:$O$1203,$O291,'ORDENES'!$R$4:$R$1203,$R291))</f>
        <v/>
      </c>
      <c r="AH291" s="14">
        <f>IF($AG291="","",p_factor_productividad*IFERROR(INDEX('ASIGNACIONES'!$M$4:$M$451,MATCH($O291&amp;"|"&amp;$R291&amp;"|"&amp;$AE291,'ASIGNACIONES'!$N$4:$N$451,0)),0)-$AG291)</f>
        <v/>
      </c>
      <c r="AI291" s="11">
        <f>IF($A291="","",IFERROR(INDEX('2_IMPORTAR_EJECUCION'!$F$9:$F$1208,MATCH($AQ291,'2_IMPORTAR_EJECUCION'!$J$9:$J$1208,0)),0))</f>
        <v/>
      </c>
      <c r="AJ291" s="11">
        <f>IF($A291="","",MAX(0,IFERROR(INDEX('2_IMPORTAR_EJECUCION'!$H$9:$H$1208,MATCH($AQ291,'2_IMPORTAR_EJECUCION'!$J$9:$J$1208,0)),0)-$AI291))</f>
        <v/>
      </c>
      <c r="AK291" s="11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IF($H292="","",IFERROR(INDEX('CAT_ACTIVIDADES'!$B$4:$B$8,MATCH($H292,'CAT_ACTIVIDADES'!$A$4:$A$8,0)),"(sin catálogo)"))</f>
        <v/>
      </c>
      <c r="AA292" s="13">
        <f>IF($J292="","",TODAY()-$J292)</f>
        <v/>
      </c>
      <c r="AB292" s="13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IF($AE292="","",IF((IFERROR(INDEX('ASIGNACIONES'!$J$4:$J$451,MATCH($O292&amp;"|"&amp;$R292&amp;"|"&amp;$AE292,'ASIGNACIONES'!$N$4:$N$451,0)),""))=0,"",IFERROR(INDEX('ASIGNACIONES'!$J$4:$J$451,MATCH($O292&amp;"|"&amp;$R292&amp;"|"&amp;$AE292,'ASIGNACIONES'!$N$4:$N$451,0)),"")))</f>
        <v/>
      </c>
      <c r="AG292" s="14">
        <f>IF($AE292="","",SUMIFS('ORDENES'!$M$4:$M$1203,'ORDENES'!$AE$4:$AE$1203,$AE292,'ORDENES'!$O$4:$O$1203,$O292,'ORDENES'!$R$4:$R$1203,$R292))</f>
        <v/>
      </c>
      <c r="AH292" s="14">
        <f>IF($AG292="","",p_factor_productividad*IFERROR(INDEX('ASIGNACIONES'!$M$4:$M$451,MATCH($O292&amp;"|"&amp;$R292&amp;"|"&amp;$AE292,'ASIGNACIONES'!$N$4:$N$451,0)),0)-$AG292)</f>
        <v/>
      </c>
      <c r="AI292" s="11">
        <f>IF($A292="","",IFERROR(INDEX('2_IMPORTAR_EJECUCION'!$F$9:$F$1208,MATCH($AQ292,'2_IMPORTAR_EJECUCION'!$J$9:$J$1208,0)),0))</f>
        <v/>
      </c>
      <c r="AJ292" s="11">
        <f>IF($A292="","",MAX(0,IFERROR(INDEX('2_IMPORTAR_EJECUCION'!$H$9:$H$1208,MATCH($AQ292,'2_IMPORTAR_EJECUCION'!$J$9:$J$1208,0)),0)-$AI292))</f>
        <v/>
      </c>
      <c r="AK292" s="11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IF($H293="","",IFERROR(INDEX('CAT_ACTIVIDADES'!$B$4:$B$8,MATCH($H293,'CAT_ACTIVIDADES'!$A$4:$A$8,0)),"(sin catálogo)"))</f>
        <v/>
      </c>
      <c r="AA293" s="13">
        <f>IF($J293="","",TODAY()-$J293)</f>
        <v/>
      </c>
      <c r="AB293" s="13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IF($AE293="","",IF((IFERROR(INDEX('ASIGNACIONES'!$J$4:$J$451,MATCH($O293&amp;"|"&amp;$R293&amp;"|"&amp;$AE293,'ASIGNACIONES'!$N$4:$N$451,0)),""))=0,"",IFERROR(INDEX('ASIGNACIONES'!$J$4:$J$451,MATCH($O293&amp;"|"&amp;$R293&amp;"|"&amp;$AE293,'ASIGNACIONES'!$N$4:$N$451,0)),"")))</f>
        <v/>
      </c>
      <c r="AG293" s="14">
        <f>IF($AE293="","",SUMIFS('ORDENES'!$M$4:$M$1203,'ORDENES'!$AE$4:$AE$1203,$AE293,'ORDENES'!$O$4:$O$1203,$O293,'ORDENES'!$R$4:$R$1203,$R293))</f>
        <v/>
      </c>
      <c r="AH293" s="14">
        <f>IF($AG293="","",p_factor_productividad*IFERROR(INDEX('ASIGNACIONES'!$M$4:$M$451,MATCH($O293&amp;"|"&amp;$R293&amp;"|"&amp;$AE293,'ASIGNACIONES'!$N$4:$N$451,0)),0)-$AG293)</f>
        <v/>
      </c>
      <c r="AI293" s="11">
        <f>IF($A293="","",IFERROR(INDEX('2_IMPORTAR_EJECUCION'!$F$9:$F$1208,MATCH($AQ293,'2_IMPORTAR_EJECUCION'!$J$9:$J$1208,0)),0))</f>
        <v/>
      </c>
      <c r="AJ293" s="11">
        <f>IF($A293="","",MAX(0,IFERROR(INDEX('2_IMPORTAR_EJECUCION'!$H$9:$H$1208,MATCH($AQ293,'2_IMPORTAR_EJECUCION'!$J$9:$J$1208,0)),0)-$AI293))</f>
        <v/>
      </c>
      <c r="AK293" s="11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IF($H294="","",IFERROR(INDEX('CAT_ACTIVIDADES'!$B$4:$B$8,MATCH($H294,'CAT_ACTIVIDADES'!$A$4:$A$8,0)),"(sin catálogo)"))</f>
        <v/>
      </c>
      <c r="AA294" s="13">
        <f>IF($J294="","",TODAY()-$J294)</f>
        <v/>
      </c>
      <c r="AB294" s="13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IF($AE294="","",IF((IFERROR(INDEX('ASIGNACIONES'!$J$4:$J$451,MATCH($O294&amp;"|"&amp;$R294&amp;"|"&amp;$AE294,'ASIGNACIONES'!$N$4:$N$451,0)),""))=0,"",IFERROR(INDEX('ASIGNACIONES'!$J$4:$J$451,MATCH($O294&amp;"|"&amp;$R294&amp;"|"&amp;$AE294,'ASIGNACIONES'!$N$4:$N$451,0)),"")))</f>
        <v/>
      </c>
      <c r="AG294" s="14">
        <f>IF($AE294="","",SUMIFS('ORDENES'!$M$4:$M$1203,'ORDENES'!$AE$4:$AE$1203,$AE294,'ORDENES'!$O$4:$O$1203,$O294,'ORDENES'!$R$4:$R$1203,$R294))</f>
        <v/>
      </c>
      <c r="AH294" s="14">
        <f>IF($AG294="","",p_factor_productividad*IFERROR(INDEX('ASIGNACIONES'!$M$4:$M$451,MATCH($O294&amp;"|"&amp;$R294&amp;"|"&amp;$AE294,'ASIGNACIONES'!$N$4:$N$451,0)),0)-$AG294)</f>
        <v/>
      </c>
      <c r="AI294" s="11">
        <f>IF($A294="","",IFERROR(INDEX('2_IMPORTAR_EJECUCION'!$F$9:$F$1208,MATCH($AQ294,'2_IMPORTAR_EJECUCION'!$J$9:$J$1208,0)),0))</f>
        <v/>
      </c>
      <c r="AJ294" s="11">
        <f>IF($A294="","",MAX(0,IFERROR(INDEX('2_IMPORTAR_EJECUCION'!$H$9:$H$1208,MATCH($AQ294,'2_IMPORTAR_EJECUCION'!$J$9:$J$1208,0)),0)-$AI294))</f>
        <v/>
      </c>
      <c r="AK294" s="11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IF($H295="","",IFERROR(INDEX('CAT_ACTIVIDADES'!$B$4:$B$8,MATCH($H295,'CAT_ACTIVIDADES'!$A$4:$A$8,0)),"(sin catálogo)"))</f>
        <v/>
      </c>
      <c r="AA295" s="13">
        <f>IF($J295="","",TODAY()-$J295)</f>
        <v/>
      </c>
      <c r="AB295" s="13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IF($AE295="","",IF((IFERROR(INDEX('ASIGNACIONES'!$J$4:$J$451,MATCH($O295&amp;"|"&amp;$R295&amp;"|"&amp;$AE295,'ASIGNACIONES'!$N$4:$N$451,0)),""))=0,"",IFERROR(INDEX('ASIGNACIONES'!$J$4:$J$451,MATCH($O295&amp;"|"&amp;$R295&amp;"|"&amp;$AE295,'ASIGNACIONES'!$N$4:$N$451,0)),"")))</f>
        <v/>
      </c>
      <c r="AG295" s="14">
        <f>IF($AE295="","",SUMIFS('ORDENES'!$M$4:$M$1203,'ORDENES'!$AE$4:$AE$1203,$AE295,'ORDENES'!$O$4:$O$1203,$O295,'ORDENES'!$R$4:$R$1203,$R295))</f>
        <v/>
      </c>
      <c r="AH295" s="14">
        <f>IF($AG295="","",p_factor_productividad*IFERROR(INDEX('ASIGNACIONES'!$M$4:$M$451,MATCH($O295&amp;"|"&amp;$R295&amp;"|"&amp;$AE295,'ASIGNACIONES'!$N$4:$N$451,0)),0)-$AG295)</f>
        <v/>
      </c>
      <c r="AI295" s="11">
        <f>IF($A295="","",IFERROR(INDEX('2_IMPORTAR_EJECUCION'!$F$9:$F$1208,MATCH($AQ295,'2_IMPORTAR_EJECUCION'!$J$9:$J$1208,0)),0))</f>
        <v/>
      </c>
      <c r="AJ295" s="11">
        <f>IF($A295="","",MAX(0,IFERROR(INDEX('2_IMPORTAR_EJECUCION'!$H$9:$H$1208,MATCH($AQ295,'2_IMPORTAR_EJECUCION'!$J$9:$J$1208,0)),0)-$AI295))</f>
        <v/>
      </c>
      <c r="AK295" s="11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IF($H296="","",IFERROR(INDEX('CAT_ACTIVIDADES'!$B$4:$B$8,MATCH($H296,'CAT_ACTIVIDADES'!$A$4:$A$8,0)),"(sin catálogo)"))</f>
        <v/>
      </c>
      <c r="AA296" s="13">
        <f>IF($J296="","",TODAY()-$J296)</f>
        <v/>
      </c>
      <c r="AB296" s="13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IF($AE296="","",IF((IFERROR(INDEX('ASIGNACIONES'!$J$4:$J$451,MATCH($O296&amp;"|"&amp;$R296&amp;"|"&amp;$AE296,'ASIGNACIONES'!$N$4:$N$451,0)),""))=0,"",IFERROR(INDEX('ASIGNACIONES'!$J$4:$J$451,MATCH($O296&amp;"|"&amp;$R296&amp;"|"&amp;$AE296,'ASIGNACIONES'!$N$4:$N$451,0)),"")))</f>
        <v/>
      </c>
      <c r="AG296" s="14">
        <f>IF($AE296="","",SUMIFS('ORDENES'!$M$4:$M$1203,'ORDENES'!$AE$4:$AE$1203,$AE296,'ORDENES'!$O$4:$O$1203,$O296,'ORDENES'!$R$4:$R$1203,$R296))</f>
        <v/>
      </c>
      <c r="AH296" s="14">
        <f>IF($AG296="","",p_factor_productividad*IFERROR(INDEX('ASIGNACIONES'!$M$4:$M$451,MATCH($O296&amp;"|"&amp;$R296&amp;"|"&amp;$AE296,'ASIGNACIONES'!$N$4:$N$451,0)),0)-$AG296)</f>
        <v/>
      </c>
      <c r="AI296" s="11">
        <f>IF($A296="","",IFERROR(INDEX('2_IMPORTAR_EJECUCION'!$F$9:$F$1208,MATCH($AQ296,'2_IMPORTAR_EJECUCION'!$J$9:$J$1208,0)),0))</f>
        <v/>
      </c>
      <c r="AJ296" s="11">
        <f>IF($A296="","",MAX(0,IFERROR(INDEX('2_IMPORTAR_EJECUCION'!$H$9:$H$1208,MATCH($AQ296,'2_IMPORTAR_EJECUCION'!$J$9:$J$1208,0)),0)-$AI296))</f>
        <v/>
      </c>
      <c r="AK296" s="11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IF($H297="","",IFERROR(INDEX('CAT_ACTIVIDADES'!$B$4:$B$8,MATCH($H297,'CAT_ACTIVIDADES'!$A$4:$A$8,0)),"(sin catálogo)"))</f>
        <v/>
      </c>
      <c r="AA297" s="13">
        <f>IF($J297="","",TODAY()-$J297)</f>
        <v/>
      </c>
      <c r="AB297" s="13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IF($AE297="","",IF((IFERROR(INDEX('ASIGNACIONES'!$J$4:$J$451,MATCH($O297&amp;"|"&amp;$R297&amp;"|"&amp;$AE297,'ASIGNACIONES'!$N$4:$N$451,0)),""))=0,"",IFERROR(INDEX('ASIGNACIONES'!$J$4:$J$451,MATCH($O297&amp;"|"&amp;$R297&amp;"|"&amp;$AE297,'ASIGNACIONES'!$N$4:$N$451,0)),"")))</f>
        <v/>
      </c>
      <c r="AG297" s="14">
        <f>IF($AE297="","",SUMIFS('ORDENES'!$M$4:$M$1203,'ORDENES'!$AE$4:$AE$1203,$AE297,'ORDENES'!$O$4:$O$1203,$O297,'ORDENES'!$R$4:$R$1203,$R297))</f>
        <v/>
      </c>
      <c r="AH297" s="14">
        <f>IF($AG297="","",p_factor_productividad*IFERROR(INDEX('ASIGNACIONES'!$M$4:$M$451,MATCH($O297&amp;"|"&amp;$R297&amp;"|"&amp;$AE297,'ASIGNACIONES'!$N$4:$N$451,0)),0)-$AG297)</f>
        <v/>
      </c>
      <c r="AI297" s="11">
        <f>IF($A297="","",IFERROR(INDEX('2_IMPORTAR_EJECUCION'!$F$9:$F$1208,MATCH($AQ297,'2_IMPORTAR_EJECUCION'!$J$9:$J$1208,0)),0))</f>
        <v/>
      </c>
      <c r="AJ297" s="11">
        <f>IF($A297="","",MAX(0,IFERROR(INDEX('2_IMPORTAR_EJECUCION'!$H$9:$H$1208,MATCH($AQ297,'2_IMPORTAR_EJECUCION'!$J$9:$J$1208,0)),0)-$AI297))</f>
        <v/>
      </c>
      <c r="AK297" s="11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IF($H298="","",IFERROR(INDEX('CAT_ACTIVIDADES'!$B$4:$B$8,MATCH($H298,'CAT_ACTIVIDADES'!$A$4:$A$8,0)),"(sin catálogo)"))</f>
        <v/>
      </c>
      <c r="AA298" s="13">
        <f>IF($J298="","",TODAY()-$J298)</f>
        <v/>
      </c>
      <c r="AB298" s="13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IF($AE298="","",IF((IFERROR(INDEX('ASIGNACIONES'!$J$4:$J$451,MATCH($O298&amp;"|"&amp;$R298&amp;"|"&amp;$AE298,'ASIGNACIONES'!$N$4:$N$451,0)),""))=0,"",IFERROR(INDEX('ASIGNACIONES'!$J$4:$J$451,MATCH($O298&amp;"|"&amp;$R298&amp;"|"&amp;$AE298,'ASIGNACIONES'!$N$4:$N$451,0)),"")))</f>
        <v/>
      </c>
      <c r="AG298" s="14">
        <f>IF($AE298="","",SUMIFS('ORDENES'!$M$4:$M$1203,'ORDENES'!$AE$4:$AE$1203,$AE298,'ORDENES'!$O$4:$O$1203,$O298,'ORDENES'!$R$4:$R$1203,$R298))</f>
        <v/>
      </c>
      <c r="AH298" s="14">
        <f>IF($AG298="","",p_factor_productividad*IFERROR(INDEX('ASIGNACIONES'!$M$4:$M$451,MATCH($O298&amp;"|"&amp;$R298&amp;"|"&amp;$AE298,'ASIGNACIONES'!$N$4:$N$451,0)),0)-$AG298)</f>
        <v/>
      </c>
      <c r="AI298" s="11">
        <f>IF($A298="","",IFERROR(INDEX('2_IMPORTAR_EJECUCION'!$F$9:$F$1208,MATCH($AQ298,'2_IMPORTAR_EJECUCION'!$J$9:$J$1208,0)),0))</f>
        <v/>
      </c>
      <c r="AJ298" s="11">
        <f>IF($A298="","",MAX(0,IFERROR(INDEX('2_IMPORTAR_EJECUCION'!$H$9:$H$1208,MATCH($AQ298,'2_IMPORTAR_EJECUCION'!$J$9:$J$1208,0)),0)-$AI298))</f>
        <v/>
      </c>
      <c r="AK298" s="11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IF($H299="","",IFERROR(INDEX('CAT_ACTIVIDADES'!$B$4:$B$8,MATCH($H299,'CAT_ACTIVIDADES'!$A$4:$A$8,0)),"(sin catálogo)"))</f>
        <v/>
      </c>
      <c r="AA299" s="13">
        <f>IF($J299="","",TODAY()-$J299)</f>
        <v/>
      </c>
      <c r="AB299" s="13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IF($AE299="","",IF((IFERROR(INDEX('ASIGNACIONES'!$J$4:$J$451,MATCH($O299&amp;"|"&amp;$R299&amp;"|"&amp;$AE299,'ASIGNACIONES'!$N$4:$N$451,0)),""))=0,"",IFERROR(INDEX('ASIGNACIONES'!$J$4:$J$451,MATCH($O299&amp;"|"&amp;$R299&amp;"|"&amp;$AE299,'ASIGNACIONES'!$N$4:$N$451,0)),"")))</f>
        <v/>
      </c>
      <c r="AG299" s="14">
        <f>IF($AE299="","",SUMIFS('ORDENES'!$M$4:$M$1203,'ORDENES'!$AE$4:$AE$1203,$AE299,'ORDENES'!$O$4:$O$1203,$O299,'ORDENES'!$R$4:$R$1203,$R299))</f>
        <v/>
      </c>
      <c r="AH299" s="14">
        <f>IF($AG299="","",p_factor_productividad*IFERROR(INDEX('ASIGNACIONES'!$M$4:$M$451,MATCH($O299&amp;"|"&amp;$R299&amp;"|"&amp;$AE299,'ASIGNACIONES'!$N$4:$N$451,0)),0)-$AG299)</f>
        <v/>
      </c>
      <c r="AI299" s="11">
        <f>IF($A299="","",IFERROR(INDEX('2_IMPORTAR_EJECUCION'!$F$9:$F$1208,MATCH($AQ299,'2_IMPORTAR_EJECUCION'!$J$9:$J$1208,0)),0))</f>
        <v/>
      </c>
      <c r="AJ299" s="11">
        <f>IF($A299="","",MAX(0,IFERROR(INDEX('2_IMPORTAR_EJECUCION'!$H$9:$H$1208,MATCH($AQ299,'2_IMPORTAR_EJECUCION'!$J$9:$J$1208,0)),0)-$AI299))</f>
        <v/>
      </c>
      <c r="AK299" s="11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IF($H300="","",IFERROR(INDEX('CAT_ACTIVIDADES'!$B$4:$B$8,MATCH($H300,'CAT_ACTIVIDADES'!$A$4:$A$8,0)),"(sin catálogo)"))</f>
        <v/>
      </c>
      <c r="AA300" s="13">
        <f>IF($J300="","",TODAY()-$J300)</f>
        <v/>
      </c>
      <c r="AB300" s="13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IF($AE300="","",IF((IFERROR(INDEX('ASIGNACIONES'!$J$4:$J$451,MATCH($O300&amp;"|"&amp;$R300&amp;"|"&amp;$AE300,'ASIGNACIONES'!$N$4:$N$451,0)),""))=0,"",IFERROR(INDEX('ASIGNACIONES'!$J$4:$J$451,MATCH($O300&amp;"|"&amp;$R300&amp;"|"&amp;$AE300,'ASIGNACIONES'!$N$4:$N$451,0)),"")))</f>
        <v/>
      </c>
      <c r="AG300" s="14">
        <f>IF($AE300="","",SUMIFS('ORDENES'!$M$4:$M$1203,'ORDENES'!$AE$4:$AE$1203,$AE300,'ORDENES'!$O$4:$O$1203,$O300,'ORDENES'!$R$4:$R$1203,$R300))</f>
        <v/>
      </c>
      <c r="AH300" s="14">
        <f>IF($AG300="","",p_factor_productividad*IFERROR(INDEX('ASIGNACIONES'!$M$4:$M$451,MATCH($O300&amp;"|"&amp;$R300&amp;"|"&amp;$AE300,'ASIGNACIONES'!$N$4:$N$451,0)),0)-$AG300)</f>
        <v/>
      </c>
      <c r="AI300" s="11">
        <f>IF($A300="","",IFERROR(INDEX('2_IMPORTAR_EJECUCION'!$F$9:$F$1208,MATCH($AQ300,'2_IMPORTAR_EJECUCION'!$J$9:$J$1208,0)),0))</f>
        <v/>
      </c>
      <c r="AJ300" s="11">
        <f>IF($A300="","",MAX(0,IFERROR(INDEX('2_IMPORTAR_EJECUCION'!$H$9:$H$1208,MATCH($AQ300,'2_IMPORTAR_EJECUCION'!$J$9:$J$1208,0)),0)-$AI300))</f>
        <v/>
      </c>
      <c r="AK300" s="11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IF($H301="","",IFERROR(INDEX('CAT_ACTIVIDADES'!$B$4:$B$8,MATCH($H301,'CAT_ACTIVIDADES'!$A$4:$A$8,0)),"(sin catálogo)"))</f>
        <v/>
      </c>
      <c r="AA301" s="13">
        <f>IF($J301="","",TODAY()-$J301)</f>
        <v/>
      </c>
      <c r="AB301" s="13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IF($AE301="","",IF((IFERROR(INDEX('ASIGNACIONES'!$J$4:$J$451,MATCH($O301&amp;"|"&amp;$R301&amp;"|"&amp;$AE301,'ASIGNACIONES'!$N$4:$N$451,0)),""))=0,"",IFERROR(INDEX('ASIGNACIONES'!$J$4:$J$451,MATCH($O301&amp;"|"&amp;$R301&amp;"|"&amp;$AE301,'ASIGNACIONES'!$N$4:$N$451,0)),"")))</f>
        <v/>
      </c>
      <c r="AG301" s="14">
        <f>IF($AE301="","",SUMIFS('ORDENES'!$M$4:$M$1203,'ORDENES'!$AE$4:$AE$1203,$AE301,'ORDENES'!$O$4:$O$1203,$O301,'ORDENES'!$R$4:$R$1203,$R301))</f>
        <v/>
      </c>
      <c r="AH301" s="14">
        <f>IF($AG301="","",p_factor_productividad*IFERROR(INDEX('ASIGNACIONES'!$M$4:$M$451,MATCH($O301&amp;"|"&amp;$R301&amp;"|"&amp;$AE301,'ASIGNACIONES'!$N$4:$N$451,0)),0)-$AG301)</f>
        <v/>
      </c>
      <c r="AI301" s="11">
        <f>IF($A301="","",IFERROR(INDEX('2_IMPORTAR_EJECUCION'!$F$9:$F$1208,MATCH($AQ301,'2_IMPORTAR_EJECUCION'!$J$9:$J$1208,0)),0))</f>
        <v/>
      </c>
      <c r="AJ301" s="11">
        <f>IF($A301="","",MAX(0,IFERROR(INDEX('2_IMPORTAR_EJECUCION'!$H$9:$H$1208,MATCH($AQ301,'2_IMPORTAR_EJECUCION'!$J$9:$J$1208,0)),0)-$AI301))</f>
        <v/>
      </c>
      <c r="AK301" s="11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IF($H302="","",IFERROR(INDEX('CAT_ACTIVIDADES'!$B$4:$B$8,MATCH($H302,'CAT_ACTIVIDADES'!$A$4:$A$8,0)),"(sin catálogo)"))</f>
        <v/>
      </c>
      <c r="AA302" s="13">
        <f>IF($J302="","",TODAY()-$J302)</f>
        <v/>
      </c>
      <c r="AB302" s="13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IF($AE302="","",IF((IFERROR(INDEX('ASIGNACIONES'!$J$4:$J$451,MATCH($O302&amp;"|"&amp;$R302&amp;"|"&amp;$AE302,'ASIGNACIONES'!$N$4:$N$451,0)),""))=0,"",IFERROR(INDEX('ASIGNACIONES'!$J$4:$J$451,MATCH($O302&amp;"|"&amp;$R302&amp;"|"&amp;$AE302,'ASIGNACIONES'!$N$4:$N$451,0)),"")))</f>
        <v/>
      </c>
      <c r="AG302" s="14">
        <f>IF($AE302="","",SUMIFS('ORDENES'!$M$4:$M$1203,'ORDENES'!$AE$4:$AE$1203,$AE302,'ORDENES'!$O$4:$O$1203,$O302,'ORDENES'!$R$4:$R$1203,$R302))</f>
        <v/>
      </c>
      <c r="AH302" s="14">
        <f>IF($AG302="","",p_factor_productividad*IFERROR(INDEX('ASIGNACIONES'!$M$4:$M$451,MATCH($O302&amp;"|"&amp;$R302&amp;"|"&amp;$AE302,'ASIGNACIONES'!$N$4:$N$451,0)),0)-$AG302)</f>
        <v/>
      </c>
      <c r="AI302" s="11">
        <f>IF($A302="","",IFERROR(INDEX('2_IMPORTAR_EJECUCION'!$F$9:$F$1208,MATCH($AQ302,'2_IMPORTAR_EJECUCION'!$J$9:$J$1208,0)),0))</f>
        <v/>
      </c>
      <c r="AJ302" s="11">
        <f>IF($A302="","",MAX(0,IFERROR(INDEX('2_IMPORTAR_EJECUCION'!$H$9:$H$1208,MATCH($AQ302,'2_IMPORTAR_EJECUCION'!$J$9:$J$1208,0)),0)-$AI302))</f>
        <v/>
      </c>
      <c r="AK302" s="11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IF($H303="","",IFERROR(INDEX('CAT_ACTIVIDADES'!$B$4:$B$8,MATCH($H303,'CAT_ACTIVIDADES'!$A$4:$A$8,0)),"(sin catálogo)"))</f>
        <v/>
      </c>
      <c r="AA303" s="13">
        <f>IF($J303="","",TODAY()-$J303)</f>
        <v/>
      </c>
      <c r="AB303" s="13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IF($AE303="","",IF((IFERROR(INDEX('ASIGNACIONES'!$J$4:$J$451,MATCH($O303&amp;"|"&amp;$R303&amp;"|"&amp;$AE303,'ASIGNACIONES'!$N$4:$N$451,0)),""))=0,"",IFERROR(INDEX('ASIGNACIONES'!$J$4:$J$451,MATCH($O303&amp;"|"&amp;$R303&amp;"|"&amp;$AE303,'ASIGNACIONES'!$N$4:$N$451,0)),"")))</f>
        <v/>
      </c>
      <c r="AG303" s="14">
        <f>IF($AE303="","",SUMIFS('ORDENES'!$M$4:$M$1203,'ORDENES'!$AE$4:$AE$1203,$AE303,'ORDENES'!$O$4:$O$1203,$O303,'ORDENES'!$R$4:$R$1203,$R303))</f>
        <v/>
      </c>
      <c r="AH303" s="14">
        <f>IF($AG303="","",p_factor_productividad*IFERROR(INDEX('ASIGNACIONES'!$M$4:$M$451,MATCH($O303&amp;"|"&amp;$R303&amp;"|"&amp;$AE303,'ASIGNACIONES'!$N$4:$N$451,0)),0)-$AG303)</f>
        <v/>
      </c>
      <c r="AI303" s="11">
        <f>IF($A303="","",IFERROR(INDEX('2_IMPORTAR_EJECUCION'!$F$9:$F$1208,MATCH($AQ303,'2_IMPORTAR_EJECUCION'!$J$9:$J$1208,0)),0))</f>
        <v/>
      </c>
      <c r="AJ303" s="11">
        <f>IF($A303="","",MAX(0,IFERROR(INDEX('2_IMPORTAR_EJECUCION'!$H$9:$H$1208,MATCH($AQ303,'2_IMPORTAR_EJECUCION'!$J$9:$J$1208,0)),0)-$AI303))</f>
        <v/>
      </c>
      <c r="AK303" s="11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IF($H304="","",IFERROR(INDEX('CAT_ACTIVIDADES'!$B$4:$B$8,MATCH($H304,'CAT_ACTIVIDADES'!$A$4:$A$8,0)),"(sin catálogo)"))</f>
        <v/>
      </c>
      <c r="AA304" s="13">
        <f>IF($J304="","",TODAY()-$J304)</f>
        <v/>
      </c>
      <c r="AB304" s="13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IF($AE304="","",IF((IFERROR(INDEX('ASIGNACIONES'!$J$4:$J$451,MATCH($O304&amp;"|"&amp;$R304&amp;"|"&amp;$AE304,'ASIGNACIONES'!$N$4:$N$451,0)),""))=0,"",IFERROR(INDEX('ASIGNACIONES'!$J$4:$J$451,MATCH($O304&amp;"|"&amp;$R304&amp;"|"&amp;$AE304,'ASIGNACIONES'!$N$4:$N$451,0)),"")))</f>
        <v/>
      </c>
      <c r="AG304" s="14">
        <f>IF($AE304="","",SUMIFS('ORDENES'!$M$4:$M$1203,'ORDENES'!$AE$4:$AE$1203,$AE304,'ORDENES'!$O$4:$O$1203,$O304,'ORDENES'!$R$4:$R$1203,$R304))</f>
        <v/>
      </c>
      <c r="AH304" s="14">
        <f>IF($AG304="","",p_factor_productividad*IFERROR(INDEX('ASIGNACIONES'!$M$4:$M$451,MATCH($O304&amp;"|"&amp;$R304&amp;"|"&amp;$AE304,'ASIGNACIONES'!$N$4:$N$451,0)),0)-$AG304)</f>
        <v/>
      </c>
      <c r="AI304" s="11">
        <f>IF($A304="","",IFERROR(INDEX('2_IMPORTAR_EJECUCION'!$F$9:$F$1208,MATCH($AQ304,'2_IMPORTAR_EJECUCION'!$J$9:$J$1208,0)),0))</f>
        <v/>
      </c>
      <c r="AJ304" s="11">
        <f>IF($A304="","",MAX(0,IFERROR(INDEX('2_IMPORTAR_EJECUCION'!$H$9:$H$1208,MATCH($AQ304,'2_IMPORTAR_EJECUCION'!$J$9:$J$1208,0)),0)-$AI304))</f>
        <v/>
      </c>
      <c r="AK304" s="11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IF($H305="","",IFERROR(INDEX('CAT_ACTIVIDADES'!$B$4:$B$8,MATCH($H305,'CAT_ACTIVIDADES'!$A$4:$A$8,0)),"(sin catálogo)"))</f>
        <v/>
      </c>
      <c r="AA305" s="13">
        <f>IF($J305="","",TODAY()-$J305)</f>
        <v/>
      </c>
      <c r="AB305" s="13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IF($AE305="","",IF((IFERROR(INDEX('ASIGNACIONES'!$J$4:$J$451,MATCH($O305&amp;"|"&amp;$R305&amp;"|"&amp;$AE305,'ASIGNACIONES'!$N$4:$N$451,0)),""))=0,"",IFERROR(INDEX('ASIGNACIONES'!$J$4:$J$451,MATCH($O305&amp;"|"&amp;$R305&amp;"|"&amp;$AE305,'ASIGNACIONES'!$N$4:$N$451,0)),"")))</f>
        <v/>
      </c>
      <c r="AG305" s="14">
        <f>IF($AE305="","",SUMIFS('ORDENES'!$M$4:$M$1203,'ORDENES'!$AE$4:$AE$1203,$AE305,'ORDENES'!$O$4:$O$1203,$O305,'ORDENES'!$R$4:$R$1203,$R305))</f>
        <v/>
      </c>
      <c r="AH305" s="14">
        <f>IF($AG305="","",p_factor_productividad*IFERROR(INDEX('ASIGNACIONES'!$M$4:$M$451,MATCH($O305&amp;"|"&amp;$R305&amp;"|"&amp;$AE305,'ASIGNACIONES'!$N$4:$N$451,0)),0)-$AG305)</f>
        <v/>
      </c>
      <c r="AI305" s="11">
        <f>IF($A305="","",IFERROR(INDEX('2_IMPORTAR_EJECUCION'!$F$9:$F$1208,MATCH($AQ305,'2_IMPORTAR_EJECUCION'!$J$9:$J$1208,0)),0))</f>
        <v/>
      </c>
      <c r="AJ305" s="11">
        <f>IF($A305="","",MAX(0,IFERROR(INDEX('2_IMPORTAR_EJECUCION'!$H$9:$H$1208,MATCH($AQ305,'2_IMPORTAR_EJECUCION'!$J$9:$J$1208,0)),0)-$AI305))</f>
        <v/>
      </c>
      <c r="AK305" s="11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IF($H306="","",IFERROR(INDEX('CAT_ACTIVIDADES'!$B$4:$B$8,MATCH($H306,'CAT_ACTIVIDADES'!$A$4:$A$8,0)),"(sin catálogo)"))</f>
        <v/>
      </c>
      <c r="AA306" s="13">
        <f>IF($J306="","",TODAY()-$J306)</f>
        <v/>
      </c>
      <c r="AB306" s="13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IF($AE306="","",IF((IFERROR(INDEX('ASIGNACIONES'!$J$4:$J$451,MATCH($O306&amp;"|"&amp;$R306&amp;"|"&amp;$AE306,'ASIGNACIONES'!$N$4:$N$451,0)),""))=0,"",IFERROR(INDEX('ASIGNACIONES'!$J$4:$J$451,MATCH($O306&amp;"|"&amp;$R306&amp;"|"&amp;$AE306,'ASIGNACIONES'!$N$4:$N$451,0)),"")))</f>
        <v/>
      </c>
      <c r="AG306" s="14">
        <f>IF($AE306="","",SUMIFS('ORDENES'!$M$4:$M$1203,'ORDENES'!$AE$4:$AE$1203,$AE306,'ORDENES'!$O$4:$O$1203,$O306,'ORDENES'!$R$4:$R$1203,$R306))</f>
        <v/>
      </c>
      <c r="AH306" s="14">
        <f>IF($AG306="","",p_factor_productividad*IFERROR(INDEX('ASIGNACIONES'!$M$4:$M$451,MATCH($O306&amp;"|"&amp;$R306&amp;"|"&amp;$AE306,'ASIGNACIONES'!$N$4:$N$451,0)),0)-$AG306)</f>
        <v/>
      </c>
      <c r="AI306" s="11">
        <f>IF($A306="","",IFERROR(INDEX('2_IMPORTAR_EJECUCION'!$F$9:$F$1208,MATCH($AQ306,'2_IMPORTAR_EJECUCION'!$J$9:$J$1208,0)),0))</f>
        <v/>
      </c>
      <c r="AJ306" s="11">
        <f>IF($A306="","",MAX(0,IFERROR(INDEX('2_IMPORTAR_EJECUCION'!$H$9:$H$1208,MATCH($AQ306,'2_IMPORTAR_EJECUCION'!$J$9:$J$1208,0)),0)-$AI306))</f>
        <v/>
      </c>
      <c r="AK306" s="11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IF($H307="","",IFERROR(INDEX('CAT_ACTIVIDADES'!$B$4:$B$8,MATCH($H307,'CAT_ACTIVIDADES'!$A$4:$A$8,0)),"(sin catálogo)"))</f>
        <v/>
      </c>
      <c r="AA307" s="13">
        <f>IF($J307="","",TODAY()-$J307)</f>
        <v/>
      </c>
      <c r="AB307" s="13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IF($AE307="","",IF((IFERROR(INDEX('ASIGNACIONES'!$J$4:$J$451,MATCH($O307&amp;"|"&amp;$R307&amp;"|"&amp;$AE307,'ASIGNACIONES'!$N$4:$N$451,0)),""))=0,"",IFERROR(INDEX('ASIGNACIONES'!$J$4:$J$451,MATCH($O307&amp;"|"&amp;$R307&amp;"|"&amp;$AE307,'ASIGNACIONES'!$N$4:$N$451,0)),"")))</f>
        <v/>
      </c>
      <c r="AG307" s="14">
        <f>IF($AE307="","",SUMIFS('ORDENES'!$M$4:$M$1203,'ORDENES'!$AE$4:$AE$1203,$AE307,'ORDENES'!$O$4:$O$1203,$O307,'ORDENES'!$R$4:$R$1203,$R307))</f>
        <v/>
      </c>
      <c r="AH307" s="14">
        <f>IF($AG307="","",p_factor_productividad*IFERROR(INDEX('ASIGNACIONES'!$M$4:$M$451,MATCH($O307&amp;"|"&amp;$R307&amp;"|"&amp;$AE307,'ASIGNACIONES'!$N$4:$N$451,0)),0)-$AG307)</f>
        <v/>
      </c>
      <c r="AI307" s="11">
        <f>IF($A307="","",IFERROR(INDEX('2_IMPORTAR_EJECUCION'!$F$9:$F$1208,MATCH($AQ307,'2_IMPORTAR_EJECUCION'!$J$9:$J$1208,0)),0))</f>
        <v/>
      </c>
      <c r="AJ307" s="11">
        <f>IF($A307="","",MAX(0,IFERROR(INDEX('2_IMPORTAR_EJECUCION'!$H$9:$H$1208,MATCH($AQ307,'2_IMPORTAR_EJECUCION'!$J$9:$J$1208,0)),0)-$AI307))</f>
        <v/>
      </c>
      <c r="AK307" s="11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IF($H308="","",IFERROR(INDEX('CAT_ACTIVIDADES'!$B$4:$B$8,MATCH($H308,'CAT_ACTIVIDADES'!$A$4:$A$8,0)),"(sin catálogo)"))</f>
        <v/>
      </c>
      <c r="AA308" s="13">
        <f>IF($J308="","",TODAY()-$J308)</f>
        <v/>
      </c>
      <c r="AB308" s="13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IF($AE308="","",IF((IFERROR(INDEX('ASIGNACIONES'!$J$4:$J$451,MATCH($O308&amp;"|"&amp;$R308&amp;"|"&amp;$AE308,'ASIGNACIONES'!$N$4:$N$451,0)),""))=0,"",IFERROR(INDEX('ASIGNACIONES'!$J$4:$J$451,MATCH($O308&amp;"|"&amp;$R308&amp;"|"&amp;$AE308,'ASIGNACIONES'!$N$4:$N$451,0)),"")))</f>
        <v/>
      </c>
      <c r="AG308" s="14">
        <f>IF($AE308="","",SUMIFS('ORDENES'!$M$4:$M$1203,'ORDENES'!$AE$4:$AE$1203,$AE308,'ORDENES'!$O$4:$O$1203,$O308,'ORDENES'!$R$4:$R$1203,$R308))</f>
        <v/>
      </c>
      <c r="AH308" s="14">
        <f>IF($AG308="","",p_factor_productividad*IFERROR(INDEX('ASIGNACIONES'!$M$4:$M$451,MATCH($O308&amp;"|"&amp;$R308&amp;"|"&amp;$AE308,'ASIGNACIONES'!$N$4:$N$451,0)),0)-$AG308)</f>
        <v/>
      </c>
      <c r="AI308" s="11">
        <f>IF($A308="","",IFERROR(INDEX('2_IMPORTAR_EJECUCION'!$F$9:$F$1208,MATCH($AQ308,'2_IMPORTAR_EJECUCION'!$J$9:$J$1208,0)),0))</f>
        <v/>
      </c>
      <c r="AJ308" s="11">
        <f>IF($A308="","",MAX(0,IFERROR(INDEX('2_IMPORTAR_EJECUCION'!$H$9:$H$1208,MATCH($AQ308,'2_IMPORTAR_EJECUCION'!$J$9:$J$1208,0)),0)-$AI308))</f>
        <v/>
      </c>
      <c r="AK308" s="11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IF($H309="","",IFERROR(INDEX('CAT_ACTIVIDADES'!$B$4:$B$8,MATCH($H309,'CAT_ACTIVIDADES'!$A$4:$A$8,0)),"(sin catálogo)"))</f>
        <v/>
      </c>
      <c r="AA309" s="13">
        <f>IF($J309="","",TODAY()-$J309)</f>
        <v/>
      </c>
      <c r="AB309" s="13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IF($AE309="","",IF((IFERROR(INDEX('ASIGNACIONES'!$J$4:$J$451,MATCH($O309&amp;"|"&amp;$R309&amp;"|"&amp;$AE309,'ASIGNACIONES'!$N$4:$N$451,0)),""))=0,"",IFERROR(INDEX('ASIGNACIONES'!$J$4:$J$451,MATCH($O309&amp;"|"&amp;$R309&amp;"|"&amp;$AE309,'ASIGNACIONES'!$N$4:$N$451,0)),"")))</f>
        <v/>
      </c>
      <c r="AG309" s="14">
        <f>IF($AE309="","",SUMIFS('ORDENES'!$M$4:$M$1203,'ORDENES'!$AE$4:$AE$1203,$AE309,'ORDENES'!$O$4:$O$1203,$O309,'ORDENES'!$R$4:$R$1203,$R309))</f>
        <v/>
      </c>
      <c r="AH309" s="14">
        <f>IF($AG309="","",p_factor_productividad*IFERROR(INDEX('ASIGNACIONES'!$M$4:$M$451,MATCH($O309&amp;"|"&amp;$R309&amp;"|"&amp;$AE309,'ASIGNACIONES'!$N$4:$N$451,0)),0)-$AG309)</f>
        <v/>
      </c>
      <c r="AI309" s="11">
        <f>IF($A309="","",IFERROR(INDEX('2_IMPORTAR_EJECUCION'!$F$9:$F$1208,MATCH($AQ309,'2_IMPORTAR_EJECUCION'!$J$9:$J$1208,0)),0))</f>
        <v/>
      </c>
      <c r="AJ309" s="11">
        <f>IF($A309="","",MAX(0,IFERROR(INDEX('2_IMPORTAR_EJECUCION'!$H$9:$H$1208,MATCH($AQ309,'2_IMPORTAR_EJECUCION'!$J$9:$J$1208,0)),0)-$AI309))</f>
        <v/>
      </c>
      <c r="AK309" s="11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IF($H310="","",IFERROR(INDEX('CAT_ACTIVIDADES'!$B$4:$B$8,MATCH($H310,'CAT_ACTIVIDADES'!$A$4:$A$8,0)),"(sin catálogo)"))</f>
        <v/>
      </c>
      <c r="AA310" s="13">
        <f>IF($J310="","",TODAY()-$J310)</f>
        <v/>
      </c>
      <c r="AB310" s="13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IF($AE310="","",IF((IFERROR(INDEX('ASIGNACIONES'!$J$4:$J$451,MATCH($O310&amp;"|"&amp;$R310&amp;"|"&amp;$AE310,'ASIGNACIONES'!$N$4:$N$451,0)),""))=0,"",IFERROR(INDEX('ASIGNACIONES'!$J$4:$J$451,MATCH($O310&amp;"|"&amp;$R310&amp;"|"&amp;$AE310,'ASIGNACIONES'!$N$4:$N$451,0)),"")))</f>
        <v/>
      </c>
      <c r="AG310" s="14">
        <f>IF($AE310="","",SUMIFS('ORDENES'!$M$4:$M$1203,'ORDENES'!$AE$4:$AE$1203,$AE310,'ORDENES'!$O$4:$O$1203,$O310,'ORDENES'!$R$4:$R$1203,$R310))</f>
        <v/>
      </c>
      <c r="AH310" s="14">
        <f>IF($AG310="","",p_factor_productividad*IFERROR(INDEX('ASIGNACIONES'!$M$4:$M$451,MATCH($O310&amp;"|"&amp;$R310&amp;"|"&amp;$AE310,'ASIGNACIONES'!$N$4:$N$451,0)),0)-$AG310)</f>
        <v/>
      </c>
      <c r="AI310" s="11">
        <f>IF($A310="","",IFERROR(INDEX('2_IMPORTAR_EJECUCION'!$F$9:$F$1208,MATCH($AQ310,'2_IMPORTAR_EJECUCION'!$J$9:$J$1208,0)),0))</f>
        <v/>
      </c>
      <c r="AJ310" s="11">
        <f>IF($A310="","",MAX(0,IFERROR(INDEX('2_IMPORTAR_EJECUCION'!$H$9:$H$1208,MATCH($AQ310,'2_IMPORTAR_EJECUCION'!$J$9:$J$1208,0)),0)-$AI310))</f>
        <v/>
      </c>
      <c r="AK310" s="11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IF($H311="","",IFERROR(INDEX('CAT_ACTIVIDADES'!$B$4:$B$8,MATCH($H311,'CAT_ACTIVIDADES'!$A$4:$A$8,0)),"(sin catálogo)"))</f>
        <v/>
      </c>
      <c r="AA311" s="13">
        <f>IF($J311="","",TODAY()-$J311)</f>
        <v/>
      </c>
      <c r="AB311" s="13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IF($AE311="","",IF((IFERROR(INDEX('ASIGNACIONES'!$J$4:$J$451,MATCH($O311&amp;"|"&amp;$R311&amp;"|"&amp;$AE311,'ASIGNACIONES'!$N$4:$N$451,0)),""))=0,"",IFERROR(INDEX('ASIGNACIONES'!$J$4:$J$451,MATCH($O311&amp;"|"&amp;$R311&amp;"|"&amp;$AE311,'ASIGNACIONES'!$N$4:$N$451,0)),"")))</f>
        <v/>
      </c>
      <c r="AG311" s="14">
        <f>IF($AE311="","",SUMIFS('ORDENES'!$M$4:$M$1203,'ORDENES'!$AE$4:$AE$1203,$AE311,'ORDENES'!$O$4:$O$1203,$O311,'ORDENES'!$R$4:$R$1203,$R311))</f>
        <v/>
      </c>
      <c r="AH311" s="14">
        <f>IF($AG311="","",p_factor_productividad*IFERROR(INDEX('ASIGNACIONES'!$M$4:$M$451,MATCH($O311&amp;"|"&amp;$R311&amp;"|"&amp;$AE311,'ASIGNACIONES'!$N$4:$N$451,0)),0)-$AG311)</f>
        <v/>
      </c>
      <c r="AI311" s="11">
        <f>IF($A311="","",IFERROR(INDEX('2_IMPORTAR_EJECUCION'!$F$9:$F$1208,MATCH($AQ311,'2_IMPORTAR_EJECUCION'!$J$9:$J$1208,0)),0))</f>
        <v/>
      </c>
      <c r="AJ311" s="11">
        <f>IF($A311="","",MAX(0,IFERROR(INDEX('2_IMPORTAR_EJECUCION'!$H$9:$H$1208,MATCH($AQ311,'2_IMPORTAR_EJECUCION'!$J$9:$J$1208,0)),0)-$AI311))</f>
        <v/>
      </c>
      <c r="AK311" s="11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IF($H312="","",IFERROR(INDEX('CAT_ACTIVIDADES'!$B$4:$B$8,MATCH($H312,'CAT_ACTIVIDADES'!$A$4:$A$8,0)),"(sin catálogo)"))</f>
        <v/>
      </c>
      <c r="AA312" s="13">
        <f>IF($J312="","",TODAY()-$J312)</f>
        <v/>
      </c>
      <c r="AB312" s="13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IF($AE312="","",IF((IFERROR(INDEX('ASIGNACIONES'!$J$4:$J$451,MATCH($O312&amp;"|"&amp;$R312&amp;"|"&amp;$AE312,'ASIGNACIONES'!$N$4:$N$451,0)),""))=0,"",IFERROR(INDEX('ASIGNACIONES'!$J$4:$J$451,MATCH($O312&amp;"|"&amp;$R312&amp;"|"&amp;$AE312,'ASIGNACIONES'!$N$4:$N$451,0)),"")))</f>
        <v/>
      </c>
      <c r="AG312" s="14">
        <f>IF($AE312="","",SUMIFS('ORDENES'!$M$4:$M$1203,'ORDENES'!$AE$4:$AE$1203,$AE312,'ORDENES'!$O$4:$O$1203,$O312,'ORDENES'!$R$4:$R$1203,$R312))</f>
        <v/>
      </c>
      <c r="AH312" s="14">
        <f>IF($AG312="","",p_factor_productividad*IFERROR(INDEX('ASIGNACIONES'!$M$4:$M$451,MATCH($O312&amp;"|"&amp;$R312&amp;"|"&amp;$AE312,'ASIGNACIONES'!$N$4:$N$451,0)),0)-$AG312)</f>
        <v/>
      </c>
      <c r="AI312" s="11">
        <f>IF($A312="","",IFERROR(INDEX('2_IMPORTAR_EJECUCION'!$F$9:$F$1208,MATCH($AQ312,'2_IMPORTAR_EJECUCION'!$J$9:$J$1208,0)),0))</f>
        <v/>
      </c>
      <c r="AJ312" s="11">
        <f>IF($A312="","",MAX(0,IFERROR(INDEX('2_IMPORTAR_EJECUCION'!$H$9:$H$1208,MATCH($AQ312,'2_IMPORTAR_EJECUCION'!$J$9:$J$1208,0)),0)-$AI312))</f>
        <v/>
      </c>
      <c r="AK312" s="11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IF($H313="","",IFERROR(INDEX('CAT_ACTIVIDADES'!$B$4:$B$8,MATCH($H313,'CAT_ACTIVIDADES'!$A$4:$A$8,0)),"(sin catálogo)"))</f>
        <v/>
      </c>
      <c r="AA313" s="13">
        <f>IF($J313="","",TODAY()-$J313)</f>
        <v/>
      </c>
      <c r="AB313" s="13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IF($AE313="","",IF((IFERROR(INDEX('ASIGNACIONES'!$J$4:$J$451,MATCH($O313&amp;"|"&amp;$R313&amp;"|"&amp;$AE313,'ASIGNACIONES'!$N$4:$N$451,0)),""))=0,"",IFERROR(INDEX('ASIGNACIONES'!$J$4:$J$451,MATCH($O313&amp;"|"&amp;$R313&amp;"|"&amp;$AE313,'ASIGNACIONES'!$N$4:$N$451,0)),"")))</f>
        <v/>
      </c>
      <c r="AG313" s="14">
        <f>IF($AE313="","",SUMIFS('ORDENES'!$M$4:$M$1203,'ORDENES'!$AE$4:$AE$1203,$AE313,'ORDENES'!$O$4:$O$1203,$O313,'ORDENES'!$R$4:$R$1203,$R313))</f>
        <v/>
      </c>
      <c r="AH313" s="14">
        <f>IF($AG313="","",p_factor_productividad*IFERROR(INDEX('ASIGNACIONES'!$M$4:$M$451,MATCH($O313&amp;"|"&amp;$R313&amp;"|"&amp;$AE313,'ASIGNACIONES'!$N$4:$N$451,0)),0)-$AG313)</f>
        <v/>
      </c>
      <c r="AI313" s="11">
        <f>IF($A313="","",IFERROR(INDEX('2_IMPORTAR_EJECUCION'!$F$9:$F$1208,MATCH($AQ313,'2_IMPORTAR_EJECUCION'!$J$9:$J$1208,0)),0))</f>
        <v/>
      </c>
      <c r="AJ313" s="11">
        <f>IF($A313="","",MAX(0,IFERROR(INDEX('2_IMPORTAR_EJECUCION'!$H$9:$H$1208,MATCH($AQ313,'2_IMPORTAR_EJECUCION'!$J$9:$J$1208,0)),0)-$AI313))</f>
        <v/>
      </c>
      <c r="AK313" s="11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IF($H314="","",IFERROR(INDEX('CAT_ACTIVIDADES'!$B$4:$B$8,MATCH($H314,'CAT_ACTIVIDADES'!$A$4:$A$8,0)),"(sin catálogo)"))</f>
        <v/>
      </c>
      <c r="AA314" s="13">
        <f>IF($J314="","",TODAY()-$J314)</f>
        <v/>
      </c>
      <c r="AB314" s="13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IF($AE314="","",IF((IFERROR(INDEX('ASIGNACIONES'!$J$4:$J$451,MATCH($O314&amp;"|"&amp;$R314&amp;"|"&amp;$AE314,'ASIGNACIONES'!$N$4:$N$451,0)),""))=0,"",IFERROR(INDEX('ASIGNACIONES'!$J$4:$J$451,MATCH($O314&amp;"|"&amp;$R314&amp;"|"&amp;$AE314,'ASIGNACIONES'!$N$4:$N$451,0)),"")))</f>
        <v/>
      </c>
      <c r="AG314" s="14">
        <f>IF($AE314="","",SUMIFS('ORDENES'!$M$4:$M$1203,'ORDENES'!$AE$4:$AE$1203,$AE314,'ORDENES'!$O$4:$O$1203,$O314,'ORDENES'!$R$4:$R$1203,$R314))</f>
        <v/>
      </c>
      <c r="AH314" s="14">
        <f>IF($AG314="","",p_factor_productividad*IFERROR(INDEX('ASIGNACIONES'!$M$4:$M$451,MATCH($O314&amp;"|"&amp;$R314&amp;"|"&amp;$AE314,'ASIGNACIONES'!$N$4:$N$451,0)),0)-$AG314)</f>
        <v/>
      </c>
      <c r="AI314" s="11">
        <f>IF($A314="","",IFERROR(INDEX('2_IMPORTAR_EJECUCION'!$F$9:$F$1208,MATCH($AQ314,'2_IMPORTAR_EJECUCION'!$J$9:$J$1208,0)),0))</f>
        <v/>
      </c>
      <c r="AJ314" s="11">
        <f>IF($A314="","",MAX(0,IFERROR(INDEX('2_IMPORTAR_EJECUCION'!$H$9:$H$1208,MATCH($AQ314,'2_IMPORTAR_EJECUCION'!$J$9:$J$1208,0)),0)-$AI314))</f>
        <v/>
      </c>
      <c r="AK314" s="11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IF($H315="","",IFERROR(INDEX('CAT_ACTIVIDADES'!$B$4:$B$8,MATCH($H315,'CAT_ACTIVIDADES'!$A$4:$A$8,0)),"(sin catálogo)"))</f>
        <v/>
      </c>
      <c r="AA315" s="13">
        <f>IF($J315="","",TODAY()-$J315)</f>
        <v/>
      </c>
      <c r="AB315" s="13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IF($AE315="","",IF((IFERROR(INDEX('ASIGNACIONES'!$J$4:$J$451,MATCH($O315&amp;"|"&amp;$R315&amp;"|"&amp;$AE315,'ASIGNACIONES'!$N$4:$N$451,0)),""))=0,"",IFERROR(INDEX('ASIGNACIONES'!$J$4:$J$451,MATCH($O315&amp;"|"&amp;$R315&amp;"|"&amp;$AE315,'ASIGNACIONES'!$N$4:$N$451,0)),"")))</f>
        <v/>
      </c>
      <c r="AG315" s="14">
        <f>IF($AE315="","",SUMIFS('ORDENES'!$M$4:$M$1203,'ORDENES'!$AE$4:$AE$1203,$AE315,'ORDENES'!$O$4:$O$1203,$O315,'ORDENES'!$R$4:$R$1203,$R315))</f>
        <v/>
      </c>
      <c r="AH315" s="14">
        <f>IF($AG315="","",p_factor_productividad*IFERROR(INDEX('ASIGNACIONES'!$M$4:$M$451,MATCH($O315&amp;"|"&amp;$R315&amp;"|"&amp;$AE315,'ASIGNACIONES'!$N$4:$N$451,0)),0)-$AG315)</f>
        <v/>
      </c>
      <c r="AI315" s="11">
        <f>IF($A315="","",IFERROR(INDEX('2_IMPORTAR_EJECUCION'!$F$9:$F$1208,MATCH($AQ315,'2_IMPORTAR_EJECUCION'!$J$9:$J$1208,0)),0))</f>
        <v/>
      </c>
      <c r="AJ315" s="11">
        <f>IF($A315="","",MAX(0,IFERROR(INDEX('2_IMPORTAR_EJECUCION'!$H$9:$H$1208,MATCH($AQ315,'2_IMPORTAR_EJECUCION'!$J$9:$J$1208,0)),0)-$AI315))</f>
        <v/>
      </c>
      <c r="AK315" s="11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IF($H316="","",IFERROR(INDEX('CAT_ACTIVIDADES'!$B$4:$B$8,MATCH($H316,'CAT_ACTIVIDADES'!$A$4:$A$8,0)),"(sin catálogo)"))</f>
        <v/>
      </c>
      <c r="AA316" s="13">
        <f>IF($J316="","",TODAY()-$J316)</f>
        <v/>
      </c>
      <c r="AB316" s="13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IF($AE316="","",IF((IFERROR(INDEX('ASIGNACIONES'!$J$4:$J$451,MATCH($O316&amp;"|"&amp;$R316&amp;"|"&amp;$AE316,'ASIGNACIONES'!$N$4:$N$451,0)),""))=0,"",IFERROR(INDEX('ASIGNACIONES'!$J$4:$J$451,MATCH($O316&amp;"|"&amp;$R316&amp;"|"&amp;$AE316,'ASIGNACIONES'!$N$4:$N$451,0)),"")))</f>
        <v/>
      </c>
      <c r="AG316" s="14">
        <f>IF($AE316="","",SUMIFS('ORDENES'!$M$4:$M$1203,'ORDENES'!$AE$4:$AE$1203,$AE316,'ORDENES'!$O$4:$O$1203,$O316,'ORDENES'!$R$4:$R$1203,$R316))</f>
        <v/>
      </c>
      <c r="AH316" s="14">
        <f>IF($AG316="","",p_factor_productividad*IFERROR(INDEX('ASIGNACIONES'!$M$4:$M$451,MATCH($O316&amp;"|"&amp;$R316&amp;"|"&amp;$AE316,'ASIGNACIONES'!$N$4:$N$451,0)),0)-$AG316)</f>
        <v/>
      </c>
      <c r="AI316" s="11">
        <f>IF($A316="","",IFERROR(INDEX('2_IMPORTAR_EJECUCION'!$F$9:$F$1208,MATCH($AQ316,'2_IMPORTAR_EJECUCION'!$J$9:$J$1208,0)),0))</f>
        <v/>
      </c>
      <c r="AJ316" s="11">
        <f>IF($A316="","",MAX(0,IFERROR(INDEX('2_IMPORTAR_EJECUCION'!$H$9:$H$1208,MATCH($AQ316,'2_IMPORTAR_EJECUCION'!$J$9:$J$1208,0)),0)-$AI316))</f>
        <v/>
      </c>
      <c r="AK316" s="11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IF($H317="","",IFERROR(INDEX('CAT_ACTIVIDADES'!$B$4:$B$8,MATCH($H317,'CAT_ACTIVIDADES'!$A$4:$A$8,0)),"(sin catálogo)"))</f>
        <v/>
      </c>
      <c r="AA317" s="13">
        <f>IF($J317="","",TODAY()-$J317)</f>
        <v/>
      </c>
      <c r="AB317" s="13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IF($AE317="","",IF((IFERROR(INDEX('ASIGNACIONES'!$J$4:$J$451,MATCH($O317&amp;"|"&amp;$R317&amp;"|"&amp;$AE317,'ASIGNACIONES'!$N$4:$N$451,0)),""))=0,"",IFERROR(INDEX('ASIGNACIONES'!$J$4:$J$451,MATCH($O317&amp;"|"&amp;$R317&amp;"|"&amp;$AE317,'ASIGNACIONES'!$N$4:$N$451,0)),"")))</f>
        <v/>
      </c>
      <c r="AG317" s="14">
        <f>IF($AE317="","",SUMIFS('ORDENES'!$M$4:$M$1203,'ORDENES'!$AE$4:$AE$1203,$AE317,'ORDENES'!$O$4:$O$1203,$O317,'ORDENES'!$R$4:$R$1203,$R317))</f>
        <v/>
      </c>
      <c r="AH317" s="14">
        <f>IF($AG317="","",p_factor_productividad*IFERROR(INDEX('ASIGNACIONES'!$M$4:$M$451,MATCH($O317&amp;"|"&amp;$R317&amp;"|"&amp;$AE317,'ASIGNACIONES'!$N$4:$N$451,0)),0)-$AG317)</f>
        <v/>
      </c>
      <c r="AI317" s="11">
        <f>IF($A317="","",IFERROR(INDEX('2_IMPORTAR_EJECUCION'!$F$9:$F$1208,MATCH($AQ317,'2_IMPORTAR_EJECUCION'!$J$9:$J$1208,0)),0))</f>
        <v/>
      </c>
      <c r="AJ317" s="11">
        <f>IF($A317="","",MAX(0,IFERROR(INDEX('2_IMPORTAR_EJECUCION'!$H$9:$H$1208,MATCH($AQ317,'2_IMPORTAR_EJECUCION'!$J$9:$J$1208,0)),0)-$AI317))</f>
        <v/>
      </c>
      <c r="AK317" s="11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IF($H318="","",IFERROR(INDEX('CAT_ACTIVIDADES'!$B$4:$B$8,MATCH($H318,'CAT_ACTIVIDADES'!$A$4:$A$8,0)),"(sin catálogo)"))</f>
        <v/>
      </c>
      <c r="AA318" s="13">
        <f>IF($J318="","",TODAY()-$J318)</f>
        <v/>
      </c>
      <c r="AB318" s="13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IF($AE318="","",IF((IFERROR(INDEX('ASIGNACIONES'!$J$4:$J$451,MATCH($O318&amp;"|"&amp;$R318&amp;"|"&amp;$AE318,'ASIGNACIONES'!$N$4:$N$451,0)),""))=0,"",IFERROR(INDEX('ASIGNACIONES'!$J$4:$J$451,MATCH($O318&amp;"|"&amp;$R318&amp;"|"&amp;$AE318,'ASIGNACIONES'!$N$4:$N$451,0)),"")))</f>
        <v/>
      </c>
      <c r="AG318" s="14">
        <f>IF($AE318="","",SUMIFS('ORDENES'!$M$4:$M$1203,'ORDENES'!$AE$4:$AE$1203,$AE318,'ORDENES'!$O$4:$O$1203,$O318,'ORDENES'!$R$4:$R$1203,$R318))</f>
        <v/>
      </c>
      <c r="AH318" s="14">
        <f>IF($AG318="","",p_factor_productividad*IFERROR(INDEX('ASIGNACIONES'!$M$4:$M$451,MATCH($O318&amp;"|"&amp;$R318&amp;"|"&amp;$AE318,'ASIGNACIONES'!$N$4:$N$451,0)),0)-$AG318)</f>
        <v/>
      </c>
      <c r="AI318" s="11">
        <f>IF($A318="","",IFERROR(INDEX('2_IMPORTAR_EJECUCION'!$F$9:$F$1208,MATCH($AQ318,'2_IMPORTAR_EJECUCION'!$J$9:$J$1208,0)),0))</f>
        <v/>
      </c>
      <c r="AJ318" s="11">
        <f>IF($A318="","",MAX(0,IFERROR(INDEX('2_IMPORTAR_EJECUCION'!$H$9:$H$1208,MATCH($AQ318,'2_IMPORTAR_EJECUCION'!$J$9:$J$1208,0)),0)-$AI318))</f>
        <v/>
      </c>
      <c r="AK318" s="11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IF($H319="","",IFERROR(INDEX('CAT_ACTIVIDADES'!$B$4:$B$8,MATCH($H319,'CAT_ACTIVIDADES'!$A$4:$A$8,0)),"(sin catálogo)"))</f>
        <v/>
      </c>
      <c r="AA319" s="13">
        <f>IF($J319="","",TODAY()-$J319)</f>
        <v/>
      </c>
      <c r="AB319" s="13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IF($AE319="","",IF((IFERROR(INDEX('ASIGNACIONES'!$J$4:$J$451,MATCH($O319&amp;"|"&amp;$R319&amp;"|"&amp;$AE319,'ASIGNACIONES'!$N$4:$N$451,0)),""))=0,"",IFERROR(INDEX('ASIGNACIONES'!$J$4:$J$451,MATCH($O319&amp;"|"&amp;$R319&amp;"|"&amp;$AE319,'ASIGNACIONES'!$N$4:$N$451,0)),"")))</f>
        <v/>
      </c>
      <c r="AG319" s="14">
        <f>IF($AE319="","",SUMIFS('ORDENES'!$M$4:$M$1203,'ORDENES'!$AE$4:$AE$1203,$AE319,'ORDENES'!$O$4:$O$1203,$O319,'ORDENES'!$R$4:$R$1203,$R319))</f>
        <v/>
      </c>
      <c r="AH319" s="14">
        <f>IF($AG319="","",p_factor_productividad*IFERROR(INDEX('ASIGNACIONES'!$M$4:$M$451,MATCH($O319&amp;"|"&amp;$R319&amp;"|"&amp;$AE319,'ASIGNACIONES'!$N$4:$N$451,0)),0)-$AG319)</f>
        <v/>
      </c>
      <c r="AI319" s="11">
        <f>IF($A319="","",IFERROR(INDEX('2_IMPORTAR_EJECUCION'!$F$9:$F$1208,MATCH($AQ319,'2_IMPORTAR_EJECUCION'!$J$9:$J$1208,0)),0))</f>
        <v/>
      </c>
      <c r="AJ319" s="11">
        <f>IF($A319="","",MAX(0,IFERROR(INDEX('2_IMPORTAR_EJECUCION'!$H$9:$H$1208,MATCH($AQ319,'2_IMPORTAR_EJECUCION'!$J$9:$J$1208,0)),0)-$AI319))</f>
        <v/>
      </c>
      <c r="AK319" s="11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IF($H320="","",IFERROR(INDEX('CAT_ACTIVIDADES'!$B$4:$B$8,MATCH($H320,'CAT_ACTIVIDADES'!$A$4:$A$8,0)),"(sin catálogo)"))</f>
        <v/>
      </c>
      <c r="AA320" s="13">
        <f>IF($J320="","",TODAY()-$J320)</f>
        <v/>
      </c>
      <c r="AB320" s="13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IF($AE320="","",IF((IFERROR(INDEX('ASIGNACIONES'!$J$4:$J$451,MATCH($O320&amp;"|"&amp;$R320&amp;"|"&amp;$AE320,'ASIGNACIONES'!$N$4:$N$451,0)),""))=0,"",IFERROR(INDEX('ASIGNACIONES'!$J$4:$J$451,MATCH($O320&amp;"|"&amp;$R320&amp;"|"&amp;$AE320,'ASIGNACIONES'!$N$4:$N$451,0)),"")))</f>
        <v/>
      </c>
      <c r="AG320" s="14">
        <f>IF($AE320="","",SUMIFS('ORDENES'!$M$4:$M$1203,'ORDENES'!$AE$4:$AE$1203,$AE320,'ORDENES'!$O$4:$O$1203,$O320,'ORDENES'!$R$4:$R$1203,$R320))</f>
        <v/>
      </c>
      <c r="AH320" s="14">
        <f>IF($AG320="","",p_factor_productividad*IFERROR(INDEX('ASIGNACIONES'!$M$4:$M$451,MATCH($O320&amp;"|"&amp;$R320&amp;"|"&amp;$AE320,'ASIGNACIONES'!$N$4:$N$451,0)),0)-$AG320)</f>
        <v/>
      </c>
      <c r="AI320" s="11">
        <f>IF($A320="","",IFERROR(INDEX('2_IMPORTAR_EJECUCION'!$F$9:$F$1208,MATCH($AQ320,'2_IMPORTAR_EJECUCION'!$J$9:$J$1208,0)),0))</f>
        <v/>
      </c>
      <c r="AJ320" s="11">
        <f>IF($A320="","",MAX(0,IFERROR(INDEX('2_IMPORTAR_EJECUCION'!$H$9:$H$1208,MATCH($AQ320,'2_IMPORTAR_EJECUCION'!$J$9:$J$1208,0)),0)-$AI320))</f>
        <v/>
      </c>
      <c r="AK320" s="11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IF($H321="","",IFERROR(INDEX('CAT_ACTIVIDADES'!$B$4:$B$8,MATCH($H321,'CAT_ACTIVIDADES'!$A$4:$A$8,0)),"(sin catálogo)"))</f>
        <v/>
      </c>
      <c r="AA321" s="13">
        <f>IF($J321="","",TODAY()-$J321)</f>
        <v/>
      </c>
      <c r="AB321" s="13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IF($AE321="","",IF((IFERROR(INDEX('ASIGNACIONES'!$J$4:$J$451,MATCH($O321&amp;"|"&amp;$R321&amp;"|"&amp;$AE321,'ASIGNACIONES'!$N$4:$N$451,0)),""))=0,"",IFERROR(INDEX('ASIGNACIONES'!$J$4:$J$451,MATCH($O321&amp;"|"&amp;$R321&amp;"|"&amp;$AE321,'ASIGNACIONES'!$N$4:$N$451,0)),"")))</f>
        <v/>
      </c>
      <c r="AG321" s="14">
        <f>IF($AE321="","",SUMIFS('ORDENES'!$M$4:$M$1203,'ORDENES'!$AE$4:$AE$1203,$AE321,'ORDENES'!$O$4:$O$1203,$O321,'ORDENES'!$R$4:$R$1203,$R321))</f>
        <v/>
      </c>
      <c r="AH321" s="14">
        <f>IF($AG321="","",p_factor_productividad*IFERROR(INDEX('ASIGNACIONES'!$M$4:$M$451,MATCH($O321&amp;"|"&amp;$R321&amp;"|"&amp;$AE321,'ASIGNACIONES'!$N$4:$N$451,0)),0)-$AG321)</f>
        <v/>
      </c>
      <c r="AI321" s="11">
        <f>IF($A321="","",IFERROR(INDEX('2_IMPORTAR_EJECUCION'!$F$9:$F$1208,MATCH($AQ321,'2_IMPORTAR_EJECUCION'!$J$9:$J$1208,0)),0))</f>
        <v/>
      </c>
      <c r="AJ321" s="11">
        <f>IF($A321="","",MAX(0,IFERROR(INDEX('2_IMPORTAR_EJECUCION'!$H$9:$H$1208,MATCH($AQ321,'2_IMPORTAR_EJECUCION'!$J$9:$J$1208,0)),0)-$AI321))</f>
        <v/>
      </c>
      <c r="AK321" s="11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IF($H322="","",IFERROR(INDEX('CAT_ACTIVIDADES'!$B$4:$B$8,MATCH($H322,'CAT_ACTIVIDADES'!$A$4:$A$8,0)),"(sin catálogo)"))</f>
        <v/>
      </c>
      <c r="AA322" s="13">
        <f>IF($J322="","",TODAY()-$J322)</f>
        <v/>
      </c>
      <c r="AB322" s="13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IF($AE322="","",IF((IFERROR(INDEX('ASIGNACIONES'!$J$4:$J$451,MATCH($O322&amp;"|"&amp;$R322&amp;"|"&amp;$AE322,'ASIGNACIONES'!$N$4:$N$451,0)),""))=0,"",IFERROR(INDEX('ASIGNACIONES'!$J$4:$J$451,MATCH($O322&amp;"|"&amp;$R322&amp;"|"&amp;$AE322,'ASIGNACIONES'!$N$4:$N$451,0)),"")))</f>
        <v/>
      </c>
      <c r="AG322" s="14">
        <f>IF($AE322="","",SUMIFS('ORDENES'!$M$4:$M$1203,'ORDENES'!$AE$4:$AE$1203,$AE322,'ORDENES'!$O$4:$O$1203,$O322,'ORDENES'!$R$4:$R$1203,$R322))</f>
        <v/>
      </c>
      <c r="AH322" s="14">
        <f>IF($AG322="","",p_factor_productividad*IFERROR(INDEX('ASIGNACIONES'!$M$4:$M$451,MATCH($O322&amp;"|"&amp;$R322&amp;"|"&amp;$AE322,'ASIGNACIONES'!$N$4:$N$451,0)),0)-$AG322)</f>
        <v/>
      </c>
      <c r="AI322" s="11">
        <f>IF($A322="","",IFERROR(INDEX('2_IMPORTAR_EJECUCION'!$F$9:$F$1208,MATCH($AQ322,'2_IMPORTAR_EJECUCION'!$J$9:$J$1208,0)),0))</f>
        <v/>
      </c>
      <c r="AJ322" s="11">
        <f>IF($A322="","",MAX(0,IFERROR(INDEX('2_IMPORTAR_EJECUCION'!$H$9:$H$1208,MATCH($AQ322,'2_IMPORTAR_EJECUCION'!$J$9:$J$1208,0)),0)-$AI322))</f>
        <v/>
      </c>
      <c r="AK322" s="11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IF($H323="","",IFERROR(INDEX('CAT_ACTIVIDADES'!$B$4:$B$8,MATCH($H323,'CAT_ACTIVIDADES'!$A$4:$A$8,0)),"(sin catálogo)"))</f>
        <v/>
      </c>
      <c r="AA323" s="13">
        <f>IF($J323="","",TODAY()-$J323)</f>
        <v/>
      </c>
      <c r="AB323" s="13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IF($AE323="","",IF((IFERROR(INDEX('ASIGNACIONES'!$J$4:$J$451,MATCH($O323&amp;"|"&amp;$R323&amp;"|"&amp;$AE323,'ASIGNACIONES'!$N$4:$N$451,0)),""))=0,"",IFERROR(INDEX('ASIGNACIONES'!$J$4:$J$451,MATCH($O323&amp;"|"&amp;$R323&amp;"|"&amp;$AE323,'ASIGNACIONES'!$N$4:$N$451,0)),"")))</f>
        <v/>
      </c>
      <c r="AG323" s="14">
        <f>IF($AE323="","",SUMIFS('ORDENES'!$M$4:$M$1203,'ORDENES'!$AE$4:$AE$1203,$AE323,'ORDENES'!$O$4:$O$1203,$O323,'ORDENES'!$R$4:$R$1203,$R323))</f>
        <v/>
      </c>
      <c r="AH323" s="14">
        <f>IF($AG323="","",p_factor_productividad*IFERROR(INDEX('ASIGNACIONES'!$M$4:$M$451,MATCH($O323&amp;"|"&amp;$R323&amp;"|"&amp;$AE323,'ASIGNACIONES'!$N$4:$N$451,0)),0)-$AG323)</f>
        <v/>
      </c>
      <c r="AI323" s="11">
        <f>IF($A323="","",IFERROR(INDEX('2_IMPORTAR_EJECUCION'!$F$9:$F$1208,MATCH($AQ323,'2_IMPORTAR_EJECUCION'!$J$9:$J$1208,0)),0))</f>
        <v/>
      </c>
      <c r="AJ323" s="11">
        <f>IF($A323="","",MAX(0,IFERROR(INDEX('2_IMPORTAR_EJECUCION'!$H$9:$H$1208,MATCH($AQ323,'2_IMPORTAR_EJECUCION'!$J$9:$J$1208,0)),0)-$AI323))</f>
        <v/>
      </c>
      <c r="AK323" s="11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IF($H324="","",IFERROR(INDEX('CAT_ACTIVIDADES'!$B$4:$B$8,MATCH($H324,'CAT_ACTIVIDADES'!$A$4:$A$8,0)),"(sin catálogo)"))</f>
        <v/>
      </c>
      <c r="AA324" s="13">
        <f>IF($J324="","",TODAY()-$J324)</f>
        <v/>
      </c>
      <c r="AB324" s="13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IF($AE324="","",IF((IFERROR(INDEX('ASIGNACIONES'!$J$4:$J$451,MATCH($O324&amp;"|"&amp;$R324&amp;"|"&amp;$AE324,'ASIGNACIONES'!$N$4:$N$451,0)),""))=0,"",IFERROR(INDEX('ASIGNACIONES'!$J$4:$J$451,MATCH($O324&amp;"|"&amp;$R324&amp;"|"&amp;$AE324,'ASIGNACIONES'!$N$4:$N$451,0)),"")))</f>
        <v/>
      </c>
      <c r="AG324" s="14">
        <f>IF($AE324="","",SUMIFS('ORDENES'!$M$4:$M$1203,'ORDENES'!$AE$4:$AE$1203,$AE324,'ORDENES'!$O$4:$O$1203,$O324,'ORDENES'!$R$4:$R$1203,$R324))</f>
        <v/>
      </c>
      <c r="AH324" s="14">
        <f>IF($AG324="","",p_factor_productividad*IFERROR(INDEX('ASIGNACIONES'!$M$4:$M$451,MATCH($O324&amp;"|"&amp;$R324&amp;"|"&amp;$AE324,'ASIGNACIONES'!$N$4:$N$451,0)),0)-$AG324)</f>
        <v/>
      </c>
      <c r="AI324" s="11">
        <f>IF($A324="","",IFERROR(INDEX('2_IMPORTAR_EJECUCION'!$F$9:$F$1208,MATCH($AQ324,'2_IMPORTAR_EJECUCION'!$J$9:$J$1208,0)),0))</f>
        <v/>
      </c>
      <c r="AJ324" s="11">
        <f>IF($A324="","",MAX(0,IFERROR(INDEX('2_IMPORTAR_EJECUCION'!$H$9:$H$1208,MATCH($AQ324,'2_IMPORTAR_EJECUCION'!$J$9:$J$1208,0)),0)-$AI324))</f>
        <v/>
      </c>
      <c r="AK324" s="11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IF($H325="","",IFERROR(INDEX('CAT_ACTIVIDADES'!$B$4:$B$8,MATCH($H325,'CAT_ACTIVIDADES'!$A$4:$A$8,0)),"(sin catálogo)"))</f>
        <v/>
      </c>
      <c r="AA325" s="13">
        <f>IF($J325="","",TODAY()-$J325)</f>
        <v/>
      </c>
      <c r="AB325" s="13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IF($AE325="","",IF((IFERROR(INDEX('ASIGNACIONES'!$J$4:$J$451,MATCH($O325&amp;"|"&amp;$R325&amp;"|"&amp;$AE325,'ASIGNACIONES'!$N$4:$N$451,0)),""))=0,"",IFERROR(INDEX('ASIGNACIONES'!$J$4:$J$451,MATCH($O325&amp;"|"&amp;$R325&amp;"|"&amp;$AE325,'ASIGNACIONES'!$N$4:$N$451,0)),"")))</f>
        <v/>
      </c>
      <c r="AG325" s="14">
        <f>IF($AE325="","",SUMIFS('ORDENES'!$M$4:$M$1203,'ORDENES'!$AE$4:$AE$1203,$AE325,'ORDENES'!$O$4:$O$1203,$O325,'ORDENES'!$R$4:$R$1203,$R325))</f>
        <v/>
      </c>
      <c r="AH325" s="14">
        <f>IF($AG325="","",p_factor_productividad*IFERROR(INDEX('ASIGNACIONES'!$M$4:$M$451,MATCH($O325&amp;"|"&amp;$R325&amp;"|"&amp;$AE325,'ASIGNACIONES'!$N$4:$N$451,0)),0)-$AG325)</f>
        <v/>
      </c>
      <c r="AI325" s="11">
        <f>IF($A325="","",IFERROR(INDEX('2_IMPORTAR_EJECUCION'!$F$9:$F$1208,MATCH($AQ325,'2_IMPORTAR_EJECUCION'!$J$9:$J$1208,0)),0))</f>
        <v/>
      </c>
      <c r="AJ325" s="11">
        <f>IF($A325="","",MAX(0,IFERROR(INDEX('2_IMPORTAR_EJECUCION'!$H$9:$H$1208,MATCH($AQ325,'2_IMPORTAR_EJECUCION'!$J$9:$J$1208,0)),0)-$AI325))</f>
        <v/>
      </c>
      <c r="AK325" s="11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IF($H326="","",IFERROR(INDEX('CAT_ACTIVIDADES'!$B$4:$B$8,MATCH($H326,'CAT_ACTIVIDADES'!$A$4:$A$8,0)),"(sin catálogo)"))</f>
        <v/>
      </c>
      <c r="AA326" s="13">
        <f>IF($J326="","",TODAY()-$J326)</f>
        <v/>
      </c>
      <c r="AB326" s="13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IF($AE326="","",IF((IFERROR(INDEX('ASIGNACIONES'!$J$4:$J$451,MATCH($O326&amp;"|"&amp;$R326&amp;"|"&amp;$AE326,'ASIGNACIONES'!$N$4:$N$451,0)),""))=0,"",IFERROR(INDEX('ASIGNACIONES'!$J$4:$J$451,MATCH($O326&amp;"|"&amp;$R326&amp;"|"&amp;$AE326,'ASIGNACIONES'!$N$4:$N$451,0)),"")))</f>
        <v/>
      </c>
      <c r="AG326" s="14">
        <f>IF($AE326="","",SUMIFS('ORDENES'!$M$4:$M$1203,'ORDENES'!$AE$4:$AE$1203,$AE326,'ORDENES'!$O$4:$O$1203,$O326,'ORDENES'!$R$4:$R$1203,$R326))</f>
        <v/>
      </c>
      <c r="AH326" s="14">
        <f>IF($AG326="","",p_factor_productividad*IFERROR(INDEX('ASIGNACIONES'!$M$4:$M$451,MATCH($O326&amp;"|"&amp;$R326&amp;"|"&amp;$AE326,'ASIGNACIONES'!$N$4:$N$451,0)),0)-$AG326)</f>
        <v/>
      </c>
      <c r="AI326" s="11">
        <f>IF($A326="","",IFERROR(INDEX('2_IMPORTAR_EJECUCION'!$F$9:$F$1208,MATCH($AQ326,'2_IMPORTAR_EJECUCION'!$J$9:$J$1208,0)),0))</f>
        <v/>
      </c>
      <c r="AJ326" s="11">
        <f>IF($A326="","",MAX(0,IFERROR(INDEX('2_IMPORTAR_EJECUCION'!$H$9:$H$1208,MATCH($AQ326,'2_IMPORTAR_EJECUCION'!$J$9:$J$1208,0)),0)-$AI326))</f>
        <v/>
      </c>
      <c r="AK326" s="11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IF($H327="","",IFERROR(INDEX('CAT_ACTIVIDADES'!$B$4:$B$8,MATCH($H327,'CAT_ACTIVIDADES'!$A$4:$A$8,0)),"(sin catálogo)"))</f>
        <v/>
      </c>
      <c r="AA327" s="13">
        <f>IF($J327="","",TODAY()-$J327)</f>
        <v/>
      </c>
      <c r="AB327" s="13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IF($AE327="","",IF((IFERROR(INDEX('ASIGNACIONES'!$J$4:$J$451,MATCH($O327&amp;"|"&amp;$R327&amp;"|"&amp;$AE327,'ASIGNACIONES'!$N$4:$N$451,0)),""))=0,"",IFERROR(INDEX('ASIGNACIONES'!$J$4:$J$451,MATCH($O327&amp;"|"&amp;$R327&amp;"|"&amp;$AE327,'ASIGNACIONES'!$N$4:$N$451,0)),"")))</f>
        <v/>
      </c>
      <c r="AG327" s="14">
        <f>IF($AE327="","",SUMIFS('ORDENES'!$M$4:$M$1203,'ORDENES'!$AE$4:$AE$1203,$AE327,'ORDENES'!$O$4:$O$1203,$O327,'ORDENES'!$R$4:$R$1203,$R327))</f>
        <v/>
      </c>
      <c r="AH327" s="14">
        <f>IF($AG327="","",p_factor_productividad*IFERROR(INDEX('ASIGNACIONES'!$M$4:$M$451,MATCH($O327&amp;"|"&amp;$R327&amp;"|"&amp;$AE327,'ASIGNACIONES'!$N$4:$N$451,0)),0)-$AG327)</f>
        <v/>
      </c>
      <c r="AI327" s="11">
        <f>IF($A327="","",IFERROR(INDEX('2_IMPORTAR_EJECUCION'!$F$9:$F$1208,MATCH($AQ327,'2_IMPORTAR_EJECUCION'!$J$9:$J$1208,0)),0))</f>
        <v/>
      </c>
      <c r="AJ327" s="11">
        <f>IF($A327="","",MAX(0,IFERROR(INDEX('2_IMPORTAR_EJECUCION'!$H$9:$H$1208,MATCH($AQ327,'2_IMPORTAR_EJECUCION'!$J$9:$J$1208,0)),0)-$AI327))</f>
        <v/>
      </c>
      <c r="AK327" s="11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IF($H328="","",IFERROR(INDEX('CAT_ACTIVIDADES'!$B$4:$B$8,MATCH($H328,'CAT_ACTIVIDADES'!$A$4:$A$8,0)),"(sin catálogo)"))</f>
        <v/>
      </c>
      <c r="AA328" s="13">
        <f>IF($J328="","",TODAY()-$J328)</f>
        <v/>
      </c>
      <c r="AB328" s="13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IF($AE328="","",IF((IFERROR(INDEX('ASIGNACIONES'!$J$4:$J$451,MATCH($O328&amp;"|"&amp;$R328&amp;"|"&amp;$AE328,'ASIGNACIONES'!$N$4:$N$451,0)),""))=0,"",IFERROR(INDEX('ASIGNACIONES'!$J$4:$J$451,MATCH($O328&amp;"|"&amp;$R328&amp;"|"&amp;$AE328,'ASIGNACIONES'!$N$4:$N$451,0)),"")))</f>
        <v/>
      </c>
      <c r="AG328" s="14">
        <f>IF($AE328="","",SUMIFS('ORDENES'!$M$4:$M$1203,'ORDENES'!$AE$4:$AE$1203,$AE328,'ORDENES'!$O$4:$O$1203,$O328,'ORDENES'!$R$4:$R$1203,$R328))</f>
        <v/>
      </c>
      <c r="AH328" s="14">
        <f>IF($AG328="","",p_factor_productividad*IFERROR(INDEX('ASIGNACIONES'!$M$4:$M$451,MATCH($O328&amp;"|"&amp;$R328&amp;"|"&amp;$AE328,'ASIGNACIONES'!$N$4:$N$451,0)),0)-$AG328)</f>
        <v/>
      </c>
      <c r="AI328" s="11">
        <f>IF($A328="","",IFERROR(INDEX('2_IMPORTAR_EJECUCION'!$F$9:$F$1208,MATCH($AQ328,'2_IMPORTAR_EJECUCION'!$J$9:$J$1208,0)),0))</f>
        <v/>
      </c>
      <c r="AJ328" s="11">
        <f>IF($A328="","",MAX(0,IFERROR(INDEX('2_IMPORTAR_EJECUCION'!$H$9:$H$1208,MATCH($AQ328,'2_IMPORTAR_EJECUCION'!$J$9:$J$1208,0)),0)-$AI328))</f>
        <v/>
      </c>
      <c r="AK328" s="11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IF($H329="","",IFERROR(INDEX('CAT_ACTIVIDADES'!$B$4:$B$8,MATCH($H329,'CAT_ACTIVIDADES'!$A$4:$A$8,0)),"(sin catálogo)"))</f>
        <v/>
      </c>
      <c r="AA329" s="13">
        <f>IF($J329="","",TODAY()-$J329)</f>
        <v/>
      </c>
      <c r="AB329" s="13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IF($AE329="","",IF((IFERROR(INDEX('ASIGNACIONES'!$J$4:$J$451,MATCH($O329&amp;"|"&amp;$R329&amp;"|"&amp;$AE329,'ASIGNACIONES'!$N$4:$N$451,0)),""))=0,"",IFERROR(INDEX('ASIGNACIONES'!$J$4:$J$451,MATCH($O329&amp;"|"&amp;$R329&amp;"|"&amp;$AE329,'ASIGNACIONES'!$N$4:$N$451,0)),"")))</f>
        <v/>
      </c>
      <c r="AG329" s="14">
        <f>IF($AE329="","",SUMIFS('ORDENES'!$M$4:$M$1203,'ORDENES'!$AE$4:$AE$1203,$AE329,'ORDENES'!$O$4:$O$1203,$O329,'ORDENES'!$R$4:$R$1203,$R329))</f>
        <v/>
      </c>
      <c r="AH329" s="14">
        <f>IF($AG329="","",p_factor_productividad*IFERROR(INDEX('ASIGNACIONES'!$M$4:$M$451,MATCH($O329&amp;"|"&amp;$R329&amp;"|"&amp;$AE329,'ASIGNACIONES'!$N$4:$N$451,0)),0)-$AG329)</f>
        <v/>
      </c>
      <c r="AI329" s="11">
        <f>IF($A329="","",IFERROR(INDEX('2_IMPORTAR_EJECUCION'!$F$9:$F$1208,MATCH($AQ329,'2_IMPORTAR_EJECUCION'!$J$9:$J$1208,0)),0))</f>
        <v/>
      </c>
      <c r="AJ329" s="11">
        <f>IF($A329="","",MAX(0,IFERROR(INDEX('2_IMPORTAR_EJECUCION'!$H$9:$H$1208,MATCH($AQ329,'2_IMPORTAR_EJECUCION'!$J$9:$J$1208,0)),0)-$AI329))</f>
        <v/>
      </c>
      <c r="AK329" s="11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IF($H330="","",IFERROR(INDEX('CAT_ACTIVIDADES'!$B$4:$B$8,MATCH($H330,'CAT_ACTIVIDADES'!$A$4:$A$8,0)),"(sin catálogo)"))</f>
        <v/>
      </c>
      <c r="AA330" s="13">
        <f>IF($J330="","",TODAY()-$J330)</f>
        <v/>
      </c>
      <c r="AB330" s="13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IF($AE330="","",IF((IFERROR(INDEX('ASIGNACIONES'!$J$4:$J$451,MATCH($O330&amp;"|"&amp;$R330&amp;"|"&amp;$AE330,'ASIGNACIONES'!$N$4:$N$451,0)),""))=0,"",IFERROR(INDEX('ASIGNACIONES'!$J$4:$J$451,MATCH($O330&amp;"|"&amp;$R330&amp;"|"&amp;$AE330,'ASIGNACIONES'!$N$4:$N$451,0)),"")))</f>
        <v/>
      </c>
      <c r="AG330" s="14">
        <f>IF($AE330="","",SUMIFS('ORDENES'!$M$4:$M$1203,'ORDENES'!$AE$4:$AE$1203,$AE330,'ORDENES'!$O$4:$O$1203,$O330,'ORDENES'!$R$4:$R$1203,$R330))</f>
        <v/>
      </c>
      <c r="AH330" s="14">
        <f>IF($AG330="","",p_factor_productividad*IFERROR(INDEX('ASIGNACIONES'!$M$4:$M$451,MATCH($O330&amp;"|"&amp;$R330&amp;"|"&amp;$AE330,'ASIGNACIONES'!$N$4:$N$451,0)),0)-$AG330)</f>
        <v/>
      </c>
      <c r="AI330" s="11">
        <f>IF($A330="","",IFERROR(INDEX('2_IMPORTAR_EJECUCION'!$F$9:$F$1208,MATCH($AQ330,'2_IMPORTAR_EJECUCION'!$J$9:$J$1208,0)),0))</f>
        <v/>
      </c>
      <c r="AJ330" s="11">
        <f>IF($A330="","",MAX(0,IFERROR(INDEX('2_IMPORTAR_EJECUCION'!$H$9:$H$1208,MATCH($AQ330,'2_IMPORTAR_EJECUCION'!$J$9:$J$1208,0)),0)-$AI330))</f>
        <v/>
      </c>
      <c r="AK330" s="11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IF($H331="","",IFERROR(INDEX('CAT_ACTIVIDADES'!$B$4:$B$8,MATCH($H331,'CAT_ACTIVIDADES'!$A$4:$A$8,0)),"(sin catálogo)"))</f>
        <v/>
      </c>
      <c r="AA331" s="13">
        <f>IF($J331="","",TODAY()-$J331)</f>
        <v/>
      </c>
      <c r="AB331" s="13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IF($AE331="","",IF((IFERROR(INDEX('ASIGNACIONES'!$J$4:$J$451,MATCH($O331&amp;"|"&amp;$R331&amp;"|"&amp;$AE331,'ASIGNACIONES'!$N$4:$N$451,0)),""))=0,"",IFERROR(INDEX('ASIGNACIONES'!$J$4:$J$451,MATCH($O331&amp;"|"&amp;$R331&amp;"|"&amp;$AE331,'ASIGNACIONES'!$N$4:$N$451,0)),"")))</f>
        <v/>
      </c>
      <c r="AG331" s="14">
        <f>IF($AE331="","",SUMIFS('ORDENES'!$M$4:$M$1203,'ORDENES'!$AE$4:$AE$1203,$AE331,'ORDENES'!$O$4:$O$1203,$O331,'ORDENES'!$R$4:$R$1203,$R331))</f>
        <v/>
      </c>
      <c r="AH331" s="14">
        <f>IF($AG331="","",p_factor_productividad*IFERROR(INDEX('ASIGNACIONES'!$M$4:$M$451,MATCH($O331&amp;"|"&amp;$R331&amp;"|"&amp;$AE331,'ASIGNACIONES'!$N$4:$N$451,0)),0)-$AG331)</f>
        <v/>
      </c>
      <c r="AI331" s="11">
        <f>IF($A331="","",IFERROR(INDEX('2_IMPORTAR_EJECUCION'!$F$9:$F$1208,MATCH($AQ331,'2_IMPORTAR_EJECUCION'!$J$9:$J$1208,0)),0))</f>
        <v/>
      </c>
      <c r="AJ331" s="11">
        <f>IF($A331="","",MAX(0,IFERROR(INDEX('2_IMPORTAR_EJECUCION'!$H$9:$H$1208,MATCH($AQ331,'2_IMPORTAR_EJECUCION'!$J$9:$J$1208,0)),0)-$AI331))</f>
        <v/>
      </c>
      <c r="AK331" s="11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IF($H332="","",IFERROR(INDEX('CAT_ACTIVIDADES'!$B$4:$B$8,MATCH($H332,'CAT_ACTIVIDADES'!$A$4:$A$8,0)),"(sin catálogo)"))</f>
        <v/>
      </c>
      <c r="AA332" s="13">
        <f>IF($J332="","",TODAY()-$J332)</f>
        <v/>
      </c>
      <c r="AB332" s="13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IF($AE332="","",IF((IFERROR(INDEX('ASIGNACIONES'!$J$4:$J$451,MATCH($O332&amp;"|"&amp;$R332&amp;"|"&amp;$AE332,'ASIGNACIONES'!$N$4:$N$451,0)),""))=0,"",IFERROR(INDEX('ASIGNACIONES'!$J$4:$J$451,MATCH($O332&amp;"|"&amp;$R332&amp;"|"&amp;$AE332,'ASIGNACIONES'!$N$4:$N$451,0)),"")))</f>
        <v/>
      </c>
      <c r="AG332" s="14">
        <f>IF($AE332="","",SUMIFS('ORDENES'!$M$4:$M$1203,'ORDENES'!$AE$4:$AE$1203,$AE332,'ORDENES'!$O$4:$O$1203,$O332,'ORDENES'!$R$4:$R$1203,$R332))</f>
        <v/>
      </c>
      <c r="AH332" s="14">
        <f>IF($AG332="","",p_factor_productividad*IFERROR(INDEX('ASIGNACIONES'!$M$4:$M$451,MATCH($O332&amp;"|"&amp;$R332&amp;"|"&amp;$AE332,'ASIGNACIONES'!$N$4:$N$451,0)),0)-$AG332)</f>
        <v/>
      </c>
      <c r="AI332" s="11">
        <f>IF($A332="","",IFERROR(INDEX('2_IMPORTAR_EJECUCION'!$F$9:$F$1208,MATCH($AQ332,'2_IMPORTAR_EJECUCION'!$J$9:$J$1208,0)),0))</f>
        <v/>
      </c>
      <c r="AJ332" s="11">
        <f>IF($A332="","",MAX(0,IFERROR(INDEX('2_IMPORTAR_EJECUCION'!$H$9:$H$1208,MATCH($AQ332,'2_IMPORTAR_EJECUCION'!$J$9:$J$1208,0)),0)-$AI332))</f>
        <v/>
      </c>
      <c r="AK332" s="11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IF($H333="","",IFERROR(INDEX('CAT_ACTIVIDADES'!$B$4:$B$8,MATCH($H333,'CAT_ACTIVIDADES'!$A$4:$A$8,0)),"(sin catálogo)"))</f>
        <v/>
      </c>
      <c r="AA333" s="13">
        <f>IF($J333="","",TODAY()-$J333)</f>
        <v/>
      </c>
      <c r="AB333" s="13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IF($AE333="","",IF((IFERROR(INDEX('ASIGNACIONES'!$J$4:$J$451,MATCH($O333&amp;"|"&amp;$R333&amp;"|"&amp;$AE333,'ASIGNACIONES'!$N$4:$N$451,0)),""))=0,"",IFERROR(INDEX('ASIGNACIONES'!$J$4:$J$451,MATCH($O333&amp;"|"&amp;$R333&amp;"|"&amp;$AE333,'ASIGNACIONES'!$N$4:$N$451,0)),"")))</f>
        <v/>
      </c>
      <c r="AG333" s="14">
        <f>IF($AE333="","",SUMIFS('ORDENES'!$M$4:$M$1203,'ORDENES'!$AE$4:$AE$1203,$AE333,'ORDENES'!$O$4:$O$1203,$O333,'ORDENES'!$R$4:$R$1203,$R333))</f>
        <v/>
      </c>
      <c r="AH333" s="14">
        <f>IF($AG333="","",p_factor_productividad*IFERROR(INDEX('ASIGNACIONES'!$M$4:$M$451,MATCH($O333&amp;"|"&amp;$R333&amp;"|"&amp;$AE333,'ASIGNACIONES'!$N$4:$N$451,0)),0)-$AG333)</f>
        <v/>
      </c>
      <c r="AI333" s="11">
        <f>IF($A333="","",IFERROR(INDEX('2_IMPORTAR_EJECUCION'!$F$9:$F$1208,MATCH($AQ333,'2_IMPORTAR_EJECUCION'!$J$9:$J$1208,0)),0))</f>
        <v/>
      </c>
      <c r="AJ333" s="11">
        <f>IF($A333="","",MAX(0,IFERROR(INDEX('2_IMPORTAR_EJECUCION'!$H$9:$H$1208,MATCH($AQ333,'2_IMPORTAR_EJECUCION'!$J$9:$J$1208,0)),0)-$AI333))</f>
        <v/>
      </c>
      <c r="AK333" s="11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IF($H334="","",IFERROR(INDEX('CAT_ACTIVIDADES'!$B$4:$B$8,MATCH($H334,'CAT_ACTIVIDADES'!$A$4:$A$8,0)),"(sin catálogo)"))</f>
        <v/>
      </c>
      <c r="AA334" s="13">
        <f>IF($J334="","",TODAY()-$J334)</f>
        <v/>
      </c>
      <c r="AB334" s="13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IF($AE334="","",IF((IFERROR(INDEX('ASIGNACIONES'!$J$4:$J$451,MATCH($O334&amp;"|"&amp;$R334&amp;"|"&amp;$AE334,'ASIGNACIONES'!$N$4:$N$451,0)),""))=0,"",IFERROR(INDEX('ASIGNACIONES'!$J$4:$J$451,MATCH($O334&amp;"|"&amp;$R334&amp;"|"&amp;$AE334,'ASIGNACIONES'!$N$4:$N$451,0)),"")))</f>
        <v/>
      </c>
      <c r="AG334" s="14">
        <f>IF($AE334="","",SUMIFS('ORDENES'!$M$4:$M$1203,'ORDENES'!$AE$4:$AE$1203,$AE334,'ORDENES'!$O$4:$O$1203,$O334,'ORDENES'!$R$4:$R$1203,$R334))</f>
        <v/>
      </c>
      <c r="AH334" s="14">
        <f>IF($AG334="","",p_factor_productividad*IFERROR(INDEX('ASIGNACIONES'!$M$4:$M$451,MATCH($O334&amp;"|"&amp;$R334&amp;"|"&amp;$AE334,'ASIGNACIONES'!$N$4:$N$451,0)),0)-$AG334)</f>
        <v/>
      </c>
      <c r="AI334" s="11">
        <f>IF($A334="","",IFERROR(INDEX('2_IMPORTAR_EJECUCION'!$F$9:$F$1208,MATCH($AQ334,'2_IMPORTAR_EJECUCION'!$J$9:$J$1208,0)),0))</f>
        <v/>
      </c>
      <c r="AJ334" s="11">
        <f>IF($A334="","",MAX(0,IFERROR(INDEX('2_IMPORTAR_EJECUCION'!$H$9:$H$1208,MATCH($AQ334,'2_IMPORTAR_EJECUCION'!$J$9:$J$1208,0)),0)-$AI334))</f>
        <v/>
      </c>
      <c r="AK334" s="11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IF($H335="","",IFERROR(INDEX('CAT_ACTIVIDADES'!$B$4:$B$8,MATCH($H335,'CAT_ACTIVIDADES'!$A$4:$A$8,0)),"(sin catálogo)"))</f>
        <v/>
      </c>
      <c r="AA335" s="13">
        <f>IF($J335="","",TODAY()-$J335)</f>
        <v/>
      </c>
      <c r="AB335" s="13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IF($AE335="","",IF((IFERROR(INDEX('ASIGNACIONES'!$J$4:$J$451,MATCH($O335&amp;"|"&amp;$R335&amp;"|"&amp;$AE335,'ASIGNACIONES'!$N$4:$N$451,0)),""))=0,"",IFERROR(INDEX('ASIGNACIONES'!$J$4:$J$451,MATCH($O335&amp;"|"&amp;$R335&amp;"|"&amp;$AE335,'ASIGNACIONES'!$N$4:$N$451,0)),"")))</f>
        <v/>
      </c>
      <c r="AG335" s="14">
        <f>IF($AE335="","",SUMIFS('ORDENES'!$M$4:$M$1203,'ORDENES'!$AE$4:$AE$1203,$AE335,'ORDENES'!$O$4:$O$1203,$O335,'ORDENES'!$R$4:$R$1203,$R335))</f>
        <v/>
      </c>
      <c r="AH335" s="14">
        <f>IF($AG335="","",p_factor_productividad*IFERROR(INDEX('ASIGNACIONES'!$M$4:$M$451,MATCH($O335&amp;"|"&amp;$R335&amp;"|"&amp;$AE335,'ASIGNACIONES'!$N$4:$N$451,0)),0)-$AG335)</f>
        <v/>
      </c>
      <c r="AI335" s="11">
        <f>IF($A335="","",IFERROR(INDEX('2_IMPORTAR_EJECUCION'!$F$9:$F$1208,MATCH($AQ335,'2_IMPORTAR_EJECUCION'!$J$9:$J$1208,0)),0))</f>
        <v/>
      </c>
      <c r="AJ335" s="11">
        <f>IF($A335="","",MAX(0,IFERROR(INDEX('2_IMPORTAR_EJECUCION'!$H$9:$H$1208,MATCH($AQ335,'2_IMPORTAR_EJECUCION'!$J$9:$J$1208,0)),0)-$AI335))</f>
        <v/>
      </c>
      <c r="AK335" s="11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IF($H336="","",IFERROR(INDEX('CAT_ACTIVIDADES'!$B$4:$B$8,MATCH($H336,'CAT_ACTIVIDADES'!$A$4:$A$8,0)),"(sin catálogo)"))</f>
        <v/>
      </c>
      <c r="AA336" s="13">
        <f>IF($J336="","",TODAY()-$J336)</f>
        <v/>
      </c>
      <c r="AB336" s="13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IF($AE336="","",IF((IFERROR(INDEX('ASIGNACIONES'!$J$4:$J$451,MATCH($O336&amp;"|"&amp;$R336&amp;"|"&amp;$AE336,'ASIGNACIONES'!$N$4:$N$451,0)),""))=0,"",IFERROR(INDEX('ASIGNACIONES'!$J$4:$J$451,MATCH($O336&amp;"|"&amp;$R336&amp;"|"&amp;$AE336,'ASIGNACIONES'!$N$4:$N$451,0)),"")))</f>
        <v/>
      </c>
      <c r="AG336" s="14">
        <f>IF($AE336="","",SUMIFS('ORDENES'!$M$4:$M$1203,'ORDENES'!$AE$4:$AE$1203,$AE336,'ORDENES'!$O$4:$O$1203,$O336,'ORDENES'!$R$4:$R$1203,$R336))</f>
        <v/>
      </c>
      <c r="AH336" s="14">
        <f>IF($AG336="","",p_factor_productividad*IFERROR(INDEX('ASIGNACIONES'!$M$4:$M$451,MATCH($O336&amp;"|"&amp;$R336&amp;"|"&amp;$AE336,'ASIGNACIONES'!$N$4:$N$451,0)),0)-$AG336)</f>
        <v/>
      </c>
      <c r="AI336" s="11">
        <f>IF($A336="","",IFERROR(INDEX('2_IMPORTAR_EJECUCION'!$F$9:$F$1208,MATCH($AQ336,'2_IMPORTAR_EJECUCION'!$J$9:$J$1208,0)),0))</f>
        <v/>
      </c>
      <c r="AJ336" s="11">
        <f>IF($A336="","",MAX(0,IFERROR(INDEX('2_IMPORTAR_EJECUCION'!$H$9:$H$1208,MATCH($AQ336,'2_IMPORTAR_EJECUCION'!$J$9:$J$1208,0)),0)-$AI336))</f>
        <v/>
      </c>
      <c r="AK336" s="11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IF($H337="","",IFERROR(INDEX('CAT_ACTIVIDADES'!$B$4:$B$8,MATCH($H337,'CAT_ACTIVIDADES'!$A$4:$A$8,0)),"(sin catálogo)"))</f>
        <v/>
      </c>
      <c r="AA337" s="13">
        <f>IF($J337="","",TODAY()-$J337)</f>
        <v/>
      </c>
      <c r="AB337" s="13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IF($AE337="","",IF((IFERROR(INDEX('ASIGNACIONES'!$J$4:$J$451,MATCH($O337&amp;"|"&amp;$R337&amp;"|"&amp;$AE337,'ASIGNACIONES'!$N$4:$N$451,0)),""))=0,"",IFERROR(INDEX('ASIGNACIONES'!$J$4:$J$451,MATCH($O337&amp;"|"&amp;$R337&amp;"|"&amp;$AE337,'ASIGNACIONES'!$N$4:$N$451,0)),"")))</f>
        <v/>
      </c>
      <c r="AG337" s="14">
        <f>IF($AE337="","",SUMIFS('ORDENES'!$M$4:$M$1203,'ORDENES'!$AE$4:$AE$1203,$AE337,'ORDENES'!$O$4:$O$1203,$O337,'ORDENES'!$R$4:$R$1203,$R337))</f>
        <v/>
      </c>
      <c r="AH337" s="14">
        <f>IF($AG337="","",p_factor_productividad*IFERROR(INDEX('ASIGNACIONES'!$M$4:$M$451,MATCH($O337&amp;"|"&amp;$R337&amp;"|"&amp;$AE337,'ASIGNACIONES'!$N$4:$N$451,0)),0)-$AG337)</f>
        <v/>
      </c>
      <c r="AI337" s="11">
        <f>IF($A337="","",IFERROR(INDEX('2_IMPORTAR_EJECUCION'!$F$9:$F$1208,MATCH($AQ337,'2_IMPORTAR_EJECUCION'!$J$9:$J$1208,0)),0))</f>
        <v/>
      </c>
      <c r="AJ337" s="11">
        <f>IF($A337="","",MAX(0,IFERROR(INDEX('2_IMPORTAR_EJECUCION'!$H$9:$H$1208,MATCH($AQ337,'2_IMPORTAR_EJECUCION'!$J$9:$J$1208,0)),0)-$AI337))</f>
        <v/>
      </c>
      <c r="AK337" s="11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IF($H338="","",IFERROR(INDEX('CAT_ACTIVIDADES'!$B$4:$B$8,MATCH($H338,'CAT_ACTIVIDADES'!$A$4:$A$8,0)),"(sin catálogo)"))</f>
        <v/>
      </c>
      <c r="AA338" s="13">
        <f>IF($J338="","",TODAY()-$J338)</f>
        <v/>
      </c>
      <c r="AB338" s="13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IF($AE338="","",IF((IFERROR(INDEX('ASIGNACIONES'!$J$4:$J$451,MATCH($O338&amp;"|"&amp;$R338&amp;"|"&amp;$AE338,'ASIGNACIONES'!$N$4:$N$451,0)),""))=0,"",IFERROR(INDEX('ASIGNACIONES'!$J$4:$J$451,MATCH($O338&amp;"|"&amp;$R338&amp;"|"&amp;$AE338,'ASIGNACIONES'!$N$4:$N$451,0)),"")))</f>
        <v/>
      </c>
      <c r="AG338" s="14">
        <f>IF($AE338="","",SUMIFS('ORDENES'!$M$4:$M$1203,'ORDENES'!$AE$4:$AE$1203,$AE338,'ORDENES'!$O$4:$O$1203,$O338,'ORDENES'!$R$4:$R$1203,$R338))</f>
        <v/>
      </c>
      <c r="AH338" s="14">
        <f>IF($AG338="","",p_factor_productividad*IFERROR(INDEX('ASIGNACIONES'!$M$4:$M$451,MATCH($O338&amp;"|"&amp;$R338&amp;"|"&amp;$AE338,'ASIGNACIONES'!$N$4:$N$451,0)),0)-$AG338)</f>
        <v/>
      </c>
      <c r="AI338" s="11">
        <f>IF($A338="","",IFERROR(INDEX('2_IMPORTAR_EJECUCION'!$F$9:$F$1208,MATCH($AQ338,'2_IMPORTAR_EJECUCION'!$J$9:$J$1208,0)),0))</f>
        <v/>
      </c>
      <c r="AJ338" s="11">
        <f>IF($A338="","",MAX(0,IFERROR(INDEX('2_IMPORTAR_EJECUCION'!$H$9:$H$1208,MATCH($AQ338,'2_IMPORTAR_EJECUCION'!$J$9:$J$1208,0)),0)-$AI338))</f>
        <v/>
      </c>
      <c r="AK338" s="11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IF($H339="","",IFERROR(INDEX('CAT_ACTIVIDADES'!$B$4:$B$8,MATCH($H339,'CAT_ACTIVIDADES'!$A$4:$A$8,0)),"(sin catálogo)"))</f>
        <v/>
      </c>
      <c r="AA339" s="13">
        <f>IF($J339="","",TODAY()-$J339)</f>
        <v/>
      </c>
      <c r="AB339" s="13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IF($AE339="","",IF((IFERROR(INDEX('ASIGNACIONES'!$J$4:$J$451,MATCH($O339&amp;"|"&amp;$R339&amp;"|"&amp;$AE339,'ASIGNACIONES'!$N$4:$N$451,0)),""))=0,"",IFERROR(INDEX('ASIGNACIONES'!$J$4:$J$451,MATCH($O339&amp;"|"&amp;$R339&amp;"|"&amp;$AE339,'ASIGNACIONES'!$N$4:$N$451,0)),"")))</f>
        <v/>
      </c>
      <c r="AG339" s="14">
        <f>IF($AE339="","",SUMIFS('ORDENES'!$M$4:$M$1203,'ORDENES'!$AE$4:$AE$1203,$AE339,'ORDENES'!$O$4:$O$1203,$O339,'ORDENES'!$R$4:$R$1203,$R339))</f>
        <v/>
      </c>
      <c r="AH339" s="14">
        <f>IF($AG339="","",p_factor_productividad*IFERROR(INDEX('ASIGNACIONES'!$M$4:$M$451,MATCH($O339&amp;"|"&amp;$R339&amp;"|"&amp;$AE339,'ASIGNACIONES'!$N$4:$N$451,0)),0)-$AG339)</f>
        <v/>
      </c>
      <c r="AI339" s="11">
        <f>IF($A339="","",IFERROR(INDEX('2_IMPORTAR_EJECUCION'!$F$9:$F$1208,MATCH($AQ339,'2_IMPORTAR_EJECUCION'!$J$9:$J$1208,0)),0))</f>
        <v/>
      </c>
      <c r="AJ339" s="11">
        <f>IF($A339="","",MAX(0,IFERROR(INDEX('2_IMPORTAR_EJECUCION'!$H$9:$H$1208,MATCH($AQ339,'2_IMPORTAR_EJECUCION'!$J$9:$J$1208,0)),0)-$AI339))</f>
        <v/>
      </c>
      <c r="AK339" s="11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IF($H340="","",IFERROR(INDEX('CAT_ACTIVIDADES'!$B$4:$B$8,MATCH($H340,'CAT_ACTIVIDADES'!$A$4:$A$8,0)),"(sin catálogo)"))</f>
        <v/>
      </c>
      <c r="AA340" s="13">
        <f>IF($J340="","",TODAY()-$J340)</f>
        <v/>
      </c>
      <c r="AB340" s="13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IF($AE340="","",IF((IFERROR(INDEX('ASIGNACIONES'!$J$4:$J$451,MATCH($O340&amp;"|"&amp;$R340&amp;"|"&amp;$AE340,'ASIGNACIONES'!$N$4:$N$451,0)),""))=0,"",IFERROR(INDEX('ASIGNACIONES'!$J$4:$J$451,MATCH($O340&amp;"|"&amp;$R340&amp;"|"&amp;$AE340,'ASIGNACIONES'!$N$4:$N$451,0)),"")))</f>
        <v/>
      </c>
      <c r="AG340" s="14">
        <f>IF($AE340="","",SUMIFS('ORDENES'!$M$4:$M$1203,'ORDENES'!$AE$4:$AE$1203,$AE340,'ORDENES'!$O$4:$O$1203,$O340,'ORDENES'!$R$4:$R$1203,$R340))</f>
        <v/>
      </c>
      <c r="AH340" s="14">
        <f>IF($AG340="","",p_factor_productividad*IFERROR(INDEX('ASIGNACIONES'!$M$4:$M$451,MATCH($O340&amp;"|"&amp;$R340&amp;"|"&amp;$AE340,'ASIGNACIONES'!$N$4:$N$451,0)),0)-$AG340)</f>
        <v/>
      </c>
      <c r="AI340" s="11">
        <f>IF($A340="","",IFERROR(INDEX('2_IMPORTAR_EJECUCION'!$F$9:$F$1208,MATCH($AQ340,'2_IMPORTAR_EJECUCION'!$J$9:$J$1208,0)),0))</f>
        <v/>
      </c>
      <c r="AJ340" s="11">
        <f>IF($A340="","",MAX(0,IFERROR(INDEX('2_IMPORTAR_EJECUCION'!$H$9:$H$1208,MATCH($AQ340,'2_IMPORTAR_EJECUCION'!$J$9:$J$1208,0)),0)-$AI340))</f>
        <v/>
      </c>
      <c r="AK340" s="11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IF($H341="","",IFERROR(INDEX('CAT_ACTIVIDADES'!$B$4:$B$8,MATCH($H341,'CAT_ACTIVIDADES'!$A$4:$A$8,0)),"(sin catálogo)"))</f>
        <v/>
      </c>
      <c r="AA341" s="13">
        <f>IF($J341="","",TODAY()-$J341)</f>
        <v/>
      </c>
      <c r="AB341" s="13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IF($AE341="","",IF((IFERROR(INDEX('ASIGNACIONES'!$J$4:$J$451,MATCH($O341&amp;"|"&amp;$R341&amp;"|"&amp;$AE341,'ASIGNACIONES'!$N$4:$N$451,0)),""))=0,"",IFERROR(INDEX('ASIGNACIONES'!$J$4:$J$451,MATCH($O341&amp;"|"&amp;$R341&amp;"|"&amp;$AE341,'ASIGNACIONES'!$N$4:$N$451,0)),"")))</f>
        <v/>
      </c>
      <c r="AG341" s="14">
        <f>IF($AE341="","",SUMIFS('ORDENES'!$M$4:$M$1203,'ORDENES'!$AE$4:$AE$1203,$AE341,'ORDENES'!$O$4:$O$1203,$O341,'ORDENES'!$R$4:$R$1203,$R341))</f>
        <v/>
      </c>
      <c r="AH341" s="14">
        <f>IF($AG341="","",p_factor_productividad*IFERROR(INDEX('ASIGNACIONES'!$M$4:$M$451,MATCH($O341&amp;"|"&amp;$R341&amp;"|"&amp;$AE341,'ASIGNACIONES'!$N$4:$N$451,0)),0)-$AG341)</f>
        <v/>
      </c>
      <c r="AI341" s="11">
        <f>IF($A341="","",IFERROR(INDEX('2_IMPORTAR_EJECUCION'!$F$9:$F$1208,MATCH($AQ341,'2_IMPORTAR_EJECUCION'!$J$9:$J$1208,0)),0))</f>
        <v/>
      </c>
      <c r="AJ341" s="11">
        <f>IF($A341="","",MAX(0,IFERROR(INDEX('2_IMPORTAR_EJECUCION'!$H$9:$H$1208,MATCH($AQ341,'2_IMPORTAR_EJECUCION'!$J$9:$J$1208,0)),0)-$AI341))</f>
        <v/>
      </c>
      <c r="AK341" s="11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IF($H342="","",IFERROR(INDEX('CAT_ACTIVIDADES'!$B$4:$B$8,MATCH($H342,'CAT_ACTIVIDADES'!$A$4:$A$8,0)),"(sin catálogo)"))</f>
        <v/>
      </c>
      <c r="AA342" s="13">
        <f>IF($J342="","",TODAY()-$J342)</f>
        <v/>
      </c>
      <c r="AB342" s="13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IF($AE342="","",IF((IFERROR(INDEX('ASIGNACIONES'!$J$4:$J$451,MATCH($O342&amp;"|"&amp;$R342&amp;"|"&amp;$AE342,'ASIGNACIONES'!$N$4:$N$451,0)),""))=0,"",IFERROR(INDEX('ASIGNACIONES'!$J$4:$J$451,MATCH($O342&amp;"|"&amp;$R342&amp;"|"&amp;$AE342,'ASIGNACIONES'!$N$4:$N$451,0)),"")))</f>
        <v/>
      </c>
      <c r="AG342" s="14">
        <f>IF($AE342="","",SUMIFS('ORDENES'!$M$4:$M$1203,'ORDENES'!$AE$4:$AE$1203,$AE342,'ORDENES'!$O$4:$O$1203,$O342,'ORDENES'!$R$4:$R$1203,$R342))</f>
        <v/>
      </c>
      <c r="AH342" s="14">
        <f>IF($AG342="","",p_factor_productividad*IFERROR(INDEX('ASIGNACIONES'!$M$4:$M$451,MATCH($O342&amp;"|"&amp;$R342&amp;"|"&amp;$AE342,'ASIGNACIONES'!$N$4:$N$451,0)),0)-$AG342)</f>
        <v/>
      </c>
      <c r="AI342" s="11">
        <f>IF($A342="","",IFERROR(INDEX('2_IMPORTAR_EJECUCION'!$F$9:$F$1208,MATCH($AQ342,'2_IMPORTAR_EJECUCION'!$J$9:$J$1208,0)),0))</f>
        <v/>
      </c>
      <c r="AJ342" s="11">
        <f>IF($A342="","",MAX(0,IFERROR(INDEX('2_IMPORTAR_EJECUCION'!$H$9:$H$1208,MATCH($AQ342,'2_IMPORTAR_EJECUCION'!$J$9:$J$1208,0)),0)-$AI342))</f>
        <v/>
      </c>
      <c r="AK342" s="11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IF($H343="","",IFERROR(INDEX('CAT_ACTIVIDADES'!$B$4:$B$8,MATCH($H343,'CAT_ACTIVIDADES'!$A$4:$A$8,0)),"(sin catálogo)"))</f>
        <v/>
      </c>
      <c r="AA343" s="13">
        <f>IF($J343="","",TODAY()-$J343)</f>
        <v/>
      </c>
      <c r="AB343" s="13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IF($AE343="","",IF((IFERROR(INDEX('ASIGNACIONES'!$J$4:$J$451,MATCH($O343&amp;"|"&amp;$R343&amp;"|"&amp;$AE343,'ASIGNACIONES'!$N$4:$N$451,0)),""))=0,"",IFERROR(INDEX('ASIGNACIONES'!$J$4:$J$451,MATCH($O343&amp;"|"&amp;$R343&amp;"|"&amp;$AE343,'ASIGNACIONES'!$N$4:$N$451,0)),"")))</f>
        <v/>
      </c>
      <c r="AG343" s="14">
        <f>IF($AE343="","",SUMIFS('ORDENES'!$M$4:$M$1203,'ORDENES'!$AE$4:$AE$1203,$AE343,'ORDENES'!$O$4:$O$1203,$O343,'ORDENES'!$R$4:$R$1203,$R343))</f>
        <v/>
      </c>
      <c r="AH343" s="14">
        <f>IF($AG343="","",p_factor_productividad*IFERROR(INDEX('ASIGNACIONES'!$M$4:$M$451,MATCH($O343&amp;"|"&amp;$R343&amp;"|"&amp;$AE343,'ASIGNACIONES'!$N$4:$N$451,0)),0)-$AG343)</f>
        <v/>
      </c>
      <c r="AI343" s="11">
        <f>IF($A343="","",IFERROR(INDEX('2_IMPORTAR_EJECUCION'!$F$9:$F$1208,MATCH($AQ343,'2_IMPORTAR_EJECUCION'!$J$9:$J$1208,0)),0))</f>
        <v/>
      </c>
      <c r="AJ343" s="11">
        <f>IF($A343="","",MAX(0,IFERROR(INDEX('2_IMPORTAR_EJECUCION'!$H$9:$H$1208,MATCH($AQ343,'2_IMPORTAR_EJECUCION'!$J$9:$J$1208,0)),0)-$AI343))</f>
        <v/>
      </c>
      <c r="AK343" s="11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IF($H344="","",IFERROR(INDEX('CAT_ACTIVIDADES'!$B$4:$B$8,MATCH($H344,'CAT_ACTIVIDADES'!$A$4:$A$8,0)),"(sin catálogo)"))</f>
        <v/>
      </c>
      <c r="AA344" s="13">
        <f>IF($J344="","",TODAY()-$J344)</f>
        <v/>
      </c>
      <c r="AB344" s="13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IF($AE344="","",IF((IFERROR(INDEX('ASIGNACIONES'!$J$4:$J$451,MATCH($O344&amp;"|"&amp;$R344&amp;"|"&amp;$AE344,'ASIGNACIONES'!$N$4:$N$451,0)),""))=0,"",IFERROR(INDEX('ASIGNACIONES'!$J$4:$J$451,MATCH($O344&amp;"|"&amp;$R344&amp;"|"&amp;$AE344,'ASIGNACIONES'!$N$4:$N$451,0)),"")))</f>
        <v/>
      </c>
      <c r="AG344" s="14">
        <f>IF($AE344="","",SUMIFS('ORDENES'!$M$4:$M$1203,'ORDENES'!$AE$4:$AE$1203,$AE344,'ORDENES'!$O$4:$O$1203,$O344,'ORDENES'!$R$4:$R$1203,$R344))</f>
        <v/>
      </c>
      <c r="AH344" s="14">
        <f>IF($AG344="","",p_factor_productividad*IFERROR(INDEX('ASIGNACIONES'!$M$4:$M$451,MATCH($O344&amp;"|"&amp;$R344&amp;"|"&amp;$AE344,'ASIGNACIONES'!$N$4:$N$451,0)),0)-$AG344)</f>
        <v/>
      </c>
      <c r="AI344" s="11">
        <f>IF($A344="","",IFERROR(INDEX('2_IMPORTAR_EJECUCION'!$F$9:$F$1208,MATCH($AQ344,'2_IMPORTAR_EJECUCION'!$J$9:$J$1208,0)),0))</f>
        <v/>
      </c>
      <c r="AJ344" s="11">
        <f>IF($A344="","",MAX(0,IFERROR(INDEX('2_IMPORTAR_EJECUCION'!$H$9:$H$1208,MATCH($AQ344,'2_IMPORTAR_EJECUCION'!$J$9:$J$1208,0)),0)-$AI344))</f>
        <v/>
      </c>
      <c r="AK344" s="11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IF($H345="","",IFERROR(INDEX('CAT_ACTIVIDADES'!$B$4:$B$8,MATCH($H345,'CAT_ACTIVIDADES'!$A$4:$A$8,0)),"(sin catálogo)"))</f>
        <v/>
      </c>
      <c r="AA345" s="13">
        <f>IF($J345="","",TODAY()-$J345)</f>
        <v/>
      </c>
      <c r="AB345" s="13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IF($AE345="","",IF((IFERROR(INDEX('ASIGNACIONES'!$J$4:$J$451,MATCH($O345&amp;"|"&amp;$R345&amp;"|"&amp;$AE345,'ASIGNACIONES'!$N$4:$N$451,0)),""))=0,"",IFERROR(INDEX('ASIGNACIONES'!$J$4:$J$451,MATCH($O345&amp;"|"&amp;$R345&amp;"|"&amp;$AE345,'ASIGNACIONES'!$N$4:$N$451,0)),"")))</f>
        <v/>
      </c>
      <c r="AG345" s="14">
        <f>IF($AE345="","",SUMIFS('ORDENES'!$M$4:$M$1203,'ORDENES'!$AE$4:$AE$1203,$AE345,'ORDENES'!$O$4:$O$1203,$O345,'ORDENES'!$R$4:$R$1203,$R345))</f>
        <v/>
      </c>
      <c r="AH345" s="14">
        <f>IF($AG345="","",p_factor_productividad*IFERROR(INDEX('ASIGNACIONES'!$M$4:$M$451,MATCH($O345&amp;"|"&amp;$R345&amp;"|"&amp;$AE345,'ASIGNACIONES'!$N$4:$N$451,0)),0)-$AG345)</f>
        <v/>
      </c>
      <c r="AI345" s="11">
        <f>IF($A345="","",IFERROR(INDEX('2_IMPORTAR_EJECUCION'!$F$9:$F$1208,MATCH($AQ345,'2_IMPORTAR_EJECUCION'!$J$9:$J$1208,0)),0))</f>
        <v/>
      </c>
      <c r="AJ345" s="11">
        <f>IF($A345="","",MAX(0,IFERROR(INDEX('2_IMPORTAR_EJECUCION'!$H$9:$H$1208,MATCH($AQ345,'2_IMPORTAR_EJECUCION'!$J$9:$J$1208,0)),0)-$AI345))</f>
        <v/>
      </c>
      <c r="AK345" s="11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IF($H346="","",IFERROR(INDEX('CAT_ACTIVIDADES'!$B$4:$B$8,MATCH($H346,'CAT_ACTIVIDADES'!$A$4:$A$8,0)),"(sin catálogo)"))</f>
        <v/>
      </c>
      <c r="AA346" s="13">
        <f>IF($J346="","",TODAY()-$J346)</f>
        <v/>
      </c>
      <c r="AB346" s="13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IF($AE346="","",IF((IFERROR(INDEX('ASIGNACIONES'!$J$4:$J$451,MATCH($O346&amp;"|"&amp;$R346&amp;"|"&amp;$AE346,'ASIGNACIONES'!$N$4:$N$451,0)),""))=0,"",IFERROR(INDEX('ASIGNACIONES'!$J$4:$J$451,MATCH($O346&amp;"|"&amp;$R346&amp;"|"&amp;$AE346,'ASIGNACIONES'!$N$4:$N$451,0)),"")))</f>
        <v/>
      </c>
      <c r="AG346" s="14">
        <f>IF($AE346="","",SUMIFS('ORDENES'!$M$4:$M$1203,'ORDENES'!$AE$4:$AE$1203,$AE346,'ORDENES'!$O$4:$O$1203,$O346,'ORDENES'!$R$4:$R$1203,$R346))</f>
        <v/>
      </c>
      <c r="AH346" s="14">
        <f>IF($AG346="","",p_factor_productividad*IFERROR(INDEX('ASIGNACIONES'!$M$4:$M$451,MATCH($O346&amp;"|"&amp;$R346&amp;"|"&amp;$AE346,'ASIGNACIONES'!$N$4:$N$451,0)),0)-$AG346)</f>
        <v/>
      </c>
      <c r="AI346" s="11">
        <f>IF($A346="","",IFERROR(INDEX('2_IMPORTAR_EJECUCION'!$F$9:$F$1208,MATCH($AQ346,'2_IMPORTAR_EJECUCION'!$J$9:$J$1208,0)),0))</f>
        <v/>
      </c>
      <c r="AJ346" s="11">
        <f>IF($A346="","",MAX(0,IFERROR(INDEX('2_IMPORTAR_EJECUCION'!$H$9:$H$1208,MATCH($AQ346,'2_IMPORTAR_EJECUCION'!$J$9:$J$1208,0)),0)-$AI346))</f>
        <v/>
      </c>
      <c r="AK346" s="11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IF($H347="","",IFERROR(INDEX('CAT_ACTIVIDADES'!$B$4:$B$8,MATCH($H347,'CAT_ACTIVIDADES'!$A$4:$A$8,0)),"(sin catálogo)"))</f>
        <v/>
      </c>
      <c r="AA347" s="13">
        <f>IF($J347="","",TODAY()-$J347)</f>
        <v/>
      </c>
      <c r="AB347" s="13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IF($AE347="","",IF((IFERROR(INDEX('ASIGNACIONES'!$J$4:$J$451,MATCH($O347&amp;"|"&amp;$R347&amp;"|"&amp;$AE347,'ASIGNACIONES'!$N$4:$N$451,0)),""))=0,"",IFERROR(INDEX('ASIGNACIONES'!$J$4:$J$451,MATCH($O347&amp;"|"&amp;$R347&amp;"|"&amp;$AE347,'ASIGNACIONES'!$N$4:$N$451,0)),"")))</f>
        <v/>
      </c>
      <c r="AG347" s="14">
        <f>IF($AE347="","",SUMIFS('ORDENES'!$M$4:$M$1203,'ORDENES'!$AE$4:$AE$1203,$AE347,'ORDENES'!$O$4:$O$1203,$O347,'ORDENES'!$R$4:$R$1203,$R347))</f>
        <v/>
      </c>
      <c r="AH347" s="14">
        <f>IF($AG347="","",p_factor_productividad*IFERROR(INDEX('ASIGNACIONES'!$M$4:$M$451,MATCH($O347&amp;"|"&amp;$R347&amp;"|"&amp;$AE347,'ASIGNACIONES'!$N$4:$N$451,0)),0)-$AG347)</f>
        <v/>
      </c>
      <c r="AI347" s="11">
        <f>IF($A347="","",IFERROR(INDEX('2_IMPORTAR_EJECUCION'!$F$9:$F$1208,MATCH($AQ347,'2_IMPORTAR_EJECUCION'!$J$9:$J$1208,0)),0))</f>
        <v/>
      </c>
      <c r="AJ347" s="11">
        <f>IF($A347="","",MAX(0,IFERROR(INDEX('2_IMPORTAR_EJECUCION'!$H$9:$H$1208,MATCH($AQ347,'2_IMPORTAR_EJECUCION'!$J$9:$J$1208,0)),0)-$AI347))</f>
        <v/>
      </c>
      <c r="AK347" s="11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IF($H348="","",IFERROR(INDEX('CAT_ACTIVIDADES'!$B$4:$B$8,MATCH($H348,'CAT_ACTIVIDADES'!$A$4:$A$8,0)),"(sin catálogo)"))</f>
        <v/>
      </c>
      <c r="AA348" s="13">
        <f>IF($J348="","",TODAY()-$J348)</f>
        <v/>
      </c>
      <c r="AB348" s="13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IF($AE348="","",IF((IFERROR(INDEX('ASIGNACIONES'!$J$4:$J$451,MATCH($O348&amp;"|"&amp;$R348&amp;"|"&amp;$AE348,'ASIGNACIONES'!$N$4:$N$451,0)),""))=0,"",IFERROR(INDEX('ASIGNACIONES'!$J$4:$J$451,MATCH($O348&amp;"|"&amp;$R348&amp;"|"&amp;$AE348,'ASIGNACIONES'!$N$4:$N$451,0)),"")))</f>
        <v/>
      </c>
      <c r="AG348" s="14">
        <f>IF($AE348="","",SUMIFS('ORDENES'!$M$4:$M$1203,'ORDENES'!$AE$4:$AE$1203,$AE348,'ORDENES'!$O$4:$O$1203,$O348,'ORDENES'!$R$4:$R$1203,$R348))</f>
        <v/>
      </c>
      <c r="AH348" s="14">
        <f>IF($AG348="","",p_factor_productividad*IFERROR(INDEX('ASIGNACIONES'!$M$4:$M$451,MATCH($O348&amp;"|"&amp;$R348&amp;"|"&amp;$AE348,'ASIGNACIONES'!$N$4:$N$451,0)),0)-$AG348)</f>
        <v/>
      </c>
      <c r="AI348" s="11">
        <f>IF($A348="","",IFERROR(INDEX('2_IMPORTAR_EJECUCION'!$F$9:$F$1208,MATCH($AQ348,'2_IMPORTAR_EJECUCION'!$J$9:$J$1208,0)),0))</f>
        <v/>
      </c>
      <c r="AJ348" s="11">
        <f>IF($A348="","",MAX(0,IFERROR(INDEX('2_IMPORTAR_EJECUCION'!$H$9:$H$1208,MATCH($AQ348,'2_IMPORTAR_EJECUCION'!$J$9:$J$1208,0)),0)-$AI348))</f>
        <v/>
      </c>
      <c r="AK348" s="11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IF($H349="","",IFERROR(INDEX('CAT_ACTIVIDADES'!$B$4:$B$8,MATCH($H349,'CAT_ACTIVIDADES'!$A$4:$A$8,0)),"(sin catálogo)"))</f>
        <v/>
      </c>
      <c r="AA349" s="13">
        <f>IF($J349="","",TODAY()-$J349)</f>
        <v/>
      </c>
      <c r="AB349" s="13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IF($AE349="","",IF((IFERROR(INDEX('ASIGNACIONES'!$J$4:$J$451,MATCH($O349&amp;"|"&amp;$R349&amp;"|"&amp;$AE349,'ASIGNACIONES'!$N$4:$N$451,0)),""))=0,"",IFERROR(INDEX('ASIGNACIONES'!$J$4:$J$451,MATCH($O349&amp;"|"&amp;$R349&amp;"|"&amp;$AE349,'ASIGNACIONES'!$N$4:$N$451,0)),"")))</f>
        <v/>
      </c>
      <c r="AG349" s="14">
        <f>IF($AE349="","",SUMIFS('ORDENES'!$M$4:$M$1203,'ORDENES'!$AE$4:$AE$1203,$AE349,'ORDENES'!$O$4:$O$1203,$O349,'ORDENES'!$R$4:$R$1203,$R349))</f>
        <v/>
      </c>
      <c r="AH349" s="14">
        <f>IF($AG349="","",p_factor_productividad*IFERROR(INDEX('ASIGNACIONES'!$M$4:$M$451,MATCH($O349&amp;"|"&amp;$R349&amp;"|"&amp;$AE349,'ASIGNACIONES'!$N$4:$N$451,0)),0)-$AG349)</f>
        <v/>
      </c>
      <c r="AI349" s="11">
        <f>IF($A349="","",IFERROR(INDEX('2_IMPORTAR_EJECUCION'!$F$9:$F$1208,MATCH($AQ349,'2_IMPORTAR_EJECUCION'!$J$9:$J$1208,0)),0))</f>
        <v/>
      </c>
      <c r="AJ349" s="11">
        <f>IF($A349="","",MAX(0,IFERROR(INDEX('2_IMPORTAR_EJECUCION'!$H$9:$H$1208,MATCH($AQ349,'2_IMPORTAR_EJECUCION'!$J$9:$J$1208,0)),0)-$AI349))</f>
        <v/>
      </c>
      <c r="AK349" s="11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IF($H350="","",IFERROR(INDEX('CAT_ACTIVIDADES'!$B$4:$B$8,MATCH($H350,'CAT_ACTIVIDADES'!$A$4:$A$8,0)),"(sin catálogo)"))</f>
        <v/>
      </c>
      <c r="AA350" s="13">
        <f>IF($J350="","",TODAY()-$J350)</f>
        <v/>
      </c>
      <c r="AB350" s="13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IF($AE350="","",IF((IFERROR(INDEX('ASIGNACIONES'!$J$4:$J$451,MATCH($O350&amp;"|"&amp;$R350&amp;"|"&amp;$AE350,'ASIGNACIONES'!$N$4:$N$451,0)),""))=0,"",IFERROR(INDEX('ASIGNACIONES'!$J$4:$J$451,MATCH($O350&amp;"|"&amp;$R350&amp;"|"&amp;$AE350,'ASIGNACIONES'!$N$4:$N$451,0)),"")))</f>
        <v/>
      </c>
      <c r="AG350" s="14">
        <f>IF($AE350="","",SUMIFS('ORDENES'!$M$4:$M$1203,'ORDENES'!$AE$4:$AE$1203,$AE350,'ORDENES'!$O$4:$O$1203,$O350,'ORDENES'!$R$4:$R$1203,$R350))</f>
        <v/>
      </c>
      <c r="AH350" s="14">
        <f>IF($AG350="","",p_factor_productividad*IFERROR(INDEX('ASIGNACIONES'!$M$4:$M$451,MATCH($O350&amp;"|"&amp;$R350&amp;"|"&amp;$AE350,'ASIGNACIONES'!$N$4:$N$451,0)),0)-$AG350)</f>
        <v/>
      </c>
      <c r="AI350" s="11">
        <f>IF($A350="","",IFERROR(INDEX('2_IMPORTAR_EJECUCION'!$F$9:$F$1208,MATCH($AQ350,'2_IMPORTAR_EJECUCION'!$J$9:$J$1208,0)),0))</f>
        <v/>
      </c>
      <c r="AJ350" s="11">
        <f>IF($A350="","",MAX(0,IFERROR(INDEX('2_IMPORTAR_EJECUCION'!$H$9:$H$1208,MATCH($AQ350,'2_IMPORTAR_EJECUCION'!$J$9:$J$1208,0)),0)-$AI350))</f>
        <v/>
      </c>
      <c r="AK350" s="11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IF($H351="","",IFERROR(INDEX('CAT_ACTIVIDADES'!$B$4:$B$8,MATCH($H351,'CAT_ACTIVIDADES'!$A$4:$A$8,0)),"(sin catálogo)"))</f>
        <v/>
      </c>
      <c r="AA351" s="13">
        <f>IF($J351="","",TODAY()-$J351)</f>
        <v/>
      </c>
      <c r="AB351" s="13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IF($AE351="","",IF((IFERROR(INDEX('ASIGNACIONES'!$J$4:$J$451,MATCH($O351&amp;"|"&amp;$R351&amp;"|"&amp;$AE351,'ASIGNACIONES'!$N$4:$N$451,0)),""))=0,"",IFERROR(INDEX('ASIGNACIONES'!$J$4:$J$451,MATCH($O351&amp;"|"&amp;$R351&amp;"|"&amp;$AE351,'ASIGNACIONES'!$N$4:$N$451,0)),"")))</f>
        <v/>
      </c>
      <c r="AG351" s="14">
        <f>IF($AE351="","",SUMIFS('ORDENES'!$M$4:$M$1203,'ORDENES'!$AE$4:$AE$1203,$AE351,'ORDENES'!$O$4:$O$1203,$O351,'ORDENES'!$R$4:$R$1203,$R351))</f>
        <v/>
      </c>
      <c r="AH351" s="14">
        <f>IF($AG351="","",p_factor_productividad*IFERROR(INDEX('ASIGNACIONES'!$M$4:$M$451,MATCH($O351&amp;"|"&amp;$R351&amp;"|"&amp;$AE351,'ASIGNACIONES'!$N$4:$N$451,0)),0)-$AG351)</f>
        <v/>
      </c>
      <c r="AI351" s="11">
        <f>IF($A351="","",IFERROR(INDEX('2_IMPORTAR_EJECUCION'!$F$9:$F$1208,MATCH($AQ351,'2_IMPORTAR_EJECUCION'!$J$9:$J$1208,0)),0))</f>
        <v/>
      </c>
      <c r="AJ351" s="11">
        <f>IF($A351="","",MAX(0,IFERROR(INDEX('2_IMPORTAR_EJECUCION'!$H$9:$H$1208,MATCH($AQ351,'2_IMPORTAR_EJECUCION'!$J$9:$J$1208,0)),0)-$AI351))</f>
        <v/>
      </c>
      <c r="AK351" s="11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IF($H352="","",IFERROR(INDEX('CAT_ACTIVIDADES'!$B$4:$B$8,MATCH($H352,'CAT_ACTIVIDADES'!$A$4:$A$8,0)),"(sin catálogo)"))</f>
        <v/>
      </c>
      <c r="AA352" s="13">
        <f>IF($J352="","",TODAY()-$J352)</f>
        <v/>
      </c>
      <c r="AB352" s="13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IF($AE352="","",IF((IFERROR(INDEX('ASIGNACIONES'!$J$4:$J$451,MATCH($O352&amp;"|"&amp;$R352&amp;"|"&amp;$AE352,'ASIGNACIONES'!$N$4:$N$451,0)),""))=0,"",IFERROR(INDEX('ASIGNACIONES'!$J$4:$J$451,MATCH($O352&amp;"|"&amp;$R352&amp;"|"&amp;$AE352,'ASIGNACIONES'!$N$4:$N$451,0)),"")))</f>
        <v/>
      </c>
      <c r="AG352" s="14">
        <f>IF($AE352="","",SUMIFS('ORDENES'!$M$4:$M$1203,'ORDENES'!$AE$4:$AE$1203,$AE352,'ORDENES'!$O$4:$O$1203,$O352,'ORDENES'!$R$4:$R$1203,$R352))</f>
        <v/>
      </c>
      <c r="AH352" s="14">
        <f>IF($AG352="","",p_factor_productividad*IFERROR(INDEX('ASIGNACIONES'!$M$4:$M$451,MATCH($O352&amp;"|"&amp;$R352&amp;"|"&amp;$AE352,'ASIGNACIONES'!$N$4:$N$451,0)),0)-$AG352)</f>
        <v/>
      </c>
      <c r="AI352" s="11">
        <f>IF($A352="","",IFERROR(INDEX('2_IMPORTAR_EJECUCION'!$F$9:$F$1208,MATCH($AQ352,'2_IMPORTAR_EJECUCION'!$J$9:$J$1208,0)),0))</f>
        <v/>
      </c>
      <c r="AJ352" s="11">
        <f>IF($A352="","",MAX(0,IFERROR(INDEX('2_IMPORTAR_EJECUCION'!$H$9:$H$1208,MATCH($AQ352,'2_IMPORTAR_EJECUCION'!$J$9:$J$1208,0)),0)-$AI352))</f>
        <v/>
      </c>
      <c r="AK352" s="11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IF($H353="","",IFERROR(INDEX('CAT_ACTIVIDADES'!$B$4:$B$8,MATCH($H353,'CAT_ACTIVIDADES'!$A$4:$A$8,0)),"(sin catálogo)"))</f>
        <v/>
      </c>
      <c r="AA353" s="13">
        <f>IF($J353="","",TODAY()-$J353)</f>
        <v/>
      </c>
      <c r="AB353" s="13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IF($AE353="","",IF((IFERROR(INDEX('ASIGNACIONES'!$J$4:$J$451,MATCH($O353&amp;"|"&amp;$R353&amp;"|"&amp;$AE353,'ASIGNACIONES'!$N$4:$N$451,0)),""))=0,"",IFERROR(INDEX('ASIGNACIONES'!$J$4:$J$451,MATCH($O353&amp;"|"&amp;$R353&amp;"|"&amp;$AE353,'ASIGNACIONES'!$N$4:$N$451,0)),"")))</f>
        <v/>
      </c>
      <c r="AG353" s="14">
        <f>IF($AE353="","",SUMIFS('ORDENES'!$M$4:$M$1203,'ORDENES'!$AE$4:$AE$1203,$AE353,'ORDENES'!$O$4:$O$1203,$O353,'ORDENES'!$R$4:$R$1203,$R353))</f>
        <v/>
      </c>
      <c r="AH353" s="14">
        <f>IF($AG353="","",p_factor_productividad*IFERROR(INDEX('ASIGNACIONES'!$M$4:$M$451,MATCH($O353&amp;"|"&amp;$R353&amp;"|"&amp;$AE353,'ASIGNACIONES'!$N$4:$N$451,0)),0)-$AG353)</f>
        <v/>
      </c>
      <c r="AI353" s="11">
        <f>IF($A353="","",IFERROR(INDEX('2_IMPORTAR_EJECUCION'!$F$9:$F$1208,MATCH($AQ353,'2_IMPORTAR_EJECUCION'!$J$9:$J$1208,0)),0))</f>
        <v/>
      </c>
      <c r="AJ353" s="11">
        <f>IF($A353="","",MAX(0,IFERROR(INDEX('2_IMPORTAR_EJECUCION'!$H$9:$H$1208,MATCH($AQ353,'2_IMPORTAR_EJECUCION'!$J$9:$J$1208,0)),0)-$AI353))</f>
        <v/>
      </c>
      <c r="AK353" s="11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IF($H354="","",IFERROR(INDEX('CAT_ACTIVIDADES'!$B$4:$B$8,MATCH($H354,'CAT_ACTIVIDADES'!$A$4:$A$8,0)),"(sin catálogo)"))</f>
        <v/>
      </c>
      <c r="AA354" s="13">
        <f>IF($J354="","",TODAY()-$J354)</f>
        <v/>
      </c>
      <c r="AB354" s="13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IF($AE354="","",IF((IFERROR(INDEX('ASIGNACIONES'!$J$4:$J$451,MATCH($O354&amp;"|"&amp;$R354&amp;"|"&amp;$AE354,'ASIGNACIONES'!$N$4:$N$451,0)),""))=0,"",IFERROR(INDEX('ASIGNACIONES'!$J$4:$J$451,MATCH($O354&amp;"|"&amp;$R354&amp;"|"&amp;$AE354,'ASIGNACIONES'!$N$4:$N$451,0)),"")))</f>
        <v/>
      </c>
      <c r="AG354" s="14">
        <f>IF($AE354="","",SUMIFS('ORDENES'!$M$4:$M$1203,'ORDENES'!$AE$4:$AE$1203,$AE354,'ORDENES'!$O$4:$O$1203,$O354,'ORDENES'!$R$4:$R$1203,$R354))</f>
        <v/>
      </c>
      <c r="AH354" s="14">
        <f>IF($AG354="","",p_factor_productividad*IFERROR(INDEX('ASIGNACIONES'!$M$4:$M$451,MATCH($O354&amp;"|"&amp;$R354&amp;"|"&amp;$AE354,'ASIGNACIONES'!$N$4:$N$451,0)),0)-$AG354)</f>
        <v/>
      </c>
      <c r="AI354" s="11">
        <f>IF($A354="","",IFERROR(INDEX('2_IMPORTAR_EJECUCION'!$F$9:$F$1208,MATCH($AQ354,'2_IMPORTAR_EJECUCION'!$J$9:$J$1208,0)),0))</f>
        <v/>
      </c>
      <c r="AJ354" s="11">
        <f>IF($A354="","",MAX(0,IFERROR(INDEX('2_IMPORTAR_EJECUCION'!$H$9:$H$1208,MATCH($AQ354,'2_IMPORTAR_EJECUCION'!$J$9:$J$1208,0)),0)-$AI354))</f>
        <v/>
      </c>
      <c r="AK354" s="11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IF($H355="","",IFERROR(INDEX('CAT_ACTIVIDADES'!$B$4:$B$8,MATCH($H355,'CAT_ACTIVIDADES'!$A$4:$A$8,0)),"(sin catálogo)"))</f>
        <v/>
      </c>
      <c r="AA355" s="13">
        <f>IF($J355="","",TODAY()-$J355)</f>
        <v/>
      </c>
      <c r="AB355" s="13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IF($AE355="","",IF((IFERROR(INDEX('ASIGNACIONES'!$J$4:$J$451,MATCH($O355&amp;"|"&amp;$R355&amp;"|"&amp;$AE355,'ASIGNACIONES'!$N$4:$N$451,0)),""))=0,"",IFERROR(INDEX('ASIGNACIONES'!$J$4:$J$451,MATCH($O355&amp;"|"&amp;$R355&amp;"|"&amp;$AE355,'ASIGNACIONES'!$N$4:$N$451,0)),"")))</f>
        <v/>
      </c>
      <c r="AG355" s="14">
        <f>IF($AE355="","",SUMIFS('ORDENES'!$M$4:$M$1203,'ORDENES'!$AE$4:$AE$1203,$AE355,'ORDENES'!$O$4:$O$1203,$O355,'ORDENES'!$R$4:$R$1203,$R355))</f>
        <v/>
      </c>
      <c r="AH355" s="14">
        <f>IF($AG355="","",p_factor_productividad*IFERROR(INDEX('ASIGNACIONES'!$M$4:$M$451,MATCH($O355&amp;"|"&amp;$R355&amp;"|"&amp;$AE355,'ASIGNACIONES'!$N$4:$N$451,0)),0)-$AG355)</f>
        <v/>
      </c>
      <c r="AI355" s="11">
        <f>IF($A355="","",IFERROR(INDEX('2_IMPORTAR_EJECUCION'!$F$9:$F$1208,MATCH($AQ355,'2_IMPORTAR_EJECUCION'!$J$9:$J$1208,0)),0))</f>
        <v/>
      </c>
      <c r="AJ355" s="11">
        <f>IF($A355="","",MAX(0,IFERROR(INDEX('2_IMPORTAR_EJECUCION'!$H$9:$H$1208,MATCH($AQ355,'2_IMPORTAR_EJECUCION'!$J$9:$J$1208,0)),0)-$AI355))</f>
        <v/>
      </c>
      <c r="AK355" s="11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IF($H356="","",IFERROR(INDEX('CAT_ACTIVIDADES'!$B$4:$B$8,MATCH($H356,'CAT_ACTIVIDADES'!$A$4:$A$8,0)),"(sin catálogo)"))</f>
        <v/>
      </c>
      <c r="AA356" s="13">
        <f>IF($J356="","",TODAY()-$J356)</f>
        <v/>
      </c>
      <c r="AB356" s="13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IF($AE356="","",IF((IFERROR(INDEX('ASIGNACIONES'!$J$4:$J$451,MATCH($O356&amp;"|"&amp;$R356&amp;"|"&amp;$AE356,'ASIGNACIONES'!$N$4:$N$451,0)),""))=0,"",IFERROR(INDEX('ASIGNACIONES'!$J$4:$J$451,MATCH($O356&amp;"|"&amp;$R356&amp;"|"&amp;$AE356,'ASIGNACIONES'!$N$4:$N$451,0)),"")))</f>
        <v/>
      </c>
      <c r="AG356" s="14">
        <f>IF($AE356="","",SUMIFS('ORDENES'!$M$4:$M$1203,'ORDENES'!$AE$4:$AE$1203,$AE356,'ORDENES'!$O$4:$O$1203,$O356,'ORDENES'!$R$4:$R$1203,$R356))</f>
        <v/>
      </c>
      <c r="AH356" s="14">
        <f>IF($AG356="","",p_factor_productividad*IFERROR(INDEX('ASIGNACIONES'!$M$4:$M$451,MATCH($O356&amp;"|"&amp;$R356&amp;"|"&amp;$AE356,'ASIGNACIONES'!$N$4:$N$451,0)),0)-$AG356)</f>
        <v/>
      </c>
      <c r="AI356" s="11">
        <f>IF($A356="","",IFERROR(INDEX('2_IMPORTAR_EJECUCION'!$F$9:$F$1208,MATCH($AQ356,'2_IMPORTAR_EJECUCION'!$J$9:$J$1208,0)),0))</f>
        <v/>
      </c>
      <c r="AJ356" s="11">
        <f>IF($A356="","",MAX(0,IFERROR(INDEX('2_IMPORTAR_EJECUCION'!$H$9:$H$1208,MATCH($AQ356,'2_IMPORTAR_EJECUCION'!$J$9:$J$1208,0)),0)-$AI356))</f>
        <v/>
      </c>
      <c r="AK356" s="11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IF($H357="","",IFERROR(INDEX('CAT_ACTIVIDADES'!$B$4:$B$8,MATCH($H357,'CAT_ACTIVIDADES'!$A$4:$A$8,0)),"(sin catálogo)"))</f>
        <v/>
      </c>
      <c r="AA357" s="13">
        <f>IF($J357="","",TODAY()-$J357)</f>
        <v/>
      </c>
      <c r="AB357" s="13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IF($AE357="","",IF((IFERROR(INDEX('ASIGNACIONES'!$J$4:$J$451,MATCH($O357&amp;"|"&amp;$R357&amp;"|"&amp;$AE357,'ASIGNACIONES'!$N$4:$N$451,0)),""))=0,"",IFERROR(INDEX('ASIGNACIONES'!$J$4:$J$451,MATCH($O357&amp;"|"&amp;$R357&amp;"|"&amp;$AE357,'ASIGNACIONES'!$N$4:$N$451,0)),"")))</f>
        <v/>
      </c>
      <c r="AG357" s="14">
        <f>IF($AE357="","",SUMIFS('ORDENES'!$M$4:$M$1203,'ORDENES'!$AE$4:$AE$1203,$AE357,'ORDENES'!$O$4:$O$1203,$O357,'ORDENES'!$R$4:$R$1203,$R357))</f>
        <v/>
      </c>
      <c r="AH357" s="14">
        <f>IF($AG357="","",p_factor_productividad*IFERROR(INDEX('ASIGNACIONES'!$M$4:$M$451,MATCH($O357&amp;"|"&amp;$R357&amp;"|"&amp;$AE357,'ASIGNACIONES'!$N$4:$N$451,0)),0)-$AG357)</f>
        <v/>
      </c>
      <c r="AI357" s="11">
        <f>IF($A357="","",IFERROR(INDEX('2_IMPORTAR_EJECUCION'!$F$9:$F$1208,MATCH($AQ357,'2_IMPORTAR_EJECUCION'!$J$9:$J$1208,0)),0))</f>
        <v/>
      </c>
      <c r="AJ357" s="11">
        <f>IF($A357="","",MAX(0,IFERROR(INDEX('2_IMPORTAR_EJECUCION'!$H$9:$H$1208,MATCH($AQ357,'2_IMPORTAR_EJECUCION'!$J$9:$J$1208,0)),0)-$AI357))</f>
        <v/>
      </c>
      <c r="AK357" s="11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IF($H358="","",IFERROR(INDEX('CAT_ACTIVIDADES'!$B$4:$B$8,MATCH($H358,'CAT_ACTIVIDADES'!$A$4:$A$8,0)),"(sin catálogo)"))</f>
        <v/>
      </c>
      <c r="AA358" s="13">
        <f>IF($J358="","",TODAY()-$J358)</f>
        <v/>
      </c>
      <c r="AB358" s="13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IF($AE358="","",IF((IFERROR(INDEX('ASIGNACIONES'!$J$4:$J$451,MATCH($O358&amp;"|"&amp;$R358&amp;"|"&amp;$AE358,'ASIGNACIONES'!$N$4:$N$451,0)),""))=0,"",IFERROR(INDEX('ASIGNACIONES'!$J$4:$J$451,MATCH($O358&amp;"|"&amp;$R358&amp;"|"&amp;$AE358,'ASIGNACIONES'!$N$4:$N$451,0)),"")))</f>
        <v/>
      </c>
      <c r="AG358" s="14">
        <f>IF($AE358="","",SUMIFS('ORDENES'!$M$4:$M$1203,'ORDENES'!$AE$4:$AE$1203,$AE358,'ORDENES'!$O$4:$O$1203,$O358,'ORDENES'!$R$4:$R$1203,$R358))</f>
        <v/>
      </c>
      <c r="AH358" s="14">
        <f>IF($AG358="","",p_factor_productividad*IFERROR(INDEX('ASIGNACIONES'!$M$4:$M$451,MATCH($O358&amp;"|"&amp;$R358&amp;"|"&amp;$AE358,'ASIGNACIONES'!$N$4:$N$451,0)),0)-$AG358)</f>
        <v/>
      </c>
      <c r="AI358" s="11">
        <f>IF($A358="","",IFERROR(INDEX('2_IMPORTAR_EJECUCION'!$F$9:$F$1208,MATCH($AQ358,'2_IMPORTAR_EJECUCION'!$J$9:$J$1208,0)),0))</f>
        <v/>
      </c>
      <c r="AJ358" s="11">
        <f>IF($A358="","",MAX(0,IFERROR(INDEX('2_IMPORTAR_EJECUCION'!$H$9:$H$1208,MATCH($AQ358,'2_IMPORTAR_EJECUCION'!$J$9:$J$1208,0)),0)-$AI358))</f>
        <v/>
      </c>
      <c r="AK358" s="11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IF($H359="","",IFERROR(INDEX('CAT_ACTIVIDADES'!$B$4:$B$8,MATCH($H359,'CAT_ACTIVIDADES'!$A$4:$A$8,0)),"(sin catálogo)"))</f>
        <v/>
      </c>
      <c r="AA359" s="13">
        <f>IF($J359="","",TODAY()-$J359)</f>
        <v/>
      </c>
      <c r="AB359" s="13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IF($AE359="","",IF((IFERROR(INDEX('ASIGNACIONES'!$J$4:$J$451,MATCH($O359&amp;"|"&amp;$R359&amp;"|"&amp;$AE359,'ASIGNACIONES'!$N$4:$N$451,0)),""))=0,"",IFERROR(INDEX('ASIGNACIONES'!$J$4:$J$451,MATCH($O359&amp;"|"&amp;$R359&amp;"|"&amp;$AE359,'ASIGNACIONES'!$N$4:$N$451,0)),"")))</f>
        <v/>
      </c>
      <c r="AG359" s="14">
        <f>IF($AE359="","",SUMIFS('ORDENES'!$M$4:$M$1203,'ORDENES'!$AE$4:$AE$1203,$AE359,'ORDENES'!$O$4:$O$1203,$O359,'ORDENES'!$R$4:$R$1203,$R359))</f>
        <v/>
      </c>
      <c r="AH359" s="14">
        <f>IF($AG359="","",p_factor_productividad*IFERROR(INDEX('ASIGNACIONES'!$M$4:$M$451,MATCH($O359&amp;"|"&amp;$R359&amp;"|"&amp;$AE359,'ASIGNACIONES'!$N$4:$N$451,0)),0)-$AG359)</f>
        <v/>
      </c>
      <c r="AI359" s="11">
        <f>IF($A359="","",IFERROR(INDEX('2_IMPORTAR_EJECUCION'!$F$9:$F$1208,MATCH($AQ359,'2_IMPORTAR_EJECUCION'!$J$9:$J$1208,0)),0))</f>
        <v/>
      </c>
      <c r="AJ359" s="11">
        <f>IF($A359="","",MAX(0,IFERROR(INDEX('2_IMPORTAR_EJECUCION'!$H$9:$H$1208,MATCH($AQ359,'2_IMPORTAR_EJECUCION'!$J$9:$J$1208,0)),0)-$AI359))</f>
        <v/>
      </c>
      <c r="AK359" s="11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IF($H360="","",IFERROR(INDEX('CAT_ACTIVIDADES'!$B$4:$B$8,MATCH($H360,'CAT_ACTIVIDADES'!$A$4:$A$8,0)),"(sin catálogo)"))</f>
        <v/>
      </c>
      <c r="AA360" s="13">
        <f>IF($J360="","",TODAY()-$J360)</f>
        <v/>
      </c>
      <c r="AB360" s="13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IF($AE360="","",IF((IFERROR(INDEX('ASIGNACIONES'!$J$4:$J$451,MATCH($O360&amp;"|"&amp;$R360&amp;"|"&amp;$AE360,'ASIGNACIONES'!$N$4:$N$451,0)),""))=0,"",IFERROR(INDEX('ASIGNACIONES'!$J$4:$J$451,MATCH($O360&amp;"|"&amp;$R360&amp;"|"&amp;$AE360,'ASIGNACIONES'!$N$4:$N$451,0)),"")))</f>
        <v/>
      </c>
      <c r="AG360" s="14">
        <f>IF($AE360="","",SUMIFS('ORDENES'!$M$4:$M$1203,'ORDENES'!$AE$4:$AE$1203,$AE360,'ORDENES'!$O$4:$O$1203,$O360,'ORDENES'!$R$4:$R$1203,$R360))</f>
        <v/>
      </c>
      <c r="AH360" s="14">
        <f>IF($AG360="","",p_factor_productividad*IFERROR(INDEX('ASIGNACIONES'!$M$4:$M$451,MATCH($O360&amp;"|"&amp;$R360&amp;"|"&amp;$AE360,'ASIGNACIONES'!$N$4:$N$451,0)),0)-$AG360)</f>
        <v/>
      </c>
      <c r="AI360" s="11">
        <f>IF($A360="","",IFERROR(INDEX('2_IMPORTAR_EJECUCION'!$F$9:$F$1208,MATCH($AQ360,'2_IMPORTAR_EJECUCION'!$J$9:$J$1208,0)),0))</f>
        <v/>
      </c>
      <c r="AJ360" s="11">
        <f>IF($A360="","",MAX(0,IFERROR(INDEX('2_IMPORTAR_EJECUCION'!$H$9:$H$1208,MATCH($AQ360,'2_IMPORTAR_EJECUCION'!$J$9:$J$1208,0)),0)-$AI360))</f>
        <v/>
      </c>
      <c r="AK360" s="11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IF($H361="","",IFERROR(INDEX('CAT_ACTIVIDADES'!$B$4:$B$8,MATCH($H361,'CAT_ACTIVIDADES'!$A$4:$A$8,0)),"(sin catálogo)"))</f>
        <v/>
      </c>
      <c r="AA361" s="13">
        <f>IF($J361="","",TODAY()-$J361)</f>
        <v/>
      </c>
      <c r="AB361" s="13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IF($AE361="","",IF((IFERROR(INDEX('ASIGNACIONES'!$J$4:$J$451,MATCH($O361&amp;"|"&amp;$R361&amp;"|"&amp;$AE361,'ASIGNACIONES'!$N$4:$N$451,0)),""))=0,"",IFERROR(INDEX('ASIGNACIONES'!$J$4:$J$451,MATCH($O361&amp;"|"&amp;$R361&amp;"|"&amp;$AE361,'ASIGNACIONES'!$N$4:$N$451,0)),"")))</f>
        <v/>
      </c>
      <c r="AG361" s="14">
        <f>IF($AE361="","",SUMIFS('ORDENES'!$M$4:$M$1203,'ORDENES'!$AE$4:$AE$1203,$AE361,'ORDENES'!$O$4:$O$1203,$O361,'ORDENES'!$R$4:$R$1203,$R361))</f>
        <v/>
      </c>
      <c r="AH361" s="14">
        <f>IF($AG361="","",p_factor_productividad*IFERROR(INDEX('ASIGNACIONES'!$M$4:$M$451,MATCH($O361&amp;"|"&amp;$R361&amp;"|"&amp;$AE361,'ASIGNACIONES'!$N$4:$N$451,0)),0)-$AG361)</f>
        <v/>
      </c>
      <c r="AI361" s="11">
        <f>IF($A361="","",IFERROR(INDEX('2_IMPORTAR_EJECUCION'!$F$9:$F$1208,MATCH($AQ361,'2_IMPORTAR_EJECUCION'!$J$9:$J$1208,0)),0))</f>
        <v/>
      </c>
      <c r="AJ361" s="11">
        <f>IF($A361="","",MAX(0,IFERROR(INDEX('2_IMPORTAR_EJECUCION'!$H$9:$H$1208,MATCH($AQ361,'2_IMPORTAR_EJECUCION'!$J$9:$J$1208,0)),0)-$AI361))</f>
        <v/>
      </c>
      <c r="AK361" s="11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IF($H362="","",IFERROR(INDEX('CAT_ACTIVIDADES'!$B$4:$B$8,MATCH($H362,'CAT_ACTIVIDADES'!$A$4:$A$8,0)),"(sin catálogo)"))</f>
        <v/>
      </c>
      <c r="AA362" s="13">
        <f>IF($J362="","",TODAY()-$J362)</f>
        <v/>
      </c>
      <c r="AB362" s="13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IF($AE362="","",IF((IFERROR(INDEX('ASIGNACIONES'!$J$4:$J$451,MATCH($O362&amp;"|"&amp;$R362&amp;"|"&amp;$AE362,'ASIGNACIONES'!$N$4:$N$451,0)),""))=0,"",IFERROR(INDEX('ASIGNACIONES'!$J$4:$J$451,MATCH($O362&amp;"|"&amp;$R362&amp;"|"&amp;$AE362,'ASIGNACIONES'!$N$4:$N$451,0)),"")))</f>
        <v/>
      </c>
      <c r="AG362" s="14">
        <f>IF($AE362="","",SUMIFS('ORDENES'!$M$4:$M$1203,'ORDENES'!$AE$4:$AE$1203,$AE362,'ORDENES'!$O$4:$O$1203,$O362,'ORDENES'!$R$4:$R$1203,$R362))</f>
        <v/>
      </c>
      <c r="AH362" s="14">
        <f>IF($AG362="","",p_factor_productividad*IFERROR(INDEX('ASIGNACIONES'!$M$4:$M$451,MATCH($O362&amp;"|"&amp;$R362&amp;"|"&amp;$AE362,'ASIGNACIONES'!$N$4:$N$451,0)),0)-$AG362)</f>
        <v/>
      </c>
      <c r="AI362" s="11">
        <f>IF($A362="","",IFERROR(INDEX('2_IMPORTAR_EJECUCION'!$F$9:$F$1208,MATCH($AQ362,'2_IMPORTAR_EJECUCION'!$J$9:$J$1208,0)),0))</f>
        <v/>
      </c>
      <c r="AJ362" s="11">
        <f>IF($A362="","",MAX(0,IFERROR(INDEX('2_IMPORTAR_EJECUCION'!$H$9:$H$1208,MATCH($AQ362,'2_IMPORTAR_EJECUCION'!$J$9:$J$1208,0)),0)-$AI362))</f>
        <v/>
      </c>
      <c r="AK362" s="11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IF($H363="","",IFERROR(INDEX('CAT_ACTIVIDADES'!$B$4:$B$8,MATCH($H363,'CAT_ACTIVIDADES'!$A$4:$A$8,0)),"(sin catálogo)"))</f>
        <v/>
      </c>
      <c r="AA363" s="13">
        <f>IF($J363="","",TODAY()-$J363)</f>
        <v/>
      </c>
      <c r="AB363" s="13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IF($AE363="","",IF((IFERROR(INDEX('ASIGNACIONES'!$J$4:$J$451,MATCH($O363&amp;"|"&amp;$R363&amp;"|"&amp;$AE363,'ASIGNACIONES'!$N$4:$N$451,0)),""))=0,"",IFERROR(INDEX('ASIGNACIONES'!$J$4:$J$451,MATCH($O363&amp;"|"&amp;$R363&amp;"|"&amp;$AE363,'ASIGNACIONES'!$N$4:$N$451,0)),"")))</f>
        <v/>
      </c>
      <c r="AG363" s="14">
        <f>IF($AE363="","",SUMIFS('ORDENES'!$M$4:$M$1203,'ORDENES'!$AE$4:$AE$1203,$AE363,'ORDENES'!$O$4:$O$1203,$O363,'ORDENES'!$R$4:$R$1203,$R363))</f>
        <v/>
      </c>
      <c r="AH363" s="14">
        <f>IF($AG363="","",p_factor_productividad*IFERROR(INDEX('ASIGNACIONES'!$M$4:$M$451,MATCH($O363&amp;"|"&amp;$R363&amp;"|"&amp;$AE363,'ASIGNACIONES'!$N$4:$N$451,0)),0)-$AG363)</f>
        <v/>
      </c>
      <c r="AI363" s="11">
        <f>IF($A363="","",IFERROR(INDEX('2_IMPORTAR_EJECUCION'!$F$9:$F$1208,MATCH($AQ363,'2_IMPORTAR_EJECUCION'!$J$9:$J$1208,0)),0))</f>
        <v/>
      </c>
      <c r="AJ363" s="11">
        <f>IF($A363="","",MAX(0,IFERROR(INDEX('2_IMPORTAR_EJECUCION'!$H$9:$H$1208,MATCH($AQ363,'2_IMPORTAR_EJECUCION'!$J$9:$J$1208,0)),0)-$AI363))</f>
        <v/>
      </c>
      <c r="AK363" s="11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IF($H364="","",IFERROR(INDEX('CAT_ACTIVIDADES'!$B$4:$B$8,MATCH($H364,'CAT_ACTIVIDADES'!$A$4:$A$8,0)),"(sin catálogo)"))</f>
        <v/>
      </c>
      <c r="AA364" s="13">
        <f>IF($J364="","",TODAY()-$J364)</f>
        <v/>
      </c>
      <c r="AB364" s="13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IF($AE364="","",IF((IFERROR(INDEX('ASIGNACIONES'!$J$4:$J$451,MATCH($O364&amp;"|"&amp;$R364&amp;"|"&amp;$AE364,'ASIGNACIONES'!$N$4:$N$451,0)),""))=0,"",IFERROR(INDEX('ASIGNACIONES'!$J$4:$J$451,MATCH($O364&amp;"|"&amp;$R364&amp;"|"&amp;$AE364,'ASIGNACIONES'!$N$4:$N$451,0)),"")))</f>
        <v/>
      </c>
      <c r="AG364" s="14">
        <f>IF($AE364="","",SUMIFS('ORDENES'!$M$4:$M$1203,'ORDENES'!$AE$4:$AE$1203,$AE364,'ORDENES'!$O$4:$O$1203,$O364,'ORDENES'!$R$4:$R$1203,$R364))</f>
        <v/>
      </c>
      <c r="AH364" s="14">
        <f>IF($AG364="","",p_factor_productividad*IFERROR(INDEX('ASIGNACIONES'!$M$4:$M$451,MATCH($O364&amp;"|"&amp;$R364&amp;"|"&amp;$AE364,'ASIGNACIONES'!$N$4:$N$451,0)),0)-$AG364)</f>
        <v/>
      </c>
      <c r="AI364" s="11">
        <f>IF($A364="","",IFERROR(INDEX('2_IMPORTAR_EJECUCION'!$F$9:$F$1208,MATCH($AQ364,'2_IMPORTAR_EJECUCION'!$J$9:$J$1208,0)),0))</f>
        <v/>
      </c>
      <c r="AJ364" s="11">
        <f>IF($A364="","",MAX(0,IFERROR(INDEX('2_IMPORTAR_EJECUCION'!$H$9:$H$1208,MATCH($AQ364,'2_IMPORTAR_EJECUCION'!$J$9:$J$1208,0)),0)-$AI364))</f>
        <v/>
      </c>
      <c r="AK364" s="11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IF($H365="","",IFERROR(INDEX('CAT_ACTIVIDADES'!$B$4:$B$8,MATCH($H365,'CAT_ACTIVIDADES'!$A$4:$A$8,0)),"(sin catálogo)"))</f>
        <v/>
      </c>
      <c r="AA365" s="13">
        <f>IF($J365="","",TODAY()-$J365)</f>
        <v/>
      </c>
      <c r="AB365" s="13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IF($AE365="","",IF((IFERROR(INDEX('ASIGNACIONES'!$J$4:$J$451,MATCH($O365&amp;"|"&amp;$R365&amp;"|"&amp;$AE365,'ASIGNACIONES'!$N$4:$N$451,0)),""))=0,"",IFERROR(INDEX('ASIGNACIONES'!$J$4:$J$451,MATCH($O365&amp;"|"&amp;$R365&amp;"|"&amp;$AE365,'ASIGNACIONES'!$N$4:$N$451,0)),"")))</f>
        <v/>
      </c>
      <c r="AG365" s="14">
        <f>IF($AE365="","",SUMIFS('ORDENES'!$M$4:$M$1203,'ORDENES'!$AE$4:$AE$1203,$AE365,'ORDENES'!$O$4:$O$1203,$O365,'ORDENES'!$R$4:$R$1203,$R365))</f>
        <v/>
      </c>
      <c r="AH365" s="14">
        <f>IF($AG365="","",p_factor_productividad*IFERROR(INDEX('ASIGNACIONES'!$M$4:$M$451,MATCH($O365&amp;"|"&amp;$R365&amp;"|"&amp;$AE365,'ASIGNACIONES'!$N$4:$N$451,0)),0)-$AG365)</f>
        <v/>
      </c>
      <c r="AI365" s="11">
        <f>IF($A365="","",IFERROR(INDEX('2_IMPORTAR_EJECUCION'!$F$9:$F$1208,MATCH($AQ365,'2_IMPORTAR_EJECUCION'!$J$9:$J$1208,0)),0))</f>
        <v/>
      </c>
      <c r="AJ365" s="11">
        <f>IF($A365="","",MAX(0,IFERROR(INDEX('2_IMPORTAR_EJECUCION'!$H$9:$H$1208,MATCH($AQ365,'2_IMPORTAR_EJECUCION'!$J$9:$J$1208,0)),0)-$AI365))</f>
        <v/>
      </c>
      <c r="AK365" s="11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IF($H366="","",IFERROR(INDEX('CAT_ACTIVIDADES'!$B$4:$B$8,MATCH($H366,'CAT_ACTIVIDADES'!$A$4:$A$8,0)),"(sin catálogo)"))</f>
        <v/>
      </c>
      <c r="AA366" s="13">
        <f>IF($J366="","",TODAY()-$J366)</f>
        <v/>
      </c>
      <c r="AB366" s="13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IF($AE366="","",IF((IFERROR(INDEX('ASIGNACIONES'!$J$4:$J$451,MATCH($O366&amp;"|"&amp;$R366&amp;"|"&amp;$AE366,'ASIGNACIONES'!$N$4:$N$451,0)),""))=0,"",IFERROR(INDEX('ASIGNACIONES'!$J$4:$J$451,MATCH($O366&amp;"|"&amp;$R366&amp;"|"&amp;$AE366,'ASIGNACIONES'!$N$4:$N$451,0)),"")))</f>
        <v/>
      </c>
      <c r="AG366" s="14">
        <f>IF($AE366="","",SUMIFS('ORDENES'!$M$4:$M$1203,'ORDENES'!$AE$4:$AE$1203,$AE366,'ORDENES'!$O$4:$O$1203,$O366,'ORDENES'!$R$4:$R$1203,$R366))</f>
        <v/>
      </c>
      <c r="AH366" s="14">
        <f>IF($AG366="","",p_factor_productividad*IFERROR(INDEX('ASIGNACIONES'!$M$4:$M$451,MATCH($O366&amp;"|"&amp;$R366&amp;"|"&amp;$AE366,'ASIGNACIONES'!$N$4:$N$451,0)),0)-$AG366)</f>
        <v/>
      </c>
      <c r="AI366" s="11">
        <f>IF($A366="","",IFERROR(INDEX('2_IMPORTAR_EJECUCION'!$F$9:$F$1208,MATCH($AQ366,'2_IMPORTAR_EJECUCION'!$J$9:$J$1208,0)),0))</f>
        <v/>
      </c>
      <c r="AJ366" s="11">
        <f>IF($A366="","",MAX(0,IFERROR(INDEX('2_IMPORTAR_EJECUCION'!$H$9:$H$1208,MATCH($AQ366,'2_IMPORTAR_EJECUCION'!$J$9:$J$1208,0)),0)-$AI366))</f>
        <v/>
      </c>
      <c r="AK366" s="11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IF($H367="","",IFERROR(INDEX('CAT_ACTIVIDADES'!$B$4:$B$8,MATCH($H367,'CAT_ACTIVIDADES'!$A$4:$A$8,0)),"(sin catálogo)"))</f>
        <v/>
      </c>
      <c r="AA367" s="13">
        <f>IF($J367="","",TODAY()-$J367)</f>
        <v/>
      </c>
      <c r="AB367" s="13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IF($AE367="","",IF((IFERROR(INDEX('ASIGNACIONES'!$J$4:$J$451,MATCH($O367&amp;"|"&amp;$R367&amp;"|"&amp;$AE367,'ASIGNACIONES'!$N$4:$N$451,0)),""))=0,"",IFERROR(INDEX('ASIGNACIONES'!$J$4:$J$451,MATCH($O367&amp;"|"&amp;$R367&amp;"|"&amp;$AE367,'ASIGNACIONES'!$N$4:$N$451,0)),"")))</f>
        <v/>
      </c>
      <c r="AG367" s="14">
        <f>IF($AE367="","",SUMIFS('ORDENES'!$M$4:$M$1203,'ORDENES'!$AE$4:$AE$1203,$AE367,'ORDENES'!$O$4:$O$1203,$O367,'ORDENES'!$R$4:$R$1203,$R367))</f>
        <v/>
      </c>
      <c r="AH367" s="14">
        <f>IF($AG367="","",p_factor_productividad*IFERROR(INDEX('ASIGNACIONES'!$M$4:$M$451,MATCH($O367&amp;"|"&amp;$R367&amp;"|"&amp;$AE367,'ASIGNACIONES'!$N$4:$N$451,0)),0)-$AG367)</f>
        <v/>
      </c>
      <c r="AI367" s="11">
        <f>IF($A367="","",IFERROR(INDEX('2_IMPORTAR_EJECUCION'!$F$9:$F$1208,MATCH($AQ367,'2_IMPORTAR_EJECUCION'!$J$9:$J$1208,0)),0))</f>
        <v/>
      </c>
      <c r="AJ367" s="11">
        <f>IF($A367="","",MAX(0,IFERROR(INDEX('2_IMPORTAR_EJECUCION'!$H$9:$H$1208,MATCH($AQ367,'2_IMPORTAR_EJECUCION'!$J$9:$J$1208,0)),0)-$AI367))</f>
        <v/>
      </c>
      <c r="AK367" s="11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IF($H368="","",IFERROR(INDEX('CAT_ACTIVIDADES'!$B$4:$B$8,MATCH($H368,'CAT_ACTIVIDADES'!$A$4:$A$8,0)),"(sin catálogo)"))</f>
        <v/>
      </c>
      <c r="AA368" s="13">
        <f>IF($J368="","",TODAY()-$J368)</f>
        <v/>
      </c>
      <c r="AB368" s="13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IF($AE368="","",IF((IFERROR(INDEX('ASIGNACIONES'!$J$4:$J$451,MATCH($O368&amp;"|"&amp;$R368&amp;"|"&amp;$AE368,'ASIGNACIONES'!$N$4:$N$451,0)),""))=0,"",IFERROR(INDEX('ASIGNACIONES'!$J$4:$J$451,MATCH($O368&amp;"|"&amp;$R368&amp;"|"&amp;$AE368,'ASIGNACIONES'!$N$4:$N$451,0)),"")))</f>
        <v/>
      </c>
      <c r="AG368" s="14">
        <f>IF($AE368="","",SUMIFS('ORDENES'!$M$4:$M$1203,'ORDENES'!$AE$4:$AE$1203,$AE368,'ORDENES'!$O$4:$O$1203,$O368,'ORDENES'!$R$4:$R$1203,$R368))</f>
        <v/>
      </c>
      <c r="AH368" s="14">
        <f>IF($AG368="","",p_factor_productividad*IFERROR(INDEX('ASIGNACIONES'!$M$4:$M$451,MATCH($O368&amp;"|"&amp;$R368&amp;"|"&amp;$AE368,'ASIGNACIONES'!$N$4:$N$451,0)),0)-$AG368)</f>
        <v/>
      </c>
      <c r="AI368" s="11">
        <f>IF($A368="","",IFERROR(INDEX('2_IMPORTAR_EJECUCION'!$F$9:$F$1208,MATCH($AQ368,'2_IMPORTAR_EJECUCION'!$J$9:$J$1208,0)),0))</f>
        <v/>
      </c>
      <c r="AJ368" s="11">
        <f>IF($A368="","",MAX(0,IFERROR(INDEX('2_IMPORTAR_EJECUCION'!$H$9:$H$1208,MATCH($AQ368,'2_IMPORTAR_EJECUCION'!$J$9:$J$1208,0)),0)-$AI368))</f>
        <v/>
      </c>
      <c r="AK368" s="11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IF($H369="","",IFERROR(INDEX('CAT_ACTIVIDADES'!$B$4:$B$8,MATCH($H369,'CAT_ACTIVIDADES'!$A$4:$A$8,0)),"(sin catálogo)"))</f>
        <v/>
      </c>
      <c r="AA369" s="13">
        <f>IF($J369="","",TODAY()-$J369)</f>
        <v/>
      </c>
      <c r="AB369" s="13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IF($AE369="","",IF((IFERROR(INDEX('ASIGNACIONES'!$J$4:$J$451,MATCH($O369&amp;"|"&amp;$R369&amp;"|"&amp;$AE369,'ASIGNACIONES'!$N$4:$N$451,0)),""))=0,"",IFERROR(INDEX('ASIGNACIONES'!$J$4:$J$451,MATCH($O369&amp;"|"&amp;$R369&amp;"|"&amp;$AE369,'ASIGNACIONES'!$N$4:$N$451,0)),"")))</f>
        <v/>
      </c>
      <c r="AG369" s="14">
        <f>IF($AE369="","",SUMIFS('ORDENES'!$M$4:$M$1203,'ORDENES'!$AE$4:$AE$1203,$AE369,'ORDENES'!$O$4:$O$1203,$O369,'ORDENES'!$R$4:$R$1203,$R369))</f>
        <v/>
      </c>
      <c r="AH369" s="14">
        <f>IF($AG369="","",p_factor_productividad*IFERROR(INDEX('ASIGNACIONES'!$M$4:$M$451,MATCH($O369&amp;"|"&amp;$R369&amp;"|"&amp;$AE369,'ASIGNACIONES'!$N$4:$N$451,0)),0)-$AG369)</f>
        <v/>
      </c>
      <c r="AI369" s="11">
        <f>IF($A369="","",IFERROR(INDEX('2_IMPORTAR_EJECUCION'!$F$9:$F$1208,MATCH($AQ369,'2_IMPORTAR_EJECUCION'!$J$9:$J$1208,0)),0))</f>
        <v/>
      </c>
      <c r="AJ369" s="11">
        <f>IF($A369="","",MAX(0,IFERROR(INDEX('2_IMPORTAR_EJECUCION'!$H$9:$H$1208,MATCH($AQ369,'2_IMPORTAR_EJECUCION'!$J$9:$J$1208,0)),0)-$AI369))</f>
        <v/>
      </c>
      <c r="AK369" s="11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IF($H370="","",IFERROR(INDEX('CAT_ACTIVIDADES'!$B$4:$B$8,MATCH($H370,'CAT_ACTIVIDADES'!$A$4:$A$8,0)),"(sin catálogo)"))</f>
        <v/>
      </c>
      <c r="AA370" s="13">
        <f>IF($J370="","",TODAY()-$J370)</f>
        <v/>
      </c>
      <c r="AB370" s="13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IF($AE370="","",IF((IFERROR(INDEX('ASIGNACIONES'!$J$4:$J$451,MATCH($O370&amp;"|"&amp;$R370&amp;"|"&amp;$AE370,'ASIGNACIONES'!$N$4:$N$451,0)),""))=0,"",IFERROR(INDEX('ASIGNACIONES'!$J$4:$J$451,MATCH($O370&amp;"|"&amp;$R370&amp;"|"&amp;$AE370,'ASIGNACIONES'!$N$4:$N$451,0)),"")))</f>
        <v/>
      </c>
      <c r="AG370" s="14">
        <f>IF($AE370="","",SUMIFS('ORDENES'!$M$4:$M$1203,'ORDENES'!$AE$4:$AE$1203,$AE370,'ORDENES'!$O$4:$O$1203,$O370,'ORDENES'!$R$4:$R$1203,$R370))</f>
        <v/>
      </c>
      <c r="AH370" s="14">
        <f>IF($AG370="","",p_factor_productividad*IFERROR(INDEX('ASIGNACIONES'!$M$4:$M$451,MATCH($O370&amp;"|"&amp;$R370&amp;"|"&amp;$AE370,'ASIGNACIONES'!$N$4:$N$451,0)),0)-$AG370)</f>
        <v/>
      </c>
      <c r="AI370" s="11">
        <f>IF($A370="","",IFERROR(INDEX('2_IMPORTAR_EJECUCION'!$F$9:$F$1208,MATCH($AQ370,'2_IMPORTAR_EJECUCION'!$J$9:$J$1208,0)),0))</f>
        <v/>
      </c>
      <c r="AJ370" s="11">
        <f>IF($A370="","",MAX(0,IFERROR(INDEX('2_IMPORTAR_EJECUCION'!$H$9:$H$1208,MATCH($AQ370,'2_IMPORTAR_EJECUCION'!$J$9:$J$1208,0)),0)-$AI370))</f>
        <v/>
      </c>
      <c r="AK370" s="11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IF($H371="","",IFERROR(INDEX('CAT_ACTIVIDADES'!$B$4:$B$8,MATCH($H371,'CAT_ACTIVIDADES'!$A$4:$A$8,0)),"(sin catálogo)"))</f>
        <v/>
      </c>
      <c r="AA371" s="13">
        <f>IF($J371="","",TODAY()-$J371)</f>
        <v/>
      </c>
      <c r="AB371" s="13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IF($AE371="","",IF((IFERROR(INDEX('ASIGNACIONES'!$J$4:$J$451,MATCH($O371&amp;"|"&amp;$R371&amp;"|"&amp;$AE371,'ASIGNACIONES'!$N$4:$N$451,0)),""))=0,"",IFERROR(INDEX('ASIGNACIONES'!$J$4:$J$451,MATCH($O371&amp;"|"&amp;$R371&amp;"|"&amp;$AE371,'ASIGNACIONES'!$N$4:$N$451,0)),"")))</f>
        <v/>
      </c>
      <c r="AG371" s="14">
        <f>IF($AE371="","",SUMIFS('ORDENES'!$M$4:$M$1203,'ORDENES'!$AE$4:$AE$1203,$AE371,'ORDENES'!$O$4:$O$1203,$O371,'ORDENES'!$R$4:$R$1203,$R371))</f>
        <v/>
      </c>
      <c r="AH371" s="14">
        <f>IF($AG371="","",p_factor_productividad*IFERROR(INDEX('ASIGNACIONES'!$M$4:$M$451,MATCH($O371&amp;"|"&amp;$R371&amp;"|"&amp;$AE371,'ASIGNACIONES'!$N$4:$N$451,0)),0)-$AG371)</f>
        <v/>
      </c>
      <c r="AI371" s="11">
        <f>IF($A371="","",IFERROR(INDEX('2_IMPORTAR_EJECUCION'!$F$9:$F$1208,MATCH($AQ371,'2_IMPORTAR_EJECUCION'!$J$9:$J$1208,0)),0))</f>
        <v/>
      </c>
      <c r="AJ371" s="11">
        <f>IF($A371="","",MAX(0,IFERROR(INDEX('2_IMPORTAR_EJECUCION'!$H$9:$H$1208,MATCH($AQ371,'2_IMPORTAR_EJECUCION'!$J$9:$J$1208,0)),0)-$AI371))</f>
        <v/>
      </c>
      <c r="AK371" s="11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IF($H372="","",IFERROR(INDEX('CAT_ACTIVIDADES'!$B$4:$B$8,MATCH($H372,'CAT_ACTIVIDADES'!$A$4:$A$8,0)),"(sin catálogo)"))</f>
        <v/>
      </c>
      <c r="AA372" s="13">
        <f>IF($J372="","",TODAY()-$J372)</f>
        <v/>
      </c>
      <c r="AB372" s="13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IF($AE372="","",IF((IFERROR(INDEX('ASIGNACIONES'!$J$4:$J$451,MATCH($O372&amp;"|"&amp;$R372&amp;"|"&amp;$AE372,'ASIGNACIONES'!$N$4:$N$451,0)),""))=0,"",IFERROR(INDEX('ASIGNACIONES'!$J$4:$J$451,MATCH($O372&amp;"|"&amp;$R372&amp;"|"&amp;$AE372,'ASIGNACIONES'!$N$4:$N$451,0)),"")))</f>
        <v/>
      </c>
      <c r="AG372" s="14">
        <f>IF($AE372="","",SUMIFS('ORDENES'!$M$4:$M$1203,'ORDENES'!$AE$4:$AE$1203,$AE372,'ORDENES'!$O$4:$O$1203,$O372,'ORDENES'!$R$4:$R$1203,$R372))</f>
        <v/>
      </c>
      <c r="AH372" s="14">
        <f>IF($AG372="","",p_factor_productividad*IFERROR(INDEX('ASIGNACIONES'!$M$4:$M$451,MATCH($O372&amp;"|"&amp;$R372&amp;"|"&amp;$AE372,'ASIGNACIONES'!$N$4:$N$451,0)),0)-$AG372)</f>
        <v/>
      </c>
      <c r="AI372" s="11">
        <f>IF($A372="","",IFERROR(INDEX('2_IMPORTAR_EJECUCION'!$F$9:$F$1208,MATCH($AQ372,'2_IMPORTAR_EJECUCION'!$J$9:$J$1208,0)),0))</f>
        <v/>
      </c>
      <c r="AJ372" s="11">
        <f>IF($A372="","",MAX(0,IFERROR(INDEX('2_IMPORTAR_EJECUCION'!$H$9:$H$1208,MATCH($AQ372,'2_IMPORTAR_EJECUCION'!$J$9:$J$1208,0)),0)-$AI372))</f>
        <v/>
      </c>
      <c r="AK372" s="11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IF($H373="","",IFERROR(INDEX('CAT_ACTIVIDADES'!$B$4:$B$8,MATCH($H373,'CAT_ACTIVIDADES'!$A$4:$A$8,0)),"(sin catálogo)"))</f>
        <v/>
      </c>
      <c r="AA373" s="13">
        <f>IF($J373="","",TODAY()-$J373)</f>
        <v/>
      </c>
      <c r="AB373" s="13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IF($AE373="","",IF((IFERROR(INDEX('ASIGNACIONES'!$J$4:$J$451,MATCH($O373&amp;"|"&amp;$R373&amp;"|"&amp;$AE373,'ASIGNACIONES'!$N$4:$N$451,0)),""))=0,"",IFERROR(INDEX('ASIGNACIONES'!$J$4:$J$451,MATCH($O373&amp;"|"&amp;$R373&amp;"|"&amp;$AE373,'ASIGNACIONES'!$N$4:$N$451,0)),"")))</f>
        <v/>
      </c>
      <c r="AG373" s="14">
        <f>IF($AE373="","",SUMIFS('ORDENES'!$M$4:$M$1203,'ORDENES'!$AE$4:$AE$1203,$AE373,'ORDENES'!$O$4:$O$1203,$O373,'ORDENES'!$R$4:$R$1203,$R373))</f>
        <v/>
      </c>
      <c r="AH373" s="14">
        <f>IF($AG373="","",p_factor_productividad*IFERROR(INDEX('ASIGNACIONES'!$M$4:$M$451,MATCH($O373&amp;"|"&amp;$R373&amp;"|"&amp;$AE373,'ASIGNACIONES'!$N$4:$N$451,0)),0)-$AG373)</f>
        <v/>
      </c>
      <c r="AI373" s="11">
        <f>IF($A373="","",IFERROR(INDEX('2_IMPORTAR_EJECUCION'!$F$9:$F$1208,MATCH($AQ373,'2_IMPORTAR_EJECUCION'!$J$9:$J$1208,0)),0))</f>
        <v/>
      </c>
      <c r="AJ373" s="11">
        <f>IF($A373="","",MAX(0,IFERROR(INDEX('2_IMPORTAR_EJECUCION'!$H$9:$H$1208,MATCH($AQ373,'2_IMPORTAR_EJECUCION'!$J$9:$J$1208,0)),0)-$AI373))</f>
        <v/>
      </c>
      <c r="AK373" s="11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IF($H374="","",IFERROR(INDEX('CAT_ACTIVIDADES'!$B$4:$B$8,MATCH($H374,'CAT_ACTIVIDADES'!$A$4:$A$8,0)),"(sin catálogo)"))</f>
        <v/>
      </c>
      <c r="AA374" s="13">
        <f>IF($J374="","",TODAY()-$J374)</f>
        <v/>
      </c>
      <c r="AB374" s="13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IF($AE374="","",IF((IFERROR(INDEX('ASIGNACIONES'!$J$4:$J$451,MATCH($O374&amp;"|"&amp;$R374&amp;"|"&amp;$AE374,'ASIGNACIONES'!$N$4:$N$451,0)),""))=0,"",IFERROR(INDEX('ASIGNACIONES'!$J$4:$J$451,MATCH($O374&amp;"|"&amp;$R374&amp;"|"&amp;$AE374,'ASIGNACIONES'!$N$4:$N$451,0)),"")))</f>
        <v/>
      </c>
      <c r="AG374" s="14">
        <f>IF($AE374="","",SUMIFS('ORDENES'!$M$4:$M$1203,'ORDENES'!$AE$4:$AE$1203,$AE374,'ORDENES'!$O$4:$O$1203,$O374,'ORDENES'!$R$4:$R$1203,$R374))</f>
        <v/>
      </c>
      <c r="AH374" s="14">
        <f>IF($AG374="","",p_factor_productividad*IFERROR(INDEX('ASIGNACIONES'!$M$4:$M$451,MATCH($O374&amp;"|"&amp;$R374&amp;"|"&amp;$AE374,'ASIGNACIONES'!$N$4:$N$451,0)),0)-$AG374)</f>
        <v/>
      </c>
      <c r="AI374" s="11">
        <f>IF($A374="","",IFERROR(INDEX('2_IMPORTAR_EJECUCION'!$F$9:$F$1208,MATCH($AQ374,'2_IMPORTAR_EJECUCION'!$J$9:$J$1208,0)),0))</f>
        <v/>
      </c>
      <c r="AJ374" s="11">
        <f>IF($A374="","",MAX(0,IFERROR(INDEX('2_IMPORTAR_EJECUCION'!$H$9:$H$1208,MATCH($AQ374,'2_IMPORTAR_EJECUCION'!$J$9:$J$1208,0)),0)-$AI374))</f>
        <v/>
      </c>
      <c r="AK374" s="11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IF($H375="","",IFERROR(INDEX('CAT_ACTIVIDADES'!$B$4:$B$8,MATCH($H375,'CAT_ACTIVIDADES'!$A$4:$A$8,0)),"(sin catálogo)"))</f>
        <v/>
      </c>
      <c r="AA375" s="13">
        <f>IF($J375="","",TODAY()-$J375)</f>
        <v/>
      </c>
      <c r="AB375" s="13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IF($AE375="","",IF((IFERROR(INDEX('ASIGNACIONES'!$J$4:$J$451,MATCH($O375&amp;"|"&amp;$R375&amp;"|"&amp;$AE375,'ASIGNACIONES'!$N$4:$N$451,0)),""))=0,"",IFERROR(INDEX('ASIGNACIONES'!$J$4:$J$451,MATCH($O375&amp;"|"&amp;$R375&amp;"|"&amp;$AE375,'ASIGNACIONES'!$N$4:$N$451,0)),"")))</f>
        <v/>
      </c>
      <c r="AG375" s="14">
        <f>IF($AE375="","",SUMIFS('ORDENES'!$M$4:$M$1203,'ORDENES'!$AE$4:$AE$1203,$AE375,'ORDENES'!$O$4:$O$1203,$O375,'ORDENES'!$R$4:$R$1203,$R375))</f>
        <v/>
      </c>
      <c r="AH375" s="14">
        <f>IF($AG375="","",p_factor_productividad*IFERROR(INDEX('ASIGNACIONES'!$M$4:$M$451,MATCH($O375&amp;"|"&amp;$R375&amp;"|"&amp;$AE375,'ASIGNACIONES'!$N$4:$N$451,0)),0)-$AG375)</f>
        <v/>
      </c>
      <c r="AI375" s="11">
        <f>IF($A375="","",IFERROR(INDEX('2_IMPORTAR_EJECUCION'!$F$9:$F$1208,MATCH($AQ375,'2_IMPORTAR_EJECUCION'!$J$9:$J$1208,0)),0))</f>
        <v/>
      </c>
      <c r="AJ375" s="11">
        <f>IF($A375="","",MAX(0,IFERROR(INDEX('2_IMPORTAR_EJECUCION'!$H$9:$H$1208,MATCH($AQ375,'2_IMPORTAR_EJECUCION'!$J$9:$J$1208,0)),0)-$AI375))</f>
        <v/>
      </c>
      <c r="AK375" s="11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IF($H376="","",IFERROR(INDEX('CAT_ACTIVIDADES'!$B$4:$B$8,MATCH($H376,'CAT_ACTIVIDADES'!$A$4:$A$8,0)),"(sin catálogo)"))</f>
        <v/>
      </c>
      <c r="AA376" s="13">
        <f>IF($J376="","",TODAY()-$J376)</f>
        <v/>
      </c>
      <c r="AB376" s="13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IF($AE376="","",IF((IFERROR(INDEX('ASIGNACIONES'!$J$4:$J$451,MATCH($O376&amp;"|"&amp;$R376&amp;"|"&amp;$AE376,'ASIGNACIONES'!$N$4:$N$451,0)),""))=0,"",IFERROR(INDEX('ASIGNACIONES'!$J$4:$J$451,MATCH($O376&amp;"|"&amp;$R376&amp;"|"&amp;$AE376,'ASIGNACIONES'!$N$4:$N$451,0)),"")))</f>
        <v/>
      </c>
      <c r="AG376" s="14">
        <f>IF($AE376="","",SUMIFS('ORDENES'!$M$4:$M$1203,'ORDENES'!$AE$4:$AE$1203,$AE376,'ORDENES'!$O$4:$O$1203,$O376,'ORDENES'!$R$4:$R$1203,$R376))</f>
        <v/>
      </c>
      <c r="AH376" s="14">
        <f>IF($AG376="","",p_factor_productividad*IFERROR(INDEX('ASIGNACIONES'!$M$4:$M$451,MATCH($O376&amp;"|"&amp;$R376&amp;"|"&amp;$AE376,'ASIGNACIONES'!$N$4:$N$451,0)),0)-$AG376)</f>
        <v/>
      </c>
      <c r="AI376" s="11">
        <f>IF($A376="","",IFERROR(INDEX('2_IMPORTAR_EJECUCION'!$F$9:$F$1208,MATCH($AQ376,'2_IMPORTAR_EJECUCION'!$J$9:$J$1208,0)),0))</f>
        <v/>
      </c>
      <c r="AJ376" s="11">
        <f>IF($A376="","",MAX(0,IFERROR(INDEX('2_IMPORTAR_EJECUCION'!$H$9:$H$1208,MATCH($AQ376,'2_IMPORTAR_EJECUCION'!$J$9:$J$1208,0)),0)-$AI376))</f>
        <v/>
      </c>
      <c r="AK376" s="11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IF($H377="","",IFERROR(INDEX('CAT_ACTIVIDADES'!$B$4:$B$8,MATCH($H377,'CAT_ACTIVIDADES'!$A$4:$A$8,0)),"(sin catálogo)"))</f>
        <v/>
      </c>
      <c r="AA377" s="13">
        <f>IF($J377="","",TODAY()-$J377)</f>
        <v/>
      </c>
      <c r="AB377" s="13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IF($AE377="","",IF((IFERROR(INDEX('ASIGNACIONES'!$J$4:$J$451,MATCH($O377&amp;"|"&amp;$R377&amp;"|"&amp;$AE377,'ASIGNACIONES'!$N$4:$N$451,0)),""))=0,"",IFERROR(INDEX('ASIGNACIONES'!$J$4:$J$451,MATCH($O377&amp;"|"&amp;$R377&amp;"|"&amp;$AE377,'ASIGNACIONES'!$N$4:$N$451,0)),"")))</f>
        <v/>
      </c>
      <c r="AG377" s="14">
        <f>IF($AE377="","",SUMIFS('ORDENES'!$M$4:$M$1203,'ORDENES'!$AE$4:$AE$1203,$AE377,'ORDENES'!$O$4:$O$1203,$O377,'ORDENES'!$R$4:$R$1203,$R377))</f>
        <v/>
      </c>
      <c r="AH377" s="14">
        <f>IF($AG377="","",p_factor_productividad*IFERROR(INDEX('ASIGNACIONES'!$M$4:$M$451,MATCH($O377&amp;"|"&amp;$R377&amp;"|"&amp;$AE377,'ASIGNACIONES'!$N$4:$N$451,0)),0)-$AG377)</f>
        <v/>
      </c>
      <c r="AI377" s="11">
        <f>IF($A377="","",IFERROR(INDEX('2_IMPORTAR_EJECUCION'!$F$9:$F$1208,MATCH($AQ377,'2_IMPORTAR_EJECUCION'!$J$9:$J$1208,0)),0))</f>
        <v/>
      </c>
      <c r="AJ377" s="11">
        <f>IF($A377="","",MAX(0,IFERROR(INDEX('2_IMPORTAR_EJECUCION'!$H$9:$H$1208,MATCH($AQ377,'2_IMPORTAR_EJECUCION'!$J$9:$J$1208,0)),0)-$AI377))</f>
        <v/>
      </c>
      <c r="AK377" s="11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IF($H378="","",IFERROR(INDEX('CAT_ACTIVIDADES'!$B$4:$B$8,MATCH($H378,'CAT_ACTIVIDADES'!$A$4:$A$8,0)),"(sin catálogo)"))</f>
        <v/>
      </c>
      <c r="AA378" s="13">
        <f>IF($J378="","",TODAY()-$J378)</f>
        <v/>
      </c>
      <c r="AB378" s="13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IF($AE378="","",IF((IFERROR(INDEX('ASIGNACIONES'!$J$4:$J$451,MATCH($O378&amp;"|"&amp;$R378&amp;"|"&amp;$AE378,'ASIGNACIONES'!$N$4:$N$451,0)),""))=0,"",IFERROR(INDEX('ASIGNACIONES'!$J$4:$J$451,MATCH($O378&amp;"|"&amp;$R378&amp;"|"&amp;$AE378,'ASIGNACIONES'!$N$4:$N$451,0)),"")))</f>
        <v/>
      </c>
      <c r="AG378" s="14">
        <f>IF($AE378="","",SUMIFS('ORDENES'!$M$4:$M$1203,'ORDENES'!$AE$4:$AE$1203,$AE378,'ORDENES'!$O$4:$O$1203,$O378,'ORDENES'!$R$4:$R$1203,$R378))</f>
        <v/>
      </c>
      <c r="AH378" s="14">
        <f>IF($AG378="","",p_factor_productividad*IFERROR(INDEX('ASIGNACIONES'!$M$4:$M$451,MATCH($O378&amp;"|"&amp;$R378&amp;"|"&amp;$AE378,'ASIGNACIONES'!$N$4:$N$451,0)),0)-$AG378)</f>
        <v/>
      </c>
      <c r="AI378" s="11">
        <f>IF($A378="","",IFERROR(INDEX('2_IMPORTAR_EJECUCION'!$F$9:$F$1208,MATCH($AQ378,'2_IMPORTAR_EJECUCION'!$J$9:$J$1208,0)),0))</f>
        <v/>
      </c>
      <c r="AJ378" s="11">
        <f>IF($A378="","",MAX(0,IFERROR(INDEX('2_IMPORTAR_EJECUCION'!$H$9:$H$1208,MATCH($AQ378,'2_IMPORTAR_EJECUCION'!$J$9:$J$1208,0)),0)-$AI378))</f>
        <v/>
      </c>
      <c r="AK378" s="11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IF($H379="","",IFERROR(INDEX('CAT_ACTIVIDADES'!$B$4:$B$8,MATCH($H379,'CAT_ACTIVIDADES'!$A$4:$A$8,0)),"(sin catálogo)"))</f>
        <v/>
      </c>
      <c r="AA379" s="13">
        <f>IF($J379="","",TODAY()-$J379)</f>
        <v/>
      </c>
      <c r="AB379" s="13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IF($AE379="","",IF((IFERROR(INDEX('ASIGNACIONES'!$J$4:$J$451,MATCH($O379&amp;"|"&amp;$R379&amp;"|"&amp;$AE379,'ASIGNACIONES'!$N$4:$N$451,0)),""))=0,"",IFERROR(INDEX('ASIGNACIONES'!$J$4:$J$451,MATCH($O379&amp;"|"&amp;$R379&amp;"|"&amp;$AE379,'ASIGNACIONES'!$N$4:$N$451,0)),"")))</f>
        <v/>
      </c>
      <c r="AG379" s="14">
        <f>IF($AE379="","",SUMIFS('ORDENES'!$M$4:$M$1203,'ORDENES'!$AE$4:$AE$1203,$AE379,'ORDENES'!$O$4:$O$1203,$O379,'ORDENES'!$R$4:$R$1203,$R379))</f>
        <v/>
      </c>
      <c r="AH379" s="14">
        <f>IF($AG379="","",p_factor_productividad*IFERROR(INDEX('ASIGNACIONES'!$M$4:$M$451,MATCH($O379&amp;"|"&amp;$R379&amp;"|"&amp;$AE379,'ASIGNACIONES'!$N$4:$N$451,0)),0)-$AG379)</f>
        <v/>
      </c>
      <c r="AI379" s="11">
        <f>IF($A379="","",IFERROR(INDEX('2_IMPORTAR_EJECUCION'!$F$9:$F$1208,MATCH($AQ379,'2_IMPORTAR_EJECUCION'!$J$9:$J$1208,0)),0))</f>
        <v/>
      </c>
      <c r="AJ379" s="11">
        <f>IF($A379="","",MAX(0,IFERROR(INDEX('2_IMPORTAR_EJECUCION'!$H$9:$H$1208,MATCH($AQ379,'2_IMPORTAR_EJECUCION'!$J$9:$J$1208,0)),0)-$AI379))</f>
        <v/>
      </c>
      <c r="AK379" s="11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IF($H380="","",IFERROR(INDEX('CAT_ACTIVIDADES'!$B$4:$B$8,MATCH($H380,'CAT_ACTIVIDADES'!$A$4:$A$8,0)),"(sin catálogo)"))</f>
        <v/>
      </c>
      <c r="AA380" s="13">
        <f>IF($J380="","",TODAY()-$J380)</f>
        <v/>
      </c>
      <c r="AB380" s="13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IF($AE380="","",IF((IFERROR(INDEX('ASIGNACIONES'!$J$4:$J$451,MATCH($O380&amp;"|"&amp;$R380&amp;"|"&amp;$AE380,'ASIGNACIONES'!$N$4:$N$451,0)),""))=0,"",IFERROR(INDEX('ASIGNACIONES'!$J$4:$J$451,MATCH($O380&amp;"|"&amp;$R380&amp;"|"&amp;$AE380,'ASIGNACIONES'!$N$4:$N$451,0)),"")))</f>
        <v/>
      </c>
      <c r="AG380" s="14">
        <f>IF($AE380="","",SUMIFS('ORDENES'!$M$4:$M$1203,'ORDENES'!$AE$4:$AE$1203,$AE380,'ORDENES'!$O$4:$O$1203,$O380,'ORDENES'!$R$4:$R$1203,$R380))</f>
        <v/>
      </c>
      <c r="AH380" s="14">
        <f>IF($AG380="","",p_factor_productividad*IFERROR(INDEX('ASIGNACIONES'!$M$4:$M$451,MATCH($O380&amp;"|"&amp;$R380&amp;"|"&amp;$AE380,'ASIGNACIONES'!$N$4:$N$451,0)),0)-$AG380)</f>
        <v/>
      </c>
      <c r="AI380" s="11">
        <f>IF($A380="","",IFERROR(INDEX('2_IMPORTAR_EJECUCION'!$F$9:$F$1208,MATCH($AQ380,'2_IMPORTAR_EJECUCION'!$J$9:$J$1208,0)),0))</f>
        <v/>
      </c>
      <c r="AJ380" s="11">
        <f>IF($A380="","",MAX(0,IFERROR(INDEX('2_IMPORTAR_EJECUCION'!$H$9:$H$1208,MATCH($AQ380,'2_IMPORTAR_EJECUCION'!$J$9:$J$1208,0)),0)-$AI380))</f>
        <v/>
      </c>
      <c r="AK380" s="11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IF($H381="","",IFERROR(INDEX('CAT_ACTIVIDADES'!$B$4:$B$8,MATCH($H381,'CAT_ACTIVIDADES'!$A$4:$A$8,0)),"(sin catálogo)"))</f>
        <v/>
      </c>
      <c r="AA381" s="13">
        <f>IF($J381="","",TODAY()-$J381)</f>
        <v/>
      </c>
      <c r="AB381" s="13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IF($AE381="","",IF((IFERROR(INDEX('ASIGNACIONES'!$J$4:$J$451,MATCH($O381&amp;"|"&amp;$R381&amp;"|"&amp;$AE381,'ASIGNACIONES'!$N$4:$N$451,0)),""))=0,"",IFERROR(INDEX('ASIGNACIONES'!$J$4:$J$451,MATCH($O381&amp;"|"&amp;$R381&amp;"|"&amp;$AE381,'ASIGNACIONES'!$N$4:$N$451,0)),"")))</f>
        <v/>
      </c>
      <c r="AG381" s="14">
        <f>IF($AE381="","",SUMIFS('ORDENES'!$M$4:$M$1203,'ORDENES'!$AE$4:$AE$1203,$AE381,'ORDENES'!$O$4:$O$1203,$O381,'ORDENES'!$R$4:$R$1203,$R381))</f>
        <v/>
      </c>
      <c r="AH381" s="14">
        <f>IF($AG381="","",p_factor_productividad*IFERROR(INDEX('ASIGNACIONES'!$M$4:$M$451,MATCH($O381&amp;"|"&amp;$R381&amp;"|"&amp;$AE381,'ASIGNACIONES'!$N$4:$N$451,0)),0)-$AG381)</f>
        <v/>
      </c>
      <c r="AI381" s="11">
        <f>IF($A381="","",IFERROR(INDEX('2_IMPORTAR_EJECUCION'!$F$9:$F$1208,MATCH($AQ381,'2_IMPORTAR_EJECUCION'!$J$9:$J$1208,0)),0))</f>
        <v/>
      </c>
      <c r="AJ381" s="11">
        <f>IF($A381="","",MAX(0,IFERROR(INDEX('2_IMPORTAR_EJECUCION'!$H$9:$H$1208,MATCH($AQ381,'2_IMPORTAR_EJECUCION'!$J$9:$J$1208,0)),0)-$AI381))</f>
        <v/>
      </c>
      <c r="AK381" s="11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IF($H382="","",IFERROR(INDEX('CAT_ACTIVIDADES'!$B$4:$B$8,MATCH($H382,'CAT_ACTIVIDADES'!$A$4:$A$8,0)),"(sin catálogo)"))</f>
        <v/>
      </c>
      <c r="AA382" s="13">
        <f>IF($J382="","",TODAY()-$J382)</f>
        <v/>
      </c>
      <c r="AB382" s="13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IF($AE382="","",IF((IFERROR(INDEX('ASIGNACIONES'!$J$4:$J$451,MATCH($O382&amp;"|"&amp;$R382&amp;"|"&amp;$AE382,'ASIGNACIONES'!$N$4:$N$451,0)),""))=0,"",IFERROR(INDEX('ASIGNACIONES'!$J$4:$J$451,MATCH($O382&amp;"|"&amp;$R382&amp;"|"&amp;$AE382,'ASIGNACIONES'!$N$4:$N$451,0)),"")))</f>
        <v/>
      </c>
      <c r="AG382" s="14">
        <f>IF($AE382="","",SUMIFS('ORDENES'!$M$4:$M$1203,'ORDENES'!$AE$4:$AE$1203,$AE382,'ORDENES'!$O$4:$O$1203,$O382,'ORDENES'!$R$4:$R$1203,$R382))</f>
        <v/>
      </c>
      <c r="AH382" s="14">
        <f>IF($AG382="","",p_factor_productividad*IFERROR(INDEX('ASIGNACIONES'!$M$4:$M$451,MATCH($O382&amp;"|"&amp;$R382&amp;"|"&amp;$AE382,'ASIGNACIONES'!$N$4:$N$451,0)),0)-$AG382)</f>
        <v/>
      </c>
      <c r="AI382" s="11">
        <f>IF($A382="","",IFERROR(INDEX('2_IMPORTAR_EJECUCION'!$F$9:$F$1208,MATCH($AQ382,'2_IMPORTAR_EJECUCION'!$J$9:$J$1208,0)),0))</f>
        <v/>
      </c>
      <c r="AJ382" s="11">
        <f>IF($A382="","",MAX(0,IFERROR(INDEX('2_IMPORTAR_EJECUCION'!$H$9:$H$1208,MATCH($AQ382,'2_IMPORTAR_EJECUCION'!$J$9:$J$1208,0)),0)-$AI382))</f>
        <v/>
      </c>
      <c r="AK382" s="11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IF($H383="","",IFERROR(INDEX('CAT_ACTIVIDADES'!$B$4:$B$8,MATCH($H383,'CAT_ACTIVIDADES'!$A$4:$A$8,0)),"(sin catálogo)"))</f>
        <v/>
      </c>
      <c r="AA383" s="13">
        <f>IF($J383="","",TODAY()-$J383)</f>
        <v/>
      </c>
      <c r="AB383" s="13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IF($AE383="","",IF((IFERROR(INDEX('ASIGNACIONES'!$J$4:$J$451,MATCH($O383&amp;"|"&amp;$R383&amp;"|"&amp;$AE383,'ASIGNACIONES'!$N$4:$N$451,0)),""))=0,"",IFERROR(INDEX('ASIGNACIONES'!$J$4:$J$451,MATCH($O383&amp;"|"&amp;$R383&amp;"|"&amp;$AE383,'ASIGNACIONES'!$N$4:$N$451,0)),"")))</f>
        <v/>
      </c>
      <c r="AG383" s="14">
        <f>IF($AE383="","",SUMIFS('ORDENES'!$M$4:$M$1203,'ORDENES'!$AE$4:$AE$1203,$AE383,'ORDENES'!$O$4:$O$1203,$O383,'ORDENES'!$R$4:$R$1203,$R383))</f>
        <v/>
      </c>
      <c r="AH383" s="14">
        <f>IF($AG383="","",p_factor_productividad*IFERROR(INDEX('ASIGNACIONES'!$M$4:$M$451,MATCH($O383&amp;"|"&amp;$R383&amp;"|"&amp;$AE383,'ASIGNACIONES'!$N$4:$N$451,0)),0)-$AG383)</f>
        <v/>
      </c>
      <c r="AI383" s="11">
        <f>IF($A383="","",IFERROR(INDEX('2_IMPORTAR_EJECUCION'!$F$9:$F$1208,MATCH($AQ383,'2_IMPORTAR_EJECUCION'!$J$9:$J$1208,0)),0))</f>
        <v/>
      </c>
      <c r="AJ383" s="11">
        <f>IF($A383="","",MAX(0,IFERROR(INDEX('2_IMPORTAR_EJECUCION'!$H$9:$H$1208,MATCH($AQ383,'2_IMPORTAR_EJECUCION'!$J$9:$J$1208,0)),0)-$AI383))</f>
        <v/>
      </c>
      <c r="AK383" s="11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IF($H384="","",IFERROR(INDEX('CAT_ACTIVIDADES'!$B$4:$B$8,MATCH($H384,'CAT_ACTIVIDADES'!$A$4:$A$8,0)),"(sin catálogo)"))</f>
        <v/>
      </c>
      <c r="AA384" s="13">
        <f>IF($J384="","",TODAY()-$J384)</f>
        <v/>
      </c>
      <c r="AB384" s="13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IF($AE384="","",IF((IFERROR(INDEX('ASIGNACIONES'!$J$4:$J$451,MATCH($O384&amp;"|"&amp;$R384&amp;"|"&amp;$AE384,'ASIGNACIONES'!$N$4:$N$451,0)),""))=0,"",IFERROR(INDEX('ASIGNACIONES'!$J$4:$J$451,MATCH($O384&amp;"|"&amp;$R384&amp;"|"&amp;$AE384,'ASIGNACIONES'!$N$4:$N$451,0)),"")))</f>
        <v/>
      </c>
      <c r="AG384" s="14">
        <f>IF($AE384="","",SUMIFS('ORDENES'!$M$4:$M$1203,'ORDENES'!$AE$4:$AE$1203,$AE384,'ORDENES'!$O$4:$O$1203,$O384,'ORDENES'!$R$4:$R$1203,$R384))</f>
        <v/>
      </c>
      <c r="AH384" s="14">
        <f>IF($AG384="","",p_factor_productividad*IFERROR(INDEX('ASIGNACIONES'!$M$4:$M$451,MATCH($O384&amp;"|"&amp;$R384&amp;"|"&amp;$AE384,'ASIGNACIONES'!$N$4:$N$451,0)),0)-$AG384)</f>
        <v/>
      </c>
      <c r="AI384" s="11">
        <f>IF($A384="","",IFERROR(INDEX('2_IMPORTAR_EJECUCION'!$F$9:$F$1208,MATCH($AQ384,'2_IMPORTAR_EJECUCION'!$J$9:$J$1208,0)),0))</f>
        <v/>
      </c>
      <c r="AJ384" s="11">
        <f>IF($A384="","",MAX(0,IFERROR(INDEX('2_IMPORTAR_EJECUCION'!$H$9:$H$1208,MATCH($AQ384,'2_IMPORTAR_EJECUCION'!$J$9:$J$1208,0)),0)-$AI384))</f>
        <v/>
      </c>
      <c r="AK384" s="11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IF($H385="","",IFERROR(INDEX('CAT_ACTIVIDADES'!$B$4:$B$8,MATCH($H385,'CAT_ACTIVIDADES'!$A$4:$A$8,0)),"(sin catálogo)"))</f>
        <v/>
      </c>
      <c r="AA385" s="13">
        <f>IF($J385="","",TODAY()-$J385)</f>
        <v/>
      </c>
      <c r="AB385" s="13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IF($AE385="","",IF((IFERROR(INDEX('ASIGNACIONES'!$J$4:$J$451,MATCH($O385&amp;"|"&amp;$R385&amp;"|"&amp;$AE385,'ASIGNACIONES'!$N$4:$N$451,0)),""))=0,"",IFERROR(INDEX('ASIGNACIONES'!$J$4:$J$451,MATCH($O385&amp;"|"&amp;$R385&amp;"|"&amp;$AE385,'ASIGNACIONES'!$N$4:$N$451,0)),"")))</f>
        <v/>
      </c>
      <c r="AG385" s="14">
        <f>IF($AE385="","",SUMIFS('ORDENES'!$M$4:$M$1203,'ORDENES'!$AE$4:$AE$1203,$AE385,'ORDENES'!$O$4:$O$1203,$O385,'ORDENES'!$R$4:$R$1203,$R385))</f>
        <v/>
      </c>
      <c r="AH385" s="14">
        <f>IF($AG385="","",p_factor_productividad*IFERROR(INDEX('ASIGNACIONES'!$M$4:$M$451,MATCH($O385&amp;"|"&amp;$R385&amp;"|"&amp;$AE385,'ASIGNACIONES'!$N$4:$N$451,0)),0)-$AG385)</f>
        <v/>
      </c>
      <c r="AI385" s="11">
        <f>IF($A385="","",IFERROR(INDEX('2_IMPORTAR_EJECUCION'!$F$9:$F$1208,MATCH($AQ385,'2_IMPORTAR_EJECUCION'!$J$9:$J$1208,0)),0))</f>
        <v/>
      </c>
      <c r="AJ385" s="11">
        <f>IF($A385="","",MAX(0,IFERROR(INDEX('2_IMPORTAR_EJECUCION'!$H$9:$H$1208,MATCH($AQ385,'2_IMPORTAR_EJECUCION'!$J$9:$J$1208,0)),0)-$AI385))</f>
        <v/>
      </c>
      <c r="AK385" s="11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IF($H386="","",IFERROR(INDEX('CAT_ACTIVIDADES'!$B$4:$B$8,MATCH($H386,'CAT_ACTIVIDADES'!$A$4:$A$8,0)),"(sin catálogo)"))</f>
        <v/>
      </c>
      <c r="AA386" s="13">
        <f>IF($J386="","",TODAY()-$J386)</f>
        <v/>
      </c>
      <c r="AB386" s="13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IF($AE386="","",IF((IFERROR(INDEX('ASIGNACIONES'!$J$4:$J$451,MATCH($O386&amp;"|"&amp;$R386&amp;"|"&amp;$AE386,'ASIGNACIONES'!$N$4:$N$451,0)),""))=0,"",IFERROR(INDEX('ASIGNACIONES'!$J$4:$J$451,MATCH($O386&amp;"|"&amp;$R386&amp;"|"&amp;$AE386,'ASIGNACIONES'!$N$4:$N$451,0)),"")))</f>
        <v/>
      </c>
      <c r="AG386" s="14">
        <f>IF($AE386="","",SUMIFS('ORDENES'!$M$4:$M$1203,'ORDENES'!$AE$4:$AE$1203,$AE386,'ORDENES'!$O$4:$O$1203,$O386,'ORDENES'!$R$4:$R$1203,$R386))</f>
        <v/>
      </c>
      <c r="AH386" s="14">
        <f>IF($AG386="","",p_factor_productividad*IFERROR(INDEX('ASIGNACIONES'!$M$4:$M$451,MATCH($O386&amp;"|"&amp;$R386&amp;"|"&amp;$AE386,'ASIGNACIONES'!$N$4:$N$451,0)),0)-$AG386)</f>
        <v/>
      </c>
      <c r="AI386" s="11">
        <f>IF($A386="","",IFERROR(INDEX('2_IMPORTAR_EJECUCION'!$F$9:$F$1208,MATCH($AQ386,'2_IMPORTAR_EJECUCION'!$J$9:$J$1208,0)),0))</f>
        <v/>
      </c>
      <c r="AJ386" s="11">
        <f>IF($A386="","",MAX(0,IFERROR(INDEX('2_IMPORTAR_EJECUCION'!$H$9:$H$1208,MATCH($AQ386,'2_IMPORTAR_EJECUCION'!$J$9:$J$1208,0)),0)-$AI386))</f>
        <v/>
      </c>
      <c r="AK386" s="11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IF($H387="","",IFERROR(INDEX('CAT_ACTIVIDADES'!$B$4:$B$8,MATCH($H387,'CAT_ACTIVIDADES'!$A$4:$A$8,0)),"(sin catálogo)"))</f>
        <v/>
      </c>
      <c r="AA387" s="13">
        <f>IF($J387="","",TODAY()-$J387)</f>
        <v/>
      </c>
      <c r="AB387" s="13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IF($AE387="","",IF((IFERROR(INDEX('ASIGNACIONES'!$J$4:$J$451,MATCH($O387&amp;"|"&amp;$R387&amp;"|"&amp;$AE387,'ASIGNACIONES'!$N$4:$N$451,0)),""))=0,"",IFERROR(INDEX('ASIGNACIONES'!$J$4:$J$451,MATCH($O387&amp;"|"&amp;$R387&amp;"|"&amp;$AE387,'ASIGNACIONES'!$N$4:$N$451,0)),"")))</f>
        <v/>
      </c>
      <c r="AG387" s="14">
        <f>IF($AE387="","",SUMIFS('ORDENES'!$M$4:$M$1203,'ORDENES'!$AE$4:$AE$1203,$AE387,'ORDENES'!$O$4:$O$1203,$O387,'ORDENES'!$R$4:$R$1203,$R387))</f>
        <v/>
      </c>
      <c r="AH387" s="14">
        <f>IF($AG387="","",p_factor_productividad*IFERROR(INDEX('ASIGNACIONES'!$M$4:$M$451,MATCH($O387&amp;"|"&amp;$R387&amp;"|"&amp;$AE387,'ASIGNACIONES'!$N$4:$N$451,0)),0)-$AG387)</f>
        <v/>
      </c>
      <c r="AI387" s="11">
        <f>IF($A387="","",IFERROR(INDEX('2_IMPORTAR_EJECUCION'!$F$9:$F$1208,MATCH($AQ387,'2_IMPORTAR_EJECUCION'!$J$9:$J$1208,0)),0))</f>
        <v/>
      </c>
      <c r="AJ387" s="11">
        <f>IF($A387="","",MAX(0,IFERROR(INDEX('2_IMPORTAR_EJECUCION'!$H$9:$H$1208,MATCH($AQ387,'2_IMPORTAR_EJECUCION'!$J$9:$J$1208,0)),0)-$AI387))</f>
        <v/>
      </c>
      <c r="AK387" s="11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IF($H388="","",IFERROR(INDEX('CAT_ACTIVIDADES'!$B$4:$B$8,MATCH($H388,'CAT_ACTIVIDADES'!$A$4:$A$8,0)),"(sin catálogo)"))</f>
        <v/>
      </c>
      <c r="AA388" s="13">
        <f>IF($J388="","",TODAY()-$J388)</f>
        <v/>
      </c>
      <c r="AB388" s="13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IF($AE388="","",IF((IFERROR(INDEX('ASIGNACIONES'!$J$4:$J$451,MATCH($O388&amp;"|"&amp;$R388&amp;"|"&amp;$AE388,'ASIGNACIONES'!$N$4:$N$451,0)),""))=0,"",IFERROR(INDEX('ASIGNACIONES'!$J$4:$J$451,MATCH($O388&amp;"|"&amp;$R388&amp;"|"&amp;$AE388,'ASIGNACIONES'!$N$4:$N$451,0)),"")))</f>
        <v/>
      </c>
      <c r="AG388" s="14">
        <f>IF($AE388="","",SUMIFS('ORDENES'!$M$4:$M$1203,'ORDENES'!$AE$4:$AE$1203,$AE388,'ORDENES'!$O$4:$O$1203,$O388,'ORDENES'!$R$4:$R$1203,$R388))</f>
        <v/>
      </c>
      <c r="AH388" s="14">
        <f>IF($AG388="","",p_factor_productividad*IFERROR(INDEX('ASIGNACIONES'!$M$4:$M$451,MATCH($O388&amp;"|"&amp;$R388&amp;"|"&amp;$AE388,'ASIGNACIONES'!$N$4:$N$451,0)),0)-$AG388)</f>
        <v/>
      </c>
      <c r="AI388" s="11">
        <f>IF($A388="","",IFERROR(INDEX('2_IMPORTAR_EJECUCION'!$F$9:$F$1208,MATCH($AQ388,'2_IMPORTAR_EJECUCION'!$J$9:$J$1208,0)),0))</f>
        <v/>
      </c>
      <c r="AJ388" s="11">
        <f>IF($A388="","",MAX(0,IFERROR(INDEX('2_IMPORTAR_EJECUCION'!$H$9:$H$1208,MATCH($AQ388,'2_IMPORTAR_EJECUCION'!$J$9:$J$1208,0)),0)-$AI388))</f>
        <v/>
      </c>
      <c r="AK388" s="11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IF($H389="","",IFERROR(INDEX('CAT_ACTIVIDADES'!$B$4:$B$8,MATCH($H389,'CAT_ACTIVIDADES'!$A$4:$A$8,0)),"(sin catálogo)"))</f>
        <v/>
      </c>
      <c r="AA389" s="13">
        <f>IF($J389="","",TODAY()-$J389)</f>
        <v/>
      </c>
      <c r="AB389" s="13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IF($AE389="","",IF((IFERROR(INDEX('ASIGNACIONES'!$J$4:$J$451,MATCH($O389&amp;"|"&amp;$R389&amp;"|"&amp;$AE389,'ASIGNACIONES'!$N$4:$N$451,0)),""))=0,"",IFERROR(INDEX('ASIGNACIONES'!$J$4:$J$451,MATCH($O389&amp;"|"&amp;$R389&amp;"|"&amp;$AE389,'ASIGNACIONES'!$N$4:$N$451,0)),"")))</f>
        <v/>
      </c>
      <c r="AG389" s="14">
        <f>IF($AE389="","",SUMIFS('ORDENES'!$M$4:$M$1203,'ORDENES'!$AE$4:$AE$1203,$AE389,'ORDENES'!$O$4:$O$1203,$O389,'ORDENES'!$R$4:$R$1203,$R389))</f>
        <v/>
      </c>
      <c r="AH389" s="14">
        <f>IF($AG389="","",p_factor_productividad*IFERROR(INDEX('ASIGNACIONES'!$M$4:$M$451,MATCH($O389&amp;"|"&amp;$R389&amp;"|"&amp;$AE389,'ASIGNACIONES'!$N$4:$N$451,0)),0)-$AG389)</f>
        <v/>
      </c>
      <c r="AI389" s="11">
        <f>IF($A389="","",IFERROR(INDEX('2_IMPORTAR_EJECUCION'!$F$9:$F$1208,MATCH($AQ389,'2_IMPORTAR_EJECUCION'!$J$9:$J$1208,0)),0))</f>
        <v/>
      </c>
      <c r="AJ389" s="11">
        <f>IF($A389="","",MAX(0,IFERROR(INDEX('2_IMPORTAR_EJECUCION'!$H$9:$H$1208,MATCH($AQ389,'2_IMPORTAR_EJECUCION'!$J$9:$J$1208,0)),0)-$AI389))</f>
        <v/>
      </c>
      <c r="AK389" s="11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IF($H390="","",IFERROR(INDEX('CAT_ACTIVIDADES'!$B$4:$B$8,MATCH($H390,'CAT_ACTIVIDADES'!$A$4:$A$8,0)),"(sin catálogo)"))</f>
        <v/>
      </c>
      <c r="AA390" s="13">
        <f>IF($J390="","",TODAY()-$J390)</f>
        <v/>
      </c>
      <c r="AB390" s="13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IF($AE390="","",IF((IFERROR(INDEX('ASIGNACIONES'!$J$4:$J$451,MATCH($O390&amp;"|"&amp;$R390&amp;"|"&amp;$AE390,'ASIGNACIONES'!$N$4:$N$451,0)),""))=0,"",IFERROR(INDEX('ASIGNACIONES'!$J$4:$J$451,MATCH($O390&amp;"|"&amp;$R390&amp;"|"&amp;$AE390,'ASIGNACIONES'!$N$4:$N$451,0)),"")))</f>
        <v/>
      </c>
      <c r="AG390" s="14">
        <f>IF($AE390="","",SUMIFS('ORDENES'!$M$4:$M$1203,'ORDENES'!$AE$4:$AE$1203,$AE390,'ORDENES'!$O$4:$O$1203,$O390,'ORDENES'!$R$4:$R$1203,$R390))</f>
        <v/>
      </c>
      <c r="AH390" s="14">
        <f>IF($AG390="","",p_factor_productividad*IFERROR(INDEX('ASIGNACIONES'!$M$4:$M$451,MATCH($O390&amp;"|"&amp;$R390&amp;"|"&amp;$AE390,'ASIGNACIONES'!$N$4:$N$451,0)),0)-$AG390)</f>
        <v/>
      </c>
      <c r="AI390" s="11">
        <f>IF($A390="","",IFERROR(INDEX('2_IMPORTAR_EJECUCION'!$F$9:$F$1208,MATCH($AQ390,'2_IMPORTAR_EJECUCION'!$J$9:$J$1208,0)),0))</f>
        <v/>
      </c>
      <c r="AJ390" s="11">
        <f>IF($A390="","",MAX(0,IFERROR(INDEX('2_IMPORTAR_EJECUCION'!$H$9:$H$1208,MATCH($AQ390,'2_IMPORTAR_EJECUCION'!$J$9:$J$1208,0)),0)-$AI390))</f>
        <v/>
      </c>
      <c r="AK390" s="11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IF($H391="","",IFERROR(INDEX('CAT_ACTIVIDADES'!$B$4:$B$8,MATCH($H391,'CAT_ACTIVIDADES'!$A$4:$A$8,0)),"(sin catálogo)"))</f>
        <v/>
      </c>
      <c r="AA391" s="13">
        <f>IF($J391="","",TODAY()-$J391)</f>
        <v/>
      </c>
      <c r="AB391" s="13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IF($AE391="","",IF((IFERROR(INDEX('ASIGNACIONES'!$J$4:$J$451,MATCH($O391&amp;"|"&amp;$R391&amp;"|"&amp;$AE391,'ASIGNACIONES'!$N$4:$N$451,0)),""))=0,"",IFERROR(INDEX('ASIGNACIONES'!$J$4:$J$451,MATCH($O391&amp;"|"&amp;$R391&amp;"|"&amp;$AE391,'ASIGNACIONES'!$N$4:$N$451,0)),"")))</f>
        <v/>
      </c>
      <c r="AG391" s="14">
        <f>IF($AE391="","",SUMIFS('ORDENES'!$M$4:$M$1203,'ORDENES'!$AE$4:$AE$1203,$AE391,'ORDENES'!$O$4:$O$1203,$O391,'ORDENES'!$R$4:$R$1203,$R391))</f>
        <v/>
      </c>
      <c r="AH391" s="14">
        <f>IF($AG391="","",p_factor_productividad*IFERROR(INDEX('ASIGNACIONES'!$M$4:$M$451,MATCH($O391&amp;"|"&amp;$R391&amp;"|"&amp;$AE391,'ASIGNACIONES'!$N$4:$N$451,0)),0)-$AG391)</f>
        <v/>
      </c>
      <c r="AI391" s="11">
        <f>IF($A391="","",IFERROR(INDEX('2_IMPORTAR_EJECUCION'!$F$9:$F$1208,MATCH($AQ391,'2_IMPORTAR_EJECUCION'!$J$9:$J$1208,0)),0))</f>
        <v/>
      </c>
      <c r="AJ391" s="11">
        <f>IF($A391="","",MAX(0,IFERROR(INDEX('2_IMPORTAR_EJECUCION'!$H$9:$H$1208,MATCH($AQ391,'2_IMPORTAR_EJECUCION'!$J$9:$J$1208,0)),0)-$AI391))</f>
        <v/>
      </c>
      <c r="AK391" s="11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IF($H392="","",IFERROR(INDEX('CAT_ACTIVIDADES'!$B$4:$B$8,MATCH($H392,'CAT_ACTIVIDADES'!$A$4:$A$8,0)),"(sin catálogo)"))</f>
        <v/>
      </c>
      <c r="AA392" s="13">
        <f>IF($J392="","",TODAY()-$J392)</f>
        <v/>
      </c>
      <c r="AB392" s="13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IF($AE392="","",IF((IFERROR(INDEX('ASIGNACIONES'!$J$4:$J$451,MATCH($O392&amp;"|"&amp;$R392&amp;"|"&amp;$AE392,'ASIGNACIONES'!$N$4:$N$451,0)),""))=0,"",IFERROR(INDEX('ASIGNACIONES'!$J$4:$J$451,MATCH($O392&amp;"|"&amp;$R392&amp;"|"&amp;$AE392,'ASIGNACIONES'!$N$4:$N$451,0)),"")))</f>
        <v/>
      </c>
      <c r="AG392" s="14">
        <f>IF($AE392="","",SUMIFS('ORDENES'!$M$4:$M$1203,'ORDENES'!$AE$4:$AE$1203,$AE392,'ORDENES'!$O$4:$O$1203,$O392,'ORDENES'!$R$4:$R$1203,$R392))</f>
        <v/>
      </c>
      <c r="AH392" s="14">
        <f>IF($AG392="","",p_factor_productividad*IFERROR(INDEX('ASIGNACIONES'!$M$4:$M$451,MATCH($O392&amp;"|"&amp;$R392&amp;"|"&amp;$AE392,'ASIGNACIONES'!$N$4:$N$451,0)),0)-$AG392)</f>
        <v/>
      </c>
      <c r="AI392" s="11">
        <f>IF($A392="","",IFERROR(INDEX('2_IMPORTAR_EJECUCION'!$F$9:$F$1208,MATCH($AQ392,'2_IMPORTAR_EJECUCION'!$J$9:$J$1208,0)),0))</f>
        <v/>
      </c>
      <c r="AJ392" s="11">
        <f>IF($A392="","",MAX(0,IFERROR(INDEX('2_IMPORTAR_EJECUCION'!$H$9:$H$1208,MATCH($AQ392,'2_IMPORTAR_EJECUCION'!$J$9:$J$1208,0)),0)-$AI392))</f>
        <v/>
      </c>
      <c r="AK392" s="11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IF($H393="","",IFERROR(INDEX('CAT_ACTIVIDADES'!$B$4:$B$8,MATCH($H393,'CAT_ACTIVIDADES'!$A$4:$A$8,0)),"(sin catálogo)"))</f>
        <v/>
      </c>
      <c r="AA393" s="13">
        <f>IF($J393="","",TODAY()-$J393)</f>
        <v/>
      </c>
      <c r="AB393" s="13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IF($AE393="","",IF((IFERROR(INDEX('ASIGNACIONES'!$J$4:$J$451,MATCH($O393&amp;"|"&amp;$R393&amp;"|"&amp;$AE393,'ASIGNACIONES'!$N$4:$N$451,0)),""))=0,"",IFERROR(INDEX('ASIGNACIONES'!$J$4:$J$451,MATCH($O393&amp;"|"&amp;$R393&amp;"|"&amp;$AE393,'ASIGNACIONES'!$N$4:$N$451,0)),"")))</f>
        <v/>
      </c>
      <c r="AG393" s="14">
        <f>IF($AE393="","",SUMIFS('ORDENES'!$M$4:$M$1203,'ORDENES'!$AE$4:$AE$1203,$AE393,'ORDENES'!$O$4:$O$1203,$O393,'ORDENES'!$R$4:$R$1203,$R393))</f>
        <v/>
      </c>
      <c r="AH393" s="14">
        <f>IF($AG393="","",p_factor_productividad*IFERROR(INDEX('ASIGNACIONES'!$M$4:$M$451,MATCH($O393&amp;"|"&amp;$R393&amp;"|"&amp;$AE393,'ASIGNACIONES'!$N$4:$N$451,0)),0)-$AG393)</f>
        <v/>
      </c>
      <c r="AI393" s="11">
        <f>IF($A393="","",IFERROR(INDEX('2_IMPORTAR_EJECUCION'!$F$9:$F$1208,MATCH($AQ393,'2_IMPORTAR_EJECUCION'!$J$9:$J$1208,0)),0))</f>
        <v/>
      </c>
      <c r="AJ393" s="11">
        <f>IF($A393="","",MAX(0,IFERROR(INDEX('2_IMPORTAR_EJECUCION'!$H$9:$H$1208,MATCH($AQ393,'2_IMPORTAR_EJECUCION'!$J$9:$J$1208,0)),0)-$AI393))</f>
        <v/>
      </c>
      <c r="AK393" s="11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IF($H394="","",IFERROR(INDEX('CAT_ACTIVIDADES'!$B$4:$B$8,MATCH($H394,'CAT_ACTIVIDADES'!$A$4:$A$8,0)),"(sin catálogo)"))</f>
        <v/>
      </c>
      <c r="AA394" s="13">
        <f>IF($J394="","",TODAY()-$J394)</f>
        <v/>
      </c>
      <c r="AB394" s="13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IF($AE394="","",IF((IFERROR(INDEX('ASIGNACIONES'!$J$4:$J$451,MATCH($O394&amp;"|"&amp;$R394&amp;"|"&amp;$AE394,'ASIGNACIONES'!$N$4:$N$451,0)),""))=0,"",IFERROR(INDEX('ASIGNACIONES'!$J$4:$J$451,MATCH($O394&amp;"|"&amp;$R394&amp;"|"&amp;$AE394,'ASIGNACIONES'!$N$4:$N$451,0)),"")))</f>
        <v/>
      </c>
      <c r="AG394" s="14">
        <f>IF($AE394="","",SUMIFS('ORDENES'!$M$4:$M$1203,'ORDENES'!$AE$4:$AE$1203,$AE394,'ORDENES'!$O$4:$O$1203,$O394,'ORDENES'!$R$4:$R$1203,$R394))</f>
        <v/>
      </c>
      <c r="AH394" s="14">
        <f>IF($AG394="","",p_factor_productividad*IFERROR(INDEX('ASIGNACIONES'!$M$4:$M$451,MATCH($O394&amp;"|"&amp;$R394&amp;"|"&amp;$AE394,'ASIGNACIONES'!$N$4:$N$451,0)),0)-$AG394)</f>
        <v/>
      </c>
      <c r="AI394" s="11">
        <f>IF($A394="","",IFERROR(INDEX('2_IMPORTAR_EJECUCION'!$F$9:$F$1208,MATCH($AQ394,'2_IMPORTAR_EJECUCION'!$J$9:$J$1208,0)),0))</f>
        <v/>
      </c>
      <c r="AJ394" s="11">
        <f>IF($A394="","",MAX(0,IFERROR(INDEX('2_IMPORTAR_EJECUCION'!$H$9:$H$1208,MATCH($AQ394,'2_IMPORTAR_EJECUCION'!$J$9:$J$1208,0)),0)-$AI394))</f>
        <v/>
      </c>
      <c r="AK394" s="11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IF($H395="","",IFERROR(INDEX('CAT_ACTIVIDADES'!$B$4:$B$8,MATCH($H395,'CAT_ACTIVIDADES'!$A$4:$A$8,0)),"(sin catálogo)"))</f>
        <v/>
      </c>
      <c r="AA395" s="13">
        <f>IF($J395="","",TODAY()-$J395)</f>
        <v/>
      </c>
      <c r="AB395" s="13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IF($AE395="","",IF((IFERROR(INDEX('ASIGNACIONES'!$J$4:$J$451,MATCH($O395&amp;"|"&amp;$R395&amp;"|"&amp;$AE395,'ASIGNACIONES'!$N$4:$N$451,0)),""))=0,"",IFERROR(INDEX('ASIGNACIONES'!$J$4:$J$451,MATCH($O395&amp;"|"&amp;$R395&amp;"|"&amp;$AE395,'ASIGNACIONES'!$N$4:$N$451,0)),"")))</f>
        <v/>
      </c>
      <c r="AG395" s="14">
        <f>IF($AE395="","",SUMIFS('ORDENES'!$M$4:$M$1203,'ORDENES'!$AE$4:$AE$1203,$AE395,'ORDENES'!$O$4:$O$1203,$O395,'ORDENES'!$R$4:$R$1203,$R395))</f>
        <v/>
      </c>
      <c r="AH395" s="14">
        <f>IF($AG395="","",p_factor_productividad*IFERROR(INDEX('ASIGNACIONES'!$M$4:$M$451,MATCH($O395&amp;"|"&amp;$R395&amp;"|"&amp;$AE395,'ASIGNACIONES'!$N$4:$N$451,0)),0)-$AG395)</f>
        <v/>
      </c>
      <c r="AI395" s="11">
        <f>IF($A395="","",IFERROR(INDEX('2_IMPORTAR_EJECUCION'!$F$9:$F$1208,MATCH($AQ395,'2_IMPORTAR_EJECUCION'!$J$9:$J$1208,0)),0))</f>
        <v/>
      </c>
      <c r="AJ395" s="11">
        <f>IF($A395="","",MAX(0,IFERROR(INDEX('2_IMPORTAR_EJECUCION'!$H$9:$H$1208,MATCH($AQ395,'2_IMPORTAR_EJECUCION'!$J$9:$J$1208,0)),0)-$AI395))</f>
        <v/>
      </c>
      <c r="AK395" s="11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IF($H396="","",IFERROR(INDEX('CAT_ACTIVIDADES'!$B$4:$B$8,MATCH($H396,'CAT_ACTIVIDADES'!$A$4:$A$8,0)),"(sin catálogo)"))</f>
        <v/>
      </c>
      <c r="AA396" s="13">
        <f>IF($J396="","",TODAY()-$J396)</f>
        <v/>
      </c>
      <c r="AB396" s="13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IF($AE396="","",IF((IFERROR(INDEX('ASIGNACIONES'!$J$4:$J$451,MATCH($O396&amp;"|"&amp;$R396&amp;"|"&amp;$AE396,'ASIGNACIONES'!$N$4:$N$451,0)),""))=0,"",IFERROR(INDEX('ASIGNACIONES'!$J$4:$J$451,MATCH($O396&amp;"|"&amp;$R396&amp;"|"&amp;$AE396,'ASIGNACIONES'!$N$4:$N$451,0)),"")))</f>
        <v/>
      </c>
      <c r="AG396" s="14">
        <f>IF($AE396="","",SUMIFS('ORDENES'!$M$4:$M$1203,'ORDENES'!$AE$4:$AE$1203,$AE396,'ORDENES'!$O$4:$O$1203,$O396,'ORDENES'!$R$4:$R$1203,$R396))</f>
        <v/>
      </c>
      <c r="AH396" s="14">
        <f>IF($AG396="","",p_factor_productividad*IFERROR(INDEX('ASIGNACIONES'!$M$4:$M$451,MATCH($O396&amp;"|"&amp;$R396&amp;"|"&amp;$AE396,'ASIGNACIONES'!$N$4:$N$451,0)),0)-$AG396)</f>
        <v/>
      </c>
      <c r="AI396" s="11">
        <f>IF($A396="","",IFERROR(INDEX('2_IMPORTAR_EJECUCION'!$F$9:$F$1208,MATCH($AQ396,'2_IMPORTAR_EJECUCION'!$J$9:$J$1208,0)),0))</f>
        <v/>
      </c>
      <c r="AJ396" s="11">
        <f>IF($A396="","",MAX(0,IFERROR(INDEX('2_IMPORTAR_EJECUCION'!$H$9:$H$1208,MATCH($AQ396,'2_IMPORTAR_EJECUCION'!$J$9:$J$1208,0)),0)-$AI396))</f>
        <v/>
      </c>
      <c r="AK396" s="11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IF($H397="","",IFERROR(INDEX('CAT_ACTIVIDADES'!$B$4:$B$8,MATCH($H397,'CAT_ACTIVIDADES'!$A$4:$A$8,0)),"(sin catálogo)"))</f>
        <v/>
      </c>
      <c r="AA397" s="13">
        <f>IF($J397="","",TODAY()-$J397)</f>
        <v/>
      </c>
      <c r="AB397" s="13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IF($AE397="","",IF((IFERROR(INDEX('ASIGNACIONES'!$J$4:$J$451,MATCH($O397&amp;"|"&amp;$R397&amp;"|"&amp;$AE397,'ASIGNACIONES'!$N$4:$N$451,0)),""))=0,"",IFERROR(INDEX('ASIGNACIONES'!$J$4:$J$451,MATCH($O397&amp;"|"&amp;$R397&amp;"|"&amp;$AE397,'ASIGNACIONES'!$N$4:$N$451,0)),"")))</f>
        <v/>
      </c>
      <c r="AG397" s="14">
        <f>IF($AE397="","",SUMIFS('ORDENES'!$M$4:$M$1203,'ORDENES'!$AE$4:$AE$1203,$AE397,'ORDENES'!$O$4:$O$1203,$O397,'ORDENES'!$R$4:$R$1203,$R397))</f>
        <v/>
      </c>
      <c r="AH397" s="14">
        <f>IF($AG397="","",p_factor_productividad*IFERROR(INDEX('ASIGNACIONES'!$M$4:$M$451,MATCH($O397&amp;"|"&amp;$R397&amp;"|"&amp;$AE397,'ASIGNACIONES'!$N$4:$N$451,0)),0)-$AG397)</f>
        <v/>
      </c>
      <c r="AI397" s="11">
        <f>IF($A397="","",IFERROR(INDEX('2_IMPORTAR_EJECUCION'!$F$9:$F$1208,MATCH($AQ397,'2_IMPORTAR_EJECUCION'!$J$9:$J$1208,0)),0))</f>
        <v/>
      </c>
      <c r="AJ397" s="11">
        <f>IF($A397="","",MAX(0,IFERROR(INDEX('2_IMPORTAR_EJECUCION'!$H$9:$H$1208,MATCH($AQ397,'2_IMPORTAR_EJECUCION'!$J$9:$J$1208,0)),0)-$AI397))</f>
        <v/>
      </c>
      <c r="AK397" s="11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IF($H398="","",IFERROR(INDEX('CAT_ACTIVIDADES'!$B$4:$B$8,MATCH($H398,'CAT_ACTIVIDADES'!$A$4:$A$8,0)),"(sin catálogo)"))</f>
        <v/>
      </c>
      <c r="AA398" s="13">
        <f>IF($J398="","",TODAY()-$J398)</f>
        <v/>
      </c>
      <c r="AB398" s="13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IF($AE398="","",IF((IFERROR(INDEX('ASIGNACIONES'!$J$4:$J$451,MATCH($O398&amp;"|"&amp;$R398&amp;"|"&amp;$AE398,'ASIGNACIONES'!$N$4:$N$451,0)),""))=0,"",IFERROR(INDEX('ASIGNACIONES'!$J$4:$J$451,MATCH($O398&amp;"|"&amp;$R398&amp;"|"&amp;$AE398,'ASIGNACIONES'!$N$4:$N$451,0)),"")))</f>
        <v/>
      </c>
      <c r="AG398" s="14">
        <f>IF($AE398="","",SUMIFS('ORDENES'!$M$4:$M$1203,'ORDENES'!$AE$4:$AE$1203,$AE398,'ORDENES'!$O$4:$O$1203,$O398,'ORDENES'!$R$4:$R$1203,$R398))</f>
        <v/>
      </c>
      <c r="AH398" s="14">
        <f>IF($AG398="","",p_factor_productividad*IFERROR(INDEX('ASIGNACIONES'!$M$4:$M$451,MATCH($O398&amp;"|"&amp;$R398&amp;"|"&amp;$AE398,'ASIGNACIONES'!$N$4:$N$451,0)),0)-$AG398)</f>
        <v/>
      </c>
      <c r="AI398" s="11">
        <f>IF($A398="","",IFERROR(INDEX('2_IMPORTAR_EJECUCION'!$F$9:$F$1208,MATCH($AQ398,'2_IMPORTAR_EJECUCION'!$J$9:$J$1208,0)),0))</f>
        <v/>
      </c>
      <c r="AJ398" s="11">
        <f>IF($A398="","",MAX(0,IFERROR(INDEX('2_IMPORTAR_EJECUCION'!$H$9:$H$1208,MATCH($AQ398,'2_IMPORTAR_EJECUCION'!$J$9:$J$1208,0)),0)-$AI398))</f>
        <v/>
      </c>
      <c r="AK398" s="11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IF($H399="","",IFERROR(INDEX('CAT_ACTIVIDADES'!$B$4:$B$8,MATCH($H399,'CAT_ACTIVIDADES'!$A$4:$A$8,0)),"(sin catálogo)"))</f>
        <v/>
      </c>
      <c r="AA399" s="13">
        <f>IF($J399="","",TODAY()-$J399)</f>
        <v/>
      </c>
      <c r="AB399" s="13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IF($AE399="","",IF((IFERROR(INDEX('ASIGNACIONES'!$J$4:$J$451,MATCH($O399&amp;"|"&amp;$R399&amp;"|"&amp;$AE399,'ASIGNACIONES'!$N$4:$N$451,0)),""))=0,"",IFERROR(INDEX('ASIGNACIONES'!$J$4:$J$451,MATCH($O399&amp;"|"&amp;$R399&amp;"|"&amp;$AE399,'ASIGNACIONES'!$N$4:$N$451,0)),"")))</f>
        <v/>
      </c>
      <c r="AG399" s="14">
        <f>IF($AE399="","",SUMIFS('ORDENES'!$M$4:$M$1203,'ORDENES'!$AE$4:$AE$1203,$AE399,'ORDENES'!$O$4:$O$1203,$O399,'ORDENES'!$R$4:$R$1203,$R399))</f>
        <v/>
      </c>
      <c r="AH399" s="14">
        <f>IF($AG399="","",p_factor_productividad*IFERROR(INDEX('ASIGNACIONES'!$M$4:$M$451,MATCH($O399&amp;"|"&amp;$R399&amp;"|"&amp;$AE399,'ASIGNACIONES'!$N$4:$N$451,0)),0)-$AG399)</f>
        <v/>
      </c>
      <c r="AI399" s="11">
        <f>IF($A399="","",IFERROR(INDEX('2_IMPORTAR_EJECUCION'!$F$9:$F$1208,MATCH($AQ399,'2_IMPORTAR_EJECUCION'!$J$9:$J$1208,0)),0))</f>
        <v/>
      </c>
      <c r="AJ399" s="11">
        <f>IF($A399="","",MAX(0,IFERROR(INDEX('2_IMPORTAR_EJECUCION'!$H$9:$H$1208,MATCH($AQ399,'2_IMPORTAR_EJECUCION'!$J$9:$J$1208,0)),0)-$AI399))</f>
        <v/>
      </c>
      <c r="AK399" s="11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IF($H400="","",IFERROR(INDEX('CAT_ACTIVIDADES'!$B$4:$B$8,MATCH($H400,'CAT_ACTIVIDADES'!$A$4:$A$8,0)),"(sin catálogo)"))</f>
        <v/>
      </c>
      <c r="AA400" s="13">
        <f>IF($J400="","",TODAY()-$J400)</f>
        <v/>
      </c>
      <c r="AB400" s="13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IF($AE400="","",IF((IFERROR(INDEX('ASIGNACIONES'!$J$4:$J$451,MATCH($O400&amp;"|"&amp;$R400&amp;"|"&amp;$AE400,'ASIGNACIONES'!$N$4:$N$451,0)),""))=0,"",IFERROR(INDEX('ASIGNACIONES'!$J$4:$J$451,MATCH($O400&amp;"|"&amp;$R400&amp;"|"&amp;$AE400,'ASIGNACIONES'!$N$4:$N$451,0)),"")))</f>
        <v/>
      </c>
      <c r="AG400" s="14">
        <f>IF($AE400="","",SUMIFS('ORDENES'!$M$4:$M$1203,'ORDENES'!$AE$4:$AE$1203,$AE400,'ORDENES'!$O$4:$O$1203,$O400,'ORDENES'!$R$4:$R$1203,$R400))</f>
        <v/>
      </c>
      <c r="AH400" s="14">
        <f>IF($AG400="","",p_factor_productividad*IFERROR(INDEX('ASIGNACIONES'!$M$4:$M$451,MATCH($O400&amp;"|"&amp;$R400&amp;"|"&amp;$AE400,'ASIGNACIONES'!$N$4:$N$451,0)),0)-$AG400)</f>
        <v/>
      </c>
      <c r="AI400" s="11">
        <f>IF($A400="","",IFERROR(INDEX('2_IMPORTAR_EJECUCION'!$F$9:$F$1208,MATCH($AQ400,'2_IMPORTAR_EJECUCION'!$J$9:$J$1208,0)),0))</f>
        <v/>
      </c>
      <c r="AJ400" s="11">
        <f>IF($A400="","",MAX(0,IFERROR(INDEX('2_IMPORTAR_EJECUCION'!$H$9:$H$1208,MATCH($AQ400,'2_IMPORTAR_EJECUCION'!$J$9:$J$1208,0)),0)-$AI400))</f>
        <v/>
      </c>
      <c r="AK400" s="11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IF($H401="","",IFERROR(INDEX('CAT_ACTIVIDADES'!$B$4:$B$8,MATCH($H401,'CAT_ACTIVIDADES'!$A$4:$A$8,0)),"(sin catálogo)"))</f>
        <v/>
      </c>
      <c r="AA401" s="13">
        <f>IF($J401="","",TODAY()-$J401)</f>
        <v/>
      </c>
      <c r="AB401" s="13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IF($AE401="","",IF((IFERROR(INDEX('ASIGNACIONES'!$J$4:$J$451,MATCH($O401&amp;"|"&amp;$R401&amp;"|"&amp;$AE401,'ASIGNACIONES'!$N$4:$N$451,0)),""))=0,"",IFERROR(INDEX('ASIGNACIONES'!$J$4:$J$451,MATCH($O401&amp;"|"&amp;$R401&amp;"|"&amp;$AE401,'ASIGNACIONES'!$N$4:$N$451,0)),"")))</f>
        <v/>
      </c>
      <c r="AG401" s="14">
        <f>IF($AE401="","",SUMIFS('ORDENES'!$M$4:$M$1203,'ORDENES'!$AE$4:$AE$1203,$AE401,'ORDENES'!$O$4:$O$1203,$O401,'ORDENES'!$R$4:$R$1203,$R401))</f>
        <v/>
      </c>
      <c r="AH401" s="14">
        <f>IF($AG401="","",p_factor_productividad*IFERROR(INDEX('ASIGNACIONES'!$M$4:$M$451,MATCH($O401&amp;"|"&amp;$R401&amp;"|"&amp;$AE401,'ASIGNACIONES'!$N$4:$N$451,0)),0)-$AG401)</f>
        <v/>
      </c>
      <c r="AI401" s="11">
        <f>IF($A401="","",IFERROR(INDEX('2_IMPORTAR_EJECUCION'!$F$9:$F$1208,MATCH($AQ401,'2_IMPORTAR_EJECUCION'!$J$9:$J$1208,0)),0))</f>
        <v/>
      </c>
      <c r="AJ401" s="11">
        <f>IF($A401="","",MAX(0,IFERROR(INDEX('2_IMPORTAR_EJECUCION'!$H$9:$H$1208,MATCH($AQ401,'2_IMPORTAR_EJECUCION'!$J$9:$J$1208,0)),0)-$AI401))</f>
        <v/>
      </c>
      <c r="AK401" s="11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IF($H402="","",IFERROR(INDEX('CAT_ACTIVIDADES'!$B$4:$B$8,MATCH($H402,'CAT_ACTIVIDADES'!$A$4:$A$8,0)),"(sin catálogo)"))</f>
        <v/>
      </c>
      <c r="AA402" s="13">
        <f>IF($J402="","",TODAY()-$J402)</f>
        <v/>
      </c>
      <c r="AB402" s="13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IF($AE402="","",IF((IFERROR(INDEX('ASIGNACIONES'!$J$4:$J$451,MATCH($O402&amp;"|"&amp;$R402&amp;"|"&amp;$AE402,'ASIGNACIONES'!$N$4:$N$451,0)),""))=0,"",IFERROR(INDEX('ASIGNACIONES'!$J$4:$J$451,MATCH($O402&amp;"|"&amp;$R402&amp;"|"&amp;$AE402,'ASIGNACIONES'!$N$4:$N$451,0)),"")))</f>
        <v/>
      </c>
      <c r="AG402" s="14">
        <f>IF($AE402="","",SUMIFS('ORDENES'!$M$4:$M$1203,'ORDENES'!$AE$4:$AE$1203,$AE402,'ORDENES'!$O$4:$O$1203,$O402,'ORDENES'!$R$4:$R$1203,$R402))</f>
        <v/>
      </c>
      <c r="AH402" s="14">
        <f>IF($AG402="","",p_factor_productividad*IFERROR(INDEX('ASIGNACIONES'!$M$4:$M$451,MATCH($O402&amp;"|"&amp;$R402&amp;"|"&amp;$AE402,'ASIGNACIONES'!$N$4:$N$451,0)),0)-$AG402)</f>
        <v/>
      </c>
      <c r="AI402" s="11">
        <f>IF($A402="","",IFERROR(INDEX('2_IMPORTAR_EJECUCION'!$F$9:$F$1208,MATCH($AQ402,'2_IMPORTAR_EJECUCION'!$J$9:$J$1208,0)),0))</f>
        <v/>
      </c>
      <c r="AJ402" s="11">
        <f>IF($A402="","",MAX(0,IFERROR(INDEX('2_IMPORTAR_EJECUCION'!$H$9:$H$1208,MATCH($AQ402,'2_IMPORTAR_EJECUCION'!$J$9:$J$1208,0)),0)-$AI402))</f>
        <v/>
      </c>
      <c r="AK402" s="11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IF($H403="","",IFERROR(INDEX('CAT_ACTIVIDADES'!$B$4:$B$8,MATCH($H403,'CAT_ACTIVIDADES'!$A$4:$A$8,0)),"(sin catálogo)"))</f>
        <v/>
      </c>
      <c r="AA403" s="13">
        <f>IF($J403="","",TODAY()-$J403)</f>
        <v/>
      </c>
      <c r="AB403" s="13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IF($AE403="","",IF((IFERROR(INDEX('ASIGNACIONES'!$J$4:$J$451,MATCH($O403&amp;"|"&amp;$R403&amp;"|"&amp;$AE403,'ASIGNACIONES'!$N$4:$N$451,0)),""))=0,"",IFERROR(INDEX('ASIGNACIONES'!$J$4:$J$451,MATCH($O403&amp;"|"&amp;$R403&amp;"|"&amp;$AE403,'ASIGNACIONES'!$N$4:$N$451,0)),"")))</f>
        <v/>
      </c>
      <c r="AG403" s="14">
        <f>IF($AE403="","",SUMIFS('ORDENES'!$M$4:$M$1203,'ORDENES'!$AE$4:$AE$1203,$AE403,'ORDENES'!$O$4:$O$1203,$O403,'ORDENES'!$R$4:$R$1203,$R403))</f>
        <v/>
      </c>
      <c r="AH403" s="14">
        <f>IF($AG403="","",p_factor_productividad*IFERROR(INDEX('ASIGNACIONES'!$M$4:$M$451,MATCH($O403&amp;"|"&amp;$R403&amp;"|"&amp;$AE403,'ASIGNACIONES'!$N$4:$N$451,0)),0)-$AG403)</f>
        <v/>
      </c>
      <c r="AI403" s="11">
        <f>IF($A403="","",IFERROR(INDEX('2_IMPORTAR_EJECUCION'!$F$9:$F$1208,MATCH($AQ403,'2_IMPORTAR_EJECUCION'!$J$9:$J$1208,0)),0))</f>
        <v/>
      </c>
      <c r="AJ403" s="11">
        <f>IF($A403="","",MAX(0,IFERROR(INDEX('2_IMPORTAR_EJECUCION'!$H$9:$H$1208,MATCH($AQ403,'2_IMPORTAR_EJECUCION'!$J$9:$J$1208,0)),0)-$AI403))</f>
        <v/>
      </c>
      <c r="AK403" s="11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IF($H404="","",IFERROR(INDEX('CAT_ACTIVIDADES'!$B$4:$B$8,MATCH($H404,'CAT_ACTIVIDADES'!$A$4:$A$8,0)),"(sin catálogo)"))</f>
        <v/>
      </c>
      <c r="AA404" s="13">
        <f>IF($J404="","",TODAY()-$J404)</f>
        <v/>
      </c>
      <c r="AB404" s="13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IF($AE404="","",IF((IFERROR(INDEX('ASIGNACIONES'!$J$4:$J$451,MATCH($O404&amp;"|"&amp;$R404&amp;"|"&amp;$AE404,'ASIGNACIONES'!$N$4:$N$451,0)),""))=0,"",IFERROR(INDEX('ASIGNACIONES'!$J$4:$J$451,MATCH($O404&amp;"|"&amp;$R404&amp;"|"&amp;$AE404,'ASIGNACIONES'!$N$4:$N$451,0)),"")))</f>
        <v/>
      </c>
      <c r="AG404" s="14">
        <f>IF($AE404="","",SUMIFS('ORDENES'!$M$4:$M$1203,'ORDENES'!$AE$4:$AE$1203,$AE404,'ORDENES'!$O$4:$O$1203,$O404,'ORDENES'!$R$4:$R$1203,$R404))</f>
        <v/>
      </c>
      <c r="AH404" s="14">
        <f>IF($AG404="","",p_factor_productividad*IFERROR(INDEX('ASIGNACIONES'!$M$4:$M$451,MATCH($O404&amp;"|"&amp;$R404&amp;"|"&amp;$AE404,'ASIGNACIONES'!$N$4:$N$451,0)),0)-$AG404)</f>
        <v/>
      </c>
      <c r="AI404" s="11">
        <f>IF($A404="","",IFERROR(INDEX('2_IMPORTAR_EJECUCION'!$F$9:$F$1208,MATCH($AQ404,'2_IMPORTAR_EJECUCION'!$J$9:$J$1208,0)),0))</f>
        <v/>
      </c>
      <c r="AJ404" s="11">
        <f>IF($A404="","",MAX(0,IFERROR(INDEX('2_IMPORTAR_EJECUCION'!$H$9:$H$1208,MATCH($AQ404,'2_IMPORTAR_EJECUCION'!$J$9:$J$1208,0)),0)-$AI404))</f>
        <v/>
      </c>
      <c r="AK404" s="11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IF($H405="","",IFERROR(INDEX('CAT_ACTIVIDADES'!$B$4:$B$8,MATCH($H405,'CAT_ACTIVIDADES'!$A$4:$A$8,0)),"(sin catálogo)"))</f>
        <v/>
      </c>
      <c r="AA405" s="13">
        <f>IF($J405="","",TODAY()-$J405)</f>
        <v/>
      </c>
      <c r="AB405" s="13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IF($AE405="","",IF((IFERROR(INDEX('ASIGNACIONES'!$J$4:$J$451,MATCH($O405&amp;"|"&amp;$R405&amp;"|"&amp;$AE405,'ASIGNACIONES'!$N$4:$N$451,0)),""))=0,"",IFERROR(INDEX('ASIGNACIONES'!$J$4:$J$451,MATCH($O405&amp;"|"&amp;$R405&amp;"|"&amp;$AE405,'ASIGNACIONES'!$N$4:$N$451,0)),"")))</f>
        <v/>
      </c>
      <c r="AG405" s="14">
        <f>IF($AE405="","",SUMIFS('ORDENES'!$M$4:$M$1203,'ORDENES'!$AE$4:$AE$1203,$AE405,'ORDENES'!$O$4:$O$1203,$O405,'ORDENES'!$R$4:$R$1203,$R405))</f>
        <v/>
      </c>
      <c r="AH405" s="14">
        <f>IF($AG405="","",p_factor_productividad*IFERROR(INDEX('ASIGNACIONES'!$M$4:$M$451,MATCH($O405&amp;"|"&amp;$R405&amp;"|"&amp;$AE405,'ASIGNACIONES'!$N$4:$N$451,0)),0)-$AG405)</f>
        <v/>
      </c>
      <c r="AI405" s="11">
        <f>IF($A405="","",IFERROR(INDEX('2_IMPORTAR_EJECUCION'!$F$9:$F$1208,MATCH($AQ405,'2_IMPORTAR_EJECUCION'!$J$9:$J$1208,0)),0))</f>
        <v/>
      </c>
      <c r="AJ405" s="11">
        <f>IF($A405="","",MAX(0,IFERROR(INDEX('2_IMPORTAR_EJECUCION'!$H$9:$H$1208,MATCH($AQ405,'2_IMPORTAR_EJECUCION'!$J$9:$J$1208,0)),0)-$AI405))</f>
        <v/>
      </c>
      <c r="AK405" s="11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IF($H406="","",IFERROR(INDEX('CAT_ACTIVIDADES'!$B$4:$B$8,MATCH($H406,'CAT_ACTIVIDADES'!$A$4:$A$8,0)),"(sin catálogo)"))</f>
        <v/>
      </c>
      <c r="AA406" s="13">
        <f>IF($J406="","",TODAY()-$J406)</f>
        <v/>
      </c>
      <c r="AB406" s="13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IF($AE406="","",IF((IFERROR(INDEX('ASIGNACIONES'!$J$4:$J$451,MATCH($O406&amp;"|"&amp;$R406&amp;"|"&amp;$AE406,'ASIGNACIONES'!$N$4:$N$451,0)),""))=0,"",IFERROR(INDEX('ASIGNACIONES'!$J$4:$J$451,MATCH($O406&amp;"|"&amp;$R406&amp;"|"&amp;$AE406,'ASIGNACIONES'!$N$4:$N$451,0)),"")))</f>
        <v/>
      </c>
      <c r="AG406" s="14">
        <f>IF($AE406="","",SUMIFS('ORDENES'!$M$4:$M$1203,'ORDENES'!$AE$4:$AE$1203,$AE406,'ORDENES'!$O$4:$O$1203,$O406,'ORDENES'!$R$4:$R$1203,$R406))</f>
        <v/>
      </c>
      <c r="AH406" s="14">
        <f>IF($AG406="","",p_factor_productividad*IFERROR(INDEX('ASIGNACIONES'!$M$4:$M$451,MATCH($O406&amp;"|"&amp;$R406&amp;"|"&amp;$AE406,'ASIGNACIONES'!$N$4:$N$451,0)),0)-$AG406)</f>
        <v/>
      </c>
      <c r="AI406" s="11">
        <f>IF($A406="","",IFERROR(INDEX('2_IMPORTAR_EJECUCION'!$F$9:$F$1208,MATCH($AQ406,'2_IMPORTAR_EJECUCION'!$J$9:$J$1208,0)),0))</f>
        <v/>
      </c>
      <c r="AJ406" s="11">
        <f>IF($A406="","",MAX(0,IFERROR(INDEX('2_IMPORTAR_EJECUCION'!$H$9:$H$1208,MATCH($AQ406,'2_IMPORTAR_EJECUCION'!$J$9:$J$1208,0)),0)-$AI406))</f>
        <v/>
      </c>
      <c r="AK406" s="11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IF($H407="","",IFERROR(INDEX('CAT_ACTIVIDADES'!$B$4:$B$8,MATCH($H407,'CAT_ACTIVIDADES'!$A$4:$A$8,0)),"(sin catálogo)"))</f>
        <v/>
      </c>
      <c r="AA407" s="13">
        <f>IF($J407="","",TODAY()-$J407)</f>
        <v/>
      </c>
      <c r="AB407" s="13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IF($AE407="","",IF((IFERROR(INDEX('ASIGNACIONES'!$J$4:$J$451,MATCH($O407&amp;"|"&amp;$R407&amp;"|"&amp;$AE407,'ASIGNACIONES'!$N$4:$N$451,0)),""))=0,"",IFERROR(INDEX('ASIGNACIONES'!$J$4:$J$451,MATCH($O407&amp;"|"&amp;$R407&amp;"|"&amp;$AE407,'ASIGNACIONES'!$N$4:$N$451,0)),"")))</f>
        <v/>
      </c>
      <c r="AG407" s="14">
        <f>IF($AE407="","",SUMIFS('ORDENES'!$M$4:$M$1203,'ORDENES'!$AE$4:$AE$1203,$AE407,'ORDENES'!$O$4:$O$1203,$O407,'ORDENES'!$R$4:$R$1203,$R407))</f>
        <v/>
      </c>
      <c r="AH407" s="14">
        <f>IF($AG407="","",p_factor_productividad*IFERROR(INDEX('ASIGNACIONES'!$M$4:$M$451,MATCH($O407&amp;"|"&amp;$R407&amp;"|"&amp;$AE407,'ASIGNACIONES'!$N$4:$N$451,0)),0)-$AG407)</f>
        <v/>
      </c>
      <c r="AI407" s="11">
        <f>IF($A407="","",IFERROR(INDEX('2_IMPORTAR_EJECUCION'!$F$9:$F$1208,MATCH($AQ407,'2_IMPORTAR_EJECUCION'!$J$9:$J$1208,0)),0))</f>
        <v/>
      </c>
      <c r="AJ407" s="11">
        <f>IF($A407="","",MAX(0,IFERROR(INDEX('2_IMPORTAR_EJECUCION'!$H$9:$H$1208,MATCH($AQ407,'2_IMPORTAR_EJECUCION'!$J$9:$J$1208,0)),0)-$AI407))</f>
        <v/>
      </c>
      <c r="AK407" s="11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IF($H408="","",IFERROR(INDEX('CAT_ACTIVIDADES'!$B$4:$B$8,MATCH($H408,'CAT_ACTIVIDADES'!$A$4:$A$8,0)),"(sin catálogo)"))</f>
        <v/>
      </c>
      <c r="AA408" s="13">
        <f>IF($J408="","",TODAY()-$J408)</f>
        <v/>
      </c>
      <c r="AB408" s="13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IF($AE408="","",IF((IFERROR(INDEX('ASIGNACIONES'!$J$4:$J$451,MATCH($O408&amp;"|"&amp;$R408&amp;"|"&amp;$AE408,'ASIGNACIONES'!$N$4:$N$451,0)),""))=0,"",IFERROR(INDEX('ASIGNACIONES'!$J$4:$J$451,MATCH($O408&amp;"|"&amp;$R408&amp;"|"&amp;$AE408,'ASIGNACIONES'!$N$4:$N$451,0)),"")))</f>
        <v/>
      </c>
      <c r="AG408" s="14">
        <f>IF($AE408="","",SUMIFS('ORDENES'!$M$4:$M$1203,'ORDENES'!$AE$4:$AE$1203,$AE408,'ORDENES'!$O$4:$O$1203,$O408,'ORDENES'!$R$4:$R$1203,$R408))</f>
        <v/>
      </c>
      <c r="AH408" s="14">
        <f>IF($AG408="","",p_factor_productividad*IFERROR(INDEX('ASIGNACIONES'!$M$4:$M$451,MATCH($O408&amp;"|"&amp;$R408&amp;"|"&amp;$AE408,'ASIGNACIONES'!$N$4:$N$451,0)),0)-$AG408)</f>
        <v/>
      </c>
      <c r="AI408" s="11">
        <f>IF($A408="","",IFERROR(INDEX('2_IMPORTAR_EJECUCION'!$F$9:$F$1208,MATCH($AQ408,'2_IMPORTAR_EJECUCION'!$J$9:$J$1208,0)),0))</f>
        <v/>
      </c>
      <c r="AJ408" s="11">
        <f>IF($A408="","",MAX(0,IFERROR(INDEX('2_IMPORTAR_EJECUCION'!$H$9:$H$1208,MATCH($AQ408,'2_IMPORTAR_EJECUCION'!$J$9:$J$1208,0)),0)-$AI408))</f>
        <v/>
      </c>
      <c r="AK408" s="11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IF($H409="","",IFERROR(INDEX('CAT_ACTIVIDADES'!$B$4:$B$8,MATCH($H409,'CAT_ACTIVIDADES'!$A$4:$A$8,0)),"(sin catálogo)"))</f>
        <v/>
      </c>
      <c r="AA409" s="13">
        <f>IF($J409="","",TODAY()-$J409)</f>
        <v/>
      </c>
      <c r="AB409" s="13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IF($AE409="","",IF((IFERROR(INDEX('ASIGNACIONES'!$J$4:$J$451,MATCH($O409&amp;"|"&amp;$R409&amp;"|"&amp;$AE409,'ASIGNACIONES'!$N$4:$N$451,0)),""))=0,"",IFERROR(INDEX('ASIGNACIONES'!$J$4:$J$451,MATCH($O409&amp;"|"&amp;$R409&amp;"|"&amp;$AE409,'ASIGNACIONES'!$N$4:$N$451,0)),"")))</f>
        <v/>
      </c>
      <c r="AG409" s="14">
        <f>IF($AE409="","",SUMIFS('ORDENES'!$M$4:$M$1203,'ORDENES'!$AE$4:$AE$1203,$AE409,'ORDENES'!$O$4:$O$1203,$O409,'ORDENES'!$R$4:$R$1203,$R409))</f>
        <v/>
      </c>
      <c r="AH409" s="14">
        <f>IF($AG409="","",p_factor_productividad*IFERROR(INDEX('ASIGNACIONES'!$M$4:$M$451,MATCH($O409&amp;"|"&amp;$R409&amp;"|"&amp;$AE409,'ASIGNACIONES'!$N$4:$N$451,0)),0)-$AG409)</f>
        <v/>
      </c>
      <c r="AI409" s="11">
        <f>IF($A409="","",IFERROR(INDEX('2_IMPORTAR_EJECUCION'!$F$9:$F$1208,MATCH($AQ409,'2_IMPORTAR_EJECUCION'!$J$9:$J$1208,0)),0))</f>
        <v/>
      </c>
      <c r="AJ409" s="11">
        <f>IF($A409="","",MAX(0,IFERROR(INDEX('2_IMPORTAR_EJECUCION'!$H$9:$H$1208,MATCH($AQ409,'2_IMPORTAR_EJECUCION'!$J$9:$J$1208,0)),0)-$AI409))</f>
        <v/>
      </c>
      <c r="AK409" s="11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IF($H410="","",IFERROR(INDEX('CAT_ACTIVIDADES'!$B$4:$B$8,MATCH($H410,'CAT_ACTIVIDADES'!$A$4:$A$8,0)),"(sin catálogo)"))</f>
        <v/>
      </c>
      <c r="AA410" s="13">
        <f>IF($J410="","",TODAY()-$J410)</f>
        <v/>
      </c>
      <c r="AB410" s="13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IF($AE410="","",IF((IFERROR(INDEX('ASIGNACIONES'!$J$4:$J$451,MATCH($O410&amp;"|"&amp;$R410&amp;"|"&amp;$AE410,'ASIGNACIONES'!$N$4:$N$451,0)),""))=0,"",IFERROR(INDEX('ASIGNACIONES'!$J$4:$J$451,MATCH($O410&amp;"|"&amp;$R410&amp;"|"&amp;$AE410,'ASIGNACIONES'!$N$4:$N$451,0)),"")))</f>
        <v/>
      </c>
      <c r="AG410" s="14">
        <f>IF($AE410="","",SUMIFS('ORDENES'!$M$4:$M$1203,'ORDENES'!$AE$4:$AE$1203,$AE410,'ORDENES'!$O$4:$O$1203,$O410,'ORDENES'!$R$4:$R$1203,$R410))</f>
        <v/>
      </c>
      <c r="AH410" s="14">
        <f>IF($AG410="","",p_factor_productividad*IFERROR(INDEX('ASIGNACIONES'!$M$4:$M$451,MATCH($O410&amp;"|"&amp;$R410&amp;"|"&amp;$AE410,'ASIGNACIONES'!$N$4:$N$451,0)),0)-$AG410)</f>
        <v/>
      </c>
      <c r="AI410" s="11">
        <f>IF($A410="","",IFERROR(INDEX('2_IMPORTAR_EJECUCION'!$F$9:$F$1208,MATCH($AQ410,'2_IMPORTAR_EJECUCION'!$J$9:$J$1208,0)),0))</f>
        <v/>
      </c>
      <c r="AJ410" s="11">
        <f>IF($A410="","",MAX(0,IFERROR(INDEX('2_IMPORTAR_EJECUCION'!$H$9:$H$1208,MATCH($AQ410,'2_IMPORTAR_EJECUCION'!$J$9:$J$1208,0)),0)-$AI410))</f>
        <v/>
      </c>
      <c r="AK410" s="11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IF($H411="","",IFERROR(INDEX('CAT_ACTIVIDADES'!$B$4:$B$8,MATCH($H411,'CAT_ACTIVIDADES'!$A$4:$A$8,0)),"(sin catálogo)"))</f>
        <v/>
      </c>
      <c r="AA411" s="13">
        <f>IF($J411="","",TODAY()-$J411)</f>
        <v/>
      </c>
      <c r="AB411" s="13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IF($AE411="","",IF((IFERROR(INDEX('ASIGNACIONES'!$J$4:$J$451,MATCH($O411&amp;"|"&amp;$R411&amp;"|"&amp;$AE411,'ASIGNACIONES'!$N$4:$N$451,0)),""))=0,"",IFERROR(INDEX('ASIGNACIONES'!$J$4:$J$451,MATCH($O411&amp;"|"&amp;$R411&amp;"|"&amp;$AE411,'ASIGNACIONES'!$N$4:$N$451,0)),"")))</f>
        <v/>
      </c>
      <c r="AG411" s="14">
        <f>IF($AE411="","",SUMIFS('ORDENES'!$M$4:$M$1203,'ORDENES'!$AE$4:$AE$1203,$AE411,'ORDENES'!$O$4:$O$1203,$O411,'ORDENES'!$R$4:$R$1203,$R411))</f>
        <v/>
      </c>
      <c r="AH411" s="14">
        <f>IF($AG411="","",p_factor_productividad*IFERROR(INDEX('ASIGNACIONES'!$M$4:$M$451,MATCH($O411&amp;"|"&amp;$R411&amp;"|"&amp;$AE411,'ASIGNACIONES'!$N$4:$N$451,0)),0)-$AG411)</f>
        <v/>
      </c>
      <c r="AI411" s="11">
        <f>IF($A411="","",IFERROR(INDEX('2_IMPORTAR_EJECUCION'!$F$9:$F$1208,MATCH($AQ411,'2_IMPORTAR_EJECUCION'!$J$9:$J$1208,0)),0))</f>
        <v/>
      </c>
      <c r="AJ411" s="11">
        <f>IF($A411="","",MAX(0,IFERROR(INDEX('2_IMPORTAR_EJECUCION'!$H$9:$H$1208,MATCH($AQ411,'2_IMPORTAR_EJECUCION'!$J$9:$J$1208,0)),0)-$AI411))</f>
        <v/>
      </c>
      <c r="AK411" s="11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IF($H412="","",IFERROR(INDEX('CAT_ACTIVIDADES'!$B$4:$B$8,MATCH($H412,'CAT_ACTIVIDADES'!$A$4:$A$8,0)),"(sin catálogo)"))</f>
        <v/>
      </c>
      <c r="AA412" s="13">
        <f>IF($J412="","",TODAY()-$J412)</f>
        <v/>
      </c>
      <c r="AB412" s="13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IF($AE412="","",IF((IFERROR(INDEX('ASIGNACIONES'!$J$4:$J$451,MATCH($O412&amp;"|"&amp;$R412&amp;"|"&amp;$AE412,'ASIGNACIONES'!$N$4:$N$451,0)),""))=0,"",IFERROR(INDEX('ASIGNACIONES'!$J$4:$J$451,MATCH($O412&amp;"|"&amp;$R412&amp;"|"&amp;$AE412,'ASIGNACIONES'!$N$4:$N$451,0)),"")))</f>
        <v/>
      </c>
      <c r="AG412" s="14">
        <f>IF($AE412="","",SUMIFS('ORDENES'!$M$4:$M$1203,'ORDENES'!$AE$4:$AE$1203,$AE412,'ORDENES'!$O$4:$O$1203,$O412,'ORDENES'!$R$4:$R$1203,$R412))</f>
        <v/>
      </c>
      <c r="AH412" s="14">
        <f>IF($AG412="","",p_factor_productividad*IFERROR(INDEX('ASIGNACIONES'!$M$4:$M$451,MATCH($O412&amp;"|"&amp;$R412&amp;"|"&amp;$AE412,'ASIGNACIONES'!$N$4:$N$451,0)),0)-$AG412)</f>
        <v/>
      </c>
      <c r="AI412" s="11">
        <f>IF($A412="","",IFERROR(INDEX('2_IMPORTAR_EJECUCION'!$F$9:$F$1208,MATCH($AQ412,'2_IMPORTAR_EJECUCION'!$J$9:$J$1208,0)),0))</f>
        <v/>
      </c>
      <c r="AJ412" s="11">
        <f>IF($A412="","",MAX(0,IFERROR(INDEX('2_IMPORTAR_EJECUCION'!$H$9:$H$1208,MATCH($AQ412,'2_IMPORTAR_EJECUCION'!$J$9:$J$1208,0)),0)-$AI412))</f>
        <v/>
      </c>
      <c r="AK412" s="11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IF($H413="","",IFERROR(INDEX('CAT_ACTIVIDADES'!$B$4:$B$8,MATCH($H413,'CAT_ACTIVIDADES'!$A$4:$A$8,0)),"(sin catálogo)"))</f>
        <v/>
      </c>
      <c r="AA413" s="13">
        <f>IF($J413="","",TODAY()-$J413)</f>
        <v/>
      </c>
      <c r="AB413" s="13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IF($AE413="","",IF((IFERROR(INDEX('ASIGNACIONES'!$J$4:$J$451,MATCH($O413&amp;"|"&amp;$R413&amp;"|"&amp;$AE413,'ASIGNACIONES'!$N$4:$N$451,0)),""))=0,"",IFERROR(INDEX('ASIGNACIONES'!$J$4:$J$451,MATCH($O413&amp;"|"&amp;$R413&amp;"|"&amp;$AE413,'ASIGNACIONES'!$N$4:$N$451,0)),"")))</f>
        <v/>
      </c>
      <c r="AG413" s="14">
        <f>IF($AE413="","",SUMIFS('ORDENES'!$M$4:$M$1203,'ORDENES'!$AE$4:$AE$1203,$AE413,'ORDENES'!$O$4:$O$1203,$O413,'ORDENES'!$R$4:$R$1203,$R413))</f>
        <v/>
      </c>
      <c r="AH413" s="14">
        <f>IF($AG413="","",p_factor_productividad*IFERROR(INDEX('ASIGNACIONES'!$M$4:$M$451,MATCH($O413&amp;"|"&amp;$R413&amp;"|"&amp;$AE413,'ASIGNACIONES'!$N$4:$N$451,0)),0)-$AG413)</f>
        <v/>
      </c>
      <c r="AI413" s="11">
        <f>IF($A413="","",IFERROR(INDEX('2_IMPORTAR_EJECUCION'!$F$9:$F$1208,MATCH($AQ413,'2_IMPORTAR_EJECUCION'!$J$9:$J$1208,0)),0))</f>
        <v/>
      </c>
      <c r="AJ413" s="11">
        <f>IF($A413="","",MAX(0,IFERROR(INDEX('2_IMPORTAR_EJECUCION'!$H$9:$H$1208,MATCH($AQ413,'2_IMPORTAR_EJECUCION'!$J$9:$J$1208,0)),0)-$AI413))</f>
        <v/>
      </c>
      <c r="AK413" s="11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IF($H414="","",IFERROR(INDEX('CAT_ACTIVIDADES'!$B$4:$B$8,MATCH($H414,'CAT_ACTIVIDADES'!$A$4:$A$8,0)),"(sin catálogo)"))</f>
        <v/>
      </c>
      <c r="AA414" s="13">
        <f>IF($J414="","",TODAY()-$J414)</f>
        <v/>
      </c>
      <c r="AB414" s="13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IF($AE414="","",IF((IFERROR(INDEX('ASIGNACIONES'!$J$4:$J$451,MATCH($O414&amp;"|"&amp;$R414&amp;"|"&amp;$AE414,'ASIGNACIONES'!$N$4:$N$451,0)),""))=0,"",IFERROR(INDEX('ASIGNACIONES'!$J$4:$J$451,MATCH($O414&amp;"|"&amp;$R414&amp;"|"&amp;$AE414,'ASIGNACIONES'!$N$4:$N$451,0)),"")))</f>
        <v/>
      </c>
      <c r="AG414" s="14">
        <f>IF($AE414="","",SUMIFS('ORDENES'!$M$4:$M$1203,'ORDENES'!$AE$4:$AE$1203,$AE414,'ORDENES'!$O$4:$O$1203,$O414,'ORDENES'!$R$4:$R$1203,$R414))</f>
        <v/>
      </c>
      <c r="AH414" s="14">
        <f>IF($AG414="","",p_factor_productividad*IFERROR(INDEX('ASIGNACIONES'!$M$4:$M$451,MATCH($O414&amp;"|"&amp;$R414&amp;"|"&amp;$AE414,'ASIGNACIONES'!$N$4:$N$451,0)),0)-$AG414)</f>
        <v/>
      </c>
      <c r="AI414" s="11">
        <f>IF($A414="","",IFERROR(INDEX('2_IMPORTAR_EJECUCION'!$F$9:$F$1208,MATCH($AQ414,'2_IMPORTAR_EJECUCION'!$J$9:$J$1208,0)),0))</f>
        <v/>
      </c>
      <c r="AJ414" s="11">
        <f>IF($A414="","",MAX(0,IFERROR(INDEX('2_IMPORTAR_EJECUCION'!$H$9:$H$1208,MATCH($AQ414,'2_IMPORTAR_EJECUCION'!$J$9:$J$1208,0)),0)-$AI414))</f>
        <v/>
      </c>
      <c r="AK414" s="11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IF($H415="","",IFERROR(INDEX('CAT_ACTIVIDADES'!$B$4:$B$8,MATCH($H415,'CAT_ACTIVIDADES'!$A$4:$A$8,0)),"(sin catálogo)"))</f>
        <v/>
      </c>
      <c r="AA415" s="13">
        <f>IF($J415="","",TODAY()-$J415)</f>
        <v/>
      </c>
      <c r="AB415" s="13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IF($AE415="","",IF((IFERROR(INDEX('ASIGNACIONES'!$J$4:$J$451,MATCH($O415&amp;"|"&amp;$R415&amp;"|"&amp;$AE415,'ASIGNACIONES'!$N$4:$N$451,0)),""))=0,"",IFERROR(INDEX('ASIGNACIONES'!$J$4:$J$451,MATCH($O415&amp;"|"&amp;$R415&amp;"|"&amp;$AE415,'ASIGNACIONES'!$N$4:$N$451,0)),"")))</f>
        <v/>
      </c>
      <c r="AG415" s="14">
        <f>IF($AE415="","",SUMIFS('ORDENES'!$M$4:$M$1203,'ORDENES'!$AE$4:$AE$1203,$AE415,'ORDENES'!$O$4:$O$1203,$O415,'ORDENES'!$R$4:$R$1203,$R415))</f>
        <v/>
      </c>
      <c r="AH415" s="14">
        <f>IF($AG415="","",p_factor_productividad*IFERROR(INDEX('ASIGNACIONES'!$M$4:$M$451,MATCH($O415&amp;"|"&amp;$R415&amp;"|"&amp;$AE415,'ASIGNACIONES'!$N$4:$N$451,0)),0)-$AG415)</f>
        <v/>
      </c>
      <c r="AI415" s="11">
        <f>IF($A415="","",IFERROR(INDEX('2_IMPORTAR_EJECUCION'!$F$9:$F$1208,MATCH($AQ415,'2_IMPORTAR_EJECUCION'!$J$9:$J$1208,0)),0))</f>
        <v/>
      </c>
      <c r="AJ415" s="11">
        <f>IF($A415="","",MAX(0,IFERROR(INDEX('2_IMPORTAR_EJECUCION'!$H$9:$H$1208,MATCH($AQ415,'2_IMPORTAR_EJECUCION'!$J$9:$J$1208,0)),0)-$AI415))</f>
        <v/>
      </c>
      <c r="AK415" s="11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IF($H416="","",IFERROR(INDEX('CAT_ACTIVIDADES'!$B$4:$B$8,MATCH($H416,'CAT_ACTIVIDADES'!$A$4:$A$8,0)),"(sin catálogo)"))</f>
        <v/>
      </c>
      <c r="AA416" s="13">
        <f>IF($J416="","",TODAY()-$J416)</f>
        <v/>
      </c>
      <c r="AB416" s="13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IF($AE416="","",IF((IFERROR(INDEX('ASIGNACIONES'!$J$4:$J$451,MATCH($O416&amp;"|"&amp;$R416&amp;"|"&amp;$AE416,'ASIGNACIONES'!$N$4:$N$451,0)),""))=0,"",IFERROR(INDEX('ASIGNACIONES'!$J$4:$J$451,MATCH($O416&amp;"|"&amp;$R416&amp;"|"&amp;$AE416,'ASIGNACIONES'!$N$4:$N$451,0)),"")))</f>
        <v/>
      </c>
      <c r="AG416" s="14">
        <f>IF($AE416="","",SUMIFS('ORDENES'!$M$4:$M$1203,'ORDENES'!$AE$4:$AE$1203,$AE416,'ORDENES'!$O$4:$O$1203,$O416,'ORDENES'!$R$4:$R$1203,$R416))</f>
        <v/>
      </c>
      <c r="AH416" s="14">
        <f>IF($AG416="","",p_factor_productividad*IFERROR(INDEX('ASIGNACIONES'!$M$4:$M$451,MATCH($O416&amp;"|"&amp;$R416&amp;"|"&amp;$AE416,'ASIGNACIONES'!$N$4:$N$451,0)),0)-$AG416)</f>
        <v/>
      </c>
      <c r="AI416" s="11">
        <f>IF($A416="","",IFERROR(INDEX('2_IMPORTAR_EJECUCION'!$F$9:$F$1208,MATCH($AQ416,'2_IMPORTAR_EJECUCION'!$J$9:$J$1208,0)),0))</f>
        <v/>
      </c>
      <c r="AJ416" s="11">
        <f>IF($A416="","",MAX(0,IFERROR(INDEX('2_IMPORTAR_EJECUCION'!$H$9:$H$1208,MATCH($AQ416,'2_IMPORTAR_EJECUCION'!$J$9:$J$1208,0)),0)-$AI416))</f>
        <v/>
      </c>
      <c r="AK416" s="11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IF($H417="","",IFERROR(INDEX('CAT_ACTIVIDADES'!$B$4:$B$8,MATCH($H417,'CAT_ACTIVIDADES'!$A$4:$A$8,0)),"(sin catálogo)"))</f>
        <v/>
      </c>
      <c r="AA417" s="13">
        <f>IF($J417="","",TODAY()-$J417)</f>
        <v/>
      </c>
      <c r="AB417" s="13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IF($AE417="","",IF((IFERROR(INDEX('ASIGNACIONES'!$J$4:$J$451,MATCH($O417&amp;"|"&amp;$R417&amp;"|"&amp;$AE417,'ASIGNACIONES'!$N$4:$N$451,0)),""))=0,"",IFERROR(INDEX('ASIGNACIONES'!$J$4:$J$451,MATCH($O417&amp;"|"&amp;$R417&amp;"|"&amp;$AE417,'ASIGNACIONES'!$N$4:$N$451,0)),"")))</f>
        <v/>
      </c>
      <c r="AG417" s="14">
        <f>IF($AE417="","",SUMIFS('ORDENES'!$M$4:$M$1203,'ORDENES'!$AE$4:$AE$1203,$AE417,'ORDENES'!$O$4:$O$1203,$O417,'ORDENES'!$R$4:$R$1203,$R417))</f>
        <v/>
      </c>
      <c r="AH417" s="14">
        <f>IF($AG417="","",p_factor_productividad*IFERROR(INDEX('ASIGNACIONES'!$M$4:$M$451,MATCH($O417&amp;"|"&amp;$R417&amp;"|"&amp;$AE417,'ASIGNACIONES'!$N$4:$N$451,0)),0)-$AG417)</f>
        <v/>
      </c>
      <c r="AI417" s="11">
        <f>IF($A417="","",IFERROR(INDEX('2_IMPORTAR_EJECUCION'!$F$9:$F$1208,MATCH($AQ417,'2_IMPORTAR_EJECUCION'!$J$9:$J$1208,0)),0))</f>
        <v/>
      </c>
      <c r="AJ417" s="11">
        <f>IF($A417="","",MAX(0,IFERROR(INDEX('2_IMPORTAR_EJECUCION'!$H$9:$H$1208,MATCH($AQ417,'2_IMPORTAR_EJECUCION'!$J$9:$J$1208,0)),0)-$AI417))</f>
        <v/>
      </c>
      <c r="AK417" s="11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IF($H418="","",IFERROR(INDEX('CAT_ACTIVIDADES'!$B$4:$B$8,MATCH($H418,'CAT_ACTIVIDADES'!$A$4:$A$8,0)),"(sin catálogo)"))</f>
        <v/>
      </c>
      <c r="AA418" s="13">
        <f>IF($J418="","",TODAY()-$J418)</f>
        <v/>
      </c>
      <c r="AB418" s="13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IF($AE418="","",IF((IFERROR(INDEX('ASIGNACIONES'!$J$4:$J$451,MATCH($O418&amp;"|"&amp;$R418&amp;"|"&amp;$AE418,'ASIGNACIONES'!$N$4:$N$451,0)),""))=0,"",IFERROR(INDEX('ASIGNACIONES'!$J$4:$J$451,MATCH($O418&amp;"|"&amp;$R418&amp;"|"&amp;$AE418,'ASIGNACIONES'!$N$4:$N$451,0)),"")))</f>
        <v/>
      </c>
      <c r="AG418" s="14">
        <f>IF($AE418="","",SUMIFS('ORDENES'!$M$4:$M$1203,'ORDENES'!$AE$4:$AE$1203,$AE418,'ORDENES'!$O$4:$O$1203,$O418,'ORDENES'!$R$4:$R$1203,$R418))</f>
        <v/>
      </c>
      <c r="AH418" s="14">
        <f>IF($AG418="","",p_factor_productividad*IFERROR(INDEX('ASIGNACIONES'!$M$4:$M$451,MATCH($O418&amp;"|"&amp;$R418&amp;"|"&amp;$AE418,'ASIGNACIONES'!$N$4:$N$451,0)),0)-$AG418)</f>
        <v/>
      </c>
      <c r="AI418" s="11">
        <f>IF($A418="","",IFERROR(INDEX('2_IMPORTAR_EJECUCION'!$F$9:$F$1208,MATCH($AQ418,'2_IMPORTAR_EJECUCION'!$J$9:$J$1208,0)),0))</f>
        <v/>
      </c>
      <c r="AJ418" s="11">
        <f>IF($A418="","",MAX(0,IFERROR(INDEX('2_IMPORTAR_EJECUCION'!$H$9:$H$1208,MATCH($AQ418,'2_IMPORTAR_EJECUCION'!$J$9:$J$1208,0)),0)-$AI418))</f>
        <v/>
      </c>
      <c r="AK418" s="11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IF($H419="","",IFERROR(INDEX('CAT_ACTIVIDADES'!$B$4:$B$8,MATCH($H419,'CAT_ACTIVIDADES'!$A$4:$A$8,0)),"(sin catálogo)"))</f>
        <v/>
      </c>
      <c r="AA419" s="13">
        <f>IF($J419="","",TODAY()-$J419)</f>
        <v/>
      </c>
      <c r="AB419" s="13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IF($AE419="","",IF((IFERROR(INDEX('ASIGNACIONES'!$J$4:$J$451,MATCH($O419&amp;"|"&amp;$R419&amp;"|"&amp;$AE419,'ASIGNACIONES'!$N$4:$N$451,0)),""))=0,"",IFERROR(INDEX('ASIGNACIONES'!$J$4:$J$451,MATCH($O419&amp;"|"&amp;$R419&amp;"|"&amp;$AE419,'ASIGNACIONES'!$N$4:$N$451,0)),"")))</f>
        <v/>
      </c>
      <c r="AG419" s="14">
        <f>IF($AE419="","",SUMIFS('ORDENES'!$M$4:$M$1203,'ORDENES'!$AE$4:$AE$1203,$AE419,'ORDENES'!$O$4:$O$1203,$O419,'ORDENES'!$R$4:$R$1203,$R419))</f>
        <v/>
      </c>
      <c r="AH419" s="14">
        <f>IF($AG419="","",p_factor_productividad*IFERROR(INDEX('ASIGNACIONES'!$M$4:$M$451,MATCH($O419&amp;"|"&amp;$R419&amp;"|"&amp;$AE419,'ASIGNACIONES'!$N$4:$N$451,0)),0)-$AG419)</f>
        <v/>
      </c>
      <c r="AI419" s="11">
        <f>IF($A419="","",IFERROR(INDEX('2_IMPORTAR_EJECUCION'!$F$9:$F$1208,MATCH($AQ419,'2_IMPORTAR_EJECUCION'!$J$9:$J$1208,0)),0))</f>
        <v/>
      </c>
      <c r="AJ419" s="11">
        <f>IF($A419="","",MAX(0,IFERROR(INDEX('2_IMPORTAR_EJECUCION'!$H$9:$H$1208,MATCH($AQ419,'2_IMPORTAR_EJECUCION'!$J$9:$J$1208,0)),0)-$AI419))</f>
        <v/>
      </c>
      <c r="AK419" s="11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IF($H420="","",IFERROR(INDEX('CAT_ACTIVIDADES'!$B$4:$B$8,MATCH($H420,'CAT_ACTIVIDADES'!$A$4:$A$8,0)),"(sin catálogo)"))</f>
        <v/>
      </c>
      <c r="AA420" s="13">
        <f>IF($J420="","",TODAY()-$J420)</f>
        <v/>
      </c>
      <c r="AB420" s="13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IF($AE420="","",IF((IFERROR(INDEX('ASIGNACIONES'!$J$4:$J$451,MATCH($O420&amp;"|"&amp;$R420&amp;"|"&amp;$AE420,'ASIGNACIONES'!$N$4:$N$451,0)),""))=0,"",IFERROR(INDEX('ASIGNACIONES'!$J$4:$J$451,MATCH($O420&amp;"|"&amp;$R420&amp;"|"&amp;$AE420,'ASIGNACIONES'!$N$4:$N$451,0)),"")))</f>
        <v/>
      </c>
      <c r="AG420" s="14">
        <f>IF($AE420="","",SUMIFS('ORDENES'!$M$4:$M$1203,'ORDENES'!$AE$4:$AE$1203,$AE420,'ORDENES'!$O$4:$O$1203,$O420,'ORDENES'!$R$4:$R$1203,$R420))</f>
        <v/>
      </c>
      <c r="AH420" s="14">
        <f>IF($AG420="","",p_factor_productividad*IFERROR(INDEX('ASIGNACIONES'!$M$4:$M$451,MATCH($O420&amp;"|"&amp;$R420&amp;"|"&amp;$AE420,'ASIGNACIONES'!$N$4:$N$451,0)),0)-$AG420)</f>
        <v/>
      </c>
      <c r="AI420" s="11">
        <f>IF($A420="","",IFERROR(INDEX('2_IMPORTAR_EJECUCION'!$F$9:$F$1208,MATCH($AQ420,'2_IMPORTAR_EJECUCION'!$J$9:$J$1208,0)),0))</f>
        <v/>
      </c>
      <c r="AJ420" s="11">
        <f>IF($A420="","",MAX(0,IFERROR(INDEX('2_IMPORTAR_EJECUCION'!$H$9:$H$1208,MATCH($AQ420,'2_IMPORTAR_EJECUCION'!$J$9:$J$1208,0)),0)-$AI420))</f>
        <v/>
      </c>
      <c r="AK420" s="11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IF($H421="","",IFERROR(INDEX('CAT_ACTIVIDADES'!$B$4:$B$8,MATCH($H421,'CAT_ACTIVIDADES'!$A$4:$A$8,0)),"(sin catálogo)"))</f>
        <v/>
      </c>
      <c r="AA421" s="13">
        <f>IF($J421="","",TODAY()-$J421)</f>
        <v/>
      </c>
      <c r="AB421" s="13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IF($AE421="","",IF((IFERROR(INDEX('ASIGNACIONES'!$J$4:$J$451,MATCH($O421&amp;"|"&amp;$R421&amp;"|"&amp;$AE421,'ASIGNACIONES'!$N$4:$N$451,0)),""))=0,"",IFERROR(INDEX('ASIGNACIONES'!$J$4:$J$451,MATCH($O421&amp;"|"&amp;$R421&amp;"|"&amp;$AE421,'ASIGNACIONES'!$N$4:$N$451,0)),"")))</f>
        <v/>
      </c>
      <c r="AG421" s="14">
        <f>IF($AE421="","",SUMIFS('ORDENES'!$M$4:$M$1203,'ORDENES'!$AE$4:$AE$1203,$AE421,'ORDENES'!$O$4:$O$1203,$O421,'ORDENES'!$R$4:$R$1203,$R421))</f>
        <v/>
      </c>
      <c r="AH421" s="14">
        <f>IF($AG421="","",p_factor_productividad*IFERROR(INDEX('ASIGNACIONES'!$M$4:$M$451,MATCH($O421&amp;"|"&amp;$R421&amp;"|"&amp;$AE421,'ASIGNACIONES'!$N$4:$N$451,0)),0)-$AG421)</f>
        <v/>
      </c>
      <c r="AI421" s="11">
        <f>IF($A421="","",IFERROR(INDEX('2_IMPORTAR_EJECUCION'!$F$9:$F$1208,MATCH($AQ421,'2_IMPORTAR_EJECUCION'!$J$9:$J$1208,0)),0))</f>
        <v/>
      </c>
      <c r="AJ421" s="11">
        <f>IF($A421="","",MAX(0,IFERROR(INDEX('2_IMPORTAR_EJECUCION'!$H$9:$H$1208,MATCH($AQ421,'2_IMPORTAR_EJECUCION'!$J$9:$J$1208,0)),0)-$AI421))</f>
        <v/>
      </c>
      <c r="AK421" s="11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IF($H422="","",IFERROR(INDEX('CAT_ACTIVIDADES'!$B$4:$B$8,MATCH($H422,'CAT_ACTIVIDADES'!$A$4:$A$8,0)),"(sin catálogo)"))</f>
        <v/>
      </c>
      <c r="AA422" s="13">
        <f>IF($J422="","",TODAY()-$J422)</f>
        <v/>
      </c>
      <c r="AB422" s="13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IF($AE422="","",IF((IFERROR(INDEX('ASIGNACIONES'!$J$4:$J$451,MATCH($O422&amp;"|"&amp;$R422&amp;"|"&amp;$AE422,'ASIGNACIONES'!$N$4:$N$451,0)),""))=0,"",IFERROR(INDEX('ASIGNACIONES'!$J$4:$J$451,MATCH($O422&amp;"|"&amp;$R422&amp;"|"&amp;$AE422,'ASIGNACIONES'!$N$4:$N$451,0)),"")))</f>
        <v/>
      </c>
      <c r="AG422" s="14">
        <f>IF($AE422="","",SUMIFS('ORDENES'!$M$4:$M$1203,'ORDENES'!$AE$4:$AE$1203,$AE422,'ORDENES'!$O$4:$O$1203,$O422,'ORDENES'!$R$4:$R$1203,$R422))</f>
        <v/>
      </c>
      <c r="AH422" s="14">
        <f>IF($AG422="","",p_factor_productividad*IFERROR(INDEX('ASIGNACIONES'!$M$4:$M$451,MATCH($O422&amp;"|"&amp;$R422&amp;"|"&amp;$AE422,'ASIGNACIONES'!$N$4:$N$451,0)),0)-$AG422)</f>
        <v/>
      </c>
      <c r="AI422" s="11">
        <f>IF($A422="","",IFERROR(INDEX('2_IMPORTAR_EJECUCION'!$F$9:$F$1208,MATCH($AQ422,'2_IMPORTAR_EJECUCION'!$J$9:$J$1208,0)),0))</f>
        <v/>
      </c>
      <c r="AJ422" s="11">
        <f>IF($A422="","",MAX(0,IFERROR(INDEX('2_IMPORTAR_EJECUCION'!$H$9:$H$1208,MATCH($AQ422,'2_IMPORTAR_EJECUCION'!$J$9:$J$1208,0)),0)-$AI422))</f>
        <v/>
      </c>
      <c r="AK422" s="11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IF($H423="","",IFERROR(INDEX('CAT_ACTIVIDADES'!$B$4:$B$8,MATCH($H423,'CAT_ACTIVIDADES'!$A$4:$A$8,0)),"(sin catálogo)"))</f>
        <v/>
      </c>
      <c r="AA423" s="13">
        <f>IF($J423="","",TODAY()-$J423)</f>
        <v/>
      </c>
      <c r="AB423" s="13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IF($AE423="","",IF((IFERROR(INDEX('ASIGNACIONES'!$J$4:$J$451,MATCH($O423&amp;"|"&amp;$R423&amp;"|"&amp;$AE423,'ASIGNACIONES'!$N$4:$N$451,0)),""))=0,"",IFERROR(INDEX('ASIGNACIONES'!$J$4:$J$451,MATCH($O423&amp;"|"&amp;$R423&amp;"|"&amp;$AE423,'ASIGNACIONES'!$N$4:$N$451,0)),"")))</f>
        <v/>
      </c>
      <c r="AG423" s="14">
        <f>IF($AE423="","",SUMIFS('ORDENES'!$M$4:$M$1203,'ORDENES'!$AE$4:$AE$1203,$AE423,'ORDENES'!$O$4:$O$1203,$O423,'ORDENES'!$R$4:$R$1203,$R423))</f>
        <v/>
      </c>
      <c r="AH423" s="14">
        <f>IF($AG423="","",p_factor_productividad*IFERROR(INDEX('ASIGNACIONES'!$M$4:$M$451,MATCH($O423&amp;"|"&amp;$R423&amp;"|"&amp;$AE423,'ASIGNACIONES'!$N$4:$N$451,0)),0)-$AG423)</f>
        <v/>
      </c>
      <c r="AI423" s="11">
        <f>IF($A423="","",IFERROR(INDEX('2_IMPORTAR_EJECUCION'!$F$9:$F$1208,MATCH($AQ423,'2_IMPORTAR_EJECUCION'!$J$9:$J$1208,0)),0))</f>
        <v/>
      </c>
      <c r="AJ423" s="11">
        <f>IF($A423="","",MAX(0,IFERROR(INDEX('2_IMPORTAR_EJECUCION'!$H$9:$H$1208,MATCH($AQ423,'2_IMPORTAR_EJECUCION'!$J$9:$J$1208,0)),0)-$AI423))</f>
        <v/>
      </c>
      <c r="AK423" s="11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IF($H424="","",IFERROR(INDEX('CAT_ACTIVIDADES'!$B$4:$B$8,MATCH($H424,'CAT_ACTIVIDADES'!$A$4:$A$8,0)),"(sin catálogo)"))</f>
        <v/>
      </c>
      <c r="AA424" s="13">
        <f>IF($J424="","",TODAY()-$J424)</f>
        <v/>
      </c>
      <c r="AB424" s="13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IF($AE424="","",IF((IFERROR(INDEX('ASIGNACIONES'!$J$4:$J$451,MATCH($O424&amp;"|"&amp;$R424&amp;"|"&amp;$AE424,'ASIGNACIONES'!$N$4:$N$451,0)),""))=0,"",IFERROR(INDEX('ASIGNACIONES'!$J$4:$J$451,MATCH($O424&amp;"|"&amp;$R424&amp;"|"&amp;$AE424,'ASIGNACIONES'!$N$4:$N$451,0)),"")))</f>
        <v/>
      </c>
      <c r="AG424" s="14">
        <f>IF($AE424="","",SUMIFS('ORDENES'!$M$4:$M$1203,'ORDENES'!$AE$4:$AE$1203,$AE424,'ORDENES'!$O$4:$O$1203,$O424,'ORDENES'!$R$4:$R$1203,$R424))</f>
        <v/>
      </c>
      <c r="AH424" s="14">
        <f>IF($AG424="","",p_factor_productividad*IFERROR(INDEX('ASIGNACIONES'!$M$4:$M$451,MATCH($O424&amp;"|"&amp;$R424&amp;"|"&amp;$AE424,'ASIGNACIONES'!$N$4:$N$451,0)),0)-$AG424)</f>
        <v/>
      </c>
      <c r="AI424" s="11">
        <f>IF($A424="","",IFERROR(INDEX('2_IMPORTAR_EJECUCION'!$F$9:$F$1208,MATCH($AQ424,'2_IMPORTAR_EJECUCION'!$J$9:$J$1208,0)),0))</f>
        <v/>
      </c>
      <c r="AJ424" s="11">
        <f>IF($A424="","",MAX(0,IFERROR(INDEX('2_IMPORTAR_EJECUCION'!$H$9:$H$1208,MATCH($AQ424,'2_IMPORTAR_EJECUCION'!$J$9:$J$1208,0)),0)-$AI424))</f>
        <v/>
      </c>
      <c r="AK424" s="11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IF($H425="","",IFERROR(INDEX('CAT_ACTIVIDADES'!$B$4:$B$8,MATCH($H425,'CAT_ACTIVIDADES'!$A$4:$A$8,0)),"(sin catálogo)"))</f>
        <v/>
      </c>
      <c r="AA425" s="13">
        <f>IF($J425="","",TODAY()-$J425)</f>
        <v/>
      </c>
      <c r="AB425" s="13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IF($AE425="","",IF((IFERROR(INDEX('ASIGNACIONES'!$J$4:$J$451,MATCH($O425&amp;"|"&amp;$R425&amp;"|"&amp;$AE425,'ASIGNACIONES'!$N$4:$N$451,0)),""))=0,"",IFERROR(INDEX('ASIGNACIONES'!$J$4:$J$451,MATCH($O425&amp;"|"&amp;$R425&amp;"|"&amp;$AE425,'ASIGNACIONES'!$N$4:$N$451,0)),"")))</f>
        <v/>
      </c>
      <c r="AG425" s="14">
        <f>IF($AE425="","",SUMIFS('ORDENES'!$M$4:$M$1203,'ORDENES'!$AE$4:$AE$1203,$AE425,'ORDENES'!$O$4:$O$1203,$O425,'ORDENES'!$R$4:$R$1203,$R425))</f>
        <v/>
      </c>
      <c r="AH425" s="14">
        <f>IF($AG425="","",p_factor_productividad*IFERROR(INDEX('ASIGNACIONES'!$M$4:$M$451,MATCH($O425&amp;"|"&amp;$R425&amp;"|"&amp;$AE425,'ASIGNACIONES'!$N$4:$N$451,0)),0)-$AG425)</f>
        <v/>
      </c>
      <c r="AI425" s="11">
        <f>IF($A425="","",IFERROR(INDEX('2_IMPORTAR_EJECUCION'!$F$9:$F$1208,MATCH($AQ425,'2_IMPORTAR_EJECUCION'!$J$9:$J$1208,0)),0))</f>
        <v/>
      </c>
      <c r="AJ425" s="11">
        <f>IF($A425="","",MAX(0,IFERROR(INDEX('2_IMPORTAR_EJECUCION'!$H$9:$H$1208,MATCH($AQ425,'2_IMPORTAR_EJECUCION'!$J$9:$J$1208,0)),0)-$AI425))</f>
        <v/>
      </c>
      <c r="AK425" s="11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IF($H426="","",IFERROR(INDEX('CAT_ACTIVIDADES'!$B$4:$B$8,MATCH($H426,'CAT_ACTIVIDADES'!$A$4:$A$8,0)),"(sin catálogo)"))</f>
        <v/>
      </c>
      <c r="AA426" s="13">
        <f>IF($J426="","",TODAY()-$J426)</f>
        <v/>
      </c>
      <c r="AB426" s="13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IF($AE426="","",IF((IFERROR(INDEX('ASIGNACIONES'!$J$4:$J$451,MATCH($O426&amp;"|"&amp;$R426&amp;"|"&amp;$AE426,'ASIGNACIONES'!$N$4:$N$451,0)),""))=0,"",IFERROR(INDEX('ASIGNACIONES'!$J$4:$J$451,MATCH($O426&amp;"|"&amp;$R426&amp;"|"&amp;$AE426,'ASIGNACIONES'!$N$4:$N$451,0)),"")))</f>
        <v/>
      </c>
      <c r="AG426" s="14">
        <f>IF($AE426="","",SUMIFS('ORDENES'!$M$4:$M$1203,'ORDENES'!$AE$4:$AE$1203,$AE426,'ORDENES'!$O$4:$O$1203,$O426,'ORDENES'!$R$4:$R$1203,$R426))</f>
        <v/>
      </c>
      <c r="AH426" s="14">
        <f>IF($AG426="","",p_factor_productividad*IFERROR(INDEX('ASIGNACIONES'!$M$4:$M$451,MATCH($O426&amp;"|"&amp;$R426&amp;"|"&amp;$AE426,'ASIGNACIONES'!$N$4:$N$451,0)),0)-$AG426)</f>
        <v/>
      </c>
      <c r="AI426" s="11">
        <f>IF($A426="","",IFERROR(INDEX('2_IMPORTAR_EJECUCION'!$F$9:$F$1208,MATCH($AQ426,'2_IMPORTAR_EJECUCION'!$J$9:$J$1208,0)),0))</f>
        <v/>
      </c>
      <c r="AJ426" s="11">
        <f>IF($A426="","",MAX(0,IFERROR(INDEX('2_IMPORTAR_EJECUCION'!$H$9:$H$1208,MATCH($AQ426,'2_IMPORTAR_EJECUCION'!$J$9:$J$1208,0)),0)-$AI426))</f>
        <v/>
      </c>
      <c r="AK426" s="11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IF($H427="","",IFERROR(INDEX('CAT_ACTIVIDADES'!$B$4:$B$8,MATCH($H427,'CAT_ACTIVIDADES'!$A$4:$A$8,0)),"(sin catálogo)"))</f>
        <v/>
      </c>
      <c r="AA427" s="13">
        <f>IF($J427="","",TODAY()-$J427)</f>
        <v/>
      </c>
      <c r="AB427" s="13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IF($AE427="","",IF((IFERROR(INDEX('ASIGNACIONES'!$J$4:$J$451,MATCH($O427&amp;"|"&amp;$R427&amp;"|"&amp;$AE427,'ASIGNACIONES'!$N$4:$N$451,0)),""))=0,"",IFERROR(INDEX('ASIGNACIONES'!$J$4:$J$451,MATCH($O427&amp;"|"&amp;$R427&amp;"|"&amp;$AE427,'ASIGNACIONES'!$N$4:$N$451,0)),"")))</f>
        <v/>
      </c>
      <c r="AG427" s="14">
        <f>IF($AE427="","",SUMIFS('ORDENES'!$M$4:$M$1203,'ORDENES'!$AE$4:$AE$1203,$AE427,'ORDENES'!$O$4:$O$1203,$O427,'ORDENES'!$R$4:$R$1203,$R427))</f>
        <v/>
      </c>
      <c r="AH427" s="14">
        <f>IF($AG427="","",p_factor_productividad*IFERROR(INDEX('ASIGNACIONES'!$M$4:$M$451,MATCH($O427&amp;"|"&amp;$R427&amp;"|"&amp;$AE427,'ASIGNACIONES'!$N$4:$N$451,0)),0)-$AG427)</f>
        <v/>
      </c>
      <c r="AI427" s="11">
        <f>IF($A427="","",IFERROR(INDEX('2_IMPORTAR_EJECUCION'!$F$9:$F$1208,MATCH($AQ427,'2_IMPORTAR_EJECUCION'!$J$9:$J$1208,0)),0))</f>
        <v/>
      </c>
      <c r="AJ427" s="11">
        <f>IF($A427="","",MAX(0,IFERROR(INDEX('2_IMPORTAR_EJECUCION'!$H$9:$H$1208,MATCH($AQ427,'2_IMPORTAR_EJECUCION'!$J$9:$J$1208,0)),0)-$AI427))</f>
        <v/>
      </c>
      <c r="AK427" s="11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IF($H428="","",IFERROR(INDEX('CAT_ACTIVIDADES'!$B$4:$B$8,MATCH($H428,'CAT_ACTIVIDADES'!$A$4:$A$8,0)),"(sin catálogo)"))</f>
        <v/>
      </c>
      <c r="AA428" s="13">
        <f>IF($J428="","",TODAY()-$J428)</f>
        <v/>
      </c>
      <c r="AB428" s="13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IF($AE428="","",IF((IFERROR(INDEX('ASIGNACIONES'!$J$4:$J$451,MATCH($O428&amp;"|"&amp;$R428&amp;"|"&amp;$AE428,'ASIGNACIONES'!$N$4:$N$451,0)),""))=0,"",IFERROR(INDEX('ASIGNACIONES'!$J$4:$J$451,MATCH($O428&amp;"|"&amp;$R428&amp;"|"&amp;$AE428,'ASIGNACIONES'!$N$4:$N$451,0)),"")))</f>
        <v/>
      </c>
      <c r="AG428" s="14">
        <f>IF($AE428="","",SUMIFS('ORDENES'!$M$4:$M$1203,'ORDENES'!$AE$4:$AE$1203,$AE428,'ORDENES'!$O$4:$O$1203,$O428,'ORDENES'!$R$4:$R$1203,$R428))</f>
        <v/>
      </c>
      <c r="AH428" s="14">
        <f>IF($AG428="","",p_factor_productividad*IFERROR(INDEX('ASIGNACIONES'!$M$4:$M$451,MATCH($O428&amp;"|"&amp;$R428&amp;"|"&amp;$AE428,'ASIGNACIONES'!$N$4:$N$451,0)),0)-$AG428)</f>
        <v/>
      </c>
      <c r="AI428" s="11">
        <f>IF($A428="","",IFERROR(INDEX('2_IMPORTAR_EJECUCION'!$F$9:$F$1208,MATCH($AQ428,'2_IMPORTAR_EJECUCION'!$J$9:$J$1208,0)),0))</f>
        <v/>
      </c>
      <c r="AJ428" s="11">
        <f>IF($A428="","",MAX(0,IFERROR(INDEX('2_IMPORTAR_EJECUCION'!$H$9:$H$1208,MATCH($AQ428,'2_IMPORTAR_EJECUCION'!$J$9:$J$1208,0)),0)-$AI428))</f>
        <v/>
      </c>
      <c r="AK428" s="11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IF($H429="","",IFERROR(INDEX('CAT_ACTIVIDADES'!$B$4:$B$8,MATCH($H429,'CAT_ACTIVIDADES'!$A$4:$A$8,0)),"(sin catálogo)"))</f>
        <v/>
      </c>
      <c r="AA429" s="13">
        <f>IF($J429="","",TODAY()-$J429)</f>
        <v/>
      </c>
      <c r="AB429" s="13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IF($AE429="","",IF((IFERROR(INDEX('ASIGNACIONES'!$J$4:$J$451,MATCH($O429&amp;"|"&amp;$R429&amp;"|"&amp;$AE429,'ASIGNACIONES'!$N$4:$N$451,0)),""))=0,"",IFERROR(INDEX('ASIGNACIONES'!$J$4:$J$451,MATCH($O429&amp;"|"&amp;$R429&amp;"|"&amp;$AE429,'ASIGNACIONES'!$N$4:$N$451,0)),"")))</f>
        <v/>
      </c>
      <c r="AG429" s="14">
        <f>IF($AE429="","",SUMIFS('ORDENES'!$M$4:$M$1203,'ORDENES'!$AE$4:$AE$1203,$AE429,'ORDENES'!$O$4:$O$1203,$O429,'ORDENES'!$R$4:$R$1203,$R429))</f>
        <v/>
      </c>
      <c r="AH429" s="14">
        <f>IF($AG429="","",p_factor_productividad*IFERROR(INDEX('ASIGNACIONES'!$M$4:$M$451,MATCH($O429&amp;"|"&amp;$R429&amp;"|"&amp;$AE429,'ASIGNACIONES'!$N$4:$N$451,0)),0)-$AG429)</f>
        <v/>
      </c>
      <c r="AI429" s="11">
        <f>IF($A429="","",IFERROR(INDEX('2_IMPORTAR_EJECUCION'!$F$9:$F$1208,MATCH($AQ429,'2_IMPORTAR_EJECUCION'!$J$9:$J$1208,0)),0))</f>
        <v/>
      </c>
      <c r="AJ429" s="11">
        <f>IF($A429="","",MAX(0,IFERROR(INDEX('2_IMPORTAR_EJECUCION'!$H$9:$H$1208,MATCH($AQ429,'2_IMPORTAR_EJECUCION'!$J$9:$J$1208,0)),0)-$AI429))</f>
        <v/>
      </c>
      <c r="AK429" s="11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IF($H430="","",IFERROR(INDEX('CAT_ACTIVIDADES'!$B$4:$B$8,MATCH($H430,'CAT_ACTIVIDADES'!$A$4:$A$8,0)),"(sin catálogo)"))</f>
        <v/>
      </c>
      <c r="AA430" s="13">
        <f>IF($J430="","",TODAY()-$J430)</f>
        <v/>
      </c>
      <c r="AB430" s="13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IF($AE430="","",IF((IFERROR(INDEX('ASIGNACIONES'!$J$4:$J$451,MATCH($O430&amp;"|"&amp;$R430&amp;"|"&amp;$AE430,'ASIGNACIONES'!$N$4:$N$451,0)),""))=0,"",IFERROR(INDEX('ASIGNACIONES'!$J$4:$J$451,MATCH($O430&amp;"|"&amp;$R430&amp;"|"&amp;$AE430,'ASIGNACIONES'!$N$4:$N$451,0)),"")))</f>
        <v/>
      </c>
      <c r="AG430" s="14">
        <f>IF($AE430="","",SUMIFS('ORDENES'!$M$4:$M$1203,'ORDENES'!$AE$4:$AE$1203,$AE430,'ORDENES'!$O$4:$O$1203,$O430,'ORDENES'!$R$4:$R$1203,$R430))</f>
        <v/>
      </c>
      <c r="AH430" s="14">
        <f>IF($AG430="","",p_factor_productividad*IFERROR(INDEX('ASIGNACIONES'!$M$4:$M$451,MATCH($O430&amp;"|"&amp;$R430&amp;"|"&amp;$AE430,'ASIGNACIONES'!$N$4:$N$451,0)),0)-$AG430)</f>
        <v/>
      </c>
      <c r="AI430" s="11">
        <f>IF($A430="","",IFERROR(INDEX('2_IMPORTAR_EJECUCION'!$F$9:$F$1208,MATCH($AQ430,'2_IMPORTAR_EJECUCION'!$J$9:$J$1208,0)),0))</f>
        <v/>
      </c>
      <c r="AJ430" s="11">
        <f>IF($A430="","",MAX(0,IFERROR(INDEX('2_IMPORTAR_EJECUCION'!$H$9:$H$1208,MATCH($AQ430,'2_IMPORTAR_EJECUCION'!$J$9:$J$1208,0)),0)-$AI430))</f>
        <v/>
      </c>
      <c r="AK430" s="11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IF($H431="","",IFERROR(INDEX('CAT_ACTIVIDADES'!$B$4:$B$8,MATCH($H431,'CAT_ACTIVIDADES'!$A$4:$A$8,0)),"(sin catálogo)"))</f>
        <v/>
      </c>
      <c r="AA431" s="13">
        <f>IF($J431="","",TODAY()-$J431)</f>
        <v/>
      </c>
      <c r="AB431" s="13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IF($AE431="","",IF((IFERROR(INDEX('ASIGNACIONES'!$J$4:$J$451,MATCH($O431&amp;"|"&amp;$R431&amp;"|"&amp;$AE431,'ASIGNACIONES'!$N$4:$N$451,0)),""))=0,"",IFERROR(INDEX('ASIGNACIONES'!$J$4:$J$451,MATCH($O431&amp;"|"&amp;$R431&amp;"|"&amp;$AE431,'ASIGNACIONES'!$N$4:$N$451,0)),"")))</f>
        <v/>
      </c>
      <c r="AG431" s="14">
        <f>IF($AE431="","",SUMIFS('ORDENES'!$M$4:$M$1203,'ORDENES'!$AE$4:$AE$1203,$AE431,'ORDENES'!$O$4:$O$1203,$O431,'ORDENES'!$R$4:$R$1203,$R431))</f>
        <v/>
      </c>
      <c r="AH431" s="14">
        <f>IF($AG431="","",p_factor_productividad*IFERROR(INDEX('ASIGNACIONES'!$M$4:$M$451,MATCH($O431&amp;"|"&amp;$R431&amp;"|"&amp;$AE431,'ASIGNACIONES'!$N$4:$N$451,0)),0)-$AG431)</f>
        <v/>
      </c>
      <c r="AI431" s="11">
        <f>IF($A431="","",IFERROR(INDEX('2_IMPORTAR_EJECUCION'!$F$9:$F$1208,MATCH($AQ431,'2_IMPORTAR_EJECUCION'!$J$9:$J$1208,0)),0))</f>
        <v/>
      </c>
      <c r="AJ431" s="11">
        <f>IF($A431="","",MAX(0,IFERROR(INDEX('2_IMPORTAR_EJECUCION'!$H$9:$H$1208,MATCH($AQ431,'2_IMPORTAR_EJECUCION'!$J$9:$J$1208,0)),0)-$AI431))</f>
        <v/>
      </c>
      <c r="AK431" s="11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IF($H432="","",IFERROR(INDEX('CAT_ACTIVIDADES'!$B$4:$B$8,MATCH($H432,'CAT_ACTIVIDADES'!$A$4:$A$8,0)),"(sin catálogo)"))</f>
        <v/>
      </c>
      <c r="AA432" s="13">
        <f>IF($J432="","",TODAY()-$J432)</f>
        <v/>
      </c>
      <c r="AB432" s="13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IF($AE432="","",IF((IFERROR(INDEX('ASIGNACIONES'!$J$4:$J$451,MATCH($O432&amp;"|"&amp;$R432&amp;"|"&amp;$AE432,'ASIGNACIONES'!$N$4:$N$451,0)),""))=0,"",IFERROR(INDEX('ASIGNACIONES'!$J$4:$J$451,MATCH($O432&amp;"|"&amp;$R432&amp;"|"&amp;$AE432,'ASIGNACIONES'!$N$4:$N$451,0)),"")))</f>
        <v/>
      </c>
      <c r="AG432" s="14">
        <f>IF($AE432="","",SUMIFS('ORDENES'!$M$4:$M$1203,'ORDENES'!$AE$4:$AE$1203,$AE432,'ORDENES'!$O$4:$O$1203,$O432,'ORDENES'!$R$4:$R$1203,$R432))</f>
        <v/>
      </c>
      <c r="AH432" s="14">
        <f>IF($AG432="","",p_factor_productividad*IFERROR(INDEX('ASIGNACIONES'!$M$4:$M$451,MATCH($O432&amp;"|"&amp;$R432&amp;"|"&amp;$AE432,'ASIGNACIONES'!$N$4:$N$451,0)),0)-$AG432)</f>
        <v/>
      </c>
      <c r="AI432" s="11">
        <f>IF($A432="","",IFERROR(INDEX('2_IMPORTAR_EJECUCION'!$F$9:$F$1208,MATCH($AQ432,'2_IMPORTAR_EJECUCION'!$J$9:$J$1208,0)),0))</f>
        <v/>
      </c>
      <c r="AJ432" s="11">
        <f>IF($A432="","",MAX(0,IFERROR(INDEX('2_IMPORTAR_EJECUCION'!$H$9:$H$1208,MATCH($AQ432,'2_IMPORTAR_EJECUCION'!$J$9:$J$1208,0)),0)-$AI432))</f>
        <v/>
      </c>
      <c r="AK432" s="11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IF($H433="","",IFERROR(INDEX('CAT_ACTIVIDADES'!$B$4:$B$8,MATCH($H433,'CAT_ACTIVIDADES'!$A$4:$A$8,0)),"(sin catálogo)"))</f>
        <v/>
      </c>
      <c r="AA433" s="13">
        <f>IF($J433="","",TODAY()-$J433)</f>
        <v/>
      </c>
      <c r="AB433" s="13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IF($AE433="","",IF((IFERROR(INDEX('ASIGNACIONES'!$J$4:$J$451,MATCH($O433&amp;"|"&amp;$R433&amp;"|"&amp;$AE433,'ASIGNACIONES'!$N$4:$N$451,0)),""))=0,"",IFERROR(INDEX('ASIGNACIONES'!$J$4:$J$451,MATCH($O433&amp;"|"&amp;$R433&amp;"|"&amp;$AE433,'ASIGNACIONES'!$N$4:$N$451,0)),"")))</f>
        <v/>
      </c>
      <c r="AG433" s="14">
        <f>IF($AE433="","",SUMIFS('ORDENES'!$M$4:$M$1203,'ORDENES'!$AE$4:$AE$1203,$AE433,'ORDENES'!$O$4:$O$1203,$O433,'ORDENES'!$R$4:$R$1203,$R433))</f>
        <v/>
      </c>
      <c r="AH433" s="14">
        <f>IF($AG433="","",p_factor_productividad*IFERROR(INDEX('ASIGNACIONES'!$M$4:$M$451,MATCH($O433&amp;"|"&amp;$R433&amp;"|"&amp;$AE433,'ASIGNACIONES'!$N$4:$N$451,0)),0)-$AG433)</f>
        <v/>
      </c>
      <c r="AI433" s="11">
        <f>IF($A433="","",IFERROR(INDEX('2_IMPORTAR_EJECUCION'!$F$9:$F$1208,MATCH($AQ433,'2_IMPORTAR_EJECUCION'!$J$9:$J$1208,0)),0))</f>
        <v/>
      </c>
      <c r="AJ433" s="11">
        <f>IF($A433="","",MAX(0,IFERROR(INDEX('2_IMPORTAR_EJECUCION'!$H$9:$H$1208,MATCH($AQ433,'2_IMPORTAR_EJECUCION'!$J$9:$J$1208,0)),0)-$AI433))</f>
        <v/>
      </c>
      <c r="AK433" s="11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IF($H434="","",IFERROR(INDEX('CAT_ACTIVIDADES'!$B$4:$B$8,MATCH($H434,'CAT_ACTIVIDADES'!$A$4:$A$8,0)),"(sin catálogo)"))</f>
        <v/>
      </c>
      <c r="AA434" s="13">
        <f>IF($J434="","",TODAY()-$J434)</f>
        <v/>
      </c>
      <c r="AB434" s="13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IF($AE434="","",IF((IFERROR(INDEX('ASIGNACIONES'!$J$4:$J$451,MATCH($O434&amp;"|"&amp;$R434&amp;"|"&amp;$AE434,'ASIGNACIONES'!$N$4:$N$451,0)),""))=0,"",IFERROR(INDEX('ASIGNACIONES'!$J$4:$J$451,MATCH($O434&amp;"|"&amp;$R434&amp;"|"&amp;$AE434,'ASIGNACIONES'!$N$4:$N$451,0)),"")))</f>
        <v/>
      </c>
      <c r="AG434" s="14">
        <f>IF($AE434="","",SUMIFS('ORDENES'!$M$4:$M$1203,'ORDENES'!$AE$4:$AE$1203,$AE434,'ORDENES'!$O$4:$O$1203,$O434,'ORDENES'!$R$4:$R$1203,$R434))</f>
        <v/>
      </c>
      <c r="AH434" s="14">
        <f>IF($AG434="","",p_factor_productividad*IFERROR(INDEX('ASIGNACIONES'!$M$4:$M$451,MATCH($O434&amp;"|"&amp;$R434&amp;"|"&amp;$AE434,'ASIGNACIONES'!$N$4:$N$451,0)),0)-$AG434)</f>
        <v/>
      </c>
      <c r="AI434" s="11">
        <f>IF($A434="","",IFERROR(INDEX('2_IMPORTAR_EJECUCION'!$F$9:$F$1208,MATCH($AQ434,'2_IMPORTAR_EJECUCION'!$J$9:$J$1208,0)),0))</f>
        <v/>
      </c>
      <c r="AJ434" s="11">
        <f>IF($A434="","",MAX(0,IFERROR(INDEX('2_IMPORTAR_EJECUCION'!$H$9:$H$1208,MATCH($AQ434,'2_IMPORTAR_EJECUCION'!$J$9:$J$1208,0)),0)-$AI434))</f>
        <v/>
      </c>
      <c r="AK434" s="11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IF($H435="","",IFERROR(INDEX('CAT_ACTIVIDADES'!$B$4:$B$8,MATCH($H435,'CAT_ACTIVIDADES'!$A$4:$A$8,0)),"(sin catálogo)"))</f>
        <v/>
      </c>
      <c r="AA435" s="13">
        <f>IF($J435="","",TODAY()-$J435)</f>
        <v/>
      </c>
      <c r="AB435" s="13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IF($AE435="","",IF((IFERROR(INDEX('ASIGNACIONES'!$J$4:$J$451,MATCH($O435&amp;"|"&amp;$R435&amp;"|"&amp;$AE435,'ASIGNACIONES'!$N$4:$N$451,0)),""))=0,"",IFERROR(INDEX('ASIGNACIONES'!$J$4:$J$451,MATCH($O435&amp;"|"&amp;$R435&amp;"|"&amp;$AE435,'ASIGNACIONES'!$N$4:$N$451,0)),"")))</f>
        <v/>
      </c>
      <c r="AG435" s="14">
        <f>IF($AE435="","",SUMIFS('ORDENES'!$M$4:$M$1203,'ORDENES'!$AE$4:$AE$1203,$AE435,'ORDENES'!$O$4:$O$1203,$O435,'ORDENES'!$R$4:$R$1203,$R435))</f>
        <v/>
      </c>
      <c r="AH435" s="14">
        <f>IF($AG435="","",p_factor_productividad*IFERROR(INDEX('ASIGNACIONES'!$M$4:$M$451,MATCH($O435&amp;"|"&amp;$R435&amp;"|"&amp;$AE435,'ASIGNACIONES'!$N$4:$N$451,0)),0)-$AG435)</f>
        <v/>
      </c>
      <c r="AI435" s="11">
        <f>IF($A435="","",IFERROR(INDEX('2_IMPORTAR_EJECUCION'!$F$9:$F$1208,MATCH($AQ435,'2_IMPORTAR_EJECUCION'!$J$9:$J$1208,0)),0))</f>
        <v/>
      </c>
      <c r="AJ435" s="11">
        <f>IF($A435="","",MAX(0,IFERROR(INDEX('2_IMPORTAR_EJECUCION'!$H$9:$H$1208,MATCH($AQ435,'2_IMPORTAR_EJECUCION'!$J$9:$J$1208,0)),0)-$AI435))</f>
        <v/>
      </c>
      <c r="AK435" s="11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IF($H436="","",IFERROR(INDEX('CAT_ACTIVIDADES'!$B$4:$B$8,MATCH($H436,'CAT_ACTIVIDADES'!$A$4:$A$8,0)),"(sin catálogo)"))</f>
        <v/>
      </c>
      <c r="AA436" s="13">
        <f>IF($J436="","",TODAY()-$J436)</f>
        <v/>
      </c>
      <c r="AB436" s="13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IF($AE436="","",IF((IFERROR(INDEX('ASIGNACIONES'!$J$4:$J$451,MATCH($O436&amp;"|"&amp;$R436&amp;"|"&amp;$AE436,'ASIGNACIONES'!$N$4:$N$451,0)),""))=0,"",IFERROR(INDEX('ASIGNACIONES'!$J$4:$J$451,MATCH($O436&amp;"|"&amp;$R436&amp;"|"&amp;$AE436,'ASIGNACIONES'!$N$4:$N$451,0)),"")))</f>
        <v/>
      </c>
      <c r="AG436" s="14">
        <f>IF($AE436="","",SUMIFS('ORDENES'!$M$4:$M$1203,'ORDENES'!$AE$4:$AE$1203,$AE436,'ORDENES'!$O$4:$O$1203,$O436,'ORDENES'!$R$4:$R$1203,$R436))</f>
        <v/>
      </c>
      <c r="AH436" s="14">
        <f>IF($AG436="","",p_factor_productividad*IFERROR(INDEX('ASIGNACIONES'!$M$4:$M$451,MATCH($O436&amp;"|"&amp;$R436&amp;"|"&amp;$AE436,'ASIGNACIONES'!$N$4:$N$451,0)),0)-$AG436)</f>
        <v/>
      </c>
      <c r="AI436" s="11">
        <f>IF($A436="","",IFERROR(INDEX('2_IMPORTAR_EJECUCION'!$F$9:$F$1208,MATCH($AQ436,'2_IMPORTAR_EJECUCION'!$J$9:$J$1208,0)),0))</f>
        <v/>
      </c>
      <c r="AJ436" s="11">
        <f>IF($A436="","",MAX(0,IFERROR(INDEX('2_IMPORTAR_EJECUCION'!$H$9:$H$1208,MATCH($AQ436,'2_IMPORTAR_EJECUCION'!$J$9:$J$1208,0)),0)-$AI436))</f>
        <v/>
      </c>
      <c r="AK436" s="11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IF($H437="","",IFERROR(INDEX('CAT_ACTIVIDADES'!$B$4:$B$8,MATCH($H437,'CAT_ACTIVIDADES'!$A$4:$A$8,0)),"(sin catálogo)"))</f>
        <v/>
      </c>
      <c r="AA437" s="13">
        <f>IF($J437="","",TODAY()-$J437)</f>
        <v/>
      </c>
      <c r="AB437" s="13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IF($AE437="","",IF((IFERROR(INDEX('ASIGNACIONES'!$J$4:$J$451,MATCH($O437&amp;"|"&amp;$R437&amp;"|"&amp;$AE437,'ASIGNACIONES'!$N$4:$N$451,0)),""))=0,"",IFERROR(INDEX('ASIGNACIONES'!$J$4:$J$451,MATCH($O437&amp;"|"&amp;$R437&amp;"|"&amp;$AE437,'ASIGNACIONES'!$N$4:$N$451,0)),"")))</f>
        <v/>
      </c>
      <c r="AG437" s="14">
        <f>IF($AE437="","",SUMIFS('ORDENES'!$M$4:$M$1203,'ORDENES'!$AE$4:$AE$1203,$AE437,'ORDENES'!$O$4:$O$1203,$O437,'ORDENES'!$R$4:$R$1203,$R437))</f>
        <v/>
      </c>
      <c r="AH437" s="14">
        <f>IF($AG437="","",p_factor_productividad*IFERROR(INDEX('ASIGNACIONES'!$M$4:$M$451,MATCH($O437&amp;"|"&amp;$R437&amp;"|"&amp;$AE437,'ASIGNACIONES'!$N$4:$N$451,0)),0)-$AG437)</f>
        <v/>
      </c>
      <c r="AI437" s="11">
        <f>IF($A437="","",IFERROR(INDEX('2_IMPORTAR_EJECUCION'!$F$9:$F$1208,MATCH($AQ437,'2_IMPORTAR_EJECUCION'!$J$9:$J$1208,0)),0))</f>
        <v/>
      </c>
      <c r="AJ437" s="11">
        <f>IF($A437="","",MAX(0,IFERROR(INDEX('2_IMPORTAR_EJECUCION'!$H$9:$H$1208,MATCH($AQ437,'2_IMPORTAR_EJECUCION'!$J$9:$J$1208,0)),0)-$AI437))</f>
        <v/>
      </c>
      <c r="AK437" s="11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IF($H438="","",IFERROR(INDEX('CAT_ACTIVIDADES'!$B$4:$B$8,MATCH($H438,'CAT_ACTIVIDADES'!$A$4:$A$8,0)),"(sin catálogo)"))</f>
        <v/>
      </c>
      <c r="AA438" s="13">
        <f>IF($J438="","",TODAY()-$J438)</f>
        <v/>
      </c>
      <c r="AB438" s="13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IF($AE438="","",IF((IFERROR(INDEX('ASIGNACIONES'!$J$4:$J$451,MATCH($O438&amp;"|"&amp;$R438&amp;"|"&amp;$AE438,'ASIGNACIONES'!$N$4:$N$451,0)),""))=0,"",IFERROR(INDEX('ASIGNACIONES'!$J$4:$J$451,MATCH($O438&amp;"|"&amp;$R438&amp;"|"&amp;$AE438,'ASIGNACIONES'!$N$4:$N$451,0)),"")))</f>
        <v/>
      </c>
      <c r="AG438" s="14">
        <f>IF($AE438="","",SUMIFS('ORDENES'!$M$4:$M$1203,'ORDENES'!$AE$4:$AE$1203,$AE438,'ORDENES'!$O$4:$O$1203,$O438,'ORDENES'!$R$4:$R$1203,$R438))</f>
        <v/>
      </c>
      <c r="AH438" s="14">
        <f>IF($AG438="","",p_factor_productividad*IFERROR(INDEX('ASIGNACIONES'!$M$4:$M$451,MATCH($O438&amp;"|"&amp;$R438&amp;"|"&amp;$AE438,'ASIGNACIONES'!$N$4:$N$451,0)),0)-$AG438)</f>
        <v/>
      </c>
      <c r="AI438" s="11">
        <f>IF($A438="","",IFERROR(INDEX('2_IMPORTAR_EJECUCION'!$F$9:$F$1208,MATCH($AQ438,'2_IMPORTAR_EJECUCION'!$J$9:$J$1208,0)),0))</f>
        <v/>
      </c>
      <c r="AJ438" s="11">
        <f>IF($A438="","",MAX(0,IFERROR(INDEX('2_IMPORTAR_EJECUCION'!$H$9:$H$1208,MATCH($AQ438,'2_IMPORTAR_EJECUCION'!$J$9:$J$1208,0)),0)-$AI438))</f>
        <v/>
      </c>
      <c r="AK438" s="11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IF($H439="","",IFERROR(INDEX('CAT_ACTIVIDADES'!$B$4:$B$8,MATCH($H439,'CAT_ACTIVIDADES'!$A$4:$A$8,0)),"(sin catálogo)"))</f>
        <v/>
      </c>
      <c r="AA439" s="13">
        <f>IF($J439="","",TODAY()-$J439)</f>
        <v/>
      </c>
      <c r="AB439" s="13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IF($AE439="","",IF((IFERROR(INDEX('ASIGNACIONES'!$J$4:$J$451,MATCH($O439&amp;"|"&amp;$R439&amp;"|"&amp;$AE439,'ASIGNACIONES'!$N$4:$N$451,0)),""))=0,"",IFERROR(INDEX('ASIGNACIONES'!$J$4:$J$451,MATCH($O439&amp;"|"&amp;$R439&amp;"|"&amp;$AE439,'ASIGNACIONES'!$N$4:$N$451,0)),"")))</f>
        <v/>
      </c>
      <c r="AG439" s="14">
        <f>IF($AE439="","",SUMIFS('ORDENES'!$M$4:$M$1203,'ORDENES'!$AE$4:$AE$1203,$AE439,'ORDENES'!$O$4:$O$1203,$O439,'ORDENES'!$R$4:$R$1203,$R439))</f>
        <v/>
      </c>
      <c r="AH439" s="14">
        <f>IF($AG439="","",p_factor_productividad*IFERROR(INDEX('ASIGNACIONES'!$M$4:$M$451,MATCH($O439&amp;"|"&amp;$R439&amp;"|"&amp;$AE439,'ASIGNACIONES'!$N$4:$N$451,0)),0)-$AG439)</f>
        <v/>
      </c>
      <c r="AI439" s="11">
        <f>IF($A439="","",IFERROR(INDEX('2_IMPORTAR_EJECUCION'!$F$9:$F$1208,MATCH($AQ439,'2_IMPORTAR_EJECUCION'!$J$9:$J$1208,0)),0))</f>
        <v/>
      </c>
      <c r="AJ439" s="11">
        <f>IF($A439="","",MAX(0,IFERROR(INDEX('2_IMPORTAR_EJECUCION'!$H$9:$H$1208,MATCH($AQ439,'2_IMPORTAR_EJECUCION'!$J$9:$J$1208,0)),0)-$AI439))</f>
        <v/>
      </c>
      <c r="AK439" s="11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IF($H440="","",IFERROR(INDEX('CAT_ACTIVIDADES'!$B$4:$B$8,MATCH($H440,'CAT_ACTIVIDADES'!$A$4:$A$8,0)),"(sin catálogo)"))</f>
        <v/>
      </c>
      <c r="AA440" s="13">
        <f>IF($J440="","",TODAY()-$J440)</f>
        <v/>
      </c>
      <c r="AB440" s="13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IF($AE440="","",IF((IFERROR(INDEX('ASIGNACIONES'!$J$4:$J$451,MATCH($O440&amp;"|"&amp;$R440&amp;"|"&amp;$AE440,'ASIGNACIONES'!$N$4:$N$451,0)),""))=0,"",IFERROR(INDEX('ASIGNACIONES'!$J$4:$J$451,MATCH($O440&amp;"|"&amp;$R440&amp;"|"&amp;$AE440,'ASIGNACIONES'!$N$4:$N$451,0)),"")))</f>
        <v/>
      </c>
      <c r="AG440" s="14">
        <f>IF($AE440="","",SUMIFS('ORDENES'!$M$4:$M$1203,'ORDENES'!$AE$4:$AE$1203,$AE440,'ORDENES'!$O$4:$O$1203,$O440,'ORDENES'!$R$4:$R$1203,$R440))</f>
        <v/>
      </c>
      <c r="AH440" s="14">
        <f>IF($AG440="","",p_factor_productividad*IFERROR(INDEX('ASIGNACIONES'!$M$4:$M$451,MATCH($O440&amp;"|"&amp;$R440&amp;"|"&amp;$AE440,'ASIGNACIONES'!$N$4:$N$451,0)),0)-$AG440)</f>
        <v/>
      </c>
      <c r="AI440" s="11">
        <f>IF($A440="","",IFERROR(INDEX('2_IMPORTAR_EJECUCION'!$F$9:$F$1208,MATCH($AQ440,'2_IMPORTAR_EJECUCION'!$J$9:$J$1208,0)),0))</f>
        <v/>
      </c>
      <c r="AJ440" s="11">
        <f>IF($A440="","",MAX(0,IFERROR(INDEX('2_IMPORTAR_EJECUCION'!$H$9:$H$1208,MATCH($AQ440,'2_IMPORTAR_EJECUCION'!$J$9:$J$1208,0)),0)-$AI440))</f>
        <v/>
      </c>
      <c r="AK440" s="11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IF($H441="","",IFERROR(INDEX('CAT_ACTIVIDADES'!$B$4:$B$8,MATCH($H441,'CAT_ACTIVIDADES'!$A$4:$A$8,0)),"(sin catálogo)"))</f>
        <v/>
      </c>
      <c r="AA441" s="13">
        <f>IF($J441="","",TODAY()-$J441)</f>
        <v/>
      </c>
      <c r="AB441" s="13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IF($AE441="","",IF((IFERROR(INDEX('ASIGNACIONES'!$J$4:$J$451,MATCH($O441&amp;"|"&amp;$R441&amp;"|"&amp;$AE441,'ASIGNACIONES'!$N$4:$N$451,0)),""))=0,"",IFERROR(INDEX('ASIGNACIONES'!$J$4:$J$451,MATCH($O441&amp;"|"&amp;$R441&amp;"|"&amp;$AE441,'ASIGNACIONES'!$N$4:$N$451,0)),"")))</f>
        <v/>
      </c>
      <c r="AG441" s="14">
        <f>IF($AE441="","",SUMIFS('ORDENES'!$M$4:$M$1203,'ORDENES'!$AE$4:$AE$1203,$AE441,'ORDENES'!$O$4:$O$1203,$O441,'ORDENES'!$R$4:$R$1203,$R441))</f>
        <v/>
      </c>
      <c r="AH441" s="14">
        <f>IF($AG441="","",p_factor_productividad*IFERROR(INDEX('ASIGNACIONES'!$M$4:$M$451,MATCH($O441&amp;"|"&amp;$R441&amp;"|"&amp;$AE441,'ASIGNACIONES'!$N$4:$N$451,0)),0)-$AG441)</f>
        <v/>
      </c>
      <c r="AI441" s="11">
        <f>IF($A441="","",IFERROR(INDEX('2_IMPORTAR_EJECUCION'!$F$9:$F$1208,MATCH($AQ441,'2_IMPORTAR_EJECUCION'!$J$9:$J$1208,0)),0))</f>
        <v/>
      </c>
      <c r="AJ441" s="11">
        <f>IF($A441="","",MAX(0,IFERROR(INDEX('2_IMPORTAR_EJECUCION'!$H$9:$H$1208,MATCH($AQ441,'2_IMPORTAR_EJECUCION'!$J$9:$J$1208,0)),0)-$AI441))</f>
        <v/>
      </c>
      <c r="AK441" s="11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IF($H442="","",IFERROR(INDEX('CAT_ACTIVIDADES'!$B$4:$B$8,MATCH($H442,'CAT_ACTIVIDADES'!$A$4:$A$8,0)),"(sin catálogo)"))</f>
        <v/>
      </c>
      <c r="AA442" s="13">
        <f>IF($J442="","",TODAY()-$J442)</f>
        <v/>
      </c>
      <c r="AB442" s="13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IF($AE442="","",IF((IFERROR(INDEX('ASIGNACIONES'!$J$4:$J$451,MATCH($O442&amp;"|"&amp;$R442&amp;"|"&amp;$AE442,'ASIGNACIONES'!$N$4:$N$451,0)),""))=0,"",IFERROR(INDEX('ASIGNACIONES'!$J$4:$J$451,MATCH($O442&amp;"|"&amp;$R442&amp;"|"&amp;$AE442,'ASIGNACIONES'!$N$4:$N$451,0)),"")))</f>
        <v/>
      </c>
      <c r="AG442" s="14">
        <f>IF($AE442="","",SUMIFS('ORDENES'!$M$4:$M$1203,'ORDENES'!$AE$4:$AE$1203,$AE442,'ORDENES'!$O$4:$O$1203,$O442,'ORDENES'!$R$4:$R$1203,$R442))</f>
        <v/>
      </c>
      <c r="AH442" s="14">
        <f>IF($AG442="","",p_factor_productividad*IFERROR(INDEX('ASIGNACIONES'!$M$4:$M$451,MATCH($O442&amp;"|"&amp;$R442&amp;"|"&amp;$AE442,'ASIGNACIONES'!$N$4:$N$451,0)),0)-$AG442)</f>
        <v/>
      </c>
      <c r="AI442" s="11">
        <f>IF($A442="","",IFERROR(INDEX('2_IMPORTAR_EJECUCION'!$F$9:$F$1208,MATCH($AQ442,'2_IMPORTAR_EJECUCION'!$J$9:$J$1208,0)),0))</f>
        <v/>
      </c>
      <c r="AJ442" s="11">
        <f>IF($A442="","",MAX(0,IFERROR(INDEX('2_IMPORTAR_EJECUCION'!$H$9:$H$1208,MATCH($AQ442,'2_IMPORTAR_EJECUCION'!$J$9:$J$1208,0)),0)-$AI442))</f>
        <v/>
      </c>
      <c r="AK442" s="11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IF($H443="","",IFERROR(INDEX('CAT_ACTIVIDADES'!$B$4:$B$8,MATCH($H443,'CAT_ACTIVIDADES'!$A$4:$A$8,0)),"(sin catálogo)"))</f>
        <v/>
      </c>
      <c r="AA443" s="13">
        <f>IF($J443="","",TODAY()-$J443)</f>
        <v/>
      </c>
      <c r="AB443" s="13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IF($AE443="","",IF((IFERROR(INDEX('ASIGNACIONES'!$J$4:$J$451,MATCH($O443&amp;"|"&amp;$R443&amp;"|"&amp;$AE443,'ASIGNACIONES'!$N$4:$N$451,0)),""))=0,"",IFERROR(INDEX('ASIGNACIONES'!$J$4:$J$451,MATCH($O443&amp;"|"&amp;$R443&amp;"|"&amp;$AE443,'ASIGNACIONES'!$N$4:$N$451,0)),"")))</f>
        <v/>
      </c>
      <c r="AG443" s="14">
        <f>IF($AE443="","",SUMIFS('ORDENES'!$M$4:$M$1203,'ORDENES'!$AE$4:$AE$1203,$AE443,'ORDENES'!$O$4:$O$1203,$O443,'ORDENES'!$R$4:$R$1203,$R443))</f>
        <v/>
      </c>
      <c r="AH443" s="14">
        <f>IF($AG443="","",p_factor_productividad*IFERROR(INDEX('ASIGNACIONES'!$M$4:$M$451,MATCH($O443&amp;"|"&amp;$R443&amp;"|"&amp;$AE443,'ASIGNACIONES'!$N$4:$N$451,0)),0)-$AG443)</f>
        <v/>
      </c>
      <c r="AI443" s="11">
        <f>IF($A443="","",IFERROR(INDEX('2_IMPORTAR_EJECUCION'!$F$9:$F$1208,MATCH($AQ443,'2_IMPORTAR_EJECUCION'!$J$9:$J$1208,0)),0))</f>
        <v/>
      </c>
      <c r="AJ443" s="11">
        <f>IF($A443="","",MAX(0,IFERROR(INDEX('2_IMPORTAR_EJECUCION'!$H$9:$H$1208,MATCH($AQ443,'2_IMPORTAR_EJECUCION'!$J$9:$J$1208,0)),0)-$AI443))</f>
        <v/>
      </c>
      <c r="AK443" s="11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IF($H444="","",IFERROR(INDEX('CAT_ACTIVIDADES'!$B$4:$B$8,MATCH($H444,'CAT_ACTIVIDADES'!$A$4:$A$8,0)),"(sin catálogo)"))</f>
        <v/>
      </c>
      <c r="AA444" s="13">
        <f>IF($J444="","",TODAY()-$J444)</f>
        <v/>
      </c>
      <c r="AB444" s="13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IF($AE444="","",IF((IFERROR(INDEX('ASIGNACIONES'!$J$4:$J$451,MATCH($O444&amp;"|"&amp;$R444&amp;"|"&amp;$AE444,'ASIGNACIONES'!$N$4:$N$451,0)),""))=0,"",IFERROR(INDEX('ASIGNACIONES'!$J$4:$J$451,MATCH($O444&amp;"|"&amp;$R444&amp;"|"&amp;$AE444,'ASIGNACIONES'!$N$4:$N$451,0)),"")))</f>
        <v/>
      </c>
      <c r="AG444" s="14">
        <f>IF($AE444="","",SUMIFS('ORDENES'!$M$4:$M$1203,'ORDENES'!$AE$4:$AE$1203,$AE444,'ORDENES'!$O$4:$O$1203,$O444,'ORDENES'!$R$4:$R$1203,$R444))</f>
        <v/>
      </c>
      <c r="AH444" s="14">
        <f>IF($AG444="","",p_factor_productividad*IFERROR(INDEX('ASIGNACIONES'!$M$4:$M$451,MATCH($O444&amp;"|"&amp;$R444&amp;"|"&amp;$AE444,'ASIGNACIONES'!$N$4:$N$451,0)),0)-$AG444)</f>
        <v/>
      </c>
      <c r="AI444" s="11">
        <f>IF($A444="","",IFERROR(INDEX('2_IMPORTAR_EJECUCION'!$F$9:$F$1208,MATCH($AQ444,'2_IMPORTAR_EJECUCION'!$J$9:$J$1208,0)),0))</f>
        <v/>
      </c>
      <c r="AJ444" s="11">
        <f>IF($A444="","",MAX(0,IFERROR(INDEX('2_IMPORTAR_EJECUCION'!$H$9:$H$1208,MATCH($AQ444,'2_IMPORTAR_EJECUCION'!$J$9:$J$1208,0)),0)-$AI444))</f>
        <v/>
      </c>
      <c r="AK444" s="11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IF($H445="","",IFERROR(INDEX('CAT_ACTIVIDADES'!$B$4:$B$8,MATCH($H445,'CAT_ACTIVIDADES'!$A$4:$A$8,0)),"(sin catálogo)"))</f>
        <v/>
      </c>
      <c r="AA445" s="13">
        <f>IF($J445="","",TODAY()-$J445)</f>
        <v/>
      </c>
      <c r="AB445" s="13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IF($AE445="","",IF((IFERROR(INDEX('ASIGNACIONES'!$J$4:$J$451,MATCH($O445&amp;"|"&amp;$R445&amp;"|"&amp;$AE445,'ASIGNACIONES'!$N$4:$N$451,0)),""))=0,"",IFERROR(INDEX('ASIGNACIONES'!$J$4:$J$451,MATCH($O445&amp;"|"&amp;$R445&amp;"|"&amp;$AE445,'ASIGNACIONES'!$N$4:$N$451,0)),"")))</f>
        <v/>
      </c>
      <c r="AG445" s="14">
        <f>IF($AE445="","",SUMIFS('ORDENES'!$M$4:$M$1203,'ORDENES'!$AE$4:$AE$1203,$AE445,'ORDENES'!$O$4:$O$1203,$O445,'ORDENES'!$R$4:$R$1203,$R445))</f>
        <v/>
      </c>
      <c r="AH445" s="14">
        <f>IF($AG445="","",p_factor_productividad*IFERROR(INDEX('ASIGNACIONES'!$M$4:$M$451,MATCH($O445&amp;"|"&amp;$R445&amp;"|"&amp;$AE445,'ASIGNACIONES'!$N$4:$N$451,0)),0)-$AG445)</f>
        <v/>
      </c>
      <c r="AI445" s="11">
        <f>IF($A445="","",IFERROR(INDEX('2_IMPORTAR_EJECUCION'!$F$9:$F$1208,MATCH($AQ445,'2_IMPORTAR_EJECUCION'!$J$9:$J$1208,0)),0))</f>
        <v/>
      </c>
      <c r="AJ445" s="11">
        <f>IF($A445="","",MAX(0,IFERROR(INDEX('2_IMPORTAR_EJECUCION'!$H$9:$H$1208,MATCH($AQ445,'2_IMPORTAR_EJECUCION'!$J$9:$J$1208,0)),0)-$AI445))</f>
        <v/>
      </c>
      <c r="AK445" s="11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IF($H446="","",IFERROR(INDEX('CAT_ACTIVIDADES'!$B$4:$B$8,MATCH($H446,'CAT_ACTIVIDADES'!$A$4:$A$8,0)),"(sin catálogo)"))</f>
        <v/>
      </c>
      <c r="AA446" s="13">
        <f>IF($J446="","",TODAY()-$J446)</f>
        <v/>
      </c>
      <c r="AB446" s="13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IF($AE446="","",IF((IFERROR(INDEX('ASIGNACIONES'!$J$4:$J$451,MATCH($O446&amp;"|"&amp;$R446&amp;"|"&amp;$AE446,'ASIGNACIONES'!$N$4:$N$451,0)),""))=0,"",IFERROR(INDEX('ASIGNACIONES'!$J$4:$J$451,MATCH($O446&amp;"|"&amp;$R446&amp;"|"&amp;$AE446,'ASIGNACIONES'!$N$4:$N$451,0)),"")))</f>
        <v/>
      </c>
      <c r="AG446" s="14">
        <f>IF($AE446="","",SUMIFS('ORDENES'!$M$4:$M$1203,'ORDENES'!$AE$4:$AE$1203,$AE446,'ORDENES'!$O$4:$O$1203,$O446,'ORDENES'!$R$4:$R$1203,$R446))</f>
        <v/>
      </c>
      <c r="AH446" s="14">
        <f>IF($AG446="","",p_factor_productividad*IFERROR(INDEX('ASIGNACIONES'!$M$4:$M$451,MATCH($O446&amp;"|"&amp;$R446&amp;"|"&amp;$AE446,'ASIGNACIONES'!$N$4:$N$451,0)),0)-$AG446)</f>
        <v/>
      </c>
      <c r="AI446" s="11">
        <f>IF($A446="","",IFERROR(INDEX('2_IMPORTAR_EJECUCION'!$F$9:$F$1208,MATCH($AQ446,'2_IMPORTAR_EJECUCION'!$J$9:$J$1208,0)),0))</f>
        <v/>
      </c>
      <c r="AJ446" s="11">
        <f>IF($A446="","",MAX(0,IFERROR(INDEX('2_IMPORTAR_EJECUCION'!$H$9:$H$1208,MATCH($AQ446,'2_IMPORTAR_EJECUCION'!$J$9:$J$1208,0)),0)-$AI446))</f>
        <v/>
      </c>
      <c r="AK446" s="11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IF($H447="","",IFERROR(INDEX('CAT_ACTIVIDADES'!$B$4:$B$8,MATCH($H447,'CAT_ACTIVIDADES'!$A$4:$A$8,0)),"(sin catálogo)"))</f>
        <v/>
      </c>
      <c r="AA447" s="13">
        <f>IF($J447="","",TODAY()-$J447)</f>
        <v/>
      </c>
      <c r="AB447" s="13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IF($AE447="","",IF((IFERROR(INDEX('ASIGNACIONES'!$J$4:$J$451,MATCH($O447&amp;"|"&amp;$R447&amp;"|"&amp;$AE447,'ASIGNACIONES'!$N$4:$N$451,0)),""))=0,"",IFERROR(INDEX('ASIGNACIONES'!$J$4:$J$451,MATCH($O447&amp;"|"&amp;$R447&amp;"|"&amp;$AE447,'ASIGNACIONES'!$N$4:$N$451,0)),"")))</f>
        <v/>
      </c>
      <c r="AG447" s="14">
        <f>IF($AE447="","",SUMIFS('ORDENES'!$M$4:$M$1203,'ORDENES'!$AE$4:$AE$1203,$AE447,'ORDENES'!$O$4:$O$1203,$O447,'ORDENES'!$R$4:$R$1203,$R447))</f>
        <v/>
      </c>
      <c r="AH447" s="14">
        <f>IF($AG447="","",p_factor_productividad*IFERROR(INDEX('ASIGNACIONES'!$M$4:$M$451,MATCH($O447&amp;"|"&amp;$R447&amp;"|"&amp;$AE447,'ASIGNACIONES'!$N$4:$N$451,0)),0)-$AG447)</f>
        <v/>
      </c>
      <c r="AI447" s="11">
        <f>IF($A447="","",IFERROR(INDEX('2_IMPORTAR_EJECUCION'!$F$9:$F$1208,MATCH($AQ447,'2_IMPORTAR_EJECUCION'!$J$9:$J$1208,0)),0))</f>
        <v/>
      </c>
      <c r="AJ447" s="11">
        <f>IF($A447="","",MAX(0,IFERROR(INDEX('2_IMPORTAR_EJECUCION'!$H$9:$H$1208,MATCH($AQ447,'2_IMPORTAR_EJECUCION'!$J$9:$J$1208,0)),0)-$AI447))</f>
        <v/>
      </c>
      <c r="AK447" s="11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IF($H448="","",IFERROR(INDEX('CAT_ACTIVIDADES'!$B$4:$B$8,MATCH($H448,'CAT_ACTIVIDADES'!$A$4:$A$8,0)),"(sin catálogo)"))</f>
        <v/>
      </c>
      <c r="AA448" s="13">
        <f>IF($J448="","",TODAY()-$J448)</f>
        <v/>
      </c>
      <c r="AB448" s="13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IF($AE448="","",IF((IFERROR(INDEX('ASIGNACIONES'!$J$4:$J$451,MATCH($O448&amp;"|"&amp;$R448&amp;"|"&amp;$AE448,'ASIGNACIONES'!$N$4:$N$451,0)),""))=0,"",IFERROR(INDEX('ASIGNACIONES'!$J$4:$J$451,MATCH($O448&amp;"|"&amp;$R448&amp;"|"&amp;$AE448,'ASIGNACIONES'!$N$4:$N$451,0)),"")))</f>
        <v/>
      </c>
      <c r="AG448" s="14">
        <f>IF($AE448="","",SUMIFS('ORDENES'!$M$4:$M$1203,'ORDENES'!$AE$4:$AE$1203,$AE448,'ORDENES'!$O$4:$O$1203,$O448,'ORDENES'!$R$4:$R$1203,$R448))</f>
        <v/>
      </c>
      <c r="AH448" s="14">
        <f>IF($AG448="","",p_factor_productividad*IFERROR(INDEX('ASIGNACIONES'!$M$4:$M$451,MATCH($O448&amp;"|"&amp;$R448&amp;"|"&amp;$AE448,'ASIGNACIONES'!$N$4:$N$451,0)),0)-$AG448)</f>
        <v/>
      </c>
      <c r="AI448" s="11">
        <f>IF($A448="","",IFERROR(INDEX('2_IMPORTAR_EJECUCION'!$F$9:$F$1208,MATCH($AQ448,'2_IMPORTAR_EJECUCION'!$J$9:$J$1208,0)),0))</f>
        <v/>
      </c>
      <c r="AJ448" s="11">
        <f>IF($A448="","",MAX(0,IFERROR(INDEX('2_IMPORTAR_EJECUCION'!$H$9:$H$1208,MATCH($AQ448,'2_IMPORTAR_EJECUCION'!$J$9:$J$1208,0)),0)-$AI448))</f>
        <v/>
      </c>
      <c r="AK448" s="11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IF($H449="","",IFERROR(INDEX('CAT_ACTIVIDADES'!$B$4:$B$8,MATCH($H449,'CAT_ACTIVIDADES'!$A$4:$A$8,0)),"(sin catálogo)"))</f>
        <v/>
      </c>
      <c r="AA449" s="13">
        <f>IF($J449="","",TODAY()-$J449)</f>
        <v/>
      </c>
      <c r="AB449" s="13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IF($AE449="","",IF((IFERROR(INDEX('ASIGNACIONES'!$J$4:$J$451,MATCH($O449&amp;"|"&amp;$R449&amp;"|"&amp;$AE449,'ASIGNACIONES'!$N$4:$N$451,0)),""))=0,"",IFERROR(INDEX('ASIGNACIONES'!$J$4:$J$451,MATCH($O449&amp;"|"&amp;$R449&amp;"|"&amp;$AE449,'ASIGNACIONES'!$N$4:$N$451,0)),"")))</f>
        <v/>
      </c>
      <c r="AG449" s="14">
        <f>IF($AE449="","",SUMIFS('ORDENES'!$M$4:$M$1203,'ORDENES'!$AE$4:$AE$1203,$AE449,'ORDENES'!$O$4:$O$1203,$O449,'ORDENES'!$R$4:$R$1203,$R449))</f>
        <v/>
      </c>
      <c r="AH449" s="14">
        <f>IF($AG449="","",p_factor_productividad*IFERROR(INDEX('ASIGNACIONES'!$M$4:$M$451,MATCH($O449&amp;"|"&amp;$R449&amp;"|"&amp;$AE449,'ASIGNACIONES'!$N$4:$N$451,0)),0)-$AG449)</f>
        <v/>
      </c>
      <c r="AI449" s="11">
        <f>IF($A449="","",IFERROR(INDEX('2_IMPORTAR_EJECUCION'!$F$9:$F$1208,MATCH($AQ449,'2_IMPORTAR_EJECUCION'!$J$9:$J$1208,0)),0))</f>
        <v/>
      </c>
      <c r="AJ449" s="11">
        <f>IF($A449="","",MAX(0,IFERROR(INDEX('2_IMPORTAR_EJECUCION'!$H$9:$H$1208,MATCH($AQ449,'2_IMPORTAR_EJECUCION'!$J$9:$J$1208,0)),0)-$AI449))</f>
        <v/>
      </c>
      <c r="AK449" s="11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IF($H450="","",IFERROR(INDEX('CAT_ACTIVIDADES'!$B$4:$B$8,MATCH($H450,'CAT_ACTIVIDADES'!$A$4:$A$8,0)),"(sin catálogo)"))</f>
        <v/>
      </c>
      <c r="AA450" s="13">
        <f>IF($J450="","",TODAY()-$J450)</f>
        <v/>
      </c>
      <c r="AB450" s="13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IF($AE450="","",IF((IFERROR(INDEX('ASIGNACIONES'!$J$4:$J$451,MATCH($O450&amp;"|"&amp;$R450&amp;"|"&amp;$AE450,'ASIGNACIONES'!$N$4:$N$451,0)),""))=0,"",IFERROR(INDEX('ASIGNACIONES'!$J$4:$J$451,MATCH($O450&amp;"|"&amp;$R450&amp;"|"&amp;$AE450,'ASIGNACIONES'!$N$4:$N$451,0)),"")))</f>
        <v/>
      </c>
      <c r="AG450" s="14">
        <f>IF($AE450="","",SUMIFS('ORDENES'!$M$4:$M$1203,'ORDENES'!$AE$4:$AE$1203,$AE450,'ORDENES'!$O$4:$O$1203,$O450,'ORDENES'!$R$4:$R$1203,$R450))</f>
        <v/>
      </c>
      <c r="AH450" s="14">
        <f>IF($AG450="","",p_factor_productividad*IFERROR(INDEX('ASIGNACIONES'!$M$4:$M$451,MATCH($O450&amp;"|"&amp;$R450&amp;"|"&amp;$AE450,'ASIGNACIONES'!$N$4:$N$451,0)),0)-$AG450)</f>
        <v/>
      </c>
      <c r="AI450" s="11">
        <f>IF($A450="","",IFERROR(INDEX('2_IMPORTAR_EJECUCION'!$F$9:$F$1208,MATCH($AQ450,'2_IMPORTAR_EJECUCION'!$J$9:$J$1208,0)),0))</f>
        <v/>
      </c>
      <c r="AJ450" s="11">
        <f>IF($A450="","",MAX(0,IFERROR(INDEX('2_IMPORTAR_EJECUCION'!$H$9:$H$1208,MATCH($AQ450,'2_IMPORTAR_EJECUCION'!$J$9:$J$1208,0)),0)-$AI450))</f>
        <v/>
      </c>
      <c r="AK450" s="11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IF($H451="","",IFERROR(INDEX('CAT_ACTIVIDADES'!$B$4:$B$8,MATCH($H451,'CAT_ACTIVIDADES'!$A$4:$A$8,0)),"(sin catálogo)"))</f>
        <v/>
      </c>
      <c r="AA451" s="13">
        <f>IF($J451="","",TODAY()-$J451)</f>
        <v/>
      </c>
      <c r="AB451" s="13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IF($AE451="","",IF((IFERROR(INDEX('ASIGNACIONES'!$J$4:$J$451,MATCH($O451&amp;"|"&amp;$R451&amp;"|"&amp;$AE451,'ASIGNACIONES'!$N$4:$N$451,0)),""))=0,"",IFERROR(INDEX('ASIGNACIONES'!$J$4:$J$451,MATCH($O451&amp;"|"&amp;$R451&amp;"|"&amp;$AE451,'ASIGNACIONES'!$N$4:$N$451,0)),"")))</f>
        <v/>
      </c>
      <c r="AG451" s="14">
        <f>IF($AE451="","",SUMIFS('ORDENES'!$M$4:$M$1203,'ORDENES'!$AE$4:$AE$1203,$AE451,'ORDENES'!$O$4:$O$1203,$O451,'ORDENES'!$R$4:$R$1203,$R451))</f>
        <v/>
      </c>
      <c r="AH451" s="14">
        <f>IF($AG451="","",p_factor_productividad*IFERROR(INDEX('ASIGNACIONES'!$M$4:$M$451,MATCH($O451&amp;"|"&amp;$R451&amp;"|"&amp;$AE451,'ASIGNACIONES'!$N$4:$N$451,0)),0)-$AG451)</f>
        <v/>
      </c>
      <c r="AI451" s="11">
        <f>IF($A451="","",IFERROR(INDEX('2_IMPORTAR_EJECUCION'!$F$9:$F$1208,MATCH($AQ451,'2_IMPORTAR_EJECUCION'!$J$9:$J$1208,0)),0))</f>
        <v/>
      </c>
      <c r="AJ451" s="11">
        <f>IF($A451="","",MAX(0,IFERROR(INDEX('2_IMPORTAR_EJECUCION'!$H$9:$H$1208,MATCH($AQ451,'2_IMPORTAR_EJECUCION'!$J$9:$J$1208,0)),0)-$AI451))</f>
        <v/>
      </c>
      <c r="AK451" s="11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IF($H452="","",IFERROR(INDEX('CAT_ACTIVIDADES'!$B$4:$B$8,MATCH($H452,'CAT_ACTIVIDADES'!$A$4:$A$8,0)),"(sin catálogo)"))</f>
        <v/>
      </c>
      <c r="AA452" s="13">
        <f>IF($J452="","",TODAY()-$J452)</f>
        <v/>
      </c>
      <c r="AB452" s="13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IF($AE452="","",IF((IFERROR(INDEX('ASIGNACIONES'!$J$4:$J$451,MATCH($O452&amp;"|"&amp;$R452&amp;"|"&amp;$AE452,'ASIGNACIONES'!$N$4:$N$451,0)),""))=0,"",IFERROR(INDEX('ASIGNACIONES'!$J$4:$J$451,MATCH($O452&amp;"|"&amp;$R452&amp;"|"&amp;$AE452,'ASIGNACIONES'!$N$4:$N$451,0)),"")))</f>
        <v/>
      </c>
      <c r="AG452" s="14">
        <f>IF($AE452="","",SUMIFS('ORDENES'!$M$4:$M$1203,'ORDENES'!$AE$4:$AE$1203,$AE452,'ORDENES'!$O$4:$O$1203,$O452,'ORDENES'!$R$4:$R$1203,$R452))</f>
        <v/>
      </c>
      <c r="AH452" s="14">
        <f>IF($AG452="","",p_factor_productividad*IFERROR(INDEX('ASIGNACIONES'!$M$4:$M$451,MATCH($O452&amp;"|"&amp;$R452&amp;"|"&amp;$AE452,'ASIGNACIONES'!$N$4:$N$451,0)),0)-$AG452)</f>
        <v/>
      </c>
      <c r="AI452" s="11">
        <f>IF($A452="","",IFERROR(INDEX('2_IMPORTAR_EJECUCION'!$F$9:$F$1208,MATCH($AQ452,'2_IMPORTAR_EJECUCION'!$J$9:$J$1208,0)),0))</f>
        <v/>
      </c>
      <c r="AJ452" s="11">
        <f>IF($A452="","",MAX(0,IFERROR(INDEX('2_IMPORTAR_EJECUCION'!$H$9:$H$1208,MATCH($AQ452,'2_IMPORTAR_EJECUCION'!$J$9:$J$1208,0)),0)-$AI452))</f>
        <v/>
      </c>
      <c r="AK452" s="11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IF($H453="","",IFERROR(INDEX('CAT_ACTIVIDADES'!$B$4:$B$8,MATCH($H453,'CAT_ACTIVIDADES'!$A$4:$A$8,0)),"(sin catálogo)"))</f>
        <v/>
      </c>
      <c r="AA453" s="13">
        <f>IF($J453="","",TODAY()-$J453)</f>
        <v/>
      </c>
      <c r="AB453" s="13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IF($AE453="","",IF((IFERROR(INDEX('ASIGNACIONES'!$J$4:$J$451,MATCH($O453&amp;"|"&amp;$R453&amp;"|"&amp;$AE453,'ASIGNACIONES'!$N$4:$N$451,0)),""))=0,"",IFERROR(INDEX('ASIGNACIONES'!$J$4:$J$451,MATCH($O453&amp;"|"&amp;$R453&amp;"|"&amp;$AE453,'ASIGNACIONES'!$N$4:$N$451,0)),"")))</f>
        <v/>
      </c>
      <c r="AG453" s="14">
        <f>IF($AE453="","",SUMIFS('ORDENES'!$M$4:$M$1203,'ORDENES'!$AE$4:$AE$1203,$AE453,'ORDENES'!$O$4:$O$1203,$O453,'ORDENES'!$R$4:$R$1203,$R453))</f>
        <v/>
      </c>
      <c r="AH453" s="14">
        <f>IF($AG453="","",p_factor_productividad*IFERROR(INDEX('ASIGNACIONES'!$M$4:$M$451,MATCH($O453&amp;"|"&amp;$R453&amp;"|"&amp;$AE453,'ASIGNACIONES'!$N$4:$N$451,0)),0)-$AG453)</f>
        <v/>
      </c>
      <c r="AI453" s="11">
        <f>IF($A453="","",IFERROR(INDEX('2_IMPORTAR_EJECUCION'!$F$9:$F$1208,MATCH($AQ453,'2_IMPORTAR_EJECUCION'!$J$9:$J$1208,0)),0))</f>
        <v/>
      </c>
      <c r="AJ453" s="11">
        <f>IF($A453="","",MAX(0,IFERROR(INDEX('2_IMPORTAR_EJECUCION'!$H$9:$H$1208,MATCH($AQ453,'2_IMPORTAR_EJECUCION'!$J$9:$J$1208,0)),0)-$AI453))</f>
        <v/>
      </c>
      <c r="AK453" s="11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IF($H454="","",IFERROR(INDEX('CAT_ACTIVIDADES'!$B$4:$B$8,MATCH($H454,'CAT_ACTIVIDADES'!$A$4:$A$8,0)),"(sin catálogo)"))</f>
        <v/>
      </c>
      <c r="AA454" s="13">
        <f>IF($J454="","",TODAY()-$J454)</f>
        <v/>
      </c>
      <c r="AB454" s="13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IF($AE454="","",IF((IFERROR(INDEX('ASIGNACIONES'!$J$4:$J$451,MATCH($O454&amp;"|"&amp;$R454&amp;"|"&amp;$AE454,'ASIGNACIONES'!$N$4:$N$451,0)),""))=0,"",IFERROR(INDEX('ASIGNACIONES'!$J$4:$J$451,MATCH($O454&amp;"|"&amp;$R454&amp;"|"&amp;$AE454,'ASIGNACIONES'!$N$4:$N$451,0)),"")))</f>
        <v/>
      </c>
      <c r="AG454" s="14">
        <f>IF($AE454="","",SUMIFS('ORDENES'!$M$4:$M$1203,'ORDENES'!$AE$4:$AE$1203,$AE454,'ORDENES'!$O$4:$O$1203,$O454,'ORDENES'!$R$4:$R$1203,$R454))</f>
        <v/>
      </c>
      <c r="AH454" s="14">
        <f>IF($AG454="","",p_factor_productividad*IFERROR(INDEX('ASIGNACIONES'!$M$4:$M$451,MATCH($O454&amp;"|"&amp;$R454&amp;"|"&amp;$AE454,'ASIGNACIONES'!$N$4:$N$451,0)),0)-$AG454)</f>
        <v/>
      </c>
      <c r="AI454" s="11">
        <f>IF($A454="","",IFERROR(INDEX('2_IMPORTAR_EJECUCION'!$F$9:$F$1208,MATCH($AQ454,'2_IMPORTAR_EJECUCION'!$J$9:$J$1208,0)),0))</f>
        <v/>
      </c>
      <c r="AJ454" s="11">
        <f>IF($A454="","",MAX(0,IFERROR(INDEX('2_IMPORTAR_EJECUCION'!$H$9:$H$1208,MATCH($AQ454,'2_IMPORTAR_EJECUCION'!$J$9:$J$1208,0)),0)-$AI454))</f>
        <v/>
      </c>
      <c r="AK454" s="11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IF($H455="","",IFERROR(INDEX('CAT_ACTIVIDADES'!$B$4:$B$8,MATCH($H455,'CAT_ACTIVIDADES'!$A$4:$A$8,0)),"(sin catálogo)"))</f>
        <v/>
      </c>
      <c r="AA455" s="13">
        <f>IF($J455="","",TODAY()-$J455)</f>
        <v/>
      </c>
      <c r="AB455" s="13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IF($AE455="","",IF((IFERROR(INDEX('ASIGNACIONES'!$J$4:$J$451,MATCH($O455&amp;"|"&amp;$R455&amp;"|"&amp;$AE455,'ASIGNACIONES'!$N$4:$N$451,0)),""))=0,"",IFERROR(INDEX('ASIGNACIONES'!$J$4:$J$451,MATCH($O455&amp;"|"&amp;$R455&amp;"|"&amp;$AE455,'ASIGNACIONES'!$N$4:$N$451,0)),"")))</f>
        <v/>
      </c>
      <c r="AG455" s="14">
        <f>IF($AE455="","",SUMIFS('ORDENES'!$M$4:$M$1203,'ORDENES'!$AE$4:$AE$1203,$AE455,'ORDENES'!$O$4:$O$1203,$O455,'ORDENES'!$R$4:$R$1203,$R455))</f>
        <v/>
      </c>
      <c r="AH455" s="14">
        <f>IF($AG455="","",p_factor_productividad*IFERROR(INDEX('ASIGNACIONES'!$M$4:$M$451,MATCH($O455&amp;"|"&amp;$R455&amp;"|"&amp;$AE455,'ASIGNACIONES'!$N$4:$N$451,0)),0)-$AG455)</f>
        <v/>
      </c>
      <c r="AI455" s="11">
        <f>IF($A455="","",IFERROR(INDEX('2_IMPORTAR_EJECUCION'!$F$9:$F$1208,MATCH($AQ455,'2_IMPORTAR_EJECUCION'!$J$9:$J$1208,0)),0))</f>
        <v/>
      </c>
      <c r="AJ455" s="11">
        <f>IF($A455="","",MAX(0,IFERROR(INDEX('2_IMPORTAR_EJECUCION'!$H$9:$H$1208,MATCH($AQ455,'2_IMPORTAR_EJECUCION'!$J$9:$J$1208,0)),0)-$AI455))</f>
        <v/>
      </c>
      <c r="AK455" s="11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IF($H456="","",IFERROR(INDEX('CAT_ACTIVIDADES'!$B$4:$B$8,MATCH($H456,'CAT_ACTIVIDADES'!$A$4:$A$8,0)),"(sin catálogo)"))</f>
        <v/>
      </c>
      <c r="AA456" s="13">
        <f>IF($J456="","",TODAY()-$J456)</f>
        <v/>
      </c>
      <c r="AB456" s="13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IF($AE456="","",IF((IFERROR(INDEX('ASIGNACIONES'!$J$4:$J$451,MATCH($O456&amp;"|"&amp;$R456&amp;"|"&amp;$AE456,'ASIGNACIONES'!$N$4:$N$451,0)),""))=0,"",IFERROR(INDEX('ASIGNACIONES'!$J$4:$J$451,MATCH($O456&amp;"|"&amp;$R456&amp;"|"&amp;$AE456,'ASIGNACIONES'!$N$4:$N$451,0)),"")))</f>
        <v/>
      </c>
      <c r="AG456" s="14">
        <f>IF($AE456="","",SUMIFS('ORDENES'!$M$4:$M$1203,'ORDENES'!$AE$4:$AE$1203,$AE456,'ORDENES'!$O$4:$O$1203,$O456,'ORDENES'!$R$4:$R$1203,$R456))</f>
        <v/>
      </c>
      <c r="AH456" s="14">
        <f>IF($AG456="","",p_factor_productividad*IFERROR(INDEX('ASIGNACIONES'!$M$4:$M$451,MATCH($O456&amp;"|"&amp;$R456&amp;"|"&amp;$AE456,'ASIGNACIONES'!$N$4:$N$451,0)),0)-$AG456)</f>
        <v/>
      </c>
      <c r="AI456" s="11">
        <f>IF($A456="","",IFERROR(INDEX('2_IMPORTAR_EJECUCION'!$F$9:$F$1208,MATCH($AQ456,'2_IMPORTAR_EJECUCION'!$J$9:$J$1208,0)),0))</f>
        <v/>
      </c>
      <c r="AJ456" s="11">
        <f>IF($A456="","",MAX(0,IFERROR(INDEX('2_IMPORTAR_EJECUCION'!$H$9:$H$1208,MATCH($AQ456,'2_IMPORTAR_EJECUCION'!$J$9:$J$1208,0)),0)-$AI456))</f>
        <v/>
      </c>
      <c r="AK456" s="11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IF($H457="","",IFERROR(INDEX('CAT_ACTIVIDADES'!$B$4:$B$8,MATCH($H457,'CAT_ACTIVIDADES'!$A$4:$A$8,0)),"(sin catálogo)"))</f>
        <v/>
      </c>
      <c r="AA457" s="13">
        <f>IF($J457="","",TODAY()-$J457)</f>
        <v/>
      </c>
      <c r="AB457" s="13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IF($AE457="","",IF((IFERROR(INDEX('ASIGNACIONES'!$J$4:$J$451,MATCH($O457&amp;"|"&amp;$R457&amp;"|"&amp;$AE457,'ASIGNACIONES'!$N$4:$N$451,0)),""))=0,"",IFERROR(INDEX('ASIGNACIONES'!$J$4:$J$451,MATCH($O457&amp;"|"&amp;$R457&amp;"|"&amp;$AE457,'ASIGNACIONES'!$N$4:$N$451,0)),"")))</f>
        <v/>
      </c>
      <c r="AG457" s="14">
        <f>IF($AE457="","",SUMIFS('ORDENES'!$M$4:$M$1203,'ORDENES'!$AE$4:$AE$1203,$AE457,'ORDENES'!$O$4:$O$1203,$O457,'ORDENES'!$R$4:$R$1203,$R457))</f>
        <v/>
      </c>
      <c r="AH457" s="14">
        <f>IF($AG457="","",p_factor_productividad*IFERROR(INDEX('ASIGNACIONES'!$M$4:$M$451,MATCH($O457&amp;"|"&amp;$R457&amp;"|"&amp;$AE457,'ASIGNACIONES'!$N$4:$N$451,0)),0)-$AG457)</f>
        <v/>
      </c>
      <c r="AI457" s="11">
        <f>IF($A457="","",IFERROR(INDEX('2_IMPORTAR_EJECUCION'!$F$9:$F$1208,MATCH($AQ457,'2_IMPORTAR_EJECUCION'!$J$9:$J$1208,0)),0))</f>
        <v/>
      </c>
      <c r="AJ457" s="11">
        <f>IF($A457="","",MAX(0,IFERROR(INDEX('2_IMPORTAR_EJECUCION'!$H$9:$H$1208,MATCH($AQ457,'2_IMPORTAR_EJECUCION'!$J$9:$J$1208,0)),0)-$AI457))</f>
        <v/>
      </c>
      <c r="AK457" s="11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IF($H458="","",IFERROR(INDEX('CAT_ACTIVIDADES'!$B$4:$B$8,MATCH($H458,'CAT_ACTIVIDADES'!$A$4:$A$8,0)),"(sin catálogo)"))</f>
        <v/>
      </c>
      <c r="AA458" s="13">
        <f>IF($J458="","",TODAY()-$J458)</f>
        <v/>
      </c>
      <c r="AB458" s="13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IF($AE458="","",IF((IFERROR(INDEX('ASIGNACIONES'!$J$4:$J$451,MATCH($O458&amp;"|"&amp;$R458&amp;"|"&amp;$AE458,'ASIGNACIONES'!$N$4:$N$451,0)),""))=0,"",IFERROR(INDEX('ASIGNACIONES'!$J$4:$J$451,MATCH($O458&amp;"|"&amp;$R458&amp;"|"&amp;$AE458,'ASIGNACIONES'!$N$4:$N$451,0)),"")))</f>
        <v/>
      </c>
      <c r="AG458" s="14">
        <f>IF($AE458="","",SUMIFS('ORDENES'!$M$4:$M$1203,'ORDENES'!$AE$4:$AE$1203,$AE458,'ORDENES'!$O$4:$O$1203,$O458,'ORDENES'!$R$4:$R$1203,$R458))</f>
        <v/>
      </c>
      <c r="AH458" s="14">
        <f>IF($AG458="","",p_factor_productividad*IFERROR(INDEX('ASIGNACIONES'!$M$4:$M$451,MATCH($O458&amp;"|"&amp;$R458&amp;"|"&amp;$AE458,'ASIGNACIONES'!$N$4:$N$451,0)),0)-$AG458)</f>
        <v/>
      </c>
      <c r="AI458" s="11">
        <f>IF($A458="","",IFERROR(INDEX('2_IMPORTAR_EJECUCION'!$F$9:$F$1208,MATCH($AQ458,'2_IMPORTAR_EJECUCION'!$J$9:$J$1208,0)),0))</f>
        <v/>
      </c>
      <c r="AJ458" s="11">
        <f>IF($A458="","",MAX(0,IFERROR(INDEX('2_IMPORTAR_EJECUCION'!$H$9:$H$1208,MATCH($AQ458,'2_IMPORTAR_EJECUCION'!$J$9:$J$1208,0)),0)-$AI458))</f>
        <v/>
      </c>
      <c r="AK458" s="11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IF($H459="","",IFERROR(INDEX('CAT_ACTIVIDADES'!$B$4:$B$8,MATCH($H459,'CAT_ACTIVIDADES'!$A$4:$A$8,0)),"(sin catálogo)"))</f>
        <v/>
      </c>
      <c r="AA459" s="13">
        <f>IF($J459="","",TODAY()-$J459)</f>
        <v/>
      </c>
      <c r="AB459" s="13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IF($AE459="","",IF((IFERROR(INDEX('ASIGNACIONES'!$J$4:$J$451,MATCH($O459&amp;"|"&amp;$R459&amp;"|"&amp;$AE459,'ASIGNACIONES'!$N$4:$N$451,0)),""))=0,"",IFERROR(INDEX('ASIGNACIONES'!$J$4:$J$451,MATCH($O459&amp;"|"&amp;$R459&amp;"|"&amp;$AE459,'ASIGNACIONES'!$N$4:$N$451,0)),"")))</f>
        <v/>
      </c>
      <c r="AG459" s="14">
        <f>IF($AE459="","",SUMIFS('ORDENES'!$M$4:$M$1203,'ORDENES'!$AE$4:$AE$1203,$AE459,'ORDENES'!$O$4:$O$1203,$O459,'ORDENES'!$R$4:$R$1203,$R459))</f>
        <v/>
      </c>
      <c r="AH459" s="14">
        <f>IF($AG459="","",p_factor_productividad*IFERROR(INDEX('ASIGNACIONES'!$M$4:$M$451,MATCH($O459&amp;"|"&amp;$R459&amp;"|"&amp;$AE459,'ASIGNACIONES'!$N$4:$N$451,0)),0)-$AG459)</f>
        <v/>
      </c>
      <c r="AI459" s="11">
        <f>IF($A459="","",IFERROR(INDEX('2_IMPORTAR_EJECUCION'!$F$9:$F$1208,MATCH($AQ459,'2_IMPORTAR_EJECUCION'!$J$9:$J$1208,0)),0))</f>
        <v/>
      </c>
      <c r="AJ459" s="11">
        <f>IF($A459="","",MAX(0,IFERROR(INDEX('2_IMPORTAR_EJECUCION'!$H$9:$H$1208,MATCH($AQ459,'2_IMPORTAR_EJECUCION'!$J$9:$J$1208,0)),0)-$AI459))</f>
        <v/>
      </c>
      <c r="AK459" s="11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IF($H460="","",IFERROR(INDEX('CAT_ACTIVIDADES'!$B$4:$B$8,MATCH($H460,'CAT_ACTIVIDADES'!$A$4:$A$8,0)),"(sin catálogo)"))</f>
        <v/>
      </c>
      <c r="AA460" s="13">
        <f>IF($J460="","",TODAY()-$J460)</f>
        <v/>
      </c>
      <c r="AB460" s="13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IF($AE460="","",IF((IFERROR(INDEX('ASIGNACIONES'!$J$4:$J$451,MATCH($O460&amp;"|"&amp;$R460&amp;"|"&amp;$AE460,'ASIGNACIONES'!$N$4:$N$451,0)),""))=0,"",IFERROR(INDEX('ASIGNACIONES'!$J$4:$J$451,MATCH($O460&amp;"|"&amp;$R460&amp;"|"&amp;$AE460,'ASIGNACIONES'!$N$4:$N$451,0)),"")))</f>
        <v/>
      </c>
      <c r="AG460" s="14">
        <f>IF($AE460="","",SUMIFS('ORDENES'!$M$4:$M$1203,'ORDENES'!$AE$4:$AE$1203,$AE460,'ORDENES'!$O$4:$O$1203,$O460,'ORDENES'!$R$4:$R$1203,$R460))</f>
        <v/>
      </c>
      <c r="AH460" s="14">
        <f>IF($AG460="","",p_factor_productividad*IFERROR(INDEX('ASIGNACIONES'!$M$4:$M$451,MATCH($O460&amp;"|"&amp;$R460&amp;"|"&amp;$AE460,'ASIGNACIONES'!$N$4:$N$451,0)),0)-$AG460)</f>
        <v/>
      </c>
      <c r="AI460" s="11">
        <f>IF($A460="","",IFERROR(INDEX('2_IMPORTAR_EJECUCION'!$F$9:$F$1208,MATCH($AQ460,'2_IMPORTAR_EJECUCION'!$J$9:$J$1208,0)),0))</f>
        <v/>
      </c>
      <c r="AJ460" s="11">
        <f>IF($A460="","",MAX(0,IFERROR(INDEX('2_IMPORTAR_EJECUCION'!$H$9:$H$1208,MATCH($AQ460,'2_IMPORTAR_EJECUCION'!$J$9:$J$1208,0)),0)-$AI460))</f>
        <v/>
      </c>
      <c r="AK460" s="11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IF($H461="","",IFERROR(INDEX('CAT_ACTIVIDADES'!$B$4:$B$8,MATCH($H461,'CAT_ACTIVIDADES'!$A$4:$A$8,0)),"(sin catálogo)"))</f>
        <v/>
      </c>
      <c r="AA461" s="13">
        <f>IF($J461="","",TODAY()-$J461)</f>
        <v/>
      </c>
      <c r="AB461" s="13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IF($AE461="","",IF((IFERROR(INDEX('ASIGNACIONES'!$J$4:$J$451,MATCH($O461&amp;"|"&amp;$R461&amp;"|"&amp;$AE461,'ASIGNACIONES'!$N$4:$N$451,0)),""))=0,"",IFERROR(INDEX('ASIGNACIONES'!$J$4:$J$451,MATCH($O461&amp;"|"&amp;$R461&amp;"|"&amp;$AE461,'ASIGNACIONES'!$N$4:$N$451,0)),"")))</f>
        <v/>
      </c>
      <c r="AG461" s="14">
        <f>IF($AE461="","",SUMIFS('ORDENES'!$M$4:$M$1203,'ORDENES'!$AE$4:$AE$1203,$AE461,'ORDENES'!$O$4:$O$1203,$O461,'ORDENES'!$R$4:$R$1203,$R461))</f>
        <v/>
      </c>
      <c r="AH461" s="14">
        <f>IF($AG461="","",p_factor_productividad*IFERROR(INDEX('ASIGNACIONES'!$M$4:$M$451,MATCH($O461&amp;"|"&amp;$R461&amp;"|"&amp;$AE461,'ASIGNACIONES'!$N$4:$N$451,0)),0)-$AG461)</f>
        <v/>
      </c>
      <c r="AI461" s="11">
        <f>IF($A461="","",IFERROR(INDEX('2_IMPORTAR_EJECUCION'!$F$9:$F$1208,MATCH($AQ461,'2_IMPORTAR_EJECUCION'!$J$9:$J$1208,0)),0))</f>
        <v/>
      </c>
      <c r="AJ461" s="11">
        <f>IF($A461="","",MAX(0,IFERROR(INDEX('2_IMPORTAR_EJECUCION'!$H$9:$H$1208,MATCH($AQ461,'2_IMPORTAR_EJECUCION'!$J$9:$J$1208,0)),0)-$AI461))</f>
        <v/>
      </c>
      <c r="AK461" s="11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IF($H462="","",IFERROR(INDEX('CAT_ACTIVIDADES'!$B$4:$B$8,MATCH($H462,'CAT_ACTIVIDADES'!$A$4:$A$8,0)),"(sin catálogo)"))</f>
        <v/>
      </c>
      <c r="AA462" s="13">
        <f>IF($J462="","",TODAY()-$J462)</f>
        <v/>
      </c>
      <c r="AB462" s="13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IF($AE462="","",IF((IFERROR(INDEX('ASIGNACIONES'!$J$4:$J$451,MATCH($O462&amp;"|"&amp;$R462&amp;"|"&amp;$AE462,'ASIGNACIONES'!$N$4:$N$451,0)),""))=0,"",IFERROR(INDEX('ASIGNACIONES'!$J$4:$J$451,MATCH($O462&amp;"|"&amp;$R462&amp;"|"&amp;$AE462,'ASIGNACIONES'!$N$4:$N$451,0)),"")))</f>
        <v/>
      </c>
      <c r="AG462" s="14">
        <f>IF($AE462="","",SUMIFS('ORDENES'!$M$4:$M$1203,'ORDENES'!$AE$4:$AE$1203,$AE462,'ORDENES'!$O$4:$O$1203,$O462,'ORDENES'!$R$4:$R$1203,$R462))</f>
        <v/>
      </c>
      <c r="AH462" s="14">
        <f>IF($AG462="","",p_factor_productividad*IFERROR(INDEX('ASIGNACIONES'!$M$4:$M$451,MATCH($O462&amp;"|"&amp;$R462&amp;"|"&amp;$AE462,'ASIGNACIONES'!$N$4:$N$451,0)),0)-$AG462)</f>
        <v/>
      </c>
      <c r="AI462" s="11">
        <f>IF($A462="","",IFERROR(INDEX('2_IMPORTAR_EJECUCION'!$F$9:$F$1208,MATCH($AQ462,'2_IMPORTAR_EJECUCION'!$J$9:$J$1208,0)),0))</f>
        <v/>
      </c>
      <c r="AJ462" s="11">
        <f>IF($A462="","",MAX(0,IFERROR(INDEX('2_IMPORTAR_EJECUCION'!$H$9:$H$1208,MATCH($AQ462,'2_IMPORTAR_EJECUCION'!$J$9:$J$1208,0)),0)-$AI462))</f>
        <v/>
      </c>
      <c r="AK462" s="11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IF($H463="","",IFERROR(INDEX('CAT_ACTIVIDADES'!$B$4:$B$8,MATCH($H463,'CAT_ACTIVIDADES'!$A$4:$A$8,0)),"(sin catálogo)"))</f>
        <v/>
      </c>
      <c r="AA463" s="13">
        <f>IF($J463="","",TODAY()-$J463)</f>
        <v/>
      </c>
      <c r="AB463" s="13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IF($AE463="","",IF((IFERROR(INDEX('ASIGNACIONES'!$J$4:$J$451,MATCH($O463&amp;"|"&amp;$R463&amp;"|"&amp;$AE463,'ASIGNACIONES'!$N$4:$N$451,0)),""))=0,"",IFERROR(INDEX('ASIGNACIONES'!$J$4:$J$451,MATCH($O463&amp;"|"&amp;$R463&amp;"|"&amp;$AE463,'ASIGNACIONES'!$N$4:$N$451,0)),"")))</f>
        <v/>
      </c>
      <c r="AG463" s="14">
        <f>IF($AE463="","",SUMIFS('ORDENES'!$M$4:$M$1203,'ORDENES'!$AE$4:$AE$1203,$AE463,'ORDENES'!$O$4:$O$1203,$O463,'ORDENES'!$R$4:$R$1203,$R463))</f>
        <v/>
      </c>
      <c r="AH463" s="14">
        <f>IF($AG463="","",p_factor_productividad*IFERROR(INDEX('ASIGNACIONES'!$M$4:$M$451,MATCH($O463&amp;"|"&amp;$R463&amp;"|"&amp;$AE463,'ASIGNACIONES'!$N$4:$N$451,0)),0)-$AG463)</f>
        <v/>
      </c>
      <c r="AI463" s="11">
        <f>IF($A463="","",IFERROR(INDEX('2_IMPORTAR_EJECUCION'!$F$9:$F$1208,MATCH($AQ463,'2_IMPORTAR_EJECUCION'!$J$9:$J$1208,0)),0))</f>
        <v/>
      </c>
      <c r="AJ463" s="11">
        <f>IF($A463="","",MAX(0,IFERROR(INDEX('2_IMPORTAR_EJECUCION'!$H$9:$H$1208,MATCH($AQ463,'2_IMPORTAR_EJECUCION'!$J$9:$J$1208,0)),0)-$AI463))</f>
        <v/>
      </c>
      <c r="AK463" s="11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IF($H464="","",IFERROR(INDEX('CAT_ACTIVIDADES'!$B$4:$B$8,MATCH($H464,'CAT_ACTIVIDADES'!$A$4:$A$8,0)),"(sin catálogo)"))</f>
        <v/>
      </c>
      <c r="AA464" s="13">
        <f>IF($J464="","",TODAY()-$J464)</f>
        <v/>
      </c>
      <c r="AB464" s="13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IF($AE464="","",IF((IFERROR(INDEX('ASIGNACIONES'!$J$4:$J$451,MATCH($O464&amp;"|"&amp;$R464&amp;"|"&amp;$AE464,'ASIGNACIONES'!$N$4:$N$451,0)),""))=0,"",IFERROR(INDEX('ASIGNACIONES'!$J$4:$J$451,MATCH($O464&amp;"|"&amp;$R464&amp;"|"&amp;$AE464,'ASIGNACIONES'!$N$4:$N$451,0)),"")))</f>
        <v/>
      </c>
      <c r="AG464" s="14">
        <f>IF($AE464="","",SUMIFS('ORDENES'!$M$4:$M$1203,'ORDENES'!$AE$4:$AE$1203,$AE464,'ORDENES'!$O$4:$O$1203,$O464,'ORDENES'!$R$4:$R$1203,$R464))</f>
        <v/>
      </c>
      <c r="AH464" s="14">
        <f>IF($AG464="","",p_factor_productividad*IFERROR(INDEX('ASIGNACIONES'!$M$4:$M$451,MATCH($O464&amp;"|"&amp;$R464&amp;"|"&amp;$AE464,'ASIGNACIONES'!$N$4:$N$451,0)),0)-$AG464)</f>
        <v/>
      </c>
      <c r="AI464" s="11">
        <f>IF($A464="","",IFERROR(INDEX('2_IMPORTAR_EJECUCION'!$F$9:$F$1208,MATCH($AQ464,'2_IMPORTAR_EJECUCION'!$J$9:$J$1208,0)),0))</f>
        <v/>
      </c>
      <c r="AJ464" s="11">
        <f>IF($A464="","",MAX(0,IFERROR(INDEX('2_IMPORTAR_EJECUCION'!$H$9:$H$1208,MATCH($AQ464,'2_IMPORTAR_EJECUCION'!$J$9:$J$1208,0)),0)-$AI464))</f>
        <v/>
      </c>
      <c r="AK464" s="11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IF($H465="","",IFERROR(INDEX('CAT_ACTIVIDADES'!$B$4:$B$8,MATCH($H465,'CAT_ACTIVIDADES'!$A$4:$A$8,0)),"(sin catálogo)"))</f>
        <v/>
      </c>
      <c r="AA465" s="13">
        <f>IF($J465="","",TODAY()-$J465)</f>
        <v/>
      </c>
      <c r="AB465" s="13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IF($AE465="","",IF((IFERROR(INDEX('ASIGNACIONES'!$J$4:$J$451,MATCH($O465&amp;"|"&amp;$R465&amp;"|"&amp;$AE465,'ASIGNACIONES'!$N$4:$N$451,0)),""))=0,"",IFERROR(INDEX('ASIGNACIONES'!$J$4:$J$451,MATCH($O465&amp;"|"&amp;$R465&amp;"|"&amp;$AE465,'ASIGNACIONES'!$N$4:$N$451,0)),"")))</f>
        <v/>
      </c>
      <c r="AG465" s="14">
        <f>IF($AE465="","",SUMIFS('ORDENES'!$M$4:$M$1203,'ORDENES'!$AE$4:$AE$1203,$AE465,'ORDENES'!$O$4:$O$1203,$O465,'ORDENES'!$R$4:$R$1203,$R465))</f>
        <v/>
      </c>
      <c r="AH465" s="14">
        <f>IF($AG465="","",p_factor_productividad*IFERROR(INDEX('ASIGNACIONES'!$M$4:$M$451,MATCH($O465&amp;"|"&amp;$R465&amp;"|"&amp;$AE465,'ASIGNACIONES'!$N$4:$N$451,0)),0)-$AG465)</f>
        <v/>
      </c>
      <c r="AI465" s="11">
        <f>IF($A465="","",IFERROR(INDEX('2_IMPORTAR_EJECUCION'!$F$9:$F$1208,MATCH($AQ465,'2_IMPORTAR_EJECUCION'!$J$9:$J$1208,0)),0))</f>
        <v/>
      </c>
      <c r="AJ465" s="11">
        <f>IF($A465="","",MAX(0,IFERROR(INDEX('2_IMPORTAR_EJECUCION'!$H$9:$H$1208,MATCH($AQ465,'2_IMPORTAR_EJECUCION'!$J$9:$J$1208,0)),0)-$AI465))</f>
        <v/>
      </c>
      <c r="AK465" s="11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IF($H466="","",IFERROR(INDEX('CAT_ACTIVIDADES'!$B$4:$B$8,MATCH($H466,'CAT_ACTIVIDADES'!$A$4:$A$8,0)),"(sin catálogo)"))</f>
        <v/>
      </c>
      <c r="AA466" s="13">
        <f>IF($J466="","",TODAY()-$J466)</f>
        <v/>
      </c>
      <c r="AB466" s="13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IF($AE466="","",IF((IFERROR(INDEX('ASIGNACIONES'!$J$4:$J$451,MATCH($O466&amp;"|"&amp;$R466&amp;"|"&amp;$AE466,'ASIGNACIONES'!$N$4:$N$451,0)),""))=0,"",IFERROR(INDEX('ASIGNACIONES'!$J$4:$J$451,MATCH($O466&amp;"|"&amp;$R466&amp;"|"&amp;$AE466,'ASIGNACIONES'!$N$4:$N$451,0)),"")))</f>
        <v/>
      </c>
      <c r="AG466" s="14">
        <f>IF($AE466="","",SUMIFS('ORDENES'!$M$4:$M$1203,'ORDENES'!$AE$4:$AE$1203,$AE466,'ORDENES'!$O$4:$O$1203,$O466,'ORDENES'!$R$4:$R$1203,$R466))</f>
        <v/>
      </c>
      <c r="AH466" s="14">
        <f>IF($AG466="","",p_factor_productividad*IFERROR(INDEX('ASIGNACIONES'!$M$4:$M$451,MATCH($O466&amp;"|"&amp;$R466&amp;"|"&amp;$AE466,'ASIGNACIONES'!$N$4:$N$451,0)),0)-$AG466)</f>
        <v/>
      </c>
      <c r="AI466" s="11">
        <f>IF($A466="","",IFERROR(INDEX('2_IMPORTAR_EJECUCION'!$F$9:$F$1208,MATCH($AQ466,'2_IMPORTAR_EJECUCION'!$J$9:$J$1208,0)),0))</f>
        <v/>
      </c>
      <c r="AJ466" s="11">
        <f>IF($A466="","",MAX(0,IFERROR(INDEX('2_IMPORTAR_EJECUCION'!$H$9:$H$1208,MATCH($AQ466,'2_IMPORTAR_EJECUCION'!$J$9:$J$1208,0)),0)-$AI466))</f>
        <v/>
      </c>
      <c r="AK466" s="11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IF($H467="","",IFERROR(INDEX('CAT_ACTIVIDADES'!$B$4:$B$8,MATCH($H467,'CAT_ACTIVIDADES'!$A$4:$A$8,0)),"(sin catálogo)"))</f>
        <v/>
      </c>
      <c r="AA467" s="13">
        <f>IF($J467="","",TODAY()-$J467)</f>
        <v/>
      </c>
      <c r="AB467" s="13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IF($AE467="","",IF((IFERROR(INDEX('ASIGNACIONES'!$J$4:$J$451,MATCH($O467&amp;"|"&amp;$R467&amp;"|"&amp;$AE467,'ASIGNACIONES'!$N$4:$N$451,0)),""))=0,"",IFERROR(INDEX('ASIGNACIONES'!$J$4:$J$451,MATCH($O467&amp;"|"&amp;$R467&amp;"|"&amp;$AE467,'ASIGNACIONES'!$N$4:$N$451,0)),"")))</f>
        <v/>
      </c>
      <c r="AG467" s="14">
        <f>IF($AE467="","",SUMIFS('ORDENES'!$M$4:$M$1203,'ORDENES'!$AE$4:$AE$1203,$AE467,'ORDENES'!$O$4:$O$1203,$O467,'ORDENES'!$R$4:$R$1203,$R467))</f>
        <v/>
      </c>
      <c r="AH467" s="14">
        <f>IF($AG467="","",p_factor_productividad*IFERROR(INDEX('ASIGNACIONES'!$M$4:$M$451,MATCH($O467&amp;"|"&amp;$R467&amp;"|"&amp;$AE467,'ASIGNACIONES'!$N$4:$N$451,0)),0)-$AG467)</f>
        <v/>
      </c>
      <c r="AI467" s="11">
        <f>IF($A467="","",IFERROR(INDEX('2_IMPORTAR_EJECUCION'!$F$9:$F$1208,MATCH($AQ467,'2_IMPORTAR_EJECUCION'!$J$9:$J$1208,0)),0))</f>
        <v/>
      </c>
      <c r="AJ467" s="11">
        <f>IF($A467="","",MAX(0,IFERROR(INDEX('2_IMPORTAR_EJECUCION'!$H$9:$H$1208,MATCH($AQ467,'2_IMPORTAR_EJECUCION'!$J$9:$J$1208,0)),0)-$AI467))</f>
        <v/>
      </c>
      <c r="AK467" s="11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IF($H468="","",IFERROR(INDEX('CAT_ACTIVIDADES'!$B$4:$B$8,MATCH($H468,'CAT_ACTIVIDADES'!$A$4:$A$8,0)),"(sin catálogo)"))</f>
        <v/>
      </c>
      <c r="AA468" s="13">
        <f>IF($J468="","",TODAY()-$J468)</f>
        <v/>
      </c>
      <c r="AB468" s="13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IF($AE468="","",IF((IFERROR(INDEX('ASIGNACIONES'!$J$4:$J$451,MATCH($O468&amp;"|"&amp;$R468&amp;"|"&amp;$AE468,'ASIGNACIONES'!$N$4:$N$451,0)),""))=0,"",IFERROR(INDEX('ASIGNACIONES'!$J$4:$J$451,MATCH($O468&amp;"|"&amp;$R468&amp;"|"&amp;$AE468,'ASIGNACIONES'!$N$4:$N$451,0)),"")))</f>
        <v/>
      </c>
      <c r="AG468" s="14">
        <f>IF($AE468="","",SUMIFS('ORDENES'!$M$4:$M$1203,'ORDENES'!$AE$4:$AE$1203,$AE468,'ORDENES'!$O$4:$O$1203,$O468,'ORDENES'!$R$4:$R$1203,$R468))</f>
        <v/>
      </c>
      <c r="AH468" s="14">
        <f>IF($AG468="","",p_factor_productividad*IFERROR(INDEX('ASIGNACIONES'!$M$4:$M$451,MATCH($O468&amp;"|"&amp;$R468&amp;"|"&amp;$AE468,'ASIGNACIONES'!$N$4:$N$451,0)),0)-$AG468)</f>
        <v/>
      </c>
      <c r="AI468" s="11">
        <f>IF($A468="","",IFERROR(INDEX('2_IMPORTAR_EJECUCION'!$F$9:$F$1208,MATCH($AQ468,'2_IMPORTAR_EJECUCION'!$J$9:$J$1208,0)),0))</f>
        <v/>
      </c>
      <c r="AJ468" s="11">
        <f>IF($A468="","",MAX(0,IFERROR(INDEX('2_IMPORTAR_EJECUCION'!$H$9:$H$1208,MATCH($AQ468,'2_IMPORTAR_EJECUCION'!$J$9:$J$1208,0)),0)-$AI468))</f>
        <v/>
      </c>
      <c r="AK468" s="11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IF($H469="","",IFERROR(INDEX('CAT_ACTIVIDADES'!$B$4:$B$8,MATCH($H469,'CAT_ACTIVIDADES'!$A$4:$A$8,0)),"(sin catálogo)"))</f>
        <v/>
      </c>
      <c r="AA469" s="13">
        <f>IF($J469="","",TODAY()-$J469)</f>
        <v/>
      </c>
      <c r="AB469" s="13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IF($AE469="","",IF((IFERROR(INDEX('ASIGNACIONES'!$J$4:$J$451,MATCH($O469&amp;"|"&amp;$R469&amp;"|"&amp;$AE469,'ASIGNACIONES'!$N$4:$N$451,0)),""))=0,"",IFERROR(INDEX('ASIGNACIONES'!$J$4:$J$451,MATCH($O469&amp;"|"&amp;$R469&amp;"|"&amp;$AE469,'ASIGNACIONES'!$N$4:$N$451,0)),"")))</f>
        <v/>
      </c>
      <c r="AG469" s="14">
        <f>IF($AE469="","",SUMIFS('ORDENES'!$M$4:$M$1203,'ORDENES'!$AE$4:$AE$1203,$AE469,'ORDENES'!$O$4:$O$1203,$O469,'ORDENES'!$R$4:$R$1203,$R469))</f>
        <v/>
      </c>
      <c r="AH469" s="14">
        <f>IF($AG469="","",p_factor_productividad*IFERROR(INDEX('ASIGNACIONES'!$M$4:$M$451,MATCH($O469&amp;"|"&amp;$R469&amp;"|"&amp;$AE469,'ASIGNACIONES'!$N$4:$N$451,0)),0)-$AG469)</f>
        <v/>
      </c>
      <c r="AI469" s="11">
        <f>IF($A469="","",IFERROR(INDEX('2_IMPORTAR_EJECUCION'!$F$9:$F$1208,MATCH($AQ469,'2_IMPORTAR_EJECUCION'!$J$9:$J$1208,0)),0))</f>
        <v/>
      </c>
      <c r="AJ469" s="11">
        <f>IF($A469="","",MAX(0,IFERROR(INDEX('2_IMPORTAR_EJECUCION'!$H$9:$H$1208,MATCH($AQ469,'2_IMPORTAR_EJECUCION'!$J$9:$J$1208,0)),0)-$AI469))</f>
        <v/>
      </c>
      <c r="AK469" s="11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IF($H470="","",IFERROR(INDEX('CAT_ACTIVIDADES'!$B$4:$B$8,MATCH($H470,'CAT_ACTIVIDADES'!$A$4:$A$8,0)),"(sin catálogo)"))</f>
        <v/>
      </c>
      <c r="AA470" s="13">
        <f>IF($J470="","",TODAY()-$J470)</f>
        <v/>
      </c>
      <c r="AB470" s="13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IF($AE470="","",IF((IFERROR(INDEX('ASIGNACIONES'!$J$4:$J$451,MATCH($O470&amp;"|"&amp;$R470&amp;"|"&amp;$AE470,'ASIGNACIONES'!$N$4:$N$451,0)),""))=0,"",IFERROR(INDEX('ASIGNACIONES'!$J$4:$J$451,MATCH($O470&amp;"|"&amp;$R470&amp;"|"&amp;$AE470,'ASIGNACIONES'!$N$4:$N$451,0)),"")))</f>
        <v/>
      </c>
      <c r="AG470" s="14">
        <f>IF($AE470="","",SUMIFS('ORDENES'!$M$4:$M$1203,'ORDENES'!$AE$4:$AE$1203,$AE470,'ORDENES'!$O$4:$O$1203,$O470,'ORDENES'!$R$4:$R$1203,$R470))</f>
        <v/>
      </c>
      <c r="AH470" s="14">
        <f>IF($AG470="","",p_factor_productividad*IFERROR(INDEX('ASIGNACIONES'!$M$4:$M$451,MATCH($O470&amp;"|"&amp;$R470&amp;"|"&amp;$AE470,'ASIGNACIONES'!$N$4:$N$451,0)),0)-$AG470)</f>
        <v/>
      </c>
      <c r="AI470" s="11">
        <f>IF($A470="","",IFERROR(INDEX('2_IMPORTAR_EJECUCION'!$F$9:$F$1208,MATCH($AQ470,'2_IMPORTAR_EJECUCION'!$J$9:$J$1208,0)),0))</f>
        <v/>
      </c>
      <c r="AJ470" s="11">
        <f>IF($A470="","",MAX(0,IFERROR(INDEX('2_IMPORTAR_EJECUCION'!$H$9:$H$1208,MATCH($AQ470,'2_IMPORTAR_EJECUCION'!$J$9:$J$1208,0)),0)-$AI470))</f>
        <v/>
      </c>
      <c r="AK470" s="11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IF($H471="","",IFERROR(INDEX('CAT_ACTIVIDADES'!$B$4:$B$8,MATCH($H471,'CAT_ACTIVIDADES'!$A$4:$A$8,0)),"(sin catálogo)"))</f>
        <v/>
      </c>
      <c r="AA471" s="13">
        <f>IF($J471="","",TODAY()-$J471)</f>
        <v/>
      </c>
      <c r="AB471" s="13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IF($AE471="","",IF((IFERROR(INDEX('ASIGNACIONES'!$J$4:$J$451,MATCH($O471&amp;"|"&amp;$R471&amp;"|"&amp;$AE471,'ASIGNACIONES'!$N$4:$N$451,0)),""))=0,"",IFERROR(INDEX('ASIGNACIONES'!$J$4:$J$451,MATCH($O471&amp;"|"&amp;$R471&amp;"|"&amp;$AE471,'ASIGNACIONES'!$N$4:$N$451,0)),"")))</f>
        <v/>
      </c>
      <c r="AG471" s="14">
        <f>IF($AE471="","",SUMIFS('ORDENES'!$M$4:$M$1203,'ORDENES'!$AE$4:$AE$1203,$AE471,'ORDENES'!$O$4:$O$1203,$O471,'ORDENES'!$R$4:$R$1203,$R471))</f>
        <v/>
      </c>
      <c r="AH471" s="14">
        <f>IF($AG471="","",p_factor_productividad*IFERROR(INDEX('ASIGNACIONES'!$M$4:$M$451,MATCH($O471&amp;"|"&amp;$R471&amp;"|"&amp;$AE471,'ASIGNACIONES'!$N$4:$N$451,0)),0)-$AG471)</f>
        <v/>
      </c>
      <c r="AI471" s="11">
        <f>IF($A471="","",IFERROR(INDEX('2_IMPORTAR_EJECUCION'!$F$9:$F$1208,MATCH($AQ471,'2_IMPORTAR_EJECUCION'!$J$9:$J$1208,0)),0))</f>
        <v/>
      </c>
      <c r="AJ471" s="11">
        <f>IF($A471="","",MAX(0,IFERROR(INDEX('2_IMPORTAR_EJECUCION'!$H$9:$H$1208,MATCH($AQ471,'2_IMPORTAR_EJECUCION'!$J$9:$J$1208,0)),0)-$AI471))</f>
        <v/>
      </c>
      <c r="AK471" s="11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IF($H472="","",IFERROR(INDEX('CAT_ACTIVIDADES'!$B$4:$B$8,MATCH($H472,'CAT_ACTIVIDADES'!$A$4:$A$8,0)),"(sin catálogo)"))</f>
        <v/>
      </c>
      <c r="AA472" s="13">
        <f>IF($J472="","",TODAY()-$J472)</f>
        <v/>
      </c>
      <c r="AB472" s="13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IF($AE472="","",IF((IFERROR(INDEX('ASIGNACIONES'!$J$4:$J$451,MATCH($O472&amp;"|"&amp;$R472&amp;"|"&amp;$AE472,'ASIGNACIONES'!$N$4:$N$451,0)),""))=0,"",IFERROR(INDEX('ASIGNACIONES'!$J$4:$J$451,MATCH($O472&amp;"|"&amp;$R472&amp;"|"&amp;$AE472,'ASIGNACIONES'!$N$4:$N$451,0)),"")))</f>
        <v/>
      </c>
      <c r="AG472" s="14">
        <f>IF($AE472="","",SUMIFS('ORDENES'!$M$4:$M$1203,'ORDENES'!$AE$4:$AE$1203,$AE472,'ORDENES'!$O$4:$O$1203,$O472,'ORDENES'!$R$4:$R$1203,$R472))</f>
        <v/>
      </c>
      <c r="AH472" s="14">
        <f>IF($AG472="","",p_factor_productividad*IFERROR(INDEX('ASIGNACIONES'!$M$4:$M$451,MATCH($O472&amp;"|"&amp;$R472&amp;"|"&amp;$AE472,'ASIGNACIONES'!$N$4:$N$451,0)),0)-$AG472)</f>
        <v/>
      </c>
      <c r="AI472" s="11">
        <f>IF($A472="","",IFERROR(INDEX('2_IMPORTAR_EJECUCION'!$F$9:$F$1208,MATCH($AQ472,'2_IMPORTAR_EJECUCION'!$J$9:$J$1208,0)),0))</f>
        <v/>
      </c>
      <c r="AJ472" s="11">
        <f>IF($A472="","",MAX(0,IFERROR(INDEX('2_IMPORTAR_EJECUCION'!$H$9:$H$1208,MATCH($AQ472,'2_IMPORTAR_EJECUCION'!$J$9:$J$1208,0)),0)-$AI472))</f>
        <v/>
      </c>
      <c r="AK472" s="11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IF($H473="","",IFERROR(INDEX('CAT_ACTIVIDADES'!$B$4:$B$8,MATCH($H473,'CAT_ACTIVIDADES'!$A$4:$A$8,0)),"(sin catálogo)"))</f>
        <v/>
      </c>
      <c r="AA473" s="13">
        <f>IF($J473="","",TODAY()-$J473)</f>
        <v/>
      </c>
      <c r="AB473" s="13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IF($AE473="","",IF((IFERROR(INDEX('ASIGNACIONES'!$J$4:$J$451,MATCH($O473&amp;"|"&amp;$R473&amp;"|"&amp;$AE473,'ASIGNACIONES'!$N$4:$N$451,0)),""))=0,"",IFERROR(INDEX('ASIGNACIONES'!$J$4:$J$451,MATCH($O473&amp;"|"&amp;$R473&amp;"|"&amp;$AE473,'ASIGNACIONES'!$N$4:$N$451,0)),"")))</f>
        <v/>
      </c>
      <c r="AG473" s="14">
        <f>IF($AE473="","",SUMIFS('ORDENES'!$M$4:$M$1203,'ORDENES'!$AE$4:$AE$1203,$AE473,'ORDENES'!$O$4:$O$1203,$O473,'ORDENES'!$R$4:$R$1203,$R473))</f>
        <v/>
      </c>
      <c r="AH473" s="14">
        <f>IF($AG473="","",p_factor_productividad*IFERROR(INDEX('ASIGNACIONES'!$M$4:$M$451,MATCH($O473&amp;"|"&amp;$R473&amp;"|"&amp;$AE473,'ASIGNACIONES'!$N$4:$N$451,0)),0)-$AG473)</f>
        <v/>
      </c>
      <c r="AI473" s="11">
        <f>IF($A473="","",IFERROR(INDEX('2_IMPORTAR_EJECUCION'!$F$9:$F$1208,MATCH($AQ473,'2_IMPORTAR_EJECUCION'!$J$9:$J$1208,0)),0))</f>
        <v/>
      </c>
      <c r="AJ473" s="11">
        <f>IF($A473="","",MAX(0,IFERROR(INDEX('2_IMPORTAR_EJECUCION'!$H$9:$H$1208,MATCH($AQ473,'2_IMPORTAR_EJECUCION'!$J$9:$J$1208,0)),0)-$AI473))</f>
        <v/>
      </c>
      <c r="AK473" s="11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IF($H474="","",IFERROR(INDEX('CAT_ACTIVIDADES'!$B$4:$B$8,MATCH($H474,'CAT_ACTIVIDADES'!$A$4:$A$8,0)),"(sin catálogo)"))</f>
        <v/>
      </c>
      <c r="AA474" s="13">
        <f>IF($J474="","",TODAY()-$J474)</f>
        <v/>
      </c>
      <c r="AB474" s="13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IF($AE474="","",IF((IFERROR(INDEX('ASIGNACIONES'!$J$4:$J$451,MATCH($O474&amp;"|"&amp;$R474&amp;"|"&amp;$AE474,'ASIGNACIONES'!$N$4:$N$451,0)),""))=0,"",IFERROR(INDEX('ASIGNACIONES'!$J$4:$J$451,MATCH($O474&amp;"|"&amp;$R474&amp;"|"&amp;$AE474,'ASIGNACIONES'!$N$4:$N$451,0)),"")))</f>
        <v/>
      </c>
      <c r="AG474" s="14">
        <f>IF($AE474="","",SUMIFS('ORDENES'!$M$4:$M$1203,'ORDENES'!$AE$4:$AE$1203,$AE474,'ORDENES'!$O$4:$O$1203,$O474,'ORDENES'!$R$4:$R$1203,$R474))</f>
        <v/>
      </c>
      <c r="AH474" s="14">
        <f>IF($AG474="","",p_factor_productividad*IFERROR(INDEX('ASIGNACIONES'!$M$4:$M$451,MATCH($O474&amp;"|"&amp;$R474&amp;"|"&amp;$AE474,'ASIGNACIONES'!$N$4:$N$451,0)),0)-$AG474)</f>
        <v/>
      </c>
      <c r="AI474" s="11">
        <f>IF($A474="","",IFERROR(INDEX('2_IMPORTAR_EJECUCION'!$F$9:$F$1208,MATCH($AQ474,'2_IMPORTAR_EJECUCION'!$J$9:$J$1208,0)),0))</f>
        <v/>
      </c>
      <c r="AJ474" s="11">
        <f>IF($A474="","",MAX(0,IFERROR(INDEX('2_IMPORTAR_EJECUCION'!$H$9:$H$1208,MATCH($AQ474,'2_IMPORTAR_EJECUCION'!$J$9:$J$1208,0)),0)-$AI474))</f>
        <v/>
      </c>
      <c r="AK474" s="11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IF($H475="","",IFERROR(INDEX('CAT_ACTIVIDADES'!$B$4:$B$8,MATCH($H475,'CAT_ACTIVIDADES'!$A$4:$A$8,0)),"(sin catálogo)"))</f>
        <v/>
      </c>
      <c r="AA475" s="13">
        <f>IF($J475="","",TODAY()-$J475)</f>
        <v/>
      </c>
      <c r="AB475" s="13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IF($AE475="","",IF((IFERROR(INDEX('ASIGNACIONES'!$J$4:$J$451,MATCH($O475&amp;"|"&amp;$R475&amp;"|"&amp;$AE475,'ASIGNACIONES'!$N$4:$N$451,0)),""))=0,"",IFERROR(INDEX('ASIGNACIONES'!$J$4:$J$451,MATCH($O475&amp;"|"&amp;$R475&amp;"|"&amp;$AE475,'ASIGNACIONES'!$N$4:$N$451,0)),"")))</f>
        <v/>
      </c>
      <c r="AG475" s="14">
        <f>IF($AE475="","",SUMIFS('ORDENES'!$M$4:$M$1203,'ORDENES'!$AE$4:$AE$1203,$AE475,'ORDENES'!$O$4:$O$1203,$O475,'ORDENES'!$R$4:$R$1203,$R475))</f>
        <v/>
      </c>
      <c r="AH475" s="14">
        <f>IF($AG475="","",p_factor_productividad*IFERROR(INDEX('ASIGNACIONES'!$M$4:$M$451,MATCH($O475&amp;"|"&amp;$R475&amp;"|"&amp;$AE475,'ASIGNACIONES'!$N$4:$N$451,0)),0)-$AG475)</f>
        <v/>
      </c>
      <c r="AI475" s="11">
        <f>IF($A475="","",IFERROR(INDEX('2_IMPORTAR_EJECUCION'!$F$9:$F$1208,MATCH($AQ475,'2_IMPORTAR_EJECUCION'!$J$9:$J$1208,0)),0))</f>
        <v/>
      </c>
      <c r="AJ475" s="11">
        <f>IF($A475="","",MAX(0,IFERROR(INDEX('2_IMPORTAR_EJECUCION'!$H$9:$H$1208,MATCH($AQ475,'2_IMPORTAR_EJECUCION'!$J$9:$J$1208,0)),0)-$AI475))</f>
        <v/>
      </c>
      <c r="AK475" s="11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IF($H476="","",IFERROR(INDEX('CAT_ACTIVIDADES'!$B$4:$B$8,MATCH($H476,'CAT_ACTIVIDADES'!$A$4:$A$8,0)),"(sin catálogo)"))</f>
        <v/>
      </c>
      <c r="AA476" s="13">
        <f>IF($J476="","",TODAY()-$J476)</f>
        <v/>
      </c>
      <c r="AB476" s="13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IF($AE476="","",IF((IFERROR(INDEX('ASIGNACIONES'!$J$4:$J$451,MATCH($O476&amp;"|"&amp;$R476&amp;"|"&amp;$AE476,'ASIGNACIONES'!$N$4:$N$451,0)),""))=0,"",IFERROR(INDEX('ASIGNACIONES'!$J$4:$J$451,MATCH($O476&amp;"|"&amp;$R476&amp;"|"&amp;$AE476,'ASIGNACIONES'!$N$4:$N$451,0)),"")))</f>
        <v/>
      </c>
      <c r="AG476" s="14">
        <f>IF($AE476="","",SUMIFS('ORDENES'!$M$4:$M$1203,'ORDENES'!$AE$4:$AE$1203,$AE476,'ORDENES'!$O$4:$O$1203,$O476,'ORDENES'!$R$4:$R$1203,$R476))</f>
        <v/>
      </c>
      <c r="AH476" s="14">
        <f>IF($AG476="","",p_factor_productividad*IFERROR(INDEX('ASIGNACIONES'!$M$4:$M$451,MATCH($O476&amp;"|"&amp;$R476&amp;"|"&amp;$AE476,'ASIGNACIONES'!$N$4:$N$451,0)),0)-$AG476)</f>
        <v/>
      </c>
      <c r="AI476" s="11">
        <f>IF($A476="","",IFERROR(INDEX('2_IMPORTAR_EJECUCION'!$F$9:$F$1208,MATCH($AQ476,'2_IMPORTAR_EJECUCION'!$J$9:$J$1208,0)),0))</f>
        <v/>
      </c>
      <c r="AJ476" s="11">
        <f>IF($A476="","",MAX(0,IFERROR(INDEX('2_IMPORTAR_EJECUCION'!$H$9:$H$1208,MATCH($AQ476,'2_IMPORTAR_EJECUCION'!$J$9:$J$1208,0)),0)-$AI476))</f>
        <v/>
      </c>
      <c r="AK476" s="11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IF($H477="","",IFERROR(INDEX('CAT_ACTIVIDADES'!$B$4:$B$8,MATCH($H477,'CAT_ACTIVIDADES'!$A$4:$A$8,0)),"(sin catálogo)"))</f>
        <v/>
      </c>
      <c r="AA477" s="13">
        <f>IF($J477="","",TODAY()-$J477)</f>
        <v/>
      </c>
      <c r="AB477" s="13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IF($AE477="","",IF((IFERROR(INDEX('ASIGNACIONES'!$J$4:$J$451,MATCH($O477&amp;"|"&amp;$R477&amp;"|"&amp;$AE477,'ASIGNACIONES'!$N$4:$N$451,0)),""))=0,"",IFERROR(INDEX('ASIGNACIONES'!$J$4:$J$451,MATCH($O477&amp;"|"&amp;$R477&amp;"|"&amp;$AE477,'ASIGNACIONES'!$N$4:$N$451,0)),"")))</f>
        <v/>
      </c>
      <c r="AG477" s="14">
        <f>IF($AE477="","",SUMIFS('ORDENES'!$M$4:$M$1203,'ORDENES'!$AE$4:$AE$1203,$AE477,'ORDENES'!$O$4:$O$1203,$O477,'ORDENES'!$R$4:$R$1203,$R477))</f>
        <v/>
      </c>
      <c r="AH477" s="14">
        <f>IF($AG477="","",p_factor_productividad*IFERROR(INDEX('ASIGNACIONES'!$M$4:$M$451,MATCH($O477&amp;"|"&amp;$R477&amp;"|"&amp;$AE477,'ASIGNACIONES'!$N$4:$N$451,0)),0)-$AG477)</f>
        <v/>
      </c>
      <c r="AI477" s="11">
        <f>IF($A477="","",IFERROR(INDEX('2_IMPORTAR_EJECUCION'!$F$9:$F$1208,MATCH($AQ477,'2_IMPORTAR_EJECUCION'!$J$9:$J$1208,0)),0))</f>
        <v/>
      </c>
      <c r="AJ477" s="11">
        <f>IF($A477="","",MAX(0,IFERROR(INDEX('2_IMPORTAR_EJECUCION'!$H$9:$H$1208,MATCH($AQ477,'2_IMPORTAR_EJECUCION'!$J$9:$J$1208,0)),0)-$AI477))</f>
        <v/>
      </c>
      <c r="AK477" s="11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IF($H478="","",IFERROR(INDEX('CAT_ACTIVIDADES'!$B$4:$B$8,MATCH($H478,'CAT_ACTIVIDADES'!$A$4:$A$8,0)),"(sin catálogo)"))</f>
        <v/>
      </c>
      <c r="AA478" s="13">
        <f>IF($J478="","",TODAY()-$J478)</f>
        <v/>
      </c>
      <c r="AB478" s="13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IF($AE478="","",IF((IFERROR(INDEX('ASIGNACIONES'!$J$4:$J$451,MATCH($O478&amp;"|"&amp;$R478&amp;"|"&amp;$AE478,'ASIGNACIONES'!$N$4:$N$451,0)),""))=0,"",IFERROR(INDEX('ASIGNACIONES'!$J$4:$J$451,MATCH($O478&amp;"|"&amp;$R478&amp;"|"&amp;$AE478,'ASIGNACIONES'!$N$4:$N$451,0)),"")))</f>
        <v/>
      </c>
      <c r="AG478" s="14">
        <f>IF($AE478="","",SUMIFS('ORDENES'!$M$4:$M$1203,'ORDENES'!$AE$4:$AE$1203,$AE478,'ORDENES'!$O$4:$O$1203,$O478,'ORDENES'!$R$4:$R$1203,$R478))</f>
        <v/>
      </c>
      <c r="AH478" s="14">
        <f>IF($AG478="","",p_factor_productividad*IFERROR(INDEX('ASIGNACIONES'!$M$4:$M$451,MATCH($O478&amp;"|"&amp;$R478&amp;"|"&amp;$AE478,'ASIGNACIONES'!$N$4:$N$451,0)),0)-$AG478)</f>
        <v/>
      </c>
      <c r="AI478" s="11">
        <f>IF($A478="","",IFERROR(INDEX('2_IMPORTAR_EJECUCION'!$F$9:$F$1208,MATCH($AQ478,'2_IMPORTAR_EJECUCION'!$J$9:$J$1208,0)),0))</f>
        <v/>
      </c>
      <c r="AJ478" s="11">
        <f>IF($A478="","",MAX(0,IFERROR(INDEX('2_IMPORTAR_EJECUCION'!$H$9:$H$1208,MATCH($AQ478,'2_IMPORTAR_EJECUCION'!$J$9:$J$1208,0)),0)-$AI478))</f>
        <v/>
      </c>
      <c r="AK478" s="11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IF($H479="","",IFERROR(INDEX('CAT_ACTIVIDADES'!$B$4:$B$8,MATCH($H479,'CAT_ACTIVIDADES'!$A$4:$A$8,0)),"(sin catálogo)"))</f>
        <v/>
      </c>
      <c r="AA479" s="13">
        <f>IF($J479="","",TODAY()-$J479)</f>
        <v/>
      </c>
      <c r="AB479" s="13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IF($AE479="","",IF((IFERROR(INDEX('ASIGNACIONES'!$J$4:$J$451,MATCH($O479&amp;"|"&amp;$R479&amp;"|"&amp;$AE479,'ASIGNACIONES'!$N$4:$N$451,0)),""))=0,"",IFERROR(INDEX('ASIGNACIONES'!$J$4:$J$451,MATCH($O479&amp;"|"&amp;$R479&amp;"|"&amp;$AE479,'ASIGNACIONES'!$N$4:$N$451,0)),"")))</f>
        <v/>
      </c>
      <c r="AG479" s="14">
        <f>IF($AE479="","",SUMIFS('ORDENES'!$M$4:$M$1203,'ORDENES'!$AE$4:$AE$1203,$AE479,'ORDENES'!$O$4:$O$1203,$O479,'ORDENES'!$R$4:$R$1203,$R479))</f>
        <v/>
      </c>
      <c r="AH479" s="14">
        <f>IF($AG479="","",p_factor_productividad*IFERROR(INDEX('ASIGNACIONES'!$M$4:$M$451,MATCH($O479&amp;"|"&amp;$R479&amp;"|"&amp;$AE479,'ASIGNACIONES'!$N$4:$N$451,0)),0)-$AG479)</f>
        <v/>
      </c>
      <c r="AI479" s="11">
        <f>IF($A479="","",IFERROR(INDEX('2_IMPORTAR_EJECUCION'!$F$9:$F$1208,MATCH($AQ479,'2_IMPORTAR_EJECUCION'!$J$9:$J$1208,0)),0))</f>
        <v/>
      </c>
      <c r="AJ479" s="11">
        <f>IF($A479="","",MAX(0,IFERROR(INDEX('2_IMPORTAR_EJECUCION'!$H$9:$H$1208,MATCH($AQ479,'2_IMPORTAR_EJECUCION'!$J$9:$J$1208,0)),0)-$AI479))</f>
        <v/>
      </c>
      <c r="AK479" s="11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IF($H480="","",IFERROR(INDEX('CAT_ACTIVIDADES'!$B$4:$B$8,MATCH($H480,'CAT_ACTIVIDADES'!$A$4:$A$8,0)),"(sin catálogo)"))</f>
        <v/>
      </c>
      <c r="AA480" s="13">
        <f>IF($J480="","",TODAY()-$J480)</f>
        <v/>
      </c>
      <c r="AB480" s="13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IF($AE480="","",IF((IFERROR(INDEX('ASIGNACIONES'!$J$4:$J$451,MATCH($O480&amp;"|"&amp;$R480&amp;"|"&amp;$AE480,'ASIGNACIONES'!$N$4:$N$451,0)),""))=0,"",IFERROR(INDEX('ASIGNACIONES'!$J$4:$J$451,MATCH($O480&amp;"|"&amp;$R480&amp;"|"&amp;$AE480,'ASIGNACIONES'!$N$4:$N$451,0)),"")))</f>
        <v/>
      </c>
      <c r="AG480" s="14">
        <f>IF($AE480="","",SUMIFS('ORDENES'!$M$4:$M$1203,'ORDENES'!$AE$4:$AE$1203,$AE480,'ORDENES'!$O$4:$O$1203,$O480,'ORDENES'!$R$4:$R$1203,$R480))</f>
        <v/>
      </c>
      <c r="AH480" s="14">
        <f>IF($AG480="","",p_factor_productividad*IFERROR(INDEX('ASIGNACIONES'!$M$4:$M$451,MATCH($O480&amp;"|"&amp;$R480&amp;"|"&amp;$AE480,'ASIGNACIONES'!$N$4:$N$451,0)),0)-$AG480)</f>
        <v/>
      </c>
      <c r="AI480" s="11">
        <f>IF($A480="","",IFERROR(INDEX('2_IMPORTAR_EJECUCION'!$F$9:$F$1208,MATCH($AQ480,'2_IMPORTAR_EJECUCION'!$J$9:$J$1208,0)),0))</f>
        <v/>
      </c>
      <c r="AJ480" s="11">
        <f>IF($A480="","",MAX(0,IFERROR(INDEX('2_IMPORTAR_EJECUCION'!$H$9:$H$1208,MATCH($AQ480,'2_IMPORTAR_EJECUCION'!$J$9:$J$1208,0)),0)-$AI480))</f>
        <v/>
      </c>
      <c r="AK480" s="11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IF($H481="","",IFERROR(INDEX('CAT_ACTIVIDADES'!$B$4:$B$8,MATCH($H481,'CAT_ACTIVIDADES'!$A$4:$A$8,0)),"(sin catálogo)"))</f>
        <v/>
      </c>
      <c r="AA481" s="13">
        <f>IF($J481="","",TODAY()-$J481)</f>
        <v/>
      </c>
      <c r="AB481" s="13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IF($AE481="","",IF((IFERROR(INDEX('ASIGNACIONES'!$J$4:$J$451,MATCH($O481&amp;"|"&amp;$R481&amp;"|"&amp;$AE481,'ASIGNACIONES'!$N$4:$N$451,0)),""))=0,"",IFERROR(INDEX('ASIGNACIONES'!$J$4:$J$451,MATCH($O481&amp;"|"&amp;$R481&amp;"|"&amp;$AE481,'ASIGNACIONES'!$N$4:$N$451,0)),"")))</f>
        <v/>
      </c>
      <c r="AG481" s="14">
        <f>IF($AE481="","",SUMIFS('ORDENES'!$M$4:$M$1203,'ORDENES'!$AE$4:$AE$1203,$AE481,'ORDENES'!$O$4:$O$1203,$O481,'ORDENES'!$R$4:$R$1203,$R481))</f>
        <v/>
      </c>
      <c r="AH481" s="14">
        <f>IF($AG481="","",p_factor_productividad*IFERROR(INDEX('ASIGNACIONES'!$M$4:$M$451,MATCH($O481&amp;"|"&amp;$R481&amp;"|"&amp;$AE481,'ASIGNACIONES'!$N$4:$N$451,0)),0)-$AG481)</f>
        <v/>
      </c>
      <c r="AI481" s="11">
        <f>IF($A481="","",IFERROR(INDEX('2_IMPORTAR_EJECUCION'!$F$9:$F$1208,MATCH($AQ481,'2_IMPORTAR_EJECUCION'!$J$9:$J$1208,0)),0))</f>
        <v/>
      </c>
      <c r="AJ481" s="11">
        <f>IF($A481="","",MAX(0,IFERROR(INDEX('2_IMPORTAR_EJECUCION'!$H$9:$H$1208,MATCH($AQ481,'2_IMPORTAR_EJECUCION'!$J$9:$J$1208,0)),0)-$AI481))</f>
        <v/>
      </c>
      <c r="AK481" s="11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IF($H482="","",IFERROR(INDEX('CAT_ACTIVIDADES'!$B$4:$B$8,MATCH($H482,'CAT_ACTIVIDADES'!$A$4:$A$8,0)),"(sin catálogo)"))</f>
        <v/>
      </c>
      <c r="AA482" s="13">
        <f>IF($J482="","",TODAY()-$J482)</f>
        <v/>
      </c>
      <c r="AB482" s="13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IF($AE482="","",IF((IFERROR(INDEX('ASIGNACIONES'!$J$4:$J$451,MATCH($O482&amp;"|"&amp;$R482&amp;"|"&amp;$AE482,'ASIGNACIONES'!$N$4:$N$451,0)),""))=0,"",IFERROR(INDEX('ASIGNACIONES'!$J$4:$J$451,MATCH($O482&amp;"|"&amp;$R482&amp;"|"&amp;$AE482,'ASIGNACIONES'!$N$4:$N$451,0)),"")))</f>
        <v/>
      </c>
      <c r="AG482" s="14">
        <f>IF($AE482="","",SUMIFS('ORDENES'!$M$4:$M$1203,'ORDENES'!$AE$4:$AE$1203,$AE482,'ORDENES'!$O$4:$O$1203,$O482,'ORDENES'!$R$4:$R$1203,$R482))</f>
        <v/>
      </c>
      <c r="AH482" s="14">
        <f>IF($AG482="","",p_factor_productividad*IFERROR(INDEX('ASIGNACIONES'!$M$4:$M$451,MATCH($O482&amp;"|"&amp;$R482&amp;"|"&amp;$AE482,'ASIGNACIONES'!$N$4:$N$451,0)),0)-$AG482)</f>
        <v/>
      </c>
      <c r="AI482" s="11">
        <f>IF($A482="","",IFERROR(INDEX('2_IMPORTAR_EJECUCION'!$F$9:$F$1208,MATCH($AQ482,'2_IMPORTAR_EJECUCION'!$J$9:$J$1208,0)),0))</f>
        <v/>
      </c>
      <c r="AJ482" s="11">
        <f>IF($A482="","",MAX(0,IFERROR(INDEX('2_IMPORTAR_EJECUCION'!$H$9:$H$1208,MATCH($AQ482,'2_IMPORTAR_EJECUCION'!$J$9:$J$1208,0)),0)-$AI482))</f>
        <v/>
      </c>
      <c r="AK482" s="11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IF($H483="","",IFERROR(INDEX('CAT_ACTIVIDADES'!$B$4:$B$8,MATCH($H483,'CAT_ACTIVIDADES'!$A$4:$A$8,0)),"(sin catálogo)"))</f>
        <v/>
      </c>
      <c r="AA483" s="13">
        <f>IF($J483="","",TODAY()-$J483)</f>
        <v/>
      </c>
      <c r="AB483" s="13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IF($AE483="","",IF((IFERROR(INDEX('ASIGNACIONES'!$J$4:$J$451,MATCH($O483&amp;"|"&amp;$R483&amp;"|"&amp;$AE483,'ASIGNACIONES'!$N$4:$N$451,0)),""))=0,"",IFERROR(INDEX('ASIGNACIONES'!$J$4:$J$451,MATCH($O483&amp;"|"&amp;$R483&amp;"|"&amp;$AE483,'ASIGNACIONES'!$N$4:$N$451,0)),"")))</f>
        <v/>
      </c>
      <c r="AG483" s="14">
        <f>IF($AE483="","",SUMIFS('ORDENES'!$M$4:$M$1203,'ORDENES'!$AE$4:$AE$1203,$AE483,'ORDENES'!$O$4:$O$1203,$O483,'ORDENES'!$R$4:$R$1203,$R483))</f>
        <v/>
      </c>
      <c r="AH483" s="14">
        <f>IF($AG483="","",p_factor_productividad*IFERROR(INDEX('ASIGNACIONES'!$M$4:$M$451,MATCH($O483&amp;"|"&amp;$R483&amp;"|"&amp;$AE483,'ASIGNACIONES'!$N$4:$N$451,0)),0)-$AG483)</f>
        <v/>
      </c>
      <c r="AI483" s="11">
        <f>IF($A483="","",IFERROR(INDEX('2_IMPORTAR_EJECUCION'!$F$9:$F$1208,MATCH($AQ483,'2_IMPORTAR_EJECUCION'!$J$9:$J$1208,0)),0))</f>
        <v/>
      </c>
      <c r="AJ483" s="11">
        <f>IF($A483="","",MAX(0,IFERROR(INDEX('2_IMPORTAR_EJECUCION'!$H$9:$H$1208,MATCH($AQ483,'2_IMPORTAR_EJECUCION'!$J$9:$J$1208,0)),0)-$AI483))</f>
        <v/>
      </c>
      <c r="AK483" s="11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IF($H484="","",IFERROR(INDEX('CAT_ACTIVIDADES'!$B$4:$B$8,MATCH($H484,'CAT_ACTIVIDADES'!$A$4:$A$8,0)),"(sin catálogo)"))</f>
        <v/>
      </c>
      <c r="AA484" s="13">
        <f>IF($J484="","",TODAY()-$J484)</f>
        <v/>
      </c>
      <c r="AB484" s="13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IF($AE484="","",IF((IFERROR(INDEX('ASIGNACIONES'!$J$4:$J$451,MATCH($O484&amp;"|"&amp;$R484&amp;"|"&amp;$AE484,'ASIGNACIONES'!$N$4:$N$451,0)),""))=0,"",IFERROR(INDEX('ASIGNACIONES'!$J$4:$J$451,MATCH($O484&amp;"|"&amp;$R484&amp;"|"&amp;$AE484,'ASIGNACIONES'!$N$4:$N$451,0)),"")))</f>
        <v/>
      </c>
      <c r="AG484" s="14">
        <f>IF($AE484="","",SUMIFS('ORDENES'!$M$4:$M$1203,'ORDENES'!$AE$4:$AE$1203,$AE484,'ORDENES'!$O$4:$O$1203,$O484,'ORDENES'!$R$4:$R$1203,$R484))</f>
        <v/>
      </c>
      <c r="AH484" s="14">
        <f>IF($AG484="","",p_factor_productividad*IFERROR(INDEX('ASIGNACIONES'!$M$4:$M$451,MATCH($O484&amp;"|"&amp;$R484&amp;"|"&amp;$AE484,'ASIGNACIONES'!$N$4:$N$451,0)),0)-$AG484)</f>
        <v/>
      </c>
      <c r="AI484" s="11">
        <f>IF($A484="","",IFERROR(INDEX('2_IMPORTAR_EJECUCION'!$F$9:$F$1208,MATCH($AQ484,'2_IMPORTAR_EJECUCION'!$J$9:$J$1208,0)),0))</f>
        <v/>
      </c>
      <c r="AJ484" s="11">
        <f>IF($A484="","",MAX(0,IFERROR(INDEX('2_IMPORTAR_EJECUCION'!$H$9:$H$1208,MATCH($AQ484,'2_IMPORTAR_EJECUCION'!$J$9:$J$1208,0)),0)-$AI484))</f>
        <v/>
      </c>
      <c r="AK484" s="11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IF($H485="","",IFERROR(INDEX('CAT_ACTIVIDADES'!$B$4:$B$8,MATCH($H485,'CAT_ACTIVIDADES'!$A$4:$A$8,0)),"(sin catálogo)"))</f>
        <v/>
      </c>
      <c r="AA485" s="13">
        <f>IF($J485="","",TODAY()-$J485)</f>
        <v/>
      </c>
      <c r="AB485" s="13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IF($AE485="","",IF((IFERROR(INDEX('ASIGNACIONES'!$J$4:$J$451,MATCH($O485&amp;"|"&amp;$R485&amp;"|"&amp;$AE485,'ASIGNACIONES'!$N$4:$N$451,0)),""))=0,"",IFERROR(INDEX('ASIGNACIONES'!$J$4:$J$451,MATCH($O485&amp;"|"&amp;$R485&amp;"|"&amp;$AE485,'ASIGNACIONES'!$N$4:$N$451,0)),"")))</f>
        <v/>
      </c>
      <c r="AG485" s="14">
        <f>IF($AE485="","",SUMIFS('ORDENES'!$M$4:$M$1203,'ORDENES'!$AE$4:$AE$1203,$AE485,'ORDENES'!$O$4:$O$1203,$O485,'ORDENES'!$R$4:$R$1203,$R485))</f>
        <v/>
      </c>
      <c r="AH485" s="14">
        <f>IF($AG485="","",p_factor_productividad*IFERROR(INDEX('ASIGNACIONES'!$M$4:$M$451,MATCH($O485&amp;"|"&amp;$R485&amp;"|"&amp;$AE485,'ASIGNACIONES'!$N$4:$N$451,0)),0)-$AG485)</f>
        <v/>
      </c>
      <c r="AI485" s="11">
        <f>IF($A485="","",IFERROR(INDEX('2_IMPORTAR_EJECUCION'!$F$9:$F$1208,MATCH($AQ485,'2_IMPORTAR_EJECUCION'!$J$9:$J$1208,0)),0))</f>
        <v/>
      </c>
      <c r="AJ485" s="11">
        <f>IF($A485="","",MAX(0,IFERROR(INDEX('2_IMPORTAR_EJECUCION'!$H$9:$H$1208,MATCH($AQ485,'2_IMPORTAR_EJECUCION'!$J$9:$J$1208,0)),0)-$AI485))</f>
        <v/>
      </c>
      <c r="AK485" s="11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IF($H486="","",IFERROR(INDEX('CAT_ACTIVIDADES'!$B$4:$B$8,MATCH($H486,'CAT_ACTIVIDADES'!$A$4:$A$8,0)),"(sin catálogo)"))</f>
        <v/>
      </c>
      <c r="AA486" s="13">
        <f>IF($J486="","",TODAY()-$J486)</f>
        <v/>
      </c>
      <c r="AB486" s="13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IF($AE486="","",IF((IFERROR(INDEX('ASIGNACIONES'!$J$4:$J$451,MATCH($O486&amp;"|"&amp;$R486&amp;"|"&amp;$AE486,'ASIGNACIONES'!$N$4:$N$451,0)),""))=0,"",IFERROR(INDEX('ASIGNACIONES'!$J$4:$J$451,MATCH($O486&amp;"|"&amp;$R486&amp;"|"&amp;$AE486,'ASIGNACIONES'!$N$4:$N$451,0)),"")))</f>
        <v/>
      </c>
      <c r="AG486" s="14">
        <f>IF($AE486="","",SUMIFS('ORDENES'!$M$4:$M$1203,'ORDENES'!$AE$4:$AE$1203,$AE486,'ORDENES'!$O$4:$O$1203,$O486,'ORDENES'!$R$4:$R$1203,$R486))</f>
        <v/>
      </c>
      <c r="AH486" s="14">
        <f>IF($AG486="","",p_factor_productividad*IFERROR(INDEX('ASIGNACIONES'!$M$4:$M$451,MATCH($O486&amp;"|"&amp;$R486&amp;"|"&amp;$AE486,'ASIGNACIONES'!$N$4:$N$451,0)),0)-$AG486)</f>
        <v/>
      </c>
      <c r="AI486" s="11">
        <f>IF($A486="","",IFERROR(INDEX('2_IMPORTAR_EJECUCION'!$F$9:$F$1208,MATCH($AQ486,'2_IMPORTAR_EJECUCION'!$J$9:$J$1208,0)),0))</f>
        <v/>
      </c>
      <c r="AJ486" s="11">
        <f>IF($A486="","",MAX(0,IFERROR(INDEX('2_IMPORTAR_EJECUCION'!$H$9:$H$1208,MATCH($AQ486,'2_IMPORTAR_EJECUCION'!$J$9:$J$1208,0)),0)-$AI486))</f>
        <v/>
      </c>
      <c r="AK486" s="11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IF($H487="","",IFERROR(INDEX('CAT_ACTIVIDADES'!$B$4:$B$8,MATCH($H487,'CAT_ACTIVIDADES'!$A$4:$A$8,0)),"(sin catálogo)"))</f>
        <v/>
      </c>
      <c r="AA487" s="13">
        <f>IF($J487="","",TODAY()-$J487)</f>
        <v/>
      </c>
      <c r="AB487" s="13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IF($AE487="","",IF((IFERROR(INDEX('ASIGNACIONES'!$J$4:$J$451,MATCH($O487&amp;"|"&amp;$R487&amp;"|"&amp;$AE487,'ASIGNACIONES'!$N$4:$N$451,0)),""))=0,"",IFERROR(INDEX('ASIGNACIONES'!$J$4:$J$451,MATCH($O487&amp;"|"&amp;$R487&amp;"|"&amp;$AE487,'ASIGNACIONES'!$N$4:$N$451,0)),"")))</f>
        <v/>
      </c>
      <c r="AG487" s="14">
        <f>IF($AE487="","",SUMIFS('ORDENES'!$M$4:$M$1203,'ORDENES'!$AE$4:$AE$1203,$AE487,'ORDENES'!$O$4:$O$1203,$O487,'ORDENES'!$R$4:$R$1203,$R487))</f>
        <v/>
      </c>
      <c r="AH487" s="14">
        <f>IF($AG487="","",p_factor_productividad*IFERROR(INDEX('ASIGNACIONES'!$M$4:$M$451,MATCH($O487&amp;"|"&amp;$R487&amp;"|"&amp;$AE487,'ASIGNACIONES'!$N$4:$N$451,0)),0)-$AG487)</f>
        <v/>
      </c>
      <c r="AI487" s="11">
        <f>IF($A487="","",IFERROR(INDEX('2_IMPORTAR_EJECUCION'!$F$9:$F$1208,MATCH($AQ487,'2_IMPORTAR_EJECUCION'!$J$9:$J$1208,0)),0))</f>
        <v/>
      </c>
      <c r="AJ487" s="11">
        <f>IF($A487="","",MAX(0,IFERROR(INDEX('2_IMPORTAR_EJECUCION'!$H$9:$H$1208,MATCH($AQ487,'2_IMPORTAR_EJECUCION'!$J$9:$J$1208,0)),0)-$AI487))</f>
        <v/>
      </c>
      <c r="AK487" s="11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IF($H488="","",IFERROR(INDEX('CAT_ACTIVIDADES'!$B$4:$B$8,MATCH($H488,'CAT_ACTIVIDADES'!$A$4:$A$8,0)),"(sin catálogo)"))</f>
        <v/>
      </c>
      <c r="AA488" s="13">
        <f>IF($J488="","",TODAY()-$J488)</f>
        <v/>
      </c>
      <c r="AB488" s="13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IF($AE488="","",IF((IFERROR(INDEX('ASIGNACIONES'!$J$4:$J$451,MATCH($O488&amp;"|"&amp;$R488&amp;"|"&amp;$AE488,'ASIGNACIONES'!$N$4:$N$451,0)),""))=0,"",IFERROR(INDEX('ASIGNACIONES'!$J$4:$J$451,MATCH($O488&amp;"|"&amp;$R488&amp;"|"&amp;$AE488,'ASIGNACIONES'!$N$4:$N$451,0)),"")))</f>
        <v/>
      </c>
      <c r="AG488" s="14">
        <f>IF($AE488="","",SUMIFS('ORDENES'!$M$4:$M$1203,'ORDENES'!$AE$4:$AE$1203,$AE488,'ORDENES'!$O$4:$O$1203,$O488,'ORDENES'!$R$4:$R$1203,$R488))</f>
        <v/>
      </c>
      <c r="AH488" s="14">
        <f>IF($AG488="","",p_factor_productividad*IFERROR(INDEX('ASIGNACIONES'!$M$4:$M$451,MATCH($O488&amp;"|"&amp;$R488&amp;"|"&amp;$AE488,'ASIGNACIONES'!$N$4:$N$451,0)),0)-$AG488)</f>
        <v/>
      </c>
      <c r="AI488" s="11">
        <f>IF($A488="","",IFERROR(INDEX('2_IMPORTAR_EJECUCION'!$F$9:$F$1208,MATCH($AQ488,'2_IMPORTAR_EJECUCION'!$J$9:$J$1208,0)),0))</f>
        <v/>
      </c>
      <c r="AJ488" s="11">
        <f>IF($A488="","",MAX(0,IFERROR(INDEX('2_IMPORTAR_EJECUCION'!$H$9:$H$1208,MATCH($AQ488,'2_IMPORTAR_EJECUCION'!$J$9:$J$1208,0)),0)-$AI488))</f>
        <v/>
      </c>
      <c r="AK488" s="11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IF($H489="","",IFERROR(INDEX('CAT_ACTIVIDADES'!$B$4:$B$8,MATCH($H489,'CAT_ACTIVIDADES'!$A$4:$A$8,0)),"(sin catálogo)"))</f>
        <v/>
      </c>
      <c r="AA489" s="13">
        <f>IF($J489="","",TODAY()-$J489)</f>
        <v/>
      </c>
      <c r="AB489" s="13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IF($AE489="","",IF((IFERROR(INDEX('ASIGNACIONES'!$J$4:$J$451,MATCH($O489&amp;"|"&amp;$R489&amp;"|"&amp;$AE489,'ASIGNACIONES'!$N$4:$N$451,0)),""))=0,"",IFERROR(INDEX('ASIGNACIONES'!$J$4:$J$451,MATCH($O489&amp;"|"&amp;$R489&amp;"|"&amp;$AE489,'ASIGNACIONES'!$N$4:$N$451,0)),"")))</f>
        <v/>
      </c>
      <c r="AG489" s="14">
        <f>IF($AE489="","",SUMIFS('ORDENES'!$M$4:$M$1203,'ORDENES'!$AE$4:$AE$1203,$AE489,'ORDENES'!$O$4:$O$1203,$O489,'ORDENES'!$R$4:$R$1203,$R489))</f>
        <v/>
      </c>
      <c r="AH489" s="14">
        <f>IF($AG489="","",p_factor_productividad*IFERROR(INDEX('ASIGNACIONES'!$M$4:$M$451,MATCH($O489&amp;"|"&amp;$R489&amp;"|"&amp;$AE489,'ASIGNACIONES'!$N$4:$N$451,0)),0)-$AG489)</f>
        <v/>
      </c>
      <c r="AI489" s="11">
        <f>IF($A489="","",IFERROR(INDEX('2_IMPORTAR_EJECUCION'!$F$9:$F$1208,MATCH($AQ489,'2_IMPORTAR_EJECUCION'!$J$9:$J$1208,0)),0))</f>
        <v/>
      </c>
      <c r="AJ489" s="11">
        <f>IF($A489="","",MAX(0,IFERROR(INDEX('2_IMPORTAR_EJECUCION'!$H$9:$H$1208,MATCH($AQ489,'2_IMPORTAR_EJECUCION'!$J$9:$J$1208,0)),0)-$AI489))</f>
        <v/>
      </c>
      <c r="AK489" s="11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IF($H490="","",IFERROR(INDEX('CAT_ACTIVIDADES'!$B$4:$B$8,MATCH($H490,'CAT_ACTIVIDADES'!$A$4:$A$8,0)),"(sin catálogo)"))</f>
        <v/>
      </c>
      <c r="AA490" s="13">
        <f>IF($J490="","",TODAY()-$J490)</f>
        <v/>
      </c>
      <c r="AB490" s="13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IF($AE490="","",IF((IFERROR(INDEX('ASIGNACIONES'!$J$4:$J$451,MATCH($O490&amp;"|"&amp;$R490&amp;"|"&amp;$AE490,'ASIGNACIONES'!$N$4:$N$451,0)),""))=0,"",IFERROR(INDEX('ASIGNACIONES'!$J$4:$J$451,MATCH($O490&amp;"|"&amp;$R490&amp;"|"&amp;$AE490,'ASIGNACIONES'!$N$4:$N$451,0)),"")))</f>
        <v/>
      </c>
      <c r="AG490" s="14">
        <f>IF($AE490="","",SUMIFS('ORDENES'!$M$4:$M$1203,'ORDENES'!$AE$4:$AE$1203,$AE490,'ORDENES'!$O$4:$O$1203,$O490,'ORDENES'!$R$4:$R$1203,$R490))</f>
        <v/>
      </c>
      <c r="AH490" s="14">
        <f>IF($AG490="","",p_factor_productividad*IFERROR(INDEX('ASIGNACIONES'!$M$4:$M$451,MATCH($O490&amp;"|"&amp;$R490&amp;"|"&amp;$AE490,'ASIGNACIONES'!$N$4:$N$451,0)),0)-$AG490)</f>
        <v/>
      </c>
      <c r="AI490" s="11">
        <f>IF($A490="","",IFERROR(INDEX('2_IMPORTAR_EJECUCION'!$F$9:$F$1208,MATCH($AQ490,'2_IMPORTAR_EJECUCION'!$J$9:$J$1208,0)),0))</f>
        <v/>
      </c>
      <c r="AJ490" s="11">
        <f>IF($A490="","",MAX(0,IFERROR(INDEX('2_IMPORTAR_EJECUCION'!$H$9:$H$1208,MATCH($AQ490,'2_IMPORTAR_EJECUCION'!$J$9:$J$1208,0)),0)-$AI490))</f>
        <v/>
      </c>
      <c r="AK490" s="11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IF($H491="","",IFERROR(INDEX('CAT_ACTIVIDADES'!$B$4:$B$8,MATCH($H491,'CAT_ACTIVIDADES'!$A$4:$A$8,0)),"(sin catálogo)"))</f>
        <v/>
      </c>
      <c r="AA491" s="13">
        <f>IF($J491="","",TODAY()-$J491)</f>
        <v/>
      </c>
      <c r="AB491" s="13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IF($AE491="","",IF((IFERROR(INDEX('ASIGNACIONES'!$J$4:$J$451,MATCH($O491&amp;"|"&amp;$R491&amp;"|"&amp;$AE491,'ASIGNACIONES'!$N$4:$N$451,0)),""))=0,"",IFERROR(INDEX('ASIGNACIONES'!$J$4:$J$451,MATCH($O491&amp;"|"&amp;$R491&amp;"|"&amp;$AE491,'ASIGNACIONES'!$N$4:$N$451,0)),"")))</f>
        <v/>
      </c>
      <c r="AG491" s="14">
        <f>IF($AE491="","",SUMIFS('ORDENES'!$M$4:$M$1203,'ORDENES'!$AE$4:$AE$1203,$AE491,'ORDENES'!$O$4:$O$1203,$O491,'ORDENES'!$R$4:$R$1203,$R491))</f>
        <v/>
      </c>
      <c r="AH491" s="14">
        <f>IF($AG491="","",p_factor_productividad*IFERROR(INDEX('ASIGNACIONES'!$M$4:$M$451,MATCH($O491&amp;"|"&amp;$R491&amp;"|"&amp;$AE491,'ASIGNACIONES'!$N$4:$N$451,0)),0)-$AG491)</f>
        <v/>
      </c>
      <c r="AI491" s="11">
        <f>IF($A491="","",IFERROR(INDEX('2_IMPORTAR_EJECUCION'!$F$9:$F$1208,MATCH($AQ491,'2_IMPORTAR_EJECUCION'!$J$9:$J$1208,0)),0))</f>
        <v/>
      </c>
      <c r="AJ491" s="11">
        <f>IF($A491="","",MAX(0,IFERROR(INDEX('2_IMPORTAR_EJECUCION'!$H$9:$H$1208,MATCH($AQ491,'2_IMPORTAR_EJECUCION'!$J$9:$J$1208,0)),0)-$AI491))</f>
        <v/>
      </c>
      <c r="AK491" s="11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IF($H492="","",IFERROR(INDEX('CAT_ACTIVIDADES'!$B$4:$B$8,MATCH($H492,'CAT_ACTIVIDADES'!$A$4:$A$8,0)),"(sin catálogo)"))</f>
        <v/>
      </c>
      <c r="AA492" s="13">
        <f>IF($J492="","",TODAY()-$J492)</f>
        <v/>
      </c>
      <c r="AB492" s="13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IF($AE492="","",IF((IFERROR(INDEX('ASIGNACIONES'!$J$4:$J$451,MATCH($O492&amp;"|"&amp;$R492&amp;"|"&amp;$AE492,'ASIGNACIONES'!$N$4:$N$451,0)),""))=0,"",IFERROR(INDEX('ASIGNACIONES'!$J$4:$J$451,MATCH($O492&amp;"|"&amp;$R492&amp;"|"&amp;$AE492,'ASIGNACIONES'!$N$4:$N$451,0)),"")))</f>
        <v/>
      </c>
      <c r="AG492" s="14">
        <f>IF($AE492="","",SUMIFS('ORDENES'!$M$4:$M$1203,'ORDENES'!$AE$4:$AE$1203,$AE492,'ORDENES'!$O$4:$O$1203,$O492,'ORDENES'!$R$4:$R$1203,$R492))</f>
        <v/>
      </c>
      <c r="AH492" s="14">
        <f>IF($AG492="","",p_factor_productividad*IFERROR(INDEX('ASIGNACIONES'!$M$4:$M$451,MATCH($O492&amp;"|"&amp;$R492&amp;"|"&amp;$AE492,'ASIGNACIONES'!$N$4:$N$451,0)),0)-$AG492)</f>
        <v/>
      </c>
      <c r="AI492" s="11">
        <f>IF($A492="","",IFERROR(INDEX('2_IMPORTAR_EJECUCION'!$F$9:$F$1208,MATCH($AQ492,'2_IMPORTAR_EJECUCION'!$J$9:$J$1208,0)),0))</f>
        <v/>
      </c>
      <c r="AJ492" s="11">
        <f>IF($A492="","",MAX(0,IFERROR(INDEX('2_IMPORTAR_EJECUCION'!$H$9:$H$1208,MATCH($AQ492,'2_IMPORTAR_EJECUCION'!$J$9:$J$1208,0)),0)-$AI492))</f>
        <v/>
      </c>
      <c r="AK492" s="11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IF($H493="","",IFERROR(INDEX('CAT_ACTIVIDADES'!$B$4:$B$8,MATCH($H493,'CAT_ACTIVIDADES'!$A$4:$A$8,0)),"(sin catálogo)"))</f>
        <v/>
      </c>
      <c r="AA493" s="13">
        <f>IF($J493="","",TODAY()-$J493)</f>
        <v/>
      </c>
      <c r="AB493" s="13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IF($AE493="","",IF((IFERROR(INDEX('ASIGNACIONES'!$J$4:$J$451,MATCH($O493&amp;"|"&amp;$R493&amp;"|"&amp;$AE493,'ASIGNACIONES'!$N$4:$N$451,0)),""))=0,"",IFERROR(INDEX('ASIGNACIONES'!$J$4:$J$451,MATCH($O493&amp;"|"&amp;$R493&amp;"|"&amp;$AE493,'ASIGNACIONES'!$N$4:$N$451,0)),"")))</f>
        <v/>
      </c>
      <c r="AG493" s="14">
        <f>IF($AE493="","",SUMIFS('ORDENES'!$M$4:$M$1203,'ORDENES'!$AE$4:$AE$1203,$AE493,'ORDENES'!$O$4:$O$1203,$O493,'ORDENES'!$R$4:$R$1203,$R493))</f>
        <v/>
      </c>
      <c r="AH493" s="14">
        <f>IF($AG493="","",p_factor_productividad*IFERROR(INDEX('ASIGNACIONES'!$M$4:$M$451,MATCH($O493&amp;"|"&amp;$R493&amp;"|"&amp;$AE493,'ASIGNACIONES'!$N$4:$N$451,0)),0)-$AG493)</f>
        <v/>
      </c>
      <c r="AI493" s="11">
        <f>IF($A493="","",IFERROR(INDEX('2_IMPORTAR_EJECUCION'!$F$9:$F$1208,MATCH($AQ493,'2_IMPORTAR_EJECUCION'!$J$9:$J$1208,0)),0))</f>
        <v/>
      </c>
      <c r="AJ493" s="11">
        <f>IF($A493="","",MAX(0,IFERROR(INDEX('2_IMPORTAR_EJECUCION'!$H$9:$H$1208,MATCH($AQ493,'2_IMPORTAR_EJECUCION'!$J$9:$J$1208,0)),0)-$AI493))</f>
        <v/>
      </c>
      <c r="AK493" s="11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IF($H494="","",IFERROR(INDEX('CAT_ACTIVIDADES'!$B$4:$B$8,MATCH($H494,'CAT_ACTIVIDADES'!$A$4:$A$8,0)),"(sin catálogo)"))</f>
        <v/>
      </c>
      <c r="AA494" s="13">
        <f>IF($J494="","",TODAY()-$J494)</f>
        <v/>
      </c>
      <c r="AB494" s="13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IF($AE494="","",IF((IFERROR(INDEX('ASIGNACIONES'!$J$4:$J$451,MATCH($O494&amp;"|"&amp;$R494&amp;"|"&amp;$AE494,'ASIGNACIONES'!$N$4:$N$451,0)),""))=0,"",IFERROR(INDEX('ASIGNACIONES'!$J$4:$J$451,MATCH($O494&amp;"|"&amp;$R494&amp;"|"&amp;$AE494,'ASIGNACIONES'!$N$4:$N$451,0)),"")))</f>
        <v/>
      </c>
      <c r="AG494" s="14">
        <f>IF($AE494="","",SUMIFS('ORDENES'!$M$4:$M$1203,'ORDENES'!$AE$4:$AE$1203,$AE494,'ORDENES'!$O$4:$O$1203,$O494,'ORDENES'!$R$4:$R$1203,$R494))</f>
        <v/>
      </c>
      <c r="AH494" s="14">
        <f>IF($AG494="","",p_factor_productividad*IFERROR(INDEX('ASIGNACIONES'!$M$4:$M$451,MATCH($O494&amp;"|"&amp;$R494&amp;"|"&amp;$AE494,'ASIGNACIONES'!$N$4:$N$451,0)),0)-$AG494)</f>
        <v/>
      </c>
      <c r="AI494" s="11">
        <f>IF($A494="","",IFERROR(INDEX('2_IMPORTAR_EJECUCION'!$F$9:$F$1208,MATCH($AQ494,'2_IMPORTAR_EJECUCION'!$J$9:$J$1208,0)),0))</f>
        <v/>
      </c>
      <c r="AJ494" s="11">
        <f>IF($A494="","",MAX(0,IFERROR(INDEX('2_IMPORTAR_EJECUCION'!$H$9:$H$1208,MATCH($AQ494,'2_IMPORTAR_EJECUCION'!$J$9:$J$1208,0)),0)-$AI494))</f>
        <v/>
      </c>
      <c r="AK494" s="11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IF($H495="","",IFERROR(INDEX('CAT_ACTIVIDADES'!$B$4:$B$8,MATCH($H495,'CAT_ACTIVIDADES'!$A$4:$A$8,0)),"(sin catálogo)"))</f>
        <v/>
      </c>
      <c r="AA495" s="13">
        <f>IF($J495="","",TODAY()-$J495)</f>
        <v/>
      </c>
      <c r="AB495" s="13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IF($AE495="","",IF((IFERROR(INDEX('ASIGNACIONES'!$J$4:$J$451,MATCH($O495&amp;"|"&amp;$R495&amp;"|"&amp;$AE495,'ASIGNACIONES'!$N$4:$N$451,0)),""))=0,"",IFERROR(INDEX('ASIGNACIONES'!$J$4:$J$451,MATCH($O495&amp;"|"&amp;$R495&amp;"|"&amp;$AE495,'ASIGNACIONES'!$N$4:$N$451,0)),"")))</f>
        <v/>
      </c>
      <c r="AG495" s="14">
        <f>IF($AE495="","",SUMIFS('ORDENES'!$M$4:$M$1203,'ORDENES'!$AE$4:$AE$1203,$AE495,'ORDENES'!$O$4:$O$1203,$O495,'ORDENES'!$R$4:$R$1203,$R495))</f>
        <v/>
      </c>
      <c r="AH495" s="14">
        <f>IF($AG495="","",p_factor_productividad*IFERROR(INDEX('ASIGNACIONES'!$M$4:$M$451,MATCH($O495&amp;"|"&amp;$R495&amp;"|"&amp;$AE495,'ASIGNACIONES'!$N$4:$N$451,0)),0)-$AG495)</f>
        <v/>
      </c>
      <c r="AI495" s="11">
        <f>IF($A495="","",IFERROR(INDEX('2_IMPORTAR_EJECUCION'!$F$9:$F$1208,MATCH($AQ495,'2_IMPORTAR_EJECUCION'!$J$9:$J$1208,0)),0))</f>
        <v/>
      </c>
      <c r="AJ495" s="11">
        <f>IF($A495="","",MAX(0,IFERROR(INDEX('2_IMPORTAR_EJECUCION'!$H$9:$H$1208,MATCH($AQ495,'2_IMPORTAR_EJECUCION'!$J$9:$J$1208,0)),0)-$AI495))</f>
        <v/>
      </c>
      <c r="AK495" s="11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IF($H496="","",IFERROR(INDEX('CAT_ACTIVIDADES'!$B$4:$B$8,MATCH($H496,'CAT_ACTIVIDADES'!$A$4:$A$8,0)),"(sin catálogo)"))</f>
        <v/>
      </c>
      <c r="AA496" s="13">
        <f>IF($J496="","",TODAY()-$J496)</f>
        <v/>
      </c>
      <c r="AB496" s="13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IF($AE496="","",IF((IFERROR(INDEX('ASIGNACIONES'!$J$4:$J$451,MATCH($O496&amp;"|"&amp;$R496&amp;"|"&amp;$AE496,'ASIGNACIONES'!$N$4:$N$451,0)),""))=0,"",IFERROR(INDEX('ASIGNACIONES'!$J$4:$J$451,MATCH($O496&amp;"|"&amp;$R496&amp;"|"&amp;$AE496,'ASIGNACIONES'!$N$4:$N$451,0)),"")))</f>
        <v/>
      </c>
      <c r="AG496" s="14">
        <f>IF($AE496="","",SUMIFS('ORDENES'!$M$4:$M$1203,'ORDENES'!$AE$4:$AE$1203,$AE496,'ORDENES'!$O$4:$O$1203,$O496,'ORDENES'!$R$4:$R$1203,$R496))</f>
        <v/>
      </c>
      <c r="AH496" s="14">
        <f>IF($AG496="","",p_factor_productividad*IFERROR(INDEX('ASIGNACIONES'!$M$4:$M$451,MATCH($O496&amp;"|"&amp;$R496&amp;"|"&amp;$AE496,'ASIGNACIONES'!$N$4:$N$451,0)),0)-$AG496)</f>
        <v/>
      </c>
      <c r="AI496" s="11">
        <f>IF($A496="","",IFERROR(INDEX('2_IMPORTAR_EJECUCION'!$F$9:$F$1208,MATCH($AQ496,'2_IMPORTAR_EJECUCION'!$J$9:$J$1208,0)),0))</f>
        <v/>
      </c>
      <c r="AJ496" s="11">
        <f>IF($A496="","",MAX(0,IFERROR(INDEX('2_IMPORTAR_EJECUCION'!$H$9:$H$1208,MATCH($AQ496,'2_IMPORTAR_EJECUCION'!$J$9:$J$1208,0)),0)-$AI496))</f>
        <v/>
      </c>
      <c r="AK496" s="11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IF($H497="","",IFERROR(INDEX('CAT_ACTIVIDADES'!$B$4:$B$8,MATCH($H497,'CAT_ACTIVIDADES'!$A$4:$A$8,0)),"(sin catálogo)"))</f>
        <v/>
      </c>
      <c r="AA497" s="13">
        <f>IF($J497="","",TODAY()-$J497)</f>
        <v/>
      </c>
      <c r="AB497" s="13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IF($AE497="","",IF((IFERROR(INDEX('ASIGNACIONES'!$J$4:$J$451,MATCH($O497&amp;"|"&amp;$R497&amp;"|"&amp;$AE497,'ASIGNACIONES'!$N$4:$N$451,0)),""))=0,"",IFERROR(INDEX('ASIGNACIONES'!$J$4:$J$451,MATCH($O497&amp;"|"&amp;$R497&amp;"|"&amp;$AE497,'ASIGNACIONES'!$N$4:$N$451,0)),"")))</f>
        <v/>
      </c>
      <c r="AG497" s="14">
        <f>IF($AE497="","",SUMIFS('ORDENES'!$M$4:$M$1203,'ORDENES'!$AE$4:$AE$1203,$AE497,'ORDENES'!$O$4:$O$1203,$O497,'ORDENES'!$R$4:$R$1203,$R497))</f>
        <v/>
      </c>
      <c r="AH497" s="14">
        <f>IF($AG497="","",p_factor_productividad*IFERROR(INDEX('ASIGNACIONES'!$M$4:$M$451,MATCH($O497&amp;"|"&amp;$R497&amp;"|"&amp;$AE497,'ASIGNACIONES'!$N$4:$N$451,0)),0)-$AG497)</f>
        <v/>
      </c>
      <c r="AI497" s="11">
        <f>IF($A497="","",IFERROR(INDEX('2_IMPORTAR_EJECUCION'!$F$9:$F$1208,MATCH($AQ497,'2_IMPORTAR_EJECUCION'!$J$9:$J$1208,0)),0))</f>
        <v/>
      </c>
      <c r="AJ497" s="11">
        <f>IF($A497="","",MAX(0,IFERROR(INDEX('2_IMPORTAR_EJECUCION'!$H$9:$H$1208,MATCH($AQ497,'2_IMPORTAR_EJECUCION'!$J$9:$J$1208,0)),0)-$AI497))</f>
        <v/>
      </c>
      <c r="AK497" s="11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IF($H498="","",IFERROR(INDEX('CAT_ACTIVIDADES'!$B$4:$B$8,MATCH($H498,'CAT_ACTIVIDADES'!$A$4:$A$8,0)),"(sin catálogo)"))</f>
        <v/>
      </c>
      <c r="AA498" s="13">
        <f>IF($J498="","",TODAY()-$J498)</f>
        <v/>
      </c>
      <c r="AB498" s="13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IF($AE498="","",IF((IFERROR(INDEX('ASIGNACIONES'!$J$4:$J$451,MATCH($O498&amp;"|"&amp;$R498&amp;"|"&amp;$AE498,'ASIGNACIONES'!$N$4:$N$451,0)),""))=0,"",IFERROR(INDEX('ASIGNACIONES'!$J$4:$J$451,MATCH($O498&amp;"|"&amp;$R498&amp;"|"&amp;$AE498,'ASIGNACIONES'!$N$4:$N$451,0)),"")))</f>
        <v/>
      </c>
      <c r="AG498" s="14">
        <f>IF($AE498="","",SUMIFS('ORDENES'!$M$4:$M$1203,'ORDENES'!$AE$4:$AE$1203,$AE498,'ORDENES'!$O$4:$O$1203,$O498,'ORDENES'!$R$4:$R$1203,$R498))</f>
        <v/>
      </c>
      <c r="AH498" s="14">
        <f>IF($AG498="","",p_factor_productividad*IFERROR(INDEX('ASIGNACIONES'!$M$4:$M$451,MATCH($O498&amp;"|"&amp;$R498&amp;"|"&amp;$AE498,'ASIGNACIONES'!$N$4:$N$451,0)),0)-$AG498)</f>
        <v/>
      </c>
      <c r="AI498" s="11">
        <f>IF($A498="","",IFERROR(INDEX('2_IMPORTAR_EJECUCION'!$F$9:$F$1208,MATCH($AQ498,'2_IMPORTAR_EJECUCION'!$J$9:$J$1208,0)),0))</f>
        <v/>
      </c>
      <c r="AJ498" s="11">
        <f>IF($A498="","",MAX(0,IFERROR(INDEX('2_IMPORTAR_EJECUCION'!$H$9:$H$1208,MATCH($AQ498,'2_IMPORTAR_EJECUCION'!$J$9:$J$1208,0)),0)-$AI498))</f>
        <v/>
      </c>
      <c r="AK498" s="11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IF($H499="","",IFERROR(INDEX('CAT_ACTIVIDADES'!$B$4:$B$8,MATCH($H499,'CAT_ACTIVIDADES'!$A$4:$A$8,0)),"(sin catálogo)"))</f>
        <v/>
      </c>
      <c r="AA499" s="13">
        <f>IF($J499="","",TODAY()-$J499)</f>
        <v/>
      </c>
      <c r="AB499" s="13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IF($AE499="","",IF((IFERROR(INDEX('ASIGNACIONES'!$J$4:$J$451,MATCH($O499&amp;"|"&amp;$R499&amp;"|"&amp;$AE499,'ASIGNACIONES'!$N$4:$N$451,0)),""))=0,"",IFERROR(INDEX('ASIGNACIONES'!$J$4:$J$451,MATCH($O499&amp;"|"&amp;$R499&amp;"|"&amp;$AE499,'ASIGNACIONES'!$N$4:$N$451,0)),"")))</f>
        <v/>
      </c>
      <c r="AG499" s="14">
        <f>IF($AE499="","",SUMIFS('ORDENES'!$M$4:$M$1203,'ORDENES'!$AE$4:$AE$1203,$AE499,'ORDENES'!$O$4:$O$1203,$O499,'ORDENES'!$R$4:$R$1203,$R499))</f>
        <v/>
      </c>
      <c r="AH499" s="14">
        <f>IF($AG499="","",p_factor_productividad*IFERROR(INDEX('ASIGNACIONES'!$M$4:$M$451,MATCH($O499&amp;"|"&amp;$R499&amp;"|"&amp;$AE499,'ASIGNACIONES'!$N$4:$N$451,0)),0)-$AG499)</f>
        <v/>
      </c>
      <c r="AI499" s="11">
        <f>IF($A499="","",IFERROR(INDEX('2_IMPORTAR_EJECUCION'!$F$9:$F$1208,MATCH($AQ499,'2_IMPORTAR_EJECUCION'!$J$9:$J$1208,0)),0))</f>
        <v/>
      </c>
      <c r="AJ499" s="11">
        <f>IF($A499="","",MAX(0,IFERROR(INDEX('2_IMPORTAR_EJECUCION'!$H$9:$H$1208,MATCH($AQ499,'2_IMPORTAR_EJECUCION'!$J$9:$J$1208,0)),0)-$AI499))</f>
        <v/>
      </c>
      <c r="AK499" s="11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IF($H500="","",IFERROR(INDEX('CAT_ACTIVIDADES'!$B$4:$B$8,MATCH($H500,'CAT_ACTIVIDADES'!$A$4:$A$8,0)),"(sin catálogo)"))</f>
        <v/>
      </c>
      <c r="AA500" s="13">
        <f>IF($J500="","",TODAY()-$J500)</f>
        <v/>
      </c>
      <c r="AB500" s="13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IF($AE500="","",IF((IFERROR(INDEX('ASIGNACIONES'!$J$4:$J$451,MATCH($O500&amp;"|"&amp;$R500&amp;"|"&amp;$AE500,'ASIGNACIONES'!$N$4:$N$451,0)),""))=0,"",IFERROR(INDEX('ASIGNACIONES'!$J$4:$J$451,MATCH($O500&amp;"|"&amp;$R500&amp;"|"&amp;$AE500,'ASIGNACIONES'!$N$4:$N$451,0)),"")))</f>
        <v/>
      </c>
      <c r="AG500" s="14">
        <f>IF($AE500="","",SUMIFS('ORDENES'!$M$4:$M$1203,'ORDENES'!$AE$4:$AE$1203,$AE500,'ORDENES'!$O$4:$O$1203,$O500,'ORDENES'!$R$4:$R$1203,$R500))</f>
        <v/>
      </c>
      <c r="AH500" s="14">
        <f>IF($AG500="","",p_factor_productividad*IFERROR(INDEX('ASIGNACIONES'!$M$4:$M$451,MATCH($O500&amp;"|"&amp;$R500&amp;"|"&amp;$AE500,'ASIGNACIONES'!$N$4:$N$451,0)),0)-$AG500)</f>
        <v/>
      </c>
      <c r="AI500" s="11">
        <f>IF($A500="","",IFERROR(INDEX('2_IMPORTAR_EJECUCION'!$F$9:$F$1208,MATCH($AQ500,'2_IMPORTAR_EJECUCION'!$J$9:$J$1208,0)),0))</f>
        <v/>
      </c>
      <c r="AJ500" s="11">
        <f>IF($A500="","",MAX(0,IFERROR(INDEX('2_IMPORTAR_EJECUCION'!$H$9:$H$1208,MATCH($AQ500,'2_IMPORTAR_EJECUCION'!$J$9:$J$1208,0)),0)-$AI500))</f>
        <v/>
      </c>
      <c r="AK500" s="11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IF($H501="","",IFERROR(INDEX('CAT_ACTIVIDADES'!$B$4:$B$8,MATCH($H501,'CAT_ACTIVIDADES'!$A$4:$A$8,0)),"(sin catálogo)"))</f>
        <v/>
      </c>
      <c r="AA501" s="13">
        <f>IF($J501="","",TODAY()-$J501)</f>
        <v/>
      </c>
      <c r="AB501" s="13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IF($AE501="","",IF((IFERROR(INDEX('ASIGNACIONES'!$J$4:$J$451,MATCH($O501&amp;"|"&amp;$R501&amp;"|"&amp;$AE501,'ASIGNACIONES'!$N$4:$N$451,0)),""))=0,"",IFERROR(INDEX('ASIGNACIONES'!$J$4:$J$451,MATCH($O501&amp;"|"&amp;$R501&amp;"|"&amp;$AE501,'ASIGNACIONES'!$N$4:$N$451,0)),"")))</f>
        <v/>
      </c>
      <c r="AG501" s="14">
        <f>IF($AE501="","",SUMIFS('ORDENES'!$M$4:$M$1203,'ORDENES'!$AE$4:$AE$1203,$AE501,'ORDENES'!$O$4:$O$1203,$O501,'ORDENES'!$R$4:$R$1203,$R501))</f>
        <v/>
      </c>
      <c r="AH501" s="14">
        <f>IF($AG501="","",p_factor_productividad*IFERROR(INDEX('ASIGNACIONES'!$M$4:$M$451,MATCH($O501&amp;"|"&amp;$R501&amp;"|"&amp;$AE501,'ASIGNACIONES'!$N$4:$N$451,0)),0)-$AG501)</f>
        <v/>
      </c>
      <c r="AI501" s="11">
        <f>IF($A501="","",IFERROR(INDEX('2_IMPORTAR_EJECUCION'!$F$9:$F$1208,MATCH($AQ501,'2_IMPORTAR_EJECUCION'!$J$9:$J$1208,0)),0))</f>
        <v/>
      </c>
      <c r="AJ501" s="11">
        <f>IF($A501="","",MAX(0,IFERROR(INDEX('2_IMPORTAR_EJECUCION'!$H$9:$H$1208,MATCH($AQ501,'2_IMPORTAR_EJECUCION'!$J$9:$J$1208,0)),0)-$AI501))</f>
        <v/>
      </c>
      <c r="AK501" s="11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IF($H502="","",IFERROR(INDEX('CAT_ACTIVIDADES'!$B$4:$B$8,MATCH($H502,'CAT_ACTIVIDADES'!$A$4:$A$8,0)),"(sin catálogo)"))</f>
        <v/>
      </c>
      <c r="AA502" s="13">
        <f>IF($J502="","",TODAY()-$J502)</f>
        <v/>
      </c>
      <c r="AB502" s="13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IF($AE502="","",IF((IFERROR(INDEX('ASIGNACIONES'!$J$4:$J$451,MATCH($O502&amp;"|"&amp;$R502&amp;"|"&amp;$AE502,'ASIGNACIONES'!$N$4:$N$451,0)),""))=0,"",IFERROR(INDEX('ASIGNACIONES'!$J$4:$J$451,MATCH($O502&amp;"|"&amp;$R502&amp;"|"&amp;$AE502,'ASIGNACIONES'!$N$4:$N$451,0)),"")))</f>
        <v/>
      </c>
      <c r="AG502" s="14">
        <f>IF($AE502="","",SUMIFS('ORDENES'!$M$4:$M$1203,'ORDENES'!$AE$4:$AE$1203,$AE502,'ORDENES'!$O$4:$O$1203,$O502,'ORDENES'!$R$4:$R$1203,$R502))</f>
        <v/>
      </c>
      <c r="AH502" s="14">
        <f>IF($AG502="","",p_factor_productividad*IFERROR(INDEX('ASIGNACIONES'!$M$4:$M$451,MATCH($O502&amp;"|"&amp;$R502&amp;"|"&amp;$AE502,'ASIGNACIONES'!$N$4:$N$451,0)),0)-$AG502)</f>
        <v/>
      </c>
      <c r="AI502" s="11">
        <f>IF($A502="","",IFERROR(INDEX('2_IMPORTAR_EJECUCION'!$F$9:$F$1208,MATCH($AQ502,'2_IMPORTAR_EJECUCION'!$J$9:$J$1208,0)),0))</f>
        <v/>
      </c>
      <c r="AJ502" s="11">
        <f>IF($A502="","",MAX(0,IFERROR(INDEX('2_IMPORTAR_EJECUCION'!$H$9:$H$1208,MATCH($AQ502,'2_IMPORTAR_EJECUCION'!$J$9:$J$1208,0)),0)-$AI502))</f>
        <v/>
      </c>
      <c r="AK502" s="11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IF($H503="","",IFERROR(INDEX('CAT_ACTIVIDADES'!$B$4:$B$8,MATCH($H503,'CAT_ACTIVIDADES'!$A$4:$A$8,0)),"(sin catálogo)"))</f>
        <v/>
      </c>
      <c r="AA503" s="13">
        <f>IF($J503="","",TODAY()-$J503)</f>
        <v/>
      </c>
      <c r="AB503" s="13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IF($AE503="","",IF((IFERROR(INDEX('ASIGNACIONES'!$J$4:$J$451,MATCH($O503&amp;"|"&amp;$R503&amp;"|"&amp;$AE503,'ASIGNACIONES'!$N$4:$N$451,0)),""))=0,"",IFERROR(INDEX('ASIGNACIONES'!$J$4:$J$451,MATCH($O503&amp;"|"&amp;$R503&amp;"|"&amp;$AE503,'ASIGNACIONES'!$N$4:$N$451,0)),"")))</f>
        <v/>
      </c>
      <c r="AG503" s="14">
        <f>IF($AE503="","",SUMIFS('ORDENES'!$M$4:$M$1203,'ORDENES'!$AE$4:$AE$1203,$AE503,'ORDENES'!$O$4:$O$1203,$O503,'ORDENES'!$R$4:$R$1203,$R503))</f>
        <v/>
      </c>
      <c r="AH503" s="14">
        <f>IF($AG503="","",p_factor_productividad*IFERROR(INDEX('ASIGNACIONES'!$M$4:$M$451,MATCH($O503&amp;"|"&amp;$R503&amp;"|"&amp;$AE503,'ASIGNACIONES'!$N$4:$N$451,0)),0)-$AG503)</f>
        <v/>
      </c>
      <c r="AI503" s="11">
        <f>IF($A503="","",IFERROR(INDEX('2_IMPORTAR_EJECUCION'!$F$9:$F$1208,MATCH($AQ503,'2_IMPORTAR_EJECUCION'!$J$9:$J$1208,0)),0))</f>
        <v/>
      </c>
      <c r="AJ503" s="11">
        <f>IF($A503="","",MAX(0,IFERROR(INDEX('2_IMPORTAR_EJECUCION'!$H$9:$H$1208,MATCH($AQ503,'2_IMPORTAR_EJECUCION'!$J$9:$J$1208,0)),0)-$AI503))</f>
        <v/>
      </c>
      <c r="AK503" s="11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IF($H504="","",IFERROR(INDEX('CAT_ACTIVIDADES'!$B$4:$B$8,MATCH($H504,'CAT_ACTIVIDADES'!$A$4:$A$8,0)),"(sin catálogo)"))</f>
        <v/>
      </c>
      <c r="AA504" s="13">
        <f>IF($J504="","",TODAY()-$J504)</f>
        <v/>
      </c>
      <c r="AB504" s="13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IF($AE504="","",IF((IFERROR(INDEX('ASIGNACIONES'!$J$4:$J$451,MATCH($O504&amp;"|"&amp;$R504&amp;"|"&amp;$AE504,'ASIGNACIONES'!$N$4:$N$451,0)),""))=0,"",IFERROR(INDEX('ASIGNACIONES'!$J$4:$J$451,MATCH($O504&amp;"|"&amp;$R504&amp;"|"&amp;$AE504,'ASIGNACIONES'!$N$4:$N$451,0)),"")))</f>
        <v/>
      </c>
      <c r="AG504" s="14">
        <f>IF($AE504="","",SUMIFS('ORDENES'!$M$4:$M$1203,'ORDENES'!$AE$4:$AE$1203,$AE504,'ORDENES'!$O$4:$O$1203,$O504,'ORDENES'!$R$4:$R$1203,$R504))</f>
        <v/>
      </c>
      <c r="AH504" s="14">
        <f>IF($AG504="","",p_factor_productividad*IFERROR(INDEX('ASIGNACIONES'!$M$4:$M$451,MATCH($O504&amp;"|"&amp;$R504&amp;"|"&amp;$AE504,'ASIGNACIONES'!$N$4:$N$451,0)),0)-$AG504)</f>
        <v/>
      </c>
      <c r="AI504" s="11">
        <f>IF($A504="","",IFERROR(INDEX('2_IMPORTAR_EJECUCION'!$F$9:$F$1208,MATCH($AQ504,'2_IMPORTAR_EJECUCION'!$J$9:$J$1208,0)),0))</f>
        <v/>
      </c>
      <c r="AJ504" s="11">
        <f>IF($A504="","",MAX(0,IFERROR(INDEX('2_IMPORTAR_EJECUCION'!$H$9:$H$1208,MATCH($AQ504,'2_IMPORTAR_EJECUCION'!$J$9:$J$1208,0)),0)-$AI504))</f>
        <v/>
      </c>
      <c r="AK504" s="11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IF($H505="","",IFERROR(INDEX('CAT_ACTIVIDADES'!$B$4:$B$8,MATCH($H505,'CAT_ACTIVIDADES'!$A$4:$A$8,0)),"(sin catálogo)"))</f>
        <v/>
      </c>
      <c r="AA505" s="13">
        <f>IF($J505="","",TODAY()-$J505)</f>
        <v/>
      </c>
      <c r="AB505" s="13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IF($AE505="","",IF((IFERROR(INDEX('ASIGNACIONES'!$J$4:$J$451,MATCH($O505&amp;"|"&amp;$R505&amp;"|"&amp;$AE505,'ASIGNACIONES'!$N$4:$N$451,0)),""))=0,"",IFERROR(INDEX('ASIGNACIONES'!$J$4:$J$451,MATCH($O505&amp;"|"&amp;$R505&amp;"|"&amp;$AE505,'ASIGNACIONES'!$N$4:$N$451,0)),"")))</f>
        <v/>
      </c>
      <c r="AG505" s="14">
        <f>IF($AE505="","",SUMIFS('ORDENES'!$M$4:$M$1203,'ORDENES'!$AE$4:$AE$1203,$AE505,'ORDENES'!$O$4:$O$1203,$O505,'ORDENES'!$R$4:$R$1203,$R505))</f>
        <v/>
      </c>
      <c r="AH505" s="14">
        <f>IF($AG505="","",p_factor_productividad*IFERROR(INDEX('ASIGNACIONES'!$M$4:$M$451,MATCH($O505&amp;"|"&amp;$R505&amp;"|"&amp;$AE505,'ASIGNACIONES'!$N$4:$N$451,0)),0)-$AG505)</f>
        <v/>
      </c>
      <c r="AI505" s="11">
        <f>IF($A505="","",IFERROR(INDEX('2_IMPORTAR_EJECUCION'!$F$9:$F$1208,MATCH($AQ505,'2_IMPORTAR_EJECUCION'!$J$9:$J$1208,0)),0))</f>
        <v/>
      </c>
      <c r="AJ505" s="11">
        <f>IF($A505="","",MAX(0,IFERROR(INDEX('2_IMPORTAR_EJECUCION'!$H$9:$H$1208,MATCH($AQ505,'2_IMPORTAR_EJECUCION'!$J$9:$J$1208,0)),0)-$AI505))</f>
        <v/>
      </c>
      <c r="AK505" s="11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IF($H506="","",IFERROR(INDEX('CAT_ACTIVIDADES'!$B$4:$B$8,MATCH($H506,'CAT_ACTIVIDADES'!$A$4:$A$8,0)),"(sin catálogo)"))</f>
        <v/>
      </c>
      <c r="AA506" s="13">
        <f>IF($J506="","",TODAY()-$J506)</f>
        <v/>
      </c>
      <c r="AB506" s="13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IF($AE506="","",IF((IFERROR(INDEX('ASIGNACIONES'!$J$4:$J$451,MATCH($O506&amp;"|"&amp;$R506&amp;"|"&amp;$AE506,'ASIGNACIONES'!$N$4:$N$451,0)),""))=0,"",IFERROR(INDEX('ASIGNACIONES'!$J$4:$J$451,MATCH($O506&amp;"|"&amp;$R506&amp;"|"&amp;$AE506,'ASIGNACIONES'!$N$4:$N$451,0)),"")))</f>
        <v/>
      </c>
      <c r="AG506" s="14">
        <f>IF($AE506="","",SUMIFS('ORDENES'!$M$4:$M$1203,'ORDENES'!$AE$4:$AE$1203,$AE506,'ORDENES'!$O$4:$O$1203,$O506,'ORDENES'!$R$4:$R$1203,$R506))</f>
        <v/>
      </c>
      <c r="AH506" s="14">
        <f>IF($AG506="","",p_factor_productividad*IFERROR(INDEX('ASIGNACIONES'!$M$4:$M$451,MATCH($O506&amp;"|"&amp;$R506&amp;"|"&amp;$AE506,'ASIGNACIONES'!$N$4:$N$451,0)),0)-$AG506)</f>
        <v/>
      </c>
      <c r="AI506" s="11">
        <f>IF($A506="","",IFERROR(INDEX('2_IMPORTAR_EJECUCION'!$F$9:$F$1208,MATCH($AQ506,'2_IMPORTAR_EJECUCION'!$J$9:$J$1208,0)),0))</f>
        <v/>
      </c>
      <c r="AJ506" s="11">
        <f>IF($A506="","",MAX(0,IFERROR(INDEX('2_IMPORTAR_EJECUCION'!$H$9:$H$1208,MATCH($AQ506,'2_IMPORTAR_EJECUCION'!$J$9:$J$1208,0)),0)-$AI506))</f>
        <v/>
      </c>
      <c r="AK506" s="11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IF($H507="","",IFERROR(INDEX('CAT_ACTIVIDADES'!$B$4:$B$8,MATCH($H507,'CAT_ACTIVIDADES'!$A$4:$A$8,0)),"(sin catálogo)"))</f>
        <v/>
      </c>
      <c r="AA507" s="13">
        <f>IF($J507="","",TODAY()-$J507)</f>
        <v/>
      </c>
      <c r="AB507" s="13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IF($AE507="","",IF((IFERROR(INDEX('ASIGNACIONES'!$J$4:$J$451,MATCH($O507&amp;"|"&amp;$R507&amp;"|"&amp;$AE507,'ASIGNACIONES'!$N$4:$N$451,0)),""))=0,"",IFERROR(INDEX('ASIGNACIONES'!$J$4:$J$451,MATCH($O507&amp;"|"&amp;$R507&amp;"|"&amp;$AE507,'ASIGNACIONES'!$N$4:$N$451,0)),"")))</f>
        <v/>
      </c>
      <c r="AG507" s="14">
        <f>IF($AE507="","",SUMIFS('ORDENES'!$M$4:$M$1203,'ORDENES'!$AE$4:$AE$1203,$AE507,'ORDENES'!$O$4:$O$1203,$O507,'ORDENES'!$R$4:$R$1203,$R507))</f>
        <v/>
      </c>
      <c r="AH507" s="14">
        <f>IF($AG507="","",p_factor_productividad*IFERROR(INDEX('ASIGNACIONES'!$M$4:$M$451,MATCH($O507&amp;"|"&amp;$R507&amp;"|"&amp;$AE507,'ASIGNACIONES'!$N$4:$N$451,0)),0)-$AG507)</f>
        <v/>
      </c>
      <c r="AI507" s="11">
        <f>IF($A507="","",IFERROR(INDEX('2_IMPORTAR_EJECUCION'!$F$9:$F$1208,MATCH($AQ507,'2_IMPORTAR_EJECUCION'!$J$9:$J$1208,0)),0))</f>
        <v/>
      </c>
      <c r="AJ507" s="11">
        <f>IF($A507="","",MAX(0,IFERROR(INDEX('2_IMPORTAR_EJECUCION'!$H$9:$H$1208,MATCH($AQ507,'2_IMPORTAR_EJECUCION'!$J$9:$J$1208,0)),0)-$AI507))</f>
        <v/>
      </c>
      <c r="AK507" s="11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IF($H508="","",IFERROR(INDEX('CAT_ACTIVIDADES'!$B$4:$B$8,MATCH($H508,'CAT_ACTIVIDADES'!$A$4:$A$8,0)),"(sin catálogo)"))</f>
        <v/>
      </c>
      <c r="AA508" s="13">
        <f>IF($J508="","",TODAY()-$J508)</f>
        <v/>
      </c>
      <c r="AB508" s="13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IF($AE508="","",IF((IFERROR(INDEX('ASIGNACIONES'!$J$4:$J$451,MATCH($O508&amp;"|"&amp;$R508&amp;"|"&amp;$AE508,'ASIGNACIONES'!$N$4:$N$451,0)),""))=0,"",IFERROR(INDEX('ASIGNACIONES'!$J$4:$J$451,MATCH($O508&amp;"|"&amp;$R508&amp;"|"&amp;$AE508,'ASIGNACIONES'!$N$4:$N$451,0)),"")))</f>
        <v/>
      </c>
      <c r="AG508" s="14">
        <f>IF($AE508="","",SUMIFS('ORDENES'!$M$4:$M$1203,'ORDENES'!$AE$4:$AE$1203,$AE508,'ORDENES'!$O$4:$O$1203,$O508,'ORDENES'!$R$4:$R$1203,$R508))</f>
        <v/>
      </c>
      <c r="AH508" s="14">
        <f>IF($AG508="","",p_factor_productividad*IFERROR(INDEX('ASIGNACIONES'!$M$4:$M$451,MATCH($O508&amp;"|"&amp;$R508&amp;"|"&amp;$AE508,'ASIGNACIONES'!$N$4:$N$451,0)),0)-$AG508)</f>
        <v/>
      </c>
      <c r="AI508" s="11">
        <f>IF($A508="","",IFERROR(INDEX('2_IMPORTAR_EJECUCION'!$F$9:$F$1208,MATCH($AQ508,'2_IMPORTAR_EJECUCION'!$J$9:$J$1208,0)),0))</f>
        <v/>
      </c>
      <c r="AJ508" s="11">
        <f>IF($A508="","",MAX(0,IFERROR(INDEX('2_IMPORTAR_EJECUCION'!$H$9:$H$1208,MATCH($AQ508,'2_IMPORTAR_EJECUCION'!$J$9:$J$1208,0)),0)-$AI508))</f>
        <v/>
      </c>
      <c r="AK508" s="11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IF($H509="","",IFERROR(INDEX('CAT_ACTIVIDADES'!$B$4:$B$8,MATCH($H509,'CAT_ACTIVIDADES'!$A$4:$A$8,0)),"(sin catálogo)"))</f>
        <v/>
      </c>
      <c r="AA509" s="13">
        <f>IF($J509="","",TODAY()-$J509)</f>
        <v/>
      </c>
      <c r="AB509" s="13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IF($AE509="","",IF((IFERROR(INDEX('ASIGNACIONES'!$J$4:$J$451,MATCH($O509&amp;"|"&amp;$R509&amp;"|"&amp;$AE509,'ASIGNACIONES'!$N$4:$N$451,0)),""))=0,"",IFERROR(INDEX('ASIGNACIONES'!$J$4:$J$451,MATCH($O509&amp;"|"&amp;$R509&amp;"|"&amp;$AE509,'ASIGNACIONES'!$N$4:$N$451,0)),"")))</f>
        <v/>
      </c>
      <c r="AG509" s="14">
        <f>IF($AE509="","",SUMIFS('ORDENES'!$M$4:$M$1203,'ORDENES'!$AE$4:$AE$1203,$AE509,'ORDENES'!$O$4:$O$1203,$O509,'ORDENES'!$R$4:$R$1203,$R509))</f>
        <v/>
      </c>
      <c r="AH509" s="14">
        <f>IF($AG509="","",p_factor_productividad*IFERROR(INDEX('ASIGNACIONES'!$M$4:$M$451,MATCH($O509&amp;"|"&amp;$R509&amp;"|"&amp;$AE509,'ASIGNACIONES'!$N$4:$N$451,0)),0)-$AG509)</f>
        <v/>
      </c>
      <c r="AI509" s="11">
        <f>IF($A509="","",IFERROR(INDEX('2_IMPORTAR_EJECUCION'!$F$9:$F$1208,MATCH($AQ509,'2_IMPORTAR_EJECUCION'!$J$9:$J$1208,0)),0))</f>
        <v/>
      </c>
      <c r="AJ509" s="11">
        <f>IF($A509="","",MAX(0,IFERROR(INDEX('2_IMPORTAR_EJECUCION'!$H$9:$H$1208,MATCH($AQ509,'2_IMPORTAR_EJECUCION'!$J$9:$J$1208,0)),0)-$AI509))</f>
        <v/>
      </c>
      <c r="AK509" s="11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IF($H510="","",IFERROR(INDEX('CAT_ACTIVIDADES'!$B$4:$B$8,MATCH($H510,'CAT_ACTIVIDADES'!$A$4:$A$8,0)),"(sin catálogo)"))</f>
        <v/>
      </c>
      <c r="AA510" s="13">
        <f>IF($J510="","",TODAY()-$J510)</f>
        <v/>
      </c>
      <c r="AB510" s="13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IF($AE510="","",IF((IFERROR(INDEX('ASIGNACIONES'!$J$4:$J$451,MATCH($O510&amp;"|"&amp;$R510&amp;"|"&amp;$AE510,'ASIGNACIONES'!$N$4:$N$451,0)),""))=0,"",IFERROR(INDEX('ASIGNACIONES'!$J$4:$J$451,MATCH($O510&amp;"|"&amp;$R510&amp;"|"&amp;$AE510,'ASIGNACIONES'!$N$4:$N$451,0)),"")))</f>
        <v/>
      </c>
      <c r="AG510" s="14">
        <f>IF($AE510="","",SUMIFS('ORDENES'!$M$4:$M$1203,'ORDENES'!$AE$4:$AE$1203,$AE510,'ORDENES'!$O$4:$O$1203,$O510,'ORDENES'!$R$4:$R$1203,$R510))</f>
        <v/>
      </c>
      <c r="AH510" s="14">
        <f>IF($AG510="","",p_factor_productividad*IFERROR(INDEX('ASIGNACIONES'!$M$4:$M$451,MATCH($O510&amp;"|"&amp;$R510&amp;"|"&amp;$AE510,'ASIGNACIONES'!$N$4:$N$451,0)),0)-$AG510)</f>
        <v/>
      </c>
      <c r="AI510" s="11">
        <f>IF($A510="","",IFERROR(INDEX('2_IMPORTAR_EJECUCION'!$F$9:$F$1208,MATCH($AQ510,'2_IMPORTAR_EJECUCION'!$J$9:$J$1208,0)),0))</f>
        <v/>
      </c>
      <c r="AJ510" s="11">
        <f>IF($A510="","",MAX(0,IFERROR(INDEX('2_IMPORTAR_EJECUCION'!$H$9:$H$1208,MATCH($AQ510,'2_IMPORTAR_EJECUCION'!$J$9:$J$1208,0)),0)-$AI510))</f>
        <v/>
      </c>
      <c r="AK510" s="11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IF($H511="","",IFERROR(INDEX('CAT_ACTIVIDADES'!$B$4:$B$8,MATCH($H511,'CAT_ACTIVIDADES'!$A$4:$A$8,0)),"(sin catálogo)"))</f>
        <v/>
      </c>
      <c r="AA511" s="13">
        <f>IF($J511="","",TODAY()-$J511)</f>
        <v/>
      </c>
      <c r="AB511" s="13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IF($AE511="","",IF((IFERROR(INDEX('ASIGNACIONES'!$J$4:$J$451,MATCH($O511&amp;"|"&amp;$R511&amp;"|"&amp;$AE511,'ASIGNACIONES'!$N$4:$N$451,0)),""))=0,"",IFERROR(INDEX('ASIGNACIONES'!$J$4:$J$451,MATCH($O511&amp;"|"&amp;$R511&amp;"|"&amp;$AE511,'ASIGNACIONES'!$N$4:$N$451,0)),"")))</f>
        <v/>
      </c>
      <c r="AG511" s="14">
        <f>IF($AE511="","",SUMIFS('ORDENES'!$M$4:$M$1203,'ORDENES'!$AE$4:$AE$1203,$AE511,'ORDENES'!$O$4:$O$1203,$O511,'ORDENES'!$R$4:$R$1203,$R511))</f>
        <v/>
      </c>
      <c r="AH511" s="14">
        <f>IF($AG511="","",p_factor_productividad*IFERROR(INDEX('ASIGNACIONES'!$M$4:$M$451,MATCH($O511&amp;"|"&amp;$R511&amp;"|"&amp;$AE511,'ASIGNACIONES'!$N$4:$N$451,0)),0)-$AG511)</f>
        <v/>
      </c>
      <c r="AI511" s="11">
        <f>IF($A511="","",IFERROR(INDEX('2_IMPORTAR_EJECUCION'!$F$9:$F$1208,MATCH($AQ511,'2_IMPORTAR_EJECUCION'!$J$9:$J$1208,0)),0))</f>
        <v/>
      </c>
      <c r="AJ511" s="11">
        <f>IF($A511="","",MAX(0,IFERROR(INDEX('2_IMPORTAR_EJECUCION'!$H$9:$H$1208,MATCH($AQ511,'2_IMPORTAR_EJECUCION'!$J$9:$J$1208,0)),0)-$AI511))</f>
        <v/>
      </c>
      <c r="AK511" s="11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IF($H512="","",IFERROR(INDEX('CAT_ACTIVIDADES'!$B$4:$B$8,MATCH($H512,'CAT_ACTIVIDADES'!$A$4:$A$8,0)),"(sin catálogo)"))</f>
        <v/>
      </c>
      <c r="AA512" s="13">
        <f>IF($J512="","",TODAY()-$J512)</f>
        <v/>
      </c>
      <c r="AB512" s="13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IF($AE512="","",IF((IFERROR(INDEX('ASIGNACIONES'!$J$4:$J$451,MATCH($O512&amp;"|"&amp;$R512&amp;"|"&amp;$AE512,'ASIGNACIONES'!$N$4:$N$451,0)),""))=0,"",IFERROR(INDEX('ASIGNACIONES'!$J$4:$J$451,MATCH($O512&amp;"|"&amp;$R512&amp;"|"&amp;$AE512,'ASIGNACIONES'!$N$4:$N$451,0)),"")))</f>
        <v/>
      </c>
      <c r="AG512" s="14">
        <f>IF($AE512="","",SUMIFS('ORDENES'!$M$4:$M$1203,'ORDENES'!$AE$4:$AE$1203,$AE512,'ORDENES'!$O$4:$O$1203,$O512,'ORDENES'!$R$4:$R$1203,$R512))</f>
        <v/>
      </c>
      <c r="AH512" s="14">
        <f>IF($AG512="","",p_factor_productividad*IFERROR(INDEX('ASIGNACIONES'!$M$4:$M$451,MATCH($O512&amp;"|"&amp;$R512&amp;"|"&amp;$AE512,'ASIGNACIONES'!$N$4:$N$451,0)),0)-$AG512)</f>
        <v/>
      </c>
      <c r="AI512" s="11">
        <f>IF($A512="","",IFERROR(INDEX('2_IMPORTAR_EJECUCION'!$F$9:$F$1208,MATCH($AQ512,'2_IMPORTAR_EJECUCION'!$J$9:$J$1208,0)),0))</f>
        <v/>
      </c>
      <c r="AJ512" s="11">
        <f>IF($A512="","",MAX(0,IFERROR(INDEX('2_IMPORTAR_EJECUCION'!$H$9:$H$1208,MATCH($AQ512,'2_IMPORTAR_EJECUCION'!$J$9:$J$1208,0)),0)-$AI512))</f>
        <v/>
      </c>
      <c r="AK512" s="11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IF($H513="","",IFERROR(INDEX('CAT_ACTIVIDADES'!$B$4:$B$8,MATCH($H513,'CAT_ACTIVIDADES'!$A$4:$A$8,0)),"(sin catálogo)"))</f>
        <v/>
      </c>
      <c r="AA513" s="13">
        <f>IF($J513="","",TODAY()-$J513)</f>
        <v/>
      </c>
      <c r="AB513" s="13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IF($AE513="","",IF((IFERROR(INDEX('ASIGNACIONES'!$J$4:$J$451,MATCH($O513&amp;"|"&amp;$R513&amp;"|"&amp;$AE513,'ASIGNACIONES'!$N$4:$N$451,0)),""))=0,"",IFERROR(INDEX('ASIGNACIONES'!$J$4:$J$451,MATCH($O513&amp;"|"&amp;$R513&amp;"|"&amp;$AE513,'ASIGNACIONES'!$N$4:$N$451,0)),"")))</f>
        <v/>
      </c>
      <c r="AG513" s="14">
        <f>IF($AE513="","",SUMIFS('ORDENES'!$M$4:$M$1203,'ORDENES'!$AE$4:$AE$1203,$AE513,'ORDENES'!$O$4:$O$1203,$O513,'ORDENES'!$R$4:$R$1203,$R513))</f>
        <v/>
      </c>
      <c r="AH513" s="14">
        <f>IF($AG513="","",p_factor_productividad*IFERROR(INDEX('ASIGNACIONES'!$M$4:$M$451,MATCH($O513&amp;"|"&amp;$R513&amp;"|"&amp;$AE513,'ASIGNACIONES'!$N$4:$N$451,0)),0)-$AG513)</f>
        <v/>
      </c>
      <c r="AI513" s="11">
        <f>IF($A513="","",IFERROR(INDEX('2_IMPORTAR_EJECUCION'!$F$9:$F$1208,MATCH($AQ513,'2_IMPORTAR_EJECUCION'!$J$9:$J$1208,0)),0))</f>
        <v/>
      </c>
      <c r="AJ513" s="11">
        <f>IF($A513="","",MAX(0,IFERROR(INDEX('2_IMPORTAR_EJECUCION'!$H$9:$H$1208,MATCH($AQ513,'2_IMPORTAR_EJECUCION'!$J$9:$J$1208,0)),0)-$AI513))</f>
        <v/>
      </c>
      <c r="AK513" s="11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IF($H514="","",IFERROR(INDEX('CAT_ACTIVIDADES'!$B$4:$B$8,MATCH($H514,'CAT_ACTIVIDADES'!$A$4:$A$8,0)),"(sin catálogo)"))</f>
        <v/>
      </c>
      <c r="AA514" s="13">
        <f>IF($J514="","",TODAY()-$J514)</f>
        <v/>
      </c>
      <c r="AB514" s="13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IF($AE514="","",IF((IFERROR(INDEX('ASIGNACIONES'!$J$4:$J$451,MATCH($O514&amp;"|"&amp;$R514&amp;"|"&amp;$AE514,'ASIGNACIONES'!$N$4:$N$451,0)),""))=0,"",IFERROR(INDEX('ASIGNACIONES'!$J$4:$J$451,MATCH($O514&amp;"|"&amp;$R514&amp;"|"&amp;$AE514,'ASIGNACIONES'!$N$4:$N$451,0)),"")))</f>
        <v/>
      </c>
      <c r="AG514" s="14">
        <f>IF($AE514="","",SUMIFS('ORDENES'!$M$4:$M$1203,'ORDENES'!$AE$4:$AE$1203,$AE514,'ORDENES'!$O$4:$O$1203,$O514,'ORDENES'!$R$4:$R$1203,$R514))</f>
        <v/>
      </c>
      <c r="AH514" s="14">
        <f>IF($AG514="","",p_factor_productividad*IFERROR(INDEX('ASIGNACIONES'!$M$4:$M$451,MATCH($O514&amp;"|"&amp;$R514&amp;"|"&amp;$AE514,'ASIGNACIONES'!$N$4:$N$451,0)),0)-$AG514)</f>
        <v/>
      </c>
      <c r="AI514" s="11">
        <f>IF($A514="","",IFERROR(INDEX('2_IMPORTAR_EJECUCION'!$F$9:$F$1208,MATCH($AQ514,'2_IMPORTAR_EJECUCION'!$J$9:$J$1208,0)),0))</f>
        <v/>
      </c>
      <c r="AJ514" s="11">
        <f>IF($A514="","",MAX(0,IFERROR(INDEX('2_IMPORTAR_EJECUCION'!$H$9:$H$1208,MATCH($AQ514,'2_IMPORTAR_EJECUCION'!$J$9:$J$1208,0)),0)-$AI514))</f>
        <v/>
      </c>
      <c r="AK514" s="11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IF($H515="","",IFERROR(INDEX('CAT_ACTIVIDADES'!$B$4:$B$8,MATCH($H515,'CAT_ACTIVIDADES'!$A$4:$A$8,0)),"(sin catálogo)"))</f>
        <v/>
      </c>
      <c r="AA515" s="13">
        <f>IF($J515="","",TODAY()-$J515)</f>
        <v/>
      </c>
      <c r="AB515" s="13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IF($AE515="","",IF((IFERROR(INDEX('ASIGNACIONES'!$J$4:$J$451,MATCH($O515&amp;"|"&amp;$R515&amp;"|"&amp;$AE515,'ASIGNACIONES'!$N$4:$N$451,0)),""))=0,"",IFERROR(INDEX('ASIGNACIONES'!$J$4:$J$451,MATCH($O515&amp;"|"&amp;$R515&amp;"|"&amp;$AE515,'ASIGNACIONES'!$N$4:$N$451,0)),"")))</f>
        <v/>
      </c>
      <c r="AG515" s="14">
        <f>IF($AE515="","",SUMIFS('ORDENES'!$M$4:$M$1203,'ORDENES'!$AE$4:$AE$1203,$AE515,'ORDENES'!$O$4:$O$1203,$O515,'ORDENES'!$R$4:$R$1203,$R515))</f>
        <v/>
      </c>
      <c r="AH515" s="14">
        <f>IF($AG515="","",p_factor_productividad*IFERROR(INDEX('ASIGNACIONES'!$M$4:$M$451,MATCH($O515&amp;"|"&amp;$R515&amp;"|"&amp;$AE515,'ASIGNACIONES'!$N$4:$N$451,0)),0)-$AG515)</f>
        <v/>
      </c>
      <c r="AI515" s="11">
        <f>IF($A515="","",IFERROR(INDEX('2_IMPORTAR_EJECUCION'!$F$9:$F$1208,MATCH($AQ515,'2_IMPORTAR_EJECUCION'!$J$9:$J$1208,0)),0))</f>
        <v/>
      </c>
      <c r="AJ515" s="11">
        <f>IF($A515="","",MAX(0,IFERROR(INDEX('2_IMPORTAR_EJECUCION'!$H$9:$H$1208,MATCH($AQ515,'2_IMPORTAR_EJECUCION'!$J$9:$J$1208,0)),0)-$AI515))</f>
        <v/>
      </c>
      <c r="AK515" s="11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IF($H516="","",IFERROR(INDEX('CAT_ACTIVIDADES'!$B$4:$B$8,MATCH($H516,'CAT_ACTIVIDADES'!$A$4:$A$8,0)),"(sin catálogo)"))</f>
        <v/>
      </c>
      <c r="AA516" s="13">
        <f>IF($J516="","",TODAY()-$J516)</f>
        <v/>
      </c>
      <c r="AB516" s="13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IF($AE516="","",IF((IFERROR(INDEX('ASIGNACIONES'!$J$4:$J$451,MATCH($O516&amp;"|"&amp;$R516&amp;"|"&amp;$AE516,'ASIGNACIONES'!$N$4:$N$451,0)),""))=0,"",IFERROR(INDEX('ASIGNACIONES'!$J$4:$J$451,MATCH($O516&amp;"|"&amp;$R516&amp;"|"&amp;$AE516,'ASIGNACIONES'!$N$4:$N$451,0)),"")))</f>
        <v/>
      </c>
      <c r="AG516" s="14">
        <f>IF($AE516="","",SUMIFS('ORDENES'!$M$4:$M$1203,'ORDENES'!$AE$4:$AE$1203,$AE516,'ORDENES'!$O$4:$O$1203,$O516,'ORDENES'!$R$4:$R$1203,$R516))</f>
        <v/>
      </c>
      <c r="AH516" s="14">
        <f>IF($AG516="","",p_factor_productividad*IFERROR(INDEX('ASIGNACIONES'!$M$4:$M$451,MATCH($O516&amp;"|"&amp;$R516&amp;"|"&amp;$AE516,'ASIGNACIONES'!$N$4:$N$451,0)),0)-$AG516)</f>
        <v/>
      </c>
      <c r="AI516" s="11">
        <f>IF($A516="","",IFERROR(INDEX('2_IMPORTAR_EJECUCION'!$F$9:$F$1208,MATCH($AQ516,'2_IMPORTAR_EJECUCION'!$J$9:$J$1208,0)),0))</f>
        <v/>
      </c>
      <c r="AJ516" s="11">
        <f>IF($A516="","",MAX(0,IFERROR(INDEX('2_IMPORTAR_EJECUCION'!$H$9:$H$1208,MATCH($AQ516,'2_IMPORTAR_EJECUCION'!$J$9:$J$1208,0)),0)-$AI516))</f>
        <v/>
      </c>
      <c r="AK516" s="11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IF($H517="","",IFERROR(INDEX('CAT_ACTIVIDADES'!$B$4:$B$8,MATCH($H517,'CAT_ACTIVIDADES'!$A$4:$A$8,0)),"(sin catálogo)"))</f>
        <v/>
      </c>
      <c r="AA517" s="13">
        <f>IF($J517="","",TODAY()-$J517)</f>
        <v/>
      </c>
      <c r="AB517" s="13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IF($AE517="","",IF((IFERROR(INDEX('ASIGNACIONES'!$J$4:$J$451,MATCH($O517&amp;"|"&amp;$R517&amp;"|"&amp;$AE517,'ASIGNACIONES'!$N$4:$N$451,0)),""))=0,"",IFERROR(INDEX('ASIGNACIONES'!$J$4:$J$451,MATCH($O517&amp;"|"&amp;$R517&amp;"|"&amp;$AE517,'ASIGNACIONES'!$N$4:$N$451,0)),"")))</f>
        <v/>
      </c>
      <c r="AG517" s="14">
        <f>IF($AE517="","",SUMIFS('ORDENES'!$M$4:$M$1203,'ORDENES'!$AE$4:$AE$1203,$AE517,'ORDENES'!$O$4:$O$1203,$O517,'ORDENES'!$R$4:$R$1203,$R517))</f>
        <v/>
      </c>
      <c r="AH517" s="14">
        <f>IF($AG517="","",p_factor_productividad*IFERROR(INDEX('ASIGNACIONES'!$M$4:$M$451,MATCH($O517&amp;"|"&amp;$R517&amp;"|"&amp;$AE517,'ASIGNACIONES'!$N$4:$N$451,0)),0)-$AG517)</f>
        <v/>
      </c>
      <c r="AI517" s="11">
        <f>IF($A517="","",IFERROR(INDEX('2_IMPORTAR_EJECUCION'!$F$9:$F$1208,MATCH($AQ517,'2_IMPORTAR_EJECUCION'!$J$9:$J$1208,0)),0))</f>
        <v/>
      </c>
      <c r="AJ517" s="11">
        <f>IF($A517="","",MAX(0,IFERROR(INDEX('2_IMPORTAR_EJECUCION'!$H$9:$H$1208,MATCH($AQ517,'2_IMPORTAR_EJECUCION'!$J$9:$J$1208,0)),0)-$AI517))</f>
        <v/>
      </c>
      <c r="AK517" s="11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IF($H518="","",IFERROR(INDEX('CAT_ACTIVIDADES'!$B$4:$B$8,MATCH($H518,'CAT_ACTIVIDADES'!$A$4:$A$8,0)),"(sin catálogo)"))</f>
        <v/>
      </c>
      <c r="AA518" s="13">
        <f>IF($J518="","",TODAY()-$J518)</f>
        <v/>
      </c>
      <c r="AB518" s="13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IF($AE518="","",IF((IFERROR(INDEX('ASIGNACIONES'!$J$4:$J$451,MATCH($O518&amp;"|"&amp;$R518&amp;"|"&amp;$AE518,'ASIGNACIONES'!$N$4:$N$451,0)),""))=0,"",IFERROR(INDEX('ASIGNACIONES'!$J$4:$J$451,MATCH($O518&amp;"|"&amp;$R518&amp;"|"&amp;$AE518,'ASIGNACIONES'!$N$4:$N$451,0)),"")))</f>
        <v/>
      </c>
      <c r="AG518" s="14">
        <f>IF($AE518="","",SUMIFS('ORDENES'!$M$4:$M$1203,'ORDENES'!$AE$4:$AE$1203,$AE518,'ORDENES'!$O$4:$O$1203,$O518,'ORDENES'!$R$4:$R$1203,$R518))</f>
        <v/>
      </c>
      <c r="AH518" s="14">
        <f>IF($AG518="","",p_factor_productividad*IFERROR(INDEX('ASIGNACIONES'!$M$4:$M$451,MATCH($O518&amp;"|"&amp;$R518&amp;"|"&amp;$AE518,'ASIGNACIONES'!$N$4:$N$451,0)),0)-$AG518)</f>
        <v/>
      </c>
      <c r="AI518" s="11">
        <f>IF($A518="","",IFERROR(INDEX('2_IMPORTAR_EJECUCION'!$F$9:$F$1208,MATCH($AQ518,'2_IMPORTAR_EJECUCION'!$J$9:$J$1208,0)),0))</f>
        <v/>
      </c>
      <c r="AJ518" s="11">
        <f>IF($A518="","",MAX(0,IFERROR(INDEX('2_IMPORTAR_EJECUCION'!$H$9:$H$1208,MATCH($AQ518,'2_IMPORTAR_EJECUCION'!$J$9:$J$1208,0)),0)-$AI518))</f>
        <v/>
      </c>
      <c r="AK518" s="11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IF($H519="","",IFERROR(INDEX('CAT_ACTIVIDADES'!$B$4:$B$8,MATCH($H519,'CAT_ACTIVIDADES'!$A$4:$A$8,0)),"(sin catálogo)"))</f>
        <v/>
      </c>
      <c r="AA519" s="13">
        <f>IF($J519="","",TODAY()-$J519)</f>
        <v/>
      </c>
      <c r="AB519" s="13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IF($AE519="","",IF((IFERROR(INDEX('ASIGNACIONES'!$J$4:$J$451,MATCH($O519&amp;"|"&amp;$R519&amp;"|"&amp;$AE519,'ASIGNACIONES'!$N$4:$N$451,0)),""))=0,"",IFERROR(INDEX('ASIGNACIONES'!$J$4:$J$451,MATCH($O519&amp;"|"&amp;$R519&amp;"|"&amp;$AE519,'ASIGNACIONES'!$N$4:$N$451,0)),"")))</f>
        <v/>
      </c>
      <c r="AG519" s="14">
        <f>IF($AE519="","",SUMIFS('ORDENES'!$M$4:$M$1203,'ORDENES'!$AE$4:$AE$1203,$AE519,'ORDENES'!$O$4:$O$1203,$O519,'ORDENES'!$R$4:$R$1203,$R519))</f>
        <v/>
      </c>
      <c r="AH519" s="14">
        <f>IF($AG519="","",p_factor_productividad*IFERROR(INDEX('ASIGNACIONES'!$M$4:$M$451,MATCH($O519&amp;"|"&amp;$R519&amp;"|"&amp;$AE519,'ASIGNACIONES'!$N$4:$N$451,0)),0)-$AG519)</f>
        <v/>
      </c>
      <c r="AI519" s="11">
        <f>IF($A519="","",IFERROR(INDEX('2_IMPORTAR_EJECUCION'!$F$9:$F$1208,MATCH($AQ519,'2_IMPORTAR_EJECUCION'!$J$9:$J$1208,0)),0))</f>
        <v/>
      </c>
      <c r="AJ519" s="11">
        <f>IF($A519="","",MAX(0,IFERROR(INDEX('2_IMPORTAR_EJECUCION'!$H$9:$H$1208,MATCH($AQ519,'2_IMPORTAR_EJECUCION'!$J$9:$J$1208,0)),0)-$AI519))</f>
        <v/>
      </c>
      <c r="AK519" s="11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IF($H520="","",IFERROR(INDEX('CAT_ACTIVIDADES'!$B$4:$B$8,MATCH($H520,'CAT_ACTIVIDADES'!$A$4:$A$8,0)),"(sin catálogo)"))</f>
        <v/>
      </c>
      <c r="AA520" s="13">
        <f>IF($J520="","",TODAY()-$J520)</f>
        <v/>
      </c>
      <c r="AB520" s="13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IF($AE520="","",IF((IFERROR(INDEX('ASIGNACIONES'!$J$4:$J$451,MATCH($O520&amp;"|"&amp;$R520&amp;"|"&amp;$AE520,'ASIGNACIONES'!$N$4:$N$451,0)),""))=0,"",IFERROR(INDEX('ASIGNACIONES'!$J$4:$J$451,MATCH($O520&amp;"|"&amp;$R520&amp;"|"&amp;$AE520,'ASIGNACIONES'!$N$4:$N$451,0)),"")))</f>
        <v/>
      </c>
      <c r="AG520" s="14">
        <f>IF($AE520="","",SUMIFS('ORDENES'!$M$4:$M$1203,'ORDENES'!$AE$4:$AE$1203,$AE520,'ORDENES'!$O$4:$O$1203,$O520,'ORDENES'!$R$4:$R$1203,$R520))</f>
        <v/>
      </c>
      <c r="AH520" s="14">
        <f>IF($AG520="","",p_factor_productividad*IFERROR(INDEX('ASIGNACIONES'!$M$4:$M$451,MATCH($O520&amp;"|"&amp;$R520&amp;"|"&amp;$AE520,'ASIGNACIONES'!$N$4:$N$451,0)),0)-$AG520)</f>
        <v/>
      </c>
      <c r="AI520" s="11">
        <f>IF($A520="","",IFERROR(INDEX('2_IMPORTAR_EJECUCION'!$F$9:$F$1208,MATCH($AQ520,'2_IMPORTAR_EJECUCION'!$J$9:$J$1208,0)),0))</f>
        <v/>
      </c>
      <c r="AJ520" s="11">
        <f>IF($A520="","",MAX(0,IFERROR(INDEX('2_IMPORTAR_EJECUCION'!$H$9:$H$1208,MATCH($AQ520,'2_IMPORTAR_EJECUCION'!$J$9:$J$1208,0)),0)-$AI520))</f>
        <v/>
      </c>
      <c r="AK520" s="11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IF($H521="","",IFERROR(INDEX('CAT_ACTIVIDADES'!$B$4:$B$8,MATCH($H521,'CAT_ACTIVIDADES'!$A$4:$A$8,0)),"(sin catálogo)"))</f>
        <v/>
      </c>
      <c r="AA521" s="13">
        <f>IF($J521="","",TODAY()-$J521)</f>
        <v/>
      </c>
      <c r="AB521" s="13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IF($AE521="","",IF((IFERROR(INDEX('ASIGNACIONES'!$J$4:$J$451,MATCH($O521&amp;"|"&amp;$R521&amp;"|"&amp;$AE521,'ASIGNACIONES'!$N$4:$N$451,0)),""))=0,"",IFERROR(INDEX('ASIGNACIONES'!$J$4:$J$451,MATCH($O521&amp;"|"&amp;$R521&amp;"|"&amp;$AE521,'ASIGNACIONES'!$N$4:$N$451,0)),"")))</f>
        <v/>
      </c>
      <c r="AG521" s="14">
        <f>IF($AE521="","",SUMIFS('ORDENES'!$M$4:$M$1203,'ORDENES'!$AE$4:$AE$1203,$AE521,'ORDENES'!$O$4:$O$1203,$O521,'ORDENES'!$R$4:$R$1203,$R521))</f>
        <v/>
      </c>
      <c r="AH521" s="14">
        <f>IF($AG521="","",p_factor_productividad*IFERROR(INDEX('ASIGNACIONES'!$M$4:$M$451,MATCH($O521&amp;"|"&amp;$R521&amp;"|"&amp;$AE521,'ASIGNACIONES'!$N$4:$N$451,0)),0)-$AG521)</f>
        <v/>
      </c>
      <c r="AI521" s="11">
        <f>IF($A521="","",IFERROR(INDEX('2_IMPORTAR_EJECUCION'!$F$9:$F$1208,MATCH($AQ521,'2_IMPORTAR_EJECUCION'!$J$9:$J$1208,0)),0))</f>
        <v/>
      </c>
      <c r="AJ521" s="11">
        <f>IF($A521="","",MAX(0,IFERROR(INDEX('2_IMPORTAR_EJECUCION'!$H$9:$H$1208,MATCH($AQ521,'2_IMPORTAR_EJECUCION'!$J$9:$J$1208,0)),0)-$AI521))</f>
        <v/>
      </c>
      <c r="AK521" s="11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IF($H522="","",IFERROR(INDEX('CAT_ACTIVIDADES'!$B$4:$B$8,MATCH($H522,'CAT_ACTIVIDADES'!$A$4:$A$8,0)),"(sin catálogo)"))</f>
        <v/>
      </c>
      <c r="AA522" s="13">
        <f>IF($J522="","",TODAY()-$J522)</f>
        <v/>
      </c>
      <c r="AB522" s="13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IF($AE522="","",IF((IFERROR(INDEX('ASIGNACIONES'!$J$4:$J$451,MATCH($O522&amp;"|"&amp;$R522&amp;"|"&amp;$AE522,'ASIGNACIONES'!$N$4:$N$451,0)),""))=0,"",IFERROR(INDEX('ASIGNACIONES'!$J$4:$J$451,MATCH($O522&amp;"|"&amp;$R522&amp;"|"&amp;$AE522,'ASIGNACIONES'!$N$4:$N$451,0)),"")))</f>
        <v/>
      </c>
      <c r="AG522" s="14">
        <f>IF($AE522="","",SUMIFS('ORDENES'!$M$4:$M$1203,'ORDENES'!$AE$4:$AE$1203,$AE522,'ORDENES'!$O$4:$O$1203,$O522,'ORDENES'!$R$4:$R$1203,$R522))</f>
        <v/>
      </c>
      <c r="AH522" s="14">
        <f>IF($AG522="","",p_factor_productividad*IFERROR(INDEX('ASIGNACIONES'!$M$4:$M$451,MATCH($O522&amp;"|"&amp;$R522&amp;"|"&amp;$AE522,'ASIGNACIONES'!$N$4:$N$451,0)),0)-$AG522)</f>
        <v/>
      </c>
      <c r="AI522" s="11">
        <f>IF($A522="","",IFERROR(INDEX('2_IMPORTAR_EJECUCION'!$F$9:$F$1208,MATCH($AQ522,'2_IMPORTAR_EJECUCION'!$J$9:$J$1208,0)),0))</f>
        <v/>
      </c>
      <c r="AJ522" s="11">
        <f>IF($A522="","",MAX(0,IFERROR(INDEX('2_IMPORTAR_EJECUCION'!$H$9:$H$1208,MATCH($AQ522,'2_IMPORTAR_EJECUCION'!$J$9:$J$1208,0)),0)-$AI522))</f>
        <v/>
      </c>
      <c r="AK522" s="11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IF($H523="","",IFERROR(INDEX('CAT_ACTIVIDADES'!$B$4:$B$8,MATCH($H523,'CAT_ACTIVIDADES'!$A$4:$A$8,0)),"(sin catálogo)"))</f>
        <v/>
      </c>
      <c r="AA523" s="13">
        <f>IF($J523="","",TODAY()-$J523)</f>
        <v/>
      </c>
      <c r="AB523" s="13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IF($AE523="","",IF((IFERROR(INDEX('ASIGNACIONES'!$J$4:$J$451,MATCH($O523&amp;"|"&amp;$R523&amp;"|"&amp;$AE523,'ASIGNACIONES'!$N$4:$N$451,0)),""))=0,"",IFERROR(INDEX('ASIGNACIONES'!$J$4:$J$451,MATCH($O523&amp;"|"&amp;$R523&amp;"|"&amp;$AE523,'ASIGNACIONES'!$N$4:$N$451,0)),"")))</f>
        <v/>
      </c>
      <c r="AG523" s="14">
        <f>IF($AE523="","",SUMIFS('ORDENES'!$M$4:$M$1203,'ORDENES'!$AE$4:$AE$1203,$AE523,'ORDENES'!$O$4:$O$1203,$O523,'ORDENES'!$R$4:$R$1203,$R523))</f>
        <v/>
      </c>
      <c r="AH523" s="14">
        <f>IF($AG523="","",p_factor_productividad*IFERROR(INDEX('ASIGNACIONES'!$M$4:$M$451,MATCH($O523&amp;"|"&amp;$R523&amp;"|"&amp;$AE523,'ASIGNACIONES'!$N$4:$N$451,0)),0)-$AG523)</f>
        <v/>
      </c>
      <c r="AI523" s="11">
        <f>IF($A523="","",IFERROR(INDEX('2_IMPORTAR_EJECUCION'!$F$9:$F$1208,MATCH($AQ523,'2_IMPORTAR_EJECUCION'!$J$9:$J$1208,0)),0))</f>
        <v/>
      </c>
      <c r="AJ523" s="11">
        <f>IF($A523="","",MAX(0,IFERROR(INDEX('2_IMPORTAR_EJECUCION'!$H$9:$H$1208,MATCH($AQ523,'2_IMPORTAR_EJECUCION'!$J$9:$J$1208,0)),0)-$AI523))</f>
        <v/>
      </c>
      <c r="AK523" s="11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IF($H524="","",IFERROR(INDEX('CAT_ACTIVIDADES'!$B$4:$B$8,MATCH($H524,'CAT_ACTIVIDADES'!$A$4:$A$8,0)),"(sin catálogo)"))</f>
        <v/>
      </c>
      <c r="AA524" s="13">
        <f>IF($J524="","",TODAY()-$J524)</f>
        <v/>
      </c>
      <c r="AB524" s="13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IF($AE524="","",IF((IFERROR(INDEX('ASIGNACIONES'!$J$4:$J$451,MATCH($O524&amp;"|"&amp;$R524&amp;"|"&amp;$AE524,'ASIGNACIONES'!$N$4:$N$451,0)),""))=0,"",IFERROR(INDEX('ASIGNACIONES'!$J$4:$J$451,MATCH($O524&amp;"|"&amp;$R524&amp;"|"&amp;$AE524,'ASIGNACIONES'!$N$4:$N$451,0)),"")))</f>
        <v/>
      </c>
      <c r="AG524" s="14">
        <f>IF($AE524="","",SUMIFS('ORDENES'!$M$4:$M$1203,'ORDENES'!$AE$4:$AE$1203,$AE524,'ORDENES'!$O$4:$O$1203,$O524,'ORDENES'!$R$4:$R$1203,$R524))</f>
        <v/>
      </c>
      <c r="AH524" s="14">
        <f>IF($AG524="","",p_factor_productividad*IFERROR(INDEX('ASIGNACIONES'!$M$4:$M$451,MATCH($O524&amp;"|"&amp;$R524&amp;"|"&amp;$AE524,'ASIGNACIONES'!$N$4:$N$451,0)),0)-$AG524)</f>
        <v/>
      </c>
      <c r="AI524" s="11">
        <f>IF($A524="","",IFERROR(INDEX('2_IMPORTAR_EJECUCION'!$F$9:$F$1208,MATCH($AQ524,'2_IMPORTAR_EJECUCION'!$J$9:$J$1208,0)),0))</f>
        <v/>
      </c>
      <c r="AJ524" s="11">
        <f>IF($A524="","",MAX(0,IFERROR(INDEX('2_IMPORTAR_EJECUCION'!$H$9:$H$1208,MATCH($AQ524,'2_IMPORTAR_EJECUCION'!$J$9:$J$1208,0)),0)-$AI524))</f>
        <v/>
      </c>
      <c r="AK524" s="11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IF($H525="","",IFERROR(INDEX('CAT_ACTIVIDADES'!$B$4:$B$8,MATCH($H525,'CAT_ACTIVIDADES'!$A$4:$A$8,0)),"(sin catálogo)"))</f>
        <v/>
      </c>
      <c r="AA525" s="13">
        <f>IF($J525="","",TODAY()-$J525)</f>
        <v/>
      </c>
      <c r="AB525" s="13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IF($AE525="","",IF((IFERROR(INDEX('ASIGNACIONES'!$J$4:$J$451,MATCH($O525&amp;"|"&amp;$R525&amp;"|"&amp;$AE525,'ASIGNACIONES'!$N$4:$N$451,0)),""))=0,"",IFERROR(INDEX('ASIGNACIONES'!$J$4:$J$451,MATCH($O525&amp;"|"&amp;$R525&amp;"|"&amp;$AE525,'ASIGNACIONES'!$N$4:$N$451,0)),"")))</f>
        <v/>
      </c>
      <c r="AG525" s="14">
        <f>IF($AE525="","",SUMIFS('ORDENES'!$M$4:$M$1203,'ORDENES'!$AE$4:$AE$1203,$AE525,'ORDENES'!$O$4:$O$1203,$O525,'ORDENES'!$R$4:$R$1203,$R525))</f>
        <v/>
      </c>
      <c r="AH525" s="14">
        <f>IF($AG525="","",p_factor_productividad*IFERROR(INDEX('ASIGNACIONES'!$M$4:$M$451,MATCH($O525&amp;"|"&amp;$R525&amp;"|"&amp;$AE525,'ASIGNACIONES'!$N$4:$N$451,0)),0)-$AG525)</f>
        <v/>
      </c>
      <c r="AI525" s="11">
        <f>IF($A525="","",IFERROR(INDEX('2_IMPORTAR_EJECUCION'!$F$9:$F$1208,MATCH($AQ525,'2_IMPORTAR_EJECUCION'!$J$9:$J$1208,0)),0))</f>
        <v/>
      </c>
      <c r="AJ525" s="11">
        <f>IF($A525="","",MAX(0,IFERROR(INDEX('2_IMPORTAR_EJECUCION'!$H$9:$H$1208,MATCH($AQ525,'2_IMPORTAR_EJECUCION'!$J$9:$J$1208,0)),0)-$AI525))</f>
        <v/>
      </c>
      <c r="AK525" s="11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IF($H526="","",IFERROR(INDEX('CAT_ACTIVIDADES'!$B$4:$B$8,MATCH($H526,'CAT_ACTIVIDADES'!$A$4:$A$8,0)),"(sin catálogo)"))</f>
        <v/>
      </c>
      <c r="AA526" s="13">
        <f>IF($J526="","",TODAY()-$J526)</f>
        <v/>
      </c>
      <c r="AB526" s="13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IF($AE526="","",IF((IFERROR(INDEX('ASIGNACIONES'!$J$4:$J$451,MATCH($O526&amp;"|"&amp;$R526&amp;"|"&amp;$AE526,'ASIGNACIONES'!$N$4:$N$451,0)),""))=0,"",IFERROR(INDEX('ASIGNACIONES'!$J$4:$J$451,MATCH($O526&amp;"|"&amp;$R526&amp;"|"&amp;$AE526,'ASIGNACIONES'!$N$4:$N$451,0)),"")))</f>
        <v/>
      </c>
      <c r="AG526" s="14">
        <f>IF($AE526="","",SUMIFS('ORDENES'!$M$4:$M$1203,'ORDENES'!$AE$4:$AE$1203,$AE526,'ORDENES'!$O$4:$O$1203,$O526,'ORDENES'!$R$4:$R$1203,$R526))</f>
        <v/>
      </c>
      <c r="AH526" s="14">
        <f>IF($AG526="","",p_factor_productividad*IFERROR(INDEX('ASIGNACIONES'!$M$4:$M$451,MATCH($O526&amp;"|"&amp;$R526&amp;"|"&amp;$AE526,'ASIGNACIONES'!$N$4:$N$451,0)),0)-$AG526)</f>
        <v/>
      </c>
      <c r="AI526" s="11">
        <f>IF($A526="","",IFERROR(INDEX('2_IMPORTAR_EJECUCION'!$F$9:$F$1208,MATCH($AQ526,'2_IMPORTAR_EJECUCION'!$J$9:$J$1208,0)),0))</f>
        <v/>
      </c>
      <c r="AJ526" s="11">
        <f>IF($A526="","",MAX(0,IFERROR(INDEX('2_IMPORTAR_EJECUCION'!$H$9:$H$1208,MATCH($AQ526,'2_IMPORTAR_EJECUCION'!$J$9:$J$1208,0)),0)-$AI526))</f>
        <v/>
      </c>
      <c r="AK526" s="11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IF($H527="","",IFERROR(INDEX('CAT_ACTIVIDADES'!$B$4:$B$8,MATCH($H527,'CAT_ACTIVIDADES'!$A$4:$A$8,0)),"(sin catálogo)"))</f>
        <v/>
      </c>
      <c r="AA527" s="13">
        <f>IF($J527="","",TODAY()-$J527)</f>
        <v/>
      </c>
      <c r="AB527" s="13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IF($AE527="","",IF((IFERROR(INDEX('ASIGNACIONES'!$J$4:$J$451,MATCH($O527&amp;"|"&amp;$R527&amp;"|"&amp;$AE527,'ASIGNACIONES'!$N$4:$N$451,0)),""))=0,"",IFERROR(INDEX('ASIGNACIONES'!$J$4:$J$451,MATCH($O527&amp;"|"&amp;$R527&amp;"|"&amp;$AE527,'ASIGNACIONES'!$N$4:$N$451,0)),"")))</f>
        <v/>
      </c>
      <c r="AG527" s="14">
        <f>IF($AE527="","",SUMIFS('ORDENES'!$M$4:$M$1203,'ORDENES'!$AE$4:$AE$1203,$AE527,'ORDENES'!$O$4:$O$1203,$O527,'ORDENES'!$R$4:$R$1203,$R527))</f>
        <v/>
      </c>
      <c r="AH527" s="14">
        <f>IF($AG527="","",p_factor_productividad*IFERROR(INDEX('ASIGNACIONES'!$M$4:$M$451,MATCH($O527&amp;"|"&amp;$R527&amp;"|"&amp;$AE527,'ASIGNACIONES'!$N$4:$N$451,0)),0)-$AG527)</f>
        <v/>
      </c>
      <c r="AI527" s="11">
        <f>IF($A527="","",IFERROR(INDEX('2_IMPORTAR_EJECUCION'!$F$9:$F$1208,MATCH($AQ527,'2_IMPORTAR_EJECUCION'!$J$9:$J$1208,0)),0))</f>
        <v/>
      </c>
      <c r="AJ527" s="11">
        <f>IF($A527="","",MAX(0,IFERROR(INDEX('2_IMPORTAR_EJECUCION'!$H$9:$H$1208,MATCH($AQ527,'2_IMPORTAR_EJECUCION'!$J$9:$J$1208,0)),0)-$AI527))</f>
        <v/>
      </c>
      <c r="AK527" s="11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IF($H528="","",IFERROR(INDEX('CAT_ACTIVIDADES'!$B$4:$B$8,MATCH($H528,'CAT_ACTIVIDADES'!$A$4:$A$8,0)),"(sin catálogo)"))</f>
        <v/>
      </c>
      <c r="AA528" s="13">
        <f>IF($J528="","",TODAY()-$J528)</f>
        <v/>
      </c>
      <c r="AB528" s="13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IF($AE528="","",IF((IFERROR(INDEX('ASIGNACIONES'!$J$4:$J$451,MATCH($O528&amp;"|"&amp;$R528&amp;"|"&amp;$AE528,'ASIGNACIONES'!$N$4:$N$451,0)),""))=0,"",IFERROR(INDEX('ASIGNACIONES'!$J$4:$J$451,MATCH($O528&amp;"|"&amp;$R528&amp;"|"&amp;$AE528,'ASIGNACIONES'!$N$4:$N$451,0)),"")))</f>
        <v/>
      </c>
      <c r="AG528" s="14">
        <f>IF($AE528="","",SUMIFS('ORDENES'!$M$4:$M$1203,'ORDENES'!$AE$4:$AE$1203,$AE528,'ORDENES'!$O$4:$O$1203,$O528,'ORDENES'!$R$4:$R$1203,$R528))</f>
        <v/>
      </c>
      <c r="AH528" s="14">
        <f>IF($AG528="","",p_factor_productividad*IFERROR(INDEX('ASIGNACIONES'!$M$4:$M$451,MATCH($O528&amp;"|"&amp;$R528&amp;"|"&amp;$AE528,'ASIGNACIONES'!$N$4:$N$451,0)),0)-$AG528)</f>
        <v/>
      </c>
      <c r="AI528" s="11">
        <f>IF($A528="","",IFERROR(INDEX('2_IMPORTAR_EJECUCION'!$F$9:$F$1208,MATCH($AQ528,'2_IMPORTAR_EJECUCION'!$J$9:$J$1208,0)),0))</f>
        <v/>
      </c>
      <c r="AJ528" s="11">
        <f>IF($A528="","",MAX(0,IFERROR(INDEX('2_IMPORTAR_EJECUCION'!$H$9:$H$1208,MATCH($AQ528,'2_IMPORTAR_EJECUCION'!$J$9:$J$1208,0)),0)-$AI528))</f>
        <v/>
      </c>
      <c r="AK528" s="11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IF($H529="","",IFERROR(INDEX('CAT_ACTIVIDADES'!$B$4:$B$8,MATCH($H529,'CAT_ACTIVIDADES'!$A$4:$A$8,0)),"(sin catálogo)"))</f>
        <v/>
      </c>
      <c r="AA529" s="13">
        <f>IF($J529="","",TODAY()-$J529)</f>
        <v/>
      </c>
      <c r="AB529" s="13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IF($AE529="","",IF((IFERROR(INDEX('ASIGNACIONES'!$J$4:$J$451,MATCH($O529&amp;"|"&amp;$R529&amp;"|"&amp;$AE529,'ASIGNACIONES'!$N$4:$N$451,0)),""))=0,"",IFERROR(INDEX('ASIGNACIONES'!$J$4:$J$451,MATCH($O529&amp;"|"&amp;$R529&amp;"|"&amp;$AE529,'ASIGNACIONES'!$N$4:$N$451,0)),"")))</f>
        <v/>
      </c>
      <c r="AG529" s="14">
        <f>IF($AE529="","",SUMIFS('ORDENES'!$M$4:$M$1203,'ORDENES'!$AE$4:$AE$1203,$AE529,'ORDENES'!$O$4:$O$1203,$O529,'ORDENES'!$R$4:$R$1203,$R529))</f>
        <v/>
      </c>
      <c r="AH529" s="14">
        <f>IF($AG529="","",p_factor_productividad*IFERROR(INDEX('ASIGNACIONES'!$M$4:$M$451,MATCH($O529&amp;"|"&amp;$R529&amp;"|"&amp;$AE529,'ASIGNACIONES'!$N$4:$N$451,0)),0)-$AG529)</f>
        <v/>
      </c>
      <c r="AI529" s="11">
        <f>IF($A529="","",IFERROR(INDEX('2_IMPORTAR_EJECUCION'!$F$9:$F$1208,MATCH($AQ529,'2_IMPORTAR_EJECUCION'!$J$9:$J$1208,0)),0))</f>
        <v/>
      </c>
      <c r="AJ529" s="11">
        <f>IF($A529="","",MAX(0,IFERROR(INDEX('2_IMPORTAR_EJECUCION'!$H$9:$H$1208,MATCH($AQ529,'2_IMPORTAR_EJECUCION'!$J$9:$J$1208,0)),0)-$AI529))</f>
        <v/>
      </c>
      <c r="AK529" s="11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IF($H530="","",IFERROR(INDEX('CAT_ACTIVIDADES'!$B$4:$B$8,MATCH($H530,'CAT_ACTIVIDADES'!$A$4:$A$8,0)),"(sin catálogo)"))</f>
        <v/>
      </c>
      <c r="AA530" s="13">
        <f>IF($J530="","",TODAY()-$J530)</f>
        <v/>
      </c>
      <c r="AB530" s="13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IF($AE530="","",IF((IFERROR(INDEX('ASIGNACIONES'!$J$4:$J$451,MATCH($O530&amp;"|"&amp;$R530&amp;"|"&amp;$AE530,'ASIGNACIONES'!$N$4:$N$451,0)),""))=0,"",IFERROR(INDEX('ASIGNACIONES'!$J$4:$J$451,MATCH($O530&amp;"|"&amp;$R530&amp;"|"&amp;$AE530,'ASIGNACIONES'!$N$4:$N$451,0)),"")))</f>
        <v/>
      </c>
      <c r="AG530" s="14">
        <f>IF($AE530="","",SUMIFS('ORDENES'!$M$4:$M$1203,'ORDENES'!$AE$4:$AE$1203,$AE530,'ORDENES'!$O$4:$O$1203,$O530,'ORDENES'!$R$4:$R$1203,$R530))</f>
        <v/>
      </c>
      <c r="AH530" s="14">
        <f>IF($AG530="","",p_factor_productividad*IFERROR(INDEX('ASIGNACIONES'!$M$4:$M$451,MATCH($O530&amp;"|"&amp;$R530&amp;"|"&amp;$AE530,'ASIGNACIONES'!$N$4:$N$451,0)),0)-$AG530)</f>
        <v/>
      </c>
      <c r="AI530" s="11">
        <f>IF($A530="","",IFERROR(INDEX('2_IMPORTAR_EJECUCION'!$F$9:$F$1208,MATCH($AQ530,'2_IMPORTAR_EJECUCION'!$J$9:$J$1208,0)),0))</f>
        <v/>
      </c>
      <c r="AJ530" s="11">
        <f>IF($A530="","",MAX(0,IFERROR(INDEX('2_IMPORTAR_EJECUCION'!$H$9:$H$1208,MATCH($AQ530,'2_IMPORTAR_EJECUCION'!$J$9:$J$1208,0)),0)-$AI530))</f>
        <v/>
      </c>
      <c r="AK530" s="11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IF($H531="","",IFERROR(INDEX('CAT_ACTIVIDADES'!$B$4:$B$8,MATCH($H531,'CAT_ACTIVIDADES'!$A$4:$A$8,0)),"(sin catálogo)"))</f>
        <v/>
      </c>
      <c r="AA531" s="13">
        <f>IF($J531="","",TODAY()-$J531)</f>
        <v/>
      </c>
      <c r="AB531" s="13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IF($AE531="","",IF((IFERROR(INDEX('ASIGNACIONES'!$J$4:$J$451,MATCH($O531&amp;"|"&amp;$R531&amp;"|"&amp;$AE531,'ASIGNACIONES'!$N$4:$N$451,0)),""))=0,"",IFERROR(INDEX('ASIGNACIONES'!$J$4:$J$451,MATCH($O531&amp;"|"&amp;$R531&amp;"|"&amp;$AE531,'ASIGNACIONES'!$N$4:$N$451,0)),"")))</f>
        <v/>
      </c>
      <c r="AG531" s="14">
        <f>IF($AE531="","",SUMIFS('ORDENES'!$M$4:$M$1203,'ORDENES'!$AE$4:$AE$1203,$AE531,'ORDENES'!$O$4:$O$1203,$O531,'ORDENES'!$R$4:$R$1203,$R531))</f>
        <v/>
      </c>
      <c r="AH531" s="14">
        <f>IF($AG531="","",p_factor_productividad*IFERROR(INDEX('ASIGNACIONES'!$M$4:$M$451,MATCH($O531&amp;"|"&amp;$R531&amp;"|"&amp;$AE531,'ASIGNACIONES'!$N$4:$N$451,0)),0)-$AG531)</f>
        <v/>
      </c>
      <c r="AI531" s="11">
        <f>IF($A531="","",IFERROR(INDEX('2_IMPORTAR_EJECUCION'!$F$9:$F$1208,MATCH($AQ531,'2_IMPORTAR_EJECUCION'!$J$9:$J$1208,0)),0))</f>
        <v/>
      </c>
      <c r="AJ531" s="11">
        <f>IF($A531="","",MAX(0,IFERROR(INDEX('2_IMPORTAR_EJECUCION'!$H$9:$H$1208,MATCH($AQ531,'2_IMPORTAR_EJECUCION'!$J$9:$J$1208,0)),0)-$AI531))</f>
        <v/>
      </c>
      <c r="AK531" s="11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IF($H532="","",IFERROR(INDEX('CAT_ACTIVIDADES'!$B$4:$B$8,MATCH($H532,'CAT_ACTIVIDADES'!$A$4:$A$8,0)),"(sin catálogo)"))</f>
        <v/>
      </c>
      <c r="AA532" s="13">
        <f>IF($J532="","",TODAY()-$J532)</f>
        <v/>
      </c>
      <c r="AB532" s="13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IF($AE532="","",IF((IFERROR(INDEX('ASIGNACIONES'!$J$4:$J$451,MATCH($O532&amp;"|"&amp;$R532&amp;"|"&amp;$AE532,'ASIGNACIONES'!$N$4:$N$451,0)),""))=0,"",IFERROR(INDEX('ASIGNACIONES'!$J$4:$J$451,MATCH($O532&amp;"|"&amp;$R532&amp;"|"&amp;$AE532,'ASIGNACIONES'!$N$4:$N$451,0)),"")))</f>
        <v/>
      </c>
      <c r="AG532" s="14">
        <f>IF($AE532="","",SUMIFS('ORDENES'!$M$4:$M$1203,'ORDENES'!$AE$4:$AE$1203,$AE532,'ORDENES'!$O$4:$O$1203,$O532,'ORDENES'!$R$4:$R$1203,$R532))</f>
        <v/>
      </c>
      <c r="AH532" s="14">
        <f>IF($AG532="","",p_factor_productividad*IFERROR(INDEX('ASIGNACIONES'!$M$4:$M$451,MATCH($O532&amp;"|"&amp;$R532&amp;"|"&amp;$AE532,'ASIGNACIONES'!$N$4:$N$451,0)),0)-$AG532)</f>
        <v/>
      </c>
      <c r="AI532" s="11">
        <f>IF($A532="","",IFERROR(INDEX('2_IMPORTAR_EJECUCION'!$F$9:$F$1208,MATCH($AQ532,'2_IMPORTAR_EJECUCION'!$J$9:$J$1208,0)),0))</f>
        <v/>
      </c>
      <c r="AJ532" s="11">
        <f>IF($A532="","",MAX(0,IFERROR(INDEX('2_IMPORTAR_EJECUCION'!$H$9:$H$1208,MATCH($AQ532,'2_IMPORTAR_EJECUCION'!$J$9:$J$1208,0)),0)-$AI532))</f>
        <v/>
      </c>
      <c r="AK532" s="11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IF($H533="","",IFERROR(INDEX('CAT_ACTIVIDADES'!$B$4:$B$8,MATCH($H533,'CAT_ACTIVIDADES'!$A$4:$A$8,0)),"(sin catálogo)"))</f>
        <v/>
      </c>
      <c r="AA533" s="13">
        <f>IF($J533="","",TODAY()-$J533)</f>
        <v/>
      </c>
      <c r="AB533" s="13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IF($AE533="","",IF((IFERROR(INDEX('ASIGNACIONES'!$J$4:$J$451,MATCH($O533&amp;"|"&amp;$R533&amp;"|"&amp;$AE533,'ASIGNACIONES'!$N$4:$N$451,0)),""))=0,"",IFERROR(INDEX('ASIGNACIONES'!$J$4:$J$451,MATCH($O533&amp;"|"&amp;$R533&amp;"|"&amp;$AE533,'ASIGNACIONES'!$N$4:$N$451,0)),"")))</f>
        <v/>
      </c>
      <c r="AG533" s="14">
        <f>IF($AE533="","",SUMIFS('ORDENES'!$M$4:$M$1203,'ORDENES'!$AE$4:$AE$1203,$AE533,'ORDENES'!$O$4:$O$1203,$O533,'ORDENES'!$R$4:$R$1203,$R533))</f>
        <v/>
      </c>
      <c r="AH533" s="14">
        <f>IF($AG533="","",p_factor_productividad*IFERROR(INDEX('ASIGNACIONES'!$M$4:$M$451,MATCH($O533&amp;"|"&amp;$R533&amp;"|"&amp;$AE533,'ASIGNACIONES'!$N$4:$N$451,0)),0)-$AG533)</f>
        <v/>
      </c>
      <c r="AI533" s="11">
        <f>IF($A533="","",IFERROR(INDEX('2_IMPORTAR_EJECUCION'!$F$9:$F$1208,MATCH($AQ533,'2_IMPORTAR_EJECUCION'!$J$9:$J$1208,0)),0))</f>
        <v/>
      </c>
      <c r="AJ533" s="11">
        <f>IF($A533="","",MAX(0,IFERROR(INDEX('2_IMPORTAR_EJECUCION'!$H$9:$H$1208,MATCH($AQ533,'2_IMPORTAR_EJECUCION'!$J$9:$J$1208,0)),0)-$AI533))</f>
        <v/>
      </c>
      <c r="AK533" s="11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IF($H534="","",IFERROR(INDEX('CAT_ACTIVIDADES'!$B$4:$B$8,MATCH($H534,'CAT_ACTIVIDADES'!$A$4:$A$8,0)),"(sin catálogo)"))</f>
        <v/>
      </c>
      <c r="AA534" s="13">
        <f>IF($J534="","",TODAY()-$J534)</f>
        <v/>
      </c>
      <c r="AB534" s="13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IF($AE534="","",IF((IFERROR(INDEX('ASIGNACIONES'!$J$4:$J$451,MATCH($O534&amp;"|"&amp;$R534&amp;"|"&amp;$AE534,'ASIGNACIONES'!$N$4:$N$451,0)),""))=0,"",IFERROR(INDEX('ASIGNACIONES'!$J$4:$J$451,MATCH($O534&amp;"|"&amp;$R534&amp;"|"&amp;$AE534,'ASIGNACIONES'!$N$4:$N$451,0)),"")))</f>
        <v/>
      </c>
      <c r="AG534" s="14">
        <f>IF($AE534="","",SUMIFS('ORDENES'!$M$4:$M$1203,'ORDENES'!$AE$4:$AE$1203,$AE534,'ORDENES'!$O$4:$O$1203,$O534,'ORDENES'!$R$4:$R$1203,$R534))</f>
        <v/>
      </c>
      <c r="AH534" s="14">
        <f>IF($AG534="","",p_factor_productividad*IFERROR(INDEX('ASIGNACIONES'!$M$4:$M$451,MATCH($O534&amp;"|"&amp;$R534&amp;"|"&amp;$AE534,'ASIGNACIONES'!$N$4:$N$451,0)),0)-$AG534)</f>
        <v/>
      </c>
      <c r="AI534" s="11">
        <f>IF($A534="","",IFERROR(INDEX('2_IMPORTAR_EJECUCION'!$F$9:$F$1208,MATCH($AQ534,'2_IMPORTAR_EJECUCION'!$J$9:$J$1208,0)),0))</f>
        <v/>
      </c>
      <c r="AJ534" s="11">
        <f>IF($A534="","",MAX(0,IFERROR(INDEX('2_IMPORTAR_EJECUCION'!$H$9:$H$1208,MATCH($AQ534,'2_IMPORTAR_EJECUCION'!$J$9:$J$1208,0)),0)-$AI534))</f>
        <v/>
      </c>
      <c r="AK534" s="11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IF($H535="","",IFERROR(INDEX('CAT_ACTIVIDADES'!$B$4:$B$8,MATCH($H535,'CAT_ACTIVIDADES'!$A$4:$A$8,0)),"(sin catálogo)"))</f>
        <v/>
      </c>
      <c r="AA535" s="13">
        <f>IF($J535="","",TODAY()-$J535)</f>
        <v/>
      </c>
      <c r="AB535" s="13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IF($AE535="","",IF((IFERROR(INDEX('ASIGNACIONES'!$J$4:$J$451,MATCH($O535&amp;"|"&amp;$R535&amp;"|"&amp;$AE535,'ASIGNACIONES'!$N$4:$N$451,0)),""))=0,"",IFERROR(INDEX('ASIGNACIONES'!$J$4:$J$451,MATCH($O535&amp;"|"&amp;$R535&amp;"|"&amp;$AE535,'ASIGNACIONES'!$N$4:$N$451,0)),"")))</f>
        <v/>
      </c>
      <c r="AG535" s="14">
        <f>IF($AE535="","",SUMIFS('ORDENES'!$M$4:$M$1203,'ORDENES'!$AE$4:$AE$1203,$AE535,'ORDENES'!$O$4:$O$1203,$O535,'ORDENES'!$R$4:$R$1203,$R535))</f>
        <v/>
      </c>
      <c r="AH535" s="14">
        <f>IF($AG535="","",p_factor_productividad*IFERROR(INDEX('ASIGNACIONES'!$M$4:$M$451,MATCH($O535&amp;"|"&amp;$R535&amp;"|"&amp;$AE535,'ASIGNACIONES'!$N$4:$N$451,0)),0)-$AG535)</f>
        <v/>
      </c>
      <c r="AI535" s="11">
        <f>IF($A535="","",IFERROR(INDEX('2_IMPORTAR_EJECUCION'!$F$9:$F$1208,MATCH($AQ535,'2_IMPORTAR_EJECUCION'!$J$9:$J$1208,0)),0))</f>
        <v/>
      </c>
      <c r="AJ535" s="11">
        <f>IF($A535="","",MAX(0,IFERROR(INDEX('2_IMPORTAR_EJECUCION'!$H$9:$H$1208,MATCH($AQ535,'2_IMPORTAR_EJECUCION'!$J$9:$J$1208,0)),0)-$AI535))</f>
        <v/>
      </c>
      <c r="AK535" s="11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IF($H536="","",IFERROR(INDEX('CAT_ACTIVIDADES'!$B$4:$B$8,MATCH($H536,'CAT_ACTIVIDADES'!$A$4:$A$8,0)),"(sin catálogo)"))</f>
        <v/>
      </c>
      <c r="AA536" s="13">
        <f>IF($J536="","",TODAY()-$J536)</f>
        <v/>
      </c>
      <c r="AB536" s="13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IF($AE536="","",IF((IFERROR(INDEX('ASIGNACIONES'!$J$4:$J$451,MATCH($O536&amp;"|"&amp;$R536&amp;"|"&amp;$AE536,'ASIGNACIONES'!$N$4:$N$451,0)),""))=0,"",IFERROR(INDEX('ASIGNACIONES'!$J$4:$J$451,MATCH($O536&amp;"|"&amp;$R536&amp;"|"&amp;$AE536,'ASIGNACIONES'!$N$4:$N$451,0)),"")))</f>
        <v/>
      </c>
      <c r="AG536" s="14">
        <f>IF($AE536="","",SUMIFS('ORDENES'!$M$4:$M$1203,'ORDENES'!$AE$4:$AE$1203,$AE536,'ORDENES'!$O$4:$O$1203,$O536,'ORDENES'!$R$4:$R$1203,$R536))</f>
        <v/>
      </c>
      <c r="AH536" s="14">
        <f>IF($AG536="","",p_factor_productividad*IFERROR(INDEX('ASIGNACIONES'!$M$4:$M$451,MATCH($O536&amp;"|"&amp;$R536&amp;"|"&amp;$AE536,'ASIGNACIONES'!$N$4:$N$451,0)),0)-$AG536)</f>
        <v/>
      </c>
      <c r="AI536" s="11">
        <f>IF($A536="","",IFERROR(INDEX('2_IMPORTAR_EJECUCION'!$F$9:$F$1208,MATCH($AQ536,'2_IMPORTAR_EJECUCION'!$J$9:$J$1208,0)),0))</f>
        <v/>
      </c>
      <c r="AJ536" s="11">
        <f>IF($A536="","",MAX(0,IFERROR(INDEX('2_IMPORTAR_EJECUCION'!$H$9:$H$1208,MATCH($AQ536,'2_IMPORTAR_EJECUCION'!$J$9:$J$1208,0)),0)-$AI536))</f>
        <v/>
      </c>
      <c r="AK536" s="11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IF($H537="","",IFERROR(INDEX('CAT_ACTIVIDADES'!$B$4:$B$8,MATCH($H537,'CAT_ACTIVIDADES'!$A$4:$A$8,0)),"(sin catálogo)"))</f>
        <v/>
      </c>
      <c r="AA537" s="13">
        <f>IF($J537="","",TODAY()-$J537)</f>
        <v/>
      </c>
      <c r="AB537" s="13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IF($AE537="","",IF((IFERROR(INDEX('ASIGNACIONES'!$J$4:$J$451,MATCH($O537&amp;"|"&amp;$R537&amp;"|"&amp;$AE537,'ASIGNACIONES'!$N$4:$N$451,0)),""))=0,"",IFERROR(INDEX('ASIGNACIONES'!$J$4:$J$451,MATCH($O537&amp;"|"&amp;$R537&amp;"|"&amp;$AE537,'ASIGNACIONES'!$N$4:$N$451,0)),"")))</f>
        <v/>
      </c>
      <c r="AG537" s="14">
        <f>IF($AE537="","",SUMIFS('ORDENES'!$M$4:$M$1203,'ORDENES'!$AE$4:$AE$1203,$AE537,'ORDENES'!$O$4:$O$1203,$O537,'ORDENES'!$R$4:$R$1203,$R537))</f>
        <v/>
      </c>
      <c r="AH537" s="14">
        <f>IF($AG537="","",p_factor_productividad*IFERROR(INDEX('ASIGNACIONES'!$M$4:$M$451,MATCH($O537&amp;"|"&amp;$R537&amp;"|"&amp;$AE537,'ASIGNACIONES'!$N$4:$N$451,0)),0)-$AG537)</f>
        <v/>
      </c>
      <c r="AI537" s="11">
        <f>IF($A537="","",IFERROR(INDEX('2_IMPORTAR_EJECUCION'!$F$9:$F$1208,MATCH($AQ537,'2_IMPORTAR_EJECUCION'!$J$9:$J$1208,0)),0))</f>
        <v/>
      </c>
      <c r="AJ537" s="11">
        <f>IF($A537="","",MAX(0,IFERROR(INDEX('2_IMPORTAR_EJECUCION'!$H$9:$H$1208,MATCH($AQ537,'2_IMPORTAR_EJECUCION'!$J$9:$J$1208,0)),0)-$AI537))</f>
        <v/>
      </c>
      <c r="AK537" s="11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IF($H538="","",IFERROR(INDEX('CAT_ACTIVIDADES'!$B$4:$B$8,MATCH($H538,'CAT_ACTIVIDADES'!$A$4:$A$8,0)),"(sin catálogo)"))</f>
        <v/>
      </c>
      <c r="AA538" s="13">
        <f>IF($J538="","",TODAY()-$J538)</f>
        <v/>
      </c>
      <c r="AB538" s="13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IF($AE538="","",IF((IFERROR(INDEX('ASIGNACIONES'!$J$4:$J$451,MATCH($O538&amp;"|"&amp;$R538&amp;"|"&amp;$AE538,'ASIGNACIONES'!$N$4:$N$451,0)),""))=0,"",IFERROR(INDEX('ASIGNACIONES'!$J$4:$J$451,MATCH($O538&amp;"|"&amp;$R538&amp;"|"&amp;$AE538,'ASIGNACIONES'!$N$4:$N$451,0)),"")))</f>
        <v/>
      </c>
      <c r="AG538" s="14">
        <f>IF($AE538="","",SUMIFS('ORDENES'!$M$4:$M$1203,'ORDENES'!$AE$4:$AE$1203,$AE538,'ORDENES'!$O$4:$O$1203,$O538,'ORDENES'!$R$4:$R$1203,$R538))</f>
        <v/>
      </c>
      <c r="AH538" s="14">
        <f>IF($AG538="","",p_factor_productividad*IFERROR(INDEX('ASIGNACIONES'!$M$4:$M$451,MATCH($O538&amp;"|"&amp;$R538&amp;"|"&amp;$AE538,'ASIGNACIONES'!$N$4:$N$451,0)),0)-$AG538)</f>
        <v/>
      </c>
      <c r="AI538" s="11">
        <f>IF($A538="","",IFERROR(INDEX('2_IMPORTAR_EJECUCION'!$F$9:$F$1208,MATCH($AQ538,'2_IMPORTAR_EJECUCION'!$J$9:$J$1208,0)),0))</f>
        <v/>
      </c>
      <c r="AJ538" s="11">
        <f>IF($A538="","",MAX(0,IFERROR(INDEX('2_IMPORTAR_EJECUCION'!$H$9:$H$1208,MATCH($AQ538,'2_IMPORTAR_EJECUCION'!$J$9:$J$1208,0)),0)-$AI538))</f>
        <v/>
      </c>
      <c r="AK538" s="11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IF($H539="","",IFERROR(INDEX('CAT_ACTIVIDADES'!$B$4:$B$8,MATCH($H539,'CAT_ACTIVIDADES'!$A$4:$A$8,0)),"(sin catálogo)"))</f>
        <v/>
      </c>
      <c r="AA539" s="13">
        <f>IF($J539="","",TODAY()-$J539)</f>
        <v/>
      </c>
      <c r="AB539" s="13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IF($AE539="","",IF((IFERROR(INDEX('ASIGNACIONES'!$J$4:$J$451,MATCH($O539&amp;"|"&amp;$R539&amp;"|"&amp;$AE539,'ASIGNACIONES'!$N$4:$N$451,0)),""))=0,"",IFERROR(INDEX('ASIGNACIONES'!$J$4:$J$451,MATCH($O539&amp;"|"&amp;$R539&amp;"|"&amp;$AE539,'ASIGNACIONES'!$N$4:$N$451,0)),"")))</f>
        <v/>
      </c>
      <c r="AG539" s="14">
        <f>IF($AE539="","",SUMIFS('ORDENES'!$M$4:$M$1203,'ORDENES'!$AE$4:$AE$1203,$AE539,'ORDENES'!$O$4:$O$1203,$O539,'ORDENES'!$R$4:$R$1203,$R539))</f>
        <v/>
      </c>
      <c r="AH539" s="14">
        <f>IF($AG539="","",p_factor_productividad*IFERROR(INDEX('ASIGNACIONES'!$M$4:$M$451,MATCH($O539&amp;"|"&amp;$R539&amp;"|"&amp;$AE539,'ASIGNACIONES'!$N$4:$N$451,0)),0)-$AG539)</f>
        <v/>
      </c>
      <c r="AI539" s="11">
        <f>IF($A539="","",IFERROR(INDEX('2_IMPORTAR_EJECUCION'!$F$9:$F$1208,MATCH($AQ539,'2_IMPORTAR_EJECUCION'!$J$9:$J$1208,0)),0))</f>
        <v/>
      </c>
      <c r="AJ539" s="11">
        <f>IF($A539="","",MAX(0,IFERROR(INDEX('2_IMPORTAR_EJECUCION'!$H$9:$H$1208,MATCH($AQ539,'2_IMPORTAR_EJECUCION'!$J$9:$J$1208,0)),0)-$AI539))</f>
        <v/>
      </c>
      <c r="AK539" s="11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IF($H540="","",IFERROR(INDEX('CAT_ACTIVIDADES'!$B$4:$B$8,MATCH($H540,'CAT_ACTIVIDADES'!$A$4:$A$8,0)),"(sin catálogo)"))</f>
        <v/>
      </c>
      <c r="AA540" s="13">
        <f>IF($J540="","",TODAY()-$J540)</f>
        <v/>
      </c>
      <c r="AB540" s="13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IF($AE540="","",IF((IFERROR(INDEX('ASIGNACIONES'!$J$4:$J$451,MATCH($O540&amp;"|"&amp;$R540&amp;"|"&amp;$AE540,'ASIGNACIONES'!$N$4:$N$451,0)),""))=0,"",IFERROR(INDEX('ASIGNACIONES'!$J$4:$J$451,MATCH($O540&amp;"|"&amp;$R540&amp;"|"&amp;$AE540,'ASIGNACIONES'!$N$4:$N$451,0)),"")))</f>
        <v/>
      </c>
      <c r="AG540" s="14">
        <f>IF($AE540="","",SUMIFS('ORDENES'!$M$4:$M$1203,'ORDENES'!$AE$4:$AE$1203,$AE540,'ORDENES'!$O$4:$O$1203,$O540,'ORDENES'!$R$4:$R$1203,$R540))</f>
        <v/>
      </c>
      <c r="AH540" s="14">
        <f>IF($AG540="","",p_factor_productividad*IFERROR(INDEX('ASIGNACIONES'!$M$4:$M$451,MATCH($O540&amp;"|"&amp;$R540&amp;"|"&amp;$AE540,'ASIGNACIONES'!$N$4:$N$451,0)),0)-$AG540)</f>
        <v/>
      </c>
      <c r="AI540" s="11">
        <f>IF($A540="","",IFERROR(INDEX('2_IMPORTAR_EJECUCION'!$F$9:$F$1208,MATCH($AQ540,'2_IMPORTAR_EJECUCION'!$J$9:$J$1208,0)),0))</f>
        <v/>
      </c>
      <c r="AJ540" s="11">
        <f>IF($A540="","",MAX(0,IFERROR(INDEX('2_IMPORTAR_EJECUCION'!$H$9:$H$1208,MATCH($AQ540,'2_IMPORTAR_EJECUCION'!$J$9:$J$1208,0)),0)-$AI540))</f>
        <v/>
      </c>
      <c r="AK540" s="11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IF($H541="","",IFERROR(INDEX('CAT_ACTIVIDADES'!$B$4:$B$8,MATCH($H541,'CAT_ACTIVIDADES'!$A$4:$A$8,0)),"(sin catálogo)"))</f>
        <v/>
      </c>
      <c r="AA541" s="13">
        <f>IF($J541="","",TODAY()-$J541)</f>
        <v/>
      </c>
      <c r="AB541" s="13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IF($AE541="","",IF((IFERROR(INDEX('ASIGNACIONES'!$J$4:$J$451,MATCH($O541&amp;"|"&amp;$R541&amp;"|"&amp;$AE541,'ASIGNACIONES'!$N$4:$N$451,0)),""))=0,"",IFERROR(INDEX('ASIGNACIONES'!$J$4:$J$451,MATCH($O541&amp;"|"&amp;$R541&amp;"|"&amp;$AE541,'ASIGNACIONES'!$N$4:$N$451,0)),"")))</f>
        <v/>
      </c>
      <c r="AG541" s="14">
        <f>IF($AE541="","",SUMIFS('ORDENES'!$M$4:$M$1203,'ORDENES'!$AE$4:$AE$1203,$AE541,'ORDENES'!$O$4:$O$1203,$O541,'ORDENES'!$R$4:$R$1203,$R541))</f>
        <v/>
      </c>
      <c r="AH541" s="14">
        <f>IF($AG541="","",p_factor_productividad*IFERROR(INDEX('ASIGNACIONES'!$M$4:$M$451,MATCH($O541&amp;"|"&amp;$R541&amp;"|"&amp;$AE541,'ASIGNACIONES'!$N$4:$N$451,0)),0)-$AG541)</f>
        <v/>
      </c>
      <c r="AI541" s="11">
        <f>IF($A541="","",IFERROR(INDEX('2_IMPORTAR_EJECUCION'!$F$9:$F$1208,MATCH($AQ541,'2_IMPORTAR_EJECUCION'!$J$9:$J$1208,0)),0))</f>
        <v/>
      </c>
      <c r="AJ541" s="11">
        <f>IF($A541="","",MAX(0,IFERROR(INDEX('2_IMPORTAR_EJECUCION'!$H$9:$H$1208,MATCH($AQ541,'2_IMPORTAR_EJECUCION'!$J$9:$J$1208,0)),0)-$AI541))</f>
        <v/>
      </c>
      <c r="AK541" s="11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IF($H542="","",IFERROR(INDEX('CAT_ACTIVIDADES'!$B$4:$B$8,MATCH($H542,'CAT_ACTIVIDADES'!$A$4:$A$8,0)),"(sin catálogo)"))</f>
        <v/>
      </c>
      <c r="AA542" s="13">
        <f>IF($J542="","",TODAY()-$J542)</f>
        <v/>
      </c>
      <c r="AB542" s="13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IF($AE542="","",IF((IFERROR(INDEX('ASIGNACIONES'!$J$4:$J$451,MATCH($O542&amp;"|"&amp;$R542&amp;"|"&amp;$AE542,'ASIGNACIONES'!$N$4:$N$451,0)),""))=0,"",IFERROR(INDEX('ASIGNACIONES'!$J$4:$J$451,MATCH($O542&amp;"|"&amp;$R542&amp;"|"&amp;$AE542,'ASIGNACIONES'!$N$4:$N$451,0)),"")))</f>
        <v/>
      </c>
      <c r="AG542" s="14">
        <f>IF($AE542="","",SUMIFS('ORDENES'!$M$4:$M$1203,'ORDENES'!$AE$4:$AE$1203,$AE542,'ORDENES'!$O$4:$O$1203,$O542,'ORDENES'!$R$4:$R$1203,$R542))</f>
        <v/>
      </c>
      <c r="AH542" s="14">
        <f>IF($AG542="","",p_factor_productividad*IFERROR(INDEX('ASIGNACIONES'!$M$4:$M$451,MATCH($O542&amp;"|"&amp;$R542&amp;"|"&amp;$AE542,'ASIGNACIONES'!$N$4:$N$451,0)),0)-$AG542)</f>
        <v/>
      </c>
      <c r="AI542" s="11">
        <f>IF($A542="","",IFERROR(INDEX('2_IMPORTAR_EJECUCION'!$F$9:$F$1208,MATCH($AQ542,'2_IMPORTAR_EJECUCION'!$J$9:$J$1208,0)),0))</f>
        <v/>
      </c>
      <c r="AJ542" s="11">
        <f>IF($A542="","",MAX(0,IFERROR(INDEX('2_IMPORTAR_EJECUCION'!$H$9:$H$1208,MATCH($AQ542,'2_IMPORTAR_EJECUCION'!$J$9:$J$1208,0)),0)-$AI542))</f>
        <v/>
      </c>
      <c r="AK542" s="11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IF($H543="","",IFERROR(INDEX('CAT_ACTIVIDADES'!$B$4:$B$8,MATCH($H543,'CAT_ACTIVIDADES'!$A$4:$A$8,0)),"(sin catálogo)"))</f>
        <v/>
      </c>
      <c r="AA543" s="13">
        <f>IF($J543="","",TODAY()-$J543)</f>
        <v/>
      </c>
      <c r="AB543" s="13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IF($AE543="","",IF((IFERROR(INDEX('ASIGNACIONES'!$J$4:$J$451,MATCH($O543&amp;"|"&amp;$R543&amp;"|"&amp;$AE543,'ASIGNACIONES'!$N$4:$N$451,0)),""))=0,"",IFERROR(INDEX('ASIGNACIONES'!$J$4:$J$451,MATCH($O543&amp;"|"&amp;$R543&amp;"|"&amp;$AE543,'ASIGNACIONES'!$N$4:$N$451,0)),"")))</f>
        <v/>
      </c>
      <c r="AG543" s="14">
        <f>IF($AE543="","",SUMIFS('ORDENES'!$M$4:$M$1203,'ORDENES'!$AE$4:$AE$1203,$AE543,'ORDENES'!$O$4:$O$1203,$O543,'ORDENES'!$R$4:$R$1203,$R543))</f>
        <v/>
      </c>
      <c r="AH543" s="14">
        <f>IF($AG543="","",p_factor_productividad*IFERROR(INDEX('ASIGNACIONES'!$M$4:$M$451,MATCH($O543&amp;"|"&amp;$R543&amp;"|"&amp;$AE543,'ASIGNACIONES'!$N$4:$N$451,0)),0)-$AG543)</f>
        <v/>
      </c>
      <c r="AI543" s="11">
        <f>IF($A543="","",IFERROR(INDEX('2_IMPORTAR_EJECUCION'!$F$9:$F$1208,MATCH($AQ543,'2_IMPORTAR_EJECUCION'!$J$9:$J$1208,0)),0))</f>
        <v/>
      </c>
      <c r="AJ543" s="11">
        <f>IF($A543="","",MAX(0,IFERROR(INDEX('2_IMPORTAR_EJECUCION'!$H$9:$H$1208,MATCH($AQ543,'2_IMPORTAR_EJECUCION'!$J$9:$J$1208,0)),0)-$AI543))</f>
        <v/>
      </c>
      <c r="AK543" s="11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IF($H544="","",IFERROR(INDEX('CAT_ACTIVIDADES'!$B$4:$B$8,MATCH($H544,'CAT_ACTIVIDADES'!$A$4:$A$8,0)),"(sin catálogo)"))</f>
        <v/>
      </c>
      <c r="AA544" s="13">
        <f>IF($J544="","",TODAY()-$J544)</f>
        <v/>
      </c>
      <c r="AB544" s="13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IF($AE544="","",IF((IFERROR(INDEX('ASIGNACIONES'!$J$4:$J$451,MATCH($O544&amp;"|"&amp;$R544&amp;"|"&amp;$AE544,'ASIGNACIONES'!$N$4:$N$451,0)),""))=0,"",IFERROR(INDEX('ASIGNACIONES'!$J$4:$J$451,MATCH($O544&amp;"|"&amp;$R544&amp;"|"&amp;$AE544,'ASIGNACIONES'!$N$4:$N$451,0)),"")))</f>
        <v/>
      </c>
      <c r="AG544" s="14">
        <f>IF($AE544="","",SUMIFS('ORDENES'!$M$4:$M$1203,'ORDENES'!$AE$4:$AE$1203,$AE544,'ORDENES'!$O$4:$O$1203,$O544,'ORDENES'!$R$4:$R$1203,$R544))</f>
        <v/>
      </c>
      <c r="AH544" s="14">
        <f>IF($AG544="","",p_factor_productividad*IFERROR(INDEX('ASIGNACIONES'!$M$4:$M$451,MATCH($O544&amp;"|"&amp;$R544&amp;"|"&amp;$AE544,'ASIGNACIONES'!$N$4:$N$451,0)),0)-$AG544)</f>
        <v/>
      </c>
      <c r="AI544" s="11">
        <f>IF($A544="","",IFERROR(INDEX('2_IMPORTAR_EJECUCION'!$F$9:$F$1208,MATCH($AQ544,'2_IMPORTAR_EJECUCION'!$J$9:$J$1208,0)),0))</f>
        <v/>
      </c>
      <c r="AJ544" s="11">
        <f>IF($A544="","",MAX(0,IFERROR(INDEX('2_IMPORTAR_EJECUCION'!$H$9:$H$1208,MATCH($AQ544,'2_IMPORTAR_EJECUCION'!$J$9:$J$1208,0)),0)-$AI544))</f>
        <v/>
      </c>
      <c r="AK544" s="11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IF($H545="","",IFERROR(INDEX('CAT_ACTIVIDADES'!$B$4:$B$8,MATCH($H545,'CAT_ACTIVIDADES'!$A$4:$A$8,0)),"(sin catálogo)"))</f>
        <v/>
      </c>
      <c r="AA545" s="13">
        <f>IF($J545="","",TODAY()-$J545)</f>
        <v/>
      </c>
      <c r="AB545" s="13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IF($AE545="","",IF((IFERROR(INDEX('ASIGNACIONES'!$J$4:$J$451,MATCH($O545&amp;"|"&amp;$R545&amp;"|"&amp;$AE545,'ASIGNACIONES'!$N$4:$N$451,0)),""))=0,"",IFERROR(INDEX('ASIGNACIONES'!$J$4:$J$451,MATCH($O545&amp;"|"&amp;$R545&amp;"|"&amp;$AE545,'ASIGNACIONES'!$N$4:$N$451,0)),"")))</f>
        <v/>
      </c>
      <c r="AG545" s="14">
        <f>IF($AE545="","",SUMIFS('ORDENES'!$M$4:$M$1203,'ORDENES'!$AE$4:$AE$1203,$AE545,'ORDENES'!$O$4:$O$1203,$O545,'ORDENES'!$R$4:$R$1203,$R545))</f>
        <v/>
      </c>
      <c r="AH545" s="14">
        <f>IF($AG545="","",p_factor_productividad*IFERROR(INDEX('ASIGNACIONES'!$M$4:$M$451,MATCH($O545&amp;"|"&amp;$R545&amp;"|"&amp;$AE545,'ASIGNACIONES'!$N$4:$N$451,0)),0)-$AG545)</f>
        <v/>
      </c>
      <c r="AI545" s="11">
        <f>IF($A545="","",IFERROR(INDEX('2_IMPORTAR_EJECUCION'!$F$9:$F$1208,MATCH($AQ545,'2_IMPORTAR_EJECUCION'!$J$9:$J$1208,0)),0))</f>
        <v/>
      </c>
      <c r="AJ545" s="11">
        <f>IF($A545="","",MAX(0,IFERROR(INDEX('2_IMPORTAR_EJECUCION'!$H$9:$H$1208,MATCH($AQ545,'2_IMPORTAR_EJECUCION'!$J$9:$J$1208,0)),0)-$AI545))</f>
        <v/>
      </c>
      <c r="AK545" s="11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IF($H546="","",IFERROR(INDEX('CAT_ACTIVIDADES'!$B$4:$B$8,MATCH($H546,'CAT_ACTIVIDADES'!$A$4:$A$8,0)),"(sin catálogo)"))</f>
        <v/>
      </c>
      <c r="AA546" s="13">
        <f>IF($J546="","",TODAY()-$J546)</f>
        <v/>
      </c>
      <c r="AB546" s="13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IF($AE546="","",IF((IFERROR(INDEX('ASIGNACIONES'!$J$4:$J$451,MATCH($O546&amp;"|"&amp;$R546&amp;"|"&amp;$AE546,'ASIGNACIONES'!$N$4:$N$451,0)),""))=0,"",IFERROR(INDEX('ASIGNACIONES'!$J$4:$J$451,MATCH($O546&amp;"|"&amp;$R546&amp;"|"&amp;$AE546,'ASIGNACIONES'!$N$4:$N$451,0)),"")))</f>
        <v/>
      </c>
      <c r="AG546" s="14">
        <f>IF($AE546="","",SUMIFS('ORDENES'!$M$4:$M$1203,'ORDENES'!$AE$4:$AE$1203,$AE546,'ORDENES'!$O$4:$O$1203,$O546,'ORDENES'!$R$4:$R$1203,$R546))</f>
        <v/>
      </c>
      <c r="AH546" s="14">
        <f>IF($AG546="","",p_factor_productividad*IFERROR(INDEX('ASIGNACIONES'!$M$4:$M$451,MATCH($O546&amp;"|"&amp;$R546&amp;"|"&amp;$AE546,'ASIGNACIONES'!$N$4:$N$451,0)),0)-$AG546)</f>
        <v/>
      </c>
      <c r="AI546" s="11">
        <f>IF($A546="","",IFERROR(INDEX('2_IMPORTAR_EJECUCION'!$F$9:$F$1208,MATCH($AQ546,'2_IMPORTAR_EJECUCION'!$J$9:$J$1208,0)),0))</f>
        <v/>
      </c>
      <c r="AJ546" s="11">
        <f>IF($A546="","",MAX(0,IFERROR(INDEX('2_IMPORTAR_EJECUCION'!$H$9:$H$1208,MATCH($AQ546,'2_IMPORTAR_EJECUCION'!$J$9:$J$1208,0)),0)-$AI546))</f>
        <v/>
      </c>
      <c r="AK546" s="11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IF($H547="","",IFERROR(INDEX('CAT_ACTIVIDADES'!$B$4:$B$8,MATCH($H547,'CAT_ACTIVIDADES'!$A$4:$A$8,0)),"(sin catálogo)"))</f>
        <v/>
      </c>
      <c r="AA547" s="13">
        <f>IF($J547="","",TODAY()-$J547)</f>
        <v/>
      </c>
      <c r="AB547" s="13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IF($AE547="","",IF((IFERROR(INDEX('ASIGNACIONES'!$J$4:$J$451,MATCH($O547&amp;"|"&amp;$R547&amp;"|"&amp;$AE547,'ASIGNACIONES'!$N$4:$N$451,0)),""))=0,"",IFERROR(INDEX('ASIGNACIONES'!$J$4:$J$451,MATCH($O547&amp;"|"&amp;$R547&amp;"|"&amp;$AE547,'ASIGNACIONES'!$N$4:$N$451,0)),"")))</f>
        <v/>
      </c>
      <c r="AG547" s="14">
        <f>IF($AE547="","",SUMIFS('ORDENES'!$M$4:$M$1203,'ORDENES'!$AE$4:$AE$1203,$AE547,'ORDENES'!$O$4:$O$1203,$O547,'ORDENES'!$R$4:$R$1203,$R547))</f>
        <v/>
      </c>
      <c r="AH547" s="14">
        <f>IF($AG547="","",p_factor_productividad*IFERROR(INDEX('ASIGNACIONES'!$M$4:$M$451,MATCH($O547&amp;"|"&amp;$R547&amp;"|"&amp;$AE547,'ASIGNACIONES'!$N$4:$N$451,0)),0)-$AG547)</f>
        <v/>
      </c>
      <c r="AI547" s="11">
        <f>IF($A547="","",IFERROR(INDEX('2_IMPORTAR_EJECUCION'!$F$9:$F$1208,MATCH($AQ547,'2_IMPORTAR_EJECUCION'!$J$9:$J$1208,0)),0))</f>
        <v/>
      </c>
      <c r="AJ547" s="11">
        <f>IF($A547="","",MAX(0,IFERROR(INDEX('2_IMPORTAR_EJECUCION'!$H$9:$H$1208,MATCH($AQ547,'2_IMPORTAR_EJECUCION'!$J$9:$J$1208,0)),0)-$AI547))</f>
        <v/>
      </c>
      <c r="AK547" s="11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IF($H548="","",IFERROR(INDEX('CAT_ACTIVIDADES'!$B$4:$B$8,MATCH($H548,'CAT_ACTIVIDADES'!$A$4:$A$8,0)),"(sin catálogo)"))</f>
        <v/>
      </c>
      <c r="AA548" s="13">
        <f>IF($J548="","",TODAY()-$J548)</f>
        <v/>
      </c>
      <c r="AB548" s="13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IF($AE548="","",IF((IFERROR(INDEX('ASIGNACIONES'!$J$4:$J$451,MATCH($O548&amp;"|"&amp;$R548&amp;"|"&amp;$AE548,'ASIGNACIONES'!$N$4:$N$451,0)),""))=0,"",IFERROR(INDEX('ASIGNACIONES'!$J$4:$J$451,MATCH($O548&amp;"|"&amp;$R548&amp;"|"&amp;$AE548,'ASIGNACIONES'!$N$4:$N$451,0)),"")))</f>
        <v/>
      </c>
      <c r="AG548" s="14">
        <f>IF($AE548="","",SUMIFS('ORDENES'!$M$4:$M$1203,'ORDENES'!$AE$4:$AE$1203,$AE548,'ORDENES'!$O$4:$O$1203,$O548,'ORDENES'!$R$4:$R$1203,$R548))</f>
        <v/>
      </c>
      <c r="AH548" s="14">
        <f>IF($AG548="","",p_factor_productividad*IFERROR(INDEX('ASIGNACIONES'!$M$4:$M$451,MATCH($O548&amp;"|"&amp;$R548&amp;"|"&amp;$AE548,'ASIGNACIONES'!$N$4:$N$451,0)),0)-$AG548)</f>
        <v/>
      </c>
      <c r="AI548" s="11">
        <f>IF($A548="","",IFERROR(INDEX('2_IMPORTAR_EJECUCION'!$F$9:$F$1208,MATCH($AQ548,'2_IMPORTAR_EJECUCION'!$J$9:$J$1208,0)),0))</f>
        <v/>
      </c>
      <c r="AJ548" s="11">
        <f>IF($A548="","",MAX(0,IFERROR(INDEX('2_IMPORTAR_EJECUCION'!$H$9:$H$1208,MATCH($AQ548,'2_IMPORTAR_EJECUCION'!$J$9:$J$1208,0)),0)-$AI548))</f>
        <v/>
      </c>
      <c r="AK548" s="11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IF($H549="","",IFERROR(INDEX('CAT_ACTIVIDADES'!$B$4:$B$8,MATCH($H549,'CAT_ACTIVIDADES'!$A$4:$A$8,0)),"(sin catálogo)"))</f>
        <v/>
      </c>
      <c r="AA549" s="13">
        <f>IF($J549="","",TODAY()-$J549)</f>
        <v/>
      </c>
      <c r="AB549" s="13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IF($AE549="","",IF((IFERROR(INDEX('ASIGNACIONES'!$J$4:$J$451,MATCH($O549&amp;"|"&amp;$R549&amp;"|"&amp;$AE549,'ASIGNACIONES'!$N$4:$N$451,0)),""))=0,"",IFERROR(INDEX('ASIGNACIONES'!$J$4:$J$451,MATCH($O549&amp;"|"&amp;$R549&amp;"|"&amp;$AE549,'ASIGNACIONES'!$N$4:$N$451,0)),"")))</f>
        <v/>
      </c>
      <c r="AG549" s="14">
        <f>IF($AE549="","",SUMIFS('ORDENES'!$M$4:$M$1203,'ORDENES'!$AE$4:$AE$1203,$AE549,'ORDENES'!$O$4:$O$1203,$O549,'ORDENES'!$R$4:$R$1203,$R549))</f>
        <v/>
      </c>
      <c r="AH549" s="14">
        <f>IF($AG549="","",p_factor_productividad*IFERROR(INDEX('ASIGNACIONES'!$M$4:$M$451,MATCH($O549&amp;"|"&amp;$R549&amp;"|"&amp;$AE549,'ASIGNACIONES'!$N$4:$N$451,0)),0)-$AG549)</f>
        <v/>
      </c>
      <c r="AI549" s="11">
        <f>IF($A549="","",IFERROR(INDEX('2_IMPORTAR_EJECUCION'!$F$9:$F$1208,MATCH($AQ549,'2_IMPORTAR_EJECUCION'!$J$9:$J$1208,0)),0))</f>
        <v/>
      </c>
      <c r="AJ549" s="11">
        <f>IF($A549="","",MAX(0,IFERROR(INDEX('2_IMPORTAR_EJECUCION'!$H$9:$H$1208,MATCH($AQ549,'2_IMPORTAR_EJECUCION'!$J$9:$J$1208,0)),0)-$AI549))</f>
        <v/>
      </c>
      <c r="AK549" s="11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IF($H550="","",IFERROR(INDEX('CAT_ACTIVIDADES'!$B$4:$B$8,MATCH($H550,'CAT_ACTIVIDADES'!$A$4:$A$8,0)),"(sin catálogo)"))</f>
        <v/>
      </c>
      <c r="AA550" s="13">
        <f>IF($J550="","",TODAY()-$J550)</f>
        <v/>
      </c>
      <c r="AB550" s="13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IF($AE550="","",IF((IFERROR(INDEX('ASIGNACIONES'!$J$4:$J$451,MATCH($O550&amp;"|"&amp;$R550&amp;"|"&amp;$AE550,'ASIGNACIONES'!$N$4:$N$451,0)),""))=0,"",IFERROR(INDEX('ASIGNACIONES'!$J$4:$J$451,MATCH($O550&amp;"|"&amp;$R550&amp;"|"&amp;$AE550,'ASIGNACIONES'!$N$4:$N$451,0)),"")))</f>
        <v/>
      </c>
      <c r="AG550" s="14">
        <f>IF($AE550="","",SUMIFS('ORDENES'!$M$4:$M$1203,'ORDENES'!$AE$4:$AE$1203,$AE550,'ORDENES'!$O$4:$O$1203,$O550,'ORDENES'!$R$4:$R$1203,$R550))</f>
        <v/>
      </c>
      <c r="AH550" s="14">
        <f>IF($AG550="","",p_factor_productividad*IFERROR(INDEX('ASIGNACIONES'!$M$4:$M$451,MATCH($O550&amp;"|"&amp;$R550&amp;"|"&amp;$AE550,'ASIGNACIONES'!$N$4:$N$451,0)),0)-$AG550)</f>
        <v/>
      </c>
      <c r="AI550" s="11">
        <f>IF($A550="","",IFERROR(INDEX('2_IMPORTAR_EJECUCION'!$F$9:$F$1208,MATCH($AQ550,'2_IMPORTAR_EJECUCION'!$J$9:$J$1208,0)),0))</f>
        <v/>
      </c>
      <c r="AJ550" s="11">
        <f>IF($A550="","",MAX(0,IFERROR(INDEX('2_IMPORTAR_EJECUCION'!$H$9:$H$1208,MATCH($AQ550,'2_IMPORTAR_EJECUCION'!$J$9:$J$1208,0)),0)-$AI550))</f>
        <v/>
      </c>
      <c r="AK550" s="11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IF($H551="","",IFERROR(INDEX('CAT_ACTIVIDADES'!$B$4:$B$8,MATCH($H551,'CAT_ACTIVIDADES'!$A$4:$A$8,0)),"(sin catálogo)"))</f>
        <v/>
      </c>
      <c r="AA551" s="13">
        <f>IF($J551="","",TODAY()-$J551)</f>
        <v/>
      </c>
      <c r="AB551" s="13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IF($AE551="","",IF((IFERROR(INDEX('ASIGNACIONES'!$J$4:$J$451,MATCH($O551&amp;"|"&amp;$R551&amp;"|"&amp;$AE551,'ASIGNACIONES'!$N$4:$N$451,0)),""))=0,"",IFERROR(INDEX('ASIGNACIONES'!$J$4:$J$451,MATCH($O551&amp;"|"&amp;$R551&amp;"|"&amp;$AE551,'ASIGNACIONES'!$N$4:$N$451,0)),"")))</f>
        <v/>
      </c>
      <c r="AG551" s="14">
        <f>IF($AE551="","",SUMIFS('ORDENES'!$M$4:$M$1203,'ORDENES'!$AE$4:$AE$1203,$AE551,'ORDENES'!$O$4:$O$1203,$O551,'ORDENES'!$R$4:$R$1203,$R551))</f>
        <v/>
      </c>
      <c r="AH551" s="14">
        <f>IF($AG551="","",p_factor_productividad*IFERROR(INDEX('ASIGNACIONES'!$M$4:$M$451,MATCH($O551&amp;"|"&amp;$R551&amp;"|"&amp;$AE551,'ASIGNACIONES'!$N$4:$N$451,0)),0)-$AG551)</f>
        <v/>
      </c>
      <c r="AI551" s="11">
        <f>IF($A551="","",IFERROR(INDEX('2_IMPORTAR_EJECUCION'!$F$9:$F$1208,MATCH($AQ551,'2_IMPORTAR_EJECUCION'!$J$9:$J$1208,0)),0))</f>
        <v/>
      </c>
      <c r="AJ551" s="11">
        <f>IF($A551="","",MAX(0,IFERROR(INDEX('2_IMPORTAR_EJECUCION'!$H$9:$H$1208,MATCH($AQ551,'2_IMPORTAR_EJECUCION'!$J$9:$J$1208,0)),0)-$AI551))</f>
        <v/>
      </c>
      <c r="AK551" s="11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IF($H552="","",IFERROR(INDEX('CAT_ACTIVIDADES'!$B$4:$B$8,MATCH($H552,'CAT_ACTIVIDADES'!$A$4:$A$8,0)),"(sin catálogo)"))</f>
        <v/>
      </c>
      <c r="AA552" s="13">
        <f>IF($J552="","",TODAY()-$J552)</f>
        <v/>
      </c>
      <c r="AB552" s="13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IF($AE552="","",IF((IFERROR(INDEX('ASIGNACIONES'!$J$4:$J$451,MATCH($O552&amp;"|"&amp;$R552&amp;"|"&amp;$AE552,'ASIGNACIONES'!$N$4:$N$451,0)),""))=0,"",IFERROR(INDEX('ASIGNACIONES'!$J$4:$J$451,MATCH($O552&amp;"|"&amp;$R552&amp;"|"&amp;$AE552,'ASIGNACIONES'!$N$4:$N$451,0)),"")))</f>
        <v/>
      </c>
      <c r="AG552" s="14">
        <f>IF($AE552="","",SUMIFS('ORDENES'!$M$4:$M$1203,'ORDENES'!$AE$4:$AE$1203,$AE552,'ORDENES'!$O$4:$O$1203,$O552,'ORDENES'!$R$4:$R$1203,$R552))</f>
        <v/>
      </c>
      <c r="AH552" s="14">
        <f>IF($AG552="","",p_factor_productividad*IFERROR(INDEX('ASIGNACIONES'!$M$4:$M$451,MATCH($O552&amp;"|"&amp;$R552&amp;"|"&amp;$AE552,'ASIGNACIONES'!$N$4:$N$451,0)),0)-$AG552)</f>
        <v/>
      </c>
      <c r="AI552" s="11">
        <f>IF($A552="","",IFERROR(INDEX('2_IMPORTAR_EJECUCION'!$F$9:$F$1208,MATCH($AQ552,'2_IMPORTAR_EJECUCION'!$J$9:$J$1208,0)),0))</f>
        <v/>
      </c>
      <c r="AJ552" s="11">
        <f>IF($A552="","",MAX(0,IFERROR(INDEX('2_IMPORTAR_EJECUCION'!$H$9:$H$1208,MATCH($AQ552,'2_IMPORTAR_EJECUCION'!$J$9:$J$1208,0)),0)-$AI552))</f>
        <v/>
      </c>
      <c r="AK552" s="11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IF($H553="","",IFERROR(INDEX('CAT_ACTIVIDADES'!$B$4:$B$8,MATCH($H553,'CAT_ACTIVIDADES'!$A$4:$A$8,0)),"(sin catálogo)"))</f>
        <v/>
      </c>
      <c r="AA553" s="13">
        <f>IF($J553="","",TODAY()-$J553)</f>
        <v/>
      </c>
      <c r="AB553" s="13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IF($AE553="","",IF((IFERROR(INDEX('ASIGNACIONES'!$J$4:$J$451,MATCH($O553&amp;"|"&amp;$R553&amp;"|"&amp;$AE553,'ASIGNACIONES'!$N$4:$N$451,0)),""))=0,"",IFERROR(INDEX('ASIGNACIONES'!$J$4:$J$451,MATCH($O553&amp;"|"&amp;$R553&amp;"|"&amp;$AE553,'ASIGNACIONES'!$N$4:$N$451,0)),"")))</f>
        <v/>
      </c>
      <c r="AG553" s="14">
        <f>IF($AE553="","",SUMIFS('ORDENES'!$M$4:$M$1203,'ORDENES'!$AE$4:$AE$1203,$AE553,'ORDENES'!$O$4:$O$1203,$O553,'ORDENES'!$R$4:$R$1203,$R553))</f>
        <v/>
      </c>
      <c r="AH553" s="14">
        <f>IF($AG553="","",p_factor_productividad*IFERROR(INDEX('ASIGNACIONES'!$M$4:$M$451,MATCH($O553&amp;"|"&amp;$R553&amp;"|"&amp;$AE553,'ASIGNACIONES'!$N$4:$N$451,0)),0)-$AG553)</f>
        <v/>
      </c>
      <c r="AI553" s="11">
        <f>IF($A553="","",IFERROR(INDEX('2_IMPORTAR_EJECUCION'!$F$9:$F$1208,MATCH($AQ553,'2_IMPORTAR_EJECUCION'!$J$9:$J$1208,0)),0))</f>
        <v/>
      </c>
      <c r="AJ553" s="11">
        <f>IF($A553="","",MAX(0,IFERROR(INDEX('2_IMPORTAR_EJECUCION'!$H$9:$H$1208,MATCH($AQ553,'2_IMPORTAR_EJECUCION'!$J$9:$J$1208,0)),0)-$AI553))</f>
        <v/>
      </c>
      <c r="AK553" s="11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IF($H554="","",IFERROR(INDEX('CAT_ACTIVIDADES'!$B$4:$B$8,MATCH($H554,'CAT_ACTIVIDADES'!$A$4:$A$8,0)),"(sin catálogo)"))</f>
        <v/>
      </c>
      <c r="AA554" s="13">
        <f>IF($J554="","",TODAY()-$J554)</f>
        <v/>
      </c>
      <c r="AB554" s="13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IF($AE554="","",IF((IFERROR(INDEX('ASIGNACIONES'!$J$4:$J$451,MATCH($O554&amp;"|"&amp;$R554&amp;"|"&amp;$AE554,'ASIGNACIONES'!$N$4:$N$451,0)),""))=0,"",IFERROR(INDEX('ASIGNACIONES'!$J$4:$J$451,MATCH($O554&amp;"|"&amp;$R554&amp;"|"&amp;$AE554,'ASIGNACIONES'!$N$4:$N$451,0)),"")))</f>
        <v/>
      </c>
      <c r="AG554" s="14">
        <f>IF($AE554="","",SUMIFS('ORDENES'!$M$4:$M$1203,'ORDENES'!$AE$4:$AE$1203,$AE554,'ORDENES'!$O$4:$O$1203,$O554,'ORDENES'!$R$4:$R$1203,$R554))</f>
        <v/>
      </c>
      <c r="AH554" s="14">
        <f>IF($AG554="","",p_factor_productividad*IFERROR(INDEX('ASIGNACIONES'!$M$4:$M$451,MATCH($O554&amp;"|"&amp;$R554&amp;"|"&amp;$AE554,'ASIGNACIONES'!$N$4:$N$451,0)),0)-$AG554)</f>
        <v/>
      </c>
      <c r="AI554" s="11">
        <f>IF($A554="","",IFERROR(INDEX('2_IMPORTAR_EJECUCION'!$F$9:$F$1208,MATCH($AQ554,'2_IMPORTAR_EJECUCION'!$J$9:$J$1208,0)),0))</f>
        <v/>
      </c>
      <c r="AJ554" s="11">
        <f>IF($A554="","",MAX(0,IFERROR(INDEX('2_IMPORTAR_EJECUCION'!$H$9:$H$1208,MATCH($AQ554,'2_IMPORTAR_EJECUCION'!$J$9:$J$1208,0)),0)-$AI554))</f>
        <v/>
      </c>
      <c r="AK554" s="11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IF($H555="","",IFERROR(INDEX('CAT_ACTIVIDADES'!$B$4:$B$8,MATCH($H555,'CAT_ACTIVIDADES'!$A$4:$A$8,0)),"(sin catálogo)"))</f>
        <v/>
      </c>
      <c r="AA555" s="13">
        <f>IF($J555="","",TODAY()-$J555)</f>
        <v/>
      </c>
      <c r="AB555" s="13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IF($AE555="","",IF((IFERROR(INDEX('ASIGNACIONES'!$J$4:$J$451,MATCH($O555&amp;"|"&amp;$R555&amp;"|"&amp;$AE555,'ASIGNACIONES'!$N$4:$N$451,0)),""))=0,"",IFERROR(INDEX('ASIGNACIONES'!$J$4:$J$451,MATCH($O555&amp;"|"&amp;$R555&amp;"|"&amp;$AE555,'ASIGNACIONES'!$N$4:$N$451,0)),"")))</f>
        <v/>
      </c>
      <c r="AG555" s="14">
        <f>IF($AE555="","",SUMIFS('ORDENES'!$M$4:$M$1203,'ORDENES'!$AE$4:$AE$1203,$AE555,'ORDENES'!$O$4:$O$1203,$O555,'ORDENES'!$R$4:$R$1203,$R555))</f>
        <v/>
      </c>
      <c r="AH555" s="14">
        <f>IF($AG555="","",p_factor_productividad*IFERROR(INDEX('ASIGNACIONES'!$M$4:$M$451,MATCH($O555&amp;"|"&amp;$R555&amp;"|"&amp;$AE555,'ASIGNACIONES'!$N$4:$N$451,0)),0)-$AG555)</f>
        <v/>
      </c>
      <c r="AI555" s="11">
        <f>IF($A555="","",IFERROR(INDEX('2_IMPORTAR_EJECUCION'!$F$9:$F$1208,MATCH($AQ555,'2_IMPORTAR_EJECUCION'!$J$9:$J$1208,0)),0))</f>
        <v/>
      </c>
      <c r="AJ555" s="11">
        <f>IF($A555="","",MAX(0,IFERROR(INDEX('2_IMPORTAR_EJECUCION'!$H$9:$H$1208,MATCH($AQ555,'2_IMPORTAR_EJECUCION'!$J$9:$J$1208,0)),0)-$AI555))</f>
        <v/>
      </c>
      <c r="AK555" s="11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IF($H556="","",IFERROR(INDEX('CAT_ACTIVIDADES'!$B$4:$B$8,MATCH($H556,'CAT_ACTIVIDADES'!$A$4:$A$8,0)),"(sin catálogo)"))</f>
        <v/>
      </c>
      <c r="AA556" s="13">
        <f>IF($J556="","",TODAY()-$J556)</f>
        <v/>
      </c>
      <c r="AB556" s="13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IF($AE556="","",IF((IFERROR(INDEX('ASIGNACIONES'!$J$4:$J$451,MATCH($O556&amp;"|"&amp;$R556&amp;"|"&amp;$AE556,'ASIGNACIONES'!$N$4:$N$451,0)),""))=0,"",IFERROR(INDEX('ASIGNACIONES'!$J$4:$J$451,MATCH($O556&amp;"|"&amp;$R556&amp;"|"&amp;$AE556,'ASIGNACIONES'!$N$4:$N$451,0)),"")))</f>
        <v/>
      </c>
      <c r="AG556" s="14">
        <f>IF($AE556="","",SUMIFS('ORDENES'!$M$4:$M$1203,'ORDENES'!$AE$4:$AE$1203,$AE556,'ORDENES'!$O$4:$O$1203,$O556,'ORDENES'!$R$4:$R$1203,$R556))</f>
        <v/>
      </c>
      <c r="AH556" s="14">
        <f>IF($AG556="","",p_factor_productividad*IFERROR(INDEX('ASIGNACIONES'!$M$4:$M$451,MATCH($O556&amp;"|"&amp;$R556&amp;"|"&amp;$AE556,'ASIGNACIONES'!$N$4:$N$451,0)),0)-$AG556)</f>
        <v/>
      </c>
      <c r="AI556" s="11">
        <f>IF($A556="","",IFERROR(INDEX('2_IMPORTAR_EJECUCION'!$F$9:$F$1208,MATCH($AQ556,'2_IMPORTAR_EJECUCION'!$J$9:$J$1208,0)),0))</f>
        <v/>
      </c>
      <c r="AJ556" s="11">
        <f>IF($A556="","",MAX(0,IFERROR(INDEX('2_IMPORTAR_EJECUCION'!$H$9:$H$1208,MATCH($AQ556,'2_IMPORTAR_EJECUCION'!$J$9:$J$1208,0)),0)-$AI556))</f>
        <v/>
      </c>
      <c r="AK556" s="11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IF($H557="","",IFERROR(INDEX('CAT_ACTIVIDADES'!$B$4:$B$8,MATCH($H557,'CAT_ACTIVIDADES'!$A$4:$A$8,0)),"(sin catálogo)"))</f>
        <v/>
      </c>
      <c r="AA557" s="13">
        <f>IF($J557="","",TODAY()-$J557)</f>
        <v/>
      </c>
      <c r="AB557" s="13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IF($AE557="","",IF((IFERROR(INDEX('ASIGNACIONES'!$J$4:$J$451,MATCH($O557&amp;"|"&amp;$R557&amp;"|"&amp;$AE557,'ASIGNACIONES'!$N$4:$N$451,0)),""))=0,"",IFERROR(INDEX('ASIGNACIONES'!$J$4:$J$451,MATCH($O557&amp;"|"&amp;$R557&amp;"|"&amp;$AE557,'ASIGNACIONES'!$N$4:$N$451,0)),"")))</f>
        <v/>
      </c>
      <c r="AG557" s="14">
        <f>IF($AE557="","",SUMIFS('ORDENES'!$M$4:$M$1203,'ORDENES'!$AE$4:$AE$1203,$AE557,'ORDENES'!$O$4:$O$1203,$O557,'ORDENES'!$R$4:$R$1203,$R557))</f>
        <v/>
      </c>
      <c r="AH557" s="14">
        <f>IF($AG557="","",p_factor_productividad*IFERROR(INDEX('ASIGNACIONES'!$M$4:$M$451,MATCH($O557&amp;"|"&amp;$R557&amp;"|"&amp;$AE557,'ASIGNACIONES'!$N$4:$N$451,0)),0)-$AG557)</f>
        <v/>
      </c>
      <c r="AI557" s="11">
        <f>IF($A557="","",IFERROR(INDEX('2_IMPORTAR_EJECUCION'!$F$9:$F$1208,MATCH($AQ557,'2_IMPORTAR_EJECUCION'!$J$9:$J$1208,0)),0))</f>
        <v/>
      </c>
      <c r="AJ557" s="11">
        <f>IF($A557="","",MAX(0,IFERROR(INDEX('2_IMPORTAR_EJECUCION'!$H$9:$H$1208,MATCH($AQ557,'2_IMPORTAR_EJECUCION'!$J$9:$J$1208,0)),0)-$AI557))</f>
        <v/>
      </c>
      <c r="AK557" s="11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IF($H558="","",IFERROR(INDEX('CAT_ACTIVIDADES'!$B$4:$B$8,MATCH($H558,'CAT_ACTIVIDADES'!$A$4:$A$8,0)),"(sin catálogo)"))</f>
        <v/>
      </c>
      <c r="AA558" s="13">
        <f>IF($J558="","",TODAY()-$J558)</f>
        <v/>
      </c>
      <c r="AB558" s="13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IF($AE558="","",IF((IFERROR(INDEX('ASIGNACIONES'!$J$4:$J$451,MATCH($O558&amp;"|"&amp;$R558&amp;"|"&amp;$AE558,'ASIGNACIONES'!$N$4:$N$451,0)),""))=0,"",IFERROR(INDEX('ASIGNACIONES'!$J$4:$J$451,MATCH($O558&amp;"|"&amp;$R558&amp;"|"&amp;$AE558,'ASIGNACIONES'!$N$4:$N$451,0)),"")))</f>
        <v/>
      </c>
      <c r="AG558" s="14">
        <f>IF($AE558="","",SUMIFS('ORDENES'!$M$4:$M$1203,'ORDENES'!$AE$4:$AE$1203,$AE558,'ORDENES'!$O$4:$O$1203,$O558,'ORDENES'!$R$4:$R$1203,$R558))</f>
        <v/>
      </c>
      <c r="AH558" s="14">
        <f>IF($AG558="","",p_factor_productividad*IFERROR(INDEX('ASIGNACIONES'!$M$4:$M$451,MATCH($O558&amp;"|"&amp;$R558&amp;"|"&amp;$AE558,'ASIGNACIONES'!$N$4:$N$451,0)),0)-$AG558)</f>
        <v/>
      </c>
      <c r="AI558" s="11">
        <f>IF($A558="","",IFERROR(INDEX('2_IMPORTAR_EJECUCION'!$F$9:$F$1208,MATCH($AQ558,'2_IMPORTAR_EJECUCION'!$J$9:$J$1208,0)),0))</f>
        <v/>
      </c>
      <c r="AJ558" s="11">
        <f>IF($A558="","",MAX(0,IFERROR(INDEX('2_IMPORTAR_EJECUCION'!$H$9:$H$1208,MATCH($AQ558,'2_IMPORTAR_EJECUCION'!$J$9:$J$1208,0)),0)-$AI558))</f>
        <v/>
      </c>
      <c r="AK558" s="11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IF($H559="","",IFERROR(INDEX('CAT_ACTIVIDADES'!$B$4:$B$8,MATCH($H559,'CAT_ACTIVIDADES'!$A$4:$A$8,0)),"(sin catálogo)"))</f>
        <v/>
      </c>
      <c r="AA559" s="13">
        <f>IF($J559="","",TODAY()-$J559)</f>
        <v/>
      </c>
      <c r="AB559" s="13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IF($AE559="","",IF((IFERROR(INDEX('ASIGNACIONES'!$J$4:$J$451,MATCH($O559&amp;"|"&amp;$R559&amp;"|"&amp;$AE559,'ASIGNACIONES'!$N$4:$N$451,0)),""))=0,"",IFERROR(INDEX('ASIGNACIONES'!$J$4:$J$451,MATCH($O559&amp;"|"&amp;$R559&amp;"|"&amp;$AE559,'ASIGNACIONES'!$N$4:$N$451,0)),"")))</f>
        <v/>
      </c>
      <c r="AG559" s="14">
        <f>IF($AE559="","",SUMIFS('ORDENES'!$M$4:$M$1203,'ORDENES'!$AE$4:$AE$1203,$AE559,'ORDENES'!$O$4:$O$1203,$O559,'ORDENES'!$R$4:$R$1203,$R559))</f>
        <v/>
      </c>
      <c r="AH559" s="14">
        <f>IF($AG559="","",p_factor_productividad*IFERROR(INDEX('ASIGNACIONES'!$M$4:$M$451,MATCH($O559&amp;"|"&amp;$R559&amp;"|"&amp;$AE559,'ASIGNACIONES'!$N$4:$N$451,0)),0)-$AG559)</f>
        <v/>
      </c>
      <c r="AI559" s="11">
        <f>IF($A559="","",IFERROR(INDEX('2_IMPORTAR_EJECUCION'!$F$9:$F$1208,MATCH($AQ559,'2_IMPORTAR_EJECUCION'!$J$9:$J$1208,0)),0))</f>
        <v/>
      </c>
      <c r="AJ559" s="11">
        <f>IF($A559="","",MAX(0,IFERROR(INDEX('2_IMPORTAR_EJECUCION'!$H$9:$H$1208,MATCH($AQ559,'2_IMPORTAR_EJECUCION'!$J$9:$J$1208,0)),0)-$AI559))</f>
        <v/>
      </c>
      <c r="AK559" s="11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IF($H560="","",IFERROR(INDEX('CAT_ACTIVIDADES'!$B$4:$B$8,MATCH($H560,'CAT_ACTIVIDADES'!$A$4:$A$8,0)),"(sin catálogo)"))</f>
        <v/>
      </c>
      <c r="AA560" s="13">
        <f>IF($J560="","",TODAY()-$J560)</f>
        <v/>
      </c>
      <c r="AB560" s="13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IF($AE560="","",IF((IFERROR(INDEX('ASIGNACIONES'!$J$4:$J$451,MATCH($O560&amp;"|"&amp;$R560&amp;"|"&amp;$AE560,'ASIGNACIONES'!$N$4:$N$451,0)),""))=0,"",IFERROR(INDEX('ASIGNACIONES'!$J$4:$J$451,MATCH($O560&amp;"|"&amp;$R560&amp;"|"&amp;$AE560,'ASIGNACIONES'!$N$4:$N$451,0)),"")))</f>
        <v/>
      </c>
      <c r="AG560" s="14">
        <f>IF($AE560="","",SUMIFS('ORDENES'!$M$4:$M$1203,'ORDENES'!$AE$4:$AE$1203,$AE560,'ORDENES'!$O$4:$O$1203,$O560,'ORDENES'!$R$4:$R$1203,$R560))</f>
        <v/>
      </c>
      <c r="AH560" s="14">
        <f>IF($AG560="","",p_factor_productividad*IFERROR(INDEX('ASIGNACIONES'!$M$4:$M$451,MATCH($O560&amp;"|"&amp;$R560&amp;"|"&amp;$AE560,'ASIGNACIONES'!$N$4:$N$451,0)),0)-$AG560)</f>
        <v/>
      </c>
      <c r="AI560" s="11">
        <f>IF($A560="","",IFERROR(INDEX('2_IMPORTAR_EJECUCION'!$F$9:$F$1208,MATCH($AQ560,'2_IMPORTAR_EJECUCION'!$J$9:$J$1208,0)),0))</f>
        <v/>
      </c>
      <c r="AJ560" s="11">
        <f>IF($A560="","",MAX(0,IFERROR(INDEX('2_IMPORTAR_EJECUCION'!$H$9:$H$1208,MATCH($AQ560,'2_IMPORTAR_EJECUCION'!$J$9:$J$1208,0)),0)-$AI560))</f>
        <v/>
      </c>
      <c r="AK560" s="11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IF($H561="","",IFERROR(INDEX('CAT_ACTIVIDADES'!$B$4:$B$8,MATCH($H561,'CAT_ACTIVIDADES'!$A$4:$A$8,0)),"(sin catálogo)"))</f>
        <v/>
      </c>
      <c r="AA561" s="13">
        <f>IF($J561="","",TODAY()-$J561)</f>
        <v/>
      </c>
      <c r="AB561" s="13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IF($AE561="","",IF((IFERROR(INDEX('ASIGNACIONES'!$J$4:$J$451,MATCH($O561&amp;"|"&amp;$R561&amp;"|"&amp;$AE561,'ASIGNACIONES'!$N$4:$N$451,0)),""))=0,"",IFERROR(INDEX('ASIGNACIONES'!$J$4:$J$451,MATCH($O561&amp;"|"&amp;$R561&amp;"|"&amp;$AE561,'ASIGNACIONES'!$N$4:$N$451,0)),"")))</f>
        <v/>
      </c>
      <c r="AG561" s="14">
        <f>IF($AE561="","",SUMIFS('ORDENES'!$M$4:$M$1203,'ORDENES'!$AE$4:$AE$1203,$AE561,'ORDENES'!$O$4:$O$1203,$O561,'ORDENES'!$R$4:$R$1203,$R561))</f>
        <v/>
      </c>
      <c r="AH561" s="14">
        <f>IF($AG561="","",p_factor_productividad*IFERROR(INDEX('ASIGNACIONES'!$M$4:$M$451,MATCH($O561&amp;"|"&amp;$R561&amp;"|"&amp;$AE561,'ASIGNACIONES'!$N$4:$N$451,0)),0)-$AG561)</f>
        <v/>
      </c>
      <c r="AI561" s="11">
        <f>IF($A561="","",IFERROR(INDEX('2_IMPORTAR_EJECUCION'!$F$9:$F$1208,MATCH($AQ561,'2_IMPORTAR_EJECUCION'!$J$9:$J$1208,0)),0))</f>
        <v/>
      </c>
      <c r="AJ561" s="11">
        <f>IF($A561="","",MAX(0,IFERROR(INDEX('2_IMPORTAR_EJECUCION'!$H$9:$H$1208,MATCH($AQ561,'2_IMPORTAR_EJECUCION'!$J$9:$J$1208,0)),0)-$AI561))</f>
        <v/>
      </c>
      <c r="AK561" s="11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IF($H562="","",IFERROR(INDEX('CAT_ACTIVIDADES'!$B$4:$B$8,MATCH($H562,'CAT_ACTIVIDADES'!$A$4:$A$8,0)),"(sin catálogo)"))</f>
        <v/>
      </c>
      <c r="AA562" s="13">
        <f>IF($J562="","",TODAY()-$J562)</f>
        <v/>
      </c>
      <c r="AB562" s="13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IF($AE562="","",IF((IFERROR(INDEX('ASIGNACIONES'!$J$4:$J$451,MATCH($O562&amp;"|"&amp;$R562&amp;"|"&amp;$AE562,'ASIGNACIONES'!$N$4:$N$451,0)),""))=0,"",IFERROR(INDEX('ASIGNACIONES'!$J$4:$J$451,MATCH($O562&amp;"|"&amp;$R562&amp;"|"&amp;$AE562,'ASIGNACIONES'!$N$4:$N$451,0)),"")))</f>
        <v/>
      </c>
      <c r="AG562" s="14">
        <f>IF($AE562="","",SUMIFS('ORDENES'!$M$4:$M$1203,'ORDENES'!$AE$4:$AE$1203,$AE562,'ORDENES'!$O$4:$O$1203,$O562,'ORDENES'!$R$4:$R$1203,$R562))</f>
        <v/>
      </c>
      <c r="AH562" s="14">
        <f>IF($AG562="","",p_factor_productividad*IFERROR(INDEX('ASIGNACIONES'!$M$4:$M$451,MATCH($O562&amp;"|"&amp;$R562&amp;"|"&amp;$AE562,'ASIGNACIONES'!$N$4:$N$451,0)),0)-$AG562)</f>
        <v/>
      </c>
      <c r="AI562" s="11">
        <f>IF($A562="","",IFERROR(INDEX('2_IMPORTAR_EJECUCION'!$F$9:$F$1208,MATCH($AQ562,'2_IMPORTAR_EJECUCION'!$J$9:$J$1208,0)),0))</f>
        <v/>
      </c>
      <c r="AJ562" s="11">
        <f>IF($A562="","",MAX(0,IFERROR(INDEX('2_IMPORTAR_EJECUCION'!$H$9:$H$1208,MATCH($AQ562,'2_IMPORTAR_EJECUCION'!$J$9:$J$1208,0)),0)-$AI562))</f>
        <v/>
      </c>
      <c r="AK562" s="11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IF($H563="","",IFERROR(INDEX('CAT_ACTIVIDADES'!$B$4:$B$8,MATCH($H563,'CAT_ACTIVIDADES'!$A$4:$A$8,0)),"(sin catálogo)"))</f>
        <v/>
      </c>
      <c r="AA563" s="13">
        <f>IF($J563="","",TODAY()-$J563)</f>
        <v/>
      </c>
      <c r="AB563" s="13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IF($AE563="","",IF((IFERROR(INDEX('ASIGNACIONES'!$J$4:$J$451,MATCH($O563&amp;"|"&amp;$R563&amp;"|"&amp;$AE563,'ASIGNACIONES'!$N$4:$N$451,0)),""))=0,"",IFERROR(INDEX('ASIGNACIONES'!$J$4:$J$451,MATCH($O563&amp;"|"&amp;$R563&amp;"|"&amp;$AE563,'ASIGNACIONES'!$N$4:$N$451,0)),"")))</f>
        <v/>
      </c>
      <c r="AG563" s="14">
        <f>IF($AE563="","",SUMIFS('ORDENES'!$M$4:$M$1203,'ORDENES'!$AE$4:$AE$1203,$AE563,'ORDENES'!$O$4:$O$1203,$O563,'ORDENES'!$R$4:$R$1203,$R563))</f>
        <v/>
      </c>
      <c r="AH563" s="14">
        <f>IF($AG563="","",p_factor_productividad*IFERROR(INDEX('ASIGNACIONES'!$M$4:$M$451,MATCH($O563&amp;"|"&amp;$R563&amp;"|"&amp;$AE563,'ASIGNACIONES'!$N$4:$N$451,0)),0)-$AG563)</f>
        <v/>
      </c>
      <c r="AI563" s="11">
        <f>IF($A563="","",IFERROR(INDEX('2_IMPORTAR_EJECUCION'!$F$9:$F$1208,MATCH($AQ563,'2_IMPORTAR_EJECUCION'!$J$9:$J$1208,0)),0))</f>
        <v/>
      </c>
      <c r="AJ563" s="11">
        <f>IF($A563="","",MAX(0,IFERROR(INDEX('2_IMPORTAR_EJECUCION'!$H$9:$H$1208,MATCH($AQ563,'2_IMPORTAR_EJECUCION'!$J$9:$J$1208,0)),0)-$AI563))</f>
        <v/>
      </c>
      <c r="AK563" s="11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IF($H564="","",IFERROR(INDEX('CAT_ACTIVIDADES'!$B$4:$B$8,MATCH($H564,'CAT_ACTIVIDADES'!$A$4:$A$8,0)),"(sin catálogo)"))</f>
        <v/>
      </c>
      <c r="AA564" s="13">
        <f>IF($J564="","",TODAY()-$J564)</f>
        <v/>
      </c>
      <c r="AB564" s="13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IF($AE564="","",IF((IFERROR(INDEX('ASIGNACIONES'!$J$4:$J$451,MATCH($O564&amp;"|"&amp;$R564&amp;"|"&amp;$AE564,'ASIGNACIONES'!$N$4:$N$451,0)),""))=0,"",IFERROR(INDEX('ASIGNACIONES'!$J$4:$J$451,MATCH($O564&amp;"|"&amp;$R564&amp;"|"&amp;$AE564,'ASIGNACIONES'!$N$4:$N$451,0)),"")))</f>
        <v/>
      </c>
      <c r="AG564" s="14">
        <f>IF($AE564="","",SUMIFS('ORDENES'!$M$4:$M$1203,'ORDENES'!$AE$4:$AE$1203,$AE564,'ORDENES'!$O$4:$O$1203,$O564,'ORDENES'!$R$4:$R$1203,$R564))</f>
        <v/>
      </c>
      <c r="AH564" s="14">
        <f>IF($AG564="","",p_factor_productividad*IFERROR(INDEX('ASIGNACIONES'!$M$4:$M$451,MATCH($O564&amp;"|"&amp;$R564&amp;"|"&amp;$AE564,'ASIGNACIONES'!$N$4:$N$451,0)),0)-$AG564)</f>
        <v/>
      </c>
      <c r="AI564" s="11">
        <f>IF($A564="","",IFERROR(INDEX('2_IMPORTAR_EJECUCION'!$F$9:$F$1208,MATCH($AQ564,'2_IMPORTAR_EJECUCION'!$J$9:$J$1208,0)),0))</f>
        <v/>
      </c>
      <c r="AJ564" s="11">
        <f>IF($A564="","",MAX(0,IFERROR(INDEX('2_IMPORTAR_EJECUCION'!$H$9:$H$1208,MATCH($AQ564,'2_IMPORTAR_EJECUCION'!$J$9:$J$1208,0)),0)-$AI564))</f>
        <v/>
      </c>
      <c r="AK564" s="11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IF($H565="","",IFERROR(INDEX('CAT_ACTIVIDADES'!$B$4:$B$8,MATCH($H565,'CAT_ACTIVIDADES'!$A$4:$A$8,0)),"(sin catálogo)"))</f>
        <v/>
      </c>
      <c r="AA565" s="13">
        <f>IF($J565="","",TODAY()-$J565)</f>
        <v/>
      </c>
      <c r="AB565" s="13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IF($AE565="","",IF((IFERROR(INDEX('ASIGNACIONES'!$J$4:$J$451,MATCH($O565&amp;"|"&amp;$R565&amp;"|"&amp;$AE565,'ASIGNACIONES'!$N$4:$N$451,0)),""))=0,"",IFERROR(INDEX('ASIGNACIONES'!$J$4:$J$451,MATCH($O565&amp;"|"&amp;$R565&amp;"|"&amp;$AE565,'ASIGNACIONES'!$N$4:$N$451,0)),"")))</f>
        <v/>
      </c>
      <c r="AG565" s="14">
        <f>IF($AE565="","",SUMIFS('ORDENES'!$M$4:$M$1203,'ORDENES'!$AE$4:$AE$1203,$AE565,'ORDENES'!$O$4:$O$1203,$O565,'ORDENES'!$R$4:$R$1203,$R565))</f>
        <v/>
      </c>
      <c r="AH565" s="14">
        <f>IF($AG565="","",p_factor_productividad*IFERROR(INDEX('ASIGNACIONES'!$M$4:$M$451,MATCH($O565&amp;"|"&amp;$R565&amp;"|"&amp;$AE565,'ASIGNACIONES'!$N$4:$N$451,0)),0)-$AG565)</f>
        <v/>
      </c>
      <c r="AI565" s="11">
        <f>IF($A565="","",IFERROR(INDEX('2_IMPORTAR_EJECUCION'!$F$9:$F$1208,MATCH($AQ565,'2_IMPORTAR_EJECUCION'!$J$9:$J$1208,0)),0))</f>
        <v/>
      </c>
      <c r="AJ565" s="11">
        <f>IF($A565="","",MAX(0,IFERROR(INDEX('2_IMPORTAR_EJECUCION'!$H$9:$H$1208,MATCH($AQ565,'2_IMPORTAR_EJECUCION'!$J$9:$J$1208,0)),0)-$AI565))</f>
        <v/>
      </c>
      <c r="AK565" s="11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IF($H566="","",IFERROR(INDEX('CAT_ACTIVIDADES'!$B$4:$B$8,MATCH($H566,'CAT_ACTIVIDADES'!$A$4:$A$8,0)),"(sin catálogo)"))</f>
        <v/>
      </c>
      <c r="AA566" s="13">
        <f>IF($J566="","",TODAY()-$J566)</f>
        <v/>
      </c>
      <c r="AB566" s="13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IF($AE566="","",IF((IFERROR(INDEX('ASIGNACIONES'!$J$4:$J$451,MATCH($O566&amp;"|"&amp;$R566&amp;"|"&amp;$AE566,'ASIGNACIONES'!$N$4:$N$451,0)),""))=0,"",IFERROR(INDEX('ASIGNACIONES'!$J$4:$J$451,MATCH($O566&amp;"|"&amp;$R566&amp;"|"&amp;$AE566,'ASIGNACIONES'!$N$4:$N$451,0)),"")))</f>
        <v/>
      </c>
      <c r="AG566" s="14">
        <f>IF($AE566="","",SUMIFS('ORDENES'!$M$4:$M$1203,'ORDENES'!$AE$4:$AE$1203,$AE566,'ORDENES'!$O$4:$O$1203,$O566,'ORDENES'!$R$4:$R$1203,$R566))</f>
        <v/>
      </c>
      <c r="AH566" s="14">
        <f>IF($AG566="","",p_factor_productividad*IFERROR(INDEX('ASIGNACIONES'!$M$4:$M$451,MATCH($O566&amp;"|"&amp;$R566&amp;"|"&amp;$AE566,'ASIGNACIONES'!$N$4:$N$451,0)),0)-$AG566)</f>
        <v/>
      </c>
      <c r="AI566" s="11">
        <f>IF($A566="","",IFERROR(INDEX('2_IMPORTAR_EJECUCION'!$F$9:$F$1208,MATCH($AQ566,'2_IMPORTAR_EJECUCION'!$J$9:$J$1208,0)),0))</f>
        <v/>
      </c>
      <c r="AJ566" s="11">
        <f>IF($A566="","",MAX(0,IFERROR(INDEX('2_IMPORTAR_EJECUCION'!$H$9:$H$1208,MATCH($AQ566,'2_IMPORTAR_EJECUCION'!$J$9:$J$1208,0)),0)-$AI566))</f>
        <v/>
      </c>
      <c r="AK566" s="11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IF($H567="","",IFERROR(INDEX('CAT_ACTIVIDADES'!$B$4:$B$8,MATCH($H567,'CAT_ACTIVIDADES'!$A$4:$A$8,0)),"(sin catálogo)"))</f>
        <v/>
      </c>
      <c r="AA567" s="13">
        <f>IF($J567="","",TODAY()-$J567)</f>
        <v/>
      </c>
      <c r="AB567" s="13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IF($AE567="","",IF((IFERROR(INDEX('ASIGNACIONES'!$J$4:$J$451,MATCH($O567&amp;"|"&amp;$R567&amp;"|"&amp;$AE567,'ASIGNACIONES'!$N$4:$N$451,0)),""))=0,"",IFERROR(INDEX('ASIGNACIONES'!$J$4:$J$451,MATCH($O567&amp;"|"&amp;$R567&amp;"|"&amp;$AE567,'ASIGNACIONES'!$N$4:$N$451,0)),"")))</f>
        <v/>
      </c>
      <c r="AG567" s="14">
        <f>IF($AE567="","",SUMIFS('ORDENES'!$M$4:$M$1203,'ORDENES'!$AE$4:$AE$1203,$AE567,'ORDENES'!$O$4:$O$1203,$O567,'ORDENES'!$R$4:$R$1203,$R567))</f>
        <v/>
      </c>
      <c r="AH567" s="14">
        <f>IF($AG567="","",p_factor_productividad*IFERROR(INDEX('ASIGNACIONES'!$M$4:$M$451,MATCH($O567&amp;"|"&amp;$R567&amp;"|"&amp;$AE567,'ASIGNACIONES'!$N$4:$N$451,0)),0)-$AG567)</f>
        <v/>
      </c>
      <c r="AI567" s="11">
        <f>IF($A567="","",IFERROR(INDEX('2_IMPORTAR_EJECUCION'!$F$9:$F$1208,MATCH($AQ567,'2_IMPORTAR_EJECUCION'!$J$9:$J$1208,0)),0))</f>
        <v/>
      </c>
      <c r="AJ567" s="11">
        <f>IF($A567="","",MAX(0,IFERROR(INDEX('2_IMPORTAR_EJECUCION'!$H$9:$H$1208,MATCH($AQ567,'2_IMPORTAR_EJECUCION'!$J$9:$J$1208,0)),0)-$AI567))</f>
        <v/>
      </c>
      <c r="AK567" s="11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IF($H568="","",IFERROR(INDEX('CAT_ACTIVIDADES'!$B$4:$B$8,MATCH($H568,'CAT_ACTIVIDADES'!$A$4:$A$8,0)),"(sin catálogo)"))</f>
        <v/>
      </c>
      <c r="AA568" s="13">
        <f>IF($J568="","",TODAY()-$J568)</f>
        <v/>
      </c>
      <c r="AB568" s="13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IF($AE568="","",IF((IFERROR(INDEX('ASIGNACIONES'!$J$4:$J$451,MATCH($O568&amp;"|"&amp;$R568&amp;"|"&amp;$AE568,'ASIGNACIONES'!$N$4:$N$451,0)),""))=0,"",IFERROR(INDEX('ASIGNACIONES'!$J$4:$J$451,MATCH($O568&amp;"|"&amp;$R568&amp;"|"&amp;$AE568,'ASIGNACIONES'!$N$4:$N$451,0)),"")))</f>
        <v/>
      </c>
      <c r="AG568" s="14">
        <f>IF($AE568="","",SUMIFS('ORDENES'!$M$4:$M$1203,'ORDENES'!$AE$4:$AE$1203,$AE568,'ORDENES'!$O$4:$O$1203,$O568,'ORDENES'!$R$4:$R$1203,$R568))</f>
        <v/>
      </c>
      <c r="AH568" s="14">
        <f>IF($AG568="","",p_factor_productividad*IFERROR(INDEX('ASIGNACIONES'!$M$4:$M$451,MATCH($O568&amp;"|"&amp;$R568&amp;"|"&amp;$AE568,'ASIGNACIONES'!$N$4:$N$451,0)),0)-$AG568)</f>
        <v/>
      </c>
      <c r="AI568" s="11">
        <f>IF($A568="","",IFERROR(INDEX('2_IMPORTAR_EJECUCION'!$F$9:$F$1208,MATCH($AQ568,'2_IMPORTAR_EJECUCION'!$J$9:$J$1208,0)),0))</f>
        <v/>
      </c>
      <c r="AJ568" s="11">
        <f>IF($A568="","",MAX(0,IFERROR(INDEX('2_IMPORTAR_EJECUCION'!$H$9:$H$1208,MATCH($AQ568,'2_IMPORTAR_EJECUCION'!$J$9:$J$1208,0)),0)-$AI568))</f>
        <v/>
      </c>
      <c r="AK568" s="11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IF($H569="","",IFERROR(INDEX('CAT_ACTIVIDADES'!$B$4:$B$8,MATCH($H569,'CAT_ACTIVIDADES'!$A$4:$A$8,0)),"(sin catálogo)"))</f>
        <v/>
      </c>
      <c r="AA569" s="13">
        <f>IF($J569="","",TODAY()-$J569)</f>
        <v/>
      </c>
      <c r="AB569" s="13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IF($AE569="","",IF((IFERROR(INDEX('ASIGNACIONES'!$J$4:$J$451,MATCH($O569&amp;"|"&amp;$R569&amp;"|"&amp;$AE569,'ASIGNACIONES'!$N$4:$N$451,0)),""))=0,"",IFERROR(INDEX('ASIGNACIONES'!$J$4:$J$451,MATCH($O569&amp;"|"&amp;$R569&amp;"|"&amp;$AE569,'ASIGNACIONES'!$N$4:$N$451,0)),"")))</f>
        <v/>
      </c>
      <c r="AG569" s="14">
        <f>IF($AE569="","",SUMIFS('ORDENES'!$M$4:$M$1203,'ORDENES'!$AE$4:$AE$1203,$AE569,'ORDENES'!$O$4:$O$1203,$O569,'ORDENES'!$R$4:$R$1203,$R569))</f>
        <v/>
      </c>
      <c r="AH569" s="14">
        <f>IF($AG569="","",p_factor_productividad*IFERROR(INDEX('ASIGNACIONES'!$M$4:$M$451,MATCH($O569&amp;"|"&amp;$R569&amp;"|"&amp;$AE569,'ASIGNACIONES'!$N$4:$N$451,0)),0)-$AG569)</f>
        <v/>
      </c>
      <c r="AI569" s="11">
        <f>IF($A569="","",IFERROR(INDEX('2_IMPORTAR_EJECUCION'!$F$9:$F$1208,MATCH($AQ569,'2_IMPORTAR_EJECUCION'!$J$9:$J$1208,0)),0))</f>
        <v/>
      </c>
      <c r="AJ569" s="11">
        <f>IF($A569="","",MAX(0,IFERROR(INDEX('2_IMPORTAR_EJECUCION'!$H$9:$H$1208,MATCH($AQ569,'2_IMPORTAR_EJECUCION'!$J$9:$J$1208,0)),0)-$AI569))</f>
        <v/>
      </c>
      <c r="AK569" s="11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IF($H570="","",IFERROR(INDEX('CAT_ACTIVIDADES'!$B$4:$B$8,MATCH($H570,'CAT_ACTIVIDADES'!$A$4:$A$8,0)),"(sin catálogo)"))</f>
        <v/>
      </c>
      <c r="AA570" s="13">
        <f>IF($J570="","",TODAY()-$J570)</f>
        <v/>
      </c>
      <c r="AB570" s="13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IF($AE570="","",IF((IFERROR(INDEX('ASIGNACIONES'!$J$4:$J$451,MATCH($O570&amp;"|"&amp;$R570&amp;"|"&amp;$AE570,'ASIGNACIONES'!$N$4:$N$451,0)),""))=0,"",IFERROR(INDEX('ASIGNACIONES'!$J$4:$J$451,MATCH($O570&amp;"|"&amp;$R570&amp;"|"&amp;$AE570,'ASIGNACIONES'!$N$4:$N$451,0)),"")))</f>
        <v/>
      </c>
      <c r="AG570" s="14">
        <f>IF($AE570="","",SUMIFS('ORDENES'!$M$4:$M$1203,'ORDENES'!$AE$4:$AE$1203,$AE570,'ORDENES'!$O$4:$O$1203,$O570,'ORDENES'!$R$4:$R$1203,$R570))</f>
        <v/>
      </c>
      <c r="AH570" s="14">
        <f>IF($AG570="","",p_factor_productividad*IFERROR(INDEX('ASIGNACIONES'!$M$4:$M$451,MATCH($O570&amp;"|"&amp;$R570&amp;"|"&amp;$AE570,'ASIGNACIONES'!$N$4:$N$451,0)),0)-$AG570)</f>
        <v/>
      </c>
      <c r="AI570" s="11">
        <f>IF($A570="","",IFERROR(INDEX('2_IMPORTAR_EJECUCION'!$F$9:$F$1208,MATCH($AQ570,'2_IMPORTAR_EJECUCION'!$J$9:$J$1208,0)),0))</f>
        <v/>
      </c>
      <c r="AJ570" s="11">
        <f>IF($A570="","",MAX(0,IFERROR(INDEX('2_IMPORTAR_EJECUCION'!$H$9:$H$1208,MATCH($AQ570,'2_IMPORTAR_EJECUCION'!$J$9:$J$1208,0)),0)-$AI570))</f>
        <v/>
      </c>
      <c r="AK570" s="11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IF($H571="","",IFERROR(INDEX('CAT_ACTIVIDADES'!$B$4:$B$8,MATCH($H571,'CAT_ACTIVIDADES'!$A$4:$A$8,0)),"(sin catálogo)"))</f>
        <v/>
      </c>
      <c r="AA571" s="13">
        <f>IF($J571="","",TODAY()-$J571)</f>
        <v/>
      </c>
      <c r="AB571" s="13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IF($AE571="","",IF((IFERROR(INDEX('ASIGNACIONES'!$J$4:$J$451,MATCH($O571&amp;"|"&amp;$R571&amp;"|"&amp;$AE571,'ASIGNACIONES'!$N$4:$N$451,0)),""))=0,"",IFERROR(INDEX('ASIGNACIONES'!$J$4:$J$451,MATCH($O571&amp;"|"&amp;$R571&amp;"|"&amp;$AE571,'ASIGNACIONES'!$N$4:$N$451,0)),"")))</f>
        <v/>
      </c>
      <c r="AG571" s="14">
        <f>IF($AE571="","",SUMIFS('ORDENES'!$M$4:$M$1203,'ORDENES'!$AE$4:$AE$1203,$AE571,'ORDENES'!$O$4:$O$1203,$O571,'ORDENES'!$R$4:$R$1203,$R571))</f>
        <v/>
      </c>
      <c r="AH571" s="14">
        <f>IF($AG571="","",p_factor_productividad*IFERROR(INDEX('ASIGNACIONES'!$M$4:$M$451,MATCH($O571&amp;"|"&amp;$R571&amp;"|"&amp;$AE571,'ASIGNACIONES'!$N$4:$N$451,0)),0)-$AG571)</f>
        <v/>
      </c>
      <c r="AI571" s="11">
        <f>IF($A571="","",IFERROR(INDEX('2_IMPORTAR_EJECUCION'!$F$9:$F$1208,MATCH($AQ571,'2_IMPORTAR_EJECUCION'!$J$9:$J$1208,0)),0))</f>
        <v/>
      </c>
      <c r="AJ571" s="11">
        <f>IF($A571="","",MAX(0,IFERROR(INDEX('2_IMPORTAR_EJECUCION'!$H$9:$H$1208,MATCH($AQ571,'2_IMPORTAR_EJECUCION'!$J$9:$J$1208,0)),0)-$AI571))</f>
        <v/>
      </c>
      <c r="AK571" s="11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IF($H572="","",IFERROR(INDEX('CAT_ACTIVIDADES'!$B$4:$B$8,MATCH($H572,'CAT_ACTIVIDADES'!$A$4:$A$8,0)),"(sin catálogo)"))</f>
        <v/>
      </c>
      <c r="AA572" s="13">
        <f>IF($J572="","",TODAY()-$J572)</f>
        <v/>
      </c>
      <c r="AB572" s="13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IF($AE572="","",IF((IFERROR(INDEX('ASIGNACIONES'!$J$4:$J$451,MATCH($O572&amp;"|"&amp;$R572&amp;"|"&amp;$AE572,'ASIGNACIONES'!$N$4:$N$451,0)),""))=0,"",IFERROR(INDEX('ASIGNACIONES'!$J$4:$J$451,MATCH($O572&amp;"|"&amp;$R572&amp;"|"&amp;$AE572,'ASIGNACIONES'!$N$4:$N$451,0)),"")))</f>
        <v/>
      </c>
      <c r="AG572" s="14">
        <f>IF($AE572="","",SUMIFS('ORDENES'!$M$4:$M$1203,'ORDENES'!$AE$4:$AE$1203,$AE572,'ORDENES'!$O$4:$O$1203,$O572,'ORDENES'!$R$4:$R$1203,$R572))</f>
        <v/>
      </c>
      <c r="AH572" s="14">
        <f>IF($AG572="","",p_factor_productividad*IFERROR(INDEX('ASIGNACIONES'!$M$4:$M$451,MATCH($O572&amp;"|"&amp;$R572&amp;"|"&amp;$AE572,'ASIGNACIONES'!$N$4:$N$451,0)),0)-$AG572)</f>
        <v/>
      </c>
      <c r="AI572" s="11">
        <f>IF($A572="","",IFERROR(INDEX('2_IMPORTAR_EJECUCION'!$F$9:$F$1208,MATCH($AQ572,'2_IMPORTAR_EJECUCION'!$J$9:$J$1208,0)),0))</f>
        <v/>
      </c>
      <c r="AJ572" s="11">
        <f>IF($A572="","",MAX(0,IFERROR(INDEX('2_IMPORTAR_EJECUCION'!$H$9:$H$1208,MATCH($AQ572,'2_IMPORTAR_EJECUCION'!$J$9:$J$1208,0)),0)-$AI572))</f>
        <v/>
      </c>
      <c r="AK572" s="11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IF($H573="","",IFERROR(INDEX('CAT_ACTIVIDADES'!$B$4:$B$8,MATCH($H573,'CAT_ACTIVIDADES'!$A$4:$A$8,0)),"(sin catálogo)"))</f>
        <v/>
      </c>
      <c r="AA573" s="13">
        <f>IF($J573="","",TODAY()-$J573)</f>
        <v/>
      </c>
      <c r="AB573" s="13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IF($AE573="","",IF((IFERROR(INDEX('ASIGNACIONES'!$J$4:$J$451,MATCH($O573&amp;"|"&amp;$R573&amp;"|"&amp;$AE573,'ASIGNACIONES'!$N$4:$N$451,0)),""))=0,"",IFERROR(INDEX('ASIGNACIONES'!$J$4:$J$451,MATCH($O573&amp;"|"&amp;$R573&amp;"|"&amp;$AE573,'ASIGNACIONES'!$N$4:$N$451,0)),"")))</f>
        <v/>
      </c>
      <c r="AG573" s="14">
        <f>IF($AE573="","",SUMIFS('ORDENES'!$M$4:$M$1203,'ORDENES'!$AE$4:$AE$1203,$AE573,'ORDENES'!$O$4:$O$1203,$O573,'ORDENES'!$R$4:$R$1203,$R573))</f>
        <v/>
      </c>
      <c r="AH573" s="14">
        <f>IF($AG573="","",p_factor_productividad*IFERROR(INDEX('ASIGNACIONES'!$M$4:$M$451,MATCH($O573&amp;"|"&amp;$R573&amp;"|"&amp;$AE573,'ASIGNACIONES'!$N$4:$N$451,0)),0)-$AG573)</f>
        <v/>
      </c>
      <c r="AI573" s="11">
        <f>IF($A573="","",IFERROR(INDEX('2_IMPORTAR_EJECUCION'!$F$9:$F$1208,MATCH($AQ573,'2_IMPORTAR_EJECUCION'!$J$9:$J$1208,0)),0))</f>
        <v/>
      </c>
      <c r="AJ573" s="11">
        <f>IF($A573="","",MAX(0,IFERROR(INDEX('2_IMPORTAR_EJECUCION'!$H$9:$H$1208,MATCH($AQ573,'2_IMPORTAR_EJECUCION'!$J$9:$J$1208,0)),0)-$AI573))</f>
        <v/>
      </c>
      <c r="AK573" s="11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IF($H574="","",IFERROR(INDEX('CAT_ACTIVIDADES'!$B$4:$B$8,MATCH($H574,'CAT_ACTIVIDADES'!$A$4:$A$8,0)),"(sin catálogo)"))</f>
        <v/>
      </c>
      <c r="AA574" s="13">
        <f>IF($J574="","",TODAY()-$J574)</f>
        <v/>
      </c>
      <c r="AB574" s="13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IF($AE574="","",IF((IFERROR(INDEX('ASIGNACIONES'!$J$4:$J$451,MATCH($O574&amp;"|"&amp;$R574&amp;"|"&amp;$AE574,'ASIGNACIONES'!$N$4:$N$451,0)),""))=0,"",IFERROR(INDEX('ASIGNACIONES'!$J$4:$J$451,MATCH($O574&amp;"|"&amp;$R574&amp;"|"&amp;$AE574,'ASIGNACIONES'!$N$4:$N$451,0)),"")))</f>
        <v/>
      </c>
      <c r="AG574" s="14">
        <f>IF($AE574="","",SUMIFS('ORDENES'!$M$4:$M$1203,'ORDENES'!$AE$4:$AE$1203,$AE574,'ORDENES'!$O$4:$O$1203,$O574,'ORDENES'!$R$4:$R$1203,$R574))</f>
        <v/>
      </c>
      <c r="AH574" s="14">
        <f>IF($AG574="","",p_factor_productividad*IFERROR(INDEX('ASIGNACIONES'!$M$4:$M$451,MATCH($O574&amp;"|"&amp;$R574&amp;"|"&amp;$AE574,'ASIGNACIONES'!$N$4:$N$451,0)),0)-$AG574)</f>
        <v/>
      </c>
      <c r="AI574" s="11">
        <f>IF($A574="","",IFERROR(INDEX('2_IMPORTAR_EJECUCION'!$F$9:$F$1208,MATCH($AQ574,'2_IMPORTAR_EJECUCION'!$J$9:$J$1208,0)),0))</f>
        <v/>
      </c>
      <c r="AJ574" s="11">
        <f>IF($A574="","",MAX(0,IFERROR(INDEX('2_IMPORTAR_EJECUCION'!$H$9:$H$1208,MATCH($AQ574,'2_IMPORTAR_EJECUCION'!$J$9:$J$1208,0)),0)-$AI574))</f>
        <v/>
      </c>
      <c r="AK574" s="11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IF($H575="","",IFERROR(INDEX('CAT_ACTIVIDADES'!$B$4:$B$8,MATCH($H575,'CAT_ACTIVIDADES'!$A$4:$A$8,0)),"(sin catálogo)"))</f>
        <v/>
      </c>
      <c r="AA575" s="13">
        <f>IF($J575="","",TODAY()-$J575)</f>
        <v/>
      </c>
      <c r="AB575" s="13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IF($AE575="","",IF((IFERROR(INDEX('ASIGNACIONES'!$J$4:$J$451,MATCH($O575&amp;"|"&amp;$R575&amp;"|"&amp;$AE575,'ASIGNACIONES'!$N$4:$N$451,0)),""))=0,"",IFERROR(INDEX('ASIGNACIONES'!$J$4:$J$451,MATCH($O575&amp;"|"&amp;$R575&amp;"|"&amp;$AE575,'ASIGNACIONES'!$N$4:$N$451,0)),"")))</f>
        <v/>
      </c>
      <c r="AG575" s="14">
        <f>IF($AE575="","",SUMIFS('ORDENES'!$M$4:$M$1203,'ORDENES'!$AE$4:$AE$1203,$AE575,'ORDENES'!$O$4:$O$1203,$O575,'ORDENES'!$R$4:$R$1203,$R575))</f>
        <v/>
      </c>
      <c r="AH575" s="14">
        <f>IF($AG575="","",p_factor_productividad*IFERROR(INDEX('ASIGNACIONES'!$M$4:$M$451,MATCH($O575&amp;"|"&amp;$R575&amp;"|"&amp;$AE575,'ASIGNACIONES'!$N$4:$N$451,0)),0)-$AG575)</f>
        <v/>
      </c>
      <c r="AI575" s="11">
        <f>IF($A575="","",IFERROR(INDEX('2_IMPORTAR_EJECUCION'!$F$9:$F$1208,MATCH($AQ575,'2_IMPORTAR_EJECUCION'!$J$9:$J$1208,0)),0))</f>
        <v/>
      </c>
      <c r="AJ575" s="11">
        <f>IF($A575="","",MAX(0,IFERROR(INDEX('2_IMPORTAR_EJECUCION'!$H$9:$H$1208,MATCH($AQ575,'2_IMPORTAR_EJECUCION'!$J$9:$J$1208,0)),0)-$AI575))</f>
        <v/>
      </c>
      <c r="AK575" s="11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IF($H576="","",IFERROR(INDEX('CAT_ACTIVIDADES'!$B$4:$B$8,MATCH($H576,'CAT_ACTIVIDADES'!$A$4:$A$8,0)),"(sin catálogo)"))</f>
        <v/>
      </c>
      <c r="AA576" s="13">
        <f>IF($J576="","",TODAY()-$J576)</f>
        <v/>
      </c>
      <c r="AB576" s="13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IF($AE576="","",IF((IFERROR(INDEX('ASIGNACIONES'!$J$4:$J$451,MATCH($O576&amp;"|"&amp;$R576&amp;"|"&amp;$AE576,'ASIGNACIONES'!$N$4:$N$451,0)),""))=0,"",IFERROR(INDEX('ASIGNACIONES'!$J$4:$J$451,MATCH($O576&amp;"|"&amp;$R576&amp;"|"&amp;$AE576,'ASIGNACIONES'!$N$4:$N$451,0)),"")))</f>
        <v/>
      </c>
      <c r="AG576" s="14">
        <f>IF($AE576="","",SUMIFS('ORDENES'!$M$4:$M$1203,'ORDENES'!$AE$4:$AE$1203,$AE576,'ORDENES'!$O$4:$O$1203,$O576,'ORDENES'!$R$4:$R$1203,$R576))</f>
        <v/>
      </c>
      <c r="AH576" s="14">
        <f>IF($AG576="","",p_factor_productividad*IFERROR(INDEX('ASIGNACIONES'!$M$4:$M$451,MATCH($O576&amp;"|"&amp;$R576&amp;"|"&amp;$AE576,'ASIGNACIONES'!$N$4:$N$451,0)),0)-$AG576)</f>
        <v/>
      </c>
      <c r="AI576" s="11">
        <f>IF($A576="","",IFERROR(INDEX('2_IMPORTAR_EJECUCION'!$F$9:$F$1208,MATCH($AQ576,'2_IMPORTAR_EJECUCION'!$J$9:$J$1208,0)),0))</f>
        <v/>
      </c>
      <c r="AJ576" s="11">
        <f>IF($A576="","",MAX(0,IFERROR(INDEX('2_IMPORTAR_EJECUCION'!$H$9:$H$1208,MATCH($AQ576,'2_IMPORTAR_EJECUCION'!$J$9:$J$1208,0)),0)-$AI576))</f>
        <v/>
      </c>
      <c r="AK576" s="11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IF($H577="","",IFERROR(INDEX('CAT_ACTIVIDADES'!$B$4:$B$8,MATCH($H577,'CAT_ACTIVIDADES'!$A$4:$A$8,0)),"(sin catálogo)"))</f>
        <v/>
      </c>
      <c r="AA577" s="13">
        <f>IF($J577="","",TODAY()-$J577)</f>
        <v/>
      </c>
      <c r="AB577" s="13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IF($AE577="","",IF((IFERROR(INDEX('ASIGNACIONES'!$J$4:$J$451,MATCH($O577&amp;"|"&amp;$R577&amp;"|"&amp;$AE577,'ASIGNACIONES'!$N$4:$N$451,0)),""))=0,"",IFERROR(INDEX('ASIGNACIONES'!$J$4:$J$451,MATCH($O577&amp;"|"&amp;$R577&amp;"|"&amp;$AE577,'ASIGNACIONES'!$N$4:$N$451,0)),"")))</f>
        <v/>
      </c>
      <c r="AG577" s="14">
        <f>IF($AE577="","",SUMIFS('ORDENES'!$M$4:$M$1203,'ORDENES'!$AE$4:$AE$1203,$AE577,'ORDENES'!$O$4:$O$1203,$O577,'ORDENES'!$R$4:$R$1203,$R577))</f>
        <v/>
      </c>
      <c r="AH577" s="14">
        <f>IF($AG577="","",p_factor_productividad*IFERROR(INDEX('ASIGNACIONES'!$M$4:$M$451,MATCH($O577&amp;"|"&amp;$R577&amp;"|"&amp;$AE577,'ASIGNACIONES'!$N$4:$N$451,0)),0)-$AG577)</f>
        <v/>
      </c>
      <c r="AI577" s="11">
        <f>IF($A577="","",IFERROR(INDEX('2_IMPORTAR_EJECUCION'!$F$9:$F$1208,MATCH($AQ577,'2_IMPORTAR_EJECUCION'!$J$9:$J$1208,0)),0))</f>
        <v/>
      </c>
      <c r="AJ577" s="11">
        <f>IF($A577="","",MAX(0,IFERROR(INDEX('2_IMPORTAR_EJECUCION'!$H$9:$H$1208,MATCH($AQ577,'2_IMPORTAR_EJECUCION'!$J$9:$J$1208,0)),0)-$AI577))</f>
        <v/>
      </c>
      <c r="AK577" s="11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IF($H578="","",IFERROR(INDEX('CAT_ACTIVIDADES'!$B$4:$B$8,MATCH($H578,'CAT_ACTIVIDADES'!$A$4:$A$8,0)),"(sin catálogo)"))</f>
        <v/>
      </c>
      <c r="AA578" s="13">
        <f>IF($J578="","",TODAY()-$J578)</f>
        <v/>
      </c>
      <c r="AB578" s="13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IF($AE578="","",IF((IFERROR(INDEX('ASIGNACIONES'!$J$4:$J$451,MATCH($O578&amp;"|"&amp;$R578&amp;"|"&amp;$AE578,'ASIGNACIONES'!$N$4:$N$451,0)),""))=0,"",IFERROR(INDEX('ASIGNACIONES'!$J$4:$J$451,MATCH($O578&amp;"|"&amp;$R578&amp;"|"&amp;$AE578,'ASIGNACIONES'!$N$4:$N$451,0)),"")))</f>
        <v/>
      </c>
      <c r="AG578" s="14">
        <f>IF($AE578="","",SUMIFS('ORDENES'!$M$4:$M$1203,'ORDENES'!$AE$4:$AE$1203,$AE578,'ORDENES'!$O$4:$O$1203,$O578,'ORDENES'!$R$4:$R$1203,$R578))</f>
        <v/>
      </c>
      <c r="AH578" s="14">
        <f>IF($AG578="","",p_factor_productividad*IFERROR(INDEX('ASIGNACIONES'!$M$4:$M$451,MATCH($O578&amp;"|"&amp;$R578&amp;"|"&amp;$AE578,'ASIGNACIONES'!$N$4:$N$451,0)),0)-$AG578)</f>
        <v/>
      </c>
      <c r="AI578" s="11">
        <f>IF($A578="","",IFERROR(INDEX('2_IMPORTAR_EJECUCION'!$F$9:$F$1208,MATCH($AQ578,'2_IMPORTAR_EJECUCION'!$J$9:$J$1208,0)),0))</f>
        <v/>
      </c>
      <c r="AJ578" s="11">
        <f>IF($A578="","",MAX(0,IFERROR(INDEX('2_IMPORTAR_EJECUCION'!$H$9:$H$1208,MATCH($AQ578,'2_IMPORTAR_EJECUCION'!$J$9:$J$1208,0)),0)-$AI578))</f>
        <v/>
      </c>
      <c r="AK578" s="11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IF($H579="","",IFERROR(INDEX('CAT_ACTIVIDADES'!$B$4:$B$8,MATCH($H579,'CAT_ACTIVIDADES'!$A$4:$A$8,0)),"(sin catálogo)"))</f>
        <v/>
      </c>
      <c r="AA579" s="13">
        <f>IF($J579="","",TODAY()-$J579)</f>
        <v/>
      </c>
      <c r="AB579" s="13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IF($AE579="","",IF((IFERROR(INDEX('ASIGNACIONES'!$J$4:$J$451,MATCH($O579&amp;"|"&amp;$R579&amp;"|"&amp;$AE579,'ASIGNACIONES'!$N$4:$N$451,0)),""))=0,"",IFERROR(INDEX('ASIGNACIONES'!$J$4:$J$451,MATCH($O579&amp;"|"&amp;$R579&amp;"|"&amp;$AE579,'ASIGNACIONES'!$N$4:$N$451,0)),"")))</f>
        <v/>
      </c>
      <c r="AG579" s="14">
        <f>IF($AE579="","",SUMIFS('ORDENES'!$M$4:$M$1203,'ORDENES'!$AE$4:$AE$1203,$AE579,'ORDENES'!$O$4:$O$1203,$O579,'ORDENES'!$R$4:$R$1203,$R579))</f>
        <v/>
      </c>
      <c r="AH579" s="14">
        <f>IF($AG579="","",p_factor_productividad*IFERROR(INDEX('ASIGNACIONES'!$M$4:$M$451,MATCH($O579&amp;"|"&amp;$R579&amp;"|"&amp;$AE579,'ASIGNACIONES'!$N$4:$N$451,0)),0)-$AG579)</f>
        <v/>
      </c>
      <c r="AI579" s="11">
        <f>IF($A579="","",IFERROR(INDEX('2_IMPORTAR_EJECUCION'!$F$9:$F$1208,MATCH($AQ579,'2_IMPORTAR_EJECUCION'!$J$9:$J$1208,0)),0))</f>
        <v/>
      </c>
      <c r="AJ579" s="11">
        <f>IF($A579="","",MAX(0,IFERROR(INDEX('2_IMPORTAR_EJECUCION'!$H$9:$H$1208,MATCH($AQ579,'2_IMPORTAR_EJECUCION'!$J$9:$J$1208,0)),0)-$AI579))</f>
        <v/>
      </c>
      <c r="AK579" s="11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IF($H580="","",IFERROR(INDEX('CAT_ACTIVIDADES'!$B$4:$B$8,MATCH($H580,'CAT_ACTIVIDADES'!$A$4:$A$8,0)),"(sin catálogo)"))</f>
        <v/>
      </c>
      <c r="AA580" s="13">
        <f>IF($J580="","",TODAY()-$J580)</f>
        <v/>
      </c>
      <c r="AB580" s="13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IF($AE580="","",IF((IFERROR(INDEX('ASIGNACIONES'!$J$4:$J$451,MATCH($O580&amp;"|"&amp;$R580&amp;"|"&amp;$AE580,'ASIGNACIONES'!$N$4:$N$451,0)),""))=0,"",IFERROR(INDEX('ASIGNACIONES'!$J$4:$J$451,MATCH($O580&amp;"|"&amp;$R580&amp;"|"&amp;$AE580,'ASIGNACIONES'!$N$4:$N$451,0)),"")))</f>
        <v/>
      </c>
      <c r="AG580" s="14">
        <f>IF($AE580="","",SUMIFS('ORDENES'!$M$4:$M$1203,'ORDENES'!$AE$4:$AE$1203,$AE580,'ORDENES'!$O$4:$O$1203,$O580,'ORDENES'!$R$4:$R$1203,$R580))</f>
        <v/>
      </c>
      <c r="AH580" s="14">
        <f>IF($AG580="","",p_factor_productividad*IFERROR(INDEX('ASIGNACIONES'!$M$4:$M$451,MATCH($O580&amp;"|"&amp;$R580&amp;"|"&amp;$AE580,'ASIGNACIONES'!$N$4:$N$451,0)),0)-$AG580)</f>
        <v/>
      </c>
      <c r="AI580" s="11">
        <f>IF($A580="","",IFERROR(INDEX('2_IMPORTAR_EJECUCION'!$F$9:$F$1208,MATCH($AQ580,'2_IMPORTAR_EJECUCION'!$J$9:$J$1208,0)),0))</f>
        <v/>
      </c>
      <c r="AJ580" s="11">
        <f>IF($A580="","",MAX(0,IFERROR(INDEX('2_IMPORTAR_EJECUCION'!$H$9:$H$1208,MATCH($AQ580,'2_IMPORTAR_EJECUCION'!$J$9:$J$1208,0)),0)-$AI580))</f>
        <v/>
      </c>
      <c r="AK580" s="11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IF($H581="","",IFERROR(INDEX('CAT_ACTIVIDADES'!$B$4:$B$8,MATCH($H581,'CAT_ACTIVIDADES'!$A$4:$A$8,0)),"(sin catálogo)"))</f>
        <v/>
      </c>
      <c r="AA581" s="13">
        <f>IF($J581="","",TODAY()-$J581)</f>
        <v/>
      </c>
      <c r="AB581" s="13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IF($AE581="","",IF((IFERROR(INDEX('ASIGNACIONES'!$J$4:$J$451,MATCH($O581&amp;"|"&amp;$R581&amp;"|"&amp;$AE581,'ASIGNACIONES'!$N$4:$N$451,0)),""))=0,"",IFERROR(INDEX('ASIGNACIONES'!$J$4:$J$451,MATCH($O581&amp;"|"&amp;$R581&amp;"|"&amp;$AE581,'ASIGNACIONES'!$N$4:$N$451,0)),"")))</f>
        <v/>
      </c>
      <c r="AG581" s="14">
        <f>IF($AE581="","",SUMIFS('ORDENES'!$M$4:$M$1203,'ORDENES'!$AE$4:$AE$1203,$AE581,'ORDENES'!$O$4:$O$1203,$O581,'ORDENES'!$R$4:$R$1203,$R581))</f>
        <v/>
      </c>
      <c r="AH581" s="14">
        <f>IF($AG581="","",p_factor_productividad*IFERROR(INDEX('ASIGNACIONES'!$M$4:$M$451,MATCH($O581&amp;"|"&amp;$R581&amp;"|"&amp;$AE581,'ASIGNACIONES'!$N$4:$N$451,0)),0)-$AG581)</f>
        <v/>
      </c>
      <c r="AI581" s="11">
        <f>IF($A581="","",IFERROR(INDEX('2_IMPORTAR_EJECUCION'!$F$9:$F$1208,MATCH($AQ581,'2_IMPORTAR_EJECUCION'!$J$9:$J$1208,0)),0))</f>
        <v/>
      </c>
      <c r="AJ581" s="11">
        <f>IF($A581="","",MAX(0,IFERROR(INDEX('2_IMPORTAR_EJECUCION'!$H$9:$H$1208,MATCH($AQ581,'2_IMPORTAR_EJECUCION'!$J$9:$J$1208,0)),0)-$AI581))</f>
        <v/>
      </c>
      <c r="AK581" s="11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IF($H582="","",IFERROR(INDEX('CAT_ACTIVIDADES'!$B$4:$B$8,MATCH($H582,'CAT_ACTIVIDADES'!$A$4:$A$8,0)),"(sin catálogo)"))</f>
        <v/>
      </c>
      <c r="AA582" s="13">
        <f>IF($J582="","",TODAY()-$J582)</f>
        <v/>
      </c>
      <c r="AB582" s="13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IF($AE582="","",IF((IFERROR(INDEX('ASIGNACIONES'!$J$4:$J$451,MATCH($O582&amp;"|"&amp;$R582&amp;"|"&amp;$AE582,'ASIGNACIONES'!$N$4:$N$451,0)),""))=0,"",IFERROR(INDEX('ASIGNACIONES'!$J$4:$J$451,MATCH($O582&amp;"|"&amp;$R582&amp;"|"&amp;$AE582,'ASIGNACIONES'!$N$4:$N$451,0)),"")))</f>
        <v/>
      </c>
      <c r="AG582" s="14">
        <f>IF($AE582="","",SUMIFS('ORDENES'!$M$4:$M$1203,'ORDENES'!$AE$4:$AE$1203,$AE582,'ORDENES'!$O$4:$O$1203,$O582,'ORDENES'!$R$4:$R$1203,$R582))</f>
        <v/>
      </c>
      <c r="AH582" s="14">
        <f>IF($AG582="","",p_factor_productividad*IFERROR(INDEX('ASIGNACIONES'!$M$4:$M$451,MATCH($O582&amp;"|"&amp;$R582&amp;"|"&amp;$AE582,'ASIGNACIONES'!$N$4:$N$451,0)),0)-$AG582)</f>
        <v/>
      </c>
      <c r="AI582" s="11">
        <f>IF($A582="","",IFERROR(INDEX('2_IMPORTAR_EJECUCION'!$F$9:$F$1208,MATCH($AQ582,'2_IMPORTAR_EJECUCION'!$J$9:$J$1208,0)),0))</f>
        <v/>
      </c>
      <c r="AJ582" s="11">
        <f>IF($A582="","",MAX(0,IFERROR(INDEX('2_IMPORTAR_EJECUCION'!$H$9:$H$1208,MATCH($AQ582,'2_IMPORTAR_EJECUCION'!$J$9:$J$1208,0)),0)-$AI582))</f>
        <v/>
      </c>
      <c r="AK582" s="11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IF($H583="","",IFERROR(INDEX('CAT_ACTIVIDADES'!$B$4:$B$8,MATCH($H583,'CAT_ACTIVIDADES'!$A$4:$A$8,0)),"(sin catálogo)"))</f>
        <v/>
      </c>
      <c r="AA583" s="13">
        <f>IF($J583="","",TODAY()-$J583)</f>
        <v/>
      </c>
      <c r="AB583" s="13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IF($AE583="","",IF((IFERROR(INDEX('ASIGNACIONES'!$J$4:$J$451,MATCH($O583&amp;"|"&amp;$R583&amp;"|"&amp;$AE583,'ASIGNACIONES'!$N$4:$N$451,0)),""))=0,"",IFERROR(INDEX('ASIGNACIONES'!$J$4:$J$451,MATCH($O583&amp;"|"&amp;$R583&amp;"|"&amp;$AE583,'ASIGNACIONES'!$N$4:$N$451,0)),"")))</f>
        <v/>
      </c>
      <c r="AG583" s="14">
        <f>IF($AE583="","",SUMIFS('ORDENES'!$M$4:$M$1203,'ORDENES'!$AE$4:$AE$1203,$AE583,'ORDENES'!$O$4:$O$1203,$O583,'ORDENES'!$R$4:$R$1203,$R583))</f>
        <v/>
      </c>
      <c r="AH583" s="14">
        <f>IF($AG583="","",p_factor_productividad*IFERROR(INDEX('ASIGNACIONES'!$M$4:$M$451,MATCH($O583&amp;"|"&amp;$R583&amp;"|"&amp;$AE583,'ASIGNACIONES'!$N$4:$N$451,0)),0)-$AG583)</f>
        <v/>
      </c>
      <c r="AI583" s="11">
        <f>IF($A583="","",IFERROR(INDEX('2_IMPORTAR_EJECUCION'!$F$9:$F$1208,MATCH($AQ583,'2_IMPORTAR_EJECUCION'!$J$9:$J$1208,0)),0))</f>
        <v/>
      </c>
      <c r="AJ583" s="11">
        <f>IF($A583="","",MAX(0,IFERROR(INDEX('2_IMPORTAR_EJECUCION'!$H$9:$H$1208,MATCH($AQ583,'2_IMPORTAR_EJECUCION'!$J$9:$J$1208,0)),0)-$AI583))</f>
        <v/>
      </c>
      <c r="AK583" s="11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IF($H584="","",IFERROR(INDEX('CAT_ACTIVIDADES'!$B$4:$B$8,MATCH($H584,'CAT_ACTIVIDADES'!$A$4:$A$8,0)),"(sin catálogo)"))</f>
        <v/>
      </c>
      <c r="AA584" s="13">
        <f>IF($J584="","",TODAY()-$J584)</f>
        <v/>
      </c>
      <c r="AB584" s="13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IF($AE584="","",IF((IFERROR(INDEX('ASIGNACIONES'!$J$4:$J$451,MATCH($O584&amp;"|"&amp;$R584&amp;"|"&amp;$AE584,'ASIGNACIONES'!$N$4:$N$451,0)),""))=0,"",IFERROR(INDEX('ASIGNACIONES'!$J$4:$J$451,MATCH($O584&amp;"|"&amp;$R584&amp;"|"&amp;$AE584,'ASIGNACIONES'!$N$4:$N$451,0)),"")))</f>
        <v/>
      </c>
      <c r="AG584" s="14">
        <f>IF($AE584="","",SUMIFS('ORDENES'!$M$4:$M$1203,'ORDENES'!$AE$4:$AE$1203,$AE584,'ORDENES'!$O$4:$O$1203,$O584,'ORDENES'!$R$4:$R$1203,$R584))</f>
        <v/>
      </c>
      <c r="AH584" s="14">
        <f>IF($AG584="","",p_factor_productividad*IFERROR(INDEX('ASIGNACIONES'!$M$4:$M$451,MATCH($O584&amp;"|"&amp;$R584&amp;"|"&amp;$AE584,'ASIGNACIONES'!$N$4:$N$451,0)),0)-$AG584)</f>
        <v/>
      </c>
      <c r="AI584" s="11">
        <f>IF($A584="","",IFERROR(INDEX('2_IMPORTAR_EJECUCION'!$F$9:$F$1208,MATCH($AQ584,'2_IMPORTAR_EJECUCION'!$J$9:$J$1208,0)),0))</f>
        <v/>
      </c>
      <c r="AJ584" s="11">
        <f>IF($A584="","",MAX(0,IFERROR(INDEX('2_IMPORTAR_EJECUCION'!$H$9:$H$1208,MATCH($AQ584,'2_IMPORTAR_EJECUCION'!$J$9:$J$1208,0)),0)-$AI584))</f>
        <v/>
      </c>
      <c r="AK584" s="11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IF($H585="","",IFERROR(INDEX('CAT_ACTIVIDADES'!$B$4:$B$8,MATCH($H585,'CAT_ACTIVIDADES'!$A$4:$A$8,0)),"(sin catálogo)"))</f>
        <v/>
      </c>
      <c r="AA585" s="13">
        <f>IF($J585="","",TODAY()-$J585)</f>
        <v/>
      </c>
      <c r="AB585" s="13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IF($AE585="","",IF((IFERROR(INDEX('ASIGNACIONES'!$J$4:$J$451,MATCH($O585&amp;"|"&amp;$R585&amp;"|"&amp;$AE585,'ASIGNACIONES'!$N$4:$N$451,0)),""))=0,"",IFERROR(INDEX('ASIGNACIONES'!$J$4:$J$451,MATCH($O585&amp;"|"&amp;$R585&amp;"|"&amp;$AE585,'ASIGNACIONES'!$N$4:$N$451,0)),"")))</f>
        <v/>
      </c>
      <c r="AG585" s="14">
        <f>IF($AE585="","",SUMIFS('ORDENES'!$M$4:$M$1203,'ORDENES'!$AE$4:$AE$1203,$AE585,'ORDENES'!$O$4:$O$1203,$O585,'ORDENES'!$R$4:$R$1203,$R585))</f>
        <v/>
      </c>
      <c r="AH585" s="14">
        <f>IF($AG585="","",p_factor_productividad*IFERROR(INDEX('ASIGNACIONES'!$M$4:$M$451,MATCH($O585&amp;"|"&amp;$R585&amp;"|"&amp;$AE585,'ASIGNACIONES'!$N$4:$N$451,0)),0)-$AG585)</f>
        <v/>
      </c>
      <c r="AI585" s="11">
        <f>IF($A585="","",IFERROR(INDEX('2_IMPORTAR_EJECUCION'!$F$9:$F$1208,MATCH($AQ585,'2_IMPORTAR_EJECUCION'!$J$9:$J$1208,0)),0))</f>
        <v/>
      </c>
      <c r="AJ585" s="11">
        <f>IF($A585="","",MAX(0,IFERROR(INDEX('2_IMPORTAR_EJECUCION'!$H$9:$H$1208,MATCH($AQ585,'2_IMPORTAR_EJECUCION'!$J$9:$J$1208,0)),0)-$AI585))</f>
        <v/>
      </c>
      <c r="AK585" s="11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IF($H586="","",IFERROR(INDEX('CAT_ACTIVIDADES'!$B$4:$B$8,MATCH($H586,'CAT_ACTIVIDADES'!$A$4:$A$8,0)),"(sin catálogo)"))</f>
        <v/>
      </c>
      <c r="AA586" s="13">
        <f>IF($J586="","",TODAY()-$J586)</f>
        <v/>
      </c>
      <c r="AB586" s="13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IF($AE586="","",IF((IFERROR(INDEX('ASIGNACIONES'!$J$4:$J$451,MATCH($O586&amp;"|"&amp;$R586&amp;"|"&amp;$AE586,'ASIGNACIONES'!$N$4:$N$451,0)),""))=0,"",IFERROR(INDEX('ASIGNACIONES'!$J$4:$J$451,MATCH($O586&amp;"|"&amp;$R586&amp;"|"&amp;$AE586,'ASIGNACIONES'!$N$4:$N$451,0)),"")))</f>
        <v/>
      </c>
      <c r="AG586" s="14">
        <f>IF($AE586="","",SUMIFS('ORDENES'!$M$4:$M$1203,'ORDENES'!$AE$4:$AE$1203,$AE586,'ORDENES'!$O$4:$O$1203,$O586,'ORDENES'!$R$4:$R$1203,$R586))</f>
        <v/>
      </c>
      <c r="AH586" s="14">
        <f>IF($AG586="","",p_factor_productividad*IFERROR(INDEX('ASIGNACIONES'!$M$4:$M$451,MATCH($O586&amp;"|"&amp;$R586&amp;"|"&amp;$AE586,'ASIGNACIONES'!$N$4:$N$451,0)),0)-$AG586)</f>
        <v/>
      </c>
      <c r="AI586" s="11">
        <f>IF($A586="","",IFERROR(INDEX('2_IMPORTAR_EJECUCION'!$F$9:$F$1208,MATCH($AQ586,'2_IMPORTAR_EJECUCION'!$J$9:$J$1208,0)),0))</f>
        <v/>
      </c>
      <c r="AJ586" s="11">
        <f>IF($A586="","",MAX(0,IFERROR(INDEX('2_IMPORTAR_EJECUCION'!$H$9:$H$1208,MATCH($AQ586,'2_IMPORTAR_EJECUCION'!$J$9:$J$1208,0)),0)-$AI586))</f>
        <v/>
      </c>
      <c r="AK586" s="11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IF($H587="","",IFERROR(INDEX('CAT_ACTIVIDADES'!$B$4:$B$8,MATCH($H587,'CAT_ACTIVIDADES'!$A$4:$A$8,0)),"(sin catálogo)"))</f>
        <v/>
      </c>
      <c r="AA587" s="13">
        <f>IF($J587="","",TODAY()-$J587)</f>
        <v/>
      </c>
      <c r="AB587" s="13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IF($AE587="","",IF((IFERROR(INDEX('ASIGNACIONES'!$J$4:$J$451,MATCH($O587&amp;"|"&amp;$R587&amp;"|"&amp;$AE587,'ASIGNACIONES'!$N$4:$N$451,0)),""))=0,"",IFERROR(INDEX('ASIGNACIONES'!$J$4:$J$451,MATCH($O587&amp;"|"&amp;$R587&amp;"|"&amp;$AE587,'ASIGNACIONES'!$N$4:$N$451,0)),"")))</f>
        <v/>
      </c>
      <c r="AG587" s="14">
        <f>IF($AE587="","",SUMIFS('ORDENES'!$M$4:$M$1203,'ORDENES'!$AE$4:$AE$1203,$AE587,'ORDENES'!$O$4:$O$1203,$O587,'ORDENES'!$R$4:$R$1203,$R587))</f>
        <v/>
      </c>
      <c r="AH587" s="14">
        <f>IF($AG587="","",p_factor_productividad*IFERROR(INDEX('ASIGNACIONES'!$M$4:$M$451,MATCH($O587&amp;"|"&amp;$R587&amp;"|"&amp;$AE587,'ASIGNACIONES'!$N$4:$N$451,0)),0)-$AG587)</f>
        <v/>
      </c>
      <c r="AI587" s="11">
        <f>IF($A587="","",IFERROR(INDEX('2_IMPORTAR_EJECUCION'!$F$9:$F$1208,MATCH($AQ587,'2_IMPORTAR_EJECUCION'!$J$9:$J$1208,0)),0))</f>
        <v/>
      </c>
      <c r="AJ587" s="11">
        <f>IF($A587="","",MAX(0,IFERROR(INDEX('2_IMPORTAR_EJECUCION'!$H$9:$H$1208,MATCH($AQ587,'2_IMPORTAR_EJECUCION'!$J$9:$J$1208,0)),0)-$AI587))</f>
        <v/>
      </c>
      <c r="AK587" s="11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IF($H588="","",IFERROR(INDEX('CAT_ACTIVIDADES'!$B$4:$B$8,MATCH($H588,'CAT_ACTIVIDADES'!$A$4:$A$8,0)),"(sin catálogo)"))</f>
        <v/>
      </c>
      <c r="AA588" s="13">
        <f>IF($J588="","",TODAY()-$J588)</f>
        <v/>
      </c>
      <c r="AB588" s="13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IF($AE588="","",IF((IFERROR(INDEX('ASIGNACIONES'!$J$4:$J$451,MATCH($O588&amp;"|"&amp;$R588&amp;"|"&amp;$AE588,'ASIGNACIONES'!$N$4:$N$451,0)),""))=0,"",IFERROR(INDEX('ASIGNACIONES'!$J$4:$J$451,MATCH($O588&amp;"|"&amp;$R588&amp;"|"&amp;$AE588,'ASIGNACIONES'!$N$4:$N$451,0)),"")))</f>
        <v/>
      </c>
      <c r="AG588" s="14">
        <f>IF($AE588="","",SUMIFS('ORDENES'!$M$4:$M$1203,'ORDENES'!$AE$4:$AE$1203,$AE588,'ORDENES'!$O$4:$O$1203,$O588,'ORDENES'!$R$4:$R$1203,$R588))</f>
        <v/>
      </c>
      <c r="AH588" s="14">
        <f>IF($AG588="","",p_factor_productividad*IFERROR(INDEX('ASIGNACIONES'!$M$4:$M$451,MATCH($O588&amp;"|"&amp;$R588&amp;"|"&amp;$AE588,'ASIGNACIONES'!$N$4:$N$451,0)),0)-$AG588)</f>
        <v/>
      </c>
      <c r="AI588" s="11">
        <f>IF($A588="","",IFERROR(INDEX('2_IMPORTAR_EJECUCION'!$F$9:$F$1208,MATCH($AQ588,'2_IMPORTAR_EJECUCION'!$J$9:$J$1208,0)),0))</f>
        <v/>
      </c>
      <c r="AJ588" s="11">
        <f>IF($A588="","",MAX(0,IFERROR(INDEX('2_IMPORTAR_EJECUCION'!$H$9:$H$1208,MATCH($AQ588,'2_IMPORTAR_EJECUCION'!$J$9:$J$1208,0)),0)-$AI588))</f>
        <v/>
      </c>
      <c r="AK588" s="11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IF($H589="","",IFERROR(INDEX('CAT_ACTIVIDADES'!$B$4:$B$8,MATCH($H589,'CAT_ACTIVIDADES'!$A$4:$A$8,0)),"(sin catálogo)"))</f>
        <v/>
      </c>
      <c r="AA589" s="13">
        <f>IF($J589="","",TODAY()-$J589)</f>
        <v/>
      </c>
      <c r="AB589" s="13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IF($AE589="","",IF((IFERROR(INDEX('ASIGNACIONES'!$J$4:$J$451,MATCH($O589&amp;"|"&amp;$R589&amp;"|"&amp;$AE589,'ASIGNACIONES'!$N$4:$N$451,0)),""))=0,"",IFERROR(INDEX('ASIGNACIONES'!$J$4:$J$451,MATCH($O589&amp;"|"&amp;$R589&amp;"|"&amp;$AE589,'ASIGNACIONES'!$N$4:$N$451,0)),"")))</f>
        <v/>
      </c>
      <c r="AG589" s="14">
        <f>IF($AE589="","",SUMIFS('ORDENES'!$M$4:$M$1203,'ORDENES'!$AE$4:$AE$1203,$AE589,'ORDENES'!$O$4:$O$1203,$O589,'ORDENES'!$R$4:$R$1203,$R589))</f>
        <v/>
      </c>
      <c r="AH589" s="14">
        <f>IF($AG589="","",p_factor_productividad*IFERROR(INDEX('ASIGNACIONES'!$M$4:$M$451,MATCH($O589&amp;"|"&amp;$R589&amp;"|"&amp;$AE589,'ASIGNACIONES'!$N$4:$N$451,0)),0)-$AG589)</f>
        <v/>
      </c>
      <c r="AI589" s="11">
        <f>IF($A589="","",IFERROR(INDEX('2_IMPORTAR_EJECUCION'!$F$9:$F$1208,MATCH($AQ589,'2_IMPORTAR_EJECUCION'!$J$9:$J$1208,0)),0))</f>
        <v/>
      </c>
      <c r="AJ589" s="11">
        <f>IF($A589="","",MAX(0,IFERROR(INDEX('2_IMPORTAR_EJECUCION'!$H$9:$H$1208,MATCH($AQ589,'2_IMPORTAR_EJECUCION'!$J$9:$J$1208,0)),0)-$AI589))</f>
        <v/>
      </c>
      <c r="AK589" s="11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IF($H590="","",IFERROR(INDEX('CAT_ACTIVIDADES'!$B$4:$B$8,MATCH($H590,'CAT_ACTIVIDADES'!$A$4:$A$8,0)),"(sin catálogo)"))</f>
        <v/>
      </c>
      <c r="AA590" s="13">
        <f>IF($J590="","",TODAY()-$J590)</f>
        <v/>
      </c>
      <c r="AB590" s="13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IF($AE590="","",IF((IFERROR(INDEX('ASIGNACIONES'!$J$4:$J$451,MATCH($O590&amp;"|"&amp;$R590&amp;"|"&amp;$AE590,'ASIGNACIONES'!$N$4:$N$451,0)),""))=0,"",IFERROR(INDEX('ASIGNACIONES'!$J$4:$J$451,MATCH($O590&amp;"|"&amp;$R590&amp;"|"&amp;$AE590,'ASIGNACIONES'!$N$4:$N$451,0)),"")))</f>
        <v/>
      </c>
      <c r="AG590" s="14">
        <f>IF($AE590="","",SUMIFS('ORDENES'!$M$4:$M$1203,'ORDENES'!$AE$4:$AE$1203,$AE590,'ORDENES'!$O$4:$O$1203,$O590,'ORDENES'!$R$4:$R$1203,$R590))</f>
        <v/>
      </c>
      <c r="AH590" s="14">
        <f>IF($AG590="","",p_factor_productividad*IFERROR(INDEX('ASIGNACIONES'!$M$4:$M$451,MATCH($O590&amp;"|"&amp;$R590&amp;"|"&amp;$AE590,'ASIGNACIONES'!$N$4:$N$451,0)),0)-$AG590)</f>
        <v/>
      </c>
      <c r="AI590" s="11">
        <f>IF($A590="","",IFERROR(INDEX('2_IMPORTAR_EJECUCION'!$F$9:$F$1208,MATCH($AQ590,'2_IMPORTAR_EJECUCION'!$J$9:$J$1208,0)),0))</f>
        <v/>
      </c>
      <c r="AJ590" s="11">
        <f>IF($A590="","",MAX(0,IFERROR(INDEX('2_IMPORTAR_EJECUCION'!$H$9:$H$1208,MATCH($AQ590,'2_IMPORTAR_EJECUCION'!$J$9:$J$1208,0)),0)-$AI590))</f>
        <v/>
      </c>
      <c r="AK590" s="11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IF($H591="","",IFERROR(INDEX('CAT_ACTIVIDADES'!$B$4:$B$8,MATCH($H591,'CAT_ACTIVIDADES'!$A$4:$A$8,0)),"(sin catálogo)"))</f>
        <v/>
      </c>
      <c r="AA591" s="13">
        <f>IF($J591="","",TODAY()-$J591)</f>
        <v/>
      </c>
      <c r="AB591" s="13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IF($AE591="","",IF((IFERROR(INDEX('ASIGNACIONES'!$J$4:$J$451,MATCH($O591&amp;"|"&amp;$R591&amp;"|"&amp;$AE591,'ASIGNACIONES'!$N$4:$N$451,0)),""))=0,"",IFERROR(INDEX('ASIGNACIONES'!$J$4:$J$451,MATCH($O591&amp;"|"&amp;$R591&amp;"|"&amp;$AE591,'ASIGNACIONES'!$N$4:$N$451,0)),"")))</f>
        <v/>
      </c>
      <c r="AG591" s="14">
        <f>IF($AE591="","",SUMIFS('ORDENES'!$M$4:$M$1203,'ORDENES'!$AE$4:$AE$1203,$AE591,'ORDENES'!$O$4:$O$1203,$O591,'ORDENES'!$R$4:$R$1203,$R591))</f>
        <v/>
      </c>
      <c r="AH591" s="14">
        <f>IF($AG591="","",p_factor_productividad*IFERROR(INDEX('ASIGNACIONES'!$M$4:$M$451,MATCH($O591&amp;"|"&amp;$R591&amp;"|"&amp;$AE591,'ASIGNACIONES'!$N$4:$N$451,0)),0)-$AG591)</f>
        <v/>
      </c>
      <c r="AI591" s="11">
        <f>IF($A591="","",IFERROR(INDEX('2_IMPORTAR_EJECUCION'!$F$9:$F$1208,MATCH($AQ591,'2_IMPORTAR_EJECUCION'!$J$9:$J$1208,0)),0))</f>
        <v/>
      </c>
      <c r="AJ591" s="11">
        <f>IF($A591="","",MAX(0,IFERROR(INDEX('2_IMPORTAR_EJECUCION'!$H$9:$H$1208,MATCH($AQ591,'2_IMPORTAR_EJECUCION'!$J$9:$J$1208,0)),0)-$AI591))</f>
        <v/>
      </c>
      <c r="AK591" s="11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IF($H592="","",IFERROR(INDEX('CAT_ACTIVIDADES'!$B$4:$B$8,MATCH($H592,'CAT_ACTIVIDADES'!$A$4:$A$8,0)),"(sin catálogo)"))</f>
        <v/>
      </c>
      <c r="AA592" s="13">
        <f>IF($J592="","",TODAY()-$J592)</f>
        <v/>
      </c>
      <c r="AB592" s="13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IF($AE592="","",IF((IFERROR(INDEX('ASIGNACIONES'!$J$4:$J$451,MATCH($O592&amp;"|"&amp;$R592&amp;"|"&amp;$AE592,'ASIGNACIONES'!$N$4:$N$451,0)),""))=0,"",IFERROR(INDEX('ASIGNACIONES'!$J$4:$J$451,MATCH($O592&amp;"|"&amp;$R592&amp;"|"&amp;$AE592,'ASIGNACIONES'!$N$4:$N$451,0)),"")))</f>
        <v/>
      </c>
      <c r="AG592" s="14">
        <f>IF($AE592="","",SUMIFS('ORDENES'!$M$4:$M$1203,'ORDENES'!$AE$4:$AE$1203,$AE592,'ORDENES'!$O$4:$O$1203,$O592,'ORDENES'!$R$4:$R$1203,$R592))</f>
        <v/>
      </c>
      <c r="AH592" s="14">
        <f>IF($AG592="","",p_factor_productividad*IFERROR(INDEX('ASIGNACIONES'!$M$4:$M$451,MATCH($O592&amp;"|"&amp;$R592&amp;"|"&amp;$AE592,'ASIGNACIONES'!$N$4:$N$451,0)),0)-$AG592)</f>
        <v/>
      </c>
      <c r="AI592" s="11">
        <f>IF($A592="","",IFERROR(INDEX('2_IMPORTAR_EJECUCION'!$F$9:$F$1208,MATCH($AQ592,'2_IMPORTAR_EJECUCION'!$J$9:$J$1208,0)),0))</f>
        <v/>
      </c>
      <c r="AJ592" s="11">
        <f>IF($A592="","",MAX(0,IFERROR(INDEX('2_IMPORTAR_EJECUCION'!$H$9:$H$1208,MATCH($AQ592,'2_IMPORTAR_EJECUCION'!$J$9:$J$1208,0)),0)-$AI592))</f>
        <v/>
      </c>
      <c r="AK592" s="11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IF($H593="","",IFERROR(INDEX('CAT_ACTIVIDADES'!$B$4:$B$8,MATCH($H593,'CAT_ACTIVIDADES'!$A$4:$A$8,0)),"(sin catálogo)"))</f>
        <v/>
      </c>
      <c r="AA593" s="13">
        <f>IF($J593="","",TODAY()-$J593)</f>
        <v/>
      </c>
      <c r="AB593" s="13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IF($AE593="","",IF((IFERROR(INDEX('ASIGNACIONES'!$J$4:$J$451,MATCH($O593&amp;"|"&amp;$R593&amp;"|"&amp;$AE593,'ASIGNACIONES'!$N$4:$N$451,0)),""))=0,"",IFERROR(INDEX('ASIGNACIONES'!$J$4:$J$451,MATCH($O593&amp;"|"&amp;$R593&amp;"|"&amp;$AE593,'ASIGNACIONES'!$N$4:$N$451,0)),"")))</f>
        <v/>
      </c>
      <c r="AG593" s="14">
        <f>IF($AE593="","",SUMIFS('ORDENES'!$M$4:$M$1203,'ORDENES'!$AE$4:$AE$1203,$AE593,'ORDENES'!$O$4:$O$1203,$O593,'ORDENES'!$R$4:$R$1203,$R593))</f>
        <v/>
      </c>
      <c r="AH593" s="14">
        <f>IF($AG593="","",p_factor_productividad*IFERROR(INDEX('ASIGNACIONES'!$M$4:$M$451,MATCH($O593&amp;"|"&amp;$R593&amp;"|"&amp;$AE593,'ASIGNACIONES'!$N$4:$N$451,0)),0)-$AG593)</f>
        <v/>
      </c>
      <c r="AI593" s="11">
        <f>IF($A593="","",IFERROR(INDEX('2_IMPORTAR_EJECUCION'!$F$9:$F$1208,MATCH($AQ593,'2_IMPORTAR_EJECUCION'!$J$9:$J$1208,0)),0))</f>
        <v/>
      </c>
      <c r="AJ593" s="11">
        <f>IF($A593="","",MAX(0,IFERROR(INDEX('2_IMPORTAR_EJECUCION'!$H$9:$H$1208,MATCH($AQ593,'2_IMPORTAR_EJECUCION'!$J$9:$J$1208,0)),0)-$AI593))</f>
        <v/>
      </c>
      <c r="AK593" s="11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IF($H594="","",IFERROR(INDEX('CAT_ACTIVIDADES'!$B$4:$B$8,MATCH($H594,'CAT_ACTIVIDADES'!$A$4:$A$8,0)),"(sin catálogo)"))</f>
        <v/>
      </c>
      <c r="AA594" s="13">
        <f>IF($J594="","",TODAY()-$J594)</f>
        <v/>
      </c>
      <c r="AB594" s="13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IF($AE594="","",IF((IFERROR(INDEX('ASIGNACIONES'!$J$4:$J$451,MATCH($O594&amp;"|"&amp;$R594&amp;"|"&amp;$AE594,'ASIGNACIONES'!$N$4:$N$451,0)),""))=0,"",IFERROR(INDEX('ASIGNACIONES'!$J$4:$J$451,MATCH($O594&amp;"|"&amp;$R594&amp;"|"&amp;$AE594,'ASIGNACIONES'!$N$4:$N$451,0)),"")))</f>
        <v/>
      </c>
      <c r="AG594" s="14">
        <f>IF($AE594="","",SUMIFS('ORDENES'!$M$4:$M$1203,'ORDENES'!$AE$4:$AE$1203,$AE594,'ORDENES'!$O$4:$O$1203,$O594,'ORDENES'!$R$4:$R$1203,$R594))</f>
        <v/>
      </c>
      <c r="AH594" s="14">
        <f>IF($AG594="","",p_factor_productividad*IFERROR(INDEX('ASIGNACIONES'!$M$4:$M$451,MATCH($O594&amp;"|"&amp;$R594&amp;"|"&amp;$AE594,'ASIGNACIONES'!$N$4:$N$451,0)),0)-$AG594)</f>
        <v/>
      </c>
      <c r="AI594" s="11">
        <f>IF($A594="","",IFERROR(INDEX('2_IMPORTAR_EJECUCION'!$F$9:$F$1208,MATCH($AQ594,'2_IMPORTAR_EJECUCION'!$J$9:$J$1208,0)),0))</f>
        <v/>
      </c>
      <c r="AJ594" s="11">
        <f>IF($A594="","",MAX(0,IFERROR(INDEX('2_IMPORTAR_EJECUCION'!$H$9:$H$1208,MATCH($AQ594,'2_IMPORTAR_EJECUCION'!$J$9:$J$1208,0)),0)-$AI594))</f>
        <v/>
      </c>
      <c r="AK594" s="11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IF($H595="","",IFERROR(INDEX('CAT_ACTIVIDADES'!$B$4:$B$8,MATCH($H595,'CAT_ACTIVIDADES'!$A$4:$A$8,0)),"(sin catálogo)"))</f>
        <v/>
      </c>
      <c r="AA595" s="13">
        <f>IF($J595="","",TODAY()-$J595)</f>
        <v/>
      </c>
      <c r="AB595" s="13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IF($AE595="","",IF((IFERROR(INDEX('ASIGNACIONES'!$J$4:$J$451,MATCH($O595&amp;"|"&amp;$R595&amp;"|"&amp;$AE595,'ASIGNACIONES'!$N$4:$N$451,0)),""))=0,"",IFERROR(INDEX('ASIGNACIONES'!$J$4:$J$451,MATCH($O595&amp;"|"&amp;$R595&amp;"|"&amp;$AE595,'ASIGNACIONES'!$N$4:$N$451,0)),"")))</f>
        <v/>
      </c>
      <c r="AG595" s="14">
        <f>IF($AE595="","",SUMIFS('ORDENES'!$M$4:$M$1203,'ORDENES'!$AE$4:$AE$1203,$AE595,'ORDENES'!$O$4:$O$1203,$O595,'ORDENES'!$R$4:$R$1203,$R595))</f>
        <v/>
      </c>
      <c r="AH595" s="14">
        <f>IF($AG595="","",p_factor_productividad*IFERROR(INDEX('ASIGNACIONES'!$M$4:$M$451,MATCH($O595&amp;"|"&amp;$R595&amp;"|"&amp;$AE595,'ASIGNACIONES'!$N$4:$N$451,0)),0)-$AG595)</f>
        <v/>
      </c>
      <c r="AI595" s="11">
        <f>IF($A595="","",IFERROR(INDEX('2_IMPORTAR_EJECUCION'!$F$9:$F$1208,MATCH($AQ595,'2_IMPORTAR_EJECUCION'!$J$9:$J$1208,0)),0))</f>
        <v/>
      </c>
      <c r="AJ595" s="11">
        <f>IF($A595="","",MAX(0,IFERROR(INDEX('2_IMPORTAR_EJECUCION'!$H$9:$H$1208,MATCH($AQ595,'2_IMPORTAR_EJECUCION'!$J$9:$J$1208,0)),0)-$AI595))</f>
        <v/>
      </c>
      <c r="AK595" s="11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IF($H596="","",IFERROR(INDEX('CAT_ACTIVIDADES'!$B$4:$B$8,MATCH($H596,'CAT_ACTIVIDADES'!$A$4:$A$8,0)),"(sin catálogo)"))</f>
        <v/>
      </c>
      <c r="AA596" s="13">
        <f>IF($J596="","",TODAY()-$J596)</f>
        <v/>
      </c>
      <c r="AB596" s="13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IF($AE596="","",IF((IFERROR(INDEX('ASIGNACIONES'!$J$4:$J$451,MATCH($O596&amp;"|"&amp;$R596&amp;"|"&amp;$AE596,'ASIGNACIONES'!$N$4:$N$451,0)),""))=0,"",IFERROR(INDEX('ASIGNACIONES'!$J$4:$J$451,MATCH($O596&amp;"|"&amp;$R596&amp;"|"&amp;$AE596,'ASIGNACIONES'!$N$4:$N$451,0)),"")))</f>
        <v/>
      </c>
      <c r="AG596" s="14">
        <f>IF($AE596="","",SUMIFS('ORDENES'!$M$4:$M$1203,'ORDENES'!$AE$4:$AE$1203,$AE596,'ORDENES'!$O$4:$O$1203,$O596,'ORDENES'!$R$4:$R$1203,$R596))</f>
        <v/>
      </c>
      <c r="AH596" s="14">
        <f>IF($AG596="","",p_factor_productividad*IFERROR(INDEX('ASIGNACIONES'!$M$4:$M$451,MATCH($O596&amp;"|"&amp;$R596&amp;"|"&amp;$AE596,'ASIGNACIONES'!$N$4:$N$451,0)),0)-$AG596)</f>
        <v/>
      </c>
      <c r="AI596" s="11">
        <f>IF($A596="","",IFERROR(INDEX('2_IMPORTAR_EJECUCION'!$F$9:$F$1208,MATCH($AQ596,'2_IMPORTAR_EJECUCION'!$J$9:$J$1208,0)),0))</f>
        <v/>
      </c>
      <c r="AJ596" s="11">
        <f>IF($A596="","",MAX(0,IFERROR(INDEX('2_IMPORTAR_EJECUCION'!$H$9:$H$1208,MATCH($AQ596,'2_IMPORTAR_EJECUCION'!$J$9:$J$1208,0)),0)-$AI596))</f>
        <v/>
      </c>
      <c r="AK596" s="11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IF($H597="","",IFERROR(INDEX('CAT_ACTIVIDADES'!$B$4:$B$8,MATCH($H597,'CAT_ACTIVIDADES'!$A$4:$A$8,0)),"(sin catálogo)"))</f>
        <v/>
      </c>
      <c r="AA597" s="13">
        <f>IF($J597="","",TODAY()-$J597)</f>
        <v/>
      </c>
      <c r="AB597" s="13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IF($AE597="","",IF((IFERROR(INDEX('ASIGNACIONES'!$J$4:$J$451,MATCH($O597&amp;"|"&amp;$R597&amp;"|"&amp;$AE597,'ASIGNACIONES'!$N$4:$N$451,0)),""))=0,"",IFERROR(INDEX('ASIGNACIONES'!$J$4:$J$451,MATCH($O597&amp;"|"&amp;$R597&amp;"|"&amp;$AE597,'ASIGNACIONES'!$N$4:$N$451,0)),"")))</f>
        <v/>
      </c>
      <c r="AG597" s="14">
        <f>IF($AE597="","",SUMIFS('ORDENES'!$M$4:$M$1203,'ORDENES'!$AE$4:$AE$1203,$AE597,'ORDENES'!$O$4:$O$1203,$O597,'ORDENES'!$R$4:$R$1203,$R597))</f>
        <v/>
      </c>
      <c r="AH597" s="14">
        <f>IF($AG597="","",p_factor_productividad*IFERROR(INDEX('ASIGNACIONES'!$M$4:$M$451,MATCH($O597&amp;"|"&amp;$R597&amp;"|"&amp;$AE597,'ASIGNACIONES'!$N$4:$N$451,0)),0)-$AG597)</f>
        <v/>
      </c>
      <c r="AI597" s="11">
        <f>IF($A597="","",IFERROR(INDEX('2_IMPORTAR_EJECUCION'!$F$9:$F$1208,MATCH($AQ597,'2_IMPORTAR_EJECUCION'!$J$9:$J$1208,0)),0))</f>
        <v/>
      </c>
      <c r="AJ597" s="11">
        <f>IF($A597="","",MAX(0,IFERROR(INDEX('2_IMPORTAR_EJECUCION'!$H$9:$H$1208,MATCH($AQ597,'2_IMPORTAR_EJECUCION'!$J$9:$J$1208,0)),0)-$AI597))</f>
        <v/>
      </c>
      <c r="AK597" s="11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IF($H598="","",IFERROR(INDEX('CAT_ACTIVIDADES'!$B$4:$B$8,MATCH($H598,'CAT_ACTIVIDADES'!$A$4:$A$8,0)),"(sin catálogo)"))</f>
        <v/>
      </c>
      <c r="AA598" s="13">
        <f>IF($J598="","",TODAY()-$J598)</f>
        <v/>
      </c>
      <c r="AB598" s="13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IF($AE598="","",IF((IFERROR(INDEX('ASIGNACIONES'!$J$4:$J$451,MATCH($O598&amp;"|"&amp;$R598&amp;"|"&amp;$AE598,'ASIGNACIONES'!$N$4:$N$451,0)),""))=0,"",IFERROR(INDEX('ASIGNACIONES'!$J$4:$J$451,MATCH($O598&amp;"|"&amp;$R598&amp;"|"&amp;$AE598,'ASIGNACIONES'!$N$4:$N$451,0)),"")))</f>
        <v/>
      </c>
      <c r="AG598" s="14">
        <f>IF($AE598="","",SUMIFS('ORDENES'!$M$4:$M$1203,'ORDENES'!$AE$4:$AE$1203,$AE598,'ORDENES'!$O$4:$O$1203,$O598,'ORDENES'!$R$4:$R$1203,$R598))</f>
        <v/>
      </c>
      <c r="AH598" s="14">
        <f>IF($AG598="","",p_factor_productividad*IFERROR(INDEX('ASIGNACIONES'!$M$4:$M$451,MATCH($O598&amp;"|"&amp;$R598&amp;"|"&amp;$AE598,'ASIGNACIONES'!$N$4:$N$451,0)),0)-$AG598)</f>
        <v/>
      </c>
      <c r="AI598" s="11">
        <f>IF($A598="","",IFERROR(INDEX('2_IMPORTAR_EJECUCION'!$F$9:$F$1208,MATCH($AQ598,'2_IMPORTAR_EJECUCION'!$J$9:$J$1208,0)),0))</f>
        <v/>
      </c>
      <c r="AJ598" s="11">
        <f>IF($A598="","",MAX(0,IFERROR(INDEX('2_IMPORTAR_EJECUCION'!$H$9:$H$1208,MATCH($AQ598,'2_IMPORTAR_EJECUCION'!$J$9:$J$1208,0)),0)-$AI598))</f>
        <v/>
      </c>
      <c r="AK598" s="11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IF($H599="","",IFERROR(INDEX('CAT_ACTIVIDADES'!$B$4:$B$8,MATCH($H599,'CAT_ACTIVIDADES'!$A$4:$A$8,0)),"(sin catálogo)"))</f>
        <v/>
      </c>
      <c r="AA599" s="13">
        <f>IF($J599="","",TODAY()-$J599)</f>
        <v/>
      </c>
      <c r="AB599" s="13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IF($AE599="","",IF((IFERROR(INDEX('ASIGNACIONES'!$J$4:$J$451,MATCH($O599&amp;"|"&amp;$R599&amp;"|"&amp;$AE599,'ASIGNACIONES'!$N$4:$N$451,0)),""))=0,"",IFERROR(INDEX('ASIGNACIONES'!$J$4:$J$451,MATCH($O599&amp;"|"&amp;$R599&amp;"|"&amp;$AE599,'ASIGNACIONES'!$N$4:$N$451,0)),"")))</f>
        <v/>
      </c>
      <c r="AG599" s="14">
        <f>IF($AE599="","",SUMIFS('ORDENES'!$M$4:$M$1203,'ORDENES'!$AE$4:$AE$1203,$AE599,'ORDENES'!$O$4:$O$1203,$O599,'ORDENES'!$R$4:$R$1203,$R599))</f>
        <v/>
      </c>
      <c r="AH599" s="14">
        <f>IF($AG599="","",p_factor_productividad*IFERROR(INDEX('ASIGNACIONES'!$M$4:$M$451,MATCH($O599&amp;"|"&amp;$R599&amp;"|"&amp;$AE599,'ASIGNACIONES'!$N$4:$N$451,0)),0)-$AG599)</f>
        <v/>
      </c>
      <c r="AI599" s="11">
        <f>IF($A599="","",IFERROR(INDEX('2_IMPORTAR_EJECUCION'!$F$9:$F$1208,MATCH($AQ599,'2_IMPORTAR_EJECUCION'!$J$9:$J$1208,0)),0))</f>
        <v/>
      </c>
      <c r="AJ599" s="11">
        <f>IF($A599="","",MAX(0,IFERROR(INDEX('2_IMPORTAR_EJECUCION'!$H$9:$H$1208,MATCH($AQ599,'2_IMPORTAR_EJECUCION'!$J$9:$J$1208,0)),0)-$AI599))</f>
        <v/>
      </c>
      <c r="AK599" s="11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IF($H600="","",IFERROR(INDEX('CAT_ACTIVIDADES'!$B$4:$B$8,MATCH($H600,'CAT_ACTIVIDADES'!$A$4:$A$8,0)),"(sin catálogo)"))</f>
        <v/>
      </c>
      <c r="AA600" s="13">
        <f>IF($J600="","",TODAY()-$J600)</f>
        <v/>
      </c>
      <c r="AB600" s="13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IF($AE600="","",IF((IFERROR(INDEX('ASIGNACIONES'!$J$4:$J$451,MATCH($O600&amp;"|"&amp;$R600&amp;"|"&amp;$AE600,'ASIGNACIONES'!$N$4:$N$451,0)),""))=0,"",IFERROR(INDEX('ASIGNACIONES'!$J$4:$J$451,MATCH($O600&amp;"|"&amp;$R600&amp;"|"&amp;$AE600,'ASIGNACIONES'!$N$4:$N$451,0)),"")))</f>
        <v/>
      </c>
      <c r="AG600" s="14">
        <f>IF($AE600="","",SUMIFS('ORDENES'!$M$4:$M$1203,'ORDENES'!$AE$4:$AE$1203,$AE600,'ORDENES'!$O$4:$O$1203,$O600,'ORDENES'!$R$4:$R$1203,$R600))</f>
        <v/>
      </c>
      <c r="AH600" s="14">
        <f>IF($AG600="","",p_factor_productividad*IFERROR(INDEX('ASIGNACIONES'!$M$4:$M$451,MATCH($O600&amp;"|"&amp;$R600&amp;"|"&amp;$AE600,'ASIGNACIONES'!$N$4:$N$451,0)),0)-$AG600)</f>
        <v/>
      </c>
      <c r="AI600" s="11">
        <f>IF($A600="","",IFERROR(INDEX('2_IMPORTAR_EJECUCION'!$F$9:$F$1208,MATCH($AQ600,'2_IMPORTAR_EJECUCION'!$J$9:$J$1208,0)),0))</f>
        <v/>
      </c>
      <c r="AJ600" s="11">
        <f>IF($A600="","",MAX(0,IFERROR(INDEX('2_IMPORTAR_EJECUCION'!$H$9:$H$1208,MATCH($AQ600,'2_IMPORTAR_EJECUCION'!$J$9:$J$1208,0)),0)-$AI600))</f>
        <v/>
      </c>
      <c r="AK600" s="11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IF($H601="","",IFERROR(INDEX('CAT_ACTIVIDADES'!$B$4:$B$8,MATCH($H601,'CAT_ACTIVIDADES'!$A$4:$A$8,0)),"(sin catálogo)"))</f>
        <v/>
      </c>
      <c r="AA601" s="13">
        <f>IF($J601="","",TODAY()-$J601)</f>
        <v/>
      </c>
      <c r="AB601" s="13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IF($AE601="","",IF((IFERROR(INDEX('ASIGNACIONES'!$J$4:$J$451,MATCH($O601&amp;"|"&amp;$R601&amp;"|"&amp;$AE601,'ASIGNACIONES'!$N$4:$N$451,0)),""))=0,"",IFERROR(INDEX('ASIGNACIONES'!$J$4:$J$451,MATCH($O601&amp;"|"&amp;$R601&amp;"|"&amp;$AE601,'ASIGNACIONES'!$N$4:$N$451,0)),"")))</f>
        <v/>
      </c>
      <c r="AG601" s="14">
        <f>IF($AE601="","",SUMIFS('ORDENES'!$M$4:$M$1203,'ORDENES'!$AE$4:$AE$1203,$AE601,'ORDENES'!$O$4:$O$1203,$O601,'ORDENES'!$R$4:$R$1203,$R601))</f>
        <v/>
      </c>
      <c r="AH601" s="14">
        <f>IF($AG601="","",p_factor_productividad*IFERROR(INDEX('ASIGNACIONES'!$M$4:$M$451,MATCH($O601&amp;"|"&amp;$R601&amp;"|"&amp;$AE601,'ASIGNACIONES'!$N$4:$N$451,0)),0)-$AG601)</f>
        <v/>
      </c>
      <c r="AI601" s="11">
        <f>IF($A601="","",IFERROR(INDEX('2_IMPORTAR_EJECUCION'!$F$9:$F$1208,MATCH($AQ601,'2_IMPORTAR_EJECUCION'!$J$9:$J$1208,0)),0))</f>
        <v/>
      </c>
      <c r="AJ601" s="11">
        <f>IF($A601="","",MAX(0,IFERROR(INDEX('2_IMPORTAR_EJECUCION'!$H$9:$H$1208,MATCH($AQ601,'2_IMPORTAR_EJECUCION'!$J$9:$J$1208,0)),0)-$AI601))</f>
        <v/>
      </c>
      <c r="AK601" s="11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IF($H602="","",IFERROR(INDEX('CAT_ACTIVIDADES'!$B$4:$B$8,MATCH($H602,'CAT_ACTIVIDADES'!$A$4:$A$8,0)),"(sin catálogo)"))</f>
        <v/>
      </c>
      <c r="AA602" s="13">
        <f>IF($J602="","",TODAY()-$J602)</f>
        <v/>
      </c>
      <c r="AB602" s="13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IF($AE602="","",IF((IFERROR(INDEX('ASIGNACIONES'!$J$4:$J$451,MATCH($O602&amp;"|"&amp;$R602&amp;"|"&amp;$AE602,'ASIGNACIONES'!$N$4:$N$451,0)),""))=0,"",IFERROR(INDEX('ASIGNACIONES'!$J$4:$J$451,MATCH($O602&amp;"|"&amp;$R602&amp;"|"&amp;$AE602,'ASIGNACIONES'!$N$4:$N$451,0)),"")))</f>
        <v/>
      </c>
      <c r="AG602" s="14">
        <f>IF($AE602="","",SUMIFS('ORDENES'!$M$4:$M$1203,'ORDENES'!$AE$4:$AE$1203,$AE602,'ORDENES'!$O$4:$O$1203,$O602,'ORDENES'!$R$4:$R$1203,$R602))</f>
        <v/>
      </c>
      <c r="AH602" s="14">
        <f>IF($AG602="","",p_factor_productividad*IFERROR(INDEX('ASIGNACIONES'!$M$4:$M$451,MATCH($O602&amp;"|"&amp;$R602&amp;"|"&amp;$AE602,'ASIGNACIONES'!$N$4:$N$451,0)),0)-$AG602)</f>
        <v/>
      </c>
      <c r="AI602" s="11">
        <f>IF($A602="","",IFERROR(INDEX('2_IMPORTAR_EJECUCION'!$F$9:$F$1208,MATCH($AQ602,'2_IMPORTAR_EJECUCION'!$J$9:$J$1208,0)),0))</f>
        <v/>
      </c>
      <c r="AJ602" s="11">
        <f>IF($A602="","",MAX(0,IFERROR(INDEX('2_IMPORTAR_EJECUCION'!$H$9:$H$1208,MATCH($AQ602,'2_IMPORTAR_EJECUCION'!$J$9:$J$1208,0)),0)-$AI602))</f>
        <v/>
      </c>
      <c r="AK602" s="11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IF($H603="","",IFERROR(INDEX('CAT_ACTIVIDADES'!$B$4:$B$8,MATCH($H603,'CAT_ACTIVIDADES'!$A$4:$A$8,0)),"(sin catálogo)"))</f>
        <v/>
      </c>
      <c r="AA603" s="13">
        <f>IF($J603="","",TODAY()-$J603)</f>
        <v/>
      </c>
      <c r="AB603" s="13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IF($AE603="","",IF((IFERROR(INDEX('ASIGNACIONES'!$J$4:$J$451,MATCH($O603&amp;"|"&amp;$R603&amp;"|"&amp;$AE603,'ASIGNACIONES'!$N$4:$N$451,0)),""))=0,"",IFERROR(INDEX('ASIGNACIONES'!$J$4:$J$451,MATCH($O603&amp;"|"&amp;$R603&amp;"|"&amp;$AE603,'ASIGNACIONES'!$N$4:$N$451,0)),"")))</f>
        <v/>
      </c>
      <c r="AG603" s="14">
        <f>IF($AE603="","",SUMIFS('ORDENES'!$M$4:$M$1203,'ORDENES'!$AE$4:$AE$1203,$AE603,'ORDENES'!$O$4:$O$1203,$O603,'ORDENES'!$R$4:$R$1203,$R603))</f>
        <v/>
      </c>
      <c r="AH603" s="14">
        <f>IF($AG603="","",p_factor_productividad*IFERROR(INDEX('ASIGNACIONES'!$M$4:$M$451,MATCH($O603&amp;"|"&amp;$R603&amp;"|"&amp;$AE603,'ASIGNACIONES'!$N$4:$N$451,0)),0)-$AG603)</f>
        <v/>
      </c>
      <c r="AI603" s="11">
        <f>IF($A603="","",IFERROR(INDEX('2_IMPORTAR_EJECUCION'!$F$9:$F$1208,MATCH($AQ603,'2_IMPORTAR_EJECUCION'!$J$9:$J$1208,0)),0))</f>
        <v/>
      </c>
      <c r="AJ603" s="11">
        <f>IF($A603="","",MAX(0,IFERROR(INDEX('2_IMPORTAR_EJECUCION'!$H$9:$H$1208,MATCH($AQ603,'2_IMPORTAR_EJECUCION'!$J$9:$J$1208,0)),0)-$AI603))</f>
        <v/>
      </c>
      <c r="AK603" s="11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IF($H604="","",IFERROR(INDEX('CAT_ACTIVIDADES'!$B$4:$B$8,MATCH($H604,'CAT_ACTIVIDADES'!$A$4:$A$8,0)),"(sin catálogo)"))</f>
        <v/>
      </c>
      <c r="AA604" s="13">
        <f>IF($J604="","",TODAY()-$J604)</f>
        <v/>
      </c>
      <c r="AB604" s="13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IF($AE604="","",IF((IFERROR(INDEX('ASIGNACIONES'!$J$4:$J$451,MATCH($O604&amp;"|"&amp;$R604&amp;"|"&amp;$AE604,'ASIGNACIONES'!$N$4:$N$451,0)),""))=0,"",IFERROR(INDEX('ASIGNACIONES'!$J$4:$J$451,MATCH($O604&amp;"|"&amp;$R604&amp;"|"&amp;$AE604,'ASIGNACIONES'!$N$4:$N$451,0)),"")))</f>
        <v/>
      </c>
      <c r="AG604" s="14">
        <f>IF($AE604="","",SUMIFS('ORDENES'!$M$4:$M$1203,'ORDENES'!$AE$4:$AE$1203,$AE604,'ORDENES'!$O$4:$O$1203,$O604,'ORDENES'!$R$4:$R$1203,$R604))</f>
        <v/>
      </c>
      <c r="AH604" s="14">
        <f>IF($AG604="","",p_factor_productividad*IFERROR(INDEX('ASIGNACIONES'!$M$4:$M$451,MATCH($O604&amp;"|"&amp;$R604&amp;"|"&amp;$AE604,'ASIGNACIONES'!$N$4:$N$451,0)),0)-$AG604)</f>
        <v/>
      </c>
      <c r="AI604" s="11">
        <f>IF($A604="","",IFERROR(INDEX('2_IMPORTAR_EJECUCION'!$F$9:$F$1208,MATCH($AQ604,'2_IMPORTAR_EJECUCION'!$J$9:$J$1208,0)),0))</f>
        <v/>
      </c>
      <c r="AJ604" s="11">
        <f>IF($A604="","",MAX(0,IFERROR(INDEX('2_IMPORTAR_EJECUCION'!$H$9:$H$1208,MATCH($AQ604,'2_IMPORTAR_EJECUCION'!$J$9:$J$1208,0)),0)-$AI604))</f>
        <v/>
      </c>
      <c r="AK604" s="11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IF($H605="","",IFERROR(INDEX('CAT_ACTIVIDADES'!$B$4:$B$8,MATCH($H605,'CAT_ACTIVIDADES'!$A$4:$A$8,0)),"(sin catálogo)"))</f>
        <v/>
      </c>
      <c r="AA605" s="13">
        <f>IF($J605="","",TODAY()-$J605)</f>
        <v/>
      </c>
      <c r="AB605" s="13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IF($AE605="","",IF((IFERROR(INDEX('ASIGNACIONES'!$J$4:$J$451,MATCH($O605&amp;"|"&amp;$R605&amp;"|"&amp;$AE605,'ASIGNACIONES'!$N$4:$N$451,0)),""))=0,"",IFERROR(INDEX('ASIGNACIONES'!$J$4:$J$451,MATCH($O605&amp;"|"&amp;$R605&amp;"|"&amp;$AE605,'ASIGNACIONES'!$N$4:$N$451,0)),"")))</f>
        <v/>
      </c>
      <c r="AG605" s="14">
        <f>IF($AE605="","",SUMIFS('ORDENES'!$M$4:$M$1203,'ORDENES'!$AE$4:$AE$1203,$AE605,'ORDENES'!$O$4:$O$1203,$O605,'ORDENES'!$R$4:$R$1203,$R605))</f>
        <v/>
      </c>
      <c r="AH605" s="14">
        <f>IF($AG605="","",p_factor_productividad*IFERROR(INDEX('ASIGNACIONES'!$M$4:$M$451,MATCH($O605&amp;"|"&amp;$R605&amp;"|"&amp;$AE605,'ASIGNACIONES'!$N$4:$N$451,0)),0)-$AG605)</f>
        <v/>
      </c>
      <c r="AI605" s="11">
        <f>IF($A605="","",IFERROR(INDEX('2_IMPORTAR_EJECUCION'!$F$9:$F$1208,MATCH($AQ605,'2_IMPORTAR_EJECUCION'!$J$9:$J$1208,0)),0))</f>
        <v/>
      </c>
      <c r="AJ605" s="11">
        <f>IF($A605="","",MAX(0,IFERROR(INDEX('2_IMPORTAR_EJECUCION'!$H$9:$H$1208,MATCH($AQ605,'2_IMPORTAR_EJECUCION'!$J$9:$J$1208,0)),0)-$AI605))</f>
        <v/>
      </c>
      <c r="AK605" s="11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IF($H606="","",IFERROR(INDEX('CAT_ACTIVIDADES'!$B$4:$B$8,MATCH($H606,'CAT_ACTIVIDADES'!$A$4:$A$8,0)),"(sin catálogo)"))</f>
        <v/>
      </c>
      <c r="AA606" s="13">
        <f>IF($J606="","",TODAY()-$J606)</f>
        <v/>
      </c>
      <c r="AB606" s="13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IF($AE606="","",IF((IFERROR(INDEX('ASIGNACIONES'!$J$4:$J$451,MATCH($O606&amp;"|"&amp;$R606&amp;"|"&amp;$AE606,'ASIGNACIONES'!$N$4:$N$451,0)),""))=0,"",IFERROR(INDEX('ASIGNACIONES'!$J$4:$J$451,MATCH($O606&amp;"|"&amp;$R606&amp;"|"&amp;$AE606,'ASIGNACIONES'!$N$4:$N$451,0)),"")))</f>
        <v/>
      </c>
      <c r="AG606" s="14">
        <f>IF($AE606="","",SUMIFS('ORDENES'!$M$4:$M$1203,'ORDENES'!$AE$4:$AE$1203,$AE606,'ORDENES'!$O$4:$O$1203,$O606,'ORDENES'!$R$4:$R$1203,$R606))</f>
        <v/>
      </c>
      <c r="AH606" s="14">
        <f>IF($AG606="","",p_factor_productividad*IFERROR(INDEX('ASIGNACIONES'!$M$4:$M$451,MATCH($O606&amp;"|"&amp;$R606&amp;"|"&amp;$AE606,'ASIGNACIONES'!$N$4:$N$451,0)),0)-$AG606)</f>
        <v/>
      </c>
      <c r="AI606" s="11">
        <f>IF($A606="","",IFERROR(INDEX('2_IMPORTAR_EJECUCION'!$F$9:$F$1208,MATCH($AQ606,'2_IMPORTAR_EJECUCION'!$J$9:$J$1208,0)),0))</f>
        <v/>
      </c>
      <c r="AJ606" s="11">
        <f>IF($A606="","",MAX(0,IFERROR(INDEX('2_IMPORTAR_EJECUCION'!$H$9:$H$1208,MATCH($AQ606,'2_IMPORTAR_EJECUCION'!$J$9:$J$1208,0)),0)-$AI606))</f>
        <v/>
      </c>
      <c r="AK606" s="11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IF($H607="","",IFERROR(INDEX('CAT_ACTIVIDADES'!$B$4:$B$8,MATCH($H607,'CAT_ACTIVIDADES'!$A$4:$A$8,0)),"(sin catálogo)"))</f>
        <v/>
      </c>
      <c r="AA607" s="13">
        <f>IF($J607="","",TODAY()-$J607)</f>
        <v/>
      </c>
      <c r="AB607" s="13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IF($AE607="","",IF((IFERROR(INDEX('ASIGNACIONES'!$J$4:$J$451,MATCH($O607&amp;"|"&amp;$R607&amp;"|"&amp;$AE607,'ASIGNACIONES'!$N$4:$N$451,0)),""))=0,"",IFERROR(INDEX('ASIGNACIONES'!$J$4:$J$451,MATCH($O607&amp;"|"&amp;$R607&amp;"|"&amp;$AE607,'ASIGNACIONES'!$N$4:$N$451,0)),"")))</f>
        <v/>
      </c>
      <c r="AG607" s="14">
        <f>IF($AE607="","",SUMIFS('ORDENES'!$M$4:$M$1203,'ORDENES'!$AE$4:$AE$1203,$AE607,'ORDENES'!$O$4:$O$1203,$O607,'ORDENES'!$R$4:$R$1203,$R607))</f>
        <v/>
      </c>
      <c r="AH607" s="14">
        <f>IF($AG607="","",p_factor_productividad*IFERROR(INDEX('ASIGNACIONES'!$M$4:$M$451,MATCH($O607&amp;"|"&amp;$R607&amp;"|"&amp;$AE607,'ASIGNACIONES'!$N$4:$N$451,0)),0)-$AG607)</f>
        <v/>
      </c>
      <c r="AI607" s="11">
        <f>IF($A607="","",IFERROR(INDEX('2_IMPORTAR_EJECUCION'!$F$9:$F$1208,MATCH($AQ607,'2_IMPORTAR_EJECUCION'!$J$9:$J$1208,0)),0))</f>
        <v/>
      </c>
      <c r="AJ607" s="11">
        <f>IF($A607="","",MAX(0,IFERROR(INDEX('2_IMPORTAR_EJECUCION'!$H$9:$H$1208,MATCH($AQ607,'2_IMPORTAR_EJECUCION'!$J$9:$J$1208,0)),0)-$AI607))</f>
        <v/>
      </c>
      <c r="AK607" s="11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IF($H608="","",IFERROR(INDEX('CAT_ACTIVIDADES'!$B$4:$B$8,MATCH($H608,'CAT_ACTIVIDADES'!$A$4:$A$8,0)),"(sin catálogo)"))</f>
        <v/>
      </c>
      <c r="AA608" s="13">
        <f>IF($J608="","",TODAY()-$J608)</f>
        <v/>
      </c>
      <c r="AB608" s="13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IF($AE608="","",IF((IFERROR(INDEX('ASIGNACIONES'!$J$4:$J$451,MATCH($O608&amp;"|"&amp;$R608&amp;"|"&amp;$AE608,'ASIGNACIONES'!$N$4:$N$451,0)),""))=0,"",IFERROR(INDEX('ASIGNACIONES'!$J$4:$J$451,MATCH($O608&amp;"|"&amp;$R608&amp;"|"&amp;$AE608,'ASIGNACIONES'!$N$4:$N$451,0)),"")))</f>
        <v/>
      </c>
      <c r="AG608" s="14">
        <f>IF($AE608="","",SUMIFS('ORDENES'!$M$4:$M$1203,'ORDENES'!$AE$4:$AE$1203,$AE608,'ORDENES'!$O$4:$O$1203,$O608,'ORDENES'!$R$4:$R$1203,$R608))</f>
        <v/>
      </c>
      <c r="AH608" s="14">
        <f>IF($AG608="","",p_factor_productividad*IFERROR(INDEX('ASIGNACIONES'!$M$4:$M$451,MATCH($O608&amp;"|"&amp;$R608&amp;"|"&amp;$AE608,'ASIGNACIONES'!$N$4:$N$451,0)),0)-$AG608)</f>
        <v/>
      </c>
      <c r="AI608" s="11">
        <f>IF($A608="","",IFERROR(INDEX('2_IMPORTAR_EJECUCION'!$F$9:$F$1208,MATCH($AQ608,'2_IMPORTAR_EJECUCION'!$J$9:$J$1208,0)),0))</f>
        <v/>
      </c>
      <c r="AJ608" s="11">
        <f>IF($A608="","",MAX(0,IFERROR(INDEX('2_IMPORTAR_EJECUCION'!$H$9:$H$1208,MATCH($AQ608,'2_IMPORTAR_EJECUCION'!$J$9:$J$1208,0)),0)-$AI608))</f>
        <v/>
      </c>
      <c r="AK608" s="11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IF($H609="","",IFERROR(INDEX('CAT_ACTIVIDADES'!$B$4:$B$8,MATCH($H609,'CAT_ACTIVIDADES'!$A$4:$A$8,0)),"(sin catálogo)"))</f>
        <v/>
      </c>
      <c r="AA609" s="13">
        <f>IF($J609="","",TODAY()-$J609)</f>
        <v/>
      </c>
      <c r="AB609" s="13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IF($AE609="","",IF((IFERROR(INDEX('ASIGNACIONES'!$J$4:$J$451,MATCH($O609&amp;"|"&amp;$R609&amp;"|"&amp;$AE609,'ASIGNACIONES'!$N$4:$N$451,0)),""))=0,"",IFERROR(INDEX('ASIGNACIONES'!$J$4:$J$451,MATCH($O609&amp;"|"&amp;$R609&amp;"|"&amp;$AE609,'ASIGNACIONES'!$N$4:$N$451,0)),"")))</f>
        <v/>
      </c>
      <c r="AG609" s="14">
        <f>IF($AE609="","",SUMIFS('ORDENES'!$M$4:$M$1203,'ORDENES'!$AE$4:$AE$1203,$AE609,'ORDENES'!$O$4:$O$1203,$O609,'ORDENES'!$R$4:$R$1203,$R609))</f>
        <v/>
      </c>
      <c r="AH609" s="14">
        <f>IF($AG609="","",p_factor_productividad*IFERROR(INDEX('ASIGNACIONES'!$M$4:$M$451,MATCH($O609&amp;"|"&amp;$R609&amp;"|"&amp;$AE609,'ASIGNACIONES'!$N$4:$N$451,0)),0)-$AG609)</f>
        <v/>
      </c>
      <c r="AI609" s="11">
        <f>IF($A609="","",IFERROR(INDEX('2_IMPORTAR_EJECUCION'!$F$9:$F$1208,MATCH($AQ609,'2_IMPORTAR_EJECUCION'!$J$9:$J$1208,0)),0))</f>
        <v/>
      </c>
      <c r="AJ609" s="11">
        <f>IF($A609="","",MAX(0,IFERROR(INDEX('2_IMPORTAR_EJECUCION'!$H$9:$H$1208,MATCH($AQ609,'2_IMPORTAR_EJECUCION'!$J$9:$J$1208,0)),0)-$AI609))</f>
        <v/>
      </c>
      <c r="AK609" s="11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IF($H610="","",IFERROR(INDEX('CAT_ACTIVIDADES'!$B$4:$B$8,MATCH($H610,'CAT_ACTIVIDADES'!$A$4:$A$8,0)),"(sin catálogo)"))</f>
        <v/>
      </c>
      <c r="AA610" s="13">
        <f>IF($J610="","",TODAY()-$J610)</f>
        <v/>
      </c>
      <c r="AB610" s="13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IF($AE610="","",IF((IFERROR(INDEX('ASIGNACIONES'!$J$4:$J$451,MATCH($O610&amp;"|"&amp;$R610&amp;"|"&amp;$AE610,'ASIGNACIONES'!$N$4:$N$451,0)),""))=0,"",IFERROR(INDEX('ASIGNACIONES'!$J$4:$J$451,MATCH($O610&amp;"|"&amp;$R610&amp;"|"&amp;$AE610,'ASIGNACIONES'!$N$4:$N$451,0)),"")))</f>
        <v/>
      </c>
      <c r="AG610" s="14">
        <f>IF($AE610="","",SUMIFS('ORDENES'!$M$4:$M$1203,'ORDENES'!$AE$4:$AE$1203,$AE610,'ORDENES'!$O$4:$O$1203,$O610,'ORDENES'!$R$4:$R$1203,$R610))</f>
        <v/>
      </c>
      <c r="AH610" s="14">
        <f>IF($AG610="","",p_factor_productividad*IFERROR(INDEX('ASIGNACIONES'!$M$4:$M$451,MATCH($O610&amp;"|"&amp;$R610&amp;"|"&amp;$AE610,'ASIGNACIONES'!$N$4:$N$451,0)),0)-$AG610)</f>
        <v/>
      </c>
      <c r="AI610" s="11">
        <f>IF($A610="","",IFERROR(INDEX('2_IMPORTAR_EJECUCION'!$F$9:$F$1208,MATCH($AQ610,'2_IMPORTAR_EJECUCION'!$J$9:$J$1208,0)),0))</f>
        <v/>
      </c>
      <c r="AJ610" s="11">
        <f>IF($A610="","",MAX(0,IFERROR(INDEX('2_IMPORTAR_EJECUCION'!$H$9:$H$1208,MATCH($AQ610,'2_IMPORTAR_EJECUCION'!$J$9:$J$1208,0)),0)-$AI610))</f>
        <v/>
      </c>
      <c r="AK610" s="11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IF($H611="","",IFERROR(INDEX('CAT_ACTIVIDADES'!$B$4:$B$8,MATCH($H611,'CAT_ACTIVIDADES'!$A$4:$A$8,0)),"(sin catálogo)"))</f>
        <v/>
      </c>
      <c r="AA611" s="13">
        <f>IF($J611="","",TODAY()-$J611)</f>
        <v/>
      </c>
      <c r="AB611" s="13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IF($AE611="","",IF((IFERROR(INDEX('ASIGNACIONES'!$J$4:$J$451,MATCH($O611&amp;"|"&amp;$R611&amp;"|"&amp;$AE611,'ASIGNACIONES'!$N$4:$N$451,0)),""))=0,"",IFERROR(INDEX('ASIGNACIONES'!$J$4:$J$451,MATCH($O611&amp;"|"&amp;$R611&amp;"|"&amp;$AE611,'ASIGNACIONES'!$N$4:$N$451,0)),"")))</f>
        <v/>
      </c>
      <c r="AG611" s="14">
        <f>IF($AE611="","",SUMIFS('ORDENES'!$M$4:$M$1203,'ORDENES'!$AE$4:$AE$1203,$AE611,'ORDENES'!$O$4:$O$1203,$O611,'ORDENES'!$R$4:$R$1203,$R611))</f>
        <v/>
      </c>
      <c r="AH611" s="14">
        <f>IF($AG611="","",p_factor_productividad*IFERROR(INDEX('ASIGNACIONES'!$M$4:$M$451,MATCH($O611&amp;"|"&amp;$R611&amp;"|"&amp;$AE611,'ASIGNACIONES'!$N$4:$N$451,0)),0)-$AG611)</f>
        <v/>
      </c>
      <c r="AI611" s="11">
        <f>IF($A611="","",IFERROR(INDEX('2_IMPORTAR_EJECUCION'!$F$9:$F$1208,MATCH($AQ611,'2_IMPORTAR_EJECUCION'!$J$9:$J$1208,0)),0))</f>
        <v/>
      </c>
      <c r="AJ611" s="11">
        <f>IF($A611="","",MAX(0,IFERROR(INDEX('2_IMPORTAR_EJECUCION'!$H$9:$H$1208,MATCH($AQ611,'2_IMPORTAR_EJECUCION'!$J$9:$J$1208,0)),0)-$AI611))</f>
        <v/>
      </c>
      <c r="AK611" s="11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IF($H612="","",IFERROR(INDEX('CAT_ACTIVIDADES'!$B$4:$B$8,MATCH($H612,'CAT_ACTIVIDADES'!$A$4:$A$8,0)),"(sin catálogo)"))</f>
        <v/>
      </c>
      <c r="AA612" s="13">
        <f>IF($J612="","",TODAY()-$J612)</f>
        <v/>
      </c>
      <c r="AB612" s="13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IF($AE612="","",IF((IFERROR(INDEX('ASIGNACIONES'!$J$4:$J$451,MATCH($O612&amp;"|"&amp;$R612&amp;"|"&amp;$AE612,'ASIGNACIONES'!$N$4:$N$451,0)),""))=0,"",IFERROR(INDEX('ASIGNACIONES'!$J$4:$J$451,MATCH($O612&amp;"|"&amp;$R612&amp;"|"&amp;$AE612,'ASIGNACIONES'!$N$4:$N$451,0)),"")))</f>
        <v/>
      </c>
      <c r="AG612" s="14">
        <f>IF($AE612="","",SUMIFS('ORDENES'!$M$4:$M$1203,'ORDENES'!$AE$4:$AE$1203,$AE612,'ORDENES'!$O$4:$O$1203,$O612,'ORDENES'!$R$4:$R$1203,$R612))</f>
        <v/>
      </c>
      <c r="AH612" s="14">
        <f>IF($AG612="","",p_factor_productividad*IFERROR(INDEX('ASIGNACIONES'!$M$4:$M$451,MATCH($O612&amp;"|"&amp;$R612&amp;"|"&amp;$AE612,'ASIGNACIONES'!$N$4:$N$451,0)),0)-$AG612)</f>
        <v/>
      </c>
      <c r="AI612" s="11">
        <f>IF($A612="","",IFERROR(INDEX('2_IMPORTAR_EJECUCION'!$F$9:$F$1208,MATCH($AQ612,'2_IMPORTAR_EJECUCION'!$J$9:$J$1208,0)),0))</f>
        <v/>
      </c>
      <c r="AJ612" s="11">
        <f>IF($A612="","",MAX(0,IFERROR(INDEX('2_IMPORTAR_EJECUCION'!$H$9:$H$1208,MATCH($AQ612,'2_IMPORTAR_EJECUCION'!$J$9:$J$1208,0)),0)-$AI612))</f>
        <v/>
      </c>
      <c r="AK612" s="11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IF($H613="","",IFERROR(INDEX('CAT_ACTIVIDADES'!$B$4:$B$8,MATCH($H613,'CAT_ACTIVIDADES'!$A$4:$A$8,0)),"(sin catálogo)"))</f>
        <v/>
      </c>
      <c r="AA613" s="13">
        <f>IF($J613="","",TODAY()-$J613)</f>
        <v/>
      </c>
      <c r="AB613" s="13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IF($AE613="","",IF((IFERROR(INDEX('ASIGNACIONES'!$J$4:$J$451,MATCH($O613&amp;"|"&amp;$R613&amp;"|"&amp;$AE613,'ASIGNACIONES'!$N$4:$N$451,0)),""))=0,"",IFERROR(INDEX('ASIGNACIONES'!$J$4:$J$451,MATCH($O613&amp;"|"&amp;$R613&amp;"|"&amp;$AE613,'ASIGNACIONES'!$N$4:$N$451,0)),"")))</f>
        <v/>
      </c>
      <c r="AG613" s="14">
        <f>IF($AE613="","",SUMIFS('ORDENES'!$M$4:$M$1203,'ORDENES'!$AE$4:$AE$1203,$AE613,'ORDENES'!$O$4:$O$1203,$O613,'ORDENES'!$R$4:$R$1203,$R613))</f>
        <v/>
      </c>
      <c r="AH613" s="14">
        <f>IF($AG613="","",p_factor_productividad*IFERROR(INDEX('ASIGNACIONES'!$M$4:$M$451,MATCH($O613&amp;"|"&amp;$R613&amp;"|"&amp;$AE613,'ASIGNACIONES'!$N$4:$N$451,0)),0)-$AG613)</f>
        <v/>
      </c>
      <c r="AI613" s="11">
        <f>IF($A613="","",IFERROR(INDEX('2_IMPORTAR_EJECUCION'!$F$9:$F$1208,MATCH($AQ613,'2_IMPORTAR_EJECUCION'!$J$9:$J$1208,0)),0))</f>
        <v/>
      </c>
      <c r="AJ613" s="11">
        <f>IF($A613="","",MAX(0,IFERROR(INDEX('2_IMPORTAR_EJECUCION'!$H$9:$H$1208,MATCH($AQ613,'2_IMPORTAR_EJECUCION'!$J$9:$J$1208,0)),0)-$AI613))</f>
        <v/>
      </c>
      <c r="AK613" s="11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IF($H614="","",IFERROR(INDEX('CAT_ACTIVIDADES'!$B$4:$B$8,MATCH($H614,'CAT_ACTIVIDADES'!$A$4:$A$8,0)),"(sin catálogo)"))</f>
        <v/>
      </c>
      <c r="AA614" s="13">
        <f>IF($J614="","",TODAY()-$J614)</f>
        <v/>
      </c>
      <c r="AB614" s="13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IF($AE614="","",IF((IFERROR(INDEX('ASIGNACIONES'!$J$4:$J$451,MATCH($O614&amp;"|"&amp;$R614&amp;"|"&amp;$AE614,'ASIGNACIONES'!$N$4:$N$451,0)),""))=0,"",IFERROR(INDEX('ASIGNACIONES'!$J$4:$J$451,MATCH($O614&amp;"|"&amp;$R614&amp;"|"&amp;$AE614,'ASIGNACIONES'!$N$4:$N$451,0)),"")))</f>
        <v/>
      </c>
      <c r="AG614" s="14">
        <f>IF($AE614="","",SUMIFS('ORDENES'!$M$4:$M$1203,'ORDENES'!$AE$4:$AE$1203,$AE614,'ORDENES'!$O$4:$O$1203,$O614,'ORDENES'!$R$4:$R$1203,$R614))</f>
        <v/>
      </c>
      <c r="AH614" s="14">
        <f>IF($AG614="","",p_factor_productividad*IFERROR(INDEX('ASIGNACIONES'!$M$4:$M$451,MATCH($O614&amp;"|"&amp;$R614&amp;"|"&amp;$AE614,'ASIGNACIONES'!$N$4:$N$451,0)),0)-$AG614)</f>
        <v/>
      </c>
      <c r="AI614" s="11">
        <f>IF($A614="","",IFERROR(INDEX('2_IMPORTAR_EJECUCION'!$F$9:$F$1208,MATCH($AQ614,'2_IMPORTAR_EJECUCION'!$J$9:$J$1208,0)),0))</f>
        <v/>
      </c>
      <c r="AJ614" s="11">
        <f>IF($A614="","",MAX(0,IFERROR(INDEX('2_IMPORTAR_EJECUCION'!$H$9:$H$1208,MATCH($AQ614,'2_IMPORTAR_EJECUCION'!$J$9:$J$1208,0)),0)-$AI614))</f>
        <v/>
      </c>
      <c r="AK614" s="11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IF($H615="","",IFERROR(INDEX('CAT_ACTIVIDADES'!$B$4:$B$8,MATCH($H615,'CAT_ACTIVIDADES'!$A$4:$A$8,0)),"(sin catálogo)"))</f>
        <v/>
      </c>
      <c r="AA615" s="13">
        <f>IF($J615="","",TODAY()-$J615)</f>
        <v/>
      </c>
      <c r="AB615" s="13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IF($AE615="","",IF((IFERROR(INDEX('ASIGNACIONES'!$J$4:$J$451,MATCH($O615&amp;"|"&amp;$R615&amp;"|"&amp;$AE615,'ASIGNACIONES'!$N$4:$N$451,0)),""))=0,"",IFERROR(INDEX('ASIGNACIONES'!$J$4:$J$451,MATCH($O615&amp;"|"&amp;$R615&amp;"|"&amp;$AE615,'ASIGNACIONES'!$N$4:$N$451,0)),"")))</f>
        <v/>
      </c>
      <c r="AG615" s="14">
        <f>IF($AE615="","",SUMIFS('ORDENES'!$M$4:$M$1203,'ORDENES'!$AE$4:$AE$1203,$AE615,'ORDENES'!$O$4:$O$1203,$O615,'ORDENES'!$R$4:$R$1203,$R615))</f>
        <v/>
      </c>
      <c r="AH615" s="14">
        <f>IF($AG615="","",p_factor_productividad*IFERROR(INDEX('ASIGNACIONES'!$M$4:$M$451,MATCH($O615&amp;"|"&amp;$R615&amp;"|"&amp;$AE615,'ASIGNACIONES'!$N$4:$N$451,0)),0)-$AG615)</f>
        <v/>
      </c>
      <c r="AI615" s="11">
        <f>IF($A615="","",IFERROR(INDEX('2_IMPORTAR_EJECUCION'!$F$9:$F$1208,MATCH($AQ615,'2_IMPORTAR_EJECUCION'!$J$9:$J$1208,0)),0))</f>
        <v/>
      </c>
      <c r="AJ615" s="11">
        <f>IF($A615="","",MAX(0,IFERROR(INDEX('2_IMPORTAR_EJECUCION'!$H$9:$H$1208,MATCH($AQ615,'2_IMPORTAR_EJECUCION'!$J$9:$J$1208,0)),0)-$AI615))</f>
        <v/>
      </c>
      <c r="AK615" s="11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IF($H616="","",IFERROR(INDEX('CAT_ACTIVIDADES'!$B$4:$B$8,MATCH($H616,'CAT_ACTIVIDADES'!$A$4:$A$8,0)),"(sin catálogo)"))</f>
        <v/>
      </c>
      <c r="AA616" s="13">
        <f>IF($J616="","",TODAY()-$J616)</f>
        <v/>
      </c>
      <c r="AB616" s="13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IF($AE616="","",IF((IFERROR(INDEX('ASIGNACIONES'!$J$4:$J$451,MATCH($O616&amp;"|"&amp;$R616&amp;"|"&amp;$AE616,'ASIGNACIONES'!$N$4:$N$451,0)),""))=0,"",IFERROR(INDEX('ASIGNACIONES'!$J$4:$J$451,MATCH($O616&amp;"|"&amp;$R616&amp;"|"&amp;$AE616,'ASIGNACIONES'!$N$4:$N$451,0)),"")))</f>
        <v/>
      </c>
      <c r="AG616" s="14">
        <f>IF($AE616="","",SUMIFS('ORDENES'!$M$4:$M$1203,'ORDENES'!$AE$4:$AE$1203,$AE616,'ORDENES'!$O$4:$O$1203,$O616,'ORDENES'!$R$4:$R$1203,$R616))</f>
        <v/>
      </c>
      <c r="AH616" s="14">
        <f>IF($AG616="","",p_factor_productividad*IFERROR(INDEX('ASIGNACIONES'!$M$4:$M$451,MATCH($O616&amp;"|"&amp;$R616&amp;"|"&amp;$AE616,'ASIGNACIONES'!$N$4:$N$451,0)),0)-$AG616)</f>
        <v/>
      </c>
      <c r="AI616" s="11">
        <f>IF($A616="","",IFERROR(INDEX('2_IMPORTAR_EJECUCION'!$F$9:$F$1208,MATCH($AQ616,'2_IMPORTAR_EJECUCION'!$J$9:$J$1208,0)),0))</f>
        <v/>
      </c>
      <c r="AJ616" s="11">
        <f>IF($A616="","",MAX(0,IFERROR(INDEX('2_IMPORTAR_EJECUCION'!$H$9:$H$1208,MATCH($AQ616,'2_IMPORTAR_EJECUCION'!$J$9:$J$1208,0)),0)-$AI616))</f>
        <v/>
      </c>
      <c r="AK616" s="11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IF($H617="","",IFERROR(INDEX('CAT_ACTIVIDADES'!$B$4:$B$8,MATCH($H617,'CAT_ACTIVIDADES'!$A$4:$A$8,0)),"(sin catálogo)"))</f>
        <v/>
      </c>
      <c r="AA617" s="13">
        <f>IF($J617="","",TODAY()-$J617)</f>
        <v/>
      </c>
      <c r="AB617" s="13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IF($AE617="","",IF((IFERROR(INDEX('ASIGNACIONES'!$J$4:$J$451,MATCH($O617&amp;"|"&amp;$R617&amp;"|"&amp;$AE617,'ASIGNACIONES'!$N$4:$N$451,0)),""))=0,"",IFERROR(INDEX('ASIGNACIONES'!$J$4:$J$451,MATCH($O617&amp;"|"&amp;$R617&amp;"|"&amp;$AE617,'ASIGNACIONES'!$N$4:$N$451,0)),"")))</f>
        <v/>
      </c>
      <c r="AG617" s="14">
        <f>IF($AE617="","",SUMIFS('ORDENES'!$M$4:$M$1203,'ORDENES'!$AE$4:$AE$1203,$AE617,'ORDENES'!$O$4:$O$1203,$O617,'ORDENES'!$R$4:$R$1203,$R617))</f>
        <v/>
      </c>
      <c r="AH617" s="14">
        <f>IF($AG617="","",p_factor_productividad*IFERROR(INDEX('ASIGNACIONES'!$M$4:$M$451,MATCH($O617&amp;"|"&amp;$R617&amp;"|"&amp;$AE617,'ASIGNACIONES'!$N$4:$N$451,0)),0)-$AG617)</f>
        <v/>
      </c>
      <c r="AI617" s="11">
        <f>IF($A617="","",IFERROR(INDEX('2_IMPORTAR_EJECUCION'!$F$9:$F$1208,MATCH($AQ617,'2_IMPORTAR_EJECUCION'!$J$9:$J$1208,0)),0))</f>
        <v/>
      </c>
      <c r="AJ617" s="11">
        <f>IF($A617="","",MAX(0,IFERROR(INDEX('2_IMPORTAR_EJECUCION'!$H$9:$H$1208,MATCH($AQ617,'2_IMPORTAR_EJECUCION'!$J$9:$J$1208,0)),0)-$AI617))</f>
        <v/>
      </c>
      <c r="AK617" s="11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IF($H618="","",IFERROR(INDEX('CAT_ACTIVIDADES'!$B$4:$B$8,MATCH($H618,'CAT_ACTIVIDADES'!$A$4:$A$8,0)),"(sin catálogo)"))</f>
        <v/>
      </c>
      <c r="AA618" s="13">
        <f>IF($J618="","",TODAY()-$J618)</f>
        <v/>
      </c>
      <c r="AB618" s="13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IF($AE618="","",IF((IFERROR(INDEX('ASIGNACIONES'!$J$4:$J$451,MATCH($O618&amp;"|"&amp;$R618&amp;"|"&amp;$AE618,'ASIGNACIONES'!$N$4:$N$451,0)),""))=0,"",IFERROR(INDEX('ASIGNACIONES'!$J$4:$J$451,MATCH($O618&amp;"|"&amp;$R618&amp;"|"&amp;$AE618,'ASIGNACIONES'!$N$4:$N$451,0)),"")))</f>
        <v/>
      </c>
      <c r="AG618" s="14">
        <f>IF($AE618="","",SUMIFS('ORDENES'!$M$4:$M$1203,'ORDENES'!$AE$4:$AE$1203,$AE618,'ORDENES'!$O$4:$O$1203,$O618,'ORDENES'!$R$4:$R$1203,$R618))</f>
        <v/>
      </c>
      <c r="AH618" s="14">
        <f>IF($AG618="","",p_factor_productividad*IFERROR(INDEX('ASIGNACIONES'!$M$4:$M$451,MATCH($O618&amp;"|"&amp;$R618&amp;"|"&amp;$AE618,'ASIGNACIONES'!$N$4:$N$451,0)),0)-$AG618)</f>
        <v/>
      </c>
      <c r="AI618" s="11">
        <f>IF($A618="","",IFERROR(INDEX('2_IMPORTAR_EJECUCION'!$F$9:$F$1208,MATCH($AQ618,'2_IMPORTAR_EJECUCION'!$J$9:$J$1208,0)),0))</f>
        <v/>
      </c>
      <c r="AJ618" s="11">
        <f>IF($A618="","",MAX(0,IFERROR(INDEX('2_IMPORTAR_EJECUCION'!$H$9:$H$1208,MATCH($AQ618,'2_IMPORTAR_EJECUCION'!$J$9:$J$1208,0)),0)-$AI618))</f>
        <v/>
      </c>
      <c r="AK618" s="11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IF($H619="","",IFERROR(INDEX('CAT_ACTIVIDADES'!$B$4:$B$8,MATCH($H619,'CAT_ACTIVIDADES'!$A$4:$A$8,0)),"(sin catálogo)"))</f>
        <v/>
      </c>
      <c r="AA619" s="13">
        <f>IF($J619="","",TODAY()-$J619)</f>
        <v/>
      </c>
      <c r="AB619" s="13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IF($AE619="","",IF((IFERROR(INDEX('ASIGNACIONES'!$J$4:$J$451,MATCH($O619&amp;"|"&amp;$R619&amp;"|"&amp;$AE619,'ASIGNACIONES'!$N$4:$N$451,0)),""))=0,"",IFERROR(INDEX('ASIGNACIONES'!$J$4:$J$451,MATCH($O619&amp;"|"&amp;$R619&amp;"|"&amp;$AE619,'ASIGNACIONES'!$N$4:$N$451,0)),"")))</f>
        <v/>
      </c>
      <c r="AG619" s="14">
        <f>IF($AE619="","",SUMIFS('ORDENES'!$M$4:$M$1203,'ORDENES'!$AE$4:$AE$1203,$AE619,'ORDENES'!$O$4:$O$1203,$O619,'ORDENES'!$R$4:$R$1203,$R619))</f>
        <v/>
      </c>
      <c r="AH619" s="14">
        <f>IF($AG619="","",p_factor_productividad*IFERROR(INDEX('ASIGNACIONES'!$M$4:$M$451,MATCH($O619&amp;"|"&amp;$R619&amp;"|"&amp;$AE619,'ASIGNACIONES'!$N$4:$N$451,0)),0)-$AG619)</f>
        <v/>
      </c>
      <c r="AI619" s="11">
        <f>IF($A619="","",IFERROR(INDEX('2_IMPORTAR_EJECUCION'!$F$9:$F$1208,MATCH($AQ619,'2_IMPORTAR_EJECUCION'!$J$9:$J$1208,0)),0))</f>
        <v/>
      </c>
      <c r="AJ619" s="11">
        <f>IF($A619="","",MAX(0,IFERROR(INDEX('2_IMPORTAR_EJECUCION'!$H$9:$H$1208,MATCH($AQ619,'2_IMPORTAR_EJECUCION'!$J$9:$J$1208,0)),0)-$AI619))</f>
        <v/>
      </c>
      <c r="AK619" s="11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IF($H620="","",IFERROR(INDEX('CAT_ACTIVIDADES'!$B$4:$B$8,MATCH($H620,'CAT_ACTIVIDADES'!$A$4:$A$8,0)),"(sin catálogo)"))</f>
        <v/>
      </c>
      <c r="AA620" s="13">
        <f>IF($J620="","",TODAY()-$J620)</f>
        <v/>
      </c>
      <c r="AB620" s="13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IF($AE620="","",IF((IFERROR(INDEX('ASIGNACIONES'!$J$4:$J$451,MATCH($O620&amp;"|"&amp;$R620&amp;"|"&amp;$AE620,'ASIGNACIONES'!$N$4:$N$451,0)),""))=0,"",IFERROR(INDEX('ASIGNACIONES'!$J$4:$J$451,MATCH($O620&amp;"|"&amp;$R620&amp;"|"&amp;$AE620,'ASIGNACIONES'!$N$4:$N$451,0)),"")))</f>
        <v/>
      </c>
      <c r="AG620" s="14">
        <f>IF($AE620="","",SUMIFS('ORDENES'!$M$4:$M$1203,'ORDENES'!$AE$4:$AE$1203,$AE620,'ORDENES'!$O$4:$O$1203,$O620,'ORDENES'!$R$4:$R$1203,$R620))</f>
        <v/>
      </c>
      <c r="AH620" s="14">
        <f>IF($AG620="","",p_factor_productividad*IFERROR(INDEX('ASIGNACIONES'!$M$4:$M$451,MATCH($O620&amp;"|"&amp;$R620&amp;"|"&amp;$AE620,'ASIGNACIONES'!$N$4:$N$451,0)),0)-$AG620)</f>
        <v/>
      </c>
      <c r="AI620" s="11">
        <f>IF($A620="","",IFERROR(INDEX('2_IMPORTAR_EJECUCION'!$F$9:$F$1208,MATCH($AQ620,'2_IMPORTAR_EJECUCION'!$J$9:$J$1208,0)),0))</f>
        <v/>
      </c>
      <c r="AJ620" s="11">
        <f>IF($A620="","",MAX(0,IFERROR(INDEX('2_IMPORTAR_EJECUCION'!$H$9:$H$1208,MATCH($AQ620,'2_IMPORTAR_EJECUCION'!$J$9:$J$1208,0)),0)-$AI620))</f>
        <v/>
      </c>
      <c r="AK620" s="11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IF($H621="","",IFERROR(INDEX('CAT_ACTIVIDADES'!$B$4:$B$8,MATCH($H621,'CAT_ACTIVIDADES'!$A$4:$A$8,0)),"(sin catálogo)"))</f>
        <v/>
      </c>
      <c r="AA621" s="13">
        <f>IF($J621="","",TODAY()-$J621)</f>
        <v/>
      </c>
      <c r="AB621" s="13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IF($AE621="","",IF((IFERROR(INDEX('ASIGNACIONES'!$J$4:$J$451,MATCH($O621&amp;"|"&amp;$R621&amp;"|"&amp;$AE621,'ASIGNACIONES'!$N$4:$N$451,0)),""))=0,"",IFERROR(INDEX('ASIGNACIONES'!$J$4:$J$451,MATCH($O621&amp;"|"&amp;$R621&amp;"|"&amp;$AE621,'ASIGNACIONES'!$N$4:$N$451,0)),"")))</f>
        <v/>
      </c>
      <c r="AG621" s="14">
        <f>IF($AE621="","",SUMIFS('ORDENES'!$M$4:$M$1203,'ORDENES'!$AE$4:$AE$1203,$AE621,'ORDENES'!$O$4:$O$1203,$O621,'ORDENES'!$R$4:$R$1203,$R621))</f>
        <v/>
      </c>
      <c r="AH621" s="14">
        <f>IF($AG621="","",p_factor_productividad*IFERROR(INDEX('ASIGNACIONES'!$M$4:$M$451,MATCH($O621&amp;"|"&amp;$R621&amp;"|"&amp;$AE621,'ASIGNACIONES'!$N$4:$N$451,0)),0)-$AG621)</f>
        <v/>
      </c>
      <c r="AI621" s="11">
        <f>IF($A621="","",IFERROR(INDEX('2_IMPORTAR_EJECUCION'!$F$9:$F$1208,MATCH($AQ621,'2_IMPORTAR_EJECUCION'!$J$9:$J$1208,0)),0))</f>
        <v/>
      </c>
      <c r="AJ621" s="11">
        <f>IF($A621="","",MAX(0,IFERROR(INDEX('2_IMPORTAR_EJECUCION'!$H$9:$H$1208,MATCH($AQ621,'2_IMPORTAR_EJECUCION'!$J$9:$J$1208,0)),0)-$AI621))</f>
        <v/>
      </c>
      <c r="AK621" s="11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IF($H622="","",IFERROR(INDEX('CAT_ACTIVIDADES'!$B$4:$B$8,MATCH($H622,'CAT_ACTIVIDADES'!$A$4:$A$8,0)),"(sin catálogo)"))</f>
        <v/>
      </c>
      <c r="AA622" s="13">
        <f>IF($J622="","",TODAY()-$J622)</f>
        <v/>
      </c>
      <c r="AB622" s="13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IF($AE622="","",IF((IFERROR(INDEX('ASIGNACIONES'!$J$4:$J$451,MATCH($O622&amp;"|"&amp;$R622&amp;"|"&amp;$AE622,'ASIGNACIONES'!$N$4:$N$451,0)),""))=0,"",IFERROR(INDEX('ASIGNACIONES'!$J$4:$J$451,MATCH($O622&amp;"|"&amp;$R622&amp;"|"&amp;$AE622,'ASIGNACIONES'!$N$4:$N$451,0)),"")))</f>
        <v/>
      </c>
      <c r="AG622" s="14">
        <f>IF($AE622="","",SUMIFS('ORDENES'!$M$4:$M$1203,'ORDENES'!$AE$4:$AE$1203,$AE622,'ORDENES'!$O$4:$O$1203,$O622,'ORDENES'!$R$4:$R$1203,$R622))</f>
        <v/>
      </c>
      <c r="AH622" s="14">
        <f>IF($AG622="","",p_factor_productividad*IFERROR(INDEX('ASIGNACIONES'!$M$4:$M$451,MATCH($O622&amp;"|"&amp;$R622&amp;"|"&amp;$AE622,'ASIGNACIONES'!$N$4:$N$451,0)),0)-$AG622)</f>
        <v/>
      </c>
      <c r="AI622" s="11">
        <f>IF($A622="","",IFERROR(INDEX('2_IMPORTAR_EJECUCION'!$F$9:$F$1208,MATCH($AQ622,'2_IMPORTAR_EJECUCION'!$J$9:$J$1208,0)),0))</f>
        <v/>
      </c>
      <c r="AJ622" s="11">
        <f>IF($A622="","",MAX(0,IFERROR(INDEX('2_IMPORTAR_EJECUCION'!$H$9:$H$1208,MATCH($AQ622,'2_IMPORTAR_EJECUCION'!$J$9:$J$1208,0)),0)-$AI622))</f>
        <v/>
      </c>
      <c r="AK622" s="11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IF($H623="","",IFERROR(INDEX('CAT_ACTIVIDADES'!$B$4:$B$8,MATCH($H623,'CAT_ACTIVIDADES'!$A$4:$A$8,0)),"(sin catálogo)"))</f>
        <v/>
      </c>
      <c r="AA623" s="13">
        <f>IF($J623="","",TODAY()-$J623)</f>
        <v/>
      </c>
      <c r="AB623" s="13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IF($AE623="","",IF((IFERROR(INDEX('ASIGNACIONES'!$J$4:$J$451,MATCH($O623&amp;"|"&amp;$R623&amp;"|"&amp;$AE623,'ASIGNACIONES'!$N$4:$N$451,0)),""))=0,"",IFERROR(INDEX('ASIGNACIONES'!$J$4:$J$451,MATCH($O623&amp;"|"&amp;$R623&amp;"|"&amp;$AE623,'ASIGNACIONES'!$N$4:$N$451,0)),"")))</f>
        <v/>
      </c>
      <c r="AG623" s="14">
        <f>IF($AE623="","",SUMIFS('ORDENES'!$M$4:$M$1203,'ORDENES'!$AE$4:$AE$1203,$AE623,'ORDENES'!$O$4:$O$1203,$O623,'ORDENES'!$R$4:$R$1203,$R623))</f>
        <v/>
      </c>
      <c r="AH623" s="14">
        <f>IF($AG623="","",p_factor_productividad*IFERROR(INDEX('ASIGNACIONES'!$M$4:$M$451,MATCH($O623&amp;"|"&amp;$R623&amp;"|"&amp;$AE623,'ASIGNACIONES'!$N$4:$N$451,0)),0)-$AG623)</f>
        <v/>
      </c>
      <c r="AI623" s="11">
        <f>IF($A623="","",IFERROR(INDEX('2_IMPORTAR_EJECUCION'!$F$9:$F$1208,MATCH($AQ623,'2_IMPORTAR_EJECUCION'!$J$9:$J$1208,0)),0))</f>
        <v/>
      </c>
      <c r="AJ623" s="11">
        <f>IF($A623="","",MAX(0,IFERROR(INDEX('2_IMPORTAR_EJECUCION'!$H$9:$H$1208,MATCH($AQ623,'2_IMPORTAR_EJECUCION'!$J$9:$J$1208,0)),0)-$AI623))</f>
        <v/>
      </c>
      <c r="AK623" s="11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IF($H624="","",IFERROR(INDEX('CAT_ACTIVIDADES'!$B$4:$B$8,MATCH($H624,'CAT_ACTIVIDADES'!$A$4:$A$8,0)),"(sin catálogo)"))</f>
        <v/>
      </c>
      <c r="AA624" s="13">
        <f>IF($J624="","",TODAY()-$J624)</f>
        <v/>
      </c>
      <c r="AB624" s="13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IF($AE624="","",IF((IFERROR(INDEX('ASIGNACIONES'!$J$4:$J$451,MATCH($O624&amp;"|"&amp;$R624&amp;"|"&amp;$AE624,'ASIGNACIONES'!$N$4:$N$451,0)),""))=0,"",IFERROR(INDEX('ASIGNACIONES'!$J$4:$J$451,MATCH($O624&amp;"|"&amp;$R624&amp;"|"&amp;$AE624,'ASIGNACIONES'!$N$4:$N$451,0)),"")))</f>
        <v/>
      </c>
      <c r="AG624" s="14">
        <f>IF($AE624="","",SUMIFS('ORDENES'!$M$4:$M$1203,'ORDENES'!$AE$4:$AE$1203,$AE624,'ORDENES'!$O$4:$O$1203,$O624,'ORDENES'!$R$4:$R$1203,$R624))</f>
        <v/>
      </c>
      <c r="AH624" s="14">
        <f>IF($AG624="","",p_factor_productividad*IFERROR(INDEX('ASIGNACIONES'!$M$4:$M$451,MATCH($O624&amp;"|"&amp;$R624&amp;"|"&amp;$AE624,'ASIGNACIONES'!$N$4:$N$451,0)),0)-$AG624)</f>
        <v/>
      </c>
      <c r="AI624" s="11">
        <f>IF($A624="","",IFERROR(INDEX('2_IMPORTAR_EJECUCION'!$F$9:$F$1208,MATCH($AQ624,'2_IMPORTAR_EJECUCION'!$J$9:$J$1208,0)),0))</f>
        <v/>
      </c>
      <c r="AJ624" s="11">
        <f>IF($A624="","",MAX(0,IFERROR(INDEX('2_IMPORTAR_EJECUCION'!$H$9:$H$1208,MATCH($AQ624,'2_IMPORTAR_EJECUCION'!$J$9:$J$1208,0)),0)-$AI624))</f>
        <v/>
      </c>
      <c r="AK624" s="11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IF($H625="","",IFERROR(INDEX('CAT_ACTIVIDADES'!$B$4:$B$8,MATCH($H625,'CAT_ACTIVIDADES'!$A$4:$A$8,0)),"(sin catálogo)"))</f>
        <v/>
      </c>
      <c r="AA625" s="13">
        <f>IF($J625="","",TODAY()-$J625)</f>
        <v/>
      </c>
      <c r="AB625" s="13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IF($AE625="","",IF((IFERROR(INDEX('ASIGNACIONES'!$J$4:$J$451,MATCH($O625&amp;"|"&amp;$R625&amp;"|"&amp;$AE625,'ASIGNACIONES'!$N$4:$N$451,0)),""))=0,"",IFERROR(INDEX('ASIGNACIONES'!$J$4:$J$451,MATCH($O625&amp;"|"&amp;$R625&amp;"|"&amp;$AE625,'ASIGNACIONES'!$N$4:$N$451,0)),"")))</f>
        <v/>
      </c>
      <c r="AG625" s="14">
        <f>IF($AE625="","",SUMIFS('ORDENES'!$M$4:$M$1203,'ORDENES'!$AE$4:$AE$1203,$AE625,'ORDENES'!$O$4:$O$1203,$O625,'ORDENES'!$R$4:$R$1203,$R625))</f>
        <v/>
      </c>
      <c r="AH625" s="14">
        <f>IF($AG625="","",p_factor_productividad*IFERROR(INDEX('ASIGNACIONES'!$M$4:$M$451,MATCH($O625&amp;"|"&amp;$R625&amp;"|"&amp;$AE625,'ASIGNACIONES'!$N$4:$N$451,0)),0)-$AG625)</f>
        <v/>
      </c>
      <c r="AI625" s="11">
        <f>IF($A625="","",IFERROR(INDEX('2_IMPORTAR_EJECUCION'!$F$9:$F$1208,MATCH($AQ625,'2_IMPORTAR_EJECUCION'!$J$9:$J$1208,0)),0))</f>
        <v/>
      </c>
      <c r="AJ625" s="11">
        <f>IF($A625="","",MAX(0,IFERROR(INDEX('2_IMPORTAR_EJECUCION'!$H$9:$H$1208,MATCH($AQ625,'2_IMPORTAR_EJECUCION'!$J$9:$J$1208,0)),0)-$AI625))</f>
        <v/>
      </c>
      <c r="AK625" s="11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IF($H626="","",IFERROR(INDEX('CAT_ACTIVIDADES'!$B$4:$B$8,MATCH($H626,'CAT_ACTIVIDADES'!$A$4:$A$8,0)),"(sin catálogo)"))</f>
        <v/>
      </c>
      <c r="AA626" s="13">
        <f>IF($J626="","",TODAY()-$J626)</f>
        <v/>
      </c>
      <c r="AB626" s="13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IF($AE626="","",IF((IFERROR(INDEX('ASIGNACIONES'!$J$4:$J$451,MATCH($O626&amp;"|"&amp;$R626&amp;"|"&amp;$AE626,'ASIGNACIONES'!$N$4:$N$451,0)),""))=0,"",IFERROR(INDEX('ASIGNACIONES'!$J$4:$J$451,MATCH($O626&amp;"|"&amp;$R626&amp;"|"&amp;$AE626,'ASIGNACIONES'!$N$4:$N$451,0)),"")))</f>
        <v/>
      </c>
      <c r="AG626" s="14">
        <f>IF($AE626="","",SUMIFS('ORDENES'!$M$4:$M$1203,'ORDENES'!$AE$4:$AE$1203,$AE626,'ORDENES'!$O$4:$O$1203,$O626,'ORDENES'!$R$4:$R$1203,$R626))</f>
        <v/>
      </c>
      <c r="AH626" s="14">
        <f>IF($AG626="","",p_factor_productividad*IFERROR(INDEX('ASIGNACIONES'!$M$4:$M$451,MATCH($O626&amp;"|"&amp;$R626&amp;"|"&amp;$AE626,'ASIGNACIONES'!$N$4:$N$451,0)),0)-$AG626)</f>
        <v/>
      </c>
      <c r="AI626" s="11">
        <f>IF($A626="","",IFERROR(INDEX('2_IMPORTAR_EJECUCION'!$F$9:$F$1208,MATCH($AQ626,'2_IMPORTAR_EJECUCION'!$J$9:$J$1208,0)),0))</f>
        <v/>
      </c>
      <c r="AJ626" s="11">
        <f>IF($A626="","",MAX(0,IFERROR(INDEX('2_IMPORTAR_EJECUCION'!$H$9:$H$1208,MATCH($AQ626,'2_IMPORTAR_EJECUCION'!$J$9:$J$1208,0)),0)-$AI626))</f>
        <v/>
      </c>
      <c r="AK626" s="11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IF($H627="","",IFERROR(INDEX('CAT_ACTIVIDADES'!$B$4:$B$8,MATCH($H627,'CAT_ACTIVIDADES'!$A$4:$A$8,0)),"(sin catálogo)"))</f>
        <v/>
      </c>
      <c r="AA627" s="13">
        <f>IF($J627="","",TODAY()-$J627)</f>
        <v/>
      </c>
      <c r="AB627" s="13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IF($AE627="","",IF((IFERROR(INDEX('ASIGNACIONES'!$J$4:$J$451,MATCH($O627&amp;"|"&amp;$R627&amp;"|"&amp;$AE627,'ASIGNACIONES'!$N$4:$N$451,0)),""))=0,"",IFERROR(INDEX('ASIGNACIONES'!$J$4:$J$451,MATCH($O627&amp;"|"&amp;$R627&amp;"|"&amp;$AE627,'ASIGNACIONES'!$N$4:$N$451,0)),"")))</f>
        <v/>
      </c>
      <c r="AG627" s="14">
        <f>IF($AE627="","",SUMIFS('ORDENES'!$M$4:$M$1203,'ORDENES'!$AE$4:$AE$1203,$AE627,'ORDENES'!$O$4:$O$1203,$O627,'ORDENES'!$R$4:$R$1203,$R627))</f>
        <v/>
      </c>
      <c r="AH627" s="14">
        <f>IF($AG627="","",p_factor_productividad*IFERROR(INDEX('ASIGNACIONES'!$M$4:$M$451,MATCH($O627&amp;"|"&amp;$R627&amp;"|"&amp;$AE627,'ASIGNACIONES'!$N$4:$N$451,0)),0)-$AG627)</f>
        <v/>
      </c>
      <c r="AI627" s="11">
        <f>IF($A627="","",IFERROR(INDEX('2_IMPORTAR_EJECUCION'!$F$9:$F$1208,MATCH($AQ627,'2_IMPORTAR_EJECUCION'!$J$9:$J$1208,0)),0))</f>
        <v/>
      </c>
      <c r="AJ627" s="11">
        <f>IF($A627="","",MAX(0,IFERROR(INDEX('2_IMPORTAR_EJECUCION'!$H$9:$H$1208,MATCH($AQ627,'2_IMPORTAR_EJECUCION'!$J$9:$J$1208,0)),0)-$AI627))</f>
        <v/>
      </c>
      <c r="AK627" s="11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IF($H628="","",IFERROR(INDEX('CAT_ACTIVIDADES'!$B$4:$B$8,MATCH($H628,'CAT_ACTIVIDADES'!$A$4:$A$8,0)),"(sin catálogo)"))</f>
        <v/>
      </c>
      <c r="AA628" s="13">
        <f>IF($J628="","",TODAY()-$J628)</f>
        <v/>
      </c>
      <c r="AB628" s="13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IF($AE628="","",IF((IFERROR(INDEX('ASIGNACIONES'!$J$4:$J$451,MATCH($O628&amp;"|"&amp;$R628&amp;"|"&amp;$AE628,'ASIGNACIONES'!$N$4:$N$451,0)),""))=0,"",IFERROR(INDEX('ASIGNACIONES'!$J$4:$J$451,MATCH($O628&amp;"|"&amp;$R628&amp;"|"&amp;$AE628,'ASIGNACIONES'!$N$4:$N$451,0)),"")))</f>
        <v/>
      </c>
      <c r="AG628" s="14">
        <f>IF($AE628="","",SUMIFS('ORDENES'!$M$4:$M$1203,'ORDENES'!$AE$4:$AE$1203,$AE628,'ORDENES'!$O$4:$O$1203,$O628,'ORDENES'!$R$4:$R$1203,$R628))</f>
        <v/>
      </c>
      <c r="AH628" s="14">
        <f>IF($AG628="","",p_factor_productividad*IFERROR(INDEX('ASIGNACIONES'!$M$4:$M$451,MATCH($O628&amp;"|"&amp;$R628&amp;"|"&amp;$AE628,'ASIGNACIONES'!$N$4:$N$451,0)),0)-$AG628)</f>
        <v/>
      </c>
      <c r="AI628" s="11">
        <f>IF($A628="","",IFERROR(INDEX('2_IMPORTAR_EJECUCION'!$F$9:$F$1208,MATCH($AQ628,'2_IMPORTAR_EJECUCION'!$J$9:$J$1208,0)),0))</f>
        <v/>
      </c>
      <c r="AJ628" s="11">
        <f>IF($A628="","",MAX(0,IFERROR(INDEX('2_IMPORTAR_EJECUCION'!$H$9:$H$1208,MATCH($AQ628,'2_IMPORTAR_EJECUCION'!$J$9:$J$1208,0)),0)-$AI628))</f>
        <v/>
      </c>
      <c r="AK628" s="11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IF($H629="","",IFERROR(INDEX('CAT_ACTIVIDADES'!$B$4:$B$8,MATCH($H629,'CAT_ACTIVIDADES'!$A$4:$A$8,0)),"(sin catálogo)"))</f>
        <v/>
      </c>
      <c r="AA629" s="13">
        <f>IF($J629="","",TODAY()-$J629)</f>
        <v/>
      </c>
      <c r="AB629" s="13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IF($AE629="","",IF((IFERROR(INDEX('ASIGNACIONES'!$J$4:$J$451,MATCH($O629&amp;"|"&amp;$R629&amp;"|"&amp;$AE629,'ASIGNACIONES'!$N$4:$N$451,0)),""))=0,"",IFERROR(INDEX('ASIGNACIONES'!$J$4:$J$451,MATCH($O629&amp;"|"&amp;$R629&amp;"|"&amp;$AE629,'ASIGNACIONES'!$N$4:$N$451,0)),"")))</f>
        <v/>
      </c>
      <c r="AG629" s="14">
        <f>IF($AE629="","",SUMIFS('ORDENES'!$M$4:$M$1203,'ORDENES'!$AE$4:$AE$1203,$AE629,'ORDENES'!$O$4:$O$1203,$O629,'ORDENES'!$R$4:$R$1203,$R629))</f>
        <v/>
      </c>
      <c r="AH629" s="14">
        <f>IF($AG629="","",p_factor_productividad*IFERROR(INDEX('ASIGNACIONES'!$M$4:$M$451,MATCH($O629&amp;"|"&amp;$R629&amp;"|"&amp;$AE629,'ASIGNACIONES'!$N$4:$N$451,0)),0)-$AG629)</f>
        <v/>
      </c>
      <c r="AI629" s="11">
        <f>IF($A629="","",IFERROR(INDEX('2_IMPORTAR_EJECUCION'!$F$9:$F$1208,MATCH($AQ629,'2_IMPORTAR_EJECUCION'!$J$9:$J$1208,0)),0))</f>
        <v/>
      </c>
      <c r="AJ629" s="11">
        <f>IF($A629="","",MAX(0,IFERROR(INDEX('2_IMPORTAR_EJECUCION'!$H$9:$H$1208,MATCH($AQ629,'2_IMPORTAR_EJECUCION'!$J$9:$J$1208,0)),0)-$AI629))</f>
        <v/>
      </c>
      <c r="AK629" s="11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IF($H630="","",IFERROR(INDEX('CAT_ACTIVIDADES'!$B$4:$B$8,MATCH($H630,'CAT_ACTIVIDADES'!$A$4:$A$8,0)),"(sin catálogo)"))</f>
        <v/>
      </c>
      <c r="AA630" s="13">
        <f>IF($J630="","",TODAY()-$J630)</f>
        <v/>
      </c>
      <c r="AB630" s="13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IF($AE630="","",IF((IFERROR(INDEX('ASIGNACIONES'!$J$4:$J$451,MATCH($O630&amp;"|"&amp;$R630&amp;"|"&amp;$AE630,'ASIGNACIONES'!$N$4:$N$451,0)),""))=0,"",IFERROR(INDEX('ASIGNACIONES'!$J$4:$J$451,MATCH($O630&amp;"|"&amp;$R630&amp;"|"&amp;$AE630,'ASIGNACIONES'!$N$4:$N$451,0)),"")))</f>
        <v/>
      </c>
      <c r="AG630" s="14">
        <f>IF($AE630="","",SUMIFS('ORDENES'!$M$4:$M$1203,'ORDENES'!$AE$4:$AE$1203,$AE630,'ORDENES'!$O$4:$O$1203,$O630,'ORDENES'!$R$4:$R$1203,$R630))</f>
        <v/>
      </c>
      <c r="AH630" s="14">
        <f>IF($AG630="","",p_factor_productividad*IFERROR(INDEX('ASIGNACIONES'!$M$4:$M$451,MATCH($O630&amp;"|"&amp;$R630&amp;"|"&amp;$AE630,'ASIGNACIONES'!$N$4:$N$451,0)),0)-$AG630)</f>
        <v/>
      </c>
      <c r="AI630" s="11">
        <f>IF($A630="","",IFERROR(INDEX('2_IMPORTAR_EJECUCION'!$F$9:$F$1208,MATCH($AQ630,'2_IMPORTAR_EJECUCION'!$J$9:$J$1208,0)),0))</f>
        <v/>
      </c>
      <c r="AJ630" s="11">
        <f>IF($A630="","",MAX(0,IFERROR(INDEX('2_IMPORTAR_EJECUCION'!$H$9:$H$1208,MATCH($AQ630,'2_IMPORTAR_EJECUCION'!$J$9:$J$1208,0)),0)-$AI630))</f>
        <v/>
      </c>
      <c r="AK630" s="11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IF($H631="","",IFERROR(INDEX('CAT_ACTIVIDADES'!$B$4:$B$8,MATCH($H631,'CAT_ACTIVIDADES'!$A$4:$A$8,0)),"(sin catálogo)"))</f>
        <v/>
      </c>
      <c r="AA631" s="13">
        <f>IF($J631="","",TODAY()-$J631)</f>
        <v/>
      </c>
      <c r="AB631" s="13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IF($AE631="","",IF((IFERROR(INDEX('ASIGNACIONES'!$J$4:$J$451,MATCH($O631&amp;"|"&amp;$R631&amp;"|"&amp;$AE631,'ASIGNACIONES'!$N$4:$N$451,0)),""))=0,"",IFERROR(INDEX('ASIGNACIONES'!$J$4:$J$451,MATCH($O631&amp;"|"&amp;$R631&amp;"|"&amp;$AE631,'ASIGNACIONES'!$N$4:$N$451,0)),"")))</f>
        <v/>
      </c>
      <c r="AG631" s="14">
        <f>IF($AE631="","",SUMIFS('ORDENES'!$M$4:$M$1203,'ORDENES'!$AE$4:$AE$1203,$AE631,'ORDENES'!$O$4:$O$1203,$O631,'ORDENES'!$R$4:$R$1203,$R631))</f>
        <v/>
      </c>
      <c r="AH631" s="14">
        <f>IF($AG631="","",p_factor_productividad*IFERROR(INDEX('ASIGNACIONES'!$M$4:$M$451,MATCH($O631&amp;"|"&amp;$R631&amp;"|"&amp;$AE631,'ASIGNACIONES'!$N$4:$N$451,0)),0)-$AG631)</f>
        <v/>
      </c>
      <c r="AI631" s="11">
        <f>IF($A631="","",IFERROR(INDEX('2_IMPORTAR_EJECUCION'!$F$9:$F$1208,MATCH($AQ631,'2_IMPORTAR_EJECUCION'!$J$9:$J$1208,0)),0))</f>
        <v/>
      </c>
      <c r="AJ631" s="11">
        <f>IF($A631="","",MAX(0,IFERROR(INDEX('2_IMPORTAR_EJECUCION'!$H$9:$H$1208,MATCH($AQ631,'2_IMPORTAR_EJECUCION'!$J$9:$J$1208,0)),0)-$AI631))</f>
        <v/>
      </c>
      <c r="AK631" s="11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IF($H632="","",IFERROR(INDEX('CAT_ACTIVIDADES'!$B$4:$B$8,MATCH($H632,'CAT_ACTIVIDADES'!$A$4:$A$8,0)),"(sin catálogo)"))</f>
        <v/>
      </c>
      <c r="AA632" s="13">
        <f>IF($J632="","",TODAY()-$J632)</f>
        <v/>
      </c>
      <c r="AB632" s="13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IF($AE632="","",IF((IFERROR(INDEX('ASIGNACIONES'!$J$4:$J$451,MATCH($O632&amp;"|"&amp;$R632&amp;"|"&amp;$AE632,'ASIGNACIONES'!$N$4:$N$451,0)),""))=0,"",IFERROR(INDEX('ASIGNACIONES'!$J$4:$J$451,MATCH($O632&amp;"|"&amp;$R632&amp;"|"&amp;$AE632,'ASIGNACIONES'!$N$4:$N$451,0)),"")))</f>
        <v/>
      </c>
      <c r="AG632" s="14">
        <f>IF($AE632="","",SUMIFS('ORDENES'!$M$4:$M$1203,'ORDENES'!$AE$4:$AE$1203,$AE632,'ORDENES'!$O$4:$O$1203,$O632,'ORDENES'!$R$4:$R$1203,$R632))</f>
        <v/>
      </c>
      <c r="AH632" s="14">
        <f>IF($AG632="","",p_factor_productividad*IFERROR(INDEX('ASIGNACIONES'!$M$4:$M$451,MATCH($O632&amp;"|"&amp;$R632&amp;"|"&amp;$AE632,'ASIGNACIONES'!$N$4:$N$451,0)),0)-$AG632)</f>
        <v/>
      </c>
      <c r="AI632" s="11">
        <f>IF($A632="","",IFERROR(INDEX('2_IMPORTAR_EJECUCION'!$F$9:$F$1208,MATCH($AQ632,'2_IMPORTAR_EJECUCION'!$J$9:$J$1208,0)),0))</f>
        <v/>
      </c>
      <c r="AJ632" s="11">
        <f>IF($A632="","",MAX(0,IFERROR(INDEX('2_IMPORTAR_EJECUCION'!$H$9:$H$1208,MATCH($AQ632,'2_IMPORTAR_EJECUCION'!$J$9:$J$1208,0)),0)-$AI632))</f>
        <v/>
      </c>
      <c r="AK632" s="11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IF($H633="","",IFERROR(INDEX('CAT_ACTIVIDADES'!$B$4:$B$8,MATCH($H633,'CAT_ACTIVIDADES'!$A$4:$A$8,0)),"(sin catálogo)"))</f>
        <v/>
      </c>
      <c r="AA633" s="13">
        <f>IF($J633="","",TODAY()-$J633)</f>
        <v/>
      </c>
      <c r="AB633" s="13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IF($AE633="","",IF((IFERROR(INDEX('ASIGNACIONES'!$J$4:$J$451,MATCH($O633&amp;"|"&amp;$R633&amp;"|"&amp;$AE633,'ASIGNACIONES'!$N$4:$N$451,0)),""))=0,"",IFERROR(INDEX('ASIGNACIONES'!$J$4:$J$451,MATCH($O633&amp;"|"&amp;$R633&amp;"|"&amp;$AE633,'ASIGNACIONES'!$N$4:$N$451,0)),"")))</f>
        <v/>
      </c>
      <c r="AG633" s="14">
        <f>IF($AE633="","",SUMIFS('ORDENES'!$M$4:$M$1203,'ORDENES'!$AE$4:$AE$1203,$AE633,'ORDENES'!$O$4:$O$1203,$O633,'ORDENES'!$R$4:$R$1203,$R633))</f>
        <v/>
      </c>
      <c r="AH633" s="14">
        <f>IF($AG633="","",p_factor_productividad*IFERROR(INDEX('ASIGNACIONES'!$M$4:$M$451,MATCH($O633&amp;"|"&amp;$R633&amp;"|"&amp;$AE633,'ASIGNACIONES'!$N$4:$N$451,0)),0)-$AG633)</f>
        <v/>
      </c>
      <c r="AI633" s="11">
        <f>IF($A633="","",IFERROR(INDEX('2_IMPORTAR_EJECUCION'!$F$9:$F$1208,MATCH($AQ633,'2_IMPORTAR_EJECUCION'!$J$9:$J$1208,0)),0))</f>
        <v/>
      </c>
      <c r="AJ633" s="11">
        <f>IF($A633="","",MAX(0,IFERROR(INDEX('2_IMPORTAR_EJECUCION'!$H$9:$H$1208,MATCH($AQ633,'2_IMPORTAR_EJECUCION'!$J$9:$J$1208,0)),0)-$AI633))</f>
        <v/>
      </c>
      <c r="AK633" s="11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IF($H634="","",IFERROR(INDEX('CAT_ACTIVIDADES'!$B$4:$B$8,MATCH($H634,'CAT_ACTIVIDADES'!$A$4:$A$8,0)),"(sin catálogo)"))</f>
        <v/>
      </c>
      <c r="AA634" s="13">
        <f>IF($J634="","",TODAY()-$J634)</f>
        <v/>
      </c>
      <c r="AB634" s="13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IF($AE634="","",IF((IFERROR(INDEX('ASIGNACIONES'!$J$4:$J$451,MATCH($O634&amp;"|"&amp;$R634&amp;"|"&amp;$AE634,'ASIGNACIONES'!$N$4:$N$451,0)),""))=0,"",IFERROR(INDEX('ASIGNACIONES'!$J$4:$J$451,MATCH($O634&amp;"|"&amp;$R634&amp;"|"&amp;$AE634,'ASIGNACIONES'!$N$4:$N$451,0)),"")))</f>
        <v/>
      </c>
      <c r="AG634" s="14">
        <f>IF($AE634="","",SUMIFS('ORDENES'!$M$4:$M$1203,'ORDENES'!$AE$4:$AE$1203,$AE634,'ORDENES'!$O$4:$O$1203,$O634,'ORDENES'!$R$4:$R$1203,$R634))</f>
        <v/>
      </c>
      <c r="AH634" s="14">
        <f>IF($AG634="","",p_factor_productividad*IFERROR(INDEX('ASIGNACIONES'!$M$4:$M$451,MATCH($O634&amp;"|"&amp;$R634&amp;"|"&amp;$AE634,'ASIGNACIONES'!$N$4:$N$451,0)),0)-$AG634)</f>
        <v/>
      </c>
      <c r="AI634" s="11">
        <f>IF($A634="","",IFERROR(INDEX('2_IMPORTAR_EJECUCION'!$F$9:$F$1208,MATCH($AQ634,'2_IMPORTAR_EJECUCION'!$J$9:$J$1208,0)),0))</f>
        <v/>
      </c>
      <c r="AJ634" s="11">
        <f>IF($A634="","",MAX(0,IFERROR(INDEX('2_IMPORTAR_EJECUCION'!$H$9:$H$1208,MATCH($AQ634,'2_IMPORTAR_EJECUCION'!$J$9:$J$1208,0)),0)-$AI634))</f>
        <v/>
      </c>
      <c r="AK634" s="11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IF($H635="","",IFERROR(INDEX('CAT_ACTIVIDADES'!$B$4:$B$8,MATCH($H635,'CAT_ACTIVIDADES'!$A$4:$A$8,0)),"(sin catálogo)"))</f>
        <v/>
      </c>
      <c r="AA635" s="13">
        <f>IF($J635="","",TODAY()-$J635)</f>
        <v/>
      </c>
      <c r="AB635" s="13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IF($AE635="","",IF((IFERROR(INDEX('ASIGNACIONES'!$J$4:$J$451,MATCH($O635&amp;"|"&amp;$R635&amp;"|"&amp;$AE635,'ASIGNACIONES'!$N$4:$N$451,0)),""))=0,"",IFERROR(INDEX('ASIGNACIONES'!$J$4:$J$451,MATCH($O635&amp;"|"&amp;$R635&amp;"|"&amp;$AE635,'ASIGNACIONES'!$N$4:$N$451,0)),"")))</f>
        <v/>
      </c>
      <c r="AG635" s="14">
        <f>IF($AE635="","",SUMIFS('ORDENES'!$M$4:$M$1203,'ORDENES'!$AE$4:$AE$1203,$AE635,'ORDENES'!$O$4:$O$1203,$O635,'ORDENES'!$R$4:$R$1203,$R635))</f>
        <v/>
      </c>
      <c r="AH635" s="14">
        <f>IF($AG635="","",p_factor_productividad*IFERROR(INDEX('ASIGNACIONES'!$M$4:$M$451,MATCH($O635&amp;"|"&amp;$R635&amp;"|"&amp;$AE635,'ASIGNACIONES'!$N$4:$N$451,0)),0)-$AG635)</f>
        <v/>
      </c>
      <c r="AI635" s="11">
        <f>IF($A635="","",IFERROR(INDEX('2_IMPORTAR_EJECUCION'!$F$9:$F$1208,MATCH($AQ635,'2_IMPORTAR_EJECUCION'!$J$9:$J$1208,0)),0))</f>
        <v/>
      </c>
      <c r="AJ635" s="11">
        <f>IF($A635="","",MAX(0,IFERROR(INDEX('2_IMPORTAR_EJECUCION'!$H$9:$H$1208,MATCH($AQ635,'2_IMPORTAR_EJECUCION'!$J$9:$J$1208,0)),0)-$AI635))</f>
        <v/>
      </c>
      <c r="AK635" s="11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IF($H636="","",IFERROR(INDEX('CAT_ACTIVIDADES'!$B$4:$B$8,MATCH($H636,'CAT_ACTIVIDADES'!$A$4:$A$8,0)),"(sin catálogo)"))</f>
        <v/>
      </c>
      <c r="AA636" s="13">
        <f>IF($J636="","",TODAY()-$J636)</f>
        <v/>
      </c>
      <c r="AB636" s="13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IF($AE636="","",IF((IFERROR(INDEX('ASIGNACIONES'!$J$4:$J$451,MATCH($O636&amp;"|"&amp;$R636&amp;"|"&amp;$AE636,'ASIGNACIONES'!$N$4:$N$451,0)),""))=0,"",IFERROR(INDEX('ASIGNACIONES'!$J$4:$J$451,MATCH($O636&amp;"|"&amp;$R636&amp;"|"&amp;$AE636,'ASIGNACIONES'!$N$4:$N$451,0)),"")))</f>
        <v/>
      </c>
      <c r="AG636" s="14">
        <f>IF($AE636="","",SUMIFS('ORDENES'!$M$4:$M$1203,'ORDENES'!$AE$4:$AE$1203,$AE636,'ORDENES'!$O$4:$O$1203,$O636,'ORDENES'!$R$4:$R$1203,$R636))</f>
        <v/>
      </c>
      <c r="AH636" s="14">
        <f>IF($AG636="","",p_factor_productividad*IFERROR(INDEX('ASIGNACIONES'!$M$4:$M$451,MATCH($O636&amp;"|"&amp;$R636&amp;"|"&amp;$AE636,'ASIGNACIONES'!$N$4:$N$451,0)),0)-$AG636)</f>
        <v/>
      </c>
      <c r="AI636" s="11">
        <f>IF($A636="","",IFERROR(INDEX('2_IMPORTAR_EJECUCION'!$F$9:$F$1208,MATCH($AQ636,'2_IMPORTAR_EJECUCION'!$J$9:$J$1208,0)),0))</f>
        <v/>
      </c>
      <c r="AJ636" s="11">
        <f>IF($A636="","",MAX(0,IFERROR(INDEX('2_IMPORTAR_EJECUCION'!$H$9:$H$1208,MATCH($AQ636,'2_IMPORTAR_EJECUCION'!$J$9:$J$1208,0)),0)-$AI636))</f>
        <v/>
      </c>
      <c r="AK636" s="11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IF($H637="","",IFERROR(INDEX('CAT_ACTIVIDADES'!$B$4:$B$8,MATCH($H637,'CAT_ACTIVIDADES'!$A$4:$A$8,0)),"(sin catálogo)"))</f>
        <v/>
      </c>
      <c r="AA637" s="13">
        <f>IF($J637="","",TODAY()-$J637)</f>
        <v/>
      </c>
      <c r="AB637" s="13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IF($AE637="","",IF((IFERROR(INDEX('ASIGNACIONES'!$J$4:$J$451,MATCH($O637&amp;"|"&amp;$R637&amp;"|"&amp;$AE637,'ASIGNACIONES'!$N$4:$N$451,0)),""))=0,"",IFERROR(INDEX('ASIGNACIONES'!$J$4:$J$451,MATCH($O637&amp;"|"&amp;$R637&amp;"|"&amp;$AE637,'ASIGNACIONES'!$N$4:$N$451,0)),"")))</f>
        <v/>
      </c>
      <c r="AG637" s="14">
        <f>IF($AE637="","",SUMIFS('ORDENES'!$M$4:$M$1203,'ORDENES'!$AE$4:$AE$1203,$AE637,'ORDENES'!$O$4:$O$1203,$O637,'ORDENES'!$R$4:$R$1203,$R637))</f>
        <v/>
      </c>
      <c r="AH637" s="14">
        <f>IF($AG637="","",p_factor_productividad*IFERROR(INDEX('ASIGNACIONES'!$M$4:$M$451,MATCH($O637&amp;"|"&amp;$R637&amp;"|"&amp;$AE637,'ASIGNACIONES'!$N$4:$N$451,0)),0)-$AG637)</f>
        <v/>
      </c>
      <c r="AI637" s="11">
        <f>IF($A637="","",IFERROR(INDEX('2_IMPORTAR_EJECUCION'!$F$9:$F$1208,MATCH($AQ637,'2_IMPORTAR_EJECUCION'!$J$9:$J$1208,0)),0))</f>
        <v/>
      </c>
      <c r="AJ637" s="11">
        <f>IF($A637="","",MAX(0,IFERROR(INDEX('2_IMPORTAR_EJECUCION'!$H$9:$H$1208,MATCH($AQ637,'2_IMPORTAR_EJECUCION'!$J$9:$J$1208,0)),0)-$AI637))</f>
        <v/>
      </c>
      <c r="AK637" s="11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IF($H638="","",IFERROR(INDEX('CAT_ACTIVIDADES'!$B$4:$B$8,MATCH($H638,'CAT_ACTIVIDADES'!$A$4:$A$8,0)),"(sin catálogo)"))</f>
        <v/>
      </c>
      <c r="AA638" s="13">
        <f>IF($J638="","",TODAY()-$J638)</f>
        <v/>
      </c>
      <c r="AB638" s="13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IF($AE638="","",IF((IFERROR(INDEX('ASIGNACIONES'!$J$4:$J$451,MATCH($O638&amp;"|"&amp;$R638&amp;"|"&amp;$AE638,'ASIGNACIONES'!$N$4:$N$451,0)),""))=0,"",IFERROR(INDEX('ASIGNACIONES'!$J$4:$J$451,MATCH($O638&amp;"|"&amp;$R638&amp;"|"&amp;$AE638,'ASIGNACIONES'!$N$4:$N$451,0)),"")))</f>
        <v/>
      </c>
      <c r="AG638" s="14">
        <f>IF($AE638="","",SUMIFS('ORDENES'!$M$4:$M$1203,'ORDENES'!$AE$4:$AE$1203,$AE638,'ORDENES'!$O$4:$O$1203,$O638,'ORDENES'!$R$4:$R$1203,$R638))</f>
        <v/>
      </c>
      <c r="AH638" s="14">
        <f>IF($AG638="","",p_factor_productividad*IFERROR(INDEX('ASIGNACIONES'!$M$4:$M$451,MATCH($O638&amp;"|"&amp;$R638&amp;"|"&amp;$AE638,'ASIGNACIONES'!$N$4:$N$451,0)),0)-$AG638)</f>
        <v/>
      </c>
      <c r="AI638" s="11">
        <f>IF($A638="","",IFERROR(INDEX('2_IMPORTAR_EJECUCION'!$F$9:$F$1208,MATCH($AQ638,'2_IMPORTAR_EJECUCION'!$J$9:$J$1208,0)),0))</f>
        <v/>
      </c>
      <c r="AJ638" s="11">
        <f>IF($A638="","",MAX(0,IFERROR(INDEX('2_IMPORTAR_EJECUCION'!$H$9:$H$1208,MATCH($AQ638,'2_IMPORTAR_EJECUCION'!$J$9:$J$1208,0)),0)-$AI638))</f>
        <v/>
      </c>
      <c r="AK638" s="11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IF($H639="","",IFERROR(INDEX('CAT_ACTIVIDADES'!$B$4:$B$8,MATCH($H639,'CAT_ACTIVIDADES'!$A$4:$A$8,0)),"(sin catálogo)"))</f>
        <v/>
      </c>
      <c r="AA639" s="13">
        <f>IF($J639="","",TODAY()-$J639)</f>
        <v/>
      </c>
      <c r="AB639" s="13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IF($AE639="","",IF((IFERROR(INDEX('ASIGNACIONES'!$J$4:$J$451,MATCH($O639&amp;"|"&amp;$R639&amp;"|"&amp;$AE639,'ASIGNACIONES'!$N$4:$N$451,0)),""))=0,"",IFERROR(INDEX('ASIGNACIONES'!$J$4:$J$451,MATCH($O639&amp;"|"&amp;$R639&amp;"|"&amp;$AE639,'ASIGNACIONES'!$N$4:$N$451,0)),"")))</f>
        <v/>
      </c>
      <c r="AG639" s="14">
        <f>IF($AE639="","",SUMIFS('ORDENES'!$M$4:$M$1203,'ORDENES'!$AE$4:$AE$1203,$AE639,'ORDENES'!$O$4:$O$1203,$O639,'ORDENES'!$R$4:$R$1203,$R639))</f>
        <v/>
      </c>
      <c r="AH639" s="14">
        <f>IF($AG639="","",p_factor_productividad*IFERROR(INDEX('ASIGNACIONES'!$M$4:$M$451,MATCH($O639&amp;"|"&amp;$R639&amp;"|"&amp;$AE639,'ASIGNACIONES'!$N$4:$N$451,0)),0)-$AG639)</f>
        <v/>
      </c>
      <c r="AI639" s="11">
        <f>IF($A639="","",IFERROR(INDEX('2_IMPORTAR_EJECUCION'!$F$9:$F$1208,MATCH($AQ639,'2_IMPORTAR_EJECUCION'!$J$9:$J$1208,0)),0))</f>
        <v/>
      </c>
      <c r="AJ639" s="11">
        <f>IF($A639="","",MAX(0,IFERROR(INDEX('2_IMPORTAR_EJECUCION'!$H$9:$H$1208,MATCH($AQ639,'2_IMPORTAR_EJECUCION'!$J$9:$J$1208,0)),0)-$AI639))</f>
        <v/>
      </c>
      <c r="AK639" s="11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IF($H640="","",IFERROR(INDEX('CAT_ACTIVIDADES'!$B$4:$B$8,MATCH($H640,'CAT_ACTIVIDADES'!$A$4:$A$8,0)),"(sin catálogo)"))</f>
        <v/>
      </c>
      <c r="AA640" s="13">
        <f>IF($J640="","",TODAY()-$J640)</f>
        <v/>
      </c>
      <c r="AB640" s="13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IF($AE640="","",IF((IFERROR(INDEX('ASIGNACIONES'!$J$4:$J$451,MATCH($O640&amp;"|"&amp;$R640&amp;"|"&amp;$AE640,'ASIGNACIONES'!$N$4:$N$451,0)),""))=0,"",IFERROR(INDEX('ASIGNACIONES'!$J$4:$J$451,MATCH($O640&amp;"|"&amp;$R640&amp;"|"&amp;$AE640,'ASIGNACIONES'!$N$4:$N$451,0)),"")))</f>
        <v/>
      </c>
      <c r="AG640" s="14">
        <f>IF($AE640="","",SUMIFS('ORDENES'!$M$4:$M$1203,'ORDENES'!$AE$4:$AE$1203,$AE640,'ORDENES'!$O$4:$O$1203,$O640,'ORDENES'!$R$4:$R$1203,$R640))</f>
        <v/>
      </c>
      <c r="AH640" s="14">
        <f>IF($AG640="","",p_factor_productividad*IFERROR(INDEX('ASIGNACIONES'!$M$4:$M$451,MATCH($O640&amp;"|"&amp;$R640&amp;"|"&amp;$AE640,'ASIGNACIONES'!$N$4:$N$451,0)),0)-$AG640)</f>
        <v/>
      </c>
      <c r="AI640" s="11">
        <f>IF($A640="","",IFERROR(INDEX('2_IMPORTAR_EJECUCION'!$F$9:$F$1208,MATCH($AQ640,'2_IMPORTAR_EJECUCION'!$J$9:$J$1208,0)),0))</f>
        <v/>
      </c>
      <c r="AJ640" s="11">
        <f>IF($A640="","",MAX(0,IFERROR(INDEX('2_IMPORTAR_EJECUCION'!$H$9:$H$1208,MATCH($AQ640,'2_IMPORTAR_EJECUCION'!$J$9:$J$1208,0)),0)-$AI640))</f>
        <v/>
      </c>
      <c r="AK640" s="11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IF($H641="","",IFERROR(INDEX('CAT_ACTIVIDADES'!$B$4:$B$8,MATCH($H641,'CAT_ACTIVIDADES'!$A$4:$A$8,0)),"(sin catálogo)"))</f>
        <v/>
      </c>
      <c r="AA641" s="13">
        <f>IF($J641="","",TODAY()-$J641)</f>
        <v/>
      </c>
      <c r="AB641" s="13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IF($AE641="","",IF((IFERROR(INDEX('ASIGNACIONES'!$J$4:$J$451,MATCH($O641&amp;"|"&amp;$R641&amp;"|"&amp;$AE641,'ASIGNACIONES'!$N$4:$N$451,0)),""))=0,"",IFERROR(INDEX('ASIGNACIONES'!$J$4:$J$451,MATCH($O641&amp;"|"&amp;$R641&amp;"|"&amp;$AE641,'ASIGNACIONES'!$N$4:$N$451,0)),"")))</f>
        <v/>
      </c>
      <c r="AG641" s="14">
        <f>IF($AE641="","",SUMIFS('ORDENES'!$M$4:$M$1203,'ORDENES'!$AE$4:$AE$1203,$AE641,'ORDENES'!$O$4:$O$1203,$O641,'ORDENES'!$R$4:$R$1203,$R641))</f>
        <v/>
      </c>
      <c r="AH641" s="14">
        <f>IF($AG641="","",p_factor_productividad*IFERROR(INDEX('ASIGNACIONES'!$M$4:$M$451,MATCH($O641&amp;"|"&amp;$R641&amp;"|"&amp;$AE641,'ASIGNACIONES'!$N$4:$N$451,0)),0)-$AG641)</f>
        <v/>
      </c>
      <c r="AI641" s="11">
        <f>IF($A641="","",IFERROR(INDEX('2_IMPORTAR_EJECUCION'!$F$9:$F$1208,MATCH($AQ641,'2_IMPORTAR_EJECUCION'!$J$9:$J$1208,0)),0))</f>
        <v/>
      </c>
      <c r="AJ641" s="11">
        <f>IF($A641="","",MAX(0,IFERROR(INDEX('2_IMPORTAR_EJECUCION'!$H$9:$H$1208,MATCH($AQ641,'2_IMPORTAR_EJECUCION'!$J$9:$J$1208,0)),0)-$AI641))</f>
        <v/>
      </c>
      <c r="AK641" s="11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IF($H642="","",IFERROR(INDEX('CAT_ACTIVIDADES'!$B$4:$B$8,MATCH($H642,'CAT_ACTIVIDADES'!$A$4:$A$8,0)),"(sin catálogo)"))</f>
        <v/>
      </c>
      <c r="AA642" s="13">
        <f>IF($J642="","",TODAY()-$J642)</f>
        <v/>
      </c>
      <c r="AB642" s="13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IF($AE642="","",IF((IFERROR(INDEX('ASIGNACIONES'!$J$4:$J$451,MATCH($O642&amp;"|"&amp;$R642&amp;"|"&amp;$AE642,'ASIGNACIONES'!$N$4:$N$451,0)),""))=0,"",IFERROR(INDEX('ASIGNACIONES'!$J$4:$J$451,MATCH($O642&amp;"|"&amp;$R642&amp;"|"&amp;$AE642,'ASIGNACIONES'!$N$4:$N$451,0)),"")))</f>
        <v/>
      </c>
      <c r="AG642" s="14">
        <f>IF($AE642="","",SUMIFS('ORDENES'!$M$4:$M$1203,'ORDENES'!$AE$4:$AE$1203,$AE642,'ORDENES'!$O$4:$O$1203,$O642,'ORDENES'!$R$4:$R$1203,$R642))</f>
        <v/>
      </c>
      <c r="AH642" s="14">
        <f>IF($AG642="","",p_factor_productividad*IFERROR(INDEX('ASIGNACIONES'!$M$4:$M$451,MATCH($O642&amp;"|"&amp;$R642&amp;"|"&amp;$AE642,'ASIGNACIONES'!$N$4:$N$451,0)),0)-$AG642)</f>
        <v/>
      </c>
      <c r="AI642" s="11">
        <f>IF($A642="","",IFERROR(INDEX('2_IMPORTAR_EJECUCION'!$F$9:$F$1208,MATCH($AQ642,'2_IMPORTAR_EJECUCION'!$J$9:$J$1208,0)),0))</f>
        <v/>
      </c>
      <c r="AJ642" s="11">
        <f>IF($A642="","",MAX(0,IFERROR(INDEX('2_IMPORTAR_EJECUCION'!$H$9:$H$1208,MATCH($AQ642,'2_IMPORTAR_EJECUCION'!$J$9:$J$1208,0)),0)-$AI642))</f>
        <v/>
      </c>
      <c r="AK642" s="11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IF($H643="","",IFERROR(INDEX('CAT_ACTIVIDADES'!$B$4:$B$8,MATCH($H643,'CAT_ACTIVIDADES'!$A$4:$A$8,0)),"(sin catálogo)"))</f>
        <v/>
      </c>
      <c r="AA643" s="13">
        <f>IF($J643="","",TODAY()-$J643)</f>
        <v/>
      </c>
      <c r="AB643" s="13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IF($AE643="","",IF((IFERROR(INDEX('ASIGNACIONES'!$J$4:$J$451,MATCH($O643&amp;"|"&amp;$R643&amp;"|"&amp;$AE643,'ASIGNACIONES'!$N$4:$N$451,0)),""))=0,"",IFERROR(INDEX('ASIGNACIONES'!$J$4:$J$451,MATCH($O643&amp;"|"&amp;$R643&amp;"|"&amp;$AE643,'ASIGNACIONES'!$N$4:$N$451,0)),"")))</f>
        <v/>
      </c>
      <c r="AG643" s="14">
        <f>IF($AE643="","",SUMIFS('ORDENES'!$M$4:$M$1203,'ORDENES'!$AE$4:$AE$1203,$AE643,'ORDENES'!$O$4:$O$1203,$O643,'ORDENES'!$R$4:$R$1203,$R643))</f>
        <v/>
      </c>
      <c r="AH643" s="14">
        <f>IF($AG643="","",p_factor_productividad*IFERROR(INDEX('ASIGNACIONES'!$M$4:$M$451,MATCH($O643&amp;"|"&amp;$R643&amp;"|"&amp;$AE643,'ASIGNACIONES'!$N$4:$N$451,0)),0)-$AG643)</f>
        <v/>
      </c>
      <c r="AI643" s="11">
        <f>IF($A643="","",IFERROR(INDEX('2_IMPORTAR_EJECUCION'!$F$9:$F$1208,MATCH($AQ643,'2_IMPORTAR_EJECUCION'!$J$9:$J$1208,0)),0))</f>
        <v/>
      </c>
      <c r="AJ643" s="11">
        <f>IF($A643="","",MAX(0,IFERROR(INDEX('2_IMPORTAR_EJECUCION'!$H$9:$H$1208,MATCH($AQ643,'2_IMPORTAR_EJECUCION'!$J$9:$J$1208,0)),0)-$AI643))</f>
        <v/>
      </c>
      <c r="AK643" s="11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IF($H644="","",IFERROR(INDEX('CAT_ACTIVIDADES'!$B$4:$B$8,MATCH($H644,'CAT_ACTIVIDADES'!$A$4:$A$8,0)),"(sin catálogo)"))</f>
        <v/>
      </c>
      <c r="AA644" s="13">
        <f>IF($J644="","",TODAY()-$J644)</f>
        <v/>
      </c>
      <c r="AB644" s="13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IF($AE644="","",IF((IFERROR(INDEX('ASIGNACIONES'!$J$4:$J$451,MATCH($O644&amp;"|"&amp;$R644&amp;"|"&amp;$AE644,'ASIGNACIONES'!$N$4:$N$451,0)),""))=0,"",IFERROR(INDEX('ASIGNACIONES'!$J$4:$J$451,MATCH($O644&amp;"|"&amp;$R644&amp;"|"&amp;$AE644,'ASIGNACIONES'!$N$4:$N$451,0)),"")))</f>
        <v/>
      </c>
      <c r="AG644" s="14">
        <f>IF($AE644="","",SUMIFS('ORDENES'!$M$4:$M$1203,'ORDENES'!$AE$4:$AE$1203,$AE644,'ORDENES'!$O$4:$O$1203,$O644,'ORDENES'!$R$4:$R$1203,$R644))</f>
        <v/>
      </c>
      <c r="AH644" s="14">
        <f>IF($AG644="","",p_factor_productividad*IFERROR(INDEX('ASIGNACIONES'!$M$4:$M$451,MATCH($O644&amp;"|"&amp;$R644&amp;"|"&amp;$AE644,'ASIGNACIONES'!$N$4:$N$451,0)),0)-$AG644)</f>
        <v/>
      </c>
      <c r="AI644" s="11">
        <f>IF($A644="","",IFERROR(INDEX('2_IMPORTAR_EJECUCION'!$F$9:$F$1208,MATCH($AQ644,'2_IMPORTAR_EJECUCION'!$J$9:$J$1208,0)),0))</f>
        <v/>
      </c>
      <c r="AJ644" s="11">
        <f>IF($A644="","",MAX(0,IFERROR(INDEX('2_IMPORTAR_EJECUCION'!$H$9:$H$1208,MATCH($AQ644,'2_IMPORTAR_EJECUCION'!$J$9:$J$1208,0)),0)-$AI644))</f>
        <v/>
      </c>
      <c r="AK644" s="11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IF($H645="","",IFERROR(INDEX('CAT_ACTIVIDADES'!$B$4:$B$8,MATCH($H645,'CAT_ACTIVIDADES'!$A$4:$A$8,0)),"(sin catálogo)"))</f>
        <v/>
      </c>
      <c r="AA645" s="13">
        <f>IF($J645="","",TODAY()-$J645)</f>
        <v/>
      </c>
      <c r="AB645" s="13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IF($AE645="","",IF((IFERROR(INDEX('ASIGNACIONES'!$J$4:$J$451,MATCH($O645&amp;"|"&amp;$R645&amp;"|"&amp;$AE645,'ASIGNACIONES'!$N$4:$N$451,0)),""))=0,"",IFERROR(INDEX('ASIGNACIONES'!$J$4:$J$451,MATCH($O645&amp;"|"&amp;$R645&amp;"|"&amp;$AE645,'ASIGNACIONES'!$N$4:$N$451,0)),"")))</f>
        <v/>
      </c>
      <c r="AG645" s="14">
        <f>IF($AE645="","",SUMIFS('ORDENES'!$M$4:$M$1203,'ORDENES'!$AE$4:$AE$1203,$AE645,'ORDENES'!$O$4:$O$1203,$O645,'ORDENES'!$R$4:$R$1203,$R645))</f>
        <v/>
      </c>
      <c r="AH645" s="14">
        <f>IF($AG645="","",p_factor_productividad*IFERROR(INDEX('ASIGNACIONES'!$M$4:$M$451,MATCH($O645&amp;"|"&amp;$R645&amp;"|"&amp;$AE645,'ASIGNACIONES'!$N$4:$N$451,0)),0)-$AG645)</f>
        <v/>
      </c>
      <c r="AI645" s="11">
        <f>IF($A645="","",IFERROR(INDEX('2_IMPORTAR_EJECUCION'!$F$9:$F$1208,MATCH($AQ645,'2_IMPORTAR_EJECUCION'!$J$9:$J$1208,0)),0))</f>
        <v/>
      </c>
      <c r="AJ645" s="11">
        <f>IF($A645="","",MAX(0,IFERROR(INDEX('2_IMPORTAR_EJECUCION'!$H$9:$H$1208,MATCH($AQ645,'2_IMPORTAR_EJECUCION'!$J$9:$J$1208,0)),0)-$AI645))</f>
        <v/>
      </c>
      <c r="AK645" s="11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IF($H646="","",IFERROR(INDEX('CAT_ACTIVIDADES'!$B$4:$B$8,MATCH($H646,'CAT_ACTIVIDADES'!$A$4:$A$8,0)),"(sin catálogo)"))</f>
        <v/>
      </c>
      <c r="AA646" s="13">
        <f>IF($J646="","",TODAY()-$J646)</f>
        <v/>
      </c>
      <c r="AB646" s="13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IF($AE646="","",IF((IFERROR(INDEX('ASIGNACIONES'!$J$4:$J$451,MATCH($O646&amp;"|"&amp;$R646&amp;"|"&amp;$AE646,'ASIGNACIONES'!$N$4:$N$451,0)),""))=0,"",IFERROR(INDEX('ASIGNACIONES'!$J$4:$J$451,MATCH($O646&amp;"|"&amp;$R646&amp;"|"&amp;$AE646,'ASIGNACIONES'!$N$4:$N$451,0)),"")))</f>
        <v/>
      </c>
      <c r="AG646" s="14">
        <f>IF($AE646="","",SUMIFS('ORDENES'!$M$4:$M$1203,'ORDENES'!$AE$4:$AE$1203,$AE646,'ORDENES'!$O$4:$O$1203,$O646,'ORDENES'!$R$4:$R$1203,$R646))</f>
        <v/>
      </c>
      <c r="AH646" s="14">
        <f>IF($AG646="","",p_factor_productividad*IFERROR(INDEX('ASIGNACIONES'!$M$4:$M$451,MATCH($O646&amp;"|"&amp;$R646&amp;"|"&amp;$AE646,'ASIGNACIONES'!$N$4:$N$451,0)),0)-$AG646)</f>
        <v/>
      </c>
      <c r="AI646" s="11">
        <f>IF($A646="","",IFERROR(INDEX('2_IMPORTAR_EJECUCION'!$F$9:$F$1208,MATCH($AQ646,'2_IMPORTAR_EJECUCION'!$J$9:$J$1208,0)),0))</f>
        <v/>
      </c>
      <c r="AJ646" s="11">
        <f>IF($A646="","",MAX(0,IFERROR(INDEX('2_IMPORTAR_EJECUCION'!$H$9:$H$1208,MATCH($AQ646,'2_IMPORTAR_EJECUCION'!$J$9:$J$1208,0)),0)-$AI646))</f>
        <v/>
      </c>
      <c r="AK646" s="11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IF($H647="","",IFERROR(INDEX('CAT_ACTIVIDADES'!$B$4:$B$8,MATCH($H647,'CAT_ACTIVIDADES'!$A$4:$A$8,0)),"(sin catálogo)"))</f>
        <v/>
      </c>
      <c r="AA647" s="13">
        <f>IF($J647="","",TODAY()-$J647)</f>
        <v/>
      </c>
      <c r="AB647" s="13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IF($AE647="","",IF((IFERROR(INDEX('ASIGNACIONES'!$J$4:$J$451,MATCH($O647&amp;"|"&amp;$R647&amp;"|"&amp;$AE647,'ASIGNACIONES'!$N$4:$N$451,0)),""))=0,"",IFERROR(INDEX('ASIGNACIONES'!$J$4:$J$451,MATCH($O647&amp;"|"&amp;$R647&amp;"|"&amp;$AE647,'ASIGNACIONES'!$N$4:$N$451,0)),"")))</f>
        <v/>
      </c>
      <c r="AG647" s="14">
        <f>IF($AE647="","",SUMIFS('ORDENES'!$M$4:$M$1203,'ORDENES'!$AE$4:$AE$1203,$AE647,'ORDENES'!$O$4:$O$1203,$O647,'ORDENES'!$R$4:$R$1203,$R647))</f>
        <v/>
      </c>
      <c r="AH647" s="14">
        <f>IF($AG647="","",p_factor_productividad*IFERROR(INDEX('ASIGNACIONES'!$M$4:$M$451,MATCH($O647&amp;"|"&amp;$R647&amp;"|"&amp;$AE647,'ASIGNACIONES'!$N$4:$N$451,0)),0)-$AG647)</f>
        <v/>
      </c>
      <c r="AI647" s="11">
        <f>IF($A647="","",IFERROR(INDEX('2_IMPORTAR_EJECUCION'!$F$9:$F$1208,MATCH($AQ647,'2_IMPORTAR_EJECUCION'!$J$9:$J$1208,0)),0))</f>
        <v/>
      </c>
      <c r="AJ647" s="11">
        <f>IF($A647="","",MAX(0,IFERROR(INDEX('2_IMPORTAR_EJECUCION'!$H$9:$H$1208,MATCH($AQ647,'2_IMPORTAR_EJECUCION'!$J$9:$J$1208,0)),0)-$AI647))</f>
        <v/>
      </c>
      <c r="AK647" s="11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IF($H648="","",IFERROR(INDEX('CAT_ACTIVIDADES'!$B$4:$B$8,MATCH($H648,'CAT_ACTIVIDADES'!$A$4:$A$8,0)),"(sin catálogo)"))</f>
        <v/>
      </c>
      <c r="AA648" s="13">
        <f>IF($J648="","",TODAY()-$J648)</f>
        <v/>
      </c>
      <c r="AB648" s="13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IF($AE648="","",IF((IFERROR(INDEX('ASIGNACIONES'!$J$4:$J$451,MATCH($O648&amp;"|"&amp;$R648&amp;"|"&amp;$AE648,'ASIGNACIONES'!$N$4:$N$451,0)),""))=0,"",IFERROR(INDEX('ASIGNACIONES'!$J$4:$J$451,MATCH($O648&amp;"|"&amp;$R648&amp;"|"&amp;$AE648,'ASIGNACIONES'!$N$4:$N$451,0)),"")))</f>
        <v/>
      </c>
      <c r="AG648" s="14">
        <f>IF($AE648="","",SUMIFS('ORDENES'!$M$4:$M$1203,'ORDENES'!$AE$4:$AE$1203,$AE648,'ORDENES'!$O$4:$O$1203,$O648,'ORDENES'!$R$4:$R$1203,$R648))</f>
        <v/>
      </c>
      <c r="AH648" s="14">
        <f>IF($AG648="","",p_factor_productividad*IFERROR(INDEX('ASIGNACIONES'!$M$4:$M$451,MATCH($O648&amp;"|"&amp;$R648&amp;"|"&amp;$AE648,'ASIGNACIONES'!$N$4:$N$451,0)),0)-$AG648)</f>
        <v/>
      </c>
      <c r="AI648" s="11">
        <f>IF($A648="","",IFERROR(INDEX('2_IMPORTAR_EJECUCION'!$F$9:$F$1208,MATCH($AQ648,'2_IMPORTAR_EJECUCION'!$J$9:$J$1208,0)),0))</f>
        <v/>
      </c>
      <c r="AJ648" s="11">
        <f>IF($A648="","",MAX(0,IFERROR(INDEX('2_IMPORTAR_EJECUCION'!$H$9:$H$1208,MATCH($AQ648,'2_IMPORTAR_EJECUCION'!$J$9:$J$1208,0)),0)-$AI648))</f>
        <v/>
      </c>
      <c r="AK648" s="11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IF($H649="","",IFERROR(INDEX('CAT_ACTIVIDADES'!$B$4:$B$8,MATCH($H649,'CAT_ACTIVIDADES'!$A$4:$A$8,0)),"(sin catálogo)"))</f>
        <v/>
      </c>
      <c r="AA649" s="13">
        <f>IF($J649="","",TODAY()-$J649)</f>
        <v/>
      </c>
      <c r="AB649" s="13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IF($AE649="","",IF((IFERROR(INDEX('ASIGNACIONES'!$J$4:$J$451,MATCH($O649&amp;"|"&amp;$R649&amp;"|"&amp;$AE649,'ASIGNACIONES'!$N$4:$N$451,0)),""))=0,"",IFERROR(INDEX('ASIGNACIONES'!$J$4:$J$451,MATCH($O649&amp;"|"&amp;$R649&amp;"|"&amp;$AE649,'ASIGNACIONES'!$N$4:$N$451,0)),"")))</f>
        <v/>
      </c>
      <c r="AG649" s="14">
        <f>IF($AE649="","",SUMIFS('ORDENES'!$M$4:$M$1203,'ORDENES'!$AE$4:$AE$1203,$AE649,'ORDENES'!$O$4:$O$1203,$O649,'ORDENES'!$R$4:$R$1203,$R649))</f>
        <v/>
      </c>
      <c r="AH649" s="14">
        <f>IF($AG649="","",p_factor_productividad*IFERROR(INDEX('ASIGNACIONES'!$M$4:$M$451,MATCH($O649&amp;"|"&amp;$R649&amp;"|"&amp;$AE649,'ASIGNACIONES'!$N$4:$N$451,0)),0)-$AG649)</f>
        <v/>
      </c>
      <c r="AI649" s="11">
        <f>IF($A649="","",IFERROR(INDEX('2_IMPORTAR_EJECUCION'!$F$9:$F$1208,MATCH($AQ649,'2_IMPORTAR_EJECUCION'!$J$9:$J$1208,0)),0))</f>
        <v/>
      </c>
      <c r="AJ649" s="11">
        <f>IF($A649="","",MAX(0,IFERROR(INDEX('2_IMPORTAR_EJECUCION'!$H$9:$H$1208,MATCH($AQ649,'2_IMPORTAR_EJECUCION'!$J$9:$J$1208,0)),0)-$AI649))</f>
        <v/>
      </c>
      <c r="AK649" s="11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IF($H650="","",IFERROR(INDEX('CAT_ACTIVIDADES'!$B$4:$B$8,MATCH($H650,'CAT_ACTIVIDADES'!$A$4:$A$8,0)),"(sin catálogo)"))</f>
        <v/>
      </c>
      <c r="AA650" s="13">
        <f>IF($J650="","",TODAY()-$J650)</f>
        <v/>
      </c>
      <c r="AB650" s="13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IF($AE650="","",IF((IFERROR(INDEX('ASIGNACIONES'!$J$4:$J$451,MATCH($O650&amp;"|"&amp;$R650&amp;"|"&amp;$AE650,'ASIGNACIONES'!$N$4:$N$451,0)),""))=0,"",IFERROR(INDEX('ASIGNACIONES'!$J$4:$J$451,MATCH($O650&amp;"|"&amp;$R650&amp;"|"&amp;$AE650,'ASIGNACIONES'!$N$4:$N$451,0)),"")))</f>
        <v/>
      </c>
      <c r="AG650" s="14">
        <f>IF($AE650="","",SUMIFS('ORDENES'!$M$4:$M$1203,'ORDENES'!$AE$4:$AE$1203,$AE650,'ORDENES'!$O$4:$O$1203,$O650,'ORDENES'!$R$4:$R$1203,$R650))</f>
        <v/>
      </c>
      <c r="AH650" s="14">
        <f>IF($AG650="","",p_factor_productividad*IFERROR(INDEX('ASIGNACIONES'!$M$4:$M$451,MATCH($O650&amp;"|"&amp;$R650&amp;"|"&amp;$AE650,'ASIGNACIONES'!$N$4:$N$451,0)),0)-$AG650)</f>
        <v/>
      </c>
      <c r="AI650" s="11">
        <f>IF($A650="","",IFERROR(INDEX('2_IMPORTAR_EJECUCION'!$F$9:$F$1208,MATCH($AQ650,'2_IMPORTAR_EJECUCION'!$J$9:$J$1208,0)),0))</f>
        <v/>
      </c>
      <c r="AJ650" s="11">
        <f>IF($A650="","",MAX(0,IFERROR(INDEX('2_IMPORTAR_EJECUCION'!$H$9:$H$1208,MATCH($AQ650,'2_IMPORTAR_EJECUCION'!$J$9:$J$1208,0)),0)-$AI650))</f>
        <v/>
      </c>
      <c r="AK650" s="11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IF($H651="","",IFERROR(INDEX('CAT_ACTIVIDADES'!$B$4:$B$8,MATCH($H651,'CAT_ACTIVIDADES'!$A$4:$A$8,0)),"(sin catálogo)"))</f>
        <v/>
      </c>
      <c r="AA651" s="13">
        <f>IF($J651="","",TODAY()-$J651)</f>
        <v/>
      </c>
      <c r="AB651" s="13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IF($AE651="","",IF((IFERROR(INDEX('ASIGNACIONES'!$J$4:$J$451,MATCH($O651&amp;"|"&amp;$R651&amp;"|"&amp;$AE651,'ASIGNACIONES'!$N$4:$N$451,0)),""))=0,"",IFERROR(INDEX('ASIGNACIONES'!$J$4:$J$451,MATCH($O651&amp;"|"&amp;$R651&amp;"|"&amp;$AE651,'ASIGNACIONES'!$N$4:$N$451,0)),"")))</f>
        <v/>
      </c>
      <c r="AG651" s="14">
        <f>IF($AE651="","",SUMIFS('ORDENES'!$M$4:$M$1203,'ORDENES'!$AE$4:$AE$1203,$AE651,'ORDENES'!$O$4:$O$1203,$O651,'ORDENES'!$R$4:$R$1203,$R651))</f>
        <v/>
      </c>
      <c r="AH651" s="14">
        <f>IF($AG651="","",p_factor_productividad*IFERROR(INDEX('ASIGNACIONES'!$M$4:$M$451,MATCH($O651&amp;"|"&amp;$R651&amp;"|"&amp;$AE651,'ASIGNACIONES'!$N$4:$N$451,0)),0)-$AG651)</f>
        <v/>
      </c>
      <c r="AI651" s="11">
        <f>IF($A651="","",IFERROR(INDEX('2_IMPORTAR_EJECUCION'!$F$9:$F$1208,MATCH($AQ651,'2_IMPORTAR_EJECUCION'!$J$9:$J$1208,0)),0))</f>
        <v/>
      </c>
      <c r="AJ651" s="11">
        <f>IF($A651="","",MAX(0,IFERROR(INDEX('2_IMPORTAR_EJECUCION'!$H$9:$H$1208,MATCH($AQ651,'2_IMPORTAR_EJECUCION'!$J$9:$J$1208,0)),0)-$AI651))</f>
        <v/>
      </c>
      <c r="AK651" s="11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IF($H652="","",IFERROR(INDEX('CAT_ACTIVIDADES'!$B$4:$B$8,MATCH($H652,'CAT_ACTIVIDADES'!$A$4:$A$8,0)),"(sin catálogo)"))</f>
        <v/>
      </c>
      <c r="AA652" s="13">
        <f>IF($J652="","",TODAY()-$J652)</f>
        <v/>
      </c>
      <c r="AB652" s="13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IF($AE652="","",IF((IFERROR(INDEX('ASIGNACIONES'!$J$4:$J$451,MATCH($O652&amp;"|"&amp;$R652&amp;"|"&amp;$AE652,'ASIGNACIONES'!$N$4:$N$451,0)),""))=0,"",IFERROR(INDEX('ASIGNACIONES'!$J$4:$J$451,MATCH($O652&amp;"|"&amp;$R652&amp;"|"&amp;$AE652,'ASIGNACIONES'!$N$4:$N$451,0)),"")))</f>
        <v/>
      </c>
      <c r="AG652" s="14">
        <f>IF($AE652="","",SUMIFS('ORDENES'!$M$4:$M$1203,'ORDENES'!$AE$4:$AE$1203,$AE652,'ORDENES'!$O$4:$O$1203,$O652,'ORDENES'!$R$4:$R$1203,$R652))</f>
        <v/>
      </c>
      <c r="AH652" s="14">
        <f>IF($AG652="","",p_factor_productividad*IFERROR(INDEX('ASIGNACIONES'!$M$4:$M$451,MATCH($O652&amp;"|"&amp;$R652&amp;"|"&amp;$AE652,'ASIGNACIONES'!$N$4:$N$451,0)),0)-$AG652)</f>
        <v/>
      </c>
      <c r="AI652" s="11">
        <f>IF($A652="","",IFERROR(INDEX('2_IMPORTAR_EJECUCION'!$F$9:$F$1208,MATCH($AQ652,'2_IMPORTAR_EJECUCION'!$J$9:$J$1208,0)),0))</f>
        <v/>
      </c>
      <c r="AJ652" s="11">
        <f>IF($A652="","",MAX(0,IFERROR(INDEX('2_IMPORTAR_EJECUCION'!$H$9:$H$1208,MATCH($AQ652,'2_IMPORTAR_EJECUCION'!$J$9:$J$1208,0)),0)-$AI652))</f>
        <v/>
      </c>
      <c r="AK652" s="11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IF($H653="","",IFERROR(INDEX('CAT_ACTIVIDADES'!$B$4:$B$8,MATCH($H653,'CAT_ACTIVIDADES'!$A$4:$A$8,0)),"(sin catálogo)"))</f>
        <v/>
      </c>
      <c r="AA653" s="13">
        <f>IF($J653="","",TODAY()-$J653)</f>
        <v/>
      </c>
      <c r="AB653" s="13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IF($AE653="","",IF((IFERROR(INDEX('ASIGNACIONES'!$J$4:$J$451,MATCH($O653&amp;"|"&amp;$R653&amp;"|"&amp;$AE653,'ASIGNACIONES'!$N$4:$N$451,0)),""))=0,"",IFERROR(INDEX('ASIGNACIONES'!$J$4:$J$451,MATCH($O653&amp;"|"&amp;$R653&amp;"|"&amp;$AE653,'ASIGNACIONES'!$N$4:$N$451,0)),"")))</f>
        <v/>
      </c>
      <c r="AG653" s="14">
        <f>IF($AE653="","",SUMIFS('ORDENES'!$M$4:$M$1203,'ORDENES'!$AE$4:$AE$1203,$AE653,'ORDENES'!$O$4:$O$1203,$O653,'ORDENES'!$R$4:$R$1203,$R653))</f>
        <v/>
      </c>
      <c r="AH653" s="14">
        <f>IF($AG653="","",p_factor_productividad*IFERROR(INDEX('ASIGNACIONES'!$M$4:$M$451,MATCH($O653&amp;"|"&amp;$R653&amp;"|"&amp;$AE653,'ASIGNACIONES'!$N$4:$N$451,0)),0)-$AG653)</f>
        <v/>
      </c>
      <c r="AI653" s="11">
        <f>IF($A653="","",IFERROR(INDEX('2_IMPORTAR_EJECUCION'!$F$9:$F$1208,MATCH($AQ653,'2_IMPORTAR_EJECUCION'!$J$9:$J$1208,0)),0))</f>
        <v/>
      </c>
      <c r="AJ653" s="11">
        <f>IF($A653="","",MAX(0,IFERROR(INDEX('2_IMPORTAR_EJECUCION'!$H$9:$H$1208,MATCH($AQ653,'2_IMPORTAR_EJECUCION'!$J$9:$J$1208,0)),0)-$AI653))</f>
        <v/>
      </c>
      <c r="AK653" s="11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IF($H654="","",IFERROR(INDEX('CAT_ACTIVIDADES'!$B$4:$B$8,MATCH($H654,'CAT_ACTIVIDADES'!$A$4:$A$8,0)),"(sin catálogo)"))</f>
        <v/>
      </c>
      <c r="AA654" s="13">
        <f>IF($J654="","",TODAY()-$J654)</f>
        <v/>
      </c>
      <c r="AB654" s="13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IF($AE654="","",IF((IFERROR(INDEX('ASIGNACIONES'!$J$4:$J$451,MATCH($O654&amp;"|"&amp;$R654&amp;"|"&amp;$AE654,'ASIGNACIONES'!$N$4:$N$451,0)),""))=0,"",IFERROR(INDEX('ASIGNACIONES'!$J$4:$J$451,MATCH($O654&amp;"|"&amp;$R654&amp;"|"&amp;$AE654,'ASIGNACIONES'!$N$4:$N$451,0)),"")))</f>
        <v/>
      </c>
      <c r="AG654" s="14">
        <f>IF($AE654="","",SUMIFS('ORDENES'!$M$4:$M$1203,'ORDENES'!$AE$4:$AE$1203,$AE654,'ORDENES'!$O$4:$O$1203,$O654,'ORDENES'!$R$4:$R$1203,$R654))</f>
        <v/>
      </c>
      <c r="AH654" s="14">
        <f>IF($AG654="","",p_factor_productividad*IFERROR(INDEX('ASIGNACIONES'!$M$4:$M$451,MATCH($O654&amp;"|"&amp;$R654&amp;"|"&amp;$AE654,'ASIGNACIONES'!$N$4:$N$451,0)),0)-$AG654)</f>
        <v/>
      </c>
      <c r="AI654" s="11">
        <f>IF($A654="","",IFERROR(INDEX('2_IMPORTAR_EJECUCION'!$F$9:$F$1208,MATCH($AQ654,'2_IMPORTAR_EJECUCION'!$J$9:$J$1208,0)),0))</f>
        <v/>
      </c>
      <c r="AJ654" s="11">
        <f>IF($A654="","",MAX(0,IFERROR(INDEX('2_IMPORTAR_EJECUCION'!$H$9:$H$1208,MATCH($AQ654,'2_IMPORTAR_EJECUCION'!$J$9:$J$1208,0)),0)-$AI654))</f>
        <v/>
      </c>
      <c r="AK654" s="11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IF($H655="","",IFERROR(INDEX('CAT_ACTIVIDADES'!$B$4:$B$8,MATCH($H655,'CAT_ACTIVIDADES'!$A$4:$A$8,0)),"(sin catálogo)"))</f>
        <v/>
      </c>
      <c r="AA655" s="13">
        <f>IF($J655="","",TODAY()-$J655)</f>
        <v/>
      </c>
      <c r="AB655" s="13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IF($AE655="","",IF((IFERROR(INDEX('ASIGNACIONES'!$J$4:$J$451,MATCH($O655&amp;"|"&amp;$R655&amp;"|"&amp;$AE655,'ASIGNACIONES'!$N$4:$N$451,0)),""))=0,"",IFERROR(INDEX('ASIGNACIONES'!$J$4:$J$451,MATCH($O655&amp;"|"&amp;$R655&amp;"|"&amp;$AE655,'ASIGNACIONES'!$N$4:$N$451,0)),"")))</f>
        <v/>
      </c>
      <c r="AG655" s="14">
        <f>IF($AE655="","",SUMIFS('ORDENES'!$M$4:$M$1203,'ORDENES'!$AE$4:$AE$1203,$AE655,'ORDENES'!$O$4:$O$1203,$O655,'ORDENES'!$R$4:$R$1203,$R655))</f>
        <v/>
      </c>
      <c r="AH655" s="14">
        <f>IF($AG655="","",p_factor_productividad*IFERROR(INDEX('ASIGNACIONES'!$M$4:$M$451,MATCH($O655&amp;"|"&amp;$R655&amp;"|"&amp;$AE655,'ASIGNACIONES'!$N$4:$N$451,0)),0)-$AG655)</f>
        <v/>
      </c>
      <c r="AI655" s="11">
        <f>IF($A655="","",IFERROR(INDEX('2_IMPORTAR_EJECUCION'!$F$9:$F$1208,MATCH($AQ655,'2_IMPORTAR_EJECUCION'!$J$9:$J$1208,0)),0))</f>
        <v/>
      </c>
      <c r="AJ655" s="11">
        <f>IF($A655="","",MAX(0,IFERROR(INDEX('2_IMPORTAR_EJECUCION'!$H$9:$H$1208,MATCH($AQ655,'2_IMPORTAR_EJECUCION'!$J$9:$J$1208,0)),0)-$AI655))</f>
        <v/>
      </c>
      <c r="AK655" s="11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IF($H656="","",IFERROR(INDEX('CAT_ACTIVIDADES'!$B$4:$B$8,MATCH($H656,'CAT_ACTIVIDADES'!$A$4:$A$8,0)),"(sin catálogo)"))</f>
        <v/>
      </c>
      <c r="AA656" s="13">
        <f>IF($J656="","",TODAY()-$J656)</f>
        <v/>
      </c>
      <c r="AB656" s="13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IF($AE656="","",IF((IFERROR(INDEX('ASIGNACIONES'!$J$4:$J$451,MATCH($O656&amp;"|"&amp;$R656&amp;"|"&amp;$AE656,'ASIGNACIONES'!$N$4:$N$451,0)),""))=0,"",IFERROR(INDEX('ASIGNACIONES'!$J$4:$J$451,MATCH($O656&amp;"|"&amp;$R656&amp;"|"&amp;$AE656,'ASIGNACIONES'!$N$4:$N$451,0)),"")))</f>
        <v/>
      </c>
      <c r="AG656" s="14">
        <f>IF($AE656="","",SUMIFS('ORDENES'!$M$4:$M$1203,'ORDENES'!$AE$4:$AE$1203,$AE656,'ORDENES'!$O$4:$O$1203,$O656,'ORDENES'!$R$4:$R$1203,$R656))</f>
        <v/>
      </c>
      <c r="AH656" s="14">
        <f>IF($AG656="","",p_factor_productividad*IFERROR(INDEX('ASIGNACIONES'!$M$4:$M$451,MATCH($O656&amp;"|"&amp;$R656&amp;"|"&amp;$AE656,'ASIGNACIONES'!$N$4:$N$451,0)),0)-$AG656)</f>
        <v/>
      </c>
      <c r="AI656" s="11">
        <f>IF($A656="","",IFERROR(INDEX('2_IMPORTAR_EJECUCION'!$F$9:$F$1208,MATCH($AQ656,'2_IMPORTAR_EJECUCION'!$J$9:$J$1208,0)),0))</f>
        <v/>
      </c>
      <c r="AJ656" s="11">
        <f>IF($A656="","",MAX(0,IFERROR(INDEX('2_IMPORTAR_EJECUCION'!$H$9:$H$1208,MATCH($AQ656,'2_IMPORTAR_EJECUCION'!$J$9:$J$1208,0)),0)-$AI656))</f>
        <v/>
      </c>
      <c r="AK656" s="11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IF($H657="","",IFERROR(INDEX('CAT_ACTIVIDADES'!$B$4:$B$8,MATCH($H657,'CAT_ACTIVIDADES'!$A$4:$A$8,0)),"(sin catálogo)"))</f>
        <v/>
      </c>
      <c r="AA657" s="13">
        <f>IF($J657="","",TODAY()-$J657)</f>
        <v/>
      </c>
      <c r="AB657" s="13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IF($AE657="","",IF((IFERROR(INDEX('ASIGNACIONES'!$J$4:$J$451,MATCH($O657&amp;"|"&amp;$R657&amp;"|"&amp;$AE657,'ASIGNACIONES'!$N$4:$N$451,0)),""))=0,"",IFERROR(INDEX('ASIGNACIONES'!$J$4:$J$451,MATCH($O657&amp;"|"&amp;$R657&amp;"|"&amp;$AE657,'ASIGNACIONES'!$N$4:$N$451,0)),"")))</f>
        <v/>
      </c>
      <c r="AG657" s="14">
        <f>IF($AE657="","",SUMIFS('ORDENES'!$M$4:$M$1203,'ORDENES'!$AE$4:$AE$1203,$AE657,'ORDENES'!$O$4:$O$1203,$O657,'ORDENES'!$R$4:$R$1203,$R657))</f>
        <v/>
      </c>
      <c r="AH657" s="14">
        <f>IF($AG657="","",p_factor_productividad*IFERROR(INDEX('ASIGNACIONES'!$M$4:$M$451,MATCH($O657&amp;"|"&amp;$R657&amp;"|"&amp;$AE657,'ASIGNACIONES'!$N$4:$N$451,0)),0)-$AG657)</f>
        <v/>
      </c>
      <c r="AI657" s="11">
        <f>IF($A657="","",IFERROR(INDEX('2_IMPORTAR_EJECUCION'!$F$9:$F$1208,MATCH($AQ657,'2_IMPORTAR_EJECUCION'!$J$9:$J$1208,0)),0))</f>
        <v/>
      </c>
      <c r="AJ657" s="11">
        <f>IF($A657="","",MAX(0,IFERROR(INDEX('2_IMPORTAR_EJECUCION'!$H$9:$H$1208,MATCH($AQ657,'2_IMPORTAR_EJECUCION'!$J$9:$J$1208,0)),0)-$AI657))</f>
        <v/>
      </c>
      <c r="AK657" s="11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IF($H658="","",IFERROR(INDEX('CAT_ACTIVIDADES'!$B$4:$B$8,MATCH($H658,'CAT_ACTIVIDADES'!$A$4:$A$8,0)),"(sin catálogo)"))</f>
        <v/>
      </c>
      <c r="AA658" s="13">
        <f>IF($J658="","",TODAY()-$J658)</f>
        <v/>
      </c>
      <c r="AB658" s="13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IF($AE658="","",IF((IFERROR(INDEX('ASIGNACIONES'!$J$4:$J$451,MATCH($O658&amp;"|"&amp;$R658&amp;"|"&amp;$AE658,'ASIGNACIONES'!$N$4:$N$451,0)),""))=0,"",IFERROR(INDEX('ASIGNACIONES'!$J$4:$J$451,MATCH($O658&amp;"|"&amp;$R658&amp;"|"&amp;$AE658,'ASIGNACIONES'!$N$4:$N$451,0)),"")))</f>
        <v/>
      </c>
      <c r="AG658" s="14">
        <f>IF($AE658="","",SUMIFS('ORDENES'!$M$4:$M$1203,'ORDENES'!$AE$4:$AE$1203,$AE658,'ORDENES'!$O$4:$O$1203,$O658,'ORDENES'!$R$4:$R$1203,$R658))</f>
        <v/>
      </c>
      <c r="AH658" s="14">
        <f>IF($AG658="","",p_factor_productividad*IFERROR(INDEX('ASIGNACIONES'!$M$4:$M$451,MATCH($O658&amp;"|"&amp;$R658&amp;"|"&amp;$AE658,'ASIGNACIONES'!$N$4:$N$451,0)),0)-$AG658)</f>
        <v/>
      </c>
      <c r="AI658" s="11">
        <f>IF($A658="","",IFERROR(INDEX('2_IMPORTAR_EJECUCION'!$F$9:$F$1208,MATCH($AQ658,'2_IMPORTAR_EJECUCION'!$J$9:$J$1208,0)),0))</f>
        <v/>
      </c>
      <c r="AJ658" s="11">
        <f>IF($A658="","",MAX(0,IFERROR(INDEX('2_IMPORTAR_EJECUCION'!$H$9:$H$1208,MATCH($AQ658,'2_IMPORTAR_EJECUCION'!$J$9:$J$1208,0)),0)-$AI658))</f>
        <v/>
      </c>
      <c r="AK658" s="11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IF($H659="","",IFERROR(INDEX('CAT_ACTIVIDADES'!$B$4:$B$8,MATCH($H659,'CAT_ACTIVIDADES'!$A$4:$A$8,0)),"(sin catálogo)"))</f>
        <v/>
      </c>
      <c r="AA659" s="13">
        <f>IF($J659="","",TODAY()-$J659)</f>
        <v/>
      </c>
      <c r="AB659" s="13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IF($AE659="","",IF((IFERROR(INDEX('ASIGNACIONES'!$J$4:$J$451,MATCH($O659&amp;"|"&amp;$R659&amp;"|"&amp;$AE659,'ASIGNACIONES'!$N$4:$N$451,0)),""))=0,"",IFERROR(INDEX('ASIGNACIONES'!$J$4:$J$451,MATCH($O659&amp;"|"&amp;$R659&amp;"|"&amp;$AE659,'ASIGNACIONES'!$N$4:$N$451,0)),"")))</f>
        <v/>
      </c>
      <c r="AG659" s="14">
        <f>IF($AE659="","",SUMIFS('ORDENES'!$M$4:$M$1203,'ORDENES'!$AE$4:$AE$1203,$AE659,'ORDENES'!$O$4:$O$1203,$O659,'ORDENES'!$R$4:$R$1203,$R659))</f>
        <v/>
      </c>
      <c r="AH659" s="14">
        <f>IF($AG659="","",p_factor_productividad*IFERROR(INDEX('ASIGNACIONES'!$M$4:$M$451,MATCH($O659&amp;"|"&amp;$R659&amp;"|"&amp;$AE659,'ASIGNACIONES'!$N$4:$N$451,0)),0)-$AG659)</f>
        <v/>
      </c>
      <c r="AI659" s="11">
        <f>IF($A659="","",IFERROR(INDEX('2_IMPORTAR_EJECUCION'!$F$9:$F$1208,MATCH($AQ659,'2_IMPORTAR_EJECUCION'!$J$9:$J$1208,0)),0))</f>
        <v/>
      </c>
      <c r="AJ659" s="11">
        <f>IF($A659="","",MAX(0,IFERROR(INDEX('2_IMPORTAR_EJECUCION'!$H$9:$H$1208,MATCH($AQ659,'2_IMPORTAR_EJECUCION'!$J$9:$J$1208,0)),0)-$AI659))</f>
        <v/>
      </c>
      <c r="AK659" s="11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IF($H660="","",IFERROR(INDEX('CAT_ACTIVIDADES'!$B$4:$B$8,MATCH($H660,'CAT_ACTIVIDADES'!$A$4:$A$8,0)),"(sin catálogo)"))</f>
        <v/>
      </c>
      <c r="AA660" s="13">
        <f>IF($J660="","",TODAY()-$J660)</f>
        <v/>
      </c>
      <c r="AB660" s="13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IF($AE660="","",IF((IFERROR(INDEX('ASIGNACIONES'!$J$4:$J$451,MATCH($O660&amp;"|"&amp;$R660&amp;"|"&amp;$AE660,'ASIGNACIONES'!$N$4:$N$451,0)),""))=0,"",IFERROR(INDEX('ASIGNACIONES'!$J$4:$J$451,MATCH($O660&amp;"|"&amp;$R660&amp;"|"&amp;$AE660,'ASIGNACIONES'!$N$4:$N$451,0)),"")))</f>
        <v/>
      </c>
      <c r="AG660" s="14">
        <f>IF($AE660="","",SUMIFS('ORDENES'!$M$4:$M$1203,'ORDENES'!$AE$4:$AE$1203,$AE660,'ORDENES'!$O$4:$O$1203,$O660,'ORDENES'!$R$4:$R$1203,$R660))</f>
        <v/>
      </c>
      <c r="AH660" s="14">
        <f>IF($AG660="","",p_factor_productividad*IFERROR(INDEX('ASIGNACIONES'!$M$4:$M$451,MATCH($O660&amp;"|"&amp;$R660&amp;"|"&amp;$AE660,'ASIGNACIONES'!$N$4:$N$451,0)),0)-$AG660)</f>
        <v/>
      </c>
      <c r="AI660" s="11">
        <f>IF($A660="","",IFERROR(INDEX('2_IMPORTAR_EJECUCION'!$F$9:$F$1208,MATCH($AQ660,'2_IMPORTAR_EJECUCION'!$J$9:$J$1208,0)),0))</f>
        <v/>
      </c>
      <c r="AJ660" s="11">
        <f>IF($A660="","",MAX(0,IFERROR(INDEX('2_IMPORTAR_EJECUCION'!$H$9:$H$1208,MATCH($AQ660,'2_IMPORTAR_EJECUCION'!$J$9:$J$1208,0)),0)-$AI660))</f>
        <v/>
      </c>
      <c r="AK660" s="11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IF($H661="","",IFERROR(INDEX('CAT_ACTIVIDADES'!$B$4:$B$8,MATCH($H661,'CAT_ACTIVIDADES'!$A$4:$A$8,0)),"(sin catálogo)"))</f>
        <v/>
      </c>
      <c r="AA661" s="13">
        <f>IF($J661="","",TODAY()-$J661)</f>
        <v/>
      </c>
      <c r="AB661" s="13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IF($AE661="","",IF((IFERROR(INDEX('ASIGNACIONES'!$J$4:$J$451,MATCH($O661&amp;"|"&amp;$R661&amp;"|"&amp;$AE661,'ASIGNACIONES'!$N$4:$N$451,0)),""))=0,"",IFERROR(INDEX('ASIGNACIONES'!$J$4:$J$451,MATCH($O661&amp;"|"&amp;$R661&amp;"|"&amp;$AE661,'ASIGNACIONES'!$N$4:$N$451,0)),"")))</f>
        <v/>
      </c>
      <c r="AG661" s="14">
        <f>IF($AE661="","",SUMIFS('ORDENES'!$M$4:$M$1203,'ORDENES'!$AE$4:$AE$1203,$AE661,'ORDENES'!$O$4:$O$1203,$O661,'ORDENES'!$R$4:$R$1203,$R661))</f>
        <v/>
      </c>
      <c r="AH661" s="14">
        <f>IF($AG661="","",p_factor_productividad*IFERROR(INDEX('ASIGNACIONES'!$M$4:$M$451,MATCH($O661&amp;"|"&amp;$R661&amp;"|"&amp;$AE661,'ASIGNACIONES'!$N$4:$N$451,0)),0)-$AG661)</f>
        <v/>
      </c>
      <c r="AI661" s="11">
        <f>IF($A661="","",IFERROR(INDEX('2_IMPORTAR_EJECUCION'!$F$9:$F$1208,MATCH($AQ661,'2_IMPORTAR_EJECUCION'!$J$9:$J$1208,0)),0))</f>
        <v/>
      </c>
      <c r="AJ661" s="11">
        <f>IF($A661="","",MAX(0,IFERROR(INDEX('2_IMPORTAR_EJECUCION'!$H$9:$H$1208,MATCH($AQ661,'2_IMPORTAR_EJECUCION'!$J$9:$J$1208,0)),0)-$AI661))</f>
        <v/>
      </c>
      <c r="AK661" s="11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IF($H662="","",IFERROR(INDEX('CAT_ACTIVIDADES'!$B$4:$B$8,MATCH($H662,'CAT_ACTIVIDADES'!$A$4:$A$8,0)),"(sin catálogo)"))</f>
        <v/>
      </c>
      <c r="AA662" s="13">
        <f>IF($J662="","",TODAY()-$J662)</f>
        <v/>
      </c>
      <c r="AB662" s="13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IF($AE662="","",IF((IFERROR(INDEX('ASIGNACIONES'!$J$4:$J$451,MATCH($O662&amp;"|"&amp;$R662&amp;"|"&amp;$AE662,'ASIGNACIONES'!$N$4:$N$451,0)),""))=0,"",IFERROR(INDEX('ASIGNACIONES'!$J$4:$J$451,MATCH($O662&amp;"|"&amp;$R662&amp;"|"&amp;$AE662,'ASIGNACIONES'!$N$4:$N$451,0)),"")))</f>
        <v/>
      </c>
      <c r="AG662" s="14">
        <f>IF($AE662="","",SUMIFS('ORDENES'!$M$4:$M$1203,'ORDENES'!$AE$4:$AE$1203,$AE662,'ORDENES'!$O$4:$O$1203,$O662,'ORDENES'!$R$4:$R$1203,$R662))</f>
        <v/>
      </c>
      <c r="AH662" s="14">
        <f>IF($AG662="","",p_factor_productividad*IFERROR(INDEX('ASIGNACIONES'!$M$4:$M$451,MATCH($O662&amp;"|"&amp;$R662&amp;"|"&amp;$AE662,'ASIGNACIONES'!$N$4:$N$451,0)),0)-$AG662)</f>
        <v/>
      </c>
      <c r="AI662" s="11">
        <f>IF($A662="","",IFERROR(INDEX('2_IMPORTAR_EJECUCION'!$F$9:$F$1208,MATCH($AQ662,'2_IMPORTAR_EJECUCION'!$J$9:$J$1208,0)),0))</f>
        <v/>
      </c>
      <c r="AJ662" s="11">
        <f>IF($A662="","",MAX(0,IFERROR(INDEX('2_IMPORTAR_EJECUCION'!$H$9:$H$1208,MATCH($AQ662,'2_IMPORTAR_EJECUCION'!$J$9:$J$1208,0)),0)-$AI662))</f>
        <v/>
      </c>
      <c r="AK662" s="11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IF($H663="","",IFERROR(INDEX('CAT_ACTIVIDADES'!$B$4:$B$8,MATCH($H663,'CAT_ACTIVIDADES'!$A$4:$A$8,0)),"(sin catálogo)"))</f>
        <v/>
      </c>
      <c r="AA663" s="13">
        <f>IF($J663="","",TODAY()-$J663)</f>
        <v/>
      </c>
      <c r="AB663" s="13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IF($AE663="","",IF((IFERROR(INDEX('ASIGNACIONES'!$J$4:$J$451,MATCH($O663&amp;"|"&amp;$R663&amp;"|"&amp;$AE663,'ASIGNACIONES'!$N$4:$N$451,0)),""))=0,"",IFERROR(INDEX('ASIGNACIONES'!$J$4:$J$451,MATCH($O663&amp;"|"&amp;$R663&amp;"|"&amp;$AE663,'ASIGNACIONES'!$N$4:$N$451,0)),"")))</f>
        <v/>
      </c>
      <c r="AG663" s="14">
        <f>IF($AE663="","",SUMIFS('ORDENES'!$M$4:$M$1203,'ORDENES'!$AE$4:$AE$1203,$AE663,'ORDENES'!$O$4:$O$1203,$O663,'ORDENES'!$R$4:$R$1203,$R663))</f>
        <v/>
      </c>
      <c r="AH663" s="14">
        <f>IF($AG663="","",p_factor_productividad*IFERROR(INDEX('ASIGNACIONES'!$M$4:$M$451,MATCH($O663&amp;"|"&amp;$R663&amp;"|"&amp;$AE663,'ASIGNACIONES'!$N$4:$N$451,0)),0)-$AG663)</f>
        <v/>
      </c>
      <c r="AI663" s="11">
        <f>IF($A663="","",IFERROR(INDEX('2_IMPORTAR_EJECUCION'!$F$9:$F$1208,MATCH($AQ663,'2_IMPORTAR_EJECUCION'!$J$9:$J$1208,0)),0))</f>
        <v/>
      </c>
      <c r="AJ663" s="11">
        <f>IF($A663="","",MAX(0,IFERROR(INDEX('2_IMPORTAR_EJECUCION'!$H$9:$H$1208,MATCH($AQ663,'2_IMPORTAR_EJECUCION'!$J$9:$J$1208,0)),0)-$AI663))</f>
        <v/>
      </c>
      <c r="AK663" s="11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IF($H664="","",IFERROR(INDEX('CAT_ACTIVIDADES'!$B$4:$B$8,MATCH($H664,'CAT_ACTIVIDADES'!$A$4:$A$8,0)),"(sin catálogo)"))</f>
        <v/>
      </c>
      <c r="AA664" s="13">
        <f>IF($J664="","",TODAY()-$J664)</f>
        <v/>
      </c>
      <c r="AB664" s="13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IF($AE664="","",IF((IFERROR(INDEX('ASIGNACIONES'!$J$4:$J$451,MATCH($O664&amp;"|"&amp;$R664&amp;"|"&amp;$AE664,'ASIGNACIONES'!$N$4:$N$451,0)),""))=0,"",IFERROR(INDEX('ASIGNACIONES'!$J$4:$J$451,MATCH($O664&amp;"|"&amp;$R664&amp;"|"&amp;$AE664,'ASIGNACIONES'!$N$4:$N$451,0)),"")))</f>
        <v/>
      </c>
      <c r="AG664" s="14">
        <f>IF($AE664="","",SUMIFS('ORDENES'!$M$4:$M$1203,'ORDENES'!$AE$4:$AE$1203,$AE664,'ORDENES'!$O$4:$O$1203,$O664,'ORDENES'!$R$4:$R$1203,$R664))</f>
        <v/>
      </c>
      <c r="AH664" s="14">
        <f>IF($AG664="","",p_factor_productividad*IFERROR(INDEX('ASIGNACIONES'!$M$4:$M$451,MATCH($O664&amp;"|"&amp;$R664&amp;"|"&amp;$AE664,'ASIGNACIONES'!$N$4:$N$451,0)),0)-$AG664)</f>
        <v/>
      </c>
      <c r="AI664" s="11">
        <f>IF($A664="","",IFERROR(INDEX('2_IMPORTAR_EJECUCION'!$F$9:$F$1208,MATCH($AQ664,'2_IMPORTAR_EJECUCION'!$J$9:$J$1208,0)),0))</f>
        <v/>
      </c>
      <c r="AJ664" s="11">
        <f>IF($A664="","",MAX(0,IFERROR(INDEX('2_IMPORTAR_EJECUCION'!$H$9:$H$1208,MATCH($AQ664,'2_IMPORTAR_EJECUCION'!$J$9:$J$1208,0)),0)-$AI664))</f>
        <v/>
      </c>
      <c r="AK664" s="11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IF($H665="","",IFERROR(INDEX('CAT_ACTIVIDADES'!$B$4:$B$8,MATCH($H665,'CAT_ACTIVIDADES'!$A$4:$A$8,0)),"(sin catálogo)"))</f>
        <v/>
      </c>
      <c r="AA665" s="13">
        <f>IF($J665="","",TODAY()-$J665)</f>
        <v/>
      </c>
      <c r="AB665" s="13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IF($AE665="","",IF((IFERROR(INDEX('ASIGNACIONES'!$J$4:$J$451,MATCH($O665&amp;"|"&amp;$R665&amp;"|"&amp;$AE665,'ASIGNACIONES'!$N$4:$N$451,0)),""))=0,"",IFERROR(INDEX('ASIGNACIONES'!$J$4:$J$451,MATCH($O665&amp;"|"&amp;$R665&amp;"|"&amp;$AE665,'ASIGNACIONES'!$N$4:$N$451,0)),"")))</f>
        <v/>
      </c>
      <c r="AG665" s="14">
        <f>IF($AE665="","",SUMIFS('ORDENES'!$M$4:$M$1203,'ORDENES'!$AE$4:$AE$1203,$AE665,'ORDENES'!$O$4:$O$1203,$O665,'ORDENES'!$R$4:$R$1203,$R665))</f>
        <v/>
      </c>
      <c r="AH665" s="14">
        <f>IF($AG665="","",p_factor_productividad*IFERROR(INDEX('ASIGNACIONES'!$M$4:$M$451,MATCH($O665&amp;"|"&amp;$R665&amp;"|"&amp;$AE665,'ASIGNACIONES'!$N$4:$N$451,0)),0)-$AG665)</f>
        <v/>
      </c>
      <c r="AI665" s="11">
        <f>IF($A665="","",IFERROR(INDEX('2_IMPORTAR_EJECUCION'!$F$9:$F$1208,MATCH($AQ665,'2_IMPORTAR_EJECUCION'!$J$9:$J$1208,0)),0))</f>
        <v/>
      </c>
      <c r="AJ665" s="11">
        <f>IF($A665="","",MAX(0,IFERROR(INDEX('2_IMPORTAR_EJECUCION'!$H$9:$H$1208,MATCH($AQ665,'2_IMPORTAR_EJECUCION'!$J$9:$J$1208,0)),0)-$AI665))</f>
        <v/>
      </c>
      <c r="AK665" s="11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IF($H666="","",IFERROR(INDEX('CAT_ACTIVIDADES'!$B$4:$B$8,MATCH($H666,'CAT_ACTIVIDADES'!$A$4:$A$8,0)),"(sin catálogo)"))</f>
        <v/>
      </c>
      <c r="AA666" s="13">
        <f>IF($J666="","",TODAY()-$J666)</f>
        <v/>
      </c>
      <c r="AB666" s="13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IF($AE666="","",IF((IFERROR(INDEX('ASIGNACIONES'!$J$4:$J$451,MATCH($O666&amp;"|"&amp;$R666&amp;"|"&amp;$AE666,'ASIGNACIONES'!$N$4:$N$451,0)),""))=0,"",IFERROR(INDEX('ASIGNACIONES'!$J$4:$J$451,MATCH($O666&amp;"|"&amp;$R666&amp;"|"&amp;$AE666,'ASIGNACIONES'!$N$4:$N$451,0)),"")))</f>
        <v/>
      </c>
      <c r="AG666" s="14">
        <f>IF($AE666="","",SUMIFS('ORDENES'!$M$4:$M$1203,'ORDENES'!$AE$4:$AE$1203,$AE666,'ORDENES'!$O$4:$O$1203,$O666,'ORDENES'!$R$4:$R$1203,$R666))</f>
        <v/>
      </c>
      <c r="AH666" s="14">
        <f>IF($AG666="","",p_factor_productividad*IFERROR(INDEX('ASIGNACIONES'!$M$4:$M$451,MATCH($O666&amp;"|"&amp;$R666&amp;"|"&amp;$AE666,'ASIGNACIONES'!$N$4:$N$451,0)),0)-$AG666)</f>
        <v/>
      </c>
      <c r="AI666" s="11">
        <f>IF($A666="","",IFERROR(INDEX('2_IMPORTAR_EJECUCION'!$F$9:$F$1208,MATCH($AQ666,'2_IMPORTAR_EJECUCION'!$J$9:$J$1208,0)),0))</f>
        <v/>
      </c>
      <c r="AJ666" s="11">
        <f>IF($A666="","",MAX(0,IFERROR(INDEX('2_IMPORTAR_EJECUCION'!$H$9:$H$1208,MATCH($AQ666,'2_IMPORTAR_EJECUCION'!$J$9:$J$1208,0)),0)-$AI666))</f>
        <v/>
      </c>
      <c r="AK666" s="11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IF($H667="","",IFERROR(INDEX('CAT_ACTIVIDADES'!$B$4:$B$8,MATCH($H667,'CAT_ACTIVIDADES'!$A$4:$A$8,0)),"(sin catálogo)"))</f>
        <v/>
      </c>
      <c r="AA667" s="13">
        <f>IF($J667="","",TODAY()-$J667)</f>
        <v/>
      </c>
      <c r="AB667" s="13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IF($AE667="","",IF((IFERROR(INDEX('ASIGNACIONES'!$J$4:$J$451,MATCH($O667&amp;"|"&amp;$R667&amp;"|"&amp;$AE667,'ASIGNACIONES'!$N$4:$N$451,0)),""))=0,"",IFERROR(INDEX('ASIGNACIONES'!$J$4:$J$451,MATCH($O667&amp;"|"&amp;$R667&amp;"|"&amp;$AE667,'ASIGNACIONES'!$N$4:$N$451,0)),"")))</f>
        <v/>
      </c>
      <c r="AG667" s="14">
        <f>IF($AE667="","",SUMIFS('ORDENES'!$M$4:$M$1203,'ORDENES'!$AE$4:$AE$1203,$AE667,'ORDENES'!$O$4:$O$1203,$O667,'ORDENES'!$R$4:$R$1203,$R667))</f>
        <v/>
      </c>
      <c r="AH667" s="14">
        <f>IF($AG667="","",p_factor_productividad*IFERROR(INDEX('ASIGNACIONES'!$M$4:$M$451,MATCH($O667&amp;"|"&amp;$R667&amp;"|"&amp;$AE667,'ASIGNACIONES'!$N$4:$N$451,0)),0)-$AG667)</f>
        <v/>
      </c>
      <c r="AI667" s="11">
        <f>IF($A667="","",IFERROR(INDEX('2_IMPORTAR_EJECUCION'!$F$9:$F$1208,MATCH($AQ667,'2_IMPORTAR_EJECUCION'!$J$9:$J$1208,0)),0))</f>
        <v/>
      </c>
      <c r="AJ667" s="11">
        <f>IF($A667="","",MAX(0,IFERROR(INDEX('2_IMPORTAR_EJECUCION'!$H$9:$H$1208,MATCH($AQ667,'2_IMPORTAR_EJECUCION'!$J$9:$J$1208,0)),0)-$AI667))</f>
        <v/>
      </c>
      <c r="AK667" s="11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IF($H668="","",IFERROR(INDEX('CAT_ACTIVIDADES'!$B$4:$B$8,MATCH($H668,'CAT_ACTIVIDADES'!$A$4:$A$8,0)),"(sin catálogo)"))</f>
        <v/>
      </c>
      <c r="AA668" s="13">
        <f>IF($J668="","",TODAY()-$J668)</f>
        <v/>
      </c>
      <c r="AB668" s="13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IF($AE668="","",IF((IFERROR(INDEX('ASIGNACIONES'!$J$4:$J$451,MATCH($O668&amp;"|"&amp;$R668&amp;"|"&amp;$AE668,'ASIGNACIONES'!$N$4:$N$451,0)),""))=0,"",IFERROR(INDEX('ASIGNACIONES'!$J$4:$J$451,MATCH($O668&amp;"|"&amp;$R668&amp;"|"&amp;$AE668,'ASIGNACIONES'!$N$4:$N$451,0)),"")))</f>
        <v/>
      </c>
      <c r="AG668" s="14">
        <f>IF($AE668="","",SUMIFS('ORDENES'!$M$4:$M$1203,'ORDENES'!$AE$4:$AE$1203,$AE668,'ORDENES'!$O$4:$O$1203,$O668,'ORDENES'!$R$4:$R$1203,$R668))</f>
        <v/>
      </c>
      <c r="AH668" s="14">
        <f>IF($AG668="","",p_factor_productividad*IFERROR(INDEX('ASIGNACIONES'!$M$4:$M$451,MATCH($O668&amp;"|"&amp;$R668&amp;"|"&amp;$AE668,'ASIGNACIONES'!$N$4:$N$451,0)),0)-$AG668)</f>
        <v/>
      </c>
      <c r="AI668" s="11">
        <f>IF($A668="","",IFERROR(INDEX('2_IMPORTAR_EJECUCION'!$F$9:$F$1208,MATCH($AQ668,'2_IMPORTAR_EJECUCION'!$J$9:$J$1208,0)),0))</f>
        <v/>
      </c>
      <c r="AJ668" s="11">
        <f>IF($A668="","",MAX(0,IFERROR(INDEX('2_IMPORTAR_EJECUCION'!$H$9:$H$1208,MATCH($AQ668,'2_IMPORTAR_EJECUCION'!$J$9:$J$1208,0)),0)-$AI668))</f>
        <v/>
      </c>
      <c r="AK668" s="11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IF($H669="","",IFERROR(INDEX('CAT_ACTIVIDADES'!$B$4:$B$8,MATCH($H669,'CAT_ACTIVIDADES'!$A$4:$A$8,0)),"(sin catálogo)"))</f>
        <v/>
      </c>
      <c r="AA669" s="13">
        <f>IF($J669="","",TODAY()-$J669)</f>
        <v/>
      </c>
      <c r="AB669" s="13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IF($AE669="","",IF((IFERROR(INDEX('ASIGNACIONES'!$J$4:$J$451,MATCH($O669&amp;"|"&amp;$R669&amp;"|"&amp;$AE669,'ASIGNACIONES'!$N$4:$N$451,0)),""))=0,"",IFERROR(INDEX('ASIGNACIONES'!$J$4:$J$451,MATCH($O669&amp;"|"&amp;$R669&amp;"|"&amp;$AE669,'ASIGNACIONES'!$N$4:$N$451,0)),"")))</f>
        <v/>
      </c>
      <c r="AG669" s="14">
        <f>IF($AE669="","",SUMIFS('ORDENES'!$M$4:$M$1203,'ORDENES'!$AE$4:$AE$1203,$AE669,'ORDENES'!$O$4:$O$1203,$O669,'ORDENES'!$R$4:$R$1203,$R669))</f>
        <v/>
      </c>
      <c r="AH669" s="14">
        <f>IF($AG669="","",p_factor_productividad*IFERROR(INDEX('ASIGNACIONES'!$M$4:$M$451,MATCH($O669&amp;"|"&amp;$R669&amp;"|"&amp;$AE669,'ASIGNACIONES'!$N$4:$N$451,0)),0)-$AG669)</f>
        <v/>
      </c>
      <c r="AI669" s="11">
        <f>IF($A669="","",IFERROR(INDEX('2_IMPORTAR_EJECUCION'!$F$9:$F$1208,MATCH($AQ669,'2_IMPORTAR_EJECUCION'!$J$9:$J$1208,0)),0))</f>
        <v/>
      </c>
      <c r="AJ669" s="11">
        <f>IF($A669="","",MAX(0,IFERROR(INDEX('2_IMPORTAR_EJECUCION'!$H$9:$H$1208,MATCH($AQ669,'2_IMPORTAR_EJECUCION'!$J$9:$J$1208,0)),0)-$AI669))</f>
        <v/>
      </c>
      <c r="AK669" s="11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IF($H670="","",IFERROR(INDEX('CAT_ACTIVIDADES'!$B$4:$B$8,MATCH($H670,'CAT_ACTIVIDADES'!$A$4:$A$8,0)),"(sin catálogo)"))</f>
        <v/>
      </c>
      <c r="AA670" s="13">
        <f>IF($J670="","",TODAY()-$J670)</f>
        <v/>
      </c>
      <c r="AB670" s="13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IF($AE670="","",IF((IFERROR(INDEX('ASIGNACIONES'!$J$4:$J$451,MATCH($O670&amp;"|"&amp;$R670&amp;"|"&amp;$AE670,'ASIGNACIONES'!$N$4:$N$451,0)),""))=0,"",IFERROR(INDEX('ASIGNACIONES'!$J$4:$J$451,MATCH($O670&amp;"|"&amp;$R670&amp;"|"&amp;$AE670,'ASIGNACIONES'!$N$4:$N$451,0)),"")))</f>
        <v/>
      </c>
      <c r="AG670" s="14">
        <f>IF($AE670="","",SUMIFS('ORDENES'!$M$4:$M$1203,'ORDENES'!$AE$4:$AE$1203,$AE670,'ORDENES'!$O$4:$O$1203,$O670,'ORDENES'!$R$4:$R$1203,$R670))</f>
        <v/>
      </c>
      <c r="AH670" s="14">
        <f>IF($AG670="","",p_factor_productividad*IFERROR(INDEX('ASIGNACIONES'!$M$4:$M$451,MATCH($O670&amp;"|"&amp;$R670&amp;"|"&amp;$AE670,'ASIGNACIONES'!$N$4:$N$451,0)),0)-$AG670)</f>
        <v/>
      </c>
      <c r="AI670" s="11">
        <f>IF($A670="","",IFERROR(INDEX('2_IMPORTAR_EJECUCION'!$F$9:$F$1208,MATCH($AQ670,'2_IMPORTAR_EJECUCION'!$J$9:$J$1208,0)),0))</f>
        <v/>
      </c>
      <c r="AJ670" s="11">
        <f>IF($A670="","",MAX(0,IFERROR(INDEX('2_IMPORTAR_EJECUCION'!$H$9:$H$1208,MATCH($AQ670,'2_IMPORTAR_EJECUCION'!$J$9:$J$1208,0)),0)-$AI670))</f>
        <v/>
      </c>
      <c r="AK670" s="11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IF($H671="","",IFERROR(INDEX('CAT_ACTIVIDADES'!$B$4:$B$8,MATCH($H671,'CAT_ACTIVIDADES'!$A$4:$A$8,0)),"(sin catálogo)"))</f>
        <v/>
      </c>
      <c r="AA671" s="13">
        <f>IF($J671="","",TODAY()-$J671)</f>
        <v/>
      </c>
      <c r="AB671" s="13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IF($AE671="","",IF((IFERROR(INDEX('ASIGNACIONES'!$J$4:$J$451,MATCH($O671&amp;"|"&amp;$R671&amp;"|"&amp;$AE671,'ASIGNACIONES'!$N$4:$N$451,0)),""))=0,"",IFERROR(INDEX('ASIGNACIONES'!$J$4:$J$451,MATCH($O671&amp;"|"&amp;$R671&amp;"|"&amp;$AE671,'ASIGNACIONES'!$N$4:$N$451,0)),"")))</f>
        <v/>
      </c>
      <c r="AG671" s="14">
        <f>IF($AE671="","",SUMIFS('ORDENES'!$M$4:$M$1203,'ORDENES'!$AE$4:$AE$1203,$AE671,'ORDENES'!$O$4:$O$1203,$O671,'ORDENES'!$R$4:$R$1203,$R671))</f>
        <v/>
      </c>
      <c r="AH671" s="14">
        <f>IF($AG671="","",p_factor_productividad*IFERROR(INDEX('ASIGNACIONES'!$M$4:$M$451,MATCH($O671&amp;"|"&amp;$R671&amp;"|"&amp;$AE671,'ASIGNACIONES'!$N$4:$N$451,0)),0)-$AG671)</f>
        <v/>
      </c>
      <c r="AI671" s="11">
        <f>IF($A671="","",IFERROR(INDEX('2_IMPORTAR_EJECUCION'!$F$9:$F$1208,MATCH($AQ671,'2_IMPORTAR_EJECUCION'!$J$9:$J$1208,0)),0))</f>
        <v/>
      </c>
      <c r="AJ671" s="11">
        <f>IF($A671="","",MAX(0,IFERROR(INDEX('2_IMPORTAR_EJECUCION'!$H$9:$H$1208,MATCH($AQ671,'2_IMPORTAR_EJECUCION'!$J$9:$J$1208,0)),0)-$AI671))</f>
        <v/>
      </c>
      <c r="AK671" s="11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IF($H672="","",IFERROR(INDEX('CAT_ACTIVIDADES'!$B$4:$B$8,MATCH($H672,'CAT_ACTIVIDADES'!$A$4:$A$8,0)),"(sin catálogo)"))</f>
        <v/>
      </c>
      <c r="AA672" s="13">
        <f>IF($J672="","",TODAY()-$J672)</f>
        <v/>
      </c>
      <c r="AB672" s="13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IF($AE672="","",IF((IFERROR(INDEX('ASIGNACIONES'!$J$4:$J$451,MATCH($O672&amp;"|"&amp;$R672&amp;"|"&amp;$AE672,'ASIGNACIONES'!$N$4:$N$451,0)),""))=0,"",IFERROR(INDEX('ASIGNACIONES'!$J$4:$J$451,MATCH($O672&amp;"|"&amp;$R672&amp;"|"&amp;$AE672,'ASIGNACIONES'!$N$4:$N$451,0)),"")))</f>
        <v/>
      </c>
      <c r="AG672" s="14">
        <f>IF($AE672="","",SUMIFS('ORDENES'!$M$4:$M$1203,'ORDENES'!$AE$4:$AE$1203,$AE672,'ORDENES'!$O$4:$O$1203,$O672,'ORDENES'!$R$4:$R$1203,$R672))</f>
        <v/>
      </c>
      <c r="AH672" s="14">
        <f>IF($AG672="","",p_factor_productividad*IFERROR(INDEX('ASIGNACIONES'!$M$4:$M$451,MATCH($O672&amp;"|"&amp;$R672&amp;"|"&amp;$AE672,'ASIGNACIONES'!$N$4:$N$451,0)),0)-$AG672)</f>
        <v/>
      </c>
      <c r="AI672" s="11">
        <f>IF($A672="","",IFERROR(INDEX('2_IMPORTAR_EJECUCION'!$F$9:$F$1208,MATCH($AQ672,'2_IMPORTAR_EJECUCION'!$J$9:$J$1208,0)),0))</f>
        <v/>
      </c>
      <c r="AJ672" s="11">
        <f>IF($A672="","",MAX(0,IFERROR(INDEX('2_IMPORTAR_EJECUCION'!$H$9:$H$1208,MATCH($AQ672,'2_IMPORTAR_EJECUCION'!$J$9:$J$1208,0)),0)-$AI672))</f>
        <v/>
      </c>
      <c r="AK672" s="11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IF($H673="","",IFERROR(INDEX('CAT_ACTIVIDADES'!$B$4:$B$8,MATCH($H673,'CAT_ACTIVIDADES'!$A$4:$A$8,0)),"(sin catálogo)"))</f>
        <v/>
      </c>
      <c r="AA673" s="13">
        <f>IF($J673="","",TODAY()-$J673)</f>
        <v/>
      </c>
      <c r="AB673" s="13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IF($AE673="","",IF((IFERROR(INDEX('ASIGNACIONES'!$J$4:$J$451,MATCH($O673&amp;"|"&amp;$R673&amp;"|"&amp;$AE673,'ASIGNACIONES'!$N$4:$N$451,0)),""))=0,"",IFERROR(INDEX('ASIGNACIONES'!$J$4:$J$451,MATCH($O673&amp;"|"&amp;$R673&amp;"|"&amp;$AE673,'ASIGNACIONES'!$N$4:$N$451,0)),"")))</f>
        <v/>
      </c>
      <c r="AG673" s="14">
        <f>IF($AE673="","",SUMIFS('ORDENES'!$M$4:$M$1203,'ORDENES'!$AE$4:$AE$1203,$AE673,'ORDENES'!$O$4:$O$1203,$O673,'ORDENES'!$R$4:$R$1203,$R673))</f>
        <v/>
      </c>
      <c r="AH673" s="14">
        <f>IF($AG673="","",p_factor_productividad*IFERROR(INDEX('ASIGNACIONES'!$M$4:$M$451,MATCH($O673&amp;"|"&amp;$R673&amp;"|"&amp;$AE673,'ASIGNACIONES'!$N$4:$N$451,0)),0)-$AG673)</f>
        <v/>
      </c>
      <c r="AI673" s="11">
        <f>IF($A673="","",IFERROR(INDEX('2_IMPORTAR_EJECUCION'!$F$9:$F$1208,MATCH($AQ673,'2_IMPORTAR_EJECUCION'!$J$9:$J$1208,0)),0))</f>
        <v/>
      </c>
      <c r="AJ673" s="11">
        <f>IF($A673="","",MAX(0,IFERROR(INDEX('2_IMPORTAR_EJECUCION'!$H$9:$H$1208,MATCH($AQ673,'2_IMPORTAR_EJECUCION'!$J$9:$J$1208,0)),0)-$AI673))</f>
        <v/>
      </c>
      <c r="AK673" s="11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IF($H674="","",IFERROR(INDEX('CAT_ACTIVIDADES'!$B$4:$B$8,MATCH($H674,'CAT_ACTIVIDADES'!$A$4:$A$8,0)),"(sin catálogo)"))</f>
        <v/>
      </c>
      <c r="AA674" s="13">
        <f>IF($J674="","",TODAY()-$J674)</f>
        <v/>
      </c>
      <c r="AB674" s="13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IF($AE674="","",IF((IFERROR(INDEX('ASIGNACIONES'!$J$4:$J$451,MATCH($O674&amp;"|"&amp;$R674&amp;"|"&amp;$AE674,'ASIGNACIONES'!$N$4:$N$451,0)),""))=0,"",IFERROR(INDEX('ASIGNACIONES'!$J$4:$J$451,MATCH($O674&amp;"|"&amp;$R674&amp;"|"&amp;$AE674,'ASIGNACIONES'!$N$4:$N$451,0)),"")))</f>
        <v/>
      </c>
      <c r="AG674" s="14">
        <f>IF($AE674="","",SUMIFS('ORDENES'!$M$4:$M$1203,'ORDENES'!$AE$4:$AE$1203,$AE674,'ORDENES'!$O$4:$O$1203,$O674,'ORDENES'!$R$4:$R$1203,$R674))</f>
        <v/>
      </c>
      <c r="AH674" s="14">
        <f>IF($AG674="","",p_factor_productividad*IFERROR(INDEX('ASIGNACIONES'!$M$4:$M$451,MATCH($O674&amp;"|"&amp;$R674&amp;"|"&amp;$AE674,'ASIGNACIONES'!$N$4:$N$451,0)),0)-$AG674)</f>
        <v/>
      </c>
      <c r="AI674" s="11">
        <f>IF($A674="","",IFERROR(INDEX('2_IMPORTAR_EJECUCION'!$F$9:$F$1208,MATCH($AQ674,'2_IMPORTAR_EJECUCION'!$J$9:$J$1208,0)),0))</f>
        <v/>
      </c>
      <c r="AJ674" s="11">
        <f>IF($A674="","",MAX(0,IFERROR(INDEX('2_IMPORTAR_EJECUCION'!$H$9:$H$1208,MATCH($AQ674,'2_IMPORTAR_EJECUCION'!$J$9:$J$1208,0)),0)-$AI674))</f>
        <v/>
      </c>
      <c r="AK674" s="11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IF($H675="","",IFERROR(INDEX('CAT_ACTIVIDADES'!$B$4:$B$8,MATCH($H675,'CAT_ACTIVIDADES'!$A$4:$A$8,0)),"(sin catálogo)"))</f>
        <v/>
      </c>
      <c r="AA675" s="13">
        <f>IF($J675="","",TODAY()-$J675)</f>
        <v/>
      </c>
      <c r="AB675" s="13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IF($AE675="","",IF((IFERROR(INDEX('ASIGNACIONES'!$J$4:$J$451,MATCH($O675&amp;"|"&amp;$R675&amp;"|"&amp;$AE675,'ASIGNACIONES'!$N$4:$N$451,0)),""))=0,"",IFERROR(INDEX('ASIGNACIONES'!$J$4:$J$451,MATCH($O675&amp;"|"&amp;$R675&amp;"|"&amp;$AE675,'ASIGNACIONES'!$N$4:$N$451,0)),"")))</f>
        <v/>
      </c>
      <c r="AG675" s="14">
        <f>IF($AE675="","",SUMIFS('ORDENES'!$M$4:$M$1203,'ORDENES'!$AE$4:$AE$1203,$AE675,'ORDENES'!$O$4:$O$1203,$O675,'ORDENES'!$R$4:$R$1203,$R675))</f>
        <v/>
      </c>
      <c r="AH675" s="14">
        <f>IF($AG675="","",p_factor_productividad*IFERROR(INDEX('ASIGNACIONES'!$M$4:$M$451,MATCH($O675&amp;"|"&amp;$R675&amp;"|"&amp;$AE675,'ASIGNACIONES'!$N$4:$N$451,0)),0)-$AG675)</f>
        <v/>
      </c>
      <c r="AI675" s="11">
        <f>IF($A675="","",IFERROR(INDEX('2_IMPORTAR_EJECUCION'!$F$9:$F$1208,MATCH($AQ675,'2_IMPORTAR_EJECUCION'!$J$9:$J$1208,0)),0))</f>
        <v/>
      </c>
      <c r="AJ675" s="11">
        <f>IF($A675="","",MAX(0,IFERROR(INDEX('2_IMPORTAR_EJECUCION'!$H$9:$H$1208,MATCH($AQ675,'2_IMPORTAR_EJECUCION'!$J$9:$J$1208,0)),0)-$AI675))</f>
        <v/>
      </c>
      <c r="AK675" s="11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IF($H676="","",IFERROR(INDEX('CAT_ACTIVIDADES'!$B$4:$B$8,MATCH($H676,'CAT_ACTIVIDADES'!$A$4:$A$8,0)),"(sin catálogo)"))</f>
        <v/>
      </c>
      <c r="AA676" s="13">
        <f>IF($J676="","",TODAY()-$J676)</f>
        <v/>
      </c>
      <c r="AB676" s="13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IF($AE676="","",IF((IFERROR(INDEX('ASIGNACIONES'!$J$4:$J$451,MATCH($O676&amp;"|"&amp;$R676&amp;"|"&amp;$AE676,'ASIGNACIONES'!$N$4:$N$451,0)),""))=0,"",IFERROR(INDEX('ASIGNACIONES'!$J$4:$J$451,MATCH($O676&amp;"|"&amp;$R676&amp;"|"&amp;$AE676,'ASIGNACIONES'!$N$4:$N$451,0)),"")))</f>
        <v/>
      </c>
      <c r="AG676" s="14">
        <f>IF($AE676="","",SUMIFS('ORDENES'!$M$4:$M$1203,'ORDENES'!$AE$4:$AE$1203,$AE676,'ORDENES'!$O$4:$O$1203,$O676,'ORDENES'!$R$4:$R$1203,$R676))</f>
        <v/>
      </c>
      <c r="AH676" s="14">
        <f>IF($AG676="","",p_factor_productividad*IFERROR(INDEX('ASIGNACIONES'!$M$4:$M$451,MATCH($O676&amp;"|"&amp;$R676&amp;"|"&amp;$AE676,'ASIGNACIONES'!$N$4:$N$451,0)),0)-$AG676)</f>
        <v/>
      </c>
      <c r="AI676" s="11">
        <f>IF($A676="","",IFERROR(INDEX('2_IMPORTAR_EJECUCION'!$F$9:$F$1208,MATCH($AQ676,'2_IMPORTAR_EJECUCION'!$J$9:$J$1208,0)),0))</f>
        <v/>
      </c>
      <c r="AJ676" s="11">
        <f>IF($A676="","",MAX(0,IFERROR(INDEX('2_IMPORTAR_EJECUCION'!$H$9:$H$1208,MATCH($AQ676,'2_IMPORTAR_EJECUCION'!$J$9:$J$1208,0)),0)-$AI676))</f>
        <v/>
      </c>
      <c r="AK676" s="11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IF($H677="","",IFERROR(INDEX('CAT_ACTIVIDADES'!$B$4:$B$8,MATCH($H677,'CAT_ACTIVIDADES'!$A$4:$A$8,0)),"(sin catálogo)"))</f>
        <v/>
      </c>
      <c r="AA677" s="13">
        <f>IF($J677="","",TODAY()-$J677)</f>
        <v/>
      </c>
      <c r="AB677" s="13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IF($AE677="","",IF((IFERROR(INDEX('ASIGNACIONES'!$J$4:$J$451,MATCH($O677&amp;"|"&amp;$R677&amp;"|"&amp;$AE677,'ASIGNACIONES'!$N$4:$N$451,0)),""))=0,"",IFERROR(INDEX('ASIGNACIONES'!$J$4:$J$451,MATCH($O677&amp;"|"&amp;$R677&amp;"|"&amp;$AE677,'ASIGNACIONES'!$N$4:$N$451,0)),"")))</f>
        <v/>
      </c>
      <c r="AG677" s="14">
        <f>IF($AE677="","",SUMIFS('ORDENES'!$M$4:$M$1203,'ORDENES'!$AE$4:$AE$1203,$AE677,'ORDENES'!$O$4:$O$1203,$O677,'ORDENES'!$R$4:$R$1203,$R677))</f>
        <v/>
      </c>
      <c r="AH677" s="14">
        <f>IF($AG677="","",p_factor_productividad*IFERROR(INDEX('ASIGNACIONES'!$M$4:$M$451,MATCH($O677&amp;"|"&amp;$R677&amp;"|"&amp;$AE677,'ASIGNACIONES'!$N$4:$N$451,0)),0)-$AG677)</f>
        <v/>
      </c>
      <c r="AI677" s="11">
        <f>IF($A677="","",IFERROR(INDEX('2_IMPORTAR_EJECUCION'!$F$9:$F$1208,MATCH($AQ677,'2_IMPORTAR_EJECUCION'!$J$9:$J$1208,0)),0))</f>
        <v/>
      </c>
      <c r="AJ677" s="11">
        <f>IF($A677="","",MAX(0,IFERROR(INDEX('2_IMPORTAR_EJECUCION'!$H$9:$H$1208,MATCH($AQ677,'2_IMPORTAR_EJECUCION'!$J$9:$J$1208,0)),0)-$AI677))</f>
        <v/>
      </c>
      <c r="AK677" s="11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IF($H678="","",IFERROR(INDEX('CAT_ACTIVIDADES'!$B$4:$B$8,MATCH($H678,'CAT_ACTIVIDADES'!$A$4:$A$8,0)),"(sin catálogo)"))</f>
        <v/>
      </c>
      <c r="AA678" s="13">
        <f>IF($J678="","",TODAY()-$J678)</f>
        <v/>
      </c>
      <c r="AB678" s="13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IF($AE678="","",IF((IFERROR(INDEX('ASIGNACIONES'!$J$4:$J$451,MATCH($O678&amp;"|"&amp;$R678&amp;"|"&amp;$AE678,'ASIGNACIONES'!$N$4:$N$451,0)),""))=0,"",IFERROR(INDEX('ASIGNACIONES'!$J$4:$J$451,MATCH($O678&amp;"|"&amp;$R678&amp;"|"&amp;$AE678,'ASIGNACIONES'!$N$4:$N$451,0)),"")))</f>
        <v/>
      </c>
      <c r="AG678" s="14">
        <f>IF($AE678="","",SUMIFS('ORDENES'!$M$4:$M$1203,'ORDENES'!$AE$4:$AE$1203,$AE678,'ORDENES'!$O$4:$O$1203,$O678,'ORDENES'!$R$4:$R$1203,$R678))</f>
        <v/>
      </c>
      <c r="AH678" s="14">
        <f>IF($AG678="","",p_factor_productividad*IFERROR(INDEX('ASIGNACIONES'!$M$4:$M$451,MATCH($O678&amp;"|"&amp;$R678&amp;"|"&amp;$AE678,'ASIGNACIONES'!$N$4:$N$451,0)),0)-$AG678)</f>
        <v/>
      </c>
      <c r="AI678" s="11">
        <f>IF($A678="","",IFERROR(INDEX('2_IMPORTAR_EJECUCION'!$F$9:$F$1208,MATCH($AQ678,'2_IMPORTAR_EJECUCION'!$J$9:$J$1208,0)),0))</f>
        <v/>
      </c>
      <c r="AJ678" s="11">
        <f>IF($A678="","",MAX(0,IFERROR(INDEX('2_IMPORTAR_EJECUCION'!$H$9:$H$1208,MATCH($AQ678,'2_IMPORTAR_EJECUCION'!$J$9:$J$1208,0)),0)-$AI678))</f>
        <v/>
      </c>
      <c r="AK678" s="11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IF($H679="","",IFERROR(INDEX('CAT_ACTIVIDADES'!$B$4:$B$8,MATCH($H679,'CAT_ACTIVIDADES'!$A$4:$A$8,0)),"(sin catálogo)"))</f>
        <v/>
      </c>
      <c r="AA679" s="13">
        <f>IF($J679="","",TODAY()-$J679)</f>
        <v/>
      </c>
      <c r="AB679" s="13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IF($AE679="","",IF((IFERROR(INDEX('ASIGNACIONES'!$J$4:$J$451,MATCH($O679&amp;"|"&amp;$R679&amp;"|"&amp;$AE679,'ASIGNACIONES'!$N$4:$N$451,0)),""))=0,"",IFERROR(INDEX('ASIGNACIONES'!$J$4:$J$451,MATCH($O679&amp;"|"&amp;$R679&amp;"|"&amp;$AE679,'ASIGNACIONES'!$N$4:$N$451,0)),"")))</f>
        <v/>
      </c>
      <c r="AG679" s="14">
        <f>IF($AE679="","",SUMIFS('ORDENES'!$M$4:$M$1203,'ORDENES'!$AE$4:$AE$1203,$AE679,'ORDENES'!$O$4:$O$1203,$O679,'ORDENES'!$R$4:$R$1203,$R679))</f>
        <v/>
      </c>
      <c r="AH679" s="14">
        <f>IF($AG679="","",p_factor_productividad*IFERROR(INDEX('ASIGNACIONES'!$M$4:$M$451,MATCH($O679&amp;"|"&amp;$R679&amp;"|"&amp;$AE679,'ASIGNACIONES'!$N$4:$N$451,0)),0)-$AG679)</f>
        <v/>
      </c>
      <c r="AI679" s="11">
        <f>IF($A679="","",IFERROR(INDEX('2_IMPORTAR_EJECUCION'!$F$9:$F$1208,MATCH($AQ679,'2_IMPORTAR_EJECUCION'!$J$9:$J$1208,0)),0))</f>
        <v/>
      </c>
      <c r="AJ679" s="11">
        <f>IF($A679="","",MAX(0,IFERROR(INDEX('2_IMPORTAR_EJECUCION'!$H$9:$H$1208,MATCH($AQ679,'2_IMPORTAR_EJECUCION'!$J$9:$J$1208,0)),0)-$AI679))</f>
        <v/>
      </c>
      <c r="AK679" s="11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IF($H680="","",IFERROR(INDEX('CAT_ACTIVIDADES'!$B$4:$B$8,MATCH($H680,'CAT_ACTIVIDADES'!$A$4:$A$8,0)),"(sin catálogo)"))</f>
        <v/>
      </c>
      <c r="AA680" s="13">
        <f>IF($J680="","",TODAY()-$J680)</f>
        <v/>
      </c>
      <c r="AB680" s="13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IF($AE680="","",IF((IFERROR(INDEX('ASIGNACIONES'!$J$4:$J$451,MATCH($O680&amp;"|"&amp;$R680&amp;"|"&amp;$AE680,'ASIGNACIONES'!$N$4:$N$451,0)),""))=0,"",IFERROR(INDEX('ASIGNACIONES'!$J$4:$J$451,MATCH($O680&amp;"|"&amp;$R680&amp;"|"&amp;$AE680,'ASIGNACIONES'!$N$4:$N$451,0)),"")))</f>
        <v/>
      </c>
      <c r="AG680" s="14">
        <f>IF($AE680="","",SUMIFS('ORDENES'!$M$4:$M$1203,'ORDENES'!$AE$4:$AE$1203,$AE680,'ORDENES'!$O$4:$O$1203,$O680,'ORDENES'!$R$4:$R$1203,$R680))</f>
        <v/>
      </c>
      <c r="AH680" s="14">
        <f>IF($AG680="","",p_factor_productividad*IFERROR(INDEX('ASIGNACIONES'!$M$4:$M$451,MATCH($O680&amp;"|"&amp;$R680&amp;"|"&amp;$AE680,'ASIGNACIONES'!$N$4:$N$451,0)),0)-$AG680)</f>
        <v/>
      </c>
      <c r="AI680" s="11">
        <f>IF($A680="","",IFERROR(INDEX('2_IMPORTAR_EJECUCION'!$F$9:$F$1208,MATCH($AQ680,'2_IMPORTAR_EJECUCION'!$J$9:$J$1208,0)),0))</f>
        <v/>
      </c>
      <c r="AJ680" s="11">
        <f>IF($A680="","",MAX(0,IFERROR(INDEX('2_IMPORTAR_EJECUCION'!$H$9:$H$1208,MATCH($AQ680,'2_IMPORTAR_EJECUCION'!$J$9:$J$1208,0)),0)-$AI680))</f>
        <v/>
      </c>
      <c r="AK680" s="11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IF($H681="","",IFERROR(INDEX('CAT_ACTIVIDADES'!$B$4:$B$8,MATCH($H681,'CAT_ACTIVIDADES'!$A$4:$A$8,0)),"(sin catálogo)"))</f>
        <v/>
      </c>
      <c r="AA681" s="13">
        <f>IF($J681="","",TODAY()-$J681)</f>
        <v/>
      </c>
      <c r="AB681" s="13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IF($AE681="","",IF((IFERROR(INDEX('ASIGNACIONES'!$J$4:$J$451,MATCH($O681&amp;"|"&amp;$R681&amp;"|"&amp;$AE681,'ASIGNACIONES'!$N$4:$N$451,0)),""))=0,"",IFERROR(INDEX('ASIGNACIONES'!$J$4:$J$451,MATCH($O681&amp;"|"&amp;$R681&amp;"|"&amp;$AE681,'ASIGNACIONES'!$N$4:$N$451,0)),"")))</f>
        <v/>
      </c>
      <c r="AG681" s="14">
        <f>IF($AE681="","",SUMIFS('ORDENES'!$M$4:$M$1203,'ORDENES'!$AE$4:$AE$1203,$AE681,'ORDENES'!$O$4:$O$1203,$O681,'ORDENES'!$R$4:$R$1203,$R681))</f>
        <v/>
      </c>
      <c r="AH681" s="14">
        <f>IF($AG681="","",p_factor_productividad*IFERROR(INDEX('ASIGNACIONES'!$M$4:$M$451,MATCH($O681&amp;"|"&amp;$R681&amp;"|"&amp;$AE681,'ASIGNACIONES'!$N$4:$N$451,0)),0)-$AG681)</f>
        <v/>
      </c>
      <c r="AI681" s="11">
        <f>IF($A681="","",IFERROR(INDEX('2_IMPORTAR_EJECUCION'!$F$9:$F$1208,MATCH($AQ681,'2_IMPORTAR_EJECUCION'!$J$9:$J$1208,0)),0))</f>
        <v/>
      </c>
      <c r="AJ681" s="11">
        <f>IF($A681="","",MAX(0,IFERROR(INDEX('2_IMPORTAR_EJECUCION'!$H$9:$H$1208,MATCH($AQ681,'2_IMPORTAR_EJECUCION'!$J$9:$J$1208,0)),0)-$AI681))</f>
        <v/>
      </c>
      <c r="AK681" s="11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IF($H682="","",IFERROR(INDEX('CAT_ACTIVIDADES'!$B$4:$B$8,MATCH($H682,'CAT_ACTIVIDADES'!$A$4:$A$8,0)),"(sin catálogo)"))</f>
        <v/>
      </c>
      <c r="AA682" s="13">
        <f>IF($J682="","",TODAY()-$J682)</f>
        <v/>
      </c>
      <c r="AB682" s="13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IF($AE682="","",IF((IFERROR(INDEX('ASIGNACIONES'!$J$4:$J$451,MATCH($O682&amp;"|"&amp;$R682&amp;"|"&amp;$AE682,'ASIGNACIONES'!$N$4:$N$451,0)),""))=0,"",IFERROR(INDEX('ASIGNACIONES'!$J$4:$J$451,MATCH($O682&amp;"|"&amp;$R682&amp;"|"&amp;$AE682,'ASIGNACIONES'!$N$4:$N$451,0)),"")))</f>
        <v/>
      </c>
      <c r="AG682" s="14">
        <f>IF($AE682="","",SUMIFS('ORDENES'!$M$4:$M$1203,'ORDENES'!$AE$4:$AE$1203,$AE682,'ORDENES'!$O$4:$O$1203,$O682,'ORDENES'!$R$4:$R$1203,$R682))</f>
        <v/>
      </c>
      <c r="AH682" s="14">
        <f>IF($AG682="","",p_factor_productividad*IFERROR(INDEX('ASIGNACIONES'!$M$4:$M$451,MATCH($O682&amp;"|"&amp;$R682&amp;"|"&amp;$AE682,'ASIGNACIONES'!$N$4:$N$451,0)),0)-$AG682)</f>
        <v/>
      </c>
      <c r="AI682" s="11">
        <f>IF($A682="","",IFERROR(INDEX('2_IMPORTAR_EJECUCION'!$F$9:$F$1208,MATCH($AQ682,'2_IMPORTAR_EJECUCION'!$J$9:$J$1208,0)),0))</f>
        <v/>
      </c>
      <c r="AJ682" s="11">
        <f>IF($A682="","",MAX(0,IFERROR(INDEX('2_IMPORTAR_EJECUCION'!$H$9:$H$1208,MATCH($AQ682,'2_IMPORTAR_EJECUCION'!$J$9:$J$1208,0)),0)-$AI682))</f>
        <v/>
      </c>
      <c r="AK682" s="11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IF($H683="","",IFERROR(INDEX('CAT_ACTIVIDADES'!$B$4:$B$8,MATCH($H683,'CAT_ACTIVIDADES'!$A$4:$A$8,0)),"(sin catálogo)"))</f>
        <v/>
      </c>
      <c r="AA683" s="13">
        <f>IF($J683="","",TODAY()-$J683)</f>
        <v/>
      </c>
      <c r="AB683" s="13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IF($AE683="","",IF((IFERROR(INDEX('ASIGNACIONES'!$J$4:$J$451,MATCH($O683&amp;"|"&amp;$R683&amp;"|"&amp;$AE683,'ASIGNACIONES'!$N$4:$N$451,0)),""))=0,"",IFERROR(INDEX('ASIGNACIONES'!$J$4:$J$451,MATCH($O683&amp;"|"&amp;$R683&amp;"|"&amp;$AE683,'ASIGNACIONES'!$N$4:$N$451,0)),"")))</f>
        <v/>
      </c>
      <c r="AG683" s="14">
        <f>IF($AE683="","",SUMIFS('ORDENES'!$M$4:$M$1203,'ORDENES'!$AE$4:$AE$1203,$AE683,'ORDENES'!$O$4:$O$1203,$O683,'ORDENES'!$R$4:$R$1203,$R683))</f>
        <v/>
      </c>
      <c r="AH683" s="14">
        <f>IF($AG683="","",p_factor_productividad*IFERROR(INDEX('ASIGNACIONES'!$M$4:$M$451,MATCH($O683&amp;"|"&amp;$R683&amp;"|"&amp;$AE683,'ASIGNACIONES'!$N$4:$N$451,0)),0)-$AG683)</f>
        <v/>
      </c>
      <c r="AI683" s="11">
        <f>IF($A683="","",IFERROR(INDEX('2_IMPORTAR_EJECUCION'!$F$9:$F$1208,MATCH($AQ683,'2_IMPORTAR_EJECUCION'!$J$9:$J$1208,0)),0))</f>
        <v/>
      </c>
      <c r="AJ683" s="11">
        <f>IF($A683="","",MAX(0,IFERROR(INDEX('2_IMPORTAR_EJECUCION'!$H$9:$H$1208,MATCH($AQ683,'2_IMPORTAR_EJECUCION'!$J$9:$J$1208,0)),0)-$AI683))</f>
        <v/>
      </c>
      <c r="AK683" s="11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IF($H684="","",IFERROR(INDEX('CAT_ACTIVIDADES'!$B$4:$B$8,MATCH($H684,'CAT_ACTIVIDADES'!$A$4:$A$8,0)),"(sin catálogo)"))</f>
        <v/>
      </c>
      <c r="AA684" s="13">
        <f>IF($J684="","",TODAY()-$J684)</f>
        <v/>
      </c>
      <c r="AB684" s="13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IF($AE684="","",IF((IFERROR(INDEX('ASIGNACIONES'!$J$4:$J$451,MATCH($O684&amp;"|"&amp;$R684&amp;"|"&amp;$AE684,'ASIGNACIONES'!$N$4:$N$451,0)),""))=0,"",IFERROR(INDEX('ASIGNACIONES'!$J$4:$J$451,MATCH($O684&amp;"|"&amp;$R684&amp;"|"&amp;$AE684,'ASIGNACIONES'!$N$4:$N$451,0)),"")))</f>
        <v/>
      </c>
      <c r="AG684" s="14">
        <f>IF($AE684="","",SUMIFS('ORDENES'!$M$4:$M$1203,'ORDENES'!$AE$4:$AE$1203,$AE684,'ORDENES'!$O$4:$O$1203,$O684,'ORDENES'!$R$4:$R$1203,$R684))</f>
        <v/>
      </c>
      <c r="AH684" s="14">
        <f>IF($AG684="","",p_factor_productividad*IFERROR(INDEX('ASIGNACIONES'!$M$4:$M$451,MATCH($O684&amp;"|"&amp;$R684&amp;"|"&amp;$AE684,'ASIGNACIONES'!$N$4:$N$451,0)),0)-$AG684)</f>
        <v/>
      </c>
      <c r="AI684" s="11">
        <f>IF($A684="","",IFERROR(INDEX('2_IMPORTAR_EJECUCION'!$F$9:$F$1208,MATCH($AQ684,'2_IMPORTAR_EJECUCION'!$J$9:$J$1208,0)),0))</f>
        <v/>
      </c>
      <c r="AJ684" s="11">
        <f>IF($A684="","",MAX(0,IFERROR(INDEX('2_IMPORTAR_EJECUCION'!$H$9:$H$1208,MATCH($AQ684,'2_IMPORTAR_EJECUCION'!$J$9:$J$1208,0)),0)-$AI684))</f>
        <v/>
      </c>
      <c r="AK684" s="11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IF($H685="","",IFERROR(INDEX('CAT_ACTIVIDADES'!$B$4:$B$8,MATCH($H685,'CAT_ACTIVIDADES'!$A$4:$A$8,0)),"(sin catálogo)"))</f>
        <v/>
      </c>
      <c r="AA685" s="13">
        <f>IF($J685="","",TODAY()-$J685)</f>
        <v/>
      </c>
      <c r="AB685" s="13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IF($AE685="","",IF((IFERROR(INDEX('ASIGNACIONES'!$J$4:$J$451,MATCH($O685&amp;"|"&amp;$R685&amp;"|"&amp;$AE685,'ASIGNACIONES'!$N$4:$N$451,0)),""))=0,"",IFERROR(INDEX('ASIGNACIONES'!$J$4:$J$451,MATCH($O685&amp;"|"&amp;$R685&amp;"|"&amp;$AE685,'ASIGNACIONES'!$N$4:$N$451,0)),"")))</f>
        <v/>
      </c>
      <c r="AG685" s="14">
        <f>IF($AE685="","",SUMIFS('ORDENES'!$M$4:$M$1203,'ORDENES'!$AE$4:$AE$1203,$AE685,'ORDENES'!$O$4:$O$1203,$O685,'ORDENES'!$R$4:$R$1203,$R685))</f>
        <v/>
      </c>
      <c r="AH685" s="14">
        <f>IF($AG685="","",p_factor_productividad*IFERROR(INDEX('ASIGNACIONES'!$M$4:$M$451,MATCH($O685&amp;"|"&amp;$R685&amp;"|"&amp;$AE685,'ASIGNACIONES'!$N$4:$N$451,0)),0)-$AG685)</f>
        <v/>
      </c>
      <c r="AI685" s="11">
        <f>IF($A685="","",IFERROR(INDEX('2_IMPORTAR_EJECUCION'!$F$9:$F$1208,MATCH($AQ685,'2_IMPORTAR_EJECUCION'!$J$9:$J$1208,0)),0))</f>
        <v/>
      </c>
      <c r="AJ685" s="11">
        <f>IF($A685="","",MAX(0,IFERROR(INDEX('2_IMPORTAR_EJECUCION'!$H$9:$H$1208,MATCH($AQ685,'2_IMPORTAR_EJECUCION'!$J$9:$J$1208,0)),0)-$AI685))</f>
        <v/>
      </c>
      <c r="AK685" s="11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IF($H686="","",IFERROR(INDEX('CAT_ACTIVIDADES'!$B$4:$B$8,MATCH($H686,'CAT_ACTIVIDADES'!$A$4:$A$8,0)),"(sin catálogo)"))</f>
        <v/>
      </c>
      <c r="AA686" s="13">
        <f>IF($J686="","",TODAY()-$J686)</f>
        <v/>
      </c>
      <c r="AB686" s="13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IF($AE686="","",IF((IFERROR(INDEX('ASIGNACIONES'!$J$4:$J$451,MATCH($O686&amp;"|"&amp;$R686&amp;"|"&amp;$AE686,'ASIGNACIONES'!$N$4:$N$451,0)),""))=0,"",IFERROR(INDEX('ASIGNACIONES'!$J$4:$J$451,MATCH($O686&amp;"|"&amp;$R686&amp;"|"&amp;$AE686,'ASIGNACIONES'!$N$4:$N$451,0)),"")))</f>
        <v/>
      </c>
      <c r="AG686" s="14">
        <f>IF($AE686="","",SUMIFS('ORDENES'!$M$4:$M$1203,'ORDENES'!$AE$4:$AE$1203,$AE686,'ORDENES'!$O$4:$O$1203,$O686,'ORDENES'!$R$4:$R$1203,$R686))</f>
        <v/>
      </c>
      <c r="AH686" s="14">
        <f>IF($AG686="","",p_factor_productividad*IFERROR(INDEX('ASIGNACIONES'!$M$4:$M$451,MATCH($O686&amp;"|"&amp;$R686&amp;"|"&amp;$AE686,'ASIGNACIONES'!$N$4:$N$451,0)),0)-$AG686)</f>
        <v/>
      </c>
      <c r="AI686" s="11">
        <f>IF($A686="","",IFERROR(INDEX('2_IMPORTAR_EJECUCION'!$F$9:$F$1208,MATCH($AQ686,'2_IMPORTAR_EJECUCION'!$J$9:$J$1208,0)),0))</f>
        <v/>
      </c>
      <c r="AJ686" s="11">
        <f>IF($A686="","",MAX(0,IFERROR(INDEX('2_IMPORTAR_EJECUCION'!$H$9:$H$1208,MATCH($AQ686,'2_IMPORTAR_EJECUCION'!$J$9:$J$1208,0)),0)-$AI686))</f>
        <v/>
      </c>
      <c r="AK686" s="11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IF($H687="","",IFERROR(INDEX('CAT_ACTIVIDADES'!$B$4:$B$8,MATCH($H687,'CAT_ACTIVIDADES'!$A$4:$A$8,0)),"(sin catálogo)"))</f>
        <v/>
      </c>
      <c r="AA687" s="13">
        <f>IF($J687="","",TODAY()-$J687)</f>
        <v/>
      </c>
      <c r="AB687" s="13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IF($AE687="","",IF((IFERROR(INDEX('ASIGNACIONES'!$J$4:$J$451,MATCH($O687&amp;"|"&amp;$R687&amp;"|"&amp;$AE687,'ASIGNACIONES'!$N$4:$N$451,0)),""))=0,"",IFERROR(INDEX('ASIGNACIONES'!$J$4:$J$451,MATCH($O687&amp;"|"&amp;$R687&amp;"|"&amp;$AE687,'ASIGNACIONES'!$N$4:$N$451,0)),"")))</f>
        <v/>
      </c>
      <c r="AG687" s="14">
        <f>IF($AE687="","",SUMIFS('ORDENES'!$M$4:$M$1203,'ORDENES'!$AE$4:$AE$1203,$AE687,'ORDENES'!$O$4:$O$1203,$O687,'ORDENES'!$R$4:$R$1203,$R687))</f>
        <v/>
      </c>
      <c r="AH687" s="14">
        <f>IF($AG687="","",p_factor_productividad*IFERROR(INDEX('ASIGNACIONES'!$M$4:$M$451,MATCH($O687&amp;"|"&amp;$R687&amp;"|"&amp;$AE687,'ASIGNACIONES'!$N$4:$N$451,0)),0)-$AG687)</f>
        <v/>
      </c>
      <c r="AI687" s="11">
        <f>IF($A687="","",IFERROR(INDEX('2_IMPORTAR_EJECUCION'!$F$9:$F$1208,MATCH($AQ687,'2_IMPORTAR_EJECUCION'!$J$9:$J$1208,0)),0))</f>
        <v/>
      </c>
      <c r="AJ687" s="11">
        <f>IF($A687="","",MAX(0,IFERROR(INDEX('2_IMPORTAR_EJECUCION'!$H$9:$H$1208,MATCH($AQ687,'2_IMPORTAR_EJECUCION'!$J$9:$J$1208,0)),0)-$AI687))</f>
        <v/>
      </c>
      <c r="AK687" s="11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IF($H688="","",IFERROR(INDEX('CAT_ACTIVIDADES'!$B$4:$B$8,MATCH($H688,'CAT_ACTIVIDADES'!$A$4:$A$8,0)),"(sin catálogo)"))</f>
        <v/>
      </c>
      <c r="AA688" s="13">
        <f>IF($J688="","",TODAY()-$J688)</f>
        <v/>
      </c>
      <c r="AB688" s="13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IF($AE688="","",IF((IFERROR(INDEX('ASIGNACIONES'!$J$4:$J$451,MATCH($O688&amp;"|"&amp;$R688&amp;"|"&amp;$AE688,'ASIGNACIONES'!$N$4:$N$451,0)),""))=0,"",IFERROR(INDEX('ASIGNACIONES'!$J$4:$J$451,MATCH($O688&amp;"|"&amp;$R688&amp;"|"&amp;$AE688,'ASIGNACIONES'!$N$4:$N$451,0)),"")))</f>
        <v/>
      </c>
      <c r="AG688" s="14">
        <f>IF($AE688="","",SUMIFS('ORDENES'!$M$4:$M$1203,'ORDENES'!$AE$4:$AE$1203,$AE688,'ORDENES'!$O$4:$O$1203,$O688,'ORDENES'!$R$4:$R$1203,$R688))</f>
        <v/>
      </c>
      <c r="AH688" s="14">
        <f>IF($AG688="","",p_factor_productividad*IFERROR(INDEX('ASIGNACIONES'!$M$4:$M$451,MATCH($O688&amp;"|"&amp;$R688&amp;"|"&amp;$AE688,'ASIGNACIONES'!$N$4:$N$451,0)),0)-$AG688)</f>
        <v/>
      </c>
      <c r="AI688" s="11">
        <f>IF($A688="","",IFERROR(INDEX('2_IMPORTAR_EJECUCION'!$F$9:$F$1208,MATCH($AQ688,'2_IMPORTAR_EJECUCION'!$J$9:$J$1208,0)),0))</f>
        <v/>
      </c>
      <c r="AJ688" s="11">
        <f>IF($A688="","",MAX(0,IFERROR(INDEX('2_IMPORTAR_EJECUCION'!$H$9:$H$1208,MATCH($AQ688,'2_IMPORTAR_EJECUCION'!$J$9:$J$1208,0)),0)-$AI688))</f>
        <v/>
      </c>
      <c r="AK688" s="11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IF($H689="","",IFERROR(INDEX('CAT_ACTIVIDADES'!$B$4:$B$8,MATCH($H689,'CAT_ACTIVIDADES'!$A$4:$A$8,0)),"(sin catálogo)"))</f>
        <v/>
      </c>
      <c r="AA689" s="13">
        <f>IF($J689="","",TODAY()-$J689)</f>
        <v/>
      </c>
      <c r="AB689" s="13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IF($AE689="","",IF((IFERROR(INDEX('ASIGNACIONES'!$J$4:$J$451,MATCH($O689&amp;"|"&amp;$R689&amp;"|"&amp;$AE689,'ASIGNACIONES'!$N$4:$N$451,0)),""))=0,"",IFERROR(INDEX('ASIGNACIONES'!$J$4:$J$451,MATCH($O689&amp;"|"&amp;$R689&amp;"|"&amp;$AE689,'ASIGNACIONES'!$N$4:$N$451,0)),"")))</f>
        <v/>
      </c>
      <c r="AG689" s="14">
        <f>IF($AE689="","",SUMIFS('ORDENES'!$M$4:$M$1203,'ORDENES'!$AE$4:$AE$1203,$AE689,'ORDENES'!$O$4:$O$1203,$O689,'ORDENES'!$R$4:$R$1203,$R689))</f>
        <v/>
      </c>
      <c r="AH689" s="14">
        <f>IF($AG689="","",p_factor_productividad*IFERROR(INDEX('ASIGNACIONES'!$M$4:$M$451,MATCH($O689&amp;"|"&amp;$R689&amp;"|"&amp;$AE689,'ASIGNACIONES'!$N$4:$N$451,0)),0)-$AG689)</f>
        <v/>
      </c>
      <c r="AI689" s="11">
        <f>IF($A689="","",IFERROR(INDEX('2_IMPORTAR_EJECUCION'!$F$9:$F$1208,MATCH($AQ689,'2_IMPORTAR_EJECUCION'!$J$9:$J$1208,0)),0))</f>
        <v/>
      </c>
      <c r="AJ689" s="11">
        <f>IF($A689="","",MAX(0,IFERROR(INDEX('2_IMPORTAR_EJECUCION'!$H$9:$H$1208,MATCH($AQ689,'2_IMPORTAR_EJECUCION'!$J$9:$J$1208,0)),0)-$AI689))</f>
        <v/>
      </c>
      <c r="AK689" s="11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IF($H690="","",IFERROR(INDEX('CAT_ACTIVIDADES'!$B$4:$B$8,MATCH($H690,'CAT_ACTIVIDADES'!$A$4:$A$8,0)),"(sin catálogo)"))</f>
        <v/>
      </c>
      <c r="AA690" s="13">
        <f>IF($J690="","",TODAY()-$J690)</f>
        <v/>
      </c>
      <c r="AB690" s="13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IF($AE690="","",IF((IFERROR(INDEX('ASIGNACIONES'!$J$4:$J$451,MATCH($O690&amp;"|"&amp;$R690&amp;"|"&amp;$AE690,'ASIGNACIONES'!$N$4:$N$451,0)),""))=0,"",IFERROR(INDEX('ASIGNACIONES'!$J$4:$J$451,MATCH($O690&amp;"|"&amp;$R690&amp;"|"&amp;$AE690,'ASIGNACIONES'!$N$4:$N$451,0)),"")))</f>
        <v/>
      </c>
      <c r="AG690" s="14">
        <f>IF($AE690="","",SUMIFS('ORDENES'!$M$4:$M$1203,'ORDENES'!$AE$4:$AE$1203,$AE690,'ORDENES'!$O$4:$O$1203,$O690,'ORDENES'!$R$4:$R$1203,$R690))</f>
        <v/>
      </c>
      <c r="AH690" s="14">
        <f>IF($AG690="","",p_factor_productividad*IFERROR(INDEX('ASIGNACIONES'!$M$4:$M$451,MATCH($O690&amp;"|"&amp;$R690&amp;"|"&amp;$AE690,'ASIGNACIONES'!$N$4:$N$451,0)),0)-$AG690)</f>
        <v/>
      </c>
      <c r="AI690" s="11">
        <f>IF($A690="","",IFERROR(INDEX('2_IMPORTAR_EJECUCION'!$F$9:$F$1208,MATCH($AQ690,'2_IMPORTAR_EJECUCION'!$J$9:$J$1208,0)),0))</f>
        <v/>
      </c>
      <c r="AJ690" s="11">
        <f>IF($A690="","",MAX(0,IFERROR(INDEX('2_IMPORTAR_EJECUCION'!$H$9:$H$1208,MATCH($AQ690,'2_IMPORTAR_EJECUCION'!$J$9:$J$1208,0)),0)-$AI690))</f>
        <v/>
      </c>
      <c r="AK690" s="11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IF($H691="","",IFERROR(INDEX('CAT_ACTIVIDADES'!$B$4:$B$8,MATCH($H691,'CAT_ACTIVIDADES'!$A$4:$A$8,0)),"(sin catálogo)"))</f>
        <v/>
      </c>
      <c r="AA691" s="13">
        <f>IF($J691="","",TODAY()-$J691)</f>
        <v/>
      </c>
      <c r="AB691" s="13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IF($AE691="","",IF((IFERROR(INDEX('ASIGNACIONES'!$J$4:$J$451,MATCH($O691&amp;"|"&amp;$R691&amp;"|"&amp;$AE691,'ASIGNACIONES'!$N$4:$N$451,0)),""))=0,"",IFERROR(INDEX('ASIGNACIONES'!$J$4:$J$451,MATCH($O691&amp;"|"&amp;$R691&amp;"|"&amp;$AE691,'ASIGNACIONES'!$N$4:$N$451,0)),"")))</f>
        <v/>
      </c>
      <c r="AG691" s="14">
        <f>IF($AE691="","",SUMIFS('ORDENES'!$M$4:$M$1203,'ORDENES'!$AE$4:$AE$1203,$AE691,'ORDENES'!$O$4:$O$1203,$O691,'ORDENES'!$R$4:$R$1203,$R691))</f>
        <v/>
      </c>
      <c r="AH691" s="14">
        <f>IF($AG691="","",p_factor_productividad*IFERROR(INDEX('ASIGNACIONES'!$M$4:$M$451,MATCH($O691&amp;"|"&amp;$R691&amp;"|"&amp;$AE691,'ASIGNACIONES'!$N$4:$N$451,0)),0)-$AG691)</f>
        <v/>
      </c>
      <c r="AI691" s="11">
        <f>IF($A691="","",IFERROR(INDEX('2_IMPORTAR_EJECUCION'!$F$9:$F$1208,MATCH($AQ691,'2_IMPORTAR_EJECUCION'!$J$9:$J$1208,0)),0))</f>
        <v/>
      </c>
      <c r="AJ691" s="11">
        <f>IF($A691="","",MAX(0,IFERROR(INDEX('2_IMPORTAR_EJECUCION'!$H$9:$H$1208,MATCH($AQ691,'2_IMPORTAR_EJECUCION'!$J$9:$J$1208,0)),0)-$AI691))</f>
        <v/>
      </c>
      <c r="AK691" s="11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IF($H692="","",IFERROR(INDEX('CAT_ACTIVIDADES'!$B$4:$B$8,MATCH($H692,'CAT_ACTIVIDADES'!$A$4:$A$8,0)),"(sin catálogo)"))</f>
        <v/>
      </c>
      <c r="AA692" s="13">
        <f>IF($J692="","",TODAY()-$J692)</f>
        <v/>
      </c>
      <c r="AB692" s="13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IF($AE692="","",IF((IFERROR(INDEX('ASIGNACIONES'!$J$4:$J$451,MATCH($O692&amp;"|"&amp;$R692&amp;"|"&amp;$AE692,'ASIGNACIONES'!$N$4:$N$451,0)),""))=0,"",IFERROR(INDEX('ASIGNACIONES'!$J$4:$J$451,MATCH($O692&amp;"|"&amp;$R692&amp;"|"&amp;$AE692,'ASIGNACIONES'!$N$4:$N$451,0)),"")))</f>
        <v/>
      </c>
      <c r="AG692" s="14">
        <f>IF($AE692="","",SUMIFS('ORDENES'!$M$4:$M$1203,'ORDENES'!$AE$4:$AE$1203,$AE692,'ORDENES'!$O$4:$O$1203,$O692,'ORDENES'!$R$4:$R$1203,$R692))</f>
        <v/>
      </c>
      <c r="AH692" s="14">
        <f>IF($AG692="","",p_factor_productividad*IFERROR(INDEX('ASIGNACIONES'!$M$4:$M$451,MATCH($O692&amp;"|"&amp;$R692&amp;"|"&amp;$AE692,'ASIGNACIONES'!$N$4:$N$451,0)),0)-$AG692)</f>
        <v/>
      </c>
      <c r="AI692" s="11">
        <f>IF($A692="","",IFERROR(INDEX('2_IMPORTAR_EJECUCION'!$F$9:$F$1208,MATCH($AQ692,'2_IMPORTAR_EJECUCION'!$J$9:$J$1208,0)),0))</f>
        <v/>
      </c>
      <c r="AJ692" s="11">
        <f>IF($A692="","",MAX(0,IFERROR(INDEX('2_IMPORTAR_EJECUCION'!$H$9:$H$1208,MATCH($AQ692,'2_IMPORTAR_EJECUCION'!$J$9:$J$1208,0)),0)-$AI692))</f>
        <v/>
      </c>
      <c r="AK692" s="11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IF($H693="","",IFERROR(INDEX('CAT_ACTIVIDADES'!$B$4:$B$8,MATCH($H693,'CAT_ACTIVIDADES'!$A$4:$A$8,0)),"(sin catálogo)"))</f>
        <v/>
      </c>
      <c r="AA693" s="13">
        <f>IF($J693="","",TODAY()-$J693)</f>
        <v/>
      </c>
      <c r="AB693" s="13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IF($AE693="","",IF((IFERROR(INDEX('ASIGNACIONES'!$J$4:$J$451,MATCH($O693&amp;"|"&amp;$R693&amp;"|"&amp;$AE693,'ASIGNACIONES'!$N$4:$N$451,0)),""))=0,"",IFERROR(INDEX('ASIGNACIONES'!$J$4:$J$451,MATCH($O693&amp;"|"&amp;$R693&amp;"|"&amp;$AE693,'ASIGNACIONES'!$N$4:$N$451,0)),"")))</f>
        <v/>
      </c>
      <c r="AG693" s="14">
        <f>IF($AE693="","",SUMIFS('ORDENES'!$M$4:$M$1203,'ORDENES'!$AE$4:$AE$1203,$AE693,'ORDENES'!$O$4:$O$1203,$O693,'ORDENES'!$R$4:$R$1203,$R693))</f>
        <v/>
      </c>
      <c r="AH693" s="14">
        <f>IF($AG693="","",p_factor_productividad*IFERROR(INDEX('ASIGNACIONES'!$M$4:$M$451,MATCH($O693&amp;"|"&amp;$R693&amp;"|"&amp;$AE693,'ASIGNACIONES'!$N$4:$N$451,0)),0)-$AG693)</f>
        <v/>
      </c>
      <c r="AI693" s="11">
        <f>IF($A693="","",IFERROR(INDEX('2_IMPORTAR_EJECUCION'!$F$9:$F$1208,MATCH($AQ693,'2_IMPORTAR_EJECUCION'!$J$9:$J$1208,0)),0))</f>
        <v/>
      </c>
      <c r="AJ693" s="11">
        <f>IF($A693="","",MAX(0,IFERROR(INDEX('2_IMPORTAR_EJECUCION'!$H$9:$H$1208,MATCH($AQ693,'2_IMPORTAR_EJECUCION'!$J$9:$J$1208,0)),0)-$AI693))</f>
        <v/>
      </c>
      <c r="AK693" s="11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IF($H694="","",IFERROR(INDEX('CAT_ACTIVIDADES'!$B$4:$B$8,MATCH($H694,'CAT_ACTIVIDADES'!$A$4:$A$8,0)),"(sin catálogo)"))</f>
        <v/>
      </c>
      <c r="AA694" s="13">
        <f>IF($J694="","",TODAY()-$J694)</f>
        <v/>
      </c>
      <c r="AB694" s="13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IF($AE694="","",IF((IFERROR(INDEX('ASIGNACIONES'!$J$4:$J$451,MATCH($O694&amp;"|"&amp;$R694&amp;"|"&amp;$AE694,'ASIGNACIONES'!$N$4:$N$451,0)),""))=0,"",IFERROR(INDEX('ASIGNACIONES'!$J$4:$J$451,MATCH($O694&amp;"|"&amp;$R694&amp;"|"&amp;$AE694,'ASIGNACIONES'!$N$4:$N$451,0)),"")))</f>
        <v/>
      </c>
      <c r="AG694" s="14">
        <f>IF($AE694="","",SUMIFS('ORDENES'!$M$4:$M$1203,'ORDENES'!$AE$4:$AE$1203,$AE694,'ORDENES'!$O$4:$O$1203,$O694,'ORDENES'!$R$4:$R$1203,$R694))</f>
        <v/>
      </c>
      <c r="AH694" s="14">
        <f>IF($AG694="","",p_factor_productividad*IFERROR(INDEX('ASIGNACIONES'!$M$4:$M$451,MATCH($O694&amp;"|"&amp;$R694&amp;"|"&amp;$AE694,'ASIGNACIONES'!$N$4:$N$451,0)),0)-$AG694)</f>
        <v/>
      </c>
      <c r="AI694" s="11">
        <f>IF($A694="","",IFERROR(INDEX('2_IMPORTAR_EJECUCION'!$F$9:$F$1208,MATCH($AQ694,'2_IMPORTAR_EJECUCION'!$J$9:$J$1208,0)),0))</f>
        <v/>
      </c>
      <c r="AJ694" s="11">
        <f>IF($A694="","",MAX(0,IFERROR(INDEX('2_IMPORTAR_EJECUCION'!$H$9:$H$1208,MATCH($AQ694,'2_IMPORTAR_EJECUCION'!$J$9:$J$1208,0)),0)-$AI694))</f>
        <v/>
      </c>
      <c r="AK694" s="11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IF($H695="","",IFERROR(INDEX('CAT_ACTIVIDADES'!$B$4:$B$8,MATCH($H695,'CAT_ACTIVIDADES'!$A$4:$A$8,0)),"(sin catálogo)"))</f>
        <v/>
      </c>
      <c r="AA695" s="13">
        <f>IF($J695="","",TODAY()-$J695)</f>
        <v/>
      </c>
      <c r="AB695" s="13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IF($AE695="","",IF((IFERROR(INDEX('ASIGNACIONES'!$J$4:$J$451,MATCH($O695&amp;"|"&amp;$R695&amp;"|"&amp;$AE695,'ASIGNACIONES'!$N$4:$N$451,0)),""))=0,"",IFERROR(INDEX('ASIGNACIONES'!$J$4:$J$451,MATCH($O695&amp;"|"&amp;$R695&amp;"|"&amp;$AE695,'ASIGNACIONES'!$N$4:$N$451,0)),"")))</f>
        <v/>
      </c>
      <c r="AG695" s="14">
        <f>IF($AE695="","",SUMIFS('ORDENES'!$M$4:$M$1203,'ORDENES'!$AE$4:$AE$1203,$AE695,'ORDENES'!$O$4:$O$1203,$O695,'ORDENES'!$R$4:$R$1203,$R695))</f>
        <v/>
      </c>
      <c r="AH695" s="14">
        <f>IF($AG695="","",p_factor_productividad*IFERROR(INDEX('ASIGNACIONES'!$M$4:$M$451,MATCH($O695&amp;"|"&amp;$R695&amp;"|"&amp;$AE695,'ASIGNACIONES'!$N$4:$N$451,0)),0)-$AG695)</f>
        <v/>
      </c>
      <c r="AI695" s="11">
        <f>IF($A695="","",IFERROR(INDEX('2_IMPORTAR_EJECUCION'!$F$9:$F$1208,MATCH($AQ695,'2_IMPORTAR_EJECUCION'!$J$9:$J$1208,0)),0))</f>
        <v/>
      </c>
      <c r="AJ695" s="11">
        <f>IF($A695="","",MAX(0,IFERROR(INDEX('2_IMPORTAR_EJECUCION'!$H$9:$H$1208,MATCH($AQ695,'2_IMPORTAR_EJECUCION'!$J$9:$J$1208,0)),0)-$AI695))</f>
        <v/>
      </c>
      <c r="AK695" s="11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IF($H696="","",IFERROR(INDEX('CAT_ACTIVIDADES'!$B$4:$B$8,MATCH($H696,'CAT_ACTIVIDADES'!$A$4:$A$8,0)),"(sin catálogo)"))</f>
        <v/>
      </c>
      <c r="AA696" s="13">
        <f>IF($J696="","",TODAY()-$J696)</f>
        <v/>
      </c>
      <c r="AB696" s="13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IF($AE696="","",IF((IFERROR(INDEX('ASIGNACIONES'!$J$4:$J$451,MATCH($O696&amp;"|"&amp;$R696&amp;"|"&amp;$AE696,'ASIGNACIONES'!$N$4:$N$451,0)),""))=0,"",IFERROR(INDEX('ASIGNACIONES'!$J$4:$J$451,MATCH($O696&amp;"|"&amp;$R696&amp;"|"&amp;$AE696,'ASIGNACIONES'!$N$4:$N$451,0)),"")))</f>
        <v/>
      </c>
      <c r="AG696" s="14">
        <f>IF($AE696="","",SUMIFS('ORDENES'!$M$4:$M$1203,'ORDENES'!$AE$4:$AE$1203,$AE696,'ORDENES'!$O$4:$O$1203,$O696,'ORDENES'!$R$4:$R$1203,$R696))</f>
        <v/>
      </c>
      <c r="AH696" s="14">
        <f>IF($AG696="","",p_factor_productividad*IFERROR(INDEX('ASIGNACIONES'!$M$4:$M$451,MATCH($O696&amp;"|"&amp;$R696&amp;"|"&amp;$AE696,'ASIGNACIONES'!$N$4:$N$451,0)),0)-$AG696)</f>
        <v/>
      </c>
      <c r="AI696" s="11">
        <f>IF($A696="","",IFERROR(INDEX('2_IMPORTAR_EJECUCION'!$F$9:$F$1208,MATCH($AQ696,'2_IMPORTAR_EJECUCION'!$J$9:$J$1208,0)),0))</f>
        <v/>
      </c>
      <c r="AJ696" s="11">
        <f>IF($A696="","",MAX(0,IFERROR(INDEX('2_IMPORTAR_EJECUCION'!$H$9:$H$1208,MATCH($AQ696,'2_IMPORTAR_EJECUCION'!$J$9:$J$1208,0)),0)-$AI696))</f>
        <v/>
      </c>
      <c r="AK696" s="11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IF($H697="","",IFERROR(INDEX('CAT_ACTIVIDADES'!$B$4:$B$8,MATCH($H697,'CAT_ACTIVIDADES'!$A$4:$A$8,0)),"(sin catálogo)"))</f>
        <v/>
      </c>
      <c r="AA697" s="13">
        <f>IF($J697="","",TODAY()-$J697)</f>
        <v/>
      </c>
      <c r="AB697" s="13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IF($AE697="","",IF((IFERROR(INDEX('ASIGNACIONES'!$J$4:$J$451,MATCH($O697&amp;"|"&amp;$R697&amp;"|"&amp;$AE697,'ASIGNACIONES'!$N$4:$N$451,0)),""))=0,"",IFERROR(INDEX('ASIGNACIONES'!$J$4:$J$451,MATCH($O697&amp;"|"&amp;$R697&amp;"|"&amp;$AE697,'ASIGNACIONES'!$N$4:$N$451,0)),"")))</f>
        <v/>
      </c>
      <c r="AG697" s="14">
        <f>IF($AE697="","",SUMIFS('ORDENES'!$M$4:$M$1203,'ORDENES'!$AE$4:$AE$1203,$AE697,'ORDENES'!$O$4:$O$1203,$O697,'ORDENES'!$R$4:$R$1203,$R697))</f>
        <v/>
      </c>
      <c r="AH697" s="14">
        <f>IF($AG697="","",p_factor_productividad*IFERROR(INDEX('ASIGNACIONES'!$M$4:$M$451,MATCH($O697&amp;"|"&amp;$R697&amp;"|"&amp;$AE697,'ASIGNACIONES'!$N$4:$N$451,0)),0)-$AG697)</f>
        <v/>
      </c>
      <c r="AI697" s="11">
        <f>IF($A697="","",IFERROR(INDEX('2_IMPORTAR_EJECUCION'!$F$9:$F$1208,MATCH($AQ697,'2_IMPORTAR_EJECUCION'!$J$9:$J$1208,0)),0))</f>
        <v/>
      </c>
      <c r="AJ697" s="11">
        <f>IF($A697="","",MAX(0,IFERROR(INDEX('2_IMPORTAR_EJECUCION'!$H$9:$H$1208,MATCH($AQ697,'2_IMPORTAR_EJECUCION'!$J$9:$J$1208,0)),0)-$AI697))</f>
        <v/>
      </c>
      <c r="AK697" s="11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IF($H698="","",IFERROR(INDEX('CAT_ACTIVIDADES'!$B$4:$B$8,MATCH($H698,'CAT_ACTIVIDADES'!$A$4:$A$8,0)),"(sin catálogo)"))</f>
        <v/>
      </c>
      <c r="AA698" s="13">
        <f>IF($J698="","",TODAY()-$J698)</f>
        <v/>
      </c>
      <c r="AB698" s="13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IF($AE698="","",IF((IFERROR(INDEX('ASIGNACIONES'!$J$4:$J$451,MATCH($O698&amp;"|"&amp;$R698&amp;"|"&amp;$AE698,'ASIGNACIONES'!$N$4:$N$451,0)),""))=0,"",IFERROR(INDEX('ASIGNACIONES'!$J$4:$J$451,MATCH($O698&amp;"|"&amp;$R698&amp;"|"&amp;$AE698,'ASIGNACIONES'!$N$4:$N$451,0)),"")))</f>
        <v/>
      </c>
      <c r="AG698" s="14">
        <f>IF($AE698="","",SUMIFS('ORDENES'!$M$4:$M$1203,'ORDENES'!$AE$4:$AE$1203,$AE698,'ORDENES'!$O$4:$O$1203,$O698,'ORDENES'!$R$4:$R$1203,$R698))</f>
        <v/>
      </c>
      <c r="AH698" s="14">
        <f>IF($AG698="","",p_factor_productividad*IFERROR(INDEX('ASIGNACIONES'!$M$4:$M$451,MATCH($O698&amp;"|"&amp;$R698&amp;"|"&amp;$AE698,'ASIGNACIONES'!$N$4:$N$451,0)),0)-$AG698)</f>
        <v/>
      </c>
      <c r="AI698" s="11">
        <f>IF($A698="","",IFERROR(INDEX('2_IMPORTAR_EJECUCION'!$F$9:$F$1208,MATCH($AQ698,'2_IMPORTAR_EJECUCION'!$J$9:$J$1208,0)),0))</f>
        <v/>
      </c>
      <c r="AJ698" s="11">
        <f>IF($A698="","",MAX(0,IFERROR(INDEX('2_IMPORTAR_EJECUCION'!$H$9:$H$1208,MATCH($AQ698,'2_IMPORTAR_EJECUCION'!$J$9:$J$1208,0)),0)-$AI698))</f>
        <v/>
      </c>
      <c r="AK698" s="11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IF($H699="","",IFERROR(INDEX('CAT_ACTIVIDADES'!$B$4:$B$8,MATCH($H699,'CAT_ACTIVIDADES'!$A$4:$A$8,0)),"(sin catálogo)"))</f>
        <v/>
      </c>
      <c r="AA699" s="13">
        <f>IF($J699="","",TODAY()-$J699)</f>
        <v/>
      </c>
      <c r="AB699" s="13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IF($AE699="","",IF((IFERROR(INDEX('ASIGNACIONES'!$J$4:$J$451,MATCH($O699&amp;"|"&amp;$R699&amp;"|"&amp;$AE699,'ASIGNACIONES'!$N$4:$N$451,0)),""))=0,"",IFERROR(INDEX('ASIGNACIONES'!$J$4:$J$451,MATCH($O699&amp;"|"&amp;$R699&amp;"|"&amp;$AE699,'ASIGNACIONES'!$N$4:$N$451,0)),"")))</f>
        <v/>
      </c>
      <c r="AG699" s="14">
        <f>IF($AE699="","",SUMIFS('ORDENES'!$M$4:$M$1203,'ORDENES'!$AE$4:$AE$1203,$AE699,'ORDENES'!$O$4:$O$1203,$O699,'ORDENES'!$R$4:$R$1203,$R699))</f>
        <v/>
      </c>
      <c r="AH699" s="14">
        <f>IF($AG699="","",p_factor_productividad*IFERROR(INDEX('ASIGNACIONES'!$M$4:$M$451,MATCH($O699&amp;"|"&amp;$R699&amp;"|"&amp;$AE699,'ASIGNACIONES'!$N$4:$N$451,0)),0)-$AG699)</f>
        <v/>
      </c>
      <c r="AI699" s="11">
        <f>IF($A699="","",IFERROR(INDEX('2_IMPORTAR_EJECUCION'!$F$9:$F$1208,MATCH($AQ699,'2_IMPORTAR_EJECUCION'!$J$9:$J$1208,0)),0))</f>
        <v/>
      </c>
      <c r="AJ699" s="11">
        <f>IF($A699="","",MAX(0,IFERROR(INDEX('2_IMPORTAR_EJECUCION'!$H$9:$H$1208,MATCH($AQ699,'2_IMPORTAR_EJECUCION'!$J$9:$J$1208,0)),0)-$AI699))</f>
        <v/>
      </c>
      <c r="AK699" s="11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IF($H700="","",IFERROR(INDEX('CAT_ACTIVIDADES'!$B$4:$B$8,MATCH($H700,'CAT_ACTIVIDADES'!$A$4:$A$8,0)),"(sin catálogo)"))</f>
        <v/>
      </c>
      <c r="AA700" s="13">
        <f>IF($J700="","",TODAY()-$J700)</f>
        <v/>
      </c>
      <c r="AB700" s="13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IF($AE700="","",IF((IFERROR(INDEX('ASIGNACIONES'!$J$4:$J$451,MATCH($O700&amp;"|"&amp;$R700&amp;"|"&amp;$AE700,'ASIGNACIONES'!$N$4:$N$451,0)),""))=0,"",IFERROR(INDEX('ASIGNACIONES'!$J$4:$J$451,MATCH($O700&amp;"|"&amp;$R700&amp;"|"&amp;$AE700,'ASIGNACIONES'!$N$4:$N$451,0)),"")))</f>
        <v/>
      </c>
      <c r="AG700" s="14">
        <f>IF($AE700="","",SUMIFS('ORDENES'!$M$4:$M$1203,'ORDENES'!$AE$4:$AE$1203,$AE700,'ORDENES'!$O$4:$O$1203,$O700,'ORDENES'!$R$4:$R$1203,$R700))</f>
        <v/>
      </c>
      <c r="AH700" s="14">
        <f>IF($AG700="","",p_factor_productividad*IFERROR(INDEX('ASIGNACIONES'!$M$4:$M$451,MATCH($O700&amp;"|"&amp;$R700&amp;"|"&amp;$AE700,'ASIGNACIONES'!$N$4:$N$451,0)),0)-$AG700)</f>
        <v/>
      </c>
      <c r="AI700" s="11">
        <f>IF($A700="","",IFERROR(INDEX('2_IMPORTAR_EJECUCION'!$F$9:$F$1208,MATCH($AQ700,'2_IMPORTAR_EJECUCION'!$J$9:$J$1208,0)),0))</f>
        <v/>
      </c>
      <c r="AJ700" s="11">
        <f>IF($A700="","",MAX(0,IFERROR(INDEX('2_IMPORTAR_EJECUCION'!$H$9:$H$1208,MATCH($AQ700,'2_IMPORTAR_EJECUCION'!$J$9:$J$1208,0)),0)-$AI700))</f>
        <v/>
      </c>
      <c r="AK700" s="11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IF($H701="","",IFERROR(INDEX('CAT_ACTIVIDADES'!$B$4:$B$8,MATCH($H701,'CAT_ACTIVIDADES'!$A$4:$A$8,0)),"(sin catálogo)"))</f>
        <v/>
      </c>
      <c r="AA701" s="13">
        <f>IF($J701="","",TODAY()-$J701)</f>
        <v/>
      </c>
      <c r="AB701" s="13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IF($AE701="","",IF((IFERROR(INDEX('ASIGNACIONES'!$J$4:$J$451,MATCH($O701&amp;"|"&amp;$R701&amp;"|"&amp;$AE701,'ASIGNACIONES'!$N$4:$N$451,0)),""))=0,"",IFERROR(INDEX('ASIGNACIONES'!$J$4:$J$451,MATCH($O701&amp;"|"&amp;$R701&amp;"|"&amp;$AE701,'ASIGNACIONES'!$N$4:$N$451,0)),"")))</f>
        <v/>
      </c>
      <c r="AG701" s="14">
        <f>IF($AE701="","",SUMIFS('ORDENES'!$M$4:$M$1203,'ORDENES'!$AE$4:$AE$1203,$AE701,'ORDENES'!$O$4:$O$1203,$O701,'ORDENES'!$R$4:$R$1203,$R701))</f>
        <v/>
      </c>
      <c r="AH701" s="14">
        <f>IF($AG701="","",p_factor_productividad*IFERROR(INDEX('ASIGNACIONES'!$M$4:$M$451,MATCH($O701&amp;"|"&amp;$R701&amp;"|"&amp;$AE701,'ASIGNACIONES'!$N$4:$N$451,0)),0)-$AG701)</f>
        <v/>
      </c>
      <c r="AI701" s="11">
        <f>IF($A701="","",IFERROR(INDEX('2_IMPORTAR_EJECUCION'!$F$9:$F$1208,MATCH($AQ701,'2_IMPORTAR_EJECUCION'!$J$9:$J$1208,0)),0))</f>
        <v/>
      </c>
      <c r="AJ701" s="11">
        <f>IF($A701="","",MAX(0,IFERROR(INDEX('2_IMPORTAR_EJECUCION'!$H$9:$H$1208,MATCH($AQ701,'2_IMPORTAR_EJECUCION'!$J$9:$J$1208,0)),0)-$AI701))</f>
        <v/>
      </c>
      <c r="AK701" s="11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IF($H702="","",IFERROR(INDEX('CAT_ACTIVIDADES'!$B$4:$B$8,MATCH($H702,'CAT_ACTIVIDADES'!$A$4:$A$8,0)),"(sin catálogo)"))</f>
        <v/>
      </c>
      <c r="AA702" s="13">
        <f>IF($J702="","",TODAY()-$J702)</f>
        <v/>
      </c>
      <c r="AB702" s="13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IF($AE702="","",IF((IFERROR(INDEX('ASIGNACIONES'!$J$4:$J$451,MATCH($O702&amp;"|"&amp;$R702&amp;"|"&amp;$AE702,'ASIGNACIONES'!$N$4:$N$451,0)),""))=0,"",IFERROR(INDEX('ASIGNACIONES'!$J$4:$J$451,MATCH($O702&amp;"|"&amp;$R702&amp;"|"&amp;$AE702,'ASIGNACIONES'!$N$4:$N$451,0)),"")))</f>
        <v/>
      </c>
      <c r="AG702" s="14">
        <f>IF($AE702="","",SUMIFS('ORDENES'!$M$4:$M$1203,'ORDENES'!$AE$4:$AE$1203,$AE702,'ORDENES'!$O$4:$O$1203,$O702,'ORDENES'!$R$4:$R$1203,$R702))</f>
        <v/>
      </c>
      <c r="AH702" s="14">
        <f>IF($AG702="","",p_factor_productividad*IFERROR(INDEX('ASIGNACIONES'!$M$4:$M$451,MATCH($O702&amp;"|"&amp;$R702&amp;"|"&amp;$AE702,'ASIGNACIONES'!$N$4:$N$451,0)),0)-$AG702)</f>
        <v/>
      </c>
      <c r="AI702" s="11">
        <f>IF($A702="","",IFERROR(INDEX('2_IMPORTAR_EJECUCION'!$F$9:$F$1208,MATCH($AQ702,'2_IMPORTAR_EJECUCION'!$J$9:$J$1208,0)),0))</f>
        <v/>
      </c>
      <c r="AJ702" s="11">
        <f>IF($A702="","",MAX(0,IFERROR(INDEX('2_IMPORTAR_EJECUCION'!$H$9:$H$1208,MATCH($AQ702,'2_IMPORTAR_EJECUCION'!$J$9:$J$1208,0)),0)-$AI702))</f>
        <v/>
      </c>
      <c r="AK702" s="11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IF($H703="","",IFERROR(INDEX('CAT_ACTIVIDADES'!$B$4:$B$8,MATCH($H703,'CAT_ACTIVIDADES'!$A$4:$A$8,0)),"(sin catálogo)"))</f>
        <v/>
      </c>
      <c r="AA703" s="13">
        <f>IF($J703="","",TODAY()-$J703)</f>
        <v/>
      </c>
      <c r="AB703" s="13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IF($AE703="","",IF((IFERROR(INDEX('ASIGNACIONES'!$J$4:$J$451,MATCH($O703&amp;"|"&amp;$R703&amp;"|"&amp;$AE703,'ASIGNACIONES'!$N$4:$N$451,0)),""))=0,"",IFERROR(INDEX('ASIGNACIONES'!$J$4:$J$451,MATCH($O703&amp;"|"&amp;$R703&amp;"|"&amp;$AE703,'ASIGNACIONES'!$N$4:$N$451,0)),"")))</f>
        <v/>
      </c>
      <c r="AG703" s="14">
        <f>IF($AE703="","",SUMIFS('ORDENES'!$M$4:$M$1203,'ORDENES'!$AE$4:$AE$1203,$AE703,'ORDENES'!$O$4:$O$1203,$O703,'ORDENES'!$R$4:$R$1203,$R703))</f>
        <v/>
      </c>
      <c r="AH703" s="14">
        <f>IF($AG703="","",p_factor_productividad*IFERROR(INDEX('ASIGNACIONES'!$M$4:$M$451,MATCH($O703&amp;"|"&amp;$R703&amp;"|"&amp;$AE703,'ASIGNACIONES'!$N$4:$N$451,0)),0)-$AG703)</f>
        <v/>
      </c>
      <c r="AI703" s="11">
        <f>IF($A703="","",IFERROR(INDEX('2_IMPORTAR_EJECUCION'!$F$9:$F$1208,MATCH($AQ703,'2_IMPORTAR_EJECUCION'!$J$9:$J$1208,0)),0))</f>
        <v/>
      </c>
      <c r="AJ703" s="11">
        <f>IF($A703="","",MAX(0,IFERROR(INDEX('2_IMPORTAR_EJECUCION'!$H$9:$H$1208,MATCH($AQ703,'2_IMPORTAR_EJECUCION'!$J$9:$J$1208,0)),0)-$AI703))</f>
        <v/>
      </c>
      <c r="AK703" s="11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IF($H704="","",IFERROR(INDEX('CAT_ACTIVIDADES'!$B$4:$B$8,MATCH($H704,'CAT_ACTIVIDADES'!$A$4:$A$8,0)),"(sin catálogo)"))</f>
        <v/>
      </c>
      <c r="AA704" s="13">
        <f>IF($J704="","",TODAY()-$J704)</f>
        <v/>
      </c>
      <c r="AB704" s="13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IF($AE704="","",IF((IFERROR(INDEX('ASIGNACIONES'!$J$4:$J$451,MATCH($O704&amp;"|"&amp;$R704&amp;"|"&amp;$AE704,'ASIGNACIONES'!$N$4:$N$451,0)),""))=0,"",IFERROR(INDEX('ASIGNACIONES'!$J$4:$J$451,MATCH($O704&amp;"|"&amp;$R704&amp;"|"&amp;$AE704,'ASIGNACIONES'!$N$4:$N$451,0)),"")))</f>
        <v/>
      </c>
      <c r="AG704" s="14">
        <f>IF($AE704="","",SUMIFS('ORDENES'!$M$4:$M$1203,'ORDENES'!$AE$4:$AE$1203,$AE704,'ORDENES'!$O$4:$O$1203,$O704,'ORDENES'!$R$4:$R$1203,$R704))</f>
        <v/>
      </c>
      <c r="AH704" s="14">
        <f>IF($AG704="","",p_factor_productividad*IFERROR(INDEX('ASIGNACIONES'!$M$4:$M$451,MATCH($O704&amp;"|"&amp;$R704&amp;"|"&amp;$AE704,'ASIGNACIONES'!$N$4:$N$451,0)),0)-$AG704)</f>
        <v/>
      </c>
      <c r="AI704" s="11">
        <f>IF($A704="","",IFERROR(INDEX('2_IMPORTAR_EJECUCION'!$F$9:$F$1208,MATCH($AQ704,'2_IMPORTAR_EJECUCION'!$J$9:$J$1208,0)),0))</f>
        <v/>
      </c>
      <c r="AJ704" s="11">
        <f>IF($A704="","",MAX(0,IFERROR(INDEX('2_IMPORTAR_EJECUCION'!$H$9:$H$1208,MATCH($AQ704,'2_IMPORTAR_EJECUCION'!$J$9:$J$1208,0)),0)-$AI704))</f>
        <v/>
      </c>
      <c r="AK704" s="11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IF($H705="","",IFERROR(INDEX('CAT_ACTIVIDADES'!$B$4:$B$8,MATCH($H705,'CAT_ACTIVIDADES'!$A$4:$A$8,0)),"(sin catálogo)"))</f>
        <v/>
      </c>
      <c r="AA705" s="13">
        <f>IF($J705="","",TODAY()-$J705)</f>
        <v/>
      </c>
      <c r="AB705" s="13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IF($AE705="","",IF((IFERROR(INDEX('ASIGNACIONES'!$J$4:$J$451,MATCH($O705&amp;"|"&amp;$R705&amp;"|"&amp;$AE705,'ASIGNACIONES'!$N$4:$N$451,0)),""))=0,"",IFERROR(INDEX('ASIGNACIONES'!$J$4:$J$451,MATCH($O705&amp;"|"&amp;$R705&amp;"|"&amp;$AE705,'ASIGNACIONES'!$N$4:$N$451,0)),"")))</f>
        <v/>
      </c>
      <c r="AG705" s="14">
        <f>IF($AE705="","",SUMIFS('ORDENES'!$M$4:$M$1203,'ORDENES'!$AE$4:$AE$1203,$AE705,'ORDENES'!$O$4:$O$1203,$O705,'ORDENES'!$R$4:$R$1203,$R705))</f>
        <v/>
      </c>
      <c r="AH705" s="14">
        <f>IF($AG705="","",p_factor_productividad*IFERROR(INDEX('ASIGNACIONES'!$M$4:$M$451,MATCH($O705&amp;"|"&amp;$R705&amp;"|"&amp;$AE705,'ASIGNACIONES'!$N$4:$N$451,0)),0)-$AG705)</f>
        <v/>
      </c>
      <c r="AI705" s="11">
        <f>IF($A705="","",IFERROR(INDEX('2_IMPORTAR_EJECUCION'!$F$9:$F$1208,MATCH($AQ705,'2_IMPORTAR_EJECUCION'!$J$9:$J$1208,0)),0))</f>
        <v/>
      </c>
      <c r="AJ705" s="11">
        <f>IF($A705="","",MAX(0,IFERROR(INDEX('2_IMPORTAR_EJECUCION'!$H$9:$H$1208,MATCH($AQ705,'2_IMPORTAR_EJECUCION'!$J$9:$J$1208,0)),0)-$AI705))</f>
        <v/>
      </c>
      <c r="AK705" s="11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IF($H706="","",IFERROR(INDEX('CAT_ACTIVIDADES'!$B$4:$B$8,MATCH($H706,'CAT_ACTIVIDADES'!$A$4:$A$8,0)),"(sin catálogo)"))</f>
        <v/>
      </c>
      <c r="AA706" s="13">
        <f>IF($J706="","",TODAY()-$J706)</f>
        <v/>
      </c>
      <c r="AB706" s="13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IF($AE706="","",IF((IFERROR(INDEX('ASIGNACIONES'!$J$4:$J$451,MATCH($O706&amp;"|"&amp;$R706&amp;"|"&amp;$AE706,'ASIGNACIONES'!$N$4:$N$451,0)),""))=0,"",IFERROR(INDEX('ASIGNACIONES'!$J$4:$J$451,MATCH($O706&amp;"|"&amp;$R706&amp;"|"&amp;$AE706,'ASIGNACIONES'!$N$4:$N$451,0)),"")))</f>
        <v/>
      </c>
      <c r="AG706" s="14">
        <f>IF($AE706="","",SUMIFS('ORDENES'!$M$4:$M$1203,'ORDENES'!$AE$4:$AE$1203,$AE706,'ORDENES'!$O$4:$O$1203,$O706,'ORDENES'!$R$4:$R$1203,$R706))</f>
        <v/>
      </c>
      <c r="AH706" s="14">
        <f>IF($AG706="","",p_factor_productividad*IFERROR(INDEX('ASIGNACIONES'!$M$4:$M$451,MATCH($O706&amp;"|"&amp;$R706&amp;"|"&amp;$AE706,'ASIGNACIONES'!$N$4:$N$451,0)),0)-$AG706)</f>
        <v/>
      </c>
      <c r="AI706" s="11">
        <f>IF($A706="","",IFERROR(INDEX('2_IMPORTAR_EJECUCION'!$F$9:$F$1208,MATCH($AQ706,'2_IMPORTAR_EJECUCION'!$J$9:$J$1208,0)),0))</f>
        <v/>
      </c>
      <c r="AJ706" s="11">
        <f>IF($A706="","",MAX(0,IFERROR(INDEX('2_IMPORTAR_EJECUCION'!$H$9:$H$1208,MATCH($AQ706,'2_IMPORTAR_EJECUCION'!$J$9:$J$1208,0)),0)-$AI706))</f>
        <v/>
      </c>
      <c r="AK706" s="11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IF($H707="","",IFERROR(INDEX('CAT_ACTIVIDADES'!$B$4:$B$8,MATCH($H707,'CAT_ACTIVIDADES'!$A$4:$A$8,0)),"(sin catálogo)"))</f>
        <v/>
      </c>
      <c r="AA707" s="13">
        <f>IF($J707="","",TODAY()-$J707)</f>
        <v/>
      </c>
      <c r="AB707" s="13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IF($AE707="","",IF((IFERROR(INDEX('ASIGNACIONES'!$J$4:$J$451,MATCH($O707&amp;"|"&amp;$R707&amp;"|"&amp;$AE707,'ASIGNACIONES'!$N$4:$N$451,0)),""))=0,"",IFERROR(INDEX('ASIGNACIONES'!$J$4:$J$451,MATCH($O707&amp;"|"&amp;$R707&amp;"|"&amp;$AE707,'ASIGNACIONES'!$N$4:$N$451,0)),"")))</f>
        <v/>
      </c>
      <c r="AG707" s="14">
        <f>IF($AE707="","",SUMIFS('ORDENES'!$M$4:$M$1203,'ORDENES'!$AE$4:$AE$1203,$AE707,'ORDENES'!$O$4:$O$1203,$O707,'ORDENES'!$R$4:$R$1203,$R707))</f>
        <v/>
      </c>
      <c r="AH707" s="14">
        <f>IF($AG707="","",p_factor_productividad*IFERROR(INDEX('ASIGNACIONES'!$M$4:$M$451,MATCH($O707&amp;"|"&amp;$R707&amp;"|"&amp;$AE707,'ASIGNACIONES'!$N$4:$N$451,0)),0)-$AG707)</f>
        <v/>
      </c>
      <c r="AI707" s="11">
        <f>IF($A707="","",IFERROR(INDEX('2_IMPORTAR_EJECUCION'!$F$9:$F$1208,MATCH($AQ707,'2_IMPORTAR_EJECUCION'!$J$9:$J$1208,0)),0))</f>
        <v/>
      </c>
      <c r="AJ707" s="11">
        <f>IF($A707="","",MAX(0,IFERROR(INDEX('2_IMPORTAR_EJECUCION'!$H$9:$H$1208,MATCH($AQ707,'2_IMPORTAR_EJECUCION'!$J$9:$J$1208,0)),0)-$AI707))</f>
        <v/>
      </c>
      <c r="AK707" s="11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IF($H708="","",IFERROR(INDEX('CAT_ACTIVIDADES'!$B$4:$B$8,MATCH($H708,'CAT_ACTIVIDADES'!$A$4:$A$8,0)),"(sin catálogo)"))</f>
        <v/>
      </c>
      <c r="AA708" s="13">
        <f>IF($J708="","",TODAY()-$J708)</f>
        <v/>
      </c>
      <c r="AB708" s="13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IF($AE708="","",IF((IFERROR(INDEX('ASIGNACIONES'!$J$4:$J$451,MATCH($O708&amp;"|"&amp;$R708&amp;"|"&amp;$AE708,'ASIGNACIONES'!$N$4:$N$451,0)),""))=0,"",IFERROR(INDEX('ASIGNACIONES'!$J$4:$J$451,MATCH($O708&amp;"|"&amp;$R708&amp;"|"&amp;$AE708,'ASIGNACIONES'!$N$4:$N$451,0)),"")))</f>
        <v/>
      </c>
      <c r="AG708" s="14">
        <f>IF($AE708="","",SUMIFS('ORDENES'!$M$4:$M$1203,'ORDENES'!$AE$4:$AE$1203,$AE708,'ORDENES'!$O$4:$O$1203,$O708,'ORDENES'!$R$4:$R$1203,$R708))</f>
        <v/>
      </c>
      <c r="AH708" s="14">
        <f>IF($AG708="","",p_factor_productividad*IFERROR(INDEX('ASIGNACIONES'!$M$4:$M$451,MATCH($O708&amp;"|"&amp;$R708&amp;"|"&amp;$AE708,'ASIGNACIONES'!$N$4:$N$451,0)),0)-$AG708)</f>
        <v/>
      </c>
      <c r="AI708" s="11">
        <f>IF($A708="","",IFERROR(INDEX('2_IMPORTAR_EJECUCION'!$F$9:$F$1208,MATCH($AQ708,'2_IMPORTAR_EJECUCION'!$J$9:$J$1208,0)),0))</f>
        <v/>
      </c>
      <c r="AJ708" s="11">
        <f>IF($A708="","",MAX(0,IFERROR(INDEX('2_IMPORTAR_EJECUCION'!$H$9:$H$1208,MATCH($AQ708,'2_IMPORTAR_EJECUCION'!$J$9:$J$1208,0)),0)-$AI708))</f>
        <v/>
      </c>
      <c r="AK708" s="11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IF($H709="","",IFERROR(INDEX('CAT_ACTIVIDADES'!$B$4:$B$8,MATCH($H709,'CAT_ACTIVIDADES'!$A$4:$A$8,0)),"(sin catálogo)"))</f>
        <v/>
      </c>
      <c r="AA709" s="13">
        <f>IF($J709="","",TODAY()-$J709)</f>
        <v/>
      </c>
      <c r="AB709" s="13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IF($AE709="","",IF((IFERROR(INDEX('ASIGNACIONES'!$J$4:$J$451,MATCH($O709&amp;"|"&amp;$R709&amp;"|"&amp;$AE709,'ASIGNACIONES'!$N$4:$N$451,0)),""))=0,"",IFERROR(INDEX('ASIGNACIONES'!$J$4:$J$451,MATCH($O709&amp;"|"&amp;$R709&amp;"|"&amp;$AE709,'ASIGNACIONES'!$N$4:$N$451,0)),"")))</f>
        <v/>
      </c>
      <c r="AG709" s="14">
        <f>IF($AE709="","",SUMIFS('ORDENES'!$M$4:$M$1203,'ORDENES'!$AE$4:$AE$1203,$AE709,'ORDENES'!$O$4:$O$1203,$O709,'ORDENES'!$R$4:$R$1203,$R709))</f>
        <v/>
      </c>
      <c r="AH709" s="14">
        <f>IF($AG709="","",p_factor_productividad*IFERROR(INDEX('ASIGNACIONES'!$M$4:$M$451,MATCH($O709&amp;"|"&amp;$R709&amp;"|"&amp;$AE709,'ASIGNACIONES'!$N$4:$N$451,0)),0)-$AG709)</f>
        <v/>
      </c>
      <c r="AI709" s="11">
        <f>IF($A709="","",IFERROR(INDEX('2_IMPORTAR_EJECUCION'!$F$9:$F$1208,MATCH($AQ709,'2_IMPORTAR_EJECUCION'!$J$9:$J$1208,0)),0))</f>
        <v/>
      </c>
      <c r="AJ709" s="11">
        <f>IF($A709="","",MAX(0,IFERROR(INDEX('2_IMPORTAR_EJECUCION'!$H$9:$H$1208,MATCH($AQ709,'2_IMPORTAR_EJECUCION'!$J$9:$J$1208,0)),0)-$AI709))</f>
        <v/>
      </c>
      <c r="AK709" s="11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IF($H710="","",IFERROR(INDEX('CAT_ACTIVIDADES'!$B$4:$B$8,MATCH($H710,'CAT_ACTIVIDADES'!$A$4:$A$8,0)),"(sin catálogo)"))</f>
        <v/>
      </c>
      <c r="AA710" s="13">
        <f>IF($J710="","",TODAY()-$J710)</f>
        <v/>
      </c>
      <c r="AB710" s="13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IF($AE710="","",IF((IFERROR(INDEX('ASIGNACIONES'!$J$4:$J$451,MATCH($O710&amp;"|"&amp;$R710&amp;"|"&amp;$AE710,'ASIGNACIONES'!$N$4:$N$451,0)),""))=0,"",IFERROR(INDEX('ASIGNACIONES'!$J$4:$J$451,MATCH($O710&amp;"|"&amp;$R710&amp;"|"&amp;$AE710,'ASIGNACIONES'!$N$4:$N$451,0)),"")))</f>
        <v/>
      </c>
      <c r="AG710" s="14">
        <f>IF($AE710="","",SUMIFS('ORDENES'!$M$4:$M$1203,'ORDENES'!$AE$4:$AE$1203,$AE710,'ORDENES'!$O$4:$O$1203,$O710,'ORDENES'!$R$4:$R$1203,$R710))</f>
        <v/>
      </c>
      <c r="AH710" s="14">
        <f>IF($AG710="","",p_factor_productividad*IFERROR(INDEX('ASIGNACIONES'!$M$4:$M$451,MATCH($O710&amp;"|"&amp;$R710&amp;"|"&amp;$AE710,'ASIGNACIONES'!$N$4:$N$451,0)),0)-$AG710)</f>
        <v/>
      </c>
      <c r="AI710" s="11">
        <f>IF($A710="","",IFERROR(INDEX('2_IMPORTAR_EJECUCION'!$F$9:$F$1208,MATCH($AQ710,'2_IMPORTAR_EJECUCION'!$J$9:$J$1208,0)),0))</f>
        <v/>
      </c>
      <c r="AJ710" s="11">
        <f>IF($A710="","",MAX(0,IFERROR(INDEX('2_IMPORTAR_EJECUCION'!$H$9:$H$1208,MATCH($AQ710,'2_IMPORTAR_EJECUCION'!$J$9:$J$1208,0)),0)-$AI710))</f>
        <v/>
      </c>
      <c r="AK710" s="11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IF($H711="","",IFERROR(INDEX('CAT_ACTIVIDADES'!$B$4:$B$8,MATCH($H711,'CAT_ACTIVIDADES'!$A$4:$A$8,0)),"(sin catálogo)"))</f>
        <v/>
      </c>
      <c r="AA711" s="13">
        <f>IF($J711="","",TODAY()-$J711)</f>
        <v/>
      </c>
      <c r="AB711" s="13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IF($AE711="","",IF((IFERROR(INDEX('ASIGNACIONES'!$J$4:$J$451,MATCH($O711&amp;"|"&amp;$R711&amp;"|"&amp;$AE711,'ASIGNACIONES'!$N$4:$N$451,0)),""))=0,"",IFERROR(INDEX('ASIGNACIONES'!$J$4:$J$451,MATCH($O711&amp;"|"&amp;$R711&amp;"|"&amp;$AE711,'ASIGNACIONES'!$N$4:$N$451,0)),"")))</f>
        <v/>
      </c>
      <c r="AG711" s="14">
        <f>IF($AE711="","",SUMIFS('ORDENES'!$M$4:$M$1203,'ORDENES'!$AE$4:$AE$1203,$AE711,'ORDENES'!$O$4:$O$1203,$O711,'ORDENES'!$R$4:$R$1203,$R711))</f>
        <v/>
      </c>
      <c r="AH711" s="14">
        <f>IF($AG711="","",p_factor_productividad*IFERROR(INDEX('ASIGNACIONES'!$M$4:$M$451,MATCH($O711&amp;"|"&amp;$R711&amp;"|"&amp;$AE711,'ASIGNACIONES'!$N$4:$N$451,0)),0)-$AG711)</f>
        <v/>
      </c>
      <c r="AI711" s="11">
        <f>IF($A711="","",IFERROR(INDEX('2_IMPORTAR_EJECUCION'!$F$9:$F$1208,MATCH($AQ711,'2_IMPORTAR_EJECUCION'!$J$9:$J$1208,0)),0))</f>
        <v/>
      </c>
      <c r="AJ711" s="11">
        <f>IF($A711="","",MAX(0,IFERROR(INDEX('2_IMPORTAR_EJECUCION'!$H$9:$H$1208,MATCH($AQ711,'2_IMPORTAR_EJECUCION'!$J$9:$J$1208,0)),0)-$AI711))</f>
        <v/>
      </c>
      <c r="AK711" s="11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IF($H712="","",IFERROR(INDEX('CAT_ACTIVIDADES'!$B$4:$B$8,MATCH($H712,'CAT_ACTIVIDADES'!$A$4:$A$8,0)),"(sin catálogo)"))</f>
        <v/>
      </c>
      <c r="AA712" s="13">
        <f>IF($J712="","",TODAY()-$J712)</f>
        <v/>
      </c>
      <c r="AB712" s="13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IF($AE712="","",IF((IFERROR(INDEX('ASIGNACIONES'!$J$4:$J$451,MATCH($O712&amp;"|"&amp;$R712&amp;"|"&amp;$AE712,'ASIGNACIONES'!$N$4:$N$451,0)),""))=0,"",IFERROR(INDEX('ASIGNACIONES'!$J$4:$J$451,MATCH($O712&amp;"|"&amp;$R712&amp;"|"&amp;$AE712,'ASIGNACIONES'!$N$4:$N$451,0)),"")))</f>
        <v/>
      </c>
      <c r="AG712" s="14">
        <f>IF($AE712="","",SUMIFS('ORDENES'!$M$4:$M$1203,'ORDENES'!$AE$4:$AE$1203,$AE712,'ORDENES'!$O$4:$O$1203,$O712,'ORDENES'!$R$4:$R$1203,$R712))</f>
        <v/>
      </c>
      <c r="AH712" s="14">
        <f>IF($AG712="","",p_factor_productividad*IFERROR(INDEX('ASIGNACIONES'!$M$4:$M$451,MATCH($O712&amp;"|"&amp;$R712&amp;"|"&amp;$AE712,'ASIGNACIONES'!$N$4:$N$451,0)),0)-$AG712)</f>
        <v/>
      </c>
      <c r="AI712" s="11">
        <f>IF($A712="","",IFERROR(INDEX('2_IMPORTAR_EJECUCION'!$F$9:$F$1208,MATCH($AQ712,'2_IMPORTAR_EJECUCION'!$J$9:$J$1208,0)),0))</f>
        <v/>
      </c>
      <c r="AJ712" s="11">
        <f>IF($A712="","",MAX(0,IFERROR(INDEX('2_IMPORTAR_EJECUCION'!$H$9:$H$1208,MATCH($AQ712,'2_IMPORTAR_EJECUCION'!$J$9:$J$1208,0)),0)-$AI712))</f>
        <v/>
      </c>
      <c r="AK712" s="11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IF($H713="","",IFERROR(INDEX('CAT_ACTIVIDADES'!$B$4:$B$8,MATCH($H713,'CAT_ACTIVIDADES'!$A$4:$A$8,0)),"(sin catálogo)"))</f>
        <v/>
      </c>
      <c r="AA713" s="13">
        <f>IF($J713="","",TODAY()-$J713)</f>
        <v/>
      </c>
      <c r="AB713" s="13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IF($AE713="","",IF((IFERROR(INDEX('ASIGNACIONES'!$J$4:$J$451,MATCH($O713&amp;"|"&amp;$R713&amp;"|"&amp;$AE713,'ASIGNACIONES'!$N$4:$N$451,0)),""))=0,"",IFERROR(INDEX('ASIGNACIONES'!$J$4:$J$451,MATCH($O713&amp;"|"&amp;$R713&amp;"|"&amp;$AE713,'ASIGNACIONES'!$N$4:$N$451,0)),"")))</f>
        <v/>
      </c>
      <c r="AG713" s="14">
        <f>IF($AE713="","",SUMIFS('ORDENES'!$M$4:$M$1203,'ORDENES'!$AE$4:$AE$1203,$AE713,'ORDENES'!$O$4:$O$1203,$O713,'ORDENES'!$R$4:$R$1203,$R713))</f>
        <v/>
      </c>
      <c r="AH713" s="14">
        <f>IF($AG713="","",p_factor_productividad*IFERROR(INDEX('ASIGNACIONES'!$M$4:$M$451,MATCH($O713&amp;"|"&amp;$R713&amp;"|"&amp;$AE713,'ASIGNACIONES'!$N$4:$N$451,0)),0)-$AG713)</f>
        <v/>
      </c>
      <c r="AI713" s="11">
        <f>IF($A713="","",IFERROR(INDEX('2_IMPORTAR_EJECUCION'!$F$9:$F$1208,MATCH($AQ713,'2_IMPORTAR_EJECUCION'!$J$9:$J$1208,0)),0))</f>
        <v/>
      </c>
      <c r="AJ713" s="11">
        <f>IF($A713="","",MAX(0,IFERROR(INDEX('2_IMPORTAR_EJECUCION'!$H$9:$H$1208,MATCH($AQ713,'2_IMPORTAR_EJECUCION'!$J$9:$J$1208,0)),0)-$AI713))</f>
        <v/>
      </c>
      <c r="AK713" s="11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IF($H714="","",IFERROR(INDEX('CAT_ACTIVIDADES'!$B$4:$B$8,MATCH($H714,'CAT_ACTIVIDADES'!$A$4:$A$8,0)),"(sin catálogo)"))</f>
        <v/>
      </c>
      <c r="AA714" s="13">
        <f>IF($J714="","",TODAY()-$J714)</f>
        <v/>
      </c>
      <c r="AB714" s="13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IF($AE714="","",IF((IFERROR(INDEX('ASIGNACIONES'!$J$4:$J$451,MATCH($O714&amp;"|"&amp;$R714&amp;"|"&amp;$AE714,'ASIGNACIONES'!$N$4:$N$451,0)),""))=0,"",IFERROR(INDEX('ASIGNACIONES'!$J$4:$J$451,MATCH($O714&amp;"|"&amp;$R714&amp;"|"&amp;$AE714,'ASIGNACIONES'!$N$4:$N$451,0)),"")))</f>
        <v/>
      </c>
      <c r="AG714" s="14">
        <f>IF($AE714="","",SUMIFS('ORDENES'!$M$4:$M$1203,'ORDENES'!$AE$4:$AE$1203,$AE714,'ORDENES'!$O$4:$O$1203,$O714,'ORDENES'!$R$4:$R$1203,$R714))</f>
        <v/>
      </c>
      <c r="AH714" s="14">
        <f>IF($AG714="","",p_factor_productividad*IFERROR(INDEX('ASIGNACIONES'!$M$4:$M$451,MATCH($O714&amp;"|"&amp;$R714&amp;"|"&amp;$AE714,'ASIGNACIONES'!$N$4:$N$451,0)),0)-$AG714)</f>
        <v/>
      </c>
      <c r="AI714" s="11">
        <f>IF($A714="","",IFERROR(INDEX('2_IMPORTAR_EJECUCION'!$F$9:$F$1208,MATCH($AQ714,'2_IMPORTAR_EJECUCION'!$J$9:$J$1208,0)),0))</f>
        <v/>
      </c>
      <c r="AJ714" s="11">
        <f>IF($A714="","",MAX(0,IFERROR(INDEX('2_IMPORTAR_EJECUCION'!$H$9:$H$1208,MATCH($AQ714,'2_IMPORTAR_EJECUCION'!$J$9:$J$1208,0)),0)-$AI714))</f>
        <v/>
      </c>
      <c r="AK714" s="11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IF($H715="","",IFERROR(INDEX('CAT_ACTIVIDADES'!$B$4:$B$8,MATCH($H715,'CAT_ACTIVIDADES'!$A$4:$A$8,0)),"(sin catálogo)"))</f>
        <v/>
      </c>
      <c r="AA715" s="13">
        <f>IF($J715="","",TODAY()-$J715)</f>
        <v/>
      </c>
      <c r="AB715" s="13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IF($AE715="","",IF((IFERROR(INDEX('ASIGNACIONES'!$J$4:$J$451,MATCH($O715&amp;"|"&amp;$R715&amp;"|"&amp;$AE715,'ASIGNACIONES'!$N$4:$N$451,0)),""))=0,"",IFERROR(INDEX('ASIGNACIONES'!$J$4:$J$451,MATCH($O715&amp;"|"&amp;$R715&amp;"|"&amp;$AE715,'ASIGNACIONES'!$N$4:$N$451,0)),"")))</f>
        <v/>
      </c>
      <c r="AG715" s="14">
        <f>IF($AE715="","",SUMIFS('ORDENES'!$M$4:$M$1203,'ORDENES'!$AE$4:$AE$1203,$AE715,'ORDENES'!$O$4:$O$1203,$O715,'ORDENES'!$R$4:$R$1203,$R715))</f>
        <v/>
      </c>
      <c r="AH715" s="14">
        <f>IF($AG715="","",p_factor_productividad*IFERROR(INDEX('ASIGNACIONES'!$M$4:$M$451,MATCH($O715&amp;"|"&amp;$R715&amp;"|"&amp;$AE715,'ASIGNACIONES'!$N$4:$N$451,0)),0)-$AG715)</f>
        <v/>
      </c>
      <c r="AI715" s="11">
        <f>IF($A715="","",IFERROR(INDEX('2_IMPORTAR_EJECUCION'!$F$9:$F$1208,MATCH($AQ715,'2_IMPORTAR_EJECUCION'!$J$9:$J$1208,0)),0))</f>
        <v/>
      </c>
      <c r="AJ715" s="11">
        <f>IF($A715="","",MAX(0,IFERROR(INDEX('2_IMPORTAR_EJECUCION'!$H$9:$H$1208,MATCH($AQ715,'2_IMPORTAR_EJECUCION'!$J$9:$J$1208,0)),0)-$AI715))</f>
        <v/>
      </c>
      <c r="AK715" s="11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IF($H716="","",IFERROR(INDEX('CAT_ACTIVIDADES'!$B$4:$B$8,MATCH($H716,'CAT_ACTIVIDADES'!$A$4:$A$8,0)),"(sin catálogo)"))</f>
        <v/>
      </c>
      <c r="AA716" s="13">
        <f>IF($J716="","",TODAY()-$J716)</f>
        <v/>
      </c>
      <c r="AB716" s="13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IF($AE716="","",IF((IFERROR(INDEX('ASIGNACIONES'!$J$4:$J$451,MATCH($O716&amp;"|"&amp;$R716&amp;"|"&amp;$AE716,'ASIGNACIONES'!$N$4:$N$451,0)),""))=0,"",IFERROR(INDEX('ASIGNACIONES'!$J$4:$J$451,MATCH($O716&amp;"|"&amp;$R716&amp;"|"&amp;$AE716,'ASIGNACIONES'!$N$4:$N$451,0)),"")))</f>
        <v/>
      </c>
      <c r="AG716" s="14">
        <f>IF($AE716="","",SUMIFS('ORDENES'!$M$4:$M$1203,'ORDENES'!$AE$4:$AE$1203,$AE716,'ORDENES'!$O$4:$O$1203,$O716,'ORDENES'!$R$4:$R$1203,$R716))</f>
        <v/>
      </c>
      <c r="AH716" s="14">
        <f>IF($AG716="","",p_factor_productividad*IFERROR(INDEX('ASIGNACIONES'!$M$4:$M$451,MATCH($O716&amp;"|"&amp;$R716&amp;"|"&amp;$AE716,'ASIGNACIONES'!$N$4:$N$451,0)),0)-$AG716)</f>
        <v/>
      </c>
      <c r="AI716" s="11">
        <f>IF($A716="","",IFERROR(INDEX('2_IMPORTAR_EJECUCION'!$F$9:$F$1208,MATCH($AQ716,'2_IMPORTAR_EJECUCION'!$J$9:$J$1208,0)),0))</f>
        <v/>
      </c>
      <c r="AJ716" s="11">
        <f>IF($A716="","",MAX(0,IFERROR(INDEX('2_IMPORTAR_EJECUCION'!$H$9:$H$1208,MATCH($AQ716,'2_IMPORTAR_EJECUCION'!$J$9:$J$1208,0)),0)-$AI716))</f>
        <v/>
      </c>
      <c r="AK716" s="11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IF($H717="","",IFERROR(INDEX('CAT_ACTIVIDADES'!$B$4:$B$8,MATCH($H717,'CAT_ACTIVIDADES'!$A$4:$A$8,0)),"(sin catálogo)"))</f>
        <v/>
      </c>
      <c r="AA717" s="13">
        <f>IF($J717="","",TODAY()-$J717)</f>
        <v/>
      </c>
      <c r="AB717" s="13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IF($AE717="","",IF((IFERROR(INDEX('ASIGNACIONES'!$J$4:$J$451,MATCH($O717&amp;"|"&amp;$R717&amp;"|"&amp;$AE717,'ASIGNACIONES'!$N$4:$N$451,0)),""))=0,"",IFERROR(INDEX('ASIGNACIONES'!$J$4:$J$451,MATCH($O717&amp;"|"&amp;$R717&amp;"|"&amp;$AE717,'ASIGNACIONES'!$N$4:$N$451,0)),"")))</f>
        <v/>
      </c>
      <c r="AG717" s="14">
        <f>IF($AE717="","",SUMIFS('ORDENES'!$M$4:$M$1203,'ORDENES'!$AE$4:$AE$1203,$AE717,'ORDENES'!$O$4:$O$1203,$O717,'ORDENES'!$R$4:$R$1203,$R717))</f>
        <v/>
      </c>
      <c r="AH717" s="14">
        <f>IF($AG717="","",p_factor_productividad*IFERROR(INDEX('ASIGNACIONES'!$M$4:$M$451,MATCH($O717&amp;"|"&amp;$R717&amp;"|"&amp;$AE717,'ASIGNACIONES'!$N$4:$N$451,0)),0)-$AG717)</f>
        <v/>
      </c>
      <c r="AI717" s="11">
        <f>IF($A717="","",IFERROR(INDEX('2_IMPORTAR_EJECUCION'!$F$9:$F$1208,MATCH($AQ717,'2_IMPORTAR_EJECUCION'!$J$9:$J$1208,0)),0))</f>
        <v/>
      </c>
      <c r="AJ717" s="11">
        <f>IF($A717="","",MAX(0,IFERROR(INDEX('2_IMPORTAR_EJECUCION'!$H$9:$H$1208,MATCH($AQ717,'2_IMPORTAR_EJECUCION'!$J$9:$J$1208,0)),0)-$AI717))</f>
        <v/>
      </c>
      <c r="AK717" s="11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IF($H718="","",IFERROR(INDEX('CAT_ACTIVIDADES'!$B$4:$B$8,MATCH($H718,'CAT_ACTIVIDADES'!$A$4:$A$8,0)),"(sin catálogo)"))</f>
        <v/>
      </c>
      <c r="AA718" s="13">
        <f>IF($J718="","",TODAY()-$J718)</f>
        <v/>
      </c>
      <c r="AB718" s="13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IF($AE718="","",IF((IFERROR(INDEX('ASIGNACIONES'!$J$4:$J$451,MATCH($O718&amp;"|"&amp;$R718&amp;"|"&amp;$AE718,'ASIGNACIONES'!$N$4:$N$451,0)),""))=0,"",IFERROR(INDEX('ASIGNACIONES'!$J$4:$J$451,MATCH($O718&amp;"|"&amp;$R718&amp;"|"&amp;$AE718,'ASIGNACIONES'!$N$4:$N$451,0)),"")))</f>
        <v/>
      </c>
      <c r="AG718" s="14">
        <f>IF($AE718="","",SUMIFS('ORDENES'!$M$4:$M$1203,'ORDENES'!$AE$4:$AE$1203,$AE718,'ORDENES'!$O$4:$O$1203,$O718,'ORDENES'!$R$4:$R$1203,$R718))</f>
        <v/>
      </c>
      <c r="AH718" s="14">
        <f>IF($AG718="","",p_factor_productividad*IFERROR(INDEX('ASIGNACIONES'!$M$4:$M$451,MATCH($O718&amp;"|"&amp;$R718&amp;"|"&amp;$AE718,'ASIGNACIONES'!$N$4:$N$451,0)),0)-$AG718)</f>
        <v/>
      </c>
      <c r="AI718" s="11">
        <f>IF($A718="","",IFERROR(INDEX('2_IMPORTAR_EJECUCION'!$F$9:$F$1208,MATCH($AQ718,'2_IMPORTAR_EJECUCION'!$J$9:$J$1208,0)),0))</f>
        <v/>
      </c>
      <c r="AJ718" s="11">
        <f>IF($A718="","",MAX(0,IFERROR(INDEX('2_IMPORTAR_EJECUCION'!$H$9:$H$1208,MATCH($AQ718,'2_IMPORTAR_EJECUCION'!$J$9:$J$1208,0)),0)-$AI718))</f>
        <v/>
      </c>
      <c r="AK718" s="11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IF($H719="","",IFERROR(INDEX('CAT_ACTIVIDADES'!$B$4:$B$8,MATCH($H719,'CAT_ACTIVIDADES'!$A$4:$A$8,0)),"(sin catálogo)"))</f>
        <v/>
      </c>
      <c r="AA719" s="13">
        <f>IF($J719="","",TODAY()-$J719)</f>
        <v/>
      </c>
      <c r="AB719" s="13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IF($AE719="","",IF((IFERROR(INDEX('ASIGNACIONES'!$J$4:$J$451,MATCH($O719&amp;"|"&amp;$R719&amp;"|"&amp;$AE719,'ASIGNACIONES'!$N$4:$N$451,0)),""))=0,"",IFERROR(INDEX('ASIGNACIONES'!$J$4:$J$451,MATCH($O719&amp;"|"&amp;$R719&amp;"|"&amp;$AE719,'ASIGNACIONES'!$N$4:$N$451,0)),"")))</f>
        <v/>
      </c>
      <c r="AG719" s="14">
        <f>IF($AE719="","",SUMIFS('ORDENES'!$M$4:$M$1203,'ORDENES'!$AE$4:$AE$1203,$AE719,'ORDENES'!$O$4:$O$1203,$O719,'ORDENES'!$R$4:$R$1203,$R719))</f>
        <v/>
      </c>
      <c r="AH719" s="14">
        <f>IF($AG719="","",p_factor_productividad*IFERROR(INDEX('ASIGNACIONES'!$M$4:$M$451,MATCH($O719&amp;"|"&amp;$R719&amp;"|"&amp;$AE719,'ASIGNACIONES'!$N$4:$N$451,0)),0)-$AG719)</f>
        <v/>
      </c>
      <c r="AI719" s="11">
        <f>IF($A719="","",IFERROR(INDEX('2_IMPORTAR_EJECUCION'!$F$9:$F$1208,MATCH($AQ719,'2_IMPORTAR_EJECUCION'!$J$9:$J$1208,0)),0))</f>
        <v/>
      </c>
      <c r="AJ719" s="11">
        <f>IF($A719="","",MAX(0,IFERROR(INDEX('2_IMPORTAR_EJECUCION'!$H$9:$H$1208,MATCH($AQ719,'2_IMPORTAR_EJECUCION'!$J$9:$J$1208,0)),0)-$AI719))</f>
        <v/>
      </c>
      <c r="AK719" s="11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IF($H720="","",IFERROR(INDEX('CAT_ACTIVIDADES'!$B$4:$B$8,MATCH($H720,'CAT_ACTIVIDADES'!$A$4:$A$8,0)),"(sin catálogo)"))</f>
        <v/>
      </c>
      <c r="AA720" s="13">
        <f>IF($J720="","",TODAY()-$J720)</f>
        <v/>
      </c>
      <c r="AB720" s="13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IF($AE720="","",IF((IFERROR(INDEX('ASIGNACIONES'!$J$4:$J$451,MATCH($O720&amp;"|"&amp;$R720&amp;"|"&amp;$AE720,'ASIGNACIONES'!$N$4:$N$451,0)),""))=0,"",IFERROR(INDEX('ASIGNACIONES'!$J$4:$J$451,MATCH($O720&amp;"|"&amp;$R720&amp;"|"&amp;$AE720,'ASIGNACIONES'!$N$4:$N$451,0)),"")))</f>
        <v/>
      </c>
      <c r="AG720" s="14">
        <f>IF($AE720="","",SUMIFS('ORDENES'!$M$4:$M$1203,'ORDENES'!$AE$4:$AE$1203,$AE720,'ORDENES'!$O$4:$O$1203,$O720,'ORDENES'!$R$4:$R$1203,$R720))</f>
        <v/>
      </c>
      <c r="AH720" s="14">
        <f>IF($AG720="","",p_factor_productividad*IFERROR(INDEX('ASIGNACIONES'!$M$4:$M$451,MATCH($O720&amp;"|"&amp;$R720&amp;"|"&amp;$AE720,'ASIGNACIONES'!$N$4:$N$451,0)),0)-$AG720)</f>
        <v/>
      </c>
      <c r="AI720" s="11">
        <f>IF($A720="","",IFERROR(INDEX('2_IMPORTAR_EJECUCION'!$F$9:$F$1208,MATCH($AQ720,'2_IMPORTAR_EJECUCION'!$J$9:$J$1208,0)),0))</f>
        <v/>
      </c>
      <c r="AJ720" s="11">
        <f>IF($A720="","",MAX(0,IFERROR(INDEX('2_IMPORTAR_EJECUCION'!$H$9:$H$1208,MATCH($AQ720,'2_IMPORTAR_EJECUCION'!$J$9:$J$1208,0)),0)-$AI720))</f>
        <v/>
      </c>
      <c r="AK720" s="11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IF($H721="","",IFERROR(INDEX('CAT_ACTIVIDADES'!$B$4:$B$8,MATCH($H721,'CAT_ACTIVIDADES'!$A$4:$A$8,0)),"(sin catálogo)"))</f>
        <v/>
      </c>
      <c r="AA721" s="13">
        <f>IF($J721="","",TODAY()-$J721)</f>
        <v/>
      </c>
      <c r="AB721" s="13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IF($AE721="","",IF((IFERROR(INDEX('ASIGNACIONES'!$J$4:$J$451,MATCH($O721&amp;"|"&amp;$R721&amp;"|"&amp;$AE721,'ASIGNACIONES'!$N$4:$N$451,0)),""))=0,"",IFERROR(INDEX('ASIGNACIONES'!$J$4:$J$451,MATCH($O721&amp;"|"&amp;$R721&amp;"|"&amp;$AE721,'ASIGNACIONES'!$N$4:$N$451,0)),"")))</f>
        <v/>
      </c>
      <c r="AG721" s="14">
        <f>IF($AE721="","",SUMIFS('ORDENES'!$M$4:$M$1203,'ORDENES'!$AE$4:$AE$1203,$AE721,'ORDENES'!$O$4:$O$1203,$O721,'ORDENES'!$R$4:$R$1203,$R721))</f>
        <v/>
      </c>
      <c r="AH721" s="14">
        <f>IF($AG721="","",p_factor_productividad*IFERROR(INDEX('ASIGNACIONES'!$M$4:$M$451,MATCH($O721&amp;"|"&amp;$R721&amp;"|"&amp;$AE721,'ASIGNACIONES'!$N$4:$N$451,0)),0)-$AG721)</f>
        <v/>
      </c>
      <c r="AI721" s="11">
        <f>IF($A721="","",IFERROR(INDEX('2_IMPORTAR_EJECUCION'!$F$9:$F$1208,MATCH($AQ721,'2_IMPORTAR_EJECUCION'!$J$9:$J$1208,0)),0))</f>
        <v/>
      </c>
      <c r="AJ721" s="11">
        <f>IF($A721="","",MAX(0,IFERROR(INDEX('2_IMPORTAR_EJECUCION'!$H$9:$H$1208,MATCH($AQ721,'2_IMPORTAR_EJECUCION'!$J$9:$J$1208,0)),0)-$AI721))</f>
        <v/>
      </c>
      <c r="AK721" s="11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IF($H722="","",IFERROR(INDEX('CAT_ACTIVIDADES'!$B$4:$B$8,MATCH($H722,'CAT_ACTIVIDADES'!$A$4:$A$8,0)),"(sin catálogo)"))</f>
        <v/>
      </c>
      <c r="AA722" s="13">
        <f>IF($J722="","",TODAY()-$J722)</f>
        <v/>
      </c>
      <c r="AB722" s="13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IF($AE722="","",IF((IFERROR(INDEX('ASIGNACIONES'!$J$4:$J$451,MATCH($O722&amp;"|"&amp;$R722&amp;"|"&amp;$AE722,'ASIGNACIONES'!$N$4:$N$451,0)),""))=0,"",IFERROR(INDEX('ASIGNACIONES'!$J$4:$J$451,MATCH($O722&amp;"|"&amp;$R722&amp;"|"&amp;$AE722,'ASIGNACIONES'!$N$4:$N$451,0)),"")))</f>
        <v/>
      </c>
      <c r="AG722" s="14">
        <f>IF($AE722="","",SUMIFS('ORDENES'!$M$4:$M$1203,'ORDENES'!$AE$4:$AE$1203,$AE722,'ORDENES'!$O$4:$O$1203,$O722,'ORDENES'!$R$4:$R$1203,$R722))</f>
        <v/>
      </c>
      <c r="AH722" s="14">
        <f>IF($AG722="","",p_factor_productividad*IFERROR(INDEX('ASIGNACIONES'!$M$4:$M$451,MATCH($O722&amp;"|"&amp;$R722&amp;"|"&amp;$AE722,'ASIGNACIONES'!$N$4:$N$451,0)),0)-$AG722)</f>
        <v/>
      </c>
      <c r="AI722" s="11">
        <f>IF($A722="","",IFERROR(INDEX('2_IMPORTAR_EJECUCION'!$F$9:$F$1208,MATCH($AQ722,'2_IMPORTAR_EJECUCION'!$J$9:$J$1208,0)),0))</f>
        <v/>
      </c>
      <c r="AJ722" s="11">
        <f>IF($A722="","",MAX(0,IFERROR(INDEX('2_IMPORTAR_EJECUCION'!$H$9:$H$1208,MATCH($AQ722,'2_IMPORTAR_EJECUCION'!$J$9:$J$1208,0)),0)-$AI722))</f>
        <v/>
      </c>
      <c r="AK722" s="11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IF($H723="","",IFERROR(INDEX('CAT_ACTIVIDADES'!$B$4:$B$8,MATCH($H723,'CAT_ACTIVIDADES'!$A$4:$A$8,0)),"(sin catálogo)"))</f>
        <v/>
      </c>
      <c r="AA723" s="13">
        <f>IF($J723="","",TODAY()-$J723)</f>
        <v/>
      </c>
      <c r="AB723" s="13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IF($AE723="","",IF((IFERROR(INDEX('ASIGNACIONES'!$J$4:$J$451,MATCH($O723&amp;"|"&amp;$R723&amp;"|"&amp;$AE723,'ASIGNACIONES'!$N$4:$N$451,0)),""))=0,"",IFERROR(INDEX('ASIGNACIONES'!$J$4:$J$451,MATCH($O723&amp;"|"&amp;$R723&amp;"|"&amp;$AE723,'ASIGNACIONES'!$N$4:$N$451,0)),"")))</f>
        <v/>
      </c>
      <c r="AG723" s="14">
        <f>IF($AE723="","",SUMIFS('ORDENES'!$M$4:$M$1203,'ORDENES'!$AE$4:$AE$1203,$AE723,'ORDENES'!$O$4:$O$1203,$O723,'ORDENES'!$R$4:$R$1203,$R723))</f>
        <v/>
      </c>
      <c r="AH723" s="14">
        <f>IF($AG723="","",p_factor_productividad*IFERROR(INDEX('ASIGNACIONES'!$M$4:$M$451,MATCH($O723&amp;"|"&amp;$R723&amp;"|"&amp;$AE723,'ASIGNACIONES'!$N$4:$N$451,0)),0)-$AG723)</f>
        <v/>
      </c>
      <c r="AI723" s="11">
        <f>IF($A723="","",IFERROR(INDEX('2_IMPORTAR_EJECUCION'!$F$9:$F$1208,MATCH($AQ723,'2_IMPORTAR_EJECUCION'!$J$9:$J$1208,0)),0))</f>
        <v/>
      </c>
      <c r="AJ723" s="11">
        <f>IF($A723="","",MAX(0,IFERROR(INDEX('2_IMPORTAR_EJECUCION'!$H$9:$H$1208,MATCH($AQ723,'2_IMPORTAR_EJECUCION'!$J$9:$J$1208,0)),0)-$AI723))</f>
        <v/>
      </c>
      <c r="AK723" s="11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IF($H724="","",IFERROR(INDEX('CAT_ACTIVIDADES'!$B$4:$B$8,MATCH($H724,'CAT_ACTIVIDADES'!$A$4:$A$8,0)),"(sin catálogo)"))</f>
        <v/>
      </c>
      <c r="AA724" s="13">
        <f>IF($J724="","",TODAY()-$J724)</f>
        <v/>
      </c>
      <c r="AB724" s="13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IF($AE724="","",IF((IFERROR(INDEX('ASIGNACIONES'!$J$4:$J$451,MATCH($O724&amp;"|"&amp;$R724&amp;"|"&amp;$AE724,'ASIGNACIONES'!$N$4:$N$451,0)),""))=0,"",IFERROR(INDEX('ASIGNACIONES'!$J$4:$J$451,MATCH($O724&amp;"|"&amp;$R724&amp;"|"&amp;$AE724,'ASIGNACIONES'!$N$4:$N$451,0)),"")))</f>
        <v/>
      </c>
      <c r="AG724" s="14">
        <f>IF($AE724="","",SUMIFS('ORDENES'!$M$4:$M$1203,'ORDENES'!$AE$4:$AE$1203,$AE724,'ORDENES'!$O$4:$O$1203,$O724,'ORDENES'!$R$4:$R$1203,$R724))</f>
        <v/>
      </c>
      <c r="AH724" s="14">
        <f>IF($AG724="","",p_factor_productividad*IFERROR(INDEX('ASIGNACIONES'!$M$4:$M$451,MATCH($O724&amp;"|"&amp;$R724&amp;"|"&amp;$AE724,'ASIGNACIONES'!$N$4:$N$451,0)),0)-$AG724)</f>
        <v/>
      </c>
      <c r="AI724" s="11">
        <f>IF($A724="","",IFERROR(INDEX('2_IMPORTAR_EJECUCION'!$F$9:$F$1208,MATCH($AQ724,'2_IMPORTAR_EJECUCION'!$J$9:$J$1208,0)),0))</f>
        <v/>
      </c>
      <c r="AJ724" s="11">
        <f>IF($A724="","",MAX(0,IFERROR(INDEX('2_IMPORTAR_EJECUCION'!$H$9:$H$1208,MATCH($AQ724,'2_IMPORTAR_EJECUCION'!$J$9:$J$1208,0)),0)-$AI724))</f>
        <v/>
      </c>
      <c r="AK724" s="11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IF($H725="","",IFERROR(INDEX('CAT_ACTIVIDADES'!$B$4:$B$8,MATCH($H725,'CAT_ACTIVIDADES'!$A$4:$A$8,0)),"(sin catálogo)"))</f>
        <v/>
      </c>
      <c r="AA725" s="13">
        <f>IF($J725="","",TODAY()-$J725)</f>
        <v/>
      </c>
      <c r="AB725" s="13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IF($AE725="","",IF((IFERROR(INDEX('ASIGNACIONES'!$J$4:$J$451,MATCH($O725&amp;"|"&amp;$R725&amp;"|"&amp;$AE725,'ASIGNACIONES'!$N$4:$N$451,0)),""))=0,"",IFERROR(INDEX('ASIGNACIONES'!$J$4:$J$451,MATCH($O725&amp;"|"&amp;$R725&amp;"|"&amp;$AE725,'ASIGNACIONES'!$N$4:$N$451,0)),"")))</f>
        <v/>
      </c>
      <c r="AG725" s="14">
        <f>IF($AE725="","",SUMIFS('ORDENES'!$M$4:$M$1203,'ORDENES'!$AE$4:$AE$1203,$AE725,'ORDENES'!$O$4:$O$1203,$O725,'ORDENES'!$R$4:$R$1203,$R725))</f>
        <v/>
      </c>
      <c r="AH725" s="14">
        <f>IF($AG725="","",p_factor_productividad*IFERROR(INDEX('ASIGNACIONES'!$M$4:$M$451,MATCH($O725&amp;"|"&amp;$R725&amp;"|"&amp;$AE725,'ASIGNACIONES'!$N$4:$N$451,0)),0)-$AG725)</f>
        <v/>
      </c>
      <c r="AI725" s="11">
        <f>IF($A725="","",IFERROR(INDEX('2_IMPORTAR_EJECUCION'!$F$9:$F$1208,MATCH($AQ725,'2_IMPORTAR_EJECUCION'!$J$9:$J$1208,0)),0))</f>
        <v/>
      </c>
      <c r="AJ725" s="11">
        <f>IF($A725="","",MAX(0,IFERROR(INDEX('2_IMPORTAR_EJECUCION'!$H$9:$H$1208,MATCH($AQ725,'2_IMPORTAR_EJECUCION'!$J$9:$J$1208,0)),0)-$AI725))</f>
        <v/>
      </c>
      <c r="AK725" s="11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IF($H726="","",IFERROR(INDEX('CAT_ACTIVIDADES'!$B$4:$B$8,MATCH($H726,'CAT_ACTIVIDADES'!$A$4:$A$8,0)),"(sin catálogo)"))</f>
        <v/>
      </c>
      <c r="AA726" s="13">
        <f>IF($J726="","",TODAY()-$J726)</f>
        <v/>
      </c>
      <c r="AB726" s="13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IF($AE726="","",IF((IFERROR(INDEX('ASIGNACIONES'!$J$4:$J$451,MATCH($O726&amp;"|"&amp;$R726&amp;"|"&amp;$AE726,'ASIGNACIONES'!$N$4:$N$451,0)),""))=0,"",IFERROR(INDEX('ASIGNACIONES'!$J$4:$J$451,MATCH($O726&amp;"|"&amp;$R726&amp;"|"&amp;$AE726,'ASIGNACIONES'!$N$4:$N$451,0)),"")))</f>
        <v/>
      </c>
      <c r="AG726" s="14">
        <f>IF($AE726="","",SUMIFS('ORDENES'!$M$4:$M$1203,'ORDENES'!$AE$4:$AE$1203,$AE726,'ORDENES'!$O$4:$O$1203,$O726,'ORDENES'!$R$4:$R$1203,$R726))</f>
        <v/>
      </c>
      <c r="AH726" s="14">
        <f>IF($AG726="","",p_factor_productividad*IFERROR(INDEX('ASIGNACIONES'!$M$4:$M$451,MATCH($O726&amp;"|"&amp;$R726&amp;"|"&amp;$AE726,'ASIGNACIONES'!$N$4:$N$451,0)),0)-$AG726)</f>
        <v/>
      </c>
      <c r="AI726" s="11">
        <f>IF($A726="","",IFERROR(INDEX('2_IMPORTAR_EJECUCION'!$F$9:$F$1208,MATCH($AQ726,'2_IMPORTAR_EJECUCION'!$J$9:$J$1208,0)),0))</f>
        <v/>
      </c>
      <c r="AJ726" s="11">
        <f>IF($A726="","",MAX(0,IFERROR(INDEX('2_IMPORTAR_EJECUCION'!$H$9:$H$1208,MATCH($AQ726,'2_IMPORTAR_EJECUCION'!$J$9:$J$1208,0)),0)-$AI726))</f>
        <v/>
      </c>
      <c r="AK726" s="11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IF($H727="","",IFERROR(INDEX('CAT_ACTIVIDADES'!$B$4:$B$8,MATCH($H727,'CAT_ACTIVIDADES'!$A$4:$A$8,0)),"(sin catálogo)"))</f>
        <v/>
      </c>
      <c r="AA727" s="13">
        <f>IF($J727="","",TODAY()-$J727)</f>
        <v/>
      </c>
      <c r="AB727" s="13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IF($AE727="","",IF((IFERROR(INDEX('ASIGNACIONES'!$J$4:$J$451,MATCH($O727&amp;"|"&amp;$R727&amp;"|"&amp;$AE727,'ASIGNACIONES'!$N$4:$N$451,0)),""))=0,"",IFERROR(INDEX('ASIGNACIONES'!$J$4:$J$451,MATCH($O727&amp;"|"&amp;$R727&amp;"|"&amp;$AE727,'ASIGNACIONES'!$N$4:$N$451,0)),"")))</f>
        <v/>
      </c>
      <c r="AG727" s="14">
        <f>IF($AE727="","",SUMIFS('ORDENES'!$M$4:$M$1203,'ORDENES'!$AE$4:$AE$1203,$AE727,'ORDENES'!$O$4:$O$1203,$O727,'ORDENES'!$R$4:$R$1203,$R727))</f>
        <v/>
      </c>
      <c r="AH727" s="14">
        <f>IF($AG727="","",p_factor_productividad*IFERROR(INDEX('ASIGNACIONES'!$M$4:$M$451,MATCH($O727&amp;"|"&amp;$R727&amp;"|"&amp;$AE727,'ASIGNACIONES'!$N$4:$N$451,0)),0)-$AG727)</f>
        <v/>
      </c>
      <c r="AI727" s="11">
        <f>IF($A727="","",IFERROR(INDEX('2_IMPORTAR_EJECUCION'!$F$9:$F$1208,MATCH($AQ727,'2_IMPORTAR_EJECUCION'!$J$9:$J$1208,0)),0))</f>
        <v/>
      </c>
      <c r="AJ727" s="11">
        <f>IF($A727="","",MAX(0,IFERROR(INDEX('2_IMPORTAR_EJECUCION'!$H$9:$H$1208,MATCH($AQ727,'2_IMPORTAR_EJECUCION'!$J$9:$J$1208,0)),0)-$AI727))</f>
        <v/>
      </c>
      <c r="AK727" s="11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IF($H728="","",IFERROR(INDEX('CAT_ACTIVIDADES'!$B$4:$B$8,MATCH($H728,'CAT_ACTIVIDADES'!$A$4:$A$8,0)),"(sin catálogo)"))</f>
        <v/>
      </c>
      <c r="AA728" s="13">
        <f>IF($J728="","",TODAY()-$J728)</f>
        <v/>
      </c>
      <c r="AB728" s="13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IF($AE728="","",IF((IFERROR(INDEX('ASIGNACIONES'!$J$4:$J$451,MATCH($O728&amp;"|"&amp;$R728&amp;"|"&amp;$AE728,'ASIGNACIONES'!$N$4:$N$451,0)),""))=0,"",IFERROR(INDEX('ASIGNACIONES'!$J$4:$J$451,MATCH($O728&amp;"|"&amp;$R728&amp;"|"&amp;$AE728,'ASIGNACIONES'!$N$4:$N$451,0)),"")))</f>
        <v/>
      </c>
      <c r="AG728" s="14">
        <f>IF($AE728="","",SUMIFS('ORDENES'!$M$4:$M$1203,'ORDENES'!$AE$4:$AE$1203,$AE728,'ORDENES'!$O$4:$O$1203,$O728,'ORDENES'!$R$4:$R$1203,$R728))</f>
        <v/>
      </c>
      <c r="AH728" s="14">
        <f>IF($AG728="","",p_factor_productividad*IFERROR(INDEX('ASIGNACIONES'!$M$4:$M$451,MATCH($O728&amp;"|"&amp;$R728&amp;"|"&amp;$AE728,'ASIGNACIONES'!$N$4:$N$451,0)),0)-$AG728)</f>
        <v/>
      </c>
      <c r="AI728" s="11">
        <f>IF($A728="","",IFERROR(INDEX('2_IMPORTAR_EJECUCION'!$F$9:$F$1208,MATCH($AQ728,'2_IMPORTAR_EJECUCION'!$J$9:$J$1208,0)),0))</f>
        <v/>
      </c>
      <c r="AJ728" s="11">
        <f>IF($A728="","",MAX(0,IFERROR(INDEX('2_IMPORTAR_EJECUCION'!$H$9:$H$1208,MATCH($AQ728,'2_IMPORTAR_EJECUCION'!$J$9:$J$1208,0)),0)-$AI728))</f>
        <v/>
      </c>
      <c r="AK728" s="11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IF($H729="","",IFERROR(INDEX('CAT_ACTIVIDADES'!$B$4:$B$8,MATCH($H729,'CAT_ACTIVIDADES'!$A$4:$A$8,0)),"(sin catálogo)"))</f>
        <v/>
      </c>
      <c r="AA729" s="13">
        <f>IF($J729="","",TODAY()-$J729)</f>
        <v/>
      </c>
      <c r="AB729" s="13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IF($AE729="","",IF((IFERROR(INDEX('ASIGNACIONES'!$J$4:$J$451,MATCH($O729&amp;"|"&amp;$R729&amp;"|"&amp;$AE729,'ASIGNACIONES'!$N$4:$N$451,0)),""))=0,"",IFERROR(INDEX('ASIGNACIONES'!$J$4:$J$451,MATCH($O729&amp;"|"&amp;$R729&amp;"|"&amp;$AE729,'ASIGNACIONES'!$N$4:$N$451,0)),"")))</f>
        <v/>
      </c>
      <c r="AG729" s="14">
        <f>IF($AE729="","",SUMIFS('ORDENES'!$M$4:$M$1203,'ORDENES'!$AE$4:$AE$1203,$AE729,'ORDENES'!$O$4:$O$1203,$O729,'ORDENES'!$R$4:$R$1203,$R729))</f>
        <v/>
      </c>
      <c r="AH729" s="14">
        <f>IF($AG729="","",p_factor_productividad*IFERROR(INDEX('ASIGNACIONES'!$M$4:$M$451,MATCH($O729&amp;"|"&amp;$R729&amp;"|"&amp;$AE729,'ASIGNACIONES'!$N$4:$N$451,0)),0)-$AG729)</f>
        <v/>
      </c>
      <c r="AI729" s="11">
        <f>IF($A729="","",IFERROR(INDEX('2_IMPORTAR_EJECUCION'!$F$9:$F$1208,MATCH($AQ729,'2_IMPORTAR_EJECUCION'!$J$9:$J$1208,0)),0))</f>
        <v/>
      </c>
      <c r="AJ729" s="11">
        <f>IF($A729="","",MAX(0,IFERROR(INDEX('2_IMPORTAR_EJECUCION'!$H$9:$H$1208,MATCH($AQ729,'2_IMPORTAR_EJECUCION'!$J$9:$J$1208,0)),0)-$AI729))</f>
        <v/>
      </c>
      <c r="AK729" s="11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IF($H730="","",IFERROR(INDEX('CAT_ACTIVIDADES'!$B$4:$B$8,MATCH($H730,'CAT_ACTIVIDADES'!$A$4:$A$8,0)),"(sin catálogo)"))</f>
        <v/>
      </c>
      <c r="AA730" s="13">
        <f>IF($J730="","",TODAY()-$J730)</f>
        <v/>
      </c>
      <c r="AB730" s="13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IF($AE730="","",IF((IFERROR(INDEX('ASIGNACIONES'!$J$4:$J$451,MATCH($O730&amp;"|"&amp;$R730&amp;"|"&amp;$AE730,'ASIGNACIONES'!$N$4:$N$451,0)),""))=0,"",IFERROR(INDEX('ASIGNACIONES'!$J$4:$J$451,MATCH($O730&amp;"|"&amp;$R730&amp;"|"&amp;$AE730,'ASIGNACIONES'!$N$4:$N$451,0)),"")))</f>
        <v/>
      </c>
      <c r="AG730" s="14">
        <f>IF($AE730="","",SUMIFS('ORDENES'!$M$4:$M$1203,'ORDENES'!$AE$4:$AE$1203,$AE730,'ORDENES'!$O$4:$O$1203,$O730,'ORDENES'!$R$4:$R$1203,$R730))</f>
        <v/>
      </c>
      <c r="AH730" s="14">
        <f>IF($AG730="","",p_factor_productividad*IFERROR(INDEX('ASIGNACIONES'!$M$4:$M$451,MATCH($O730&amp;"|"&amp;$R730&amp;"|"&amp;$AE730,'ASIGNACIONES'!$N$4:$N$451,0)),0)-$AG730)</f>
        <v/>
      </c>
      <c r="AI730" s="11">
        <f>IF($A730="","",IFERROR(INDEX('2_IMPORTAR_EJECUCION'!$F$9:$F$1208,MATCH($AQ730,'2_IMPORTAR_EJECUCION'!$J$9:$J$1208,0)),0))</f>
        <v/>
      </c>
      <c r="AJ730" s="11">
        <f>IF($A730="","",MAX(0,IFERROR(INDEX('2_IMPORTAR_EJECUCION'!$H$9:$H$1208,MATCH($AQ730,'2_IMPORTAR_EJECUCION'!$J$9:$J$1208,0)),0)-$AI730))</f>
        <v/>
      </c>
      <c r="AK730" s="11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IF($H731="","",IFERROR(INDEX('CAT_ACTIVIDADES'!$B$4:$B$8,MATCH($H731,'CAT_ACTIVIDADES'!$A$4:$A$8,0)),"(sin catálogo)"))</f>
        <v/>
      </c>
      <c r="AA731" s="13">
        <f>IF($J731="","",TODAY()-$J731)</f>
        <v/>
      </c>
      <c r="AB731" s="13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IF($AE731="","",IF((IFERROR(INDEX('ASIGNACIONES'!$J$4:$J$451,MATCH($O731&amp;"|"&amp;$R731&amp;"|"&amp;$AE731,'ASIGNACIONES'!$N$4:$N$451,0)),""))=0,"",IFERROR(INDEX('ASIGNACIONES'!$J$4:$J$451,MATCH($O731&amp;"|"&amp;$R731&amp;"|"&amp;$AE731,'ASIGNACIONES'!$N$4:$N$451,0)),"")))</f>
        <v/>
      </c>
      <c r="AG731" s="14">
        <f>IF($AE731="","",SUMIFS('ORDENES'!$M$4:$M$1203,'ORDENES'!$AE$4:$AE$1203,$AE731,'ORDENES'!$O$4:$O$1203,$O731,'ORDENES'!$R$4:$R$1203,$R731))</f>
        <v/>
      </c>
      <c r="AH731" s="14">
        <f>IF($AG731="","",p_factor_productividad*IFERROR(INDEX('ASIGNACIONES'!$M$4:$M$451,MATCH($O731&amp;"|"&amp;$R731&amp;"|"&amp;$AE731,'ASIGNACIONES'!$N$4:$N$451,0)),0)-$AG731)</f>
        <v/>
      </c>
      <c r="AI731" s="11">
        <f>IF($A731="","",IFERROR(INDEX('2_IMPORTAR_EJECUCION'!$F$9:$F$1208,MATCH($AQ731,'2_IMPORTAR_EJECUCION'!$J$9:$J$1208,0)),0))</f>
        <v/>
      </c>
      <c r="AJ731" s="11">
        <f>IF($A731="","",MAX(0,IFERROR(INDEX('2_IMPORTAR_EJECUCION'!$H$9:$H$1208,MATCH($AQ731,'2_IMPORTAR_EJECUCION'!$J$9:$J$1208,0)),0)-$AI731))</f>
        <v/>
      </c>
      <c r="AK731" s="11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IF($H732="","",IFERROR(INDEX('CAT_ACTIVIDADES'!$B$4:$B$8,MATCH($H732,'CAT_ACTIVIDADES'!$A$4:$A$8,0)),"(sin catálogo)"))</f>
        <v/>
      </c>
      <c r="AA732" s="13">
        <f>IF($J732="","",TODAY()-$J732)</f>
        <v/>
      </c>
      <c r="AB732" s="13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IF($AE732="","",IF((IFERROR(INDEX('ASIGNACIONES'!$J$4:$J$451,MATCH($O732&amp;"|"&amp;$R732&amp;"|"&amp;$AE732,'ASIGNACIONES'!$N$4:$N$451,0)),""))=0,"",IFERROR(INDEX('ASIGNACIONES'!$J$4:$J$451,MATCH($O732&amp;"|"&amp;$R732&amp;"|"&amp;$AE732,'ASIGNACIONES'!$N$4:$N$451,0)),"")))</f>
        <v/>
      </c>
      <c r="AG732" s="14">
        <f>IF($AE732="","",SUMIFS('ORDENES'!$M$4:$M$1203,'ORDENES'!$AE$4:$AE$1203,$AE732,'ORDENES'!$O$4:$O$1203,$O732,'ORDENES'!$R$4:$R$1203,$R732))</f>
        <v/>
      </c>
      <c r="AH732" s="14">
        <f>IF($AG732="","",p_factor_productividad*IFERROR(INDEX('ASIGNACIONES'!$M$4:$M$451,MATCH($O732&amp;"|"&amp;$R732&amp;"|"&amp;$AE732,'ASIGNACIONES'!$N$4:$N$451,0)),0)-$AG732)</f>
        <v/>
      </c>
      <c r="AI732" s="11">
        <f>IF($A732="","",IFERROR(INDEX('2_IMPORTAR_EJECUCION'!$F$9:$F$1208,MATCH($AQ732,'2_IMPORTAR_EJECUCION'!$J$9:$J$1208,0)),0))</f>
        <v/>
      </c>
      <c r="AJ732" s="11">
        <f>IF($A732="","",MAX(0,IFERROR(INDEX('2_IMPORTAR_EJECUCION'!$H$9:$H$1208,MATCH($AQ732,'2_IMPORTAR_EJECUCION'!$J$9:$J$1208,0)),0)-$AI732))</f>
        <v/>
      </c>
      <c r="AK732" s="11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IF($H733="","",IFERROR(INDEX('CAT_ACTIVIDADES'!$B$4:$B$8,MATCH($H733,'CAT_ACTIVIDADES'!$A$4:$A$8,0)),"(sin catálogo)"))</f>
        <v/>
      </c>
      <c r="AA733" s="13">
        <f>IF($J733="","",TODAY()-$J733)</f>
        <v/>
      </c>
      <c r="AB733" s="13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IF($AE733="","",IF((IFERROR(INDEX('ASIGNACIONES'!$J$4:$J$451,MATCH($O733&amp;"|"&amp;$R733&amp;"|"&amp;$AE733,'ASIGNACIONES'!$N$4:$N$451,0)),""))=0,"",IFERROR(INDEX('ASIGNACIONES'!$J$4:$J$451,MATCH($O733&amp;"|"&amp;$R733&amp;"|"&amp;$AE733,'ASIGNACIONES'!$N$4:$N$451,0)),"")))</f>
        <v/>
      </c>
      <c r="AG733" s="14">
        <f>IF($AE733="","",SUMIFS('ORDENES'!$M$4:$M$1203,'ORDENES'!$AE$4:$AE$1203,$AE733,'ORDENES'!$O$4:$O$1203,$O733,'ORDENES'!$R$4:$R$1203,$R733))</f>
        <v/>
      </c>
      <c r="AH733" s="14">
        <f>IF($AG733="","",p_factor_productividad*IFERROR(INDEX('ASIGNACIONES'!$M$4:$M$451,MATCH($O733&amp;"|"&amp;$R733&amp;"|"&amp;$AE733,'ASIGNACIONES'!$N$4:$N$451,0)),0)-$AG733)</f>
        <v/>
      </c>
      <c r="AI733" s="11">
        <f>IF($A733="","",IFERROR(INDEX('2_IMPORTAR_EJECUCION'!$F$9:$F$1208,MATCH($AQ733,'2_IMPORTAR_EJECUCION'!$J$9:$J$1208,0)),0))</f>
        <v/>
      </c>
      <c r="AJ733" s="11">
        <f>IF($A733="","",MAX(0,IFERROR(INDEX('2_IMPORTAR_EJECUCION'!$H$9:$H$1208,MATCH($AQ733,'2_IMPORTAR_EJECUCION'!$J$9:$J$1208,0)),0)-$AI733))</f>
        <v/>
      </c>
      <c r="AK733" s="11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IF($H734="","",IFERROR(INDEX('CAT_ACTIVIDADES'!$B$4:$B$8,MATCH($H734,'CAT_ACTIVIDADES'!$A$4:$A$8,0)),"(sin catálogo)"))</f>
        <v/>
      </c>
      <c r="AA734" s="13">
        <f>IF($J734="","",TODAY()-$J734)</f>
        <v/>
      </c>
      <c r="AB734" s="13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IF($AE734="","",IF((IFERROR(INDEX('ASIGNACIONES'!$J$4:$J$451,MATCH($O734&amp;"|"&amp;$R734&amp;"|"&amp;$AE734,'ASIGNACIONES'!$N$4:$N$451,0)),""))=0,"",IFERROR(INDEX('ASIGNACIONES'!$J$4:$J$451,MATCH($O734&amp;"|"&amp;$R734&amp;"|"&amp;$AE734,'ASIGNACIONES'!$N$4:$N$451,0)),"")))</f>
        <v/>
      </c>
      <c r="AG734" s="14">
        <f>IF($AE734="","",SUMIFS('ORDENES'!$M$4:$M$1203,'ORDENES'!$AE$4:$AE$1203,$AE734,'ORDENES'!$O$4:$O$1203,$O734,'ORDENES'!$R$4:$R$1203,$R734))</f>
        <v/>
      </c>
      <c r="AH734" s="14">
        <f>IF($AG734="","",p_factor_productividad*IFERROR(INDEX('ASIGNACIONES'!$M$4:$M$451,MATCH($O734&amp;"|"&amp;$R734&amp;"|"&amp;$AE734,'ASIGNACIONES'!$N$4:$N$451,0)),0)-$AG734)</f>
        <v/>
      </c>
      <c r="AI734" s="11">
        <f>IF($A734="","",IFERROR(INDEX('2_IMPORTAR_EJECUCION'!$F$9:$F$1208,MATCH($AQ734,'2_IMPORTAR_EJECUCION'!$J$9:$J$1208,0)),0))</f>
        <v/>
      </c>
      <c r="AJ734" s="11">
        <f>IF($A734="","",MAX(0,IFERROR(INDEX('2_IMPORTAR_EJECUCION'!$H$9:$H$1208,MATCH($AQ734,'2_IMPORTAR_EJECUCION'!$J$9:$J$1208,0)),0)-$AI734))</f>
        <v/>
      </c>
      <c r="AK734" s="11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IF($H735="","",IFERROR(INDEX('CAT_ACTIVIDADES'!$B$4:$B$8,MATCH($H735,'CAT_ACTIVIDADES'!$A$4:$A$8,0)),"(sin catálogo)"))</f>
        <v/>
      </c>
      <c r="AA735" s="13">
        <f>IF($J735="","",TODAY()-$J735)</f>
        <v/>
      </c>
      <c r="AB735" s="13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IF($AE735="","",IF((IFERROR(INDEX('ASIGNACIONES'!$J$4:$J$451,MATCH($O735&amp;"|"&amp;$R735&amp;"|"&amp;$AE735,'ASIGNACIONES'!$N$4:$N$451,0)),""))=0,"",IFERROR(INDEX('ASIGNACIONES'!$J$4:$J$451,MATCH($O735&amp;"|"&amp;$R735&amp;"|"&amp;$AE735,'ASIGNACIONES'!$N$4:$N$451,0)),"")))</f>
        <v/>
      </c>
      <c r="AG735" s="14">
        <f>IF($AE735="","",SUMIFS('ORDENES'!$M$4:$M$1203,'ORDENES'!$AE$4:$AE$1203,$AE735,'ORDENES'!$O$4:$O$1203,$O735,'ORDENES'!$R$4:$R$1203,$R735))</f>
        <v/>
      </c>
      <c r="AH735" s="14">
        <f>IF($AG735="","",p_factor_productividad*IFERROR(INDEX('ASIGNACIONES'!$M$4:$M$451,MATCH($O735&amp;"|"&amp;$R735&amp;"|"&amp;$AE735,'ASIGNACIONES'!$N$4:$N$451,0)),0)-$AG735)</f>
        <v/>
      </c>
      <c r="AI735" s="11">
        <f>IF($A735="","",IFERROR(INDEX('2_IMPORTAR_EJECUCION'!$F$9:$F$1208,MATCH($AQ735,'2_IMPORTAR_EJECUCION'!$J$9:$J$1208,0)),0))</f>
        <v/>
      </c>
      <c r="AJ735" s="11">
        <f>IF($A735="","",MAX(0,IFERROR(INDEX('2_IMPORTAR_EJECUCION'!$H$9:$H$1208,MATCH($AQ735,'2_IMPORTAR_EJECUCION'!$J$9:$J$1208,0)),0)-$AI735))</f>
        <v/>
      </c>
      <c r="AK735" s="11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IF($H736="","",IFERROR(INDEX('CAT_ACTIVIDADES'!$B$4:$B$8,MATCH($H736,'CAT_ACTIVIDADES'!$A$4:$A$8,0)),"(sin catálogo)"))</f>
        <v/>
      </c>
      <c r="AA736" s="13">
        <f>IF($J736="","",TODAY()-$J736)</f>
        <v/>
      </c>
      <c r="AB736" s="13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IF($AE736="","",IF((IFERROR(INDEX('ASIGNACIONES'!$J$4:$J$451,MATCH($O736&amp;"|"&amp;$R736&amp;"|"&amp;$AE736,'ASIGNACIONES'!$N$4:$N$451,0)),""))=0,"",IFERROR(INDEX('ASIGNACIONES'!$J$4:$J$451,MATCH($O736&amp;"|"&amp;$R736&amp;"|"&amp;$AE736,'ASIGNACIONES'!$N$4:$N$451,0)),"")))</f>
        <v/>
      </c>
      <c r="AG736" s="14">
        <f>IF($AE736="","",SUMIFS('ORDENES'!$M$4:$M$1203,'ORDENES'!$AE$4:$AE$1203,$AE736,'ORDENES'!$O$4:$O$1203,$O736,'ORDENES'!$R$4:$R$1203,$R736))</f>
        <v/>
      </c>
      <c r="AH736" s="14">
        <f>IF($AG736="","",p_factor_productividad*IFERROR(INDEX('ASIGNACIONES'!$M$4:$M$451,MATCH($O736&amp;"|"&amp;$R736&amp;"|"&amp;$AE736,'ASIGNACIONES'!$N$4:$N$451,0)),0)-$AG736)</f>
        <v/>
      </c>
      <c r="AI736" s="11">
        <f>IF($A736="","",IFERROR(INDEX('2_IMPORTAR_EJECUCION'!$F$9:$F$1208,MATCH($AQ736,'2_IMPORTAR_EJECUCION'!$J$9:$J$1208,0)),0))</f>
        <v/>
      </c>
      <c r="AJ736" s="11">
        <f>IF($A736="","",MAX(0,IFERROR(INDEX('2_IMPORTAR_EJECUCION'!$H$9:$H$1208,MATCH($AQ736,'2_IMPORTAR_EJECUCION'!$J$9:$J$1208,0)),0)-$AI736))</f>
        <v/>
      </c>
      <c r="AK736" s="11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IF($H737="","",IFERROR(INDEX('CAT_ACTIVIDADES'!$B$4:$B$8,MATCH($H737,'CAT_ACTIVIDADES'!$A$4:$A$8,0)),"(sin catálogo)"))</f>
        <v/>
      </c>
      <c r="AA737" s="13">
        <f>IF($J737="","",TODAY()-$J737)</f>
        <v/>
      </c>
      <c r="AB737" s="13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IF($AE737="","",IF((IFERROR(INDEX('ASIGNACIONES'!$J$4:$J$451,MATCH($O737&amp;"|"&amp;$R737&amp;"|"&amp;$AE737,'ASIGNACIONES'!$N$4:$N$451,0)),""))=0,"",IFERROR(INDEX('ASIGNACIONES'!$J$4:$J$451,MATCH($O737&amp;"|"&amp;$R737&amp;"|"&amp;$AE737,'ASIGNACIONES'!$N$4:$N$451,0)),"")))</f>
        <v/>
      </c>
      <c r="AG737" s="14">
        <f>IF($AE737="","",SUMIFS('ORDENES'!$M$4:$M$1203,'ORDENES'!$AE$4:$AE$1203,$AE737,'ORDENES'!$O$4:$O$1203,$O737,'ORDENES'!$R$4:$R$1203,$R737))</f>
        <v/>
      </c>
      <c r="AH737" s="14">
        <f>IF($AG737="","",p_factor_productividad*IFERROR(INDEX('ASIGNACIONES'!$M$4:$M$451,MATCH($O737&amp;"|"&amp;$R737&amp;"|"&amp;$AE737,'ASIGNACIONES'!$N$4:$N$451,0)),0)-$AG737)</f>
        <v/>
      </c>
      <c r="AI737" s="11">
        <f>IF($A737="","",IFERROR(INDEX('2_IMPORTAR_EJECUCION'!$F$9:$F$1208,MATCH($AQ737,'2_IMPORTAR_EJECUCION'!$J$9:$J$1208,0)),0))</f>
        <v/>
      </c>
      <c r="AJ737" s="11">
        <f>IF($A737="","",MAX(0,IFERROR(INDEX('2_IMPORTAR_EJECUCION'!$H$9:$H$1208,MATCH($AQ737,'2_IMPORTAR_EJECUCION'!$J$9:$J$1208,0)),0)-$AI737))</f>
        <v/>
      </c>
      <c r="AK737" s="11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IF($H738="","",IFERROR(INDEX('CAT_ACTIVIDADES'!$B$4:$B$8,MATCH($H738,'CAT_ACTIVIDADES'!$A$4:$A$8,0)),"(sin catálogo)"))</f>
        <v/>
      </c>
      <c r="AA738" s="13">
        <f>IF($J738="","",TODAY()-$J738)</f>
        <v/>
      </c>
      <c r="AB738" s="13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IF($AE738="","",IF((IFERROR(INDEX('ASIGNACIONES'!$J$4:$J$451,MATCH($O738&amp;"|"&amp;$R738&amp;"|"&amp;$AE738,'ASIGNACIONES'!$N$4:$N$451,0)),""))=0,"",IFERROR(INDEX('ASIGNACIONES'!$J$4:$J$451,MATCH($O738&amp;"|"&amp;$R738&amp;"|"&amp;$AE738,'ASIGNACIONES'!$N$4:$N$451,0)),"")))</f>
        <v/>
      </c>
      <c r="AG738" s="14">
        <f>IF($AE738="","",SUMIFS('ORDENES'!$M$4:$M$1203,'ORDENES'!$AE$4:$AE$1203,$AE738,'ORDENES'!$O$4:$O$1203,$O738,'ORDENES'!$R$4:$R$1203,$R738))</f>
        <v/>
      </c>
      <c r="AH738" s="14">
        <f>IF($AG738="","",p_factor_productividad*IFERROR(INDEX('ASIGNACIONES'!$M$4:$M$451,MATCH($O738&amp;"|"&amp;$R738&amp;"|"&amp;$AE738,'ASIGNACIONES'!$N$4:$N$451,0)),0)-$AG738)</f>
        <v/>
      </c>
      <c r="AI738" s="11">
        <f>IF($A738="","",IFERROR(INDEX('2_IMPORTAR_EJECUCION'!$F$9:$F$1208,MATCH($AQ738,'2_IMPORTAR_EJECUCION'!$J$9:$J$1208,0)),0))</f>
        <v/>
      </c>
      <c r="AJ738" s="11">
        <f>IF($A738="","",MAX(0,IFERROR(INDEX('2_IMPORTAR_EJECUCION'!$H$9:$H$1208,MATCH($AQ738,'2_IMPORTAR_EJECUCION'!$J$9:$J$1208,0)),0)-$AI738))</f>
        <v/>
      </c>
      <c r="AK738" s="11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IF($H739="","",IFERROR(INDEX('CAT_ACTIVIDADES'!$B$4:$B$8,MATCH($H739,'CAT_ACTIVIDADES'!$A$4:$A$8,0)),"(sin catálogo)"))</f>
        <v/>
      </c>
      <c r="AA739" s="13">
        <f>IF($J739="","",TODAY()-$J739)</f>
        <v/>
      </c>
      <c r="AB739" s="13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IF($AE739="","",IF((IFERROR(INDEX('ASIGNACIONES'!$J$4:$J$451,MATCH($O739&amp;"|"&amp;$R739&amp;"|"&amp;$AE739,'ASIGNACIONES'!$N$4:$N$451,0)),""))=0,"",IFERROR(INDEX('ASIGNACIONES'!$J$4:$J$451,MATCH($O739&amp;"|"&amp;$R739&amp;"|"&amp;$AE739,'ASIGNACIONES'!$N$4:$N$451,0)),"")))</f>
        <v/>
      </c>
      <c r="AG739" s="14">
        <f>IF($AE739="","",SUMIFS('ORDENES'!$M$4:$M$1203,'ORDENES'!$AE$4:$AE$1203,$AE739,'ORDENES'!$O$4:$O$1203,$O739,'ORDENES'!$R$4:$R$1203,$R739))</f>
        <v/>
      </c>
      <c r="AH739" s="14">
        <f>IF($AG739="","",p_factor_productividad*IFERROR(INDEX('ASIGNACIONES'!$M$4:$M$451,MATCH($O739&amp;"|"&amp;$R739&amp;"|"&amp;$AE739,'ASIGNACIONES'!$N$4:$N$451,0)),0)-$AG739)</f>
        <v/>
      </c>
      <c r="AI739" s="11">
        <f>IF($A739="","",IFERROR(INDEX('2_IMPORTAR_EJECUCION'!$F$9:$F$1208,MATCH($AQ739,'2_IMPORTAR_EJECUCION'!$J$9:$J$1208,0)),0))</f>
        <v/>
      </c>
      <c r="AJ739" s="11">
        <f>IF($A739="","",MAX(0,IFERROR(INDEX('2_IMPORTAR_EJECUCION'!$H$9:$H$1208,MATCH($AQ739,'2_IMPORTAR_EJECUCION'!$J$9:$J$1208,0)),0)-$AI739))</f>
        <v/>
      </c>
      <c r="AK739" s="11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IF($H740="","",IFERROR(INDEX('CAT_ACTIVIDADES'!$B$4:$B$8,MATCH($H740,'CAT_ACTIVIDADES'!$A$4:$A$8,0)),"(sin catálogo)"))</f>
        <v/>
      </c>
      <c r="AA740" s="13">
        <f>IF($J740="","",TODAY()-$J740)</f>
        <v/>
      </c>
      <c r="AB740" s="13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IF($AE740="","",IF((IFERROR(INDEX('ASIGNACIONES'!$J$4:$J$451,MATCH($O740&amp;"|"&amp;$R740&amp;"|"&amp;$AE740,'ASIGNACIONES'!$N$4:$N$451,0)),""))=0,"",IFERROR(INDEX('ASIGNACIONES'!$J$4:$J$451,MATCH($O740&amp;"|"&amp;$R740&amp;"|"&amp;$AE740,'ASIGNACIONES'!$N$4:$N$451,0)),"")))</f>
        <v/>
      </c>
      <c r="AG740" s="14">
        <f>IF($AE740="","",SUMIFS('ORDENES'!$M$4:$M$1203,'ORDENES'!$AE$4:$AE$1203,$AE740,'ORDENES'!$O$4:$O$1203,$O740,'ORDENES'!$R$4:$R$1203,$R740))</f>
        <v/>
      </c>
      <c r="AH740" s="14">
        <f>IF($AG740="","",p_factor_productividad*IFERROR(INDEX('ASIGNACIONES'!$M$4:$M$451,MATCH($O740&amp;"|"&amp;$R740&amp;"|"&amp;$AE740,'ASIGNACIONES'!$N$4:$N$451,0)),0)-$AG740)</f>
        <v/>
      </c>
      <c r="AI740" s="11">
        <f>IF($A740="","",IFERROR(INDEX('2_IMPORTAR_EJECUCION'!$F$9:$F$1208,MATCH($AQ740,'2_IMPORTAR_EJECUCION'!$J$9:$J$1208,0)),0))</f>
        <v/>
      </c>
      <c r="AJ740" s="11">
        <f>IF($A740="","",MAX(0,IFERROR(INDEX('2_IMPORTAR_EJECUCION'!$H$9:$H$1208,MATCH($AQ740,'2_IMPORTAR_EJECUCION'!$J$9:$J$1208,0)),0)-$AI740))</f>
        <v/>
      </c>
      <c r="AK740" s="11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IF($H741="","",IFERROR(INDEX('CAT_ACTIVIDADES'!$B$4:$B$8,MATCH($H741,'CAT_ACTIVIDADES'!$A$4:$A$8,0)),"(sin catálogo)"))</f>
        <v/>
      </c>
      <c r="AA741" s="13">
        <f>IF($J741="","",TODAY()-$J741)</f>
        <v/>
      </c>
      <c r="AB741" s="13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IF($AE741="","",IF((IFERROR(INDEX('ASIGNACIONES'!$J$4:$J$451,MATCH($O741&amp;"|"&amp;$R741&amp;"|"&amp;$AE741,'ASIGNACIONES'!$N$4:$N$451,0)),""))=0,"",IFERROR(INDEX('ASIGNACIONES'!$J$4:$J$451,MATCH($O741&amp;"|"&amp;$R741&amp;"|"&amp;$AE741,'ASIGNACIONES'!$N$4:$N$451,0)),"")))</f>
        <v/>
      </c>
      <c r="AG741" s="14">
        <f>IF($AE741="","",SUMIFS('ORDENES'!$M$4:$M$1203,'ORDENES'!$AE$4:$AE$1203,$AE741,'ORDENES'!$O$4:$O$1203,$O741,'ORDENES'!$R$4:$R$1203,$R741))</f>
        <v/>
      </c>
      <c r="AH741" s="14">
        <f>IF($AG741="","",p_factor_productividad*IFERROR(INDEX('ASIGNACIONES'!$M$4:$M$451,MATCH($O741&amp;"|"&amp;$R741&amp;"|"&amp;$AE741,'ASIGNACIONES'!$N$4:$N$451,0)),0)-$AG741)</f>
        <v/>
      </c>
      <c r="AI741" s="11">
        <f>IF($A741="","",IFERROR(INDEX('2_IMPORTAR_EJECUCION'!$F$9:$F$1208,MATCH($AQ741,'2_IMPORTAR_EJECUCION'!$J$9:$J$1208,0)),0))</f>
        <v/>
      </c>
      <c r="AJ741" s="11">
        <f>IF($A741="","",MAX(0,IFERROR(INDEX('2_IMPORTAR_EJECUCION'!$H$9:$H$1208,MATCH($AQ741,'2_IMPORTAR_EJECUCION'!$J$9:$J$1208,0)),0)-$AI741))</f>
        <v/>
      </c>
      <c r="AK741" s="11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IF($H742="","",IFERROR(INDEX('CAT_ACTIVIDADES'!$B$4:$B$8,MATCH($H742,'CAT_ACTIVIDADES'!$A$4:$A$8,0)),"(sin catálogo)"))</f>
        <v/>
      </c>
      <c r="AA742" s="13">
        <f>IF($J742="","",TODAY()-$J742)</f>
        <v/>
      </c>
      <c r="AB742" s="13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IF($AE742="","",IF((IFERROR(INDEX('ASIGNACIONES'!$J$4:$J$451,MATCH($O742&amp;"|"&amp;$R742&amp;"|"&amp;$AE742,'ASIGNACIONES'!$N$4:$N$451,0)),""))=0,"",IFERROR(INDEX('ASIGNACIONES'!$J$4:$J$451,MATCH($O742&amp;"|"&amp;$R742&amp;"|"&amp;$AE742,'ASIGNACIONES'!$N$4:$N$451,0)),"")))</f>
        <v/>
      </c>
      <c r="AG742" s="14">
        <f>IF($AE742="","",SUMIFS('ORDENES'!$M$4:$M$1203,'ORDENES'!$AE$4:$AE$1203,$AE742,'ORDENES'!$O$4:$O$1203,$O742,'ORDENES'!$R$4:$R$1203,$R742))</f>
        <v/>
      </c>
      <c r="AH742" s="14">
        <f>IF($AG742="","",p_factor_productividad*IFERROR(INDEX('ASIGNACIONES'!$M$4:$M$451,MATCH($O742&amp;"|"&amp;$R742&amp;"|"&amp;$AE742,'ASIGNACIONES'!$N$4:$N$451,0)),0)-$AG742)</f>
        <v/>
      </c>
      <c r="AI742" s="11">
        <f>IF($A742="","",IFERROR(INDEX('2_IMPORTAR_EJECUCION'!$F$9:$F$1208,MATCH($AQ742,'2_IMPORTAR_EJECUCION'!$J$9:$J$1208,0)),0))</f>
        <v/>
      </c>
      <c r="AJ742" s="11">
        <f>IF($A742="","",MAX(0,IFERROR(INDEX('2_IMPORTAR_EJECUCION'!$H$9:$H$1208,MATCH($AQ742,'2_IMPORTAR_EJECUCION'!$J$9:$J$1208,0)),0)-$AI742))</f>
        <v/>
      </c>
      <c r="AK742" s="11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IF($H743="","",IFERROR(INDEX('CAT_ACTIVIDADES'!$B$4:$B$8,MATCH($H743,'CAT_ACTIVIDADES'!$A$4:$A$8,0)),"(sin catálogo)"))</f>
        <v/>
      </c>
      <c r="AA743" s="13">
        <f>IF($J743="","",TODAY()-$J743)</f>
        <v/>
      </c>
      <c r="AB743" s="13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IF($AE743="","",IF((IFERROR(INDEX('ASIGNACIONES'!$J$4:$J$451,MATCH($O743&amp;"|"&amp;$R743&amp;"|"&amp;$AE743,'ASIGNACIONES'!$N$4:$N$451,0)),""))=0,"",IFERROR(INDEX('ASIGNACIONES'!$J$4:$J$451,MATCH($O743&amp;"|"&amp;$R743&amp;"|"&amp;$AE743,'ASIGNACIONES'!$N$4:$N$451,0)),"")))</f>
        <v/>
      </c>
      <c r="AG743" s="14">
        <f>IF($AE743="","",SUMIFS('ORDENES'!$M$4:$M$1203,'ORDENES'!$AE$4:$AE$1203,$AE743,'ORDENES'!$O$4:$O$1203,$O743,'ORDENES'!$R$4:$R$1203,$R743))</f>
        <v/>
      </c>
      <c r="AH743" s="14">
        <f>IF($AG743="","",p_factor_productividad*IFERROR(INDEX('ASIGNACIONES'!$M$4:$M$451,MATCH($O743&amp;"|"&amp;$R743&amp;"|"&amp;$AE743,'ASIGNACIONES'!$N$4:$N$451,0)),0)-$AG743)</f>
        <v/>
      </c>
      <c r="AI743" s="11">
        <f>IF($A743="","",IFERROR(INDEX('2_IMPORTAR_EJECUCION'!$F$9:$F$1208,MATCH($AQ743,'2_IMPORTAR_EJECUCION'!$J$9:$J$1208,0)),0))</f>
        <v/>
      </c>
      <c r="AJ743" s="11">
        <f>IF($A743="","",MAX(0,IFERROR(INDEX('2_IMPORTAR_EJECUCION'!$H$9:$H$1208,MATCH($AQ743,'2_IMPORTAR_EJECUCION'!$J$9:$J$1208,0)),0)-$AI743))</f>
        <v/>
      </c>
      <c r="AK743" s="11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IF($H744="","",IFERROR(INDEX('CAT_ACTIVIDADES'!$B$4:$B$8,MATCH($H744,'CAT_ACTIVIDADES'!$A$4:$A$8,0)),"(sin catálogo)"))</f>
        <v/>
      </c>
      <c r="AA744" s="13">
        <f>IF($J744="","",TODAY()-$J744)</f>
        <v/>
      </c>
      <c r="AB744" s="13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IF($AE744="","",IF((IFERROR(INDEX('ASIGNACIONES'!$J$4:$J$451,MATCH($O744&amp;"|"&amp;$R744&amp;"|"&amp;$AE744,'ASIGNACIONES'!$N$4:$N$451,0)),""))=0,"",IFERROR(INDEX('ASIGNACIONES'!$J$4:$J$451,MATCH($O744&amp;"|"&amp;$R744&amp;"|"&amp;$AE744,'ASIGNACIONES'!$N$4:$N$451,0)),"")))</f>
        <v/>
      </c>
      <c r="AG744" s="14">
        <f>IF($AE744="","",SUMIFS('ORDENES'!$M$4:$M$1203,'ORDENES'!$AE$4:$AE$1203,$AE744,'ORDENES'!$O$4:$O$1203,$O744,'ORDENES'!$R$4:$R$1203,$R744))</f>
        <v/>
      </c>
      <c r="AH744" s="14">
        <f>IF($AG744="","",p_factor_productividad*IFERROR(INDEX('ASIGNACIONES'!$M$4:$M$451,MATCH($O744&amp;"|"&amp;$R744&amp;"|"&amp;$AE744,'ASIGNACIONES'!$N$4:$N$451,0)),0)-$AG744)</f>
        <v/>
      </c>
      <c r="AI744" s="11">
        <f>IF($A744="","",IFERROR(INDEX('2_IMPORTAR_EJECUCION'!$F$9:$F$1208,MATCH($AQ744,'2_IMPORTAR_EJECUCION'!$J$9:$J$1208,0)),0))</f>
        <v/>
      </c>
      <c r="AJ744" s="11">
        <f>IF($A744="","",MAX(0,IFERROR(INDEX('2_IMPORTAR_EJECUCION'!$H$9:$H$1208,MATCH($AQ744,'2_IMPORTAR_EJECUCION'!$J$9:$J$1208,0)),0)-$AI744))</f>
        <v/>
      </c>
      <c r="AK744" s="11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IF($H745="","",IFERROR(INDEX('CAT_ACTIVIDADES'!$B$4:$B$8,MATCH($H745,'CAT_ACTIVIDADES'!$A$4:$A$8,0)),"(sin catálogo)"))</f>
        <v/>
      </c>
      <c r="AA745" s="13">
        <f>IF($J745="","",TODAY()-$J745)</f>
        <v/>
      </c>
      <c r="AB745" s="13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IF($AE745="","",IF((IFERROR(INDEX('ASIGNACIONES'!$J$4:$J$451,MATCH($O745&amp;"|"&amp;$R745&amp;"|"&amp;$AE745,'ASIGNACIONES'!$N$4:$N$451,0)),""))=0,"",IFERROR(INDEX('ASIGNACIONES'!$J$4:$J$451,MATCH($O745&amp;"|"&amp;$R745&amp;"|"&amp;$AE745,'ASIGNACIONES'!$N$4:$N$451,0)),"")))</f>
        <v/>
      </c>
      <c r="AG745" s="14">
        <f>IF($AE745="","",SUMIFS('ORDENES'!$M$4:$M$1203,'ORDENES'!$AE$4:$AE$1203,$AE745,'ORDENES'!$O$4:$O$1203,$O745,'ORDENES'!$R$4:$R$1203,$R745))</f>
        <v/>
      </c>
      <c r="AH745" s="14">
        <f>IF($AG745="","",p_factor_productividad*IFERROR(INDEX('ASIGNACIONES'!$M$4:$M$451,MATCH($O745&amp;"|"&amp;$R745&amp;"|"&amp;$AE745,'ASIGNACIONES'!$N$4:$N$451,0)),0)-$AG745)</f>
        <v/>
      </c>
      <c r="AI745" s="11">
        <f>IF($A745="","",IFERROR(INDEX('2_IMPORTAR_EJECUCION'!$F$9:$F$1208,MATCH($AQ745,'2_IMPORTAR_EJECUCION'!$J$9:$J$1208,0)),0))</f>
        <v/>
      </c>
      <c r="AJ745" s="11">
        <f>IF($A745="","",MAX(0,IFERROR(INDEX('2_IMPORTAR_EJECUCION'!$H$9:$H$1208,MATCH($AQ745,'2_IMPORTAR_EJECUCION'!$J$9:$J$1208,0)),0)-$AI745))</f>
        <v/>
      </c>
      <c r="AK745" s="11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IF($H746="","",IFERROR(INDEX('CAT_ACTIVIDADES'!$B$4:$B$8,MATCH($H746,'CAT_ACTIVIDADES'!$A$4:$A$8,0)),"(sin catálogo)"))</f>
        <v/>
      </c>
      <c r="AA746" s="13">
        <f>IF($J746="","",TODAY()-$J746)</f>
        <v/>
      </c>
      <c r="AB746" s="13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IF($AE746="","",IF((IFERROR(INDEX('ASIGNACIONES'!$J$4:$J$451,MATCH($O746&amp;"|"&amp;$R746&amp;"|"&amp;$AE746,'ASIGNACIONES'!$N$4:$N$451,0)),""))=0,"",IFERROR(INDEX('ASIGNACIONES'!$J$4:$J$451,MATCH($O746&amp;"|"&amp;$R746&amp;"|"&amp;$AE746,'ASIGNACIONES'!$N$4:$N$451,0)),"")))</f>
        <v/>
      </c>
      <c r="AG746" s="14">
        <f>IF($AE746="","",SUMIFS('ORDENES'!$M$4:$M$1203,'ORDENES'!$AE$4:$AE$1203,$AE746,'ORDENES'!$O$4:$O$1203,$O746,'ORDENES'!$R$4:$R$1203,$R746))</f>
        <v/>
      </c>
      <c r="AH746" s="14">
        <f>IF($AG746="","",p_factor_productividad*IFERROR(INDEX('ASIGNACIONES'!$M$4:$M$451,MATCH($O746&amp;"|"&amp;$R746&amp;"|"&amp;$AE746,'ASIGNACIONES'!$N$4:$N$451,0)),0)-$AG746)</f>
        <v/>
      </c>
      <c r="AI746" s="11">
        <f>IF($A746="","",IFERROR(INDEX('2_IMPORTAR_EJECUCION'!$F$9:$F$1208,MATCH($AQ746,'2_IMPORTAR_EJECUCION'!$J$9:$J$1208,0)),0))</f>
        <v/>
      </c>
      <c r="AJ746" s="11">
        <f>IF($A746="","",MAX(0,IFERROR(INDEX('2_IMPORTAR_EJECUCION'!$H$9:$H$1208,MATCH($AQ746,'2_IMPORTAR_EJECUCION'!$J$9:$J$1208,0)),0)-$AI746))</f>
        <v/>
      </c>
      <c r="AK746" s="11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IF($H747="","",IFERROR(INDEX('CAT_ACTIVIDADES'!$B$4:$B$8,MATCH($H747,'CAT_ACTIVIDADES'!$A$4:$A$8,0)),"(sin catálogo)"))</f>
        <v/>
      </c>
      <c r="AA747" s="13">
        <f>IF($J747="","",TODAY()-$J747)</f>
        <v/>
      </c>
      <c r="AB747" s="13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IF($AE747="","",IF((IFERROR(INDEX('ASIGNACIONES'!$J$4:$J$451,MATCH($O747&amp;"|"&amp;$R747&amp;"|"&amp;$AE747,'ASIGNACIONES'!$N$4:$N$451,0)),""))=0,"",IFERROR(INDEX('ASIGNACIONES'!$J$4:$J$451,MATCH($O747&amp;"|"&amp;$R747&amp;"|"&amp;$AE747,'ASIGNACIONES'!$N$4:$N$451,0)),"")))</f>
        <v/>
      </c>
      <c r="AG747" s="14">
        <f>IF($AE747="","",SUMIFS('ORDENES'!$M$4:$M$1203,'ORDENES'!$AE$4:$AE$1203,$AE747,'ORDENES'!$O$4:$O$1203,$O747,'ORDENES'!$R$4:$R$1203,$R747))</f>
        <v/>
      </c>
      <c r="AH747" s="14">
        <f>IF($AG747="","",p_factor_productividad*IFERROR(INDEX('ASIGNACIONES'!$M$4:$M$451,MATCH($O747&amp;"|"&amp;$R747&amp;"|"&amp;$AE747,'ASIGNACIONES'!$N$4:$N$451,0)),0)-$AG747)</f>
        <v/>
      </c>
      <c r="AI747" s="11">
        <f>IF($A747="","",IFERROR(INDEX('2_IMPORTAR_EJECUCION'!$F$9:$F$1208,MATCH($AQ747,'2_IMPORTAR_EJECUCION'!$J$9:$J$1208,0)),0))</f>
        <v/>
      </c>
      <c r="AJ747" s="11">
        <f>IF($A747="","",MAX(0,IFERROR(INDEX('2_IMPORTAR_EJECUCION'!$H$9:$H$1208,MATCH($AQ747,'2_IMPORTAR_EJECUCION'!$J$9:$J$1208,0)),0)-$AI747))</f>
        <v/>
      </c>
      <c r="AK747" s="11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IF($H748="","",IFERROR(INDEX('CAT_ACTIVIDADES'!$B$4:$B$8,MATCH($H748,'CAT_ACTIVIDADES'!$A$4:$A$8,0)),"(sin catálogo)"))</f>
        <v/>
      </c>
      <c r="AA748" s="13">
        <f>IF($J748="","",TODAY()-$J748)</f>
        <v/>
      </c>
      <c r="AB748" s="13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IF($AE748="","",IF((IFERROR(INDEX('ASIGNACIONES'!$J$4:$J$451,MATCH($O748&amp;"|"&amp;$R748&amp;"|"&amp;$AE748,'ASIGNACIONES'!$N$4:$N$451,0)),""))=0,"",IFERROR(INDEX('ASIGNACIONES'!$J$4:$J$451,MATCH($O748&amp;"|"&amp;$R748&amp;"|"&amp;$AE748,'ASIGNACIONES'!$N$4:$N$451,0)),"")))</f>
        <v/>
      </c>
      <c r="AG748" s="14">
        <f>IF($AE748="","",SUMIFS('ORDENES'!$M$4:$M$1203,'ORDENES'!$AE$4:$AE$1203,$AE748,'ORDENES'!$O$4:$O$1203,$O748,'ORDENES'!$R$4:$R$1203,$R748))</f>
        <v/>
      </c>
      <c r="AH748" s="14">
        <f>IF($AG748="","",p_factor_productividad*IFERROR(INDEX('ASIGNACIONES'!$M$4:$M$451,MATCH($O748&amp;"|"&amp;$R748&amp;"|"&amp;$AE748,'ASIGNACIONES'!$N$4:$N$451,0)),0)-$AG748)</f>
        <v/>
      </c>
      <c r="AI748" s="11">
        <f>IF($A748="","",IFERROR(INDEX('2_IMPORTAR_EJECUCION'!$F$9:$F$1208,MATCH($AQ748,'2_IMPORTAR_EJECUCION'!$J$9:$J$1208,0)),0))</f>
        <v/>
      </c>
      <c r="AJ748" s="11">
        <f>IF($A748="","",MAX(0,IFERROR(INDEX('2_IMPORTAR_EJECUCION'!$H$9:$H$1208,MATCH($AQ748,'2_IMPORTAR_EJECUCION'!$J$9:$J$1208,0)),0)-$AI748))</f>
        <v/>
      </c>
      <c r="AK748" s="11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IF($H749="","",IFERROR(INDEX('CAT_ACTIVIDADES'!$B$4:$B$8,MATCH($H749,'CAT_ACTIVIDADES'!$A$4:$A$8,0)),"(sin catálogo)"))</f>
        <v/>
      </c>
      <c r="AA749" s="13">
        <f>IF($J749="","",TODAY()-$J749)</f>
        <v/>
      </c>
      <c r="AB749" s="13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IF($AE749="","",IF((IFERROR(INDEX('ASIGNACIONES'!$J$4:$J$451,MATCH($O749&amp;"|"&amp;$R749&amp;"|"&amp;$AE749,'ASIGNACIONES'!$N$4:$N$451,0)),""))=0,"",IFERROR(INDEX('ASIGNACIONES'!$J$4:$J$451,MATCH($O749&amp;"|"&amp;$R749&amp;"|"&amp;$AE749,'ASIGNACIONES'!$N$4:$N$451,0)),"")))</f>
        <v/>
      </c>
      <c r="AG749" s="14">
        <f>IF($AE749="","",SUMIFS('ORDENES'!$M$4:$M$1203,'ORDENES'!$AE$4:$AE$1203,$AE749,'ORDENES'!$O$4:$O$1203,$O749,'ORDENES'!$R$4:$R$1203,$R749))</f>
        <v/>
      </c>
      <c r="AH749" s="14">
        <f>IF($AG749="","",p_factor_productividad*IFERROR(INDEX('ASIGNACIONES'!$M$4:$M$451,MATCH($O749&amp;"|"&amp;$R749&amp;"|"&amp;$AE749,'ASIGNACIONES'!$N$4:$N$451,0)),0)-$AG749)</f>
        <v/>
      </c>
      <c r="AI749" s="11">
        <f>IF($A749="","",IFERROR(INDEX('2_IMPORTAR_EJECUCION'!$F$9:$F$1208,MATCH($AQ749,'2_IMPORTAR_EJECUCION'!$J$9:$J$1208,0)),0))</f>
        <v/>
      </c>
      <c r="AJ749" s="11">
        <f>IF($A749="","",MAX(0,IFERROR(INDEX('2_IMPORTAR_EJECUCION'!$H$9:$H$1208,MATCH($AQ749,'2_IMPORTAR_EJECUCION'!$J$9:$J$1208,0)),0)-$AI749))</f>
        <v/>
      </c>
      <c r="AK749" s="11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IF($H750="","",IFERROR(INDEX('CAT_ACTIVIDADES'!$B$4:$B$8,MATCH($H750,'CAT_ACTIVIDADES'!$A$4:$A$8,0)),"(sin catálogo)"))</f>
        <v/>
      </c>
      <c r="AA750" s="13">
        <f>IF($J750="","",TODAY()-$J750)</f>
        <v/>
      </c>
      <c r="AB750" s="13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IF($AE750="","",IF((IFERROR(INDEX('ASIGNACIONES'!$J$4:$J$451,MATCH($O750&amp;"|"&amp;$R750&amp;"|"&amp;$AE750,'ASIGNACIONES'!$N$4:$N$451,0)),""))=0,"",IFERROR(INDEX('ASIGNACIONES'!$J$4:$J$451,MATCH($O750&amp;"|"&amp;$R750&amp;"|"&amp;$AE750,'ASIGNACIONES'!$N$4:$N$451,0)),"")))</f>
        <v/>
      </c>
      <c r="AG750" s="14">
        <f>IF($AE750="","",SUMIFS('ORDENES'!$M$4:$M$1203,'ORDENES'!$AE$4:$AE$1203,$AE750,'ORDENES'!$O$4:$O$1203,$O750,'ORDENES'!$R$4:$R$1203,$R750))</f>
        <v/>
      </c>
      <c r="AH750" s="14">
        <f>IF($AG750="","",p_factor_productividad*IFERROR(INDEX('ASIGNACIONES'!$M$4:$M$451,MATCH($O750&amp;"|"&amp;$R750&amp;"|"&amp;$AE750,'ASIGNACIONES'!$N$4:$N$451,0)),0)-$AG750)</f>
        <v/>
      </c>
      <c r="AI750" s="11">
        <f>IF($A750="","",IFERROR(INDEX('2_IMPORTAR_EJECUCION'!$F$9:$F$1208,MATCH($AQ750,'2_IMPORTAR_EJECUCION'!$J$9:$J$1208,0)),0))</f>
        <v/>
      </c>
      <c r="AJ750" s="11">
        <f>IF($A750="","",MAX(0,IFERROR(INDEX('2_IMPORTAR_EJECUCION'!$H$9:$H$1208,MATCH($AQ750,'2_IMPORTAR_EJECUCION'!$J$9:$J$1208,0)),0)-$AI750))</f>
        <v/>
      </c>
      <c r="AK750" s="11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IF($H751="","",IFERROR(INDEX('CAT_ACTIVIDADES'!$B$4:$B$8,MATCH($H751,'CAT_ACTIVIDADES'!$A$4:$A$8,0)),"(sin catálogo)"))</f>
        <v/>
      </c>
      <c r="AA751" s="13">
        <f>IF($J751="","",TODAY()-$J751)</f>
        <v/>
      </c>
      <c r="AB751" s="13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IF($AE751="","",IF((IFERROR(INDEX('ASIGNACIONES'!$J$4:$J$451,MATCH($O751&amp;"|"&amp;$R751&amp;"|"&amp;$AE751,'ASIGNACIONES'!$N$4:$N$451,0)),""))=0,"",IFERROR(INDEX('ASIGNACIONES'!$J$4:$J$451,MATCH($O751&amp;"|"&amp;$R751&amp;"|"&amp;$AE751,'ASIGNACIONES'!$N$4:$N$451,0)),"")))</f>
        <v/>
      </c>
      <c r="AG751" s="14">
        <f>IF($AE751="","",SUMIFS('ORDENES'!$M$4:$M$1203,'ORDENES'!$AE$4:$AE$1203,$AE751,'ORDENES'!$O$4:$O$1203,$O751,'ORDENES'!$R$4:$R$1203,$R751))</f>
        <v/>
      </c>
      <c r="AH751" s="14">
        <f>IF($AG751="","",p_factor_productividad*IFERROR(INDEX('ASIGNACIONES'!$M$4:$M$451,MATCH($O751&amp;"|"&amp;$R751&amp;"|"&amp;$AE751,'ASIGNACIONES'!$N$4:$N$451,0)),0)-$AG751)</f>
        <v/>
      </c>
      <c r="AI751" s="11">
        <f>IF($A751="","",IFERROR(INDEX('2_IMPORTAR_EJECUCION'!$F$9:$F$1208,MATCH($AQ751,'2_IMPORTAR_EJECUCION'!$J$9:$J$1208,0)),0))</f>
        <v/>
      </c>
      <c r="AJ751" s="11">
        <f>IF($A751="","",MAX(0,IFERROR(INDEX('2_IMPORTAR_EJECUCION'!$H$9:$H$1208,MATCH($AQ751,'2_IMPORTAR_EJECUCION'!$J$9:$J$1208,0)),0)-$AI751))</f>
        <v/>
      </c>
      <c r="AK751" s="11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IF($H752="","",IFERROR(INDEX('CAT_ACTIVIDADES'!$B$4:$B$8,MATCH($H752,'CAT_ACTIVIDADES'!$A$4:$A$8,0)),"(sin catálogo)"))</f>
        <v/>
      </c>
      <c r="AA752" s="13">
        <f>IF($J752="","",TODAY()-$J752)</f>
        <v/>
      </c>
      <c r="AB752" s="13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IF($AE752="","",IF((IFERROR(INDEX('ASIGNACIONES'!$J$4:$J$451,MATCH($O752&amp;"|"&amp;$R752&amp;"|"&amp;$AE752,'ASIGNACIONES'!$N$4:$N$451,0)),""))=0,"",IFERROR(INDEX('ASIGNACIONES'!$J$4:$J$451,MATCH($O752&amp;"|"&amp;$R752&amp;"|"&amp;$AE752,'ASIGNACIONES'!$N$4:$N$451,0)),"")))</f>
        <v/>
      </c>
      <c r="AG752" s="14">
        <f>IF($AE752="","",SUMIFS('ORDENES'!$M$4:$M$1203,'ORDENES'!$AE$4:$AE$1203,$AE752,'ORDENES'!$O$4:$O$1203,$O752,'ORDENES'!$R$4:$R$1203,$R752))</f>
        <v/>
      </c>
      <c r="AH752" s="14">
        <f>IF($AG752="","",p_factor_productividad*IFERROR(INDEX('ASIGNACIONES'!$M$4:$M$451,MATCH($O752&amp;"|"&amp;$R752&amp;"|"&amp;$AE752,'ASIGNACIONES'!$N$4:$N$451,0)),0)-$AG752)</f>
        <v/>
      </c>
      <c r="AI752" s="11">
        <f>IF($A752="","",IFERROR(INDEX('2_IMPORTAR_EJECUCION'!$F$9:$F$1208,MATCH($AQ752,'2_IMPORTAR_EJECUCION'!$J$9:$J$1208,0)),0))</f>
        <v/>
      </c>
      <c r="AJ752" s="11">
        <f>IF($A752="","",MAX(0,IFERROR(INDEX('2_IMPORTAR_EJECUCION'!$H$9:$H$1208,MATCH($AQ752,'2_IMPORTAR_EJECUCION'!$J$9:$J$1208,0)),0)-$AI752))</f>
        <v/>
      </c>
      <c r="AK752" s="11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IF($H753="","",IFERROR(INDEX('CAT_ACTIVIDADES'!$B$4:$B$8,MATCH($H753,'CAT_ACTIVIDADES'!$A$4:$A$8,0)),"(sin catálogo)"))</f>
        <v/>
      </c>
      <c r="AA753" s="13">
        <f>IF($J753="","",TODAY()-$J753)</f>
        <v/>
      </c>
      <c r="AB753" s="13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IF($AE753="","",IF((IFERROR(INDEX('ASIGNACIONES'!$J$4:$J$451,MATCH($O753&amp;"|"&amp;$R753&amp;"|"&amp;$AE753,'ASIGNACIONES'!$N$4:$N$451,0)),""))=0,"",IFERROR(INDEX('ASIGNACIONES'!$J$4:$J$451,MATCH($O753&amp;"|"&amp;$R753&amp;"|"&amp;$AE753,'ASIGNACIONES'!$N$4:$N$451,0)),"")))</f>
        <v/>
      </c>
      <c r="AG753" s="14">
        <f>IF($AE753="","",SUMIFS('ORDENES'!$M$4:$M$1203,'ORDENES'!$AE$4:$AE$1203,$AE753,'ORDENES'!$O$4:$O$1203,$O753,'ORDENES'!$R$4:$R$1203,$R753))</f>
        <v/>
      </c>
      <c r="AH753" s="14">
        <f>IF($AG753="","",p_factor_productividad*IFERROR(INDEX('ASIGNACIONES'!$M$4:$M$451,MATCH($O753&amp;"|"&amp;$R753&amp;"|"&amp;$AE753,'ASIGNACIONES'!$N$4:$N$451,0)),0)-$AG753)</f>
        <v/>
      </c>
      <c r="AI753" s="11">
        <f>IF($A753="","",IFERROR(INDEX('2_IMPORTAR_EJECUCION'!$F$9:$F$1208,MATCH($AQ753,'2_IMPORTAR_EJECUCION'!$J$9:$J$1208,0)),0))</f>
        <v/>
      </c>
      <c r="AJ753" s="11">
        <f>IF($A753="","",MAX(0,IFERROR(INDEX('2_IMPORTAR_EJECUCION'!$H$9:$H$1208,MATCH($AQ753,'2_IMPORTAR_EJECUCION'!$J$9:$J$1208,0)),0)-$AI753))</f>
        <v/>
      </c>
      <c r="AK753" s="11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IF($H754="","",IFERROR(INDEX('CAT_ACTIVIDADES'!$B$4:$B$8,MATCH($H754,'CAT_ACTIVIDADES'!$A$4:$A$8,0)),"(sin catálogo)"))</f>
        <v/>
      </c>
      <c r="AA754" s="13">
        <f>IF($J754="","",TODAY()-$J754)</f>
        <v/>
      </c>
      <c r="AB754" s="13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IF($AE754="","",IF((IFERROR(INDEX('ASIGNACIONES'!$J$4:$J$451,MATCH($O754&amp;"|"&amp;$R754&amp;"|"&amp;$AE754,'ASIGNACIONES'!$N$4:$N$451,0)),""))=0,"",IFERROR(INDEX('ASIGNACIONES'!$J$4:$J$451,MATCH($O754&amp;"|"&amp;$R754&amp;"|"&amp;$AE754,'ASIGNACIONES'!$N$4:$N$451,0)),"")))</f>
        <v/>
      </c>
      <c r="AG754" s="14">
        <f>IF($AE754="","",SUMIFS('ORDENES'!$M$4:$M$1203,'ORDENES'!$AE$4:$AE$1203,$AE754,'ORDENES'!$O$4:$O$1203,$O754,'ORDENES'!$R$4:$R$1203,$R754))</f>
        <v/>
      </c>
      <c r="AH754" s="14">
        <f>IF($AG754="","",p_factor_productividad*IFERROR(INDEX('ASIGNACIONES'!$M$4:$M$451,MATCH($O754&amp;"|"&amp;$R754&amp;"|"&amp;$AE754,'ASIGNACIONES'!$N$4:$N$451,0)),0)-$AG754)</f>
        <v/>
      </c>
      <c r="AI754" s="11">
        <f>IF($A754="","",IFERROR(INDEX('2_IMPORTAR_EJECUCION'!$F$9:$F$1208,MATCH($AQ754,'2_IMPORTAR_EJECUCION'!$J$9:$J$1208,0)),0))</f>
        <v/>
      </c>
      <c r="AJ754" s="11">
        <f>IF($A754="","",MAX(0,IFERROR(INDEX('2_IMPORTAR_EJECUCION'!$H$9:$H$1208,MATCH($AQ754,'2_IMPORTAR_EJECUCION'!$J$9:$J$1208,0)),0)-$AI754))</f>
        <v/>
      </c>
      <c r="AK754" s="11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IF($H755="","",IFERROR(INDEX('CAT_ACTIVIDADES'!$B$4:$B$8,MATCH($H755,'CAT_ACTIVIDADES'!$A$4:$A$8,0)),"(sin catálogo)"))</f>
        <v/>
      </c>
      <c r="AA755" s="13">
        <f>IF($J755="","",TODAY()-$J755)</f>
        <v/>
      </c>
      <c r="AB755" s="13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IF($AE755="","",IF((IFERROR(INDEX('ASIGNACIONES'!$J$4:$J$451,MATCH($O755&amp;"|"&amp;$R755&amp;"|"&amp;$AE755,'ASIGNACIONES'!$N$4:$N$451,0)),""))=0,"",IFERROR(INDEX('ASIGNACIONES'!$J$4:$J$451,MATCH($O755&amp;"|"&amp;$R755&amp;"|"&amp;$AE755,'ASIGNACIONES'!$N$4:$N$451,0)),"")))</f>
        <v/>
      </c>
      <c r="AG755" s="14">
        <f>IF($AE755="","",SUMIFS('ORDENES'!$M$4:$M$1203,'ORDENES'!$AE$4:$AE$1203,$AE755,'ORDENES'!$O$4:$O$1203,$O755,'ORDENES'!$R$4:$R$1203,$R755))</f>
        <v/>
      </c>
      <c r="AH755" s="14">
        <f>IF($AG755="","",p_factor_productividad*IFERROR(INDEX('ASIGNACIONES'!$M$4:$M$451,MATCH($O755&amp;"|"&amp;$R755&amp;"|"&amp;$AE755,'ASIGNACIONES'!$N$4:$N$451,0)),0)-$AG755)</f>
        <v/>
      </c>
      <c r="AI755" s="11">
        <f>IF($A755="","",IFERROR(INDEX('2_IMPORTAR_EJECUCION'!$F$9:$F$1208,MATCH($AQ755,'2_IMPORTAR_EJECUCION'!$J$9:$J$1208,0)),0))</f>
        <v/>
      </c>
      <c r="AJ755" s="11">
        <f>IF($A755="","",MAX(0,IFERROR(INDEX('2_IMPORTAR_EJECUCION'!$H$9:$H$1208,MATCH($AQ755,'2_IMPORTAR_EJECUCION'!$J$9:$J$1208,0)),0)-$AI755))</f>
        <v/>
      </c>
      <c r="AK755" s="11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IF($H756="","",IFERROR(INDEX('CAT_ACTIVIDADES'!$B$4:$B$8,MATCH($H756,'CAT_ACTIVIDADES'!$A$4:$A$8,0)),"(sin catálogo)"))</f>
        <v/>
      </c>
      <c r="AA756" s="13">
        <f>IF($J756="","",TODAY()-$J756)</f>
        <v/>
      </c>
      <c r="AB756" s="13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IF($AE756="","",IF((IFERROR(INDEX('ASIGNACIONES'!$J$4:$J$451,MATCH($O756&amp;"|"&amp;$R756&amp;"|"&amp;$AE756,'ASIGNACIONES'!$N$4:$N$451,0)),""))=0,"",IFERROR(INDEX('ASIGNACIONES'!$J$4:$J$451,MATCH($O756&amp;"|"&amp;$R756&amp;"|"&amp;$AE756,'ASIGNACIONES'!$N$4:$N$451,0)),"")))</f>
        <v/>
      </c>
      <c r="AG756" s="14">
        <f>IF($AE756="","",SUMIFS('ORDENES'!$M$4:$M$1203,'ORDENES'!$AE$4:$AE$1203,$AE756,'ORDENES'!$O$4:$O$1203,$O756,'ORDENES'!$R$4:$R$1203,$R756))</f>
        <v/>
      </c>
      <c r="AH756" s="14">
        <f>IF($AG756="","",p_factor_productividad*IFERROR(INDEX('ASIGNACIONES'!$M$4:$M$451,MATCH($O756&amp;"|"&amp;$R756&amp;"|"&amp;$AE756,'ASIGNACIONES'!$N$4:$N$451,0)),0)-$AG756)</f>
        <v/>
      </c>
      <c r="AI756" s="11">
        <f>IF($A756="","",IFERROR(INDEX('2_IMPORTAR_EJECUCION'!$F$9:$F$1208,MATCH($AQ756,'2_IMPORTAR_EJECUCION'!$J$9:$J$1208,0)),0))</f>
        <v/>
      </c>
      <c r="AJ756" s="11">
        <f>IF($A756="","",MAX(0,IFERROR(INDEX('2_IMPORTAR_EJECUCION'!$H$9:$H$1208,MATCH($AQ756,'2_IMPORTAR_EJECUCION'!$J$9:$J$1208,0)),0)-$AI756))</f>
        <v/>
      </c>
      <c r="AK756" s="11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IF($H757="","",IFERROR(INDEX('CAT_ACTIVIDADES'!$B$4:$B$8,MATCH($H757,'CAT_ACTIVIDADES'!$A$4:$A$8,0)),"(sin catálogo)"))</f>
        <v/>
      </c>
      <c r="AA757" s="13">
        <f>IF($J757="","",TODAY()-$J757)</f>
        <v/>
      </c>
      <c r="AB757" s="13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IF($AE757="","",IF((IFERROR(INDEX('ASIGNACIONES'!$J$4:$J$451,MATCH($O757&amp;"|"&amp;$R757&amp;"|"&amp;$AE757,'ASIGNACIONES'!$N$4:$N$451,0)),""))=0,"",IFERROR(INDEX('ASIGNACIONES'!$J$4:$J$451,MATCH($O757&amp;"|"&amp;$R757&amp;"|"&amp;$AE757,'ASIGNACIONES'!$N$4:$N$451,0)),"")))</f>
        <v/>
      </c>
      <c r="AG757" s="14">
        <f>IF($AE757="","",SUMIFS('ORDENES'!$M$4:$M$1203,'ORDENES'!$AE$4:$AE$1203,$AE757,'ORDENES'!$O$4:$O$1203,$O757,'ORDENES'!$R$4:$R$1203,$R757))</f>
        <v/>
      </c>
      <c r="AH757" s="14">
        <f>IF($AG757="","",p_factor_productividad*IFERROR(INDEX('ASIGNACIONES'!$M$4:$M$451,MATCH($O757&amp;"|"&amp;$R757&amp;"|"&amp;$AE757,'ASIGNACIONES'!$N$4:$N$451,0)),0)-$AG757)</f>
        <v/>
      </c>
      <c r="AI757" s="11">
        <f>IF($A757="","",IFERROR(INDEX('2_IMPORTAR_EJECUCION'!$F$9:$F$1208,MATCH($AQ757,'2_IMPORTAR_EJECUCION'!$J$9:$J$1208,0)),0))</f>
        <v/>
      </c>
      <c r="AJ757" s="11">
        <f>IF($A757="","",MAX(0,IFERROR(INDEX('2_IMPORTAR_EJECUCION'!$H$9:$H$1208,MATCH($AQ757,'2_IMPORTAR_EJECUCION'!$J$9:$J$1208,0)),0)-$AI757))</f>
        <v/>
      </c>
      <c r="AK757" s="11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IF($H758="","",IFERROR(INDEX('CAT_ACTIVIDADES'!$B$4:$B$8,MATCH($H758,'CAT_ACTIVIDADES'!$A$4:$A$8,0)),"(sin catálogo)"))</f>
        <v/>
      </c>
      <c r="AA758" s="13">
        <f>IF($J758="","",TODAY()-$J758)</f>
        <v/>
      </c>
      <c r="AB758" s="13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IF($AE758="","",IF((IFERROR(INDEX('ASIGNACIONES'!$J$4:$J$451,MATCH($O758&amp;"|"&amp;$R758&amp;"|"&amp;$AE758,'ASIGNACIONES'!$N$4:$N$451,0)),""))=0,"",IFERROR(INDEX('ASIGNACIONES'!$J$4:$J$451,MATCH($O758&amp;"|"&amp;$R758&amp;"|"&amp;$AE758,'ASIGNACIONES'!$N$4:$N$451,0)),"")))</f>
        <v/>
      </c>
      <c r="AG758" s="14">
        <f>IF($AE758="","",SUMIFS('ORDENES'!$M$4:$M$1203,'ORDENES'!$AE$4:$AE$1203,$AE758,'ORDENES'!$O$4:$O$1203,$O758,'ORDENES'!$R$4:$R$1203,$R758))</f>
        <v/>
      </c>
      <c r="AH758" s="14">
        <f>IF($AG758="","",p_factor_productividad*IFERROR(INDEX('ASIGNACIONES'!$M$4:$M$451,MATCH($O758&amp;"|"&amp;$R758&amp;"|"&amp;$AE758,'ASIGNACIONES'!$N$4:$N$451,0)),0)-$AG758)</f>
        <v/>
      </c>
      <c r="AI758" s="11">
        <f>IF($A758="","",IFERROR(INDEX('2_IMPORTAR_EJECUCION'!$F$9:$F$1208,MATCH($AQ758,'2_IMPORTAR_EJECUCION'!$J$9:$J$1208,0)),0))</f>
        <v/>
      </c>
      <c r="AJ758" s="11">
        <f>IF($A758="","",MAX(0,IFERROR(INDEX('2_IMPORTAR_EJECUCION'!$H$9:$H$1208,MATCH($AQ758,'2_IMPORTAR_EJECUCION'!$J$9:$J$1208,0)),0)-$AI758))</f>
        <v/>
      </c>
      <c r="AK758" s="11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IF($H759="","",IFERROR(INDEX('CAT_ACTIVIDADES'!$B$4:$B$8,MATCH($H759,'CAT_ACTIVIDADES'!$A$4:$A$8,0)),"(sin catálogo)"))</f>
        <v/>
      </c>
      <c r="AA759" s="13">
        <f>IF($J759="","",TODAY()-$J759)</f>
        <v/>
      </c>
      <c r="AB759" s="13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IF($AE759="","",IF((IFERROR(INDEX('ASIGNACIONES'!$J$4:$J$451,MATCH($O759&amp;"|"&amp;$R759&amp;"|"&amp;$AE759,'ASIGNACIONES'!$N$4:$N$451,0)),""))=0,"",IFERROR(INDEX('ASIGNACIONES'!$J$4:$J$451,MATCH($O759&amp;"|"&amp;$R759&amp;"|"&amp;$AE759,'ASIGNACIONES'!$N$4:$N$451,0)),"")))</f>
        <v/>
      </c>
      <c r="AG759" s="14">
        <f>IF($AE759="","",SUMIFS('ORDENES'!$M$4:$M$1203,'ORDENES'!$AE$4:$AE$1203,$AE759,'ORDENES'!$O$4:$O$1203,$O759,'ORDENES'!$R$4:$R$1203,$R759))</f>
        <v/>
      </c>
      <c r="AH759" s="14">
        <f>IF($AG759="","",p_factor_productividad*IFERROR(INDEX('ASIGNACIONES'!$M$4:$M$451,MATCH($O759&amp;"|"&amp;$R759&amp;"|"&amp;$AE759,'ASIGNACIONES'!$N$4:$N$451,0)),0)-$AG759)</f>
        <v/>
      </c>
      <c r="AI759" s="11">
        <f>IF($A759="","",IFERROR(INDEX('2_IMPORTAR_EJECUCION'!$F$9:$F$1208,MATCH($AQ759,'2_IMPORTAR_EJECUCION'!$J$9:$J$1208,0)),0))</f>
        <v/>
      </c>
      <c r="AJ759" s="11">
        <f>IF($A759="","",MAX(0,IFERROR(INDEX('2_IMPORTAR_EJECUCION'!$H$9:$H$1208,MATCH($AQ759,'2_IMPORTAR_EJECUCION'!$J$9:$J$1208,0)),0)-$AI759))</f>
        <v/>
      </c>
      <c r="AK759" s="11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IF($H760="","",IFERROR(INDEX('CAT_ACTIVIDADES'!$B$4:$B$8,MATCH($H760,'CAT_ACTIVIDADES'!$A$4:$A$8,0)),"(sin catálogo)"))</f>
        <v/>
      </c>
      <c r="AA760" s="13">
        <f>IF($J760="","",TODAY()-$J760)</f>
        <v/>
      </c>
      <c r="AB760" s="13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IF($AE760="","",IF((IFERROR(INDEX('ASIGNACIONES'!$J$4:$J$451,MATCH($O760&amp;"|"&amp;$R760&amp;"|"&amp;$AE760,'ASIGNACIONES'!$N$4:$N$451,0)),""))=0,"",IFERROR(INDEX('ASIGNACIONES'!$J$4:$J$451,MATCH($O760&amp;"|"&amp;$R760&amp;"|"&amp;$AE760,'ASIGNACIONES'!$N$4:$N$451,0)),"")))</f>
        <v/>
      </c>
      <c r="AG760" s="14">
        <f>IF($AE760="","",SUMIFS('ORDENES'!$M$4:$M$1203,'ORDENES'!$AE$4:$AE$1203,$AE760,'ORDENES'!$O$4:$O$1203,$O760,'ORDENES'!$R$4:$R$1203,$R760))</f>
        <v/>
      </c>
      <c r="AH760" s="14">
        <f>IF($AG760="","",p_factor_productividad*IFERROR(INDEX('ASIGNACIONES'!$M$4:$M$451,MATCH($O760&amp;"|"&amp;$R760&amp;"|"&amp;$AE760,'ASIGNACIONES'!$N$4:$N$451,0)),0)-$AG760)</f>
        <v/>
      </c>
      <c r="AI760" s="11">
        <f>IF($A760="","",IFERROR(INDEX('2_IMPORTAR_EJECUCION'!$F$9:$F$1208,MATCH($AQ760,'2_IMPORTAR_EJECUCION'!$J$9:$J$1208,0)),0))</f>
        <v/>
      </c>
      <c r="AJ760" s="11">
        <f>IF($A760="","",MAX(0,IFERROR(INDEX('2_IMPORTAR_EJECUCION'!$H$9:$H$1208,MATCH($AQ760,'2_IMPORTAR_EJECUCION'!$J$9:$J$1208,0)),0)-$AI760))</f>
        <v/>
      </c>
      <c r="AK760" s="11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IF($H761="","",IFERROR(INDEX('CAT_ACTIVIDADES'!$B$4:$B$8,MATCH($H761,'CAT_ACTIVIDADES'!$A$4:$A$8,0)),"(sin catálogo)"))</f>
        <v/>
      </c>
      <c r="AA761" s="13">
        <f>IF($J761="","",TODAY()-$J761)</f>
        <v/>
      </c>
      <c r="AB761" s="13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IF($AE761="","",IF((IFERROR(INDEX('ASIGNACIONES'!$J$4:$J$451,MATCH($O761&amp;"|"&amp;$R761&amp;"|"&amp;$AE761,'ASIGNACIONES'!$N$4:$N$451,0)),""))=0,"",IFERROR(INDEX('ASIGNACIONES'!$J$4:$J$451,MATCH($O761&amp;"|"&amp;$R761&amp;"|"&amp;$AE761,'ASIGNACIONES'!$N$4:$N$451,0)),"")))</f>
        <v/>
      </c>
      <c r="AG761" s="14">
        <f>IF($AE761="","",SUMIFS('ORDENES'!$M$4:$M$1203,'ORDENES'!$AE$4:$AE$1203,$AE761,'ORDENES'!$O$4:$O$1203,$O761,'ORDENES'!$R$4:$R$1203,$R761))</f>
        <v/>
      </c>
      <c r="AH761" s="14">
        <f>IF($AG761="","",p_factor_productividad*IFERROR(INDEX('ASIGNACIONES'!$M$4:$M$451,MATCH($O761&amp;"|"&amp;$R761&amp;"|"&amp;$AE761,'ASIGNACIONES'!$N$4:$N$451,0)),0)-$AG761)</f>
        <v/>
      </c>
      <c r="AI761" s="11">
        <f>IF($A761="","",IFERROR(INDEX('2_IMPORTAR_EJECUCION'!$F$9:$F$1208,MATCH($AQ761,'2_IMPORTAR_EJECUCION'!$J$9:$J$1208,0)),0))</f>
        <v/>
      </c>
      <c r="AJ761" s="11">
        <f>IF($A761="","",MAX(0,IFERROR(INDEX('2_IMPORTAR_EJECUCION'!$H$9:$H$1208,MATCH($AQ761,'2_IMPORTAR_EJECUCION'!$J$9:$J$1208,0)),0)-$AI761))</f>
        <v/>
      </c>
      <c r="AK761" s="11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IF($H762="","",IFERROR(INDEX('CAT_ACTIVIDADES'!$B$4:$B$8,MATCH($H762,'CAT_ACTIVIDADES'!$A$4:$A$8,0)),"(sin catálogo)"))</f>
        <v/>
      </c>
      <c r="AA762" s="13">
        <f>IF($J762="","",TODAY()-$J762)</f>
        <v/>
      </c>
      <c r="AB762" s="13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IF($AE762="","",IF((IFERROR(INDEX('ASIGNACIONES'!$J$4:$J$451,MATCH($O762&amp;"|"&amp;$R762&amp;"|"&amp;$AE762,'ASIGNACIONES'!$N$4:$N$451,0)),""))=0,"",IFERROR(INDEX('ASIGNACIONES'!$J$4:$J$451,MATCH($O762&amp;"|"&amp;$R762&amp;"|"&amp;$AE762,'ASIGNACIONES'!$N$4:$N$451,0)),"")))</f>
        <v/>
      </c>
      <c r="AG762" s="14">
        <f>IF($AE762="","",SUMIFS('ORDENES'!$M$4:$M$1203,'ORDENES'!$AE$4:$AE$1203,$AE762,'ORDENES'!$O$4:$O$1203,$O762,'ORDENES'!$R$4:$R$1203,$R762))</f>
        <v/>
      </c>
      <c r="AH762" s="14">
        <f>IF($AG762="","",p_factor_productividad*IFERROR(INDEX('ASIGNACIONES'!$M$4:$M$451,MATCH($O762&amp;"|"&amp;$R762&amp;"|"&amp;$AE762,'ASIGNACIONES'!$N$4:$N$451,0)),0)-$AG762)</f>
        <v/>
      </c>
      <c r="AI762" s="11">
        <f>IF($A762="","",IFERROR(INDEX('2_IMPORTAR_EJECUCION'!$F$9:$F$1208,MATCH($AQ762,'2_IMPORTAR_EJECUCION'!$J$9:$J$1208,0)),0))</f>
        <v/>
      </c>
      <c r="AJ762" s="11">
        <f>IF($A762="","",MAX(0,IFERROR(INDEX('2_IMPORTAR_EJECUCION'!$H$9:$H$1208,MATCH($AQ762,'2_IMPORTAR_EJECUCION'!$J$9:$J$1208,0)),0)-$AI762))</f>
        <v/>
      </c>
      <c r="AK762" s="11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IF($H763="","",IFERROR(INDEX('CAT_ACTIVIDADES'!$B$4:$B$8,MATCH($H763,'CAT_ACTIVIDADES'!$A$4:$A$8,0)),"(sin catálogo)"))</f>
        <v/>
      </c>
      <c r="AA763" s="13">
        <f>IF($J763="","",TODAY()-$J763)</f>
        <v/>
      </c>
      <c r="AB763" s="13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IF($AE763="","",IF((IFERROR(INDEX('ASIGNACIONES'!$J$4:$J$451,MATCH($O763&amp;"|"&amp;$R763&amp;"|"&amp;$AE763,'ASIGNACIONES'!$N$4:$N$451,0)),""))=0,"",IFERROR(INDEX('ASIGNACIONES'!$J$4:$J$451,MATCH($O763&amp;"|"&amp;$R763&amp;"|"&amp;$AE763,'ASIGNACIONES'!$N$4:$N$451,0)),"")))</f>
        <v/>
      </c>
      <c r="AG763" s="14">
        <f>IF($AE763="","",SUMIFS('ORDENES'!$M$4:$M$1203,'ORDENES'!$AE$4:$AE$1203,$AE763,'ORDENES'!$O$4:$O$1203,$O763,'ORDENES'!$R$4:$R$1203,$R763))</f>
        <v/>
      </c>
      <c r="AH763" s="14">
        <f>IF($AG763="","",p_factor_productividad*IFERROR(INDEX('ASIGNACIONES'!$M$4:$M$451,MATCH($O763&amp;"|"&amp;$R763&amp;"|"&amp;$AE763,'ASIGNACIONES'!$N$4:$N$451,0)),0)-$AG763)</f>
        <v/>
      </c>
      <c r="AI763" s="11">
        <f>IF($A763="","",IFERROR(INDEX('2_IMPORTAR_EJECUCION'!$F$9:$F$1208,MATCH($AQ763,'2_IMPORTAR_EJECUCION'!$J$9:$J$1208,0)),0))</f>
        <v/>
      </c>
      <c r="AJ763" s="11">
        <f>IF($A763="","",MAX(0,IFERROR(INDEX('2_IMPORTAR_EJECUCION'!$H$9:$H$1208,MATCH($AQ763,'2_IMPORTAR_EJECUCION'!$J$9:$J$1208,0)),0)-$AI763))</f>
        <v/>
      </c>
      <c r="AK763" s="11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IF($H764="","",IFERROR(INDEX('CAT_ACTIVIDADES'!$B$4:$B$8,MATCH($H764,'CAT_ACTIVIDADES'!$A$4:$A$8,0)),"(sin catálogo)"))</f>
        <v/>
      </c>
      <c r="AA764" s="13">
        <f>IF($J764="","",TODAY()-$J764)</f>
        <v/>
      </c>
      <c r="AB764" s="13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IF($AE764="","",IF((IFERROR(INDEX('ASIGNACIONES'!$J$4:$J$451,MATCH($O764&amp;"|"&amp;$R764&amp;"|"&amp;$AE764,'ASIGNACIONES'!$N$4:$N$451,0)),""))=0,"",IFERROR(INDEX('ASIGNACIONES'!$J$4:$J$451,MATCH($O764&amp;"|"&amp;$R764&amp;"|"&amp;$AE764,'ASIGNACIONES'!$N$4:$N$451,0)),"")))</f>
        <v/>
      </c>
      <c r="AG764" s="14">
        <f>IF($AE764="","",SUMIFS('ORDENES'!$M$4:$M$1203,'ORDENES'!$AE$4:$AE$1203,$AE764,'ORDENES'!$O$4:$O$1203,$O764,'ORDENES'!$R$4:$R$1203,$R764))</f>
        <v/>
      </c>
      <c r="AH764" s="14">
        <f>IF($AG764="","",p_factor_productividad*IFERROR(INDEX('ASIGNACIONES'!$M$4:$M$451,MATCH($O764&amp;"|"&amp;$R764&amp;"|"&amp;$AE764,'ASIGNACIONES'!$N$4:$N$451,0)),0)-$AG764)</f>
        <v/>
      </c>
      <c r="AI764" s="11">
        <f>IF($A764="","",IFERROR(INDEX('2_IMPORTAR_EJECUCION'!$F$9:$F$1208,MATCH($AQ764,'2_IMPORTAR_EJECUCION'!$J$9:$J$1208,0)),0))</f>
        <v/>
      </c>
      <c r="AJ764" s="11">
        <f>IF($A764="","",MAX(0,IFERROR(INDEX('2_IMPORTAR_EJECUCION'!$H$9:$H$1208,MATCH($AQ764,'2_IMPORTAR_EJECUCION'!$J$9:$J$1208,0)),0)-$AI764))</f>
        <v/>
      </c>
      <c r="AK764" s="11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IF($H765="","",IFERROR(INDEX('CAT_ACTIVIDADES'!$B$4:$B$8,MATCH($H765,'CAT_ACTIVIDADES'!$A$4:$A$8,0)),"(sin catálogo)"))</f>
        <v/>
      </c>
      <c r="AA765" s="13">
        <f>IF($J765="","",TODAY()-$J765)</f>
        <v/>
      </c>
      <c r="AB765" s="13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IF($AE765="","",IF((IFERROR(INDEX('ASIGNACIONES'!$J$4:$J$451,MATCH($O765&amp;"|"&amp;$R765&amp;"|"&amp;$AE765,'ASIGNACIONES'!$N$4:$N$451,0)),""))=0,"",IFERROR(INDEX('ASIGNACIONES'!$J$4:$J$451,MATCH($O765&amp;"|"&amp;$R765&amp;"|"&amp;$AE765,'ASIGNACIONES'!$N$4:$N$451,0)),"")))</f>
        <v/>
      </c>
      <c r="AG765" s="14">
        <f>IF($AE765="","",SUMIFS('ORDENES'!$M$4:$M$1203,'ORDENES'!$AE$4:$AE$1203,$AE765,'ORDENES'!$O$4:$O$1203,$O765,'ORDENES'!$R$4:$R$1203,$R765))</f>
        <v/>
      </c>
      <c r="AH765" s="14">
        <f>IF($AG765="","",p_factor_productividad*IFERROR(INDEX('ASIGNACIONES'!$M$4:$M$451,MATCH($O765&amp;"|"&amp;$R765&amp;"|"&amp;$AE765,'ASIGNACIONES'!$N$4:$N$451,0)),0)-$AG765)</f>
        <v/>
      </c>
      <c r="AI765" s="11">
        <f>IF($A765="","",IFERROR(INDEX('2_IMPORTAR_EJECUCION'!$F$9:$F$1208,MATCH($AQ765,'2_IMPORTAR_EJECUCION'!$J$9:$J$1208,0)),0))</f>
        <v/>
      </c>
      <c r="AJ765" s="11">
        <f>IF($A765="","",MAX(0,IFERROR(INDEX('2_IMPORTAR_EJECUCION'!$H$9:$H$1208,MATCH($AQ765,'2_IMPORTAR_EJECUCION'!$J$9:$J$1208,0)),0)-$AI765))</f>
        <v/>
      </c>
      <c r="AK765" s="11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IF($H766="","",IFERROR(INDEX('CAT_ACTIVIDADES'!$B$4:$B$8,MATCH($H766,'CAT_ACTIVIDADES'!$A$4:$A$8,0)),"(sin catálogo)"))</f>
        <v/>
      </c>
      <c r="AA766" s="13">
        <f>IF($J766="","",TODAY()-$J766)</f>
        <v/>
      </c>
      <c r="AB766" s="13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IF($AE766="","",IF((IFERROR(INDEX('ASIGNACIONES'!$J$4:$J$451,MATCH($O766&amp;"|"&amp;$R766&amp;"|"&amp;$AE766,'ASIGNACIONES'!$N$4:$N$451,0)),""))=0,"",IFERROR(INDEX('ASIGNACIONES'!$J$4:$J$451,MATCH($O766&amp;"|"&amp;$R766&amp;"|"&amp;$AE766,'ASIGNACIONES'!$N$4:$N$451,0)),"")))</f>
        <v/>
      </c>
      <c r="AG766" s="14">
        <f>IF($AE766="","",SUMIFS('ORDENES'!$M$4:$M$1203,'ORDENES'!$AE$4:$AE$1203,$AE766,'ORDENES'!$O$4:$O$1203,$O766,'ORDENES'!$R$4:$R$1203,$R766))</f>
        <v/>
      </c>
      <c r="AH766" s="14">
        <f>IF($AG766="","",p_factor_productividad*IFERROR(INDEX('ASIGNACIONES'!$M$4:$M$451,MATCH($O766&amp;"|"&amp;$R766&amp;"|"&amp;$AE766,'ASIGNACIONES'!$N$4:$N$451,0)),0)-$AG766)</f>
        <v/>
      </c>
      <c r="AI766" s="11">
        <f>IF($A766="","",IFERROR(INDEX('2_IMPORTAR_EJECUCION'!$F$9:$F$1208,MATCH($AQ766,'2_IMPORTAR_EJECUCION'!$J$9:$J$1208,0)),0))</f>
        <v/>
      </c>
      <c r="AJ766" s="11">
        <f>IF($A766="","",MAX(0,IFERROR(INDEX('2_IMPORTAR_EJECUCION'!$H$9:$H$1208,MATCH($AQ766,'2_IMPORTAR_EJECUCION'!$J$9:$J$1208,0)),0)-$AI766))</f>
        <v/>
      </c>
      <c r="AK766" s="11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IF($H767="","",IFERROR(INDEX('CAT_ACTIVIDADES'!$B$4:$B$8,MATCH($H767,'CAT_ACTIVIDADES'!$A$4:$A$8,0)),"(sin catálogo)"))</f>
        <v/>
      </c>
      <c r="AA767" s="13">
        <f>IF($J767="","",TODAY()-$J767)</f>
        <v/>
      </c>
      <c r="AB767" s="13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IF($AE767="","",IF((IFERROR(INDEX('ASIGNACIONES'!$J$4:$J$451,MATCH($O767&amp;"|"&amp;$R767&amp;"|"&amp;$AE767,'ASIGNACIONES'!$N$4:$N$451,0)),""))=0,"",IFERROR(INDEX('ASIGNACIONES'!$J$4:$J$451,MATCH($O767&amp;"|"&amp;$R767&amp;"|"&amp;$AE767,'ASIGNACIONES'!$N$4:$N$451,0)),"")))</f>
        <v/>
      </c>
      <c r="AG767" s="14">
        <f>IF($AE767="","",SUMIFS('ORDENES'!$M$4:$M$1203,'ORDENES'!$AE$4:$AE$1203,$AE767,'ORDENES'!$O$4:$O$1203,$O767,'ORDENES'!$R$4:$R$1203,$R767))</f>
        <v/>
      </c>
      <c r="AH767" s="14">
        <f>IF($AG767="","",p_factor_productividad*IFERROR(INDEX('ASIGNACIONES'!$M$4:$M$451,MATCH($O767&amp;"|"&amp;$R767&amp;"|"&amp;$AE767,'ASIGNACIONES'!$N$4:$N$451,0)),0)-$AG767)</f>
        <v/>
      </c>
      <c r="AI767" s="11">
        <f>IF($A767="","",IFERROR(INDEX('2_IMPORTAR_EJECUCION'!$F$9:$F$1208,MATCH($AQ767,'2_IMPORTAR_EJECUCION'!$J$9:$J$1208,0)),0))</f>
        <v/>
      </c>
      <c r="AJ767" s="11">
        <f>IF($A767="","",MAX(0,IFERROR(INDEX('2_IMPORTAR_EJECUCION'!$H$9:$H$1208,MATCH($AQ767,'2_IMPORTAR_EJECUCION'!$J$9:$J$1208,0)),0)-$AI767))</f>
        <v/>
      </c>
      <c r="AK767" s="11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IF($H768="","",IFERROR(INDEX('CAT_ACTIVIDADES'!$B$4:$B$8,MATCH($H768,'CAT_ACTIVIDADES'!$A$4:$A$8,0)),"(sin catálogo)"))</f>
        <v/>
      </c>
      <c r="AA768" s="13">
        <f>IF($J768="","",TODAY()-$J768)</f>
        <v/>
      </c>
      <c r="AB768" s="13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IF($AE768="","",IF((IFERROR(INDEX('ASIGNACIONES'!$J$4:$J$451,MATCH($O768&amp;"|"&amp;$R768&amp;"|"&amp;$AE768,'ASIGNACIONES'!$N$4:$N$451,0)),""))=0,"",IFERROR(INDEX('ASIGNACIONES'!$J$4:$J$451,MATCH($O768&amp;"|"&amp;$R768&amp;"|"&amp;$AE768,'ASIGNACIONES'!$N$4:$N$451,0)),"")))</f>
        <v/>
      </c>
      <c r="AG768" s="14">
        <f>IF($AE768="","",SUMIFS('ORDENES'!$M$4:$M$1203,'ORDENES'!$AE$4:$AE$1203,$AE768,'ORDENES'!$O$4:$O$1203,$O768,'ORDENES'!$R$4:$R$1203,$R768))</f>
        <v/>
      </c>
      <c r="AH768" s="14">
        <f>IF($AG768="","",p_factor_productividad*IFERROR(INDEX('ASIGNACIONES'!$M$4:$M$451,MATCH($O768&amp;"|"&amp;$R768&amp;"|"&amp;$AE768,'ASIGNACIONES'!$N$4:$N$451,0)),0)-$AG768)</f>
        <v/>
      </c>
      <c r="AI768" s="11">
        <f>IF($A768="","",IFERROR(INDEX('2_IMPORTAR_EJECUCION'!$F$9:$F$1208,MATCH($AQ768,'2_IMPORTAR_EJECUCION'!$J$9:$J$1208,0)),0))</f>
        <v/>
      </c>
      <c r="AJ768" s="11">
        <f>IF($A768="","",MAX(0,IFERROR(INDEX('2_IMPORTAR_EJECUCION'!$H$9:$H$1208,MATCH($AQ768,'2_IMPORTAR_EJECUCION'!$J$9:$J$1208,0)),0)-$AI768))</f>
        <v/>
      </c>
      <c r="AK768" s="11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IF($H769="","",IFERROR(INDEX('CAT_ACTIVIDADES'!$B$4:$B$8,MATCH($H769,'CAT_ACTIVIDADES'!$A$4:$A$8,0)),"(sin catálogo)"))</f>
        <v/>
      </c>
      <c r="AA769" s="13">
        <f>IF($J769="","",TODAY()-$J769)</f>
        <v/>
      </c>
      <c r="AB769" s="13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IF($AE769="","",IF((IFERROR(INDEX('ASIGNACIONES'!$J$4:$J$451,MATCH($O769&amp;"|"&amp;$R769&amp;"|"&amp;$AE769,'ASIGNACIONES'!$N$4:$N$451,0)),""))=0,"",IFERROR(INDEX('ASIGNACIONES'!$J$4:$J$451,MATCH($O769&amp;"|"&amp;$R769&amp;"|"&amp;$AE769,'ASIGNACIONES'!$N$4:$N$451,0)),"")))</f>
        <v/>
      </c>
      <c r="AG769" s="14">
        <f>IF($AE769="","",SUMIFS('ORDENES'!$M$4:$M$1203,'ORDENES'!$AE$4:$AE$1203,$AE769,'ORDENES'!$O$4:$O$1203,$O769,'ORDENES'!$R$4:$R$1203,$R769))</f>
        <v/>
      </c>
      <c r="AH769" s="14">
        <f>IF($AG769="","",p_factor_productividad*IFERROR(INDEX('ASIGNACIONES'!$M$4:$M$451,MATCH($O769&amp;"|"&amp;$R769&amp;"|"&amp;$AE769,'ASIGNACIONES'!$N$4:$N$451,0)),0)-$AG769)</f>
        <v/>
      </c>
      <c r="AI769" s="11">
        <f>IF($A769="","",IFERROR(INDEX('2_IMPORTAR_EJECUCION'!$F$9:$F$1208,MATCH($AQ769,'2_IMPORTAR_EJECUCION'!$J$9:$J$1208,0)),0))</f>
        <v/>
      </c>
      <c r="AJ769" s="11">
        <f>IF($A769="","",MAX(0,IFERROR(INDEX('2_IMPORTAR_EJECUCION'!$H$9:$H$1208,MATCH($AQ769,'2_IMPORTAR_EJECUCION'!$J$9:$J$1208,0)),0)-$AI769))</f>
        <v/>
      </c>
      <c r="AK769" s="11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IF($H770="","",IFERROR(INDEX('CAT_ACTIVIDADES'!$B$4:$B$8,MATCH($H770,'CAT_ACTIVIDADES'!$A$4:$A$8,0)),"(sin catálogo)"))</f>
        <v/>
      </c>
      <c r="AA770" s="13">
        <f>IF($J770="","",TODAY()-$J770)</f>
        <v/>
      </c>
      <c r="AB770" s="13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IF($AE770="","",IF((IFERROR(INDEX('ASIGNACIONES'!$J$4:$J$451,MATCH($O770&amp;"|"&amp;$R770&amp;"|"&amp;$AE770,'ASIGNACIONES'!$N$4:$N$451,0)),""))=0,"",IFERROR(INDEX('ASIGNACIONES'!$J$4:$J$451,MATCH($O770&amp;"|"&amp;$R770&amp;"|"&amp;$AE770,'ASIGNACIONES'!$N$4:$N$451,0)),"")))</f>
        <v/>
      </c>
      <c r="AG770" s="14">
        <f>IF($AE770="","",SUMIFS('ORDENES'!$M$4:$M$1203,'ORDENES'!$AE$4:$AE$1203,$AE770,'ORDENES'!$O$4:$O$1203,$O770,'ORDENES'!$R$4:$R$1203,$R770))</f>
        <v/>
      </c>
      <c r="AH770" s="14">
        <f>IF($AG770="","",p_factor_productividad*IFERROR(INDEX('ASIGNACIONES'!$M$4:$M$451,MATCH($O770&amp;"|"&amp;$R770&amp;"|"&amp;$AE770,'ASIGNACIONES'!$N$4:$N$451,0)),0)-$AG770)</f>
        <v/>
      </c>
      <c r="AI770" s="11">
        <f>IF($A770="","",IFERROR(INDEX('2_IMPORTAR_EJECUCION'!$F$9:$F$1208,MATCH($AQ770,'2_IMPORTAR_EJECUCION'!$J$9:$J$1208,0)),0))</f>
        <v/>
      </c>
      <c r="AJ770" s="11">
        <f>IF($A770="","",MAX(0,IFERROR(INDEX('2_IMPORTAR_EJECUCION'!$H$9:$H$1208,MATCH($AQ770,'2_IMPORTAR_EJECUCION'!$J$9:$J$1208,0)),0)-$AI770))</f>
        <v/>
      </c>
      <c r="AK770" s="11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IF($H771="","",IFERROR(INDEX('CAT_ACTIVIDADES'!$B$4:$B$8,MATCH($H771,'CAT_ACTIVIDADES'!$A$4:$A$8,0)),"(sin catálogo)"))</f>
        <v/>
      </c>
      <c r="AA771" s="13">
        <f>IF($J771="","",TODAY()-$J771)</f>
        <v/>
      </c>
      <c r="AB771" s="13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IF($AE771="","",IF((IFERROR(INDEX('ASIGNACIONES'!$J$4:$J$451,MATCH($O771&amp;"|"&amp;$R771&amp;"|"&amp;$AE771,'ASIGNACIONES'!$N$4:$N$451,0)),""))=0,"",IFERROR(INDEX('ASIGNACIONES'!$J$4:$J$451,MATCH($O771&amp;"|"&amp;$R771&amp;"|"&amp;$AE771,'ASIGNACIONES'!$N$4:$N$451,0)),"")))</f>
        <v/>
      </c>
      <c r="AG771" s="14">
        <f>IF($AE771="","",SUMIFS('ORDENES'!$M$4:$M$1203,'ORDENES'!$AE$4:$AE$1203,$AE771,'ORDENES'!$O$4:$O$1203,$O771,'ORDENES'!$R$4:$R$1203,$R771))</f>
        <v/>
      </c>
      <c r="AH771" s="14">
        <f>IF($AG771="","",p_factor_productividad*IFERROR(INDEX('ASIGNACIONES'!$M$4:$M$451,MATCH($O771&amp;"|"&amp;$R771&amp;"|"&amp;$AE771,'ASIGNACIONES'!$N$4:$N$451,0)),0)-$AG771)</f>
        <v/>
      </c>
      <c r="AI771" s="11">
        <f>IF($A771="","",IFERROR(INDEX('2_IMPORTAR_EJECUCION'!$F$9:$F$1208,MATCH($AQ771,'2_IMPORTAR_EJECUCION'!$J$9:$J$1208,0)),0))</f>
        <v/>
      </c>
      <c r="AJ771" s="11">
        <f>IF($A771="","",MAX(0,IFERROR(INDEX('2_IMPORTAR_EJECUCION'!$H$9:$H$1208,MATCH($AQ771,'2_IMPORTAR_EJECUCION'!$J$9:$J$1208,0)),0)-$AI771))</f>
        <v/>
      </c>
      <c r="AK771" s="11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IF($H772="","",IFERROR(INDEX('CAT_ACTIVIDADES'!$B$4:$B$8,MATCH($H772,'CAT_ACTIVIDADES'!$A$4:$A$8,0)),"(sin catálogo)"))</f>
        <v/>
      </c>
      <c r="AA772" s="13">
        <f>IF($J772="","",TODAY()-$J772)</f>
        <v/>
      </c>
      <c r="AB772" s="13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IF($AE772="","",IF((IFERROR(INDEX('ASIGNACIONES'!$J$4:$J$451,MATCH($O772&amp;"|"&amp;$R772&amp;"|"&amp;$AE772,'ASIGNACIONES'!$N$4:$N$451,0)),""))=0,"",IFERROR(INDEX('ASIGNACIONES'!$J$4:$J$451,MATCH($O772&amp;"|"&amp;$R772&amp;"|"&amp;$AE772,'ASIGNACIONES'!$N$4:$N$451,0)),"")))</f>
        <v/>
      </c>
      <c r="AG772" s="14">
        <f>IF($AE772="","",SUMIFS('ORDENES'!$M$4:$M$1203,'ORDENES'!$AE$4:$AE$1203,$AE772,'ORDENES'!$O$4:$O$1203,$O772,'ORDENES'!$R$4:$R$1203,$R772))</f>
        <v/>
      </c>
      <c r="AH772" s="14">
        <f>IF($AG772="","",p_factor_productividad*IFERROR(INDEX('ASIGNACIONES'!$M$4:$M$451,MATCH($O772&amp;"|"&amp;$R772&amp;"|"&amp;$AE772,'ASIGNACIONES'!$N$4:$N$451,0)),0)-$AG772)</f>
        <v/>
      </c>
      <c r="AI772" s="11">
        <f>IF($A772="","",IFERROR(INDEX('2_IMPORTAR_EJECUCION'!$F$9:$F$1208,MATCH($AQ772,'2_IMPORTAR_EJECUCION'!$J$9:$J$1208,0)),0))</f>
        <v/>
      </c>
      <c r="AJ772" s="11">
        <f>IF($A772="","",MAX(0,IFERROR(INDEX('2_IMPORTAR_EJECUCION'!$H$9:$H$1208,MATCH($AQ772,'2_IMPORTAR_EJECUCION'!$J$9:$J$1208,0)),0)-$AI772))</f>
        <v/>
      </c>
      <c r="AK772" s="11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IF($H773="","",IFERROR(INDEX('CAT_ACTIVIDADES'!$B$4:$B$8,MATCH($H773,'CAT_ACTIVIDADES'!$A$4:$A$8,0)),"(sin catálogo)"))</f>
        <v/>
      </c>
      <c r="AA773" s="13">
        <f>IF($J773="","",TODAY()-$J773)</f>
        <v/>
      </c>
      <c r="AB773" s="13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IF($AE773="","",IF((IFERROR(INDEX('ASIGNACIONES'!$J$4:$J$451,MATCH($O773&amp;"|"&amp;$R773&amp;"|"&amp;$AE773,'ASIGNACIONES'!$N$4:$N$451,0)),""))=0,"",IFERROR(INDEX('ASIGNACIONES'!$J$4:$J$451,MATCH($O773&amp;"|"&amp;$R773&amp;"|"&amp;$AE773,'ASIGNACIONES'!$N$4:$N$451,0)),"")))</f>
        <v/>
      </c>
      <c r="AG773" s="14">
        <f>IF($AE773="","",SUMIFS('ORDENES'!$M$4:$M$1203,'ORDENES'!$AE$4:$AE$1203,$AE773,'ORDENES'!$O$4:$O$1203,$O773,'ORDENES'!$R$4:$R$1203,$R773))</f>
        <v/>
      </c>
      <c r="AH773" s="14">
        <f>IF($AG773="","",p_factor_productividad*IFERROR(INDEX('ASIGNACIONES'!$M$4:$M$451,MATCH($O773&amp;"|"&amp;$R773&amp;"|"&amp;$AE773,'ASIGNACIONES'!$N$4:$N$451,0)),0)-$AG773)</f>
        <v/>
      </c>
      <c r="AI773" s="11">
        <f>IF($A773="","",IFERROR(INDEX('2_IMPORTAR_EJECUCION'!$F$9:$F$1208,MATCH($AQ773,'2_IMPORTAR_EJECUCION'!$J$9:$J$1208,0)),0))</f>
        <v/>
      </c>
      <c r="AJ773" s="11">
        <f>IF($A773="","",MAX(0,IFERROR(INDEX('2_IMPORTAR_EJECUCION'!$H$9:$H$1208,MATCH($AQ773,'2_IMPORTAR_EJECUCION'!$J$9:$J$1208,0)),0)-$AI773))</f>
        <v/>
      </c>
      <c r="AK773" s="11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IF($H774="","",IFERROR(INDEX('CAT_ACTIVIDADES'!$B$4:$B$8,MATCH($H774,'CAT_ACTIVIDADES'!$A$4:$A$8,0)),"(sin catálogo)"))</f>
        <v/>
      </c>
      <c r="AA774" s="13">
        <f>IF($J774="","",TODAY()-$J774)</f>
        <v/>
      </c>
      <c r="AB774" s="13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IF($AE774="","",IF((IFERROR(INDEX('ASIGNACIONES'!$J$4:$J$451,MATCH($O774&amp;"|"&amp;$R774&amp;"|"&amp;$AE774,'ASIGNACIONES'!$N$4:$N$451,0)),""))=0,"",IFERROR(INDEX('ASIGNACIONES'!$J$4:$J$451,MATCH($O774&amp;"|"&amp;$R774&amp;"|"&amp;$AE774,'ASIGNACIONES'!$N$4:$N$451,0)),"")))</f>
        <v/>
      </c>
      <c r="AG774" s="14">
        <f>IF($AE774="","",SUMIFS('ORDENES'!$M$4:$M$1203,'ORDENES'!$AE$4:$AE$1203,$AE774,'ORDENES'!$O$4:$O$1203,$O774,'ORDENES'!$R$4:$R$1203,$R774))</f>
        <v/>
      </c>
      <c r="AH774" s="14">
        <f>IF($AG774="","",p_factor_productividad*IFERROR(INDEX('ASIGNACIONES'!$M$4:$M$451,MATCH($O774&amp;"|"&amp;$R774&amp;"|"&amp;$AE774,'ASIGNACIONES'!$N$4:$N$451,0)),0)-$AG774)</f>
        <v/>
      </c>
      <c r="AI774" s="11">
        <f>IF($A774="","",IFERROR(INDEX('2_IMPORTAR_EJECUCION'!$F$9:$F$1208,MATCH($AQ774,'2_IMPORTAR_EJECUCION'!$J$9:$J$1208,0)),0))</f>
        <v/>
      </c>
      <c r="AJ774" s="11">
        <f>IF($A774="","",MAX(0,IFERROR(INDEX('2_IMPORTAR_EJECUCION'!$H$9:$H$1208,MATCH($AQ774,'2_IMPORTAR_EJECUCION'!$J$9:$J$1208,0)),0)-$AI774))</f>
        <v/>
      </c>
      <c r="AK774" s="11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IF($H775="","",IFERROR(INDEX('CAT_ACTIVIDADES'!$B$4:$B$8,MATCH($H775,'CAT_ACTIVIDADES'!$A$4:$A$8,0)),"(sin catálogo)"))</f>
        <v/>
      </c>
      <c r="AA775" s="13">
        <f>IF($J775="","",TODAY()-$J775)</f>
        <v/>
      </c>
      <c r="AB775" s="13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IF($AE775="","",IF((IFERROR(INDEX('ASIGNACIONES'!$J$4:$J$451,MATCH($O775&amp;"|"&amp;$R775&amp;"|"&amp;$AE775,'ASIGNACIONES'!$N$4:$N$451,0)),""))=0,"",IFERROR(INDEX('ASIGNACIONES'!$J$4:$J$451,MATCH($O775&amp;"|"&amp;$R775&amp;"|"&amp;$AE775,'ASIGNACIONES'!$N$4:$N$451,0)),"")))</f>
        <v/>
      </c>
      <c r="AG775" s="14">
        <f>IF($AE775="","",SUMIFS('ORDENES'!$M$4:$M$1203,'ORDENES'!$AE$4:$AE$1203,$AE775,'ORDENES'!$O$4:$O$1203,$O775,'ORDENES'!$R$4:$R$1203,$R775))</f>
        <v/>
      </c>
      <c r="AH775" s="14">
        <f>IF($AG775="","",p_factor_productividad*IFERROR(INDEX('ASIGNACIONES'!$M$4:$M$451,MATCH($O775&amp;"|"&amp;$R775&amp;"|"&amp;$AE775,'ASIGNACIONES'!$N$4:$N$451,0)),0)-$AG775)</f>
        <v/>
      </c>
      <c r="AI775" s="11">
        <f>IF($A775="","",IFERROR(INDEX('2_IMPORTAR_EJECUCION'!$F$9:$F$1208,MATCH($AQ775,'2_IMPORTAR_EJECUCION'!$J$9:$J$1208,0)),0))</f>
        <v/>
      </c>
      <c r="AJ775" s="11">
        <f>IF($A775="","",MAX(0,IFERROR(INDEX('2_IMPORTAR_EJECUCION'!$H$9:$H$1208,MATCH($AQ775,'2_IMPORTAR_EJECUCION'!$J$9:$J$1208,0)),0)-$AI775))</f>
        <v/>
      </c>
      <c r="AK775" s="11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IF($H776="","",IFERROR(INDEX('CAT_ACTIVIDADES'!$B$4:$B$8,MATCH($H776,'CAT_ACTIVIDADES'!$A$4:$A$8,0)),"(sin catálogo)"))</f>
        <v/>
      </c>
      <c r="AA776" s="13">
        <f>IF($J776="","",TODAY()-$J776)</f>
        <v/>
      </c>
      <c r="AB776" s="13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IF($AE776="","",IF((IFERROR(INDEX('ASIGNACIONES'!$J$4:$J$451,MATCH($O776&amp;"|"&amp;$R776&amp;"|"&amp;$AE776,'ASIGNACIONES'!$N$4:$N$451,0)),""))=0,"",IFERROR(INDEX('ASIGNACIONES'!$J$4:$J$451,MATCH($O776&amp;"|"&amp;$R776&amp;"|"&amp;$AE776,'ASIGNACIONES'!$N$4:$N$451,0)),"")))</f>
        <v/>
      </c>
      <c r="AG776" s="14">
        <f>IF($AE776="","",SUMIFS('ORDENES'!$M$4:$M$1203,'ORDENES'!$AE$4:$AE$1203,$AE776,'ORDENES'!$O$4:$O$1203,$O776,'ORDENES'!$R$4:$R$1203,$R776))</f>
        <v/>
      </c>
      <c r="AH776" s="14">
        <f>IF($AG776="","",p_factor_productividad*IFERROR(INDEX('ASIGNACIONES'!$M$4:$M$451,MATCH($O776&amp;"|"&amp;$R776&amp;"|"&amp;$AE776,'ASIGNACIONES'!$N$4:$N$451,0)),0)-$AG776)</f>
        <v/>
      </c>
      <c r="AI776" s="11">
        <f>IF($A776="","",IFERROR(INDEX('2_IMPORTAR_EJECUCION'!$F$9:$F$1208,MATCH($AQ776,'2_IMPORTAR_EJECUCION'!$J$9:$J$1208,0)),0))</f>
        <v/>
      </c>
      <c r="AJ776" s="11">
        <f>IF($A776="","",MAX(0,IFERROR(INDEX('2_IMPORTAR_EJECUCION'!$H$9:$H$1208,MATCH($AQ776,'2_IMPORTAR_EJECUCION'!$J$9:$J$1208,0)),0)-$AI776))</f>
        <v/>
      </c>
      <c r="AK776" s="11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IF($H777="","",IFERROR(INDEX('CAT_ACTIVIDADES'!$B$4:$B$8,MATCH($H777,'CAT_ACTIVIDADES'!$A$4:$A$8,0)),"(sin catálogo)"))</f>
        <v/>
      </c>
      <c r="AA777" s="13">
        <f>IF($J777="","",TODAY()-$J777)</f>
        <v/>
      </c>
      <c r="AB777" s="13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IF($AE777="","",IF((IFERROR(INDEX('ASIGNACIONES'!$J$4:$J$451,MATCH($O777&amp;"|"&amp;$R777&amp;"|"&amp;$AE777,'ASIGNACIONES'!$N$4:$N$451,0)),""))=0,"",IFERROR(INDEX('ASIGNACIONES'!$J$4:$J$451,MATCH($O777&amp;"|"&amp;$R777&amp;"|"&amp;$AE777,'ASIGNACIONES'!$N$4:$N$451,0)),"")))</f>
        <v/>
      </c>
      <c r="AG777" s="14">
        <f>IF($AE777="","",SUMIFS('ORDENES'!$M$4:$M$1203,'ORDENES'!$AE$4:$AE$1203,$AE777,'ORDENES'!$O$4:$O$1203,$O777,'ORDENES'!$R$4:$R$1203,$R777))</f>
        <v/>
      </c>
      <c r="AH777" s="14">
        <f>IF($AG777="","",p_factor_productividad*IFERROR(INDEX('ASIGNACIONES'!$M$4:$M$451,MATCH($O777&amp;"|"&amp;$R777&amp;"|"&amp;$AE777,'ASIGNACIONES'!$N$4:$N$451,0)),0)-$AG777)</f>
        <v/>
      </c>
      <c r="AI777" s="11">
        <f>IF($A777="","",IFERROR(INDEX('2_IMPORTAR_EJECUCION'!$F$9:$F$1208,MATCH($AQ777,'2_IMPORTAR_EJECUCION'!$J$9:$J$1208,0)),0))</f>
        <v/>
      </c>
      <c r="AJ777" s="11">
        <f>IF($A777="","",MAX(0,IFERROR(INDEX('2_IMPORTAR_EJECUCION'!$H$9:$H$1208,MATCH($AQ777,'2_IMPORTAR_EJECUCION'!$J$9:$J$1208,0)),0)-$AI777))</f>
        <v/>
      </c>
      <c r="AK777" s="11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IF($H778="","",IFERROR(INDEX('CAT_ACTIVIDADES'!$B$4:$B$8,MATCH($H778,'CAT_ACTIVIDADES'!$A$4:$A$8,0)),"(sin catálogo)"))</f>
        <v/>
      </c>
      <c r="AA778" s="13">
        <f>IF($J778="","",TODAY()-$J778)</f>
        <v/>
      </c>
      <c r="AB778" s="13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IF($AE778="","",IF((IFERROR(INDEX('ASIGNACIONES'!$J$4:$J$451,MATCH($O778&amp;"|"&amp;$R778&amp;"|"&amp;$AE778,'ASIGNACIONES'!$N$4:$N$451,0)),""))=0,"",IFERROR(INDEX('ASIGNACIONES'!$J$4:$J$451,MATCH($O778&amp;"|"&amp;$R778&amp;"|"&amp;$AE778,'ASIGNACIONES'!$N$4:$N$451,0)),"")))</f>
        <v/>
      </c>
      <c r="AG778" s="14">
        <f>IF($AE778="","",SUMIFS('ORDENES'!$M$4:$M$1203,'ORDENES'!$AE$4:$AE$1203,$AE778,'ORDENES'!$O$4:$O$1203,$O778,'ORDENES'!$R$4:$R$1203,$R778))</f>
        <v/>
      </c>
      <c r="AH778" s="14">
        <f>IF($AG778="","",p_factor_productividad*IFERROR(INDEX('ASIGNACIONES'!$M$4:$M$451,MATCH($O778&amp;"|"&amp;$R778&amp;"|"&amp;$AE778,'ASIGNACIONES'!$N$4:$N$451,0)),0)-$AG778)</f>
        <v/>
      </c>
      <c r="AI778" s="11">
        <f>IF($A778="","",IFERROR(INDEX('2_IMPORTAR_EJECUCION'!$F$9:$F$1208,MATCH($AQ778,'2_IMPORTAR_EJECUCION'!$J$9:$J$1208,0)),0))</f>
        <v/>
      </c>
      <c r="AJ778" s="11">
        <f>IF($A778="","",MAX(0,IFERROR(INDEX('2_IMPORTAR_EJECUCION'!$H$9:$H$1208,MATCH($AQ778,'2_IMPORTAR_EJECUCION'!$J$9:$J$1208,0)),0)-$AI778))</f>
        <v/>
      </c>
      <c r="AK778" s="11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IF($H779="","",IFERROR(INDEX('CAT_ACTIVIDADES'!$B$4:$B$8,MATCH($H779,'CAT_ACTIVIDADES'!$A$4:$A$8,0)),"(sin catálogo)"))</f>
        <v/>
      </c>
      <c r="AA779" s="13">
        <f>IF($J779="","",TODAY()-$J779)</f>
        <v/>
      </c>
      <c r="AB779" s="13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IF($AE779="","",IF((IFERROR(INDEX('ASIGNACIONES'!$J$4:$J$451,MATCH($O779&amp;"|"&amp;$R779&amp;"|"&amp;$AE779,'ASIGNACIONES'!$N$4:$N$451,0)),""))=0,"",IFERROR(INDEX('ASIGNACIONES'!$J$4:$J$451,MATCH($O779&amp;"|"&amp;$R779&amp;"|"&amp;$AE779,'ASIGNACIONES'!$N$4:$N$451,0)),"")))</f>
        <v/>
      </c>
      <c r="AG779" s="14">
        <f>IF($AE779="","",SUMIFS('ORDENES'!$M$4:$M$1203,'ORDENES'!$AE$4:$AE$1203,$AE779,'ORDENES'!$O$4:$O$1203,$O779,'ORDENES'!$R$4:$R$1203,$R779))</f>
        <v/>
      </c>
      <c r="AH779" s="14">
        <f>IF($AG779="","",p_factor_productividad*IFERROR(INDEX('ASIGNACIONES'!$M$4:$M$451,MATCH($O779&amp;"|"&amp;$R779&amp;"|"&amp;$AE779,'ASIGNACIONES'!$N$4:$N$451,0)),0)-$AG779)</f>
        <v/>
      </c>
      <c r="AI779" s="11">
        <f>IF($A779="","",IFERROR(INDEX('2_IMPORTAR_EJECUCION'!$F$9:$F$1208,MATCH($AQ779,'2_IMPORTAR_EJECUCION'!$J$9:$J$1208,0)),0))</f>
        <v/>
      </c>
      <c r="AJ779" s="11">
        <f>IF($A779="","",MAX(0,IFERROR(INDEX('2_IMPORTAR_EJECUCION'!$H$9:$H$1208,MATCH($AQ779,'2_IMPORTAR_EJECUCION'!$J$9:$J$1208,0)),0)-$AI779))</f>
        <v/>
      </c>
      <c r="AK779" s="11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IF($H780="","",IFERROR(INDEX('CAT_ACTIVIDADES'!$B$4:$B$8,MATCH($H780,'CAT_ACTIVIDADES'!$A$4:$A$8,0)),"(sin catálogo)"))</f>
        <v/>
      </c>
      <c r="AA780" s="13">
        <f>IF($J780="","",TODAY()-$J780)</f>
        <v/>
      </c>
      <c r="AB780" s="13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IF($AE780="","",IF((IFERROR(INDEX('ASIGNACIONES'!$J$4:$J$451,MATCH($O780&amp;"|"&amp;$R780&amp;"|"&amp;$AE780,'ASIGNACIONES'!$N$4:$N$451,0)),""))=0,"",IFERROR(INDEX('ASIGNACIONES'!$J$4:$J$451,MATCH($O780&amp;"|"&amp;$R780&amp;"|"&amp;$AE780,'ASIGNACIONES'!$N$4:$N$451,0)),"")))</f>
        <v/>
      </c>
      <c r="AG780" s="14">
        <f>IF($AE780="","",SUMIFS('ORDENES'!$M$4:$M$1203,'ORDENES'!$AE$4:$AE$1203,$AE780,'ORDENES'!$O$4:$O$1203,$O780,'ORDENES'!$R$4:$R$1203,$R780))</f>
        <v/>
      </c>
      <c r="AH780" s="14">
        <f>IF($AG780="","",p_factor_productividad*IFERROR(INDEX('ASIGNACIONES'!$M$4:$M$451,MATCH($O780&amp;"|"&amp;$R780&amp;"|"&amp;$AE780,'ASIGNACIONES'!$N$4:$N$451,0)),0)-$AG780)</f>
        <v/>
      </c>
      <c r="AI780" s="11">
        <f>IF($A780="","",IFERROR(INDEX('2_IMPORTAR_EJECUCION'!$F$9:$F$1208,MATCH($AQ780,'2_IMPORTAR_EJECUCION'!$J$9:$J$1208,0)),0))</f>
        <v/>
      </c>
      <c r="AJ780" s="11">
        <f>IF($A780="","",MAX(0,IFERROR(INDEX('2_IMPORTAR_EJECUCION'!$H$9:$H$1208,MATCH($AQ780,'2_IMPORTAR_EJECUCION'!$J$9:$J$1208,0)),0)-$AI780))</f>
        <v/>
      </c>
      <c r="AK780" s="11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IF($H781="","",IFERROR(INDEX('CAT_ACTIVIDADES'!$B$4:$B$8,MATCH($H781,'CAT_ACTIVIDADES'!$A$4:$A$8,0)),"(sin catálogo)"))</f>
        <v/>
      </c>
      <c r="AA781" s="13">
        <f>IF($J781="","",TODAY()-$J781)</f>
        <v/>
      </c>
      <c r="AB781" s="13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IF($AE781="","",IF((IFERROR(INDEX('ASIGNACIONES'!$J$4:$J$451,MATCH($O781&amp;"|"&amp;$R781&amp;"|"&amp;$AE781,'ASIGNACIONES'!$N$4:$N$451,0)),""))=0,"",IFERROR(INDEX('ASIGNACIONES'!$J$4:$J$451,MATCH($O781&amp;"|"&amp;$R781&amp;"|"&amp;$AE781,'ASIGNACIONES'!$N$4:$N$451,0)),"")))</f>
        <v/>
      </c>
      <c r="AG781" s="14">
        <f>IF($AE781="","",SUMIFS('ORDENES'!$M$4:$M$1203,'ORDENES'!$AE$4:$AE$1203,$AE781,'ORDENES'!$O$4:$O$1203,$O781,'ORDENES'!$R$4:$R$1203,$R781))</f>
        <v/>
      </c>
      <c r="AH781" s="14">
        <f>IF($AG781="","",p_factor_productividad*IFERROR(INDEX('ASIGNACIONES'!$M$4:$M$451,MATCH($O781&amp;"|"&amp;$R781&amp;"|"&amp;$AE781,'ASIGNACIONES'!$N$4:$N$451,0)),0)-$AG781)</f>
        <v/>
      </c>
      <c r="AI781" s="11">
        <f>IF($A781="","",IFERROR(INDEX('2_IMPORTAR_EJECUCION'!$F$9:$F$1208,MATCH($AQ781,'2_IMPORTAR_EJECUCION'!$J$9:$J$1208,0)),0))</f>
        <v/>
      </c>
      <c r="AJ781" s="11">
        <f>IF($A781="","",MAX(0,IFERROR(INDEX('2_IMPORTAR_EJECUCION'!$H$9:$H$1208,MATCH($AQ781,'2_IMPORTAR_EJECUCION'!$J$9:$J$1208,0)),0)-$AI781))</f>
        <v/>
      </c>
      <c r="AK781" s="11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IF($H782="","",IFERROR(INDEX('CAT_ACTIVIDADES'!$B$4:$B$8,MATCH($H782,'CAT_ACTIVIDADES'!$A$4:$A$8,0)),"(sin catálogo)"))</f>
        <v/>
      </c>
      <c r="AA782" s="13">
        <f>IF($J782="","",TODAY()-$J782)</f>
        <v/>
      </c>
      <c r="AB782" s="13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IF($AE782="","",IF((IFERROR(INDEX('ASIGNACIONES'!$J$4:$J$451,MATCH($O782&amp;"|"&amp;$R782&amp;"|"&amp;$AE782,'ASIGNACIONES'!$N$4:$N$451,0)),""))=0,"",IFERROR(INDEX('ASIGNACIONES'!$J$4:$J$451,MATCH($O782&amp;"|"&amp;$R782&amp;"|"&amp;$AE782,'ASIGNACIONES'!$N$4:$N$451,0)),"")))</f>
        <v/>
      </c>
      <c r="AG782" s="14">
        <f>IF($AE782="","",SUMIFS('ORDENES'!$M$4:$M$1203,'ORDENES'!$AE$4:$AE$1203,$AE782,'ORDENES'!$O$4:$O$1203,$O782,'ORDENES'!$R$4:$R$1203,$R782))</f>
        <v/>
      </c>
      <c r="AH782" s="14">
        <f>IF($AG782="","",p_factor_productividad*IFERROR(INDEX('ASIGNACIONES'!$M$4:$M$451,MATCH($O782&amp;"|"&amp;$R782&amp;"|"&amp;$AE782,'ASIGNACIONES'!$N$4:$N$451,0)),0)-$AG782)</f>
        <v/>
      </c>
      <c r="AI782" s="11">
        <f>IF($A782="","",IFERROR(INDEX('2_IMPORTAR_EJECUCION'!$F$9:$F$1208,MATCH($AQ782,'2_IMPORTAR_EJECUCION'!$J$9:$J$1208,0)),0))</f>
        <v/>
      </c>
      <c r="AJ782" s="11">
        <f>IF($A782="","",MAX(0,IFERROR(INDEX('2_IMPORTAR_EJECUCION'!$H$9:$H$1208,MATCH($AQ782,'2_IMPORTAR_EJECUCION'!$J$9:$J$1208,0)),0)-$AI782))</f>
        <v/>
      </c>
      <c r="AK782" s="11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IF($H783="","",IFERROR(INDEX('CAT_ACTIVIDADES'!$B$4:$B$8,MATCH($H783,'CAT_ACTIVIDADES'!$A$4:$A$8,0)),"(sin catálogo)"))</f>
        <v/>
      </c>
      <c r="AA783" s="13">
        <f>IF($J783="","",TODAY()-$J783)</f>
        <v/>
      </c>
      <c r="AB783" s="13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IF($AE783="","",IF((IFERROR(INDEX('ASIGNACIONES'!$J$4:$J$451,MATCH($O783&amp;"|"&amp;$R783&amp;"|"&amp;$AE783,'ASIGNACIONES'!$N$4:$N$451,0)),""))=0,"",IFERROR(INDEX('ASIGNACIONES'!$J$4:$J$451,MATCH($O783&amp;"|"&amp;$R783&amp;"|"&amp;$AE783,'ASIGNACIONES'!$N$4:$N$451,0)),"")))</f>
        <v/>
      </c>
      <c r="AG783" s="14">
        <f>IF($AE783="","",SUMIFS('ORDENES'!$M$4:$M$1203,'ORDENES'!$AE$4:$AE$1203,$AE783,'ORDENES'!$O$4:$O$1203,$O783,'ORDENES'!$R$4:$R$1203,$R783))</f>
        <v/>
      </c>
      <c r="AH783" s="14">
        <f>IF($AG783="","",p_factor_productividad*IFERROR(INDEX('ASIGNACIONES'!$M$4:$M$451,MATCH($O783&amp;"|"&amp;$R783&amp;"|"&amp;$AE783,'ASIGNACIONES'!$N$4:$N$451,0)),0)-$AG783)</f>
        <v/>
      </c>
      <c r="AI783" s="11">
        <f>IF($A783="","",IFERROR(INDEX('2_IMPORTAR_EJECUCION'!$F$9:$F$1208,MATCH($AQ783,'2_IMPORTAR_EJECUCION'!$J$9:$J$1208,0)),0))</f>
        <v/>
      </c>
      <c r="AJ783" s="11">
        <f>IF($A783="","",MAX(0,IFERROR(INDEX('2_IMPORTAR_EJECUCION'!$H$9:$H$1208,MATCH($AQ783,'2_IMPORTAR_EJECUCION'!$J$9:$J$1208,0)),0)-$AI783))</f>
        <v/>
      </c>
      <c r="AK783" s="11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IF($H784="","",IFERROR(INDEX('CAT_ACTIVIDADES'!$B$4:$B$8,MATCH($H784,'CAT_ACTIVIDADES'!$A$4:$A$8,0)),"(sin catálogo)"))</f>
        <v/>
      </c>
      <c r="AA784" s="13">
        <f>IF($J784="","",TODAY()-$J784)</f>
        <v/>
      </c>
      <c r="AB784" s="13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IF($AE784="","",IF((IFERROR(INDEX('ASIGNACIONES'!$J$4:$J$451,MATCH($O784&amp;"|"&amp;$R784&amp;"|"&amp;$AE784,'ASIGNACIONES'!$N$4:$N$451,0)),""))=0,"",IFERROR(INDEX('ASIGNACIONES'!$J$4:$J$451,MATCH($O784&amp;"|"&amp;$R784&amp;"|"&amp;$AE784,'ASIGNACIONES'!$N$4:$N$451,0)),"")))</f>
        <v/>
      </c>
      <c r="AG784" s="14">
        <f>IF($AE784="","",SUMIFS('ORDENES'!$M$4:$M$1203,'ORDENES'!$AE$4:$AE$1203,$AE784,'ORDENES'!$O$4:$O$1203,$O784,'ORDENES'!$R$4:$R$1203,$R784))</f>
        <v/>
      </c>
      <c r="AH784" s="14">
        <f>IF($AG784="","",p_factor_productividad*IFERROR(INDEX('ASIGNACIONES'!$M$4:$M$451,MATCH($O784&amp;"|"&amp;$R784&amp;"|"&amp;$AE784,'ASIGNACIONES'!$N$4:$N$451,0)),0)-$AG784)</f>
        <v/>
      </c>
      <c r="AI784" s="11">
        <f>IF($A784="","",IFERROR(INDEX('2_IMPORTAR_EJECUCION'!$F$9:$F$1208,MATCH($AQ784,'2_IMPORTAR_EJECUCION'!$J$9:$J$1208,0)),0))</f>
        <v/>
      </c>
      <c r="AJ784" s="11">
        <f>IF($A784="","",MAX(0,IFERROR(INDEX('2_IMPORTAR_EJECUCION'!$H$9:$H$1208,MATCH($AQ784,'2_IMPORTAR_EJECUCION'!$J$9:$J$1208,0)),0)-$AI784))</f>
        <v/>
      </c>
      <c r="AK784" s="11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IF($H785="","",IFERROR(INDEX('CAT_ACTIVIDADES'!$B$4:$B$8,MATCH($H785,'CAT_ACTIVIDADES'!$A$4:$A$8,0)),"(sin catálogo)"))</f>
        <v/>
      </c>
      <c r="AA785" s="13">
        <f>IF($J785="","",TODAY()-$J785)</f>
        <v/>
      </c>
      <c r="AB785" s="13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IF($AE785="","",IF((IFERROR(INDEX('ASIGNACIONES'!$J$4:$J$451,MATCH($O785&amp;"|"&amp;$R785&amp;"|"&amp;$AE785,'ASIGNACIONES'!$N$4:$N$451,0)),""))=0,"",IFERROR(INDEX('ASIGNACIONES'!$J$4:$J$451,MATCH($O785&amp;"|"&amp;$R785&amp;"|"&amp;$AE785,'ASIGNACIONES'!$N$4:$N$451,0)),"")))</f>
        <v/>
      </c>
      <c r="AG785" s="14">
        <f>IF($AE785="","",SUMIFS('ORDENES'!$M$4:$M$1203,'ORDENES'!$AE$4:$AE$1203,$AE785,'ORDENES'!$O$4:$O$1203,$O785,'ORDENES'!$R$4:$R$1203,$R785))</f>
        <v/>
      </c>
      <c r="AH785" s="14">
        <f>IF($AG785="","",p_factor_productividad*IFERROR(INDEX('ASIGNACIONES'!$M$4:$M$451,MATCH($O785&amp;"|"&amp;$R785&amp;"|"&amp;$AE785,'ASIGNACIONES'!$N$4:$N$451,0)),0)-$AG785)</f>
        <v/>
      </c>
      <c r="AI785" s="11">
        <f>IF($A785="","",IFERROR(INDEX('2_IMPORTAR_EJECUCION'!$F$9:$F$1208,MATCH($AQ785,'2_IMPORTAR_EJECUCION'!$J$9:$J$1208,0)),0))</f>
        <v/>
      </c>
      <c r="AJ785" s="11">
        <f>IF($A785="","",MAX(0,IFERROR(INDEX('2_IMPORTAR_EJECUCION'!$H$9:$H$1208,MATCH($AQ785,'2_IMPORTAR_EJECUCION'!$J$9:$J$1208,0)),0)-$AI785))</f>
        <v/>
      </c>
      <c r="AK785" s="11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IF($H786="","",IFERROR(INDEX('CAT_ACTIVIDADES'!$B$4:$B$8,MATCH($H786,'CAT_ACTIVIDADES'!$A$4:$A$8,0)),"(sin catálogo)"))</f>
        <v/>
      </c>
      <c r="AA786" s="13">
        <f>IF($J786="","",TODAY()-$J786)</f>
        <v/>
      </c>
      <c r="AB786" s="13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IF($AE786="","",IF((IFERROR(INDEX('ASIGNACIONES'!$J$4:$J$451,MATCH($O786&amp;"|"&amp;$R786&amp;"|"&amp;$AE786,'ASIGNACIONES'!$N$4:$N$451,0)),""))=0,"",IFERROR(INDEX('ASIGNACIONES'!$J$4:$J$451,MATCH($O786&amp;"|"&amp;$R786&amp;"|"&amp;$AE786,'ASIGNACIONES'!$N$4:$N$451,0)),"")))</f>
        <v/>
      </c>
      <c r="AG786" s="14">
        <f>IF($AE786="","",SUMIFS('ORDENES'!$M$4:$M$1203,'ORDENES'!$AE$4:$AE$1203,$AE786,'ORDENES'!$O$4:$O$1203,$O786,'ORDENES'!$R$4:$R$1203,$R786))</f>
        <v/>
      </c>
      <c r="AH786" s="14">
        <f>IF($AG786="","",p_factor_productividad*IFERROR(INDEX('ASIGNACIONES'!$M$4:$M$451,MATCH($O786&amp;"|"&amp;$R786&amp;"|"&amp;$AE786,'ASIGNACIONES'!$N$4:$N$451,0)),0)-$AG786)</f>
        <v/>
      </c>
      <c r="AI786" s="11">
        <f>IF($A786="","",IFERROR(INDEX('2_IMPORTAR_EJECUCION'!$F$9:$F$1208,MATCH($AQ786,'2_IMPORTAR_EJECUCION'!$J$9:$J$1208,0)),0))</f>
        <v/>
      </c>
      <c r="AJ786" s="11">
        <f>IF($A786="","",MAX(0,IFERROR(INDEX('2_IMPORTAR_EJECUCION'!$H$9:$H$1208,MATCH($AQ786,'2_IMPORTAR_EJECUCION'!$J$9:$J$1208,0)),0)-$AI786))</f>
        <v/>
      </c>
      <c r="AK786" s="11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IF($H787="","",IFERROR(INDEX('CAT_ACTIVIDADES'!$B$4:$B$8,MATCH($H787,'CAT_ACTIVIDADES'!$A$4:$A$8,0)),"(sin catálogo)"))</f>
        <v/>
      </c>
      <c r="AA787" s="13">
        <f>IF($J787="","",TODAY()-$J787)</f>
        <v/>
      </c>
      <c r="AB787" s="13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IF($AE787="","",IF((IFERROR(INDEX('ASIGNACIONES'!$J$4:$J$451,MATCH($O787&amp;"|"&amp;$R787&amp;"|"&amp;$AE787,'ASIGNACIONES'!$N$4:$N$451,0)),""))=0,"",IFERROR(INDEX('ASIGNACIONES'!$J$4:$J$451,MATCH($O787&amp;"|"&amp;$R787&amp;"|"&amp;$AE787,'ASIGNACIONES'!$N$4:$N$451,0)),"")))</f>
        <v/>
      </c>
      <c r="AG787" s="14">
        <f>IF($AE787="","",SUMIFS('ORDENES'!$M$4:$M$1203,'ORDENES'!$AE$4:$AE$1203,$AE787,'ORDENES'!$O$4:$O$1203,$O787,'ORDENES'!$R$4:$R$1203,$R787))</f>
        <v/>
      </c>
      <c r="AH787" s="14">
        <f>IF($AG787="","",p_factor_productividad*IFERROR(INDEX('ASIGNACIONES'!$M$4:$M$451,MATCH($O787&amp;"|"&amp;$R787&amp;"|"&amp;$AE787,'ASIGNACIONES'!$N$4:$N$451,0)),0)-$AG787)</f>
        <v/>
      </c>
      <c r="AI787" s="11">
        <f>IF($A787="","",IFERROR(INDEX('2_IMPORTAR_EJECUCION'!$F$9:$F$1208,MATCH($AQ787,'2_IMPORTAR_EJECUCION'!$J$9:$J$1208,0)),0))</f>
        <v/>
      </c>
      <c r="AJ787" s="11">
        <f>IF($A787="","",MAX(0,IFERROR(INDEX('2_IMPORTAR_EJECUCION'!$H$9:$H$1208,MATCH($AQ787,'2_IMPORTAR_EJECUCION'!$J$9:$J$1208,0)),0)-$AI787))</f>
        <v/>
      </c>
      <c r="AK787" s="11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IF($H788="","",IFERROR(INDEX('CAT_ACTIVIDADES'!$B$4:$B$8,MATCH($H788,'CAT_ACTIVIDADES'!$A$4:$A$8,0)),"(sin catálogo)"))</f>
        <v/>
      </c>
      <c r="AA788" s="13">
        <f>IF($J788="","",TODAY()-$J788)</f>
        <v/>
      </c>
      <c r="AB788" s="13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IF($AE788="","",IF((IFERROR(INDEX('ASIGNACIONES'!$J$4:$J$451,MATCH($O788&amp;"|"&amp;$R788&amp;"|"&amp;$AE788,'ASIGNACIONES'!$N$4:$N$451,0)),""))=0,"",IFERROR(INDEX('ASIGNACIONES'!$J$4:$J$451,MATCH($O788&amp;"|"&amp;$R788&amp;"|"&amp;$AE788,'ASIGNACIONES'!$N$4:$N$451,0)),"")))</f>
        <v/>
      </c>
      <c r="AG788" s="14">
        <f>IF($AE788="","",SUMIFS('ORDENES'!$M$4:$M$1203,'ORDENES'!$AE$4:$AE$1203,$AE788,'ORDENES'!$O$4:$O$1203,$O788,'ORDENES'!$R$4:$R$1203,$R788))</f>
        <v/>
      </c>
      <c r="AH788" s="14">
        <f>IF($AG788="","",p_factor_productividad*IFERROR(INDEX('ASIGNACIONES'!$M$4:$M$451,MATCH($O788&amp;"|"&amp;$R788&amp;"|"&amp;$AE788,'ASIGNACIONES'!$N$4:$N$451,0)),0)-$AG788)</f>
        <v/>
      </c>
      <c r="AI788" s="11">
        <f>IF($A788="","",IFERROR(INDEX('2_IMPORTAR_EJECUCION'!$F$9:$F$1208,MATCH($AQ788,'2_IMPORTAR_EJECUCION'!$J$9:$J$1208,0)),0))</f>
        <v/>
      </c>
      <c r="AJ788" s="11">
        <f>IF($A788="","",MAX(0,IFERROR(INDEX('2_IMPORTAR_EJECUCION'!$H$9:$H$1208,MATCH($AQ788,'2_IMPORTAR_EJECUCION'!$J$9:$J$1208,0)),0)-$AI788))</f>
        <v/>
      </c>
      <c r="AK788" s="11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IF($H789="","",IFERROR(INDEX('CAT_ACTIVIDADES'!$B$4:$B$8,MATCH($H789,'CAT_ACTIVIDADES'!$A$4:$A$8,0)),"(sin catálogo)"))</f>
        <v/>
      </c>
      <c r="AA789" s="13">
        <f>IF($J789="","",TODAY()-$J789)</f>
        <v/>
      </c>
      <c r="AB789" s="13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IF($AE789="","",IF((IFERROR(INDEX('ASIGNACIONES'!$J$4:$J$451,MATCH($O789&amp;"|"&amp;$R789&amp;"|"&amp;$AE789,'ASIGNACIONES'!$N$4:$N$451,0)),""))=0,"",IFERROR(INDEX('ASIGNACIONES'!$J$4:$J$451,MATCH($O789&amp;"|"&amp;$R789&amp;"|"&amp;$AE789,'ASIGNACIONES'!$N$4:$N$451,0)),"")))</f>
        <v/>
      </c>
      <c r="AG789" s="14">
        <f>IF($AE789="","",SUMIFS('ORDENES'!$M$4:$M$1203,'ORDENES'!$AE$4:$AE$1203,$AE789,'ORDENES'!$O$4:$O$1203,$O789,'ORDENES'!$R$4:$R$1203,$R789))</f>
        <v/>
      </c>
      <c r="AH789" s="14">
        <f>IF($AG789="","",p_factor_productividad*IFERROR(INDEX('ASIGNACIONES'!$M$4:$M$451,MATCH($O789&amp;"|"&amp;$R789&amp;"|"&amp;$AE789,'ASIGNACIONES'!$N$4:$N$451,0)),0)-$AG789)</f>
        <v/>
      </c>
      <c r="AI789" s="11">
        <f>IF($A789="","",IFERROR(INDEX('2_IMPORTAR_EJECUCION'!$F$9:$F$1208,MATCH($AQ789,'2_IMPORTAR_EJECUCION'!$J$9:$J$1208,0)),0))</f>
        <v/>
      </c>
      <c r="AJ789" s="11">
        <f>IF($A789="","",MAX(0,IFERROR(INDEX('2_IMPORTAR_EJECUCION'!$H$9:$H$1208,MATCH($AQ789,'2_IMPORTAR_EJECUCION'!$J$9:$J$1208,0)),0)-$AI789))</f>
        <v/>
      </c>
      <c r="AK789" s="11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IF($H790="","",IFERROR(INDEX('CAT_ACTIVIDADES'!$B$4:$B$8,MATCH($H790,'CAT_ACTIVIDADES'!$A$4:$A$8,0)),"(sin catálogo)"))</f>
        <v/>
      </c>
      <c r="AA790" s="13">
        <f>IF($J790="","",TODAY()-$J790)</f>
        <v/>
      </c>
      <c r="AB790" s="13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IF($AE790="","",IF((IFERROR(INDEX('ASIGNACIONES'!$J$4:$J$451,MATCH($O790&amp;"|"&amp;$R790&amp;"|"&amp;$AE790,'ASIGNACIONES'!$N$4:$N$451,0)),""))=0,"",IFERROR(INDEX('ASIGNACIONES'!$J$4:$J$451,MATCH($O790&amp;"|"&amp;$R790&amp;"|"&amp;$AE790,'ASIGNACIONES'!$N$4:$N$451,0)),"")))</f>
        <v/>
      </c>
      <c r="AG790" s="14">
        <f>IF($AE790="","",SUMIFS('ORDENES'!$M$4:$M$1203,'ORDENES'!$AE$4:$AE$1203,$AE790,'ORDENES'!$O$4:$O$1203,$O790,'ORDENES'!$R$4:$R$1203,$R790))</f>
        <v/>
      </c>
      <c r="AH790" s="14">
        <f>IF($AG790="","",p_factor_productividad*IFERROR(INDEX('ASIGNACIONES'!$M$4:$M$451,MATCH($O790&amp;"|"&amp;$R790&amp;"|"&amp;$AE790,'ASIGNACIONES'!$N$4:$N$451,0)),0)-$AG790)</f>
        <v/>
      </c>
      <c r="AI790" s="11">
        <f>IF($A790="","",IFERROR(INDEX('2_IMPORTAR_EJECUCION'!$F$9:$F$1208,MATCH($AQ790,'2_IMPORTAR_EJECUCION'!$J$9:$J$1208,0)),0))</f>
        <v/>
      </c>
      <c r="AJ790" s="11">
        <f>IF($A790="","",MAX(0,IFERROR(INDEX('2_IMPORTAR_EJECUCION'!$H$9:$H$1208,MATCH($AQ790,'2_IMPORTAR_EJECUCION'!$J$9:$J$1208,0)),0)-$AI790))</f>
        <v/>
      </c>
      <c r="AK790" s="11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IF($H791="","",IFERROR(INDEX('CAT_ACTIVIDADES'!$B$4:$B$8,MATCH($H791,'CAT_ACTIVIDADES'!$A$4:$A$8,0)),"(sin catálogo)"))</f>
        <v/>
      </c>
      <c r="AA791" s="13">
        <f>IF($J791="","",TODAY()-$J791)</f>
        <v/>
      </c>
      <c r="AB791" s="13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IF($AE791="","",IF((IFERROR(INDEX('ASIGNACIONES'!$J$4:$J$451,MATCH($O791&amp;"|"&amp;$R791&amp;"|"&amp;$AE791,'ASIGNACIONES'!$N$4:$N$451,0)),""))=0,"",IFERROR(INDEX('ASIGNACIONES'!$J$4:$J$451,MATCH($O791&amp;"|"&amp;$R791&amp;"|"&amp;$AE791,'ASIGNACIONES'!$N$4:$N$451,0)),"")))</f>
        <v/>
      </c>
      <c r="AG791" s="14">
        <f>IF($AE791="","",SUMIFS('ORDENES'!$M$4:$M$1203,'ORDENES'!$AE$4:$AE$1203,$AE791,'ORDENES'!$O$4:$O$1203,$O791,'ORDENES'!$R$4:$R$1203,$R791))</f>
        <v/>
      </c>
      <c r="AH791" s="14">
        <f>IF($AG791="","",p_factor_productividad*IFERROR(INDEX('ASIGNACIONES'!$M$4:$M$451,MATCH($O791&amp;"|"&amp;$R791&amp;"|"&amp;$AE791,'ASIGNACIONES'!$N$4:$N$451,0)),0)-$AG791)</f>
        <v/>
      </c>
      <c r="AI791" s="11">
        <f>IF($A791="","",IFERROR(INDEX('2_IMPORTAR_EJECUCION'!$F$9:$F$1208,MATCH($AQ791,'2_IMPORTAR_EJECUCION'!$J$9:$J$1208,0)),0))</f>
        <v/>
      </c>
      <c r="AJ791" s="11">
        <f>IF($A791="","",MAX(0,IFERROR(INDEX('2_IMPORTAR_EJECUCION'!$H$9:$H$1208,MATCH($AQ791,'2_IMPORTAR_EJECUCION'!$J$9:$J$1208,0)),0)-$AI791))</f>
        <v/>
      </c>
      <c r="AK791" s="11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IF($H792="","",IFERROR(INDEX('CAT_ACTIVIDADES'!$B$4:$B$8,MATCH($H792,'CAT_ACTIVIDADES'!$A$4:$A$8,0)),"(sin catálogo)"))</f>
        <v/>
      </c>
      <c r="AA792" s="13">
        <f>IF($J792="","",TODAY()-$J792)</f>
        <v/>
      </c>
      <c r="AB792" s="13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IF($AE792="","",IF((IFERROR(INDEX('ASIGNACIONES'!$J$4:$J$451,MATCH($O792&amp;"|"&amp;$R792&amp;"|"&amp;$AE792,'ASIGNACIONES'!$N$4:$N$451,0)),""))=0,"",IFERROR(INDEX('ASIGNACIONES'!$J$4:$J$451,MATCH($O792&amp;"|"&amp;$R792&amp;"|"&amp;$AE792,'ASIGNACIONES'!$N$4:$N$451,0)),"")))</f>
        <v/>
      </c>
      <c r="AG792" s="14">
        <f>IF($AE792="","",SUMIFS('ORDENES'!$M$4:$M$1203,'ORDENES'!$AE$4:$AE$1203,$AE792,'ORDENES'!$O$4:$O$1203,$O792,'ORDENES'!$R$4:$R$1203,$R792))</f>
        <v/>
      </c>
      <c r="AH792" s="14">
        <f>IF($AG792="","",p_factor_productividad*IFERROR(INDEX('ASIGNACIONES'!$M$4:$M$451,MATCH($O792&amp;"|"&amp;$R792&amp;"|"&amp;$AE792,'ASIGNACIONES'!$N$4:$N$451,0)),0)-$AG792)</f>
        <v/>
      </c>
      <c r="AI792" s="11">
        <f>IF($A792="","",IFERROR(INDEX('2_IMPORTAR_EJECUCION'!$F$9:$F$1208,MATCH($AQ792,'2_IMPORTAR_EJECUCION'!$J$9:$J$1208,0)),0))</f>
        <v/>
      </c>
      <c r="AJ792" s="11">
        <f>IF($A792="","",MAX(0,IFERROR(INDEX('2_IMPORTAR_EJECUCION'!$H$9:$H$1208,MATCH($AQ792,'2_IMPORTAR_EJECUCION'!$J$9:$J$1208,0)),0)-$AI792))</f>
        <v/>
      </c>
      <c r="AK792" s="11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IF($H793="","",IFERROR(INDEX('CAT_ACTIVIDADES'!$B$4:$B$8,MATCH($H793,'CAT_ACTIVIDADES'!$A$4:$A$8,0)),"(sin catálogo)"))</f>
        <v/>
      </c>
      <c r="AA793" s="13">
        <f>IF($J793="","",TODAY()-$J793)</f>
        <v/>
      </c>
      <c r="AB793" s="13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IF($AE793="","",IF((IFERROR(INDEX('ASIGNACIONES'!$J$4:$J$451,MATCH($O793&amp;"|"&amp;$R793&amp;"|"&amp;$AE793,'ASIGNACIONES'!$N$4:$N$451,0)),""))=0,"",IFERROR(INDEX('ASIGNACIONES'!$J$4:$J$451,MATCH($O793&amp;"|"&amp;$R793&amp;"|"&amp;$AE793,'ASIGNACIONES'!$N$4:$N$451,0)),"")))</f>
        <v/>
      </c>
      <c r="AG793" s="14">
        <f>IF($AE793="","",SUMIFS('ORDENES'!$M$4:$M$1203,'ORDENES'!$AE$4:$AE$1203,$AE793,'ORDENES'!$O$4:$O$1203,$O793,'ORDENES'!$R$4:$R$1203,$R793))</f>
        <v/>
      </c>
      <c r="AH793" s="14">
        <f>IF($AG793="","",p_factor_productividad*IFERROR(INDEX('ASIGNACIONES'!$M$4:$M$451,MATCH($O793&amp;"|"&amp;$R793&amp;"|"&amp;$AE793,'ASIGNACIONES'!$N$4:$N$451,0)),0)-$AG793)</f>
        <v/>
      </c>
      <c r="AI793" s="11">
        <f>IF($A793="","",IFERROR(INDEX('2_IMPORTAR_EJECUCION'!$F$9:$F$1208,MATCH($AQ793,'2_IMPORTAR_EJECUCION'!$J$9:$J$1208,0)),0))</f>
        <v/>
      </c>
      <c r="AJ793" s="11">
        <f>IF($A793="","",MAX(0,IFERROR(INDEX('2_IMPORTAR_EJECUCION'!$H$9:$H$1208,MATCH($AQ793,'2_IMPORTAR_EJECUCION'!$J$9:$J$1208,0)),0)-$AI793))</f>
        <v/>
      </c>
      <c r="AK793" s="11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IF($H794="","",IFERROR(INDEX('CAT_ACTIVIDADES'!$B$4:$B$8,MATCH($H794,'CAT_ACTIVIDADES'!$A$4:$A$8,0)),"(sin catálogo)"))</f>
        <v/>
      </c>
      <c r="AA794" s="13">
        <f>IF($J794="","",TODAY()-$J794)</f>
        <v/>
      </c>
      <c r="AB794" s="13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IF($AE794="","",IF((IFERROR(INDEX('ASIGNACIONES'!$J$4:$J$451,MATCH($O794&amp;"|"&amp;$R794&amp;"|"&amp;$AE794,'ASIGNACIONES'!$N$4:$N$451,0)),""))=0,"",IFERROR(INDEX('ASIGNACIONES'!$J$4:$J$451,MATCH($O794&amp;"|"&amp;$R794&amp;"|"&amp;$AE794,'ASIGNACIONES'!$N$4:$N$451,0)),"")))</f>
        <v/>
      </c>
      <c r="AG794" s="14">
        <f>IF($AE794="","",SUMIFS('ORDENES'!$M$4:$M$1203,'ORDENES'!$AE$4:$AE$1203,$AE794,'ORDENES'!$O$4:$O$1203,$O794,'ORDENES'!$R$4:$R$1203,$R794))</f>
        <v/>
      </c>
      <c r="AH794" s="14">
        <f>IF($AG794="","",p_factor_productividad*IFERROR(INDEX('ASIGNACIONES'!$M$4:$M$451,MATCH($O794&amp;"|"&amp;$R794&amp;"|"&amp;$AE794,'ASIGNACIONES'!$N$4:$N$451,0)),0)-$AG794)</f>
        <v/>
      </c>
      <c r="AI794" s="11">
        <f>IF($A794="","",IFERROR(INDEX('2_IMPORTAR_EJECUCION'!$F$9:$F$1208,MATCH($AQ794,'2_IMPORTAR_EJECUCION'!$J$9:$J$1208,0)),0))</f>
        <v/>
      </c>
      <c r="AJ794" s="11">
        <f>IF($A794="","",MAX(0,IFERROR(INDEX('2_IMPORTAR_EJECUCION'!$H$9:$H$1208,MATCH($AQ794,'2_IMPORTAR_EJECUCION'!$J$9:$J$1208,0)),0)-$AI794))</f>
        <v/>
      </c>
      <c r="AK794" s="11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IF($H795="","",IFERROR(INDEX('CAT_ACTIVIDADES'!$B$4:$B$8,MATCH($H795,'CAT_ACTIVIDADES'!$A$4:$A$8,0)),"(sin catálogo)"))</f>
        <v/>
      </c>
      <c r="AA795" s="13">
        <f>IF($J795="","",TODAY()-$J795)</f>
        <v/>
      </c>
      <c r="AB795" s="13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IF($AE795="","",IF((IFERROR(INDEX('ASIGNACIONES'!$J$4:$J$451,MATCH($O795&amp;"|"&amp;$R795&amp;"|"&amp;$AE795,'ASIGNACIONES'!$N$4:$N$451,0)),""))=0,"",IFERROR(INDEX('ASIGNACIONES'!$J$4:$J$451,MATCH($O795&amp;"|"&amp;$R795&amp;"|"&amp;$AE795,'ASIGNACIONES'!$N$4:$N$451,0)),"")))</f>
        <v/>
      </c>
      <c r="AG795" s="14">
        <f>IF($AE795="","",SUMIFS('ORDENES'!$M$4:$M$1203,'ORDENES'!$AE$4:$AE$1203,$AE795,'ORDENES'!$O$4:$O$1203,$O795,'ORDENES'!$R$4:$R$1203,$R795))</f>
        <v/>
      </c>
      <c r="AH795" s="14">
        <f>IF($AG795="","",p_factor_productividad*IFERROR(INDEX('ASIGNACIONES'!$M$4:$M$451,MATCH($O795&amp;"|"&amp;$R795&amp;"|"&amp;$AE795,'ASIGNACIONES'!$N$4:$N$451,0)),0)-$AG795)</f>
        <v/>
      </c>
      <c r="AI795" s="11">
        <f>IF($A795="","",IFERROR(INDEX('2_IMPORTAR_EJECUCION'!$F$9:$F$1208,MATCH($AQ795,'2_IMPORTAR_EJECUCION'!$J$9:$J$1208,0)),0))</f>
        <v/>
      </c>
      <c r="AJ795" s="11">
        <f>IF($A795="","",MAX(0,IFERROR(INDEX('2_IMPORTAR_EJECUCION'!$H$9:$H$1208,MATCH($AQ795,'2_IMPORTAR_EJECUCION'!$J$9:$J$1208,0)),0)-$AI795))</f>
        <v/>
      </c>
      <c r="AK795" s="11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IF($H796="","",IFERROR(INDEX('CAT_ACTIVIDADES'!$B$4:$B$8,MATCH($H796,'CAT_ACTIVIDADES'!$A$4:$A$8,0)),"(sin catálogo)"))</f>
        <v/>
      </c>
      <c r="AA796" s="13">
        <f>IF($J796="","",TODAY()-$J796)</f>
        <v/>
      </c>
      <c r="AB796" s="13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IF($AE796="","",IF((IFERROR(INDEX('ASIGNACIONES'!$J$4:$J$451,MATCH($O796&amp;"|"&amp;$R796&amp;"|"&amp;$AE796,'ASIGNACIONES'!$N$4:$N$451,0)),""))=0,"",IFERROR(INDEX('ASIGNACIONES'!$J$4:$J$451,MATCH($O796&amp;"|"&amp;$R796&amp;"|"&amp;$AE796,'ASIGNACIONES'!$N$4:$N$451,0)),"")))</f>
        <v/>
      </c>
      <c r="AG796" s="14">
        <f>IF($AE796="","",SUMIFS('ORDENES'!$M$4:$M$1203,'ORDENES'!$AE$4:$AE$1203,$AE796,'ORDENES'!$O$4:$O$1203,$O796,'ORDENES'!$R$4:$R$1203,$R796))</f>
        <v/>
      </c>
      <c r="AH796" s="14">
        <f>IF($AG796="","",p_factor_productividad*IFERROR(INDEX('ASIGNACIONES'!$M$4:$M$451,MATCH($O796&amp;"|"&amp;$R796&amp;"|"&amp;$AE796,'ASIGNACIONES'!$N$4:$N$451,0)),0)-$AG796)</f>
        <v/>
      </c>
      <c r="AI796" s="11">
        <f>IF($A796="","",IFERROR(INDEX('2_IMPORTAR_EJECUCION'!$F$9:$F$1208,MATCH($AQ796,'2_IMPORTAR_EJECUCION'!$J$9:$J$1208,0)),0))</f>
        <v/>
      </c>
      <c r="AJ796" s="11">
        <f>IF($A796="","",MAX(0,IFERROR(INDEX('2_IMPORTAR_EJECUCION'!$H$9:$H$1208,MATCH($AQ796,'2_IMPORTAR_EJECUCION'!$J$9:$J$1208,0)),0)-$AI796))</f>
        <v/>
      </c>
      <c r="AK796" s="11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IF($H797="","",IFERROR(INDEX('CAT_ACTIVIDADES'!$B$4:$B$8,MATCH($H797,'CAT_ACTIVIDADES'!$A$4:$A$8,0)),"(sin catálogo)"))</f>
        <v/>
      </c>
      <c r="AA797" s="13">
        <f>IF($J797="","",TODAY()-$J797)</f>
        <v/>
      </c>
      <c r="AB797" s="13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IF($AE797="","",IF((IFERROR(INDEX('ASIGNACIONES'!$J$4:$J$451,MATCH($O797&amp;"|"&amp;$R797&amp;"|"&amp;$AE797,'ASIGNACIONES'!$N$4:$N$451,0)),""))=0,"",IFERROR(INDEX('ASIGNACIONES'!$J$4:$J$451,MATCH($O797&amp;"|"&amp;$R797&amp;"|"&amp;$AE797,'ASIGNACIONES'!$N$4:$N$451,0)),"")))</f>
        <v/>
      </c>
      <c r="AG797" s="14">
        <f>IF($AE797="","",SUMIFS('ORDENES'!$M$4:$M$1203,'ORDENES'!$AE$4:$AE$1203,$AE797,'ORDENES'!$O$4:$O$1203,$O797,'ORDENES'!$R$4:$R$1203,$R797))</f>
        <v/>
      </c>
      <c r="AH797" s="14">
        <f>IF($AG797="","",p_factor_productividad*IFERROR(INDEX('ASIGNACIONES'!$M$4:$M$451,MATCH($O797&amp;"|"&amp;$R797&amp;"|"&amp;$AE797,'ASIGNACIONES'!$N$4:$N$451,0)),0)-$AG797)</f>
        <v/>
      </c>
      <c r="AI797" s="11">
        <f>IF($A797="","",IFERROR(INDEX('2_IMPORTAR_EJECUCION'!$F$9:$F$1208,MATCH($AQ797,'2_IMPORTAR_EJECUCION'!$J$9:$J$1208,0)),0))</f>
        <v/>
      </c>
      <c r="AJ797" s="11">
        <f>IF($A797="","",MAX(0,IFERROR(INDEX('2_IMPORTAR_EJECUCION'!$H$9:$H$1208,MATCH($AQ797,'2_IMPORTAR_EJECUCION'!$J$9:$J$1208,0)),0)-$AI797))</f>
        <v/>
      </c>
      <c r="AK797" s="11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IF($H798="","",IFERROR(INDEX('CAT_ACTIVIDADES'!$B$4:$B$8,MATCH($H798,'CAT_ACTIVIDADES'!$A$4:$A$8,0)),"(sin catálogo)"))</f>
        <v/>
      </c>
      <c r="AA798" s="13">
        <f>IF($J798="","",TODAY()-$J798)</f>
        <v/>
      </c>
      <c r="AB798" s="13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IF($AE798="","",IF((IFERROR(INDEX('ASIGNACIONES'!$J$4:$J$451,MATCH($O798&amp;"|"&amp;$R798&amp;"|"&amp;$AE798,'ASIGNACIONES'!$N$4:$N$451,0)),""))=0,"",IFERROR(INDEX('ASIGNACIONES'!$J$4:$J$451,MATCH($O798&amp;"|"&amp;$R798&amp;"|"&amp;$AE798,'ASIGNACIONES'!$N$4:$N$451,0)),"")))</f>
        <v/>
      </c>
      <c r="AG798" s="14">
        <f>IF($AE798="","",SUMIFS('ORDENES'!$M$4:$M$1203,'ORDENES'!$AE$4:$AE$1203,$AE798,'ORDENES'!$O$4:$O$1203,$O798,'ORDENES'!$R$4:$R$1203,$R798))</f>
        <v/>
      </c>
      <c r="AH798" s="14">
        <f>IF($AG798="","",p_factor_productividad*IFERROR(INDEX('ASIGNACIONES'!$M$4:$M$451,MATCH($O798&amp;"|"&amp;$R798&amp;"|"&amp;$AE798,'ASIGNACIONES'!$N$4:$N$451,0)),0)-$AG798)</f>
        <v/>
      </c>
      <c r="AI798" s="11">
        <f>IF($A798="","",IFERROR(INDEX('2_IMPORTAR_EJECUCION'!$F$9:$F$1208,MATCH($AQ798,'2_IMPORTAR_EJECUCION'!$J$9:$J$1208,0)),0))</f>
        <v/>
      </c>
      <c r="AJ798" s="11">
        <f>IF($A798="","",MAX(0,IFERROR(INDEX('2_IMPORTAR_EJECUCION'!$H$9:$H$1208,MATCH($AQ798,'2_IMPORTAR_EJECUCION'!$J$9:$J$1208,0)),0)-$AI798))</f>
        <v/>
      </c>
      <c r="AK798" s="11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IF($H799="","",IFERROR(INDEX('CAT_ACTIVIDADES'!$B$4:$B$8,MATCH($H799,'CAT_ACTIVIDADES'!$A$4:$A$8,0)),"(sin catálogo)"))</f>
        <v/>
      </c>
      <c r="AA799" s="13">
        <f>IF($J799="","",TODAY()-$J799)</f>
        <v/>
      </c>
      <c r="AB799" s="13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IF($AE799="","",IF((IFERROR(INDEX('ASIGNACIONES'!$J$4:$J$451,MATCH($O799&amp;"|"&amp;$R799&amp;"|"&amp;$AE799,'ASIGNACIONES'!$N$4:$N$451,0)),""))=0,"",IFERROR(INDEX('ASIGNACIONES'!$J$4:$J$451,MATCH($O799&amp;"|"&amp;$R799&amp;"|"&amp;$AE799,'ASIGNACIONES'!$N$4:$N$451,0)),"")))</f>
        <v/>
      </c>
      <c r="AG799" s="14">
        <f>IF($AE799="","",SUMIFS('ORDENES'!$M$4:$M$1203,'ORDENES'!$AE$4:$AE$1203,$AE799,'ORDENES'!$O$4:$O$1203,$O799,'ORDENES'!$R$4:$R$1203,$R799))</f>
        <v/>
      </c>
      <c r="AH799" s="14">
        <f>IF($AG799="","",p_factor_productividad*IFERROR(INDEX('ASIGNACIONES'!$M$4:$M$451,MATCH($O799&amp;"|"&amp;$R799&amp;"|"&amp;$AE799,'ASIGNACIONES'!$N$4:$N$451,0)),0)-$AG799)</f>
        <v/>
      </c>
      <c r="AI799" s="11">
        <f>IF($A799="","",IFERROR(INDEX('2_IMPORTAR_EJECUCION'!$F$9:$F$1208,MATCH($AQ799,'2_IMPORTAR_EJECUCION'!$J$9:$J$1208,0)),0))</f>
        <v/>
      </c>
      <c r="AJ799" s="11">
        <f>IF($A799="","",MAX(0,IFERROR(INDEX('2_IMPORTAR_EJECUCION'!$H$9:$H$1208,MATCH($AQ799,'2_IMPORTAR_EJECUCION'!$J$9:$J$1208,0)),0)-$AI799))</f>
        <v/>
      </c>
      <c r="AK799" s="11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IF($H800="","",IFERROR(INDEX('CAT_ACTIVIDADES'!$B$4:$B$8,MATCH($H800,'CAT_ACTIVIDADES'!$A$4:$A$8,0)),"(sin catálogo)"))</f>
        <v/>
      </c>
      <c r="AA800" s="13">
        <f>IF($J800="","",TODAY()-$J800)</f>
        <v/>
      </c>
      <c r="AB800" s="13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IF($AE800="","",IF((IFERROR(INDEX('ASIGNACIONES'!$J$4:$J$451,MATCH($O800&amp;"|"&amp;$R800&amp;"|"&amp;$AE800,'ASIGNACIONES'!$N$4:$N$451,0)),""))=0,"",IFERROR(INDEX('ASIGNACIONES'!$J$4:$J$451,MATCH($O800&amp;"|"&amp;$R800&amp;"|"&amp;$AE800,'ASIGNACIONES'!$N$4:$N$451,0)),"")))</f>
        <v/>
      </c>
      <c r="AG800" s="14">
        <f>IF($AE800="","",SUMIFS('ORDENES'!$M$4:$M$1203,'ORDENES'!$AE$4:$AE$1203,$AE800,'ORDENES'!$O$4:$O$1203,$O800,'ORDENES'!$R$4:$R$1203,$R800))</f>
        <v/>
      </c>
      <c r="AH800" s="14">
        <f>IF($AG800="","",p_factor_productividad*IFERROR(INDEX('ASIGNACIONES'!$M$4:$M$451,MATCH($O800&amp;"|"&amp;$R800&amp;"|"&amp;$AE800,'ASIGNACIONES'!$N$4:$N$451,0)),0)-$AG800)</f>
        <v/>
      </c>
      <c r="AI800" s="11">
        <f>IF($A800="","",IFERROR(INDEX('2_IMPORTAR_EJECUCION'!$F$9:$F$1208,MATCH($AQ800,'2_IMPORTAR_EJECUCION'!$J$9:$J$1208,0)),0))</f>
        <v/>
      </c>
      <c r="AJ800" s="11">
        <f>IF($A800="","",MAX(0,IFERROR(INDEX('2_IMPORTAR_EJECUCION'!$H$9:$H$1208,MATCH($AQ800,'2_IMPORTAR_EJECUCION'!$J$9:$J$1208,0)),0)-$AI800))</f>
        <v/>
      </c>
      <c r="AK800" s="11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IF($H801="","",IFERROR(INDEX('CAT_ACTIVIDADES'!$B$4:$B$8,MATCH($H801,'CAT_ACTIVIDADES'!$A$4:$A$8,0)),"(sin catálogo)"))</f>
        <v/>
      </c>
      <c r="AA801" s="13">
        <f>IF($J801="","",TODAY()-$J801)</f>
        <v/>
      </c>
      <c r="AB801" s="13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IF($AE801="","",IF((IFERROR(INDEX('ASIGNACIONES'!$J$4:$J$451,MATCH($O801&amp;"|"&amp;$R801&amp;"|"&amp;$AE801,'ASIGNACIONES'!$N$4:$N$451,0)),""))=0,"",IFERROR(INDEX('ASIGNACIONES'!$J$4:$J$451,MATCH($O801&amp;"|"&amp;$R801&amp;"|"&amp;$AE801,'ASIGNACIONES'!$N$4:$N$451,0)),"")))</f>
        <v/>
      </c>
      <c r="AG801" s="14">
        <f>IF($AE801="","",SUMIFS('ORDENES'!$M$4:$M$1203,'ORDENES'!$AE$4:$AE$1203,$AE801,'ORDENES'!$O$4:$O$1203,$O801,'ORDENES'!$R$4:$R$1203,$R801))</f>
        <v/>
      </c>
      <c r="AH801" s="14">
        <f>IF($AG801="","",p_factor_productividad*IFERROR(INDEX('ASIGNACIONES'!$M$4:$M$451,MATCH($O801&amp;"|"&amp;$R801&amp;"|"&amp;$AE801,'ASIGNACIONES'!$N$4:$N$451,0)),0)-$AG801)</f>
        <v/>
      </c>
      <c r="AI801" s="11">
        <f>IF($A801="","",IFERROR(INDEX('2_IMPORTAR_EJECUCION'!$F$9:$F$1208,MATCH($AQ801,'2_IMPORTAR_EJECUCION'!$J$9:$J$1208,0)),0))</f>
        <v/>
      </c>
      <c r="AJ801" s="11">
        <f>IF($A801="","",MAX(0,IFERROR(INDEX('2_IMPORTAR_EJECUCION'!$H$9:$H$1208,MATCH($AQ801,'2_IMPORTAR_EJECUCION'!$J$9:$J$1208,0)),0)-$AI801))</f>
        <v/>
      </c>
      <c r="AK801" s="11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IF($H802="","",IFERROR(INDEX('CAT_ACTIVIDADES'!$B$4:$B$8,MATCH($H802,'CAT_ACTIVIDADES'!$A$4:$A$8,0)),"(sin catálogo)"))</f>
        <v/>
      </c>
      <c r="AA802" s="13">
        <f>IF($J802="","",TODAY()-$J802)</f>
        <v/>
      </c>
      <c r="AB802" s="13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IF($AE802="","",IF((IFERROR(INDEX('ASIGNACIONES'!$J$4:$J$451,MATCH($O802&amp;"|"&amp;$R802&amp;"|"&amp;$AE802,'ASIGNACIONES'!$N$4:$N$451,0)),""))=0,"",IFERROR(INDEX('ASIGNACIONES'!$J$4:$J$451,MATCH($O802&amp;"|"&amp;$R802&amp;"|"&amp;$AE802,'ASIGNACIONES'!$N$4:$N$451,0)),"")))</f>
        <v/>
      </c>
      <c r="AG802" s="14">
        <f>IF($AE802="","",SUMIFS('ORDENES'!$M$4:$M$1203,'ORDENES'!$AE$4:$AE$1203,$AE802,'ORDENES'!$O$4:$O$1203,$O802,'ORDENES'!$R$4:$R$1203,$R802))</f>
        <v/>
      </c>
      <c r="AH802" s="14">
        <f>IF($AG802="","",p_factor_productividad*IFERROR(INDEX('ASIGNACIONES'!$M$4:$M$451,MATCH($O802&amp;"|"&amp;$R802&amp;"|"&amp;$AE802,'ASIGNACIONES'!$N$4:$N$451,0)),0)-$AG802)</f>
        <v/>
      </c>
      <c r="AI802" s="11">
        <f>IF($A802="","",IFERROR(INDEX('2_IMPORTAR_EJECUCION'!$F$9:$F$1208,MATCH($AQ802,'2_IMPORTAR_EJECUCION'!$J$9:$J$1208,0)),0))</f>
        <v/>
      </c>
      <c r="AJ802" s="11">
        <f>IF($A802="","",MAX(0,IFERROR(INDEX('2_IMPORTAR_EJECUCION'!$H$9:$H$1208,MATCH($AQ802,'2_IMPORTAR_EJECUCION'!$J$9:$J$1208,0)),0)-$AI802))</f>
        <v/>
      </c>
      <c r="AK802" s="11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IF($H803="","",IFERROR(INDEX('CAT_ACTIVIDADES'!$B$4:$B$8,MATCH($H803,'CAT_ACTIVIDADES'!$A$4:$A$8,0)),"(sin catálogo)"))</f>
        <v/>
      </c>
      <c r="AA803" s="13">
        <f>IF($J803="","",TODAY()-$J803)</f>
        <v/>
      </c>
      <c r="AB803" s="13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IF($AE803="","",IF((IFERROR(INDEX('ASIGNACIONES'!$J$4:$J$451,MATCH($O803&amp;"|"&amp;$R803&amp;"|"&amp;$AE803,'ASIGNACIONES'!$N$4:$N$451,0)),""))=0,"",IFERROR(INDEX('ASIGNACIONES'!$J$4:$J$451,MATCH($O803&amp;"|"&amp;$R803&amp;"|"&amp;$AE803,'ASIGNACIONES'!$N$4:$N$451,0)),"")))</f>
        <v/>
      </c>
      <c r="AG803" s="14">
        <f>IF($AE803="","",SUMIFS('ORDENES'!$M$4:$M$1203,'ORDENES'!$AE$4:$AE$1203,$AE803,'ORDENES'!$O$4:$O$1203,$O803,'ORDENES'!$R$4:$R$1203,$R803))</f>
        <v/>
      </c>
      <c r="AH803" s="14">
        <f>IF($AG803="","",p_factor_productividad*IFERROR(INDEX('ASIGNACIONES'!$M$4:$M$451,MATCH($O803&amp;"|"&amp;$R803&amp;"|"&amp;$AE803,'ASIGNACIONES'!$N$4:$N$451,0)),0)-$AG803)</f>
        <v/>
      </c>
      <c r="AI803" s="11">
        <f>IF($A803="","",IFERROR(INDEX('2_IMPORTAR_EJECUCION'!$F$9:$F$1208,MATCH($AQ803,'2_IMPORTAR_EJECUCION'!$J$9:$J$1208,0)),0))</f>
        <v/>
      </c>
      <c r="AJ803" s="11">
        <f>IF($A803="","",MAX(0,IFERROR(INDEX('2_IMPORTAR_EJECUCION'!$H$9:$H$1208,MATCH($AQ803,'2_IMPORTAR_EJECUCION'!$J$9:$J$1208,0)),0)-$AI803))</f>
        <v/>
      </c>
      <c r="AK803" s="11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IF($H804="","",IFERROR(INDEX('CAT_ACTIVIDADES'!$B$4:$B$8,MATCH($H804,'CAT_ACTIVIDADES'!$A$4:$A$8,0)),"(sin catálogo)"))</f>
        <v/>
      </c>
      <c r="AA804" s="13">
        <f>IF($J804="","",TODAY()-$J804)</f>
        <v/>
      </c>
      <c r="AB804" s="13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IF($AE804="","",IF((IFERROR(INDEX('ASIGNACIONES'!$J$4:$J$451,MATCH($O804&amp;"|"&amp;$R804&amp;"|"&amp;$AE804,'ASIGNACIONES'!$N$4:$N$451,0)),""))=0,"",IFERROR(INDEX('ASIGNACIONES'!$J$4:$J$451,MATCH($O804&amp;"|"&amp;$R804&amp;"|"&amp;$AE804,'ASIGNACIONES'!$N$4:$N$451,0)),"")))</f>
        <v/>
      </c>
      <c r="AG804" s="14">
        <f>IF($AE804="","",SUMIFS('ORDENES'!$M$4:$M$1203,'ORDENES'!$AE$4:$AE$1203,$AE804,'ORDENES'!$O$4:$O$1203,$O804,'ORDENES'!$R$4:$R$1203,$R804))</f>
        <v/>
      </c>
      <c r="AH804" s="14">
        <f>IF($AG804="","",p_factor_productividad*IFERROR(INDEX('ASIGNACIONES'!$M$4:$M$451,MATCH($O804&amp;"|"&amp;$R804&amp;"|"&amp;$AE804,'ASIGNACIONES'!$N$4:$N$451,0)),0)-$AG804)</f>
        <v/>
      </c>
      <c r="AI804" s="11">
        <f>IF($A804="","",IFERROR(INDEX('2_IMPORTAR_EJECUCION'!$F$9:$F$1208,MATCH($AQ804,'2_IMPORTAR_EJECUCION'!$J$9:$J$1208,0)),0))</f>
        <v/>
      </c>
      <c r="AJ804" s="11">
        <f>IF($A804="","",MAX(0,IFERROR(INDEX('2_IMPORTAR_EJECUCION'!$H$9:$H$1208,MATCH($AQ804,'2_IMPORTAR_EJECUCION'!$J$9:$J$1208,0)),0)-$AI804))</f>
        <v/>
      </c>
      <c r="AK804" s="11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IF($H805="","",IFERROR(INDEX('CAT_ACTIVIDADES'!$B$4:$B$8,MATCH($H805,'CAT_ACTIVIDADES'!$A$4:$A$8,0)),"(sin catálogo)"))</f>
        <v/>
      </c>
      <c r="AA805" s="13">
        <f>IF($J805="","",TODAY()-$J805)</f>
        <v/>
      </c>
      <c r="AB805" s="13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IF($AE805="","",IF((IFERROR(INDEX('ASIGNACIONES'!$J$4:$J$451,MATCH($O805&amp;"|"&amp;$R805&amp;"|"&amp;$AE805,'ASIGNACIONES'!$N$4:$N$451,0)),""))=0,"",IFERROR(INDEX('ASIGNACIONES'!$J$4:$J$451,MATCH($O805&amp;"|"&amp;$R805&amp;"|"&amp;$AE805,'ASIGNACIONES'!$N$4:$N$451,0)),"")))</f>
        <v/>
      </c>
      <c r="AG805" s="14">
        <f>IF($AE805="","",SUMIFS('ORDENES'!$M$4:$M$1203,'ORDENES'!$AE$4:$AE$1203,$AE805,'ORDENES'!$O$4:$O$1203,$O805,'ORDENES'!$R$4:$R$1203,$R805))</f>
        <v/>
      </c>
      <c r="AH805" s="14">
        <f>IF($AG805="","",p_factor_productividad*IFERROR(INDEX('ASIGNACIONES'!$M$4:$M$451,MATCH($O805&amp;"|"&amp;$R805&amp;"|"&amp;$AE805,'ASIGNACIONES'!$N$4:$N$451,0)),0)-$AG805)</f>
        <v/>
      </c>
      <c r="AI805" s="11">
        <f>IF($A805="","",IFERROR(INDEX('2_IMPORTAR_EJECUCION'!$F$9:$F$1208,MATCH($AQ805,'2_IMPORTAR_EJECUCION'!$J$9:$J$1208,0)),0))</f>
        <v/>
      </c>
      <c r="AJ805" s="11">
        <f>IF($A805="","",MAX(0,IFERROR(INDEX('2_IMPORTAR_EJECUCION'!$H$9:$H$1208,MATCH($AQ805,'2_IMPORTAR_EJECUCION'!$J$9:$J$1208,0)),0)-$AI805))</f>
        <v/>
      </c>
      <c r="AK805" s="11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IF($H806="","",IFERROR(INDEX('CAT_ACTIVIDADES'!$B$4:$B$8,MATCH($H806,'CAT_ACTIVIDADES'!$A$4:$A$8,0)),"(sin catálogo)"))</f>
        <v/>
      </c>
      <c r="AA806" s="13">
        <f>IF($J806="","",TODAY()-$J806)</f>
        <v/>
      </c>
      <c r="AB806" s="13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IF($AE806="","",IF((IFERROR(INDEX('ASIGNACIONES'!$J$4:$J$451,MATCH($O806&amp;"|"&amp;$R806&amp;"|"&amp;$AE806,'ASIGNACIONES'!$N$4:$N$451,0)),""))=0,"",IFERROR(INDEX('ASIGNACIONES'!$J$4:$J$451,MATCH($O806&amp;"|"&amp;$R806&amp;"|"&amp;$AE806,'ASIGNACIONES'!$N$4:$N$451,0)),"")))</f>
        <v/>
      </c>
      <c r="AG806" s="14">
        <f>IF($AE806="","",SUMIFS('ORDENES'!$M$4:$M$1203,'ORDENES'!$AE$4:$AE$1203,$AE806,'ORDENES'!$O$4:$O$1203,$O806,'ORDENES'!$R$4:$R$1203,$R806))</f>
        <v/>
      </c>
      <c r="AH806" s="14">
        <f>IF($AG806="","",p_factor_productividad*IFERROR(INDEX('ASIGNACIONES'!$M$4:$M$451,MATCH($O806&amp;"|"&amp;$R806&amp;"|"&amp;$AE806,'ASIGNACIONES'!$N$4:$N$451,0)),0)-$AG806)</f>
        <v/>
      </c>
      <c r="AI806" s="11">
        <f>IF($A806="","",IFERROR(INDEX('2_IMPORTAR_EJECUCION'!$F$9:$F$1208,MATCH($AQ806,'2_IMPORTAR_EJECUCION'!$J$9:$J$1208,0)),0))</f>
        <v/>
      </c>
      <c r="AJ806" s="11">
        <f>IF($A806="","",MAX(0,IFERROR(INDEX('2_IMPORTAR_EJECUCION'!$H$9:$H$1208,MATCH($AQ806,'2_IMPORTAR_EJECUCION'!$J$9:$J$1208,0)),0)-$AI806))</f>
        <v/>
      </c>
      <c r="AK806" s="11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IF($H807="","",IFERROR(INDEX('CAT_ACTIVIDADES'!$B$4:$B$8,MATCH($H807,'CAT_ACTIVIDADES'!$A$4:$A$8,0)),"(sin catálogo)"))</f>
        <v/>
      </c>
      <c r="AA807" s="13">
        <f>IF($J807="","",TODAY()-$J807)</f>
        <v/>
      </c>
      <c r="AB807" s="13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IF($AE807="","",IF((IFERROR(INDEX('ASIGNACIONES'!$J$4:$J$451,MATCH($O807&amp;"|"&amp;$R807&amp;"|"&amp;$AE807,'ASIGNACIONES'!$N$4:$N$451,0)),""))=0,"",IFERROR(INDEX('ASIGNACIONES'!$J$4:$J$451,MATCH($O807&amp;"|"&amp;$R807&amp;"|"&amp;$AE807,'ASIGNACIONES'!$N$4:$N$451,0)),"")))</f>
        <v/>
      </c>
      <c r="AG807" s="14">
        <f>IF($AE807="","",SUMIFS('ORDENES'!$M$4:$M$1203,'ORDENES'!$AE$4:$AE$1203,$AE807,'ORDENES'!$O$4:$O$1203,$O807,'ORDENES'!$R$4:$R$1203,$R807))</f>
        <v/>
      </c>
      <c r="AH807" s="14">
        <f>IF($AG807="","",p_factor_productividad*IFERROR(INDEX('ASIGNACIONES'!$M$4:$M$451,MATCH($O807&amp;"|"&amp;$R807&amp;"|"&amp;$AE807,'ASIGNACIONES'!$N$4:$N$451,0)),0)-$AG807)</f>
        <v/>
      </c>
      <c r="AI807" s="11">
        <f>IF($A807="","",IFERROR(INDEX('2_IMPORTAR_EJECUCION'!$F$9:$F$1208,MATCH($AQ807,'2_IMPORTAR_EJECUCION'!$J$9:$J$1208,0)),0))</f>
        <v/>
      </c>
      <c r="AJ807" s="11">
        <f>IF($A807="","",MAX(0,IFERROR(INDEX('2_IMPORTAR_EJECUCION'!$H$9:$H$1208,MATCH($AQ807,'2_IMPORTAR_EJECUCION'!$J$9:$J$1208,0)),0)-$AI807))</f>
        <v/>
      </c>
      <c r="AK807" s="11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IF($H808="","",IFERROR(INDEX('CAT_ACTIVIDADES'!$B$4:$B$8,MATCH($H808,'CAT_ACTIVIDADES'!$A$4:$A$8,0)),"(sin catálogo)"))</f>
        <v/>
      </c>
      <c r="AA808" s="13">
        <f>IF($J808="","",TODAY()-$J808)</f>
        <v/>
      </c>
      <c r="AB808" s="13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IF($AE808="","",IF((IFERROR(INDEX('ASIGNACIONES'!$J$4:$J$451,MATCH($O808&amp;"|"&amp;$R808&amp;"|"&amp;$AE808,'ASIGNACIONES'!$N$4:$N$451,0)),""))=0,"",IFERROR(INDEX('ASIGNACIONES'!$J$4:$J$451,MATCH($O808&amp;"|"&amp;$R808&amp;"|"&amp;$AE808,'ASIGNACIONES'!$N$4:$N$451,0)),"")))</f>
        <v/>
      </c>
      <c r="AG808" s="14">
        <f>IF($AE808="","",SUMIFS('ORDENES'!$M$4:$M$1203,'ORDENES'!$AE$4:$AE$1203,$AE808,'ORDENES'!$O$4:$O$1203,$O808,'ORDENES'!$R$4:$R$1203,$R808))</f>
        <v/>
      </c>
      <c r="AH808" s="14">
        <f>IF($AG808="","",p_factor_productividad*IFERROR(INDEX('ASIGNACIONES'!$M$4:$M$451,MATCH($O808&amp;"|"&amp;$R808&amp;"|"&amp;$AE808,'ASIGNACIONES'!$N$4:$N$451,0)),0)-$AG808)</f>
        <v/>
      </c>
      <c r="AI808" s="11">
        <f>IF($A808="","",IFERROR(INDEX('2_IMPORTAR_EJECUCION'!$F$9:$F$1208,MATCH($AQ808,'2_IMPORTAR_EJECUCION'!$J$9:$J$1208,0)),0))</f>
        <v/>
      </c>
      <c r="AJ808" s="11">
        <f>IF($A808="","",MAX(0,IFERROR(INDEX('2_IMPORTAR_EJECUCION'!$H$9:$H$1208,MATCH($AQ808,'2_IMPORTAR_EJECUCION'!$J$9:$J$1208,0)),0)-$AI808))</f>
        <v/>
      </c>
      <c r="AK808" s="11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IF($H809="","",IFERROR(INDEX('CAT_ACTIVIDADES'!$B$4:$B$8,MATCH($H809,'CAT_ACTIVIDADES'!$A$4:$A$8,0)),"(sin catálogo)"))</f>
        <v/>
      </c>
      <c r="AA809" s="13">
        <f>IF($J809="","",TODAY()-$J809)</f>
        <v/>
      </c>
      <c r="AB809" s="13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IF($AE809="","",IF((IFERROR(INDEX('ASIGNACIONES'!$J$4:$J$451,MATCH($O809&amp;"|"&amp;$R809&amp;"|"&amp;$AE809,'ASIGNACIONES'!$N$4:$N$451,0)),""))=0,"",IFERROR(INDEX('ASIGNACIONES'!$J$4:$J$451,MATCH($O809&amp;"|"&amp;$R809&amp;"|"&amp;$AE809,'ASIGNACIONES'!$N$4:$N$451,0)),"")))</f>
        <v/>
      </c>
      <c r="AG809" s="14">
        <f>IF($AE809="","",SUMIFS('ORDENES'!$M$4:$M$1203,'ORDENES'!$AE$4:$AE$1203,$AE809,'ORDENES'!$O$4:$O$1203,$O809,'ORDENES'!$R$4:$R$1203,$R809))</f>
        <v/>
      </c>
      <c r="AH809" s="14">
        <f>IF($AG809="","",p_factor_productividad*IFERROR(INDEX('ASIGNACIONES'!$M$4:$M$451,MATCH($O809&amp;"|"&amp;$R809&amp;"|"&amp;$AE809,'ASIGNACIONES'!$N$4:$N$451,0)),0)-$AG809)</f>
        <v/>
      </c>
      <c r="AI809" s="11">
        <f>IF($A809="","",IFERROR(INDEX('2_IMPORTAR_EJECUCION'!$F$9:$F$1208,MATCH($AQ809,'2_IMPORTAR_EJECUCION'!$J$9:$J$1208,0)),0))</f>
        <v/>
      </c>
      <c r="AJ809" s="11">
        <f>IF($A809="","",MAX(0,IFERROR(INDEX('2_IMPORTAR_EJECUCION'!$H$9:$H$1208,MATCH($AQ809,'2_IMPORTAR_EJECUCION'!$J$9:$J$1208,0)),0)-$AI809))</f>
        <v/>
      </c>
      <c r="AK809" s="11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IF($H810="","",IFERROR(INDEX('CAT_ACTIVIDADES'!$B$4:$B$8,MATCH($H810,'CAT_ACTIVIDADES'!$A$4:$A$8,0)),"(sin catálogo)"))</f>
        <v/>
      </c>
      <c r="AA810" s="13">
        <f>IF($J810="","",TODAY()-$J810)</f>
        <v/>
      </c>
      <c r="AB810" s="13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IF($AE810="","",IF((IFERROR(INDEX('ASIGNACIONES'!$J$4:$J$451,MATCH($O810&amp;"|"&amp;$R810&amp;"|"&amp;$AE810,'ASIGNACIONES'!$N$4:$N$451,0)),""))=0,"",IFERROR(INDEX('ASIGNACIONES'!$J$4:$J$451,MATCH($O810&amp;"|"&amp;$R810&amp;"|"&amp;$AE810,'ASIGNACIONES'!$N$4:$N$451,0)),"")))</f>
        <v/>
      </c>
      <c r="AG810" s="14">
        <f>IF($AE810="","",SUMIFS('ORDENES'!$M$4:$M$1203,'ORDENES'!$AE$4:$AE$1203,$AE810,'ORDENES'!$O$4:$O$1203,$O810,'ORDENES'!$R$4:$R$1203,$R810))</f>
        <v/>
      </c>
      <c r="AH810" s="14">
        <f>IF($AG810="","",p_factor_productividad*IFERROR(INDEX('ASIGNACIONES'!$M$4:$M$451,MATCH($O810&amp;"|"&amp;$R810&amp;"|"&amp;$AE810,'ASIGNACIONES'!$N$4:$N$451,0)),0)-$AG810)</f>
        <v/>
      </c>
      <c r="AI810" s="11">
        <f>IF($A810="","",IFERROR(INDEX('2_IMPORTAR_EJECUCION'!$F$9:$F$1208,MATCH($AQ810,'2_IMPORTAR_EJECUCION'!$J$9:$J$1208,0)),0))</f>
        <v/>
      </c>
      <c r="AJ810" s="11">
        <f>IF($A810="","",MAX(0,IFERROR(INDEX('2_IMPORTAR_EJECUCION'!$H$9:$H$1208,MATCH($AQ810,'2_IMPORTAR_EJECUCION'!$J$9:$J$1208,0)),0)-$AI810))</f>
        <v/>
      </c>
      <c r="AK810" s="11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IF($H811="","",IFERROR(INDEX('CAT_ACTIVIDADES'!$B$4:$B$8,MATCH($H811,'CAT_ACTIVIDADES'!$A$4:$A$8,0)),"(sin catálogo)"))</f>
        <v/>
      </c>
      <c r="AA811" s="13">
        <f>IF($J811="","",TODAY()-$J811)</f>
        <v/>
      </c>
      <c r="AB811" s="13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IF($AE811="","",IF((IFERROR(INDEX('ASIGNACIONES'!$J$4:$J$451,MATCH($O811&amp;"|"&amp;$R811&amp;"|"&amp;$AE811,'ASIGNACIONES'!$N$4:$N$451,0)),""))=0,"",IFERROR(INDEX('ASIGNACIONES'!$J$4:$J$451,MATCH($O811&amp;"|"&amp;$R811&amp;"|"&amp;$AE811,'ASIGNACIONES'!$N$4:$N$451,0)),"")))</f>
        <v/>
      </c>
      <c r="AG811" s="14">
        <f>IF($AE811="","",SUMIFS('ORDENES'!$M$4:$M$1203,'ORDENES'!$AE$4:$AE$1203,$AE811,'ORDENES'!$O$4:$O$1203,$O811,'ORDENES'!$R$4:$R$1203,$R811))</f>
        <v/>
      </c>
      <c r="AH811" s="14">
        <f>IF($AG811="","",p_factor_productividad*IFERROR(INDEX('ASIGNACIONES'!$M$4:$M$451,MATCH($O811&amp;"|"&amp;$R811&amp;"|"&amp;$AE811,'ASIGNACIONES'!$N$4:$N$451,0)),0)-$AG811)</f>
        <v/>
      </c>
      <c r="AI811" s="11">
        <f>IF($A811="","",IFERROR(INDEX('2_IMPORTAR_EJECUCION'!$F$9:$F$1208,MATCH($AQ811,'2_IMPORTAR_EJECUCION'!$J$9:$J$1208,0)),0))</f>
        <v/>
      </c>
      <c r="AJ811" s="11">
        <f>IF($A811="","",MAX(0,IFERROR(INDEX('2_IMPORTAR_EJECUCION'!$H$9:$H$1208,MATCH($AQ811,'2_IMPORTAR_EJECUCION'!$J$9:$J$1208,0)),0)-$AI811))</f>
        <v/>
      </c>
      <c r="AK811" s="11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IF($H812="","",IFERROR(INDEX('CAT_ACTIVIDADES'!$B$4:$B$8,MATCH($H812,'CAT_ACTIVIDADES'!$A$4:$A$8,0)),"(sin catálogo)"))</f>
        <v/>
      </c>
      <c r="AA812" s="13">
        <f>IF($J812="","",TODAY()-$J812)</f>
        <v/>
      </c>
      <c r="AB812" s="13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IF($AE812="","",IF((IFERROR(INDEX('ASIGNACIONES'!$J$4:$J$451,MATCH($O812&amp;"|"&amp;$R812&amp;"|"&amp;$AE812,'ASIGNACIONES'!$N$4:$N$451,0)),""))=0,"",IFERROR(INDEX('ASIGNACIONES'!$J$4:$J$451,MATCH($O812&amp;"|"&amp;$R812&amp;"|"&amp;$AE812,'ASIGNACIONES'!$N$4:$N$451,0)),"")))</f>
        <v/>
      </c>
      <c r="AG812" s="14">
        <f>IF($AE812="","",SUMIFS('ORDENES'!$M$4:$M$1203,'ORDENES'!$AE$4:$AE$1203,$AE812,'ORDENES'!$O$4:$O$1203,$O812,'ORDENES'!$R$4:$R$1203,$R812))</f>
        <v/>
      </c>
      <c r="AH812" s="14">
        <f>IF($AG812="","",p_factor_productividad*IFERROR(INDEX('ASIGNACIONES'!$M$4:$M$451,MATCH($O812&amp;"|"&amp;$R812&amp;"|"&amp;$AE812,'ASIGNACIONES'!$N$4:$N$451,0)),0)-$AG812)</f>
        <v/>
      </c>
      <c r="AI812" s="11">
        <f>IF($A812="","",IFERROR(INDEX('2_IMPORTAR_EJECUCION'!$F$9:$F$1208,MATCH($AQ812,'2_IMPORTAR_EJECUCION'!$J$9:$J$1208,0)),0))</f>
        <v/>
      </c>
      <c r="AJ812" s="11">
        <f>IF($A812="","",MAX(0,IFERROR(INDEX('2_IMPORTAR_EJECUCION'!$H$9:$H$1208,MATCH($AQ812,'2_IMPORTAR_EJECUCION'!$J$9:$J$1208,0)),0)-$AI812))</f>
        <v/>
      </c>
      <c r="AK812" s="11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IF($H813="","",IFERROR(INDEX('CAT_ACTIVIDADES'!$B$4:$B$8,MATCH($H813,'CAT_ACTIVIDADES'!$A$4:$A$8,0)),"(sin catálogo)"))</f>
        <v/>
      </c>
      <c r="AA813" s="13">
        <f>IF($J813="","",TODAY()-$J813)</f>
        <v/>
      </c>
      <c r="AB813" s="13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IF($AE813="","",IF((IFERROR(INDEX('ASIGNACIONES'!$J$4:$J$451,MATCH($O813&amp;"|"&amp;$R813&amp;"|"&amp;$AE813,'ASIGNACIONES'!$N$4:$N$451,0)),""))=0,"",IFERROR(INDEX('ASIGNACIONES'!$J$4:$J$451,MATCH($O813&amp;"|"&amp;$R813&amp;"|"&amp;$AE813,'ASIGNACIONES'!$N$4:$N$451,0)),"")))</f>
        <v/>
      </c>
      <c r="AG813" s="14">
        <f>IF($AE813="","",SUMIFS('ORDENES'!$M$4:$M$1203,'ORDENES'!$AE$4:$AE$1203,$AE813,'ORDENES'!$O$4:$O$1203,$O813,'ORDENES'!$R$4:$R$1203,$R813))</f>
        <v/>
      </c>
      <c r="AH813" s="14">
        <f>IF($AG813="","",p_factor_productividad*IFERROR(INDEX('ASIGNACIONES'!$M$4:$M$451,MATCH($O813&amp;"|"&amp;$R813&amp;"|"&amp;$AE813,'ASIGNACIONES'!$N$4:$N$451,0)),0)-$AG813)</f>
        <v/>
      </c>
      <c r="AI813" s="11">
        <f>IF($A813="","",IFERROR(INDEX('2_IMPORTAR_EJECUCION'!$F$9:$F$1208,MATCH($AQ813,'2_IMPORTAR_EJECUCION'!$J$9:$J$1208,0)),0))</f>
        <v/>
      </c>
      <c r="AJ813" s="11">
        <f>IF($A813="","",MAX(0,IFERROR(INDEX('2_IMPORTAR_EJECUCION'!$H$9:$H$1208,MATCH($AQ813,'2_IMPORTAR_EJECUCION'!$J$9:$J$1208,0)),0)-$AI813))</f>
        <v/>
      </c>
      <c r="AK813" s="11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IF($H814="","",IFERROR(INDEX('CAT_ACTIVIDADES'!$B$4:$B$8,MATCH($H814,'CAT_ACTIVIDADES'!$A$4:$A$8,0)),"(sin catálogo)"))</f>
        <v/>
      </c>
      <c r="AA814" s="13">
        <f>IF($J814="","",TODAY()-$J814)</f>
        <v/>
      </c>
      <c r="AB814" s="13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IF($AE814="","",IF((IFERROR(INDEX('ASIGNACIONES'!$J$4:$J$451,MATCH($O814&amp;"|"&amp;$R814&amp;"|"&amp;$AE814,'ASIGNACIONES'!$N$4:$N$451,0)),""))=0,"",IFERROR(INDEX('ASIGNACIONES'!$J$4:$J$451,MATCH($O814&amp;"|"&amp;$R814&amp;"|"&amp;$AE814,'ASIGNACIONES'!$N$4:$N$451,0)),"")))</f>
        <v/>
      </c>
      <c r="AG814" s="14">
        <f>IF($AE814="","",SUMIFS('ORDENES'!$M$4:$M$1203,'ORDENES'!$AE$4:$AE$1203,$AE814,'ORDENES'!$O$4:$O$1203,$O814,'ORDENES'!$R$4:$R$1203,$R814))</f>
        <v/>
      </c>
      <c r="AH814" s="14">
        <f>IF($AG814="","",p_factor_productividad*IFERROR(INDEX('ASIGNACIONES'!$M$4:$M$451,MATCH($O814&amp;"|"&amp;$R814&amp;"|"&amp;$AE814,'ASIGNACIONES'!$N$4:$N$451,0)),0)-$AG814)</f>
        <v/>
      </c>
      <c r="AI814" s="11">
        <f>IF($A814="","",IFERROR(INDEX('2_IMPORTAR_EJECUCION'!$F$9:$F$1208,MATCH($AQ814,'2_IMPORTAR_EJECUCION'!$J$9:$J$1208,0)),0))</f>
        <v/>
      </c>
      <c r="AJ814" s="11">
        <f>IF($A814="","",MAX(0,IFERROR(INDEX('2_IMPORTAR_EJECUCION'!$H$9:$H$1208,MATCH($AQ814,'2_IMPORTAR_EJECUCION'!$J$9:$J$1208,0)),0)-$AI814))</f>
        <v/>
      </c>
      <c r="AK814" s="11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IF($H815="","",IFERROR(INDEX('CAT_ACTIVIDADES'!$B$4:$B$8,MATCH($H815,'CAT_ACTIVIDADES'!$A$4:$A$8,0)),"(sin catálogo)"))</f>
        <v/>
      </c>
      <c r="AA815" s="13">
        <f>IF($J815="","",TODAY()-$J815)</f>
        <v/>
      </c>
      <c r="AB815" s="13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IF($AE815="","",IF((IFERROR(INDEX('ASIGNACIONES'!$J$4:$J$451,MATCH($O815&amp;"|"&amp;$R815&amp;"|"&amp;$AE815,'ASIGNACIONES'!$N$4:$N$451,0)),""))=0,"",IFERROR(INDEX('ASIGNACIONES'!$J$4:$J$451,MATCH($O815&amp;"|"&amp;$R815&amp;"|"&amp;$AE815,'ASIGNACIONES'!$N$4:$N$451,0)),"")))</f>
        <v/>
      </c>
      <c r="AG815" s="14">
        <f>IF($AE815="","",SUMIFS('ORDENES'!$M$4:$M$1203,'ORDENES'!$AE$4:$AE$1203,$AE815,'ORDENES'!$O$4:$O$1203,$O815,'ORDENES'!$R$4:$R$1203,$R815))</f>
        <v/>
      </c>
      <c r="AH815" s="14">
        <f>IF($AG815="","",p_factor_productividad*IFERROR(INDEX('ASIGNACIONES'!$M$4:$M$451,MATCH($O815&amp;"|"&amp;$R815&amp;"|"&amp;$AE815,'ASIGNACIONES'!$N$4:$N$451,0)),0)-$AG815)</f>
        <v/>
      </c>
      <c r="AI815" s="11">
        <f>IF($A815="","",IFERROR(INDEX('2_IMPORTAR_EJECUCION'!$F$9:$F$1208,MATCH($AQ815,'2_IMPORTAR_EJECUCION'!$J$9:$J$1208,0)),0))</f>
        <v/>
      </c>
      <c r="AJ815" s="11">
        <f>IF($A815="","",MAX(0,IFERROR(INDEX('2_IMPORTAR_EJECUCION'!$H$9:$H$1208,MATCH($AQ815,'2_IMPORTAR_EJECUCION'!$J$9:$J$1208,0)),0)-$AI815))</f>
        <v/>
      </c>
      <c r="AK815" s="11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IF($H816="","",IFERROR(INDEX('CAT_ACTIVIDADES'!$B$4:$B$8,MATCH($H816,'CAT_ACTIVIDADES'!$A$4:$A$8,0)),"(sin catálogo)"))</f>
        <v/>
      </c>
      <c r="AA816" s="13">
        <f>IF($J816="","",TODAY()-$J816)</f>
        <v/>
      </c>
      <c r="AB816" s="13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IF($AE816="","",IF((IFERROR(INDEX('ASIGNACIONES'!$J$4:$J$451,MATCH($O816&amp;"|"&amp;$R816&amp;"|"&amp;$AE816,'ASIGNACIONES'!$N$4:$N$451,0)),""))=0,"",IFERROR(INDEX('ASIGNACIONES'!$J$4:$J$451,MATCH($O816&amp;"|"&amp;$R816&amp;"|"&amp;$AE816,'ASIGNACIONES'!$N$4:$N$451,0)),"")))</f>
        <v/>
      </c>
      <c r="AG816" s="14">
        <f>IF($AE816="","",SUMIFS('ORDENES'!$M$4:$M$1203,'ORDENES'!$AE$4:$AE$1203,$AE816,'ORDENES'!$O$4:$O$1203,$O816,'ORDENES'!$R$4:$R$1203,$R816))</f>
        <v/>
      </c>
      <c r="AH816" s="14">
        <f>IF($AG816="","",p_factor_productividad*IFERROR(INDEX('ASIGNACIONES'!$M$4:$M$451,MATCH($O816&amp;"|"&amp;$R816&amp;"|"&amp;$AE816,'ASIGNACIONES'!$N$4:$N$451,0)),0)-$AG816)</f>
        <v/>
      </c>
      <c r="AI816" s="11">
        <f>IF($A816="","",IFERROR(INDEX('2_IMPORTAR_EJECUCION'!$F$9:$F$1208,MATCH($AQ816,'2_IMPORTAR_EJECUCION'!$J$9:$J$1208,0)),0))</f>
        <v/>
      </c>
      <c r="AJ816" s="11">
        <f>IF($A816="","",MAX(0,IFERROR(INDEX('2_IMPORTAR_EJECUCION'!$H$9:$H$1208,MATCH($AQ816,'2_IMPORTAR_EJECUCION'!$J$9:$J$1208,0)),0)-$AI816))</f>
        <v/>
      </c>
      <c r="AK816" s="11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IF($H817="","",IFERROR(INDEX('CAT_ACTIVIDADES'!$B$4:$B$8,MATCH($H817,'CAT_ACTIVIDADES'!$A$4:$A$8,0)),"(sin catálogo)"))</f>
        <v/>
      </c>
      <c r="AA817" s="13">
        <f>IF($J817="","",TODAY()-$J817)</f>
        <v/>
      </c>
      <c r="AB817" s="13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IF($AE817="","",IF((IFERROR(INDEX('ASIGNACIONES'!$J$4:$J$451,MATCH($O817&amp;"|"&amp;$R817&amp;"|"&amp;$AE817,'ASIGNACIONES'!$N$4:$N$451,0)),""))=0,"",IFERROR(INDEX('ASIGNACIONES'!$J$4:$J$451,MATCH($O817&amp;"|"&amp;$R817&amp;"|"&amp;$AE817,'ASIGNACIONES'!$N$4:$N$451,0)),"")))</f>
        <v/>
      </c>
      <c r="AG817" s="14">
        <f>IF($AE817="","",SUMIFS('ORDENES'!$M$4:$M$1203,'ORDENES'!$AE$4:$AE$1203,$AE817,'ORDENES'!$O$4:$O$1203,$O817,'ORDENES'!$R$4:$R$1203,$R817))</f>
        <v/>
      </c>
      <c r="AH817" s="14">
        <f>IF($AG817="","",p_factor_productividad*IFERROR(INDEX('ASIGNACIONES'!$M$4:$M$451,MATCH($O817&amp;"|"&amp;$R817&amp;"|"&amp;$AE817,'ASIGNACIONES'!$N$4:$N$451,0)),0)-$AG817)</f>
        <v/>
      </c>
      <c r="AI817" s="11">
        <f>IF($A817="","",IFERROR(INDEX('2_IMPORTAR_EJECUCION'!$F$9:$F$1208,MATCH($AQ817,'2_IMPORTAR_EJECUCION'!$J$9:$J$1208,0)),0))</f>
        <v/>
      </c>
      <c r="AJ817" s="11">
        <f>IF($A817="","",MAX(0,IFERROR(INDEX('2_IMPORTAR_EJECUCION'!$H$9:$H$1208,MATCH($AQ817,'2_IMPORTAR_EJECUCION'!$J$9:$J$1208,0)),0)-$AI817))</f>
        <v/>
      </c>
      <c r="AK817" s="11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IF($H818="","",IFERROR(INDEX('CAT_ACTIVIDADES'!$B$4:$B$8,MATCH($H818,'CAT_ACTIVIDADES'!$A$4:$A$8,0)),"(sin catálogo)"))</f>
        <v/>
      </c>
      <c r="AA818" s="13">
        <f>IF($J818="","",TODAY()-$J818)</f>
        <v/>
      </c>
      <c r="AB818" s="13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IF($AE818="","",IF((IFERROR(INDEX('ASIGNACIONES'!$J$4:$J$451,MATCH($O818&amp;"|"&amp;$R818&amp;"|"&amp;$AE818,'ASIGNACIONES'!$N$4:$N$451,0)),""))=0,"",IFERROR(INDEX('ASIGNACIONES'!$J$4:$J$451,MATCH($O818&amp;"|"&amp;$R818&amp;"|"&amp;$AE818,'ASIGNACIONES'!$N$4:$N$451,0)),"")))</f>
        <v/>
      </c>
      <c r="AG818" s="14">
        <f>IF($AE818="","",SUMIFS('ORDENES'!$M$4:$M$1203,'ORDENES'!$AE$4:$AE$1203,$AE818,'ORDENES'!$O$4:$O$1203,$O818,'ORDENES'!$R$4:$R$1203,$R818))</f>
        <v/>
      </c>
      <c r="AH818" s="14">
        <f>IF($AG818="","",p_factor_productividad*IFERROR(INDEX('ASIGNACIONES'!$M$4:$M$451,MATCH($O818&amp;"|"&amp;$R818&amp;"|"&amp;$AE818,'ASIGNACIONES'!$N$4:$N$451,0)),0)-$AG818)</f>
        <v/>
      </c>
      <c r="AI818" s="11">
        <f>IF($A818="","",IFERROR(INDEX('2_IMPORTAR_EJECUCION'!$F$9:$F$1208,MATCH($AQ818,'2_IMPORTAR_EJECUCION'!$J$9:$J$1208,0)),0))</f>
        <v/>
      </c>
      <c r="AJ818" s="11">
        <f>IF($A818="","",MAX(0,IFERROR(INDEX('2_IMPORTAR_EJECUCION'!$H$9:$H$1208,MATCH($AQ818,'2_IMPORTAR_EJECUCION'!$J$9:$J$1208,0)),0)-$AI818))</f>
        <v/>
      </c>
      <c r="AK818" s="11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IF($H819="","",IFERROR(INDEX('CAT_ACTIVIDADES'!$B$4:$B$8,MATCH($H819,'CAT_ACTIVIDADES'!$A$4:$A$8,0)),"(sin catálogo)"))</f>
        <v/>
      </c>
      <c r="AA819" s="13">
        <f>IF($J819="","",TODAY()-$J819)</f>
        <v/>
      </c>
      <c r="AB819" s="13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IF($AE819="","",IF((IFERROR(INDEX('ASIGNACIONES'!$J$4:$J$451,MATCH($O819&amp;"|"&amp;$R819&amp;"|"&amp;$AE819,'ASIGNACIONES'!$N$4:$N$451,0)),""))=0,"",IFERROR(INDEX('ASIGNACIONES'!$J$4:$J$451,MATCH($O819&amp;"|"&amp;$R819&amp;"|"&amp;$AE819,'ASIGNACIONES'!$N$4:$N$451,0)),"")))</f>
        <v/>
      </c>
      <c r="AG819" s="14">
        <f>IF($AE819="","",SUMIFS('ORDENES'!$M$4:$M$1203,'ORDENES'!$AE$4:$AE$1203,$AE819,'ORDENES'!$O$4:$O$1203,$O819,'ORDENES'!$R$4:$R$1203,$R819))</f>
        <v/>
      </c>
      <c r="AH819" s="14">
        <f>IF($AG819="","",p_factor_productividad*IFERROR(INDEX('ASIGNACIONES'!$M$4:$M$451,MATCH($O819&amp;"|"&amp;$R819&amp;"|"&amp;$AE819,'ASIGNACIONES'!$N$4:$N$451,0)),0)-$AG819)</f>
        <v/>
      </c>
      <c r="AI819" s="11">
        <f>IF($A819="","",IFERROR(INDEX('2_IMPORTAR_EJECUCION'!$F$9:$F$1208,MATCH($AQ819,'2_IMPORTAR_EJECUCION'!$J$9:$J$1208,0)),0))</f>
        <v/>
      </c>
      <c r="AJ819" s="11">
        <f>IF($A819="","",MAX(0,IFERROR(INDEX('2_IMPORTAR_EJECUCION'!$H$9:$H$1208,MATCH($AQ819,'2_IMPORTAR_EJECUCION'!$J$9:$J$1208,0)),0)-$AI819))</f>
        <v/>
      </c>
      <c r="AK819" s="11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IF($H820="","",IFERROR(INDEX('CAT_ACTIVIDADES'!$B$4:$B$8,MATCH($H820,'CAT_ACTIVIDADES'!$A$4:$A$8,0)),"(sin catálogo)"))</f>
        <v/>
      </c>
      <c r="AA820" s="13">
        <f>IF($J820="","",TODAY()-$J820)</f>
        <v/>
      </c>
      <c r="AB820" s="13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IF($AE820="","",IF((IFERROR(INDEX('ASIGNACIONES'!$J$4:$J$451,MATCH($O820&amp;"|"&amp;$R820&amp;"|"&amp;$AE820,'ASIGNACIONES'!$N$4:$N$451,0)),""))=0,"",IFERROR(INDEX('ASIGNACIONES'!$J$4:$J$451,MATCH($O820&amp;"|"&amp;$R820&amp;"|"&amp;$AE820,'ASIGNACIONES'!$N$4:$N$451,0)),"")))</f>
        <v/>
      </c>
      <c r="AG820" s="14">
        <f>IF($AE820="","",SUMIFS('ORDENES'!$M$4:$M$1203,'ORDENES'!$AE$4:$AE$1203,$AE820,'ORDENES'!$O$4:$O$1203,$O820,'ORDENES'!$R$4:$R$1203,$R820))</f>
        <v/>
      </c>
      <c r="AH820" s="14">
        <f>IF($AG820="","",p_factor_productividad*IFERROR(INDEX('ASIGNACIONES'!$M$4:$M$451,MATCH($O820&amp;"|"&amp;$R820&amp;"|"&amp;$AE820,'ASIGNACIONES'!$N$4:$N$451,0)),0)-$AG820)</f>
        <v/>
      </c>
      <c r="AI820" s="11">
        <f>IF($A820="","",IFERROR(INDEX('2_IMPORTAR_EJECUCION'!$F$9:$F$1208,MATCH($AQ820,'2_IMPORTAR_EJECUCION'!$J$9:$J$1208,0)),0))</f>
        <v/>
      </c>
      <c r="AJ820" s="11">
        <f>IF($A820="","",MAX(0,IFERROR(INDEX('2_IMPORTAR_EJECUCION'!$H$9:$H$1208,MATCH($AQ820,'2_IMPORTAR_EJECUCION'!$J$9:$J$1208,0)),0)-$AI820))</f>
        <v/>
      </c>
      <c r="AK820" s="11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IF($H821="","",IFERROR(INDEX('CAT_ACTIVIDADES'!$B$4:$B$8,MATCH($H821,'CAT_ACTIVIDADES'!$A$4:$A$8,0)),"(sin catálogo)"))</f>
        <v/>
      </c>
      <c r="AA821" s="13">
        <f>IF($J821="","",TODAY()-$J821)</f>
        <v/>
      </c>
      <c r="AB821" s="13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IF($AE821="","",IF((IFERROR(INDEX('ASIGNACIONES'!$J$4:$J$451,MATCH($O821&amp;"|"&amp;$R821&amp;"|"&amp;$AE821,'ASIGNACIONES'!$N$4:$N$451,0)),""))=0,"",IFERROR(INDEX('ASIGNACIONES'!$J$4:$J$451,MATCH($O821&amp;"|"&amp;$R821&amp;"|"&amp;$AE821,'ASIGNACIONES'!$N$4:$N$451,0)),"")))</f>
        <v/>
      </c>
      <c r="AG821" s="14">
        <f>IF($AE821="","",SUMIFS('ORDENES'!$M$4:$M$1203,'ORDENES'!$AE$4:$AE$1203,$AE821,'ORDENES'!$O$4:$O$1203,$O821,'ORDENES'!$R$4:$R$1203,$R821))</f>
        <v/>
      </c>
      <c r="AH821" s="14">
        <f>IF($AG821="","",p_factor_productividad*IFERROR(INDEX('ASIGNACIONES'!$M$4:$M$451,MATCH($O821&amp;"|"&amp;$R821&amp;"|"&amp;$AE821,'ASIGNACIONES'!$N$4:$N$451,0)),0)-$AG821)</f>
        <v/>
      </c>
      <c r="AI821" s="11">
        <f>IF($A821="","",IFERROR(INDEX('2_IMPORTAR_EJECUCION'!$F$9:$F$1208,MATCH($AQ821,'2_IMPORTAR_EJECUCION'!$J$9:$J$1208,0)),0))</f>
        <v/>
      </c>
      <c r="AJ821" s="11">
        <f>IF($A821="","",MAX(0,IFERROR(INDEX('2_IMPORTAR_EJECUCION'!$H$9:$H$1208,MATCH($AQ821,'2_IMPORTAR_EJECUCION'!$J$9:$J$1208,0)),0)-$AI821))</f>
        <v/>
      </c>
      <c r="AK821" s="11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IF($H822="","",IFERROR(INDEX('CAT_ACTIVIDADES'!$B$4:$B$8,MATCH($H822,'CAT_ACTIVIDADES'!$A$4:$A$8,0)),"(sin catálogo)"))</f>
        <v/>
      </c>
      <c r="AA822" s="13">
        <f>IF($J822="","",TODAY()-$J822)</f>
        <v/>
      </c>
      <c r="AB822" s="13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IF($AE822="","",IF((IFERROR(INDEX('ASIGNACIONES'!$J$4:$J$451,MATCH($O822&amp;"|"&amp;$R822&amp;"|"&amp;$AE822,'ASIGNACIONES'!$N$4:$N$451,0)),""))=0,"",IFERROR(INDEX('ASIGNACIONES'!$J$4:$J$451,MATCH($O822&amp;"|"&amp;$R822&amp;"|"&amp;$AE822,'ASIGNACIONES'!$N$4:$N$451,0)),"")))</f>
        <v/>
      </c>
      <c r="AG822" s="14">
        <f>IF($AE822="","",SUMIFS('ORDENES'!$M$4:$M$1203,'ORDENES'!$AE$4:$AE$1203,$AE822,'ORDENES'!$O$4:$O$1203,$O822,'ORDENES'!$R$4:$R$1203,$R822))</f>
        <v/>
      </c>
      <c r="AH822" s="14">
        <f>IF($AG822="","",p_factor_productividad*IFERROR(INDEX('ASIGNACIONES'!$M$4:$M$451,MATCH($O822&amp;"|"&amp;$R822&amp;"|"&amp;$AE822,'ASIGNACIONES'!$N$4:$N$451,0)),0)-$AG822)</f>
        <v/>
      </c>
      <c r="AI822" s="11">
        <f>IF($A822="","",IFERROR(INDEX('2_IMPORTAR_EJECUCION'!$F$9:$F$1208,MATCH($AQ822,'2_IMPORTAR_EJECUCION'!$J$9:$J$1208,0)),0))</f>
        <v/>
      </c>
      <c r="AJ822" s="11">
        <f>IF($A822="","",MAX(0,IFERROR(INDEX('2_IMPORTAR_EJECUCION'!$H$9:$H$1208,MATCH($AQ822,'2_IMPORTAR_EJECUCION'!$J$9:$J$1208,0)),0)-$AI822))</f>
        <v/>
      </c>
      <c r="AK822" s="11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IF($H823="","",IFERROR(INDEX('CAT_ACTIVIDADES'!$B$4:$B$8,MATCH($H823,'CAT_ACTIVIDADES'!$A$4:$A$8,0)),"(sin catálogo)"))</f>
        <v/>
      </c>
      <c r="AA823" s="13">
        <f>IF($J823="","",TODAY()-$J823)</f>
        <v/>
      </c>
      <c r="AB823" s="13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IF($AE823="","",IF((IFERROR(INDEX('ASIGNACIONES'!$J$4:$J$451,MATCH($O823&amp;"|"&amp;$R823&amp;"|"&amp;$AE823,'ASIGNACIONES'!$N$4:$N$451,0)),""))=0,"",IFERROR(INDEX('ASIGNACIONES'!$J$4:$J$451,MATCH($O823&amp;"|"&amp;$R823&amp;"|"&amp;$AE823,'ASIGNACIONES'!$N$4:$N$451,0)),"")))</f>
        <v/>
      </c>
      <c r="AG823" s="14">
        <f>IF($AE823="","",SUMIFS('ORDENES'!$M$4:$M$1203,'ORDENES'!$AE$4:$AE$1203,$AE823,'ORDENES'!$O$4:$O$1203,$O823,'ORDENES'!$R$4:$R$1203,$R823))</f>
        <v/>
      </c>
      <c r="AH823" s="14">
        <f>IF($AG823="","",p_factor_productividad*IFERROR(INDEX('ASIGNACIONES'!$M$4:$M$451,MATCH($O823&amp;"|"&amp;$R823&amp;"|"&amp;$AE823,'ASIGNACIONES'!$N$4:$N$451,0)),0)-$AG823)</f>
        <v/>
      </c>
      <c r="AI823" s="11">
        <f>IF($A823="","",IFERROR(INDEX('2_IMPORTAR_EJECUCION'!$F$9:$F$1208,MATCH($AQ823,'2_IMPORTAR_EJECUCION'!$J$9:$J$1208,0)),0))</f>
        <v/>
      </c>
      <c r="AJ823" s="11">
        <f>IF($A823="","",MAX(0,IFERROR(INDEX('2_IMPORTAR_EJECUCION'!$H$9:$H$1208,MATCH($AQ823,'2_IMPORTAR_EJECUCION'!$J$9:$J$1208,0)),0)-$AI823))</f>
        <v/>
      </c>
      <c r="AK823" s="11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IF($H824="","",IFERROR(INDEX('CAT_ACTIVIDADES'!$B$4:$B$8,MATCH($H824,'CAT_ACTIVIDADES'!$A$4:$A$8,0)),"(sin catálogo)"))</f>
        <v/>
      </c>
      <c r="AA824" s="13">
        <f>IF($J824="","",TODAY()-$J824)</f>
        <v/>
      </c>
      <c r="AB824" s="13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IF($AE824="","",IF((IFERROR(INDEX('ASIGNACIONES'!$J$4:$J$451,MATCH($O824&amp;"|"&amp;$R824&amp;"|"&amp;$AE824,'ASIGNACIONES'!$N$4:$N$451,0)),""))=0,"",IFERROR(INDEX('ASIGNACIONES'!$J$4:$J$451,MATCH($O824&amp;"|"&amp;$R824&amp;"|"&amp;$AE824,'ASIGNACIONES'!$N$4:$N$451,0)),"")))</f>
        <v/>
      </c>
      <c r="AG824" s="14">
        <f>IF($AE824="","",SUMIFS('ORDENES'!$M$4:$M$1203,'ORDENES'!$AE$4:$AE$1203,$AE824,'ORDENES'!$O$4:$O$1203,$O824,'ORDENES'!$R$4:$R$1203,$R824))</f>
        <v/>
      </c>
      <c r="AH824" s="14">
        <f>IF($AG824="","",p_factor_productividad*IFERROR(INDEX('ASIGNACIONES'!$M$4:$M$451,MATCH($O824&amp;"|"&amp;$R824&amp;"|"&amp;$AE824,'ASIGNACIONES'!$N$4:$N$451,0)),0)-$AG824)</f>
        <v/>
      </c>
      <c r="AI824" s="11">
        <f>IF($A824="","",IFERROR(INDEX('2_IMPORTAR_EJECUCION'!$F$9:$F$1208,MATCH($AQ824,'2_IMPORTAR_EJECUCION'!$J$9:$J$1208,0)),0))</f>
        <v/>
      </c>
      <c r="AJ824" s="11">
        <f>IF($A824="","",MAX(0,IFERROR(INDEX('2_IMPORTAR_EJECUCION'!$H$9:$H$1208,MATCH($AQ824,'2_IMPORTAR_EJECUCION'!$J$9:$J$1208,0)),0)-$AI824))</f>
        <v/>
      </c>
      <c r="AK824" s="11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IF($H825="","",IFERROR(INDEX('CAT_ACTIVIDADES'!$B$4:$B$8,MATCH($H825,'CAT_ACTIVIDADES'!$A$4:$A$8,0)),"(sin catálogo)"))</f>
        <v/>
      </c>
      <c r="AA825" s="13">
        <f>IF($J825="","",TODAY()-$J825)</f>
        <v/>
      </c>
      <c r="AB825" s="13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IF($AE825="","",IF((IFERROR(INDEX('ASIGNACIONES'!$J$4:$J$451,MATCH($O825&amp;"|"&amp;$R825&amp;"|"&amp;$AE825,'ASIGNACIONES'!$N$4:$N$451,0)),""))=0,"",IFERROR(INDEX('ASIGNACIONES'!$J$4:$J$451,MATCH($O825&amp;"|"&amp;$R825&amp;"|"&amp;$AE825,'ASIGNACIONES'!$N$4:$N$451,0)),"")))</f>
        <v/>
      </c>
      <c r="AG825" s="14">
        <f>IF($AE825="","",SUMIFS('ORDENES'!$M$4:$M$1203,'ORDENES'!$AE$4:$AE$1203,$AE825,'ORDENES'!$O$4:$O$1203,$O825,'ORDENES'!$R$4:$R$1203,$R825))</f>
        <v/>
      </c>
      <c r="AH825" s="14">
        <f>IF($AG825="","",p_factor_productividad*IFERROR(INDEX('ASIGNACIONES'!$M$4:$M$451,MATCH($O825&amp;"|"&amp;$R825&amp;"|"&amp;$AE825,'ASIGNACIONES'!$N$4:$N$451,0)),0)-$AG825)</f>
        <v/>
      </c>
      <c r="AI825" s="11">
        <f>IF($A825="","",IFERROR(INDEX('2_IMPORTAR_EJECUCION'!$F$9:$F$1208,MATCH($AQ825,'2_IMPORTAR_EJECUCION'!$J$9:$J$1208,0)),0))</f>
        <v/>
      </c>
      <c r="AJ825" s="11">
        <f>IF($A825="","",MAX(0,IFERROR(INDEX('2_IMPORTAR_EJECUCION'!$H$9:$H$1208,MATCH($AQ825,'2_IMPORTAR_EJECUCION'!$J$9:$J$1208,0)),0)-$AI825))</f>
        <v/>
      </c>
      <c r="AK825" s="11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IF($H826="","",IFERROR(INDEX('CAT_ACTIVIDADES'!$B$4:$B$8,MATCH($H826,'CAT_ACTIVIDADES'!$A$4:$A$8,0)),"(sin catálogo)"))</f>
        <v/>
      </c>
      <c r="AA826" s="13">
        <f>IF($J826="","",TODAY()-$J826)</f>
        <v/>
      </c>
      <c r="AB826" s="13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IF($AE826="","",IF((IFERROR(INDEX('ASIGNACIONES'!$J$4:$J$451,MATCH($O826&amp;"|"&amp;$R826&amp;"|"&amp;$AE826,'ASIGNACIONES'!$N$4:$N$451,0)),""))=0,"",IFERROR(INDEX('ASIGNACIONES'!$J$4:$J$451,MATCH($O826&amp;"|"&amp;$R826&amp;"|"&amp;$AE826,'ASIGNACIONES'!$N$4:$N$451,0)),"")))</f>
        <v/>
      </c>
      <c r="AG826" s="14">
        <f>IF($AE826="","",SUMIFS('ORDENES'!$M$4:$M$1203,'ORDENES'!$AE$4:$AE$1203,$AE826,'ORDENES'!$O$4:$O$1203,$O826,'ORDENES'!$R$4:$R$1203,$R826))</f>
        <v/>
      </c>
      <c r="AH826" s="14">
        <f>IF($AG826="","",p_factor_productividad*IFERROR(INDEX('ASIGNACIONES'!$M$4:$M$451,MATCH($O826&amp;"|"&amp;$R826&amp;"|"&amp;$AE826,'ASIGNACIONES'!$N$4:$N$451,0)),0)-$AG826)</f>
        <v/>
      </c>
      <c r="AI826" s="11">
        <f>IF($A826="","",IFERROR(INDEX('2_IMPORTAR_EJECUCION'!$F$9:$F$1208,MATCH($AQ826,'2_IMPORTAR_EJECUCION'!$J$9:$J$1208,0)),0))</f>
        <v/>
      </c>
      <c r="AJ826" s="11">
        <f>IF($A826="","",MAX(0,IFERROR(INDEX('2_IMPORTAR_EJECUCION'!$H$9:$H$1208,MATCH($AQ826,'2_IMPORTAR_EJECUCION'!$J$9:$J$1208,0)),0)-$AI826))</f>
        <v/>
      </c>
      <c r="AK826" s="11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IF($H827="","",IFERROR(INDEX('CAT_ACTIVIDADES'!$B$4:$B$8,MATCH($H827,'CAT_ACTIVIDADES'!$A$4:$A$8,0)),"(sin catálogo)"))</f>
        <v/>
      </c>
      <c r="AA827" s="13">
        <f>IF($J827="","",TODAY()-$J827)</f>
        <v/>
      </c>
      <c r="AB827" s="13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IF($AE827="","",IF((IFERROR(INDEX('ASIGNACIONES'!$J$4:$J$451,MATCH($O827&amp;"|"&amp;$R827&amp;"|"&amp;$AE827,'ASIGNACIONES'!$N$4:$N$451,0)),""))=0,"",IFERROR(INDEX('ASIGNACIONES'!$J$4:$J$451,MATCH($O827&amp;"|"&amp;$R827&amp;"|"&amp;$AE827,'ASIGNACIONES'!$N$4:$N$451,0)),"")))</f>
        <v/>
      </c>
      <c r="AG827" s="14">
        <f>IF($AE827="","",SUMIFS('ORDENES'!$M$4:$M$1203,'ORDENES'!$AE$4:$AE$1203,$AE827,'ORDENES'!$O$4:$O$1203,$O827,'ORDENES'!$R$4:$R$1203,$R827))</f>
        <v/>
      </c>
      <c r="AH827" s="14">
        <f>IF($AG827="","",p_factor_productividad*IFERROR(INDEX('ASIGNACIONES'!$M$4:$M$451,MATCH($O827&amp;"|"&amp;$R827&amp;"|"&amp;$AE827,'ASIGNACIONES'!$N$4:$N$451,0)),0)-$AG827)</f>
        <v/>
      </c>
      <c r="AI827" s="11">
        <f>IF($A827="","",IFERROR(INDEX('2_IMPORTAR_EJECUCION'!$F$9:$F$1208,MATCH($AQ827,'2_IMPORTAR_EJECUCION'!$J$9:$J$1208,0)),0))</f>
        <v/>
      </c>
      <c r="AJ827" s="11">
        <f>IF($A827="","",MAX(0,IFERROR(INDEX('2_IMPORTAR_EJECUCION'!$H$9:$H$1208,MATCH($AQ827,'2_IMPORTAR_EJECUCION'!$J$9:$J$1208,0)),0)-$AI827))</f>
        <v/>
      </c>
      <c r="AK827" s="11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IF($H828="","",IFERROR(INDEX('CAT_ACTIVIDADES'!$B$4:$B$8,MATCH($H828,'CAT_ACTIVIDADES'!$A$4:$A$8,0)),"(sin catálogo)"))</f>
        <v/>
      </c>
      <c r="AA828" s="13">
        <f>IF($J828="","",TODAY()-$J828)</f>
        <v/>
      </c>
      <c r="AB828" s="13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IF($AE828="","",IF((IFERROR(INDEX('ASIGNACIONES'!$J$4:$J$451,MATCH($O828&amp;"|"&amp;$R828&amp;"|"&amp;$AE828,'ASIGNACIONES'!$N$4:$N$451,0)),""))=0,"",IFERROR(INDEX('ASIGNACIONES'!$J$4:$J$451,MATCH($O828&amp;"|"&amp;$R828&amp;"|"&amp;$AE828,'ASIGNACIONES'!$N$4:$N$451,0)),"")))</f>
        <v/>
      </c>
      <c r="AG828" s="14">
        <f>IF($AE828="","",SUMIFS('ORDENES'!$M$4:$M$1203,'ORDENES'!$AE$4:$AE$1203,$AE828,'ORDENES'!$O$4:$O$1203,$O828,'ORDENES'!$R$4:$R$1203,$R828))</f>
        <v/>
      </c>
      <c r="AH828" s="14">
        <f>IF($AG828="","",p_factor_productividad*IFERROR(INDEX('ASIGNACIONES'!$M$4:$M$451,MATCH($O828&amp;"|"&amp;$R828&amp;"|"&amp;$AE828,'ASIGNACIONES'!$N$4:$N$451,0)),0)-$AG828)</f>
        <v/>
      </c>
      <c r="AI828" s="11">
        <f>IF($A828="","",IFERROR(INDEX('2_IMPORTAR_EJECUCION'!$F$9:$F$1208,MATCH($AQ828,'2_IMPORTAR_EJECUCION'!$J$9:$J$1208,0)),0))</f>
        <v/>
      </c>
      <c r="AJ828" s="11">
        <f>IF($A828="","",MAX(0,IFERROR(INDEX('2_IMPORTAR_EJECUCION'!$H$9:$H$1208,MATCH($AQ828,'2_IMPORTAR_EJECUCION'!$J$9:$J$1208,0)),0)-$AI828))</f>
        <v/>
      </c>
      <c r="AK828" s="11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IF($H829="","",IFERROR(INDEX('CAT_ACTIVIDADES'!$B$4:$B$8,MATCH($H829,'CAT_ACTIVIDADES'!$A$4:$A$8,0)),"(sin catálogo)"))</f>
        <v/>
      </c>
      <c r="AA829" s="13">
        <f>IF($J829="","",TODAY()-$J829)</f>
        <v/>
      </c>
      <c r="AB829" s="13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IF($AE829="","",IF((IFERROR(INDEX('ASIGNACIONES'!$J$4:$J$451,MATCH($O829&amp;"|"&amp;$R829&amp;"|"&amp;$AE829,'ASIGNACIONES'!$N$4:$N$451,0)),""))=0,"",IFERROR(INDEX('ASIGNACIONES'!$J$4:$J$451,MATCH($O829&amp;"|"&amp;$R829&amp;"|"&amp;$AE829,'ASIGNACIONES'!$N$4:$N$451,0)),"")))</f>
        <v/>
      </c>
      <c r="AG829" s="14">
        <f>IF($AE829="","",SUMIFS('ORDENES'!$M$4:$M$1203,'ORDENES'!$AE$4:$AE$1203,$AE829,'ORDENES'!$O$4:$O$1203,$O829,'ORDENES'!$R$4:$R$1203,$R829))</f>
        <v/>
      </c>
      <c r="AH829" s="14">
        <f>IF($AG829="","",p_factor_productividad*IFERROR(INDEX('ASIGNACIONES'!$M$4:$M$451,MATCH($O829&amp;"|"&amp;$R829&amp;"|"&amp;$AE829,'ASIGNACIONES'!$N$4:$N$451,0)),0)-$AG829)</f>
        <v/>
      </c>
      <c r="AI829" s="11">
        <f>IF($A829="","",IFERROR(INDEX('2_IMPORTAR_EJECUCION'!$F$9:$F$1208,MATCH($AQ829,'2_IMPORTAR_EJECUCION'!$J$9:$J$1208,0)),0))</f>
        <v/>
      </c>
      <c r="AJ829" s="11">
        <f>IF($A829="","",MAX(0,IFERROR(INDEX('2_IMPORTAR_EJECUCION'!$H$9:$H$1208,MATCH($AQ829,'2_IMPORTAR_EJECUCION'!$J$9:$J$1208,0)),0)-$AI829))</f>
        <v/>
      </c>
      <c r="AK829" s="11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IF($H830="","",IFERROR(INDEX('CAT_ACTIVIDADES'!$B$4:$B$8,MATCH($H830,'CAT_ACTIVIDADES'!$A$4:$A$8,0)),"(sin catálogo)"))</f>
        <v/>
      </c>
      <c r="AA830" s="13">
        <f>IF($J830="","",TODAY()-$J830)</f>
        <v/>
      </c>
      <c r="AB830" s="13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IF($AE830="","",IF((IFERROR(INDEX('ASIGNACIONES'!$J$4:$J$451,MATCH($O830&amp;"|"&amp;$R830&amp;"|"&amp;$AE830,'ASIGNACIONES'!$N$4:$N$451,0)),""))=0,"",IFERROR(INDEX('ASIGNACIONES'!$J$4:$J$451,MATCH($O830&amp;"|"&amp;$R830&amp;"|"&amp;$AE830,'ASIGNACIONES'!$N$4:$N$451,0)),"")))</f>
        <v/>
      </c>
      <c r="AG830" s="14">
        <f>IF($AE830="","",SUMIFS('ORDENES'!$M$4:$M$1203,'ORDENES'!$AE$4:$AE$1203,$AE830,'ORDENES'!$O$4:$O$1203,$O830,'ORDENES'!$R$4:$R$1203,$R830))</f>
        <v/>
      </c>
      <c r="AH830" s="14">
        <f>IF($AG830="","",p_factor_productividad*IFERROR(INDEX('ASIGNACIONES'!$M$4:$M$451,MATCH($O830&amp;"|"&amp;$R830&amp;"|"&amp;$AE830,'ASIGNACIONES'!$N$4:$N$451,0)),0)-$AG830)</f>
        <v/>
      </c>
      <c r="AI830" s="11">
        <f>IF($A830="","",IFERROR(INDEX('2_IMPORTAR_EJECUCION'!$F$9:$F$1208,MATCH($AQ830,'2_IMPORTAR_EJECUCION'!$J$9:$J$1208,0)),0))</f>
        <v/>
      </c>
      <c r="AJ830" s="11">
        <f>IF($A830="","",MAX(0,IFERROR(INDEX('2_IMPORTAR_EJECUCION'!$H$9:$H$1208,MATCH($AQ830,'2_IMPORTAR_EJECUCION'!$J$9:$J$1208,0)),0)-$AI830))</f>
        <v/>
      </c>
      <c r="AK830" s="11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IF($H831="","",IFERROR(INDEX('CAT_ACTIVIDADES'!$B$4:$B$8,MATCH($H831,'CAT_ACTIVIDADES'!$A$4:$A$8,0)),"(sin catálogo)"))</f>
        <v/>
      </c>
      <c r="AA831" s="13">
        <f>IF($J831="","",TODAY()-$J831)</f>
        <v/>
      </c>
      <c r="AB831" s="13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IF($AE831="","",IF((IFERROR(INDEX('ASIGNACIONES'!$J$4:$J$451,MATCH($O831&amp;"|"&amp;$R831&amp;"|"&amp;$AE831,'ASIGNACIONES'!$N$4:$N$451,0)),""))=0,"",IFERROR(INDEX('ASIGNACIONES'!$J$4:$J$451,MATCH($O831&amp;"|"&amp;$R831&amp;"|"&amp;$AE831,'ASIGNACIONES'!$N$4:$N$451,0)),"")))</f>
        <v/>
      </c>
      <c r="AG831" s="14">
        <f>IF($AE831="","",SUMIFS('ORDENES'!$M$4:$M$1203,'ORDENES'!$AE$4:$AE$1203,$AE831,'ORDENES'!$O$4:$O$1203,$O831,'ORDENES'!$R$4:$R$1203,$R831))</f>
        <v/>
      </c>
      <c r="AH831" s="14">
        <f>IF($AG831="","",p_factor_productividad*IFERROR(INDEX('ASIGNACIONES'!$M$4:$M$451,MATCH($O831&amp;"|"&amp;$R831&amp;"|"&amp;$AE831,'ASIGNACIONES'!$N$4:$N$451,0)),0)-$AG831)</f>
        <v/>
      </c>
      <c r="AI831" s="11">
        <f>IF($A831="","",IFERROR(INDEX('2_IMPORTAR_EJECUCION'!$F$9:$F$1208,MATCH($AQ831,'2_IMPORTAR_EJECUCION'!$J$9:$J$1208,0)),0))</f>
        <v/>
      </c>
      <c r="AJ831" s="11">
        <f>IF($A831="","",MAX(0,IFERROR(INDEX('2_IMPORTAR_EJECUCION'!$H$9:$H$1208,MATCH($AQ831,'2_IMPORTAR_EJECUCION'!$J$9:$J$1208,0)),0)-$AI831))</f>
        <v/>
      </c>
      <c r="AK831" s="11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IF($H832="","",IFERROR(INDEX('CAT_ACTIVIDADES'!$B$4:$B$8,MATCH($H832,'CAT_ACTIVIDADES'!$A$4:$A$8,0)),"(sin catálogo)"))</f>
        <v/>
      </c>
      <c r="AA832" s="13">
        <f>IF($J832="","",TODAY()-$J832)</f>
        <v/>
      </c>
      <c r="AB832" s="13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IF($AE832="","",IF((IFERROR(INDEX('ASIGNACIONES'!$J$4:$J$451,MATCH($O832&amp;"|"&amp;$R832&amp;"|"&amp;$AE832,'ASIGNACIONES'!$N$4:$N$451,0)),""))=0,"",IFERROR(INDEX('ASIGNACIONES'!$J$4:$J$451,MATCH($O832&amp;"|"&amp;$R832&amp;"|"&amp;$AE832,'ASIGNACIONES'!$N$4:$N$451,0)),"")))</f>
        <v/>
      </c>
      <c r="AG832" s="14">
        <f>IF($AE832="","",SUMIFS('ORDENES'!$M$4:$M$1203,'ORDENES'!$AE$4:$AE$1203,$AE832,'ORDENES'!$O$4:$O$1203,$O832,'ORDENES'!$R$4:$R$1203,$R832))</f>
        <v/>
      </c>
      <c r="AH832" s="14">
        <f>IF($AG832="","",p_factor_productividad*IFERROR(INDEX('ASIGNACIONES'!$M$4:$M$451,MATCH($O832&amp;"|"&amp;$R832&amp;"|"&amp;$AE832,'ASIGNACIONES'!$N$4:$N$451,0)),0)-$AG832)</f>
        <v/>
      </c>
      <c r="AI832" s="11">
        <f>IF($A832="","",IFERROR(INDEX('2_IMPORTAR_EJECUCION'!$F$9:$F$1208,MATCH($AQ832,'2_IMPORTAR_EJECUCION'!$J$9:$J$1208,0)),0))</f>
        <v/>
      </c>
      <c r="AJ832" s="11">
        <f>IF($A832="","",MAX(0,IFERROR(INDEX('2_IMPORTAR_EJECUCION'!$H$9:$H$1208,MATCH($AQ832,'2_IMPORTAR_EJECUCION'!$J$9:$J$1208,0)),0)-$AI832))</f>
        <v/>
      </c>
      <c r="AK832" s="11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IF($H833="","",IFERROR(INDEX('CAT_ACTIVIDADES'!$B$4:$B$8,MATCH($H833,'CAT_ACTIVIDADES'!$A$4:$A$8,0)),"(sin catálogo)"))</f>
        <v/>
      </c>
      <c r="AA833" s="13">
        <f>IF($J833="","",TODAY()-$J833)</f>
        <v/>
      </c>
      <c r="AB833" s="13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IF($AE833="","",IF((IFERROR(INDEX('ASIGNACIONES'!$J$4:$J$451,MATCH($O833&amp;"|"&amp;$R833&amp;"|"&amp;$AE833,'ASIGNACIONES'!$N$4:$N$451,0)),""))=0,"",IFERROR(INDEX('ASIGNACIONES'!$J$4:$J$451,MATCH($O833&amp;"|"&amp;$R833&amp;"|"&amp;$AE833,'ASIGNACIONES'!$N$4:$N$451,0)),"")))</f>
        <v/>
      </c>
      <c r="AG833" s="14">
        <f>IF($AE833="","",SUMIFS('ORDENES'!$M$4:$M$1203,'ORDENES'!$AE$4:$AE$1203,$AE833,'ORDENES'!$O$4:$O$1203,$O833,'ORDENES'!$R$4:$R$1203,$R833))</f>
        <v/>
      </c>
      <c r="AH833" s="14">
        <f>IF($AG833="","",p_factor_productividad*IFERROR(INDEX('ASIGNACIONES'!$M$4:$M$451,MATCH($O833&amp;"|"&amp;$R833&amp;"|"&amp;$AE833,'ASIGNACIONES'!$N$4:$N$451,0)),0)-$AG833)</f>
        <v/>
      </c>
      <c r="AI833" s="11">
        <f>IF($A833="","",IFERROR(INDEX('2_IMPORTAR_EJECUCION'!$F$9:$F$1208,MATCH($AQ833,'2_IMPORTAR_EJECUCION'!$J$9:$J$1208,0)),0))</f>
        <v/>
      </c>
      <c r="AJ833" s="11">
        <f>IF($A833="","",MAX(0,IFERROR(INDEX('2_IMPORTAR_EJECUCION'!$H$9:$H$1208,MATCH($AQ833,'2_IMPORTAR_EJECUCION'!$J$9:$J$1208,0)),0)-$AI833))</f>
        <v/>
      </c>
      <c r="AK833" s="11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IF($H834="","",IFERROR(INDEX('CAT_ACTIVIDADES'!$B$4:$B$8,MATCH($H834,'CAT_ACTIVIDADES'!$A$4:$A$8,0)),"(sin catálogo)"))</f>
        <v/>
      </c>
      <c r="AA834" s="13">
        <f>IF($J834="","",TODAY()-$J834)</f>
        <v/>
      </c>
      <c r="AB834" s="13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IF($AE834="","",IF((IFERROR(INDEX('ASIGNACIONES'!$J$4:$J$451,MATCH($O834&amp;"|"&amp;$R834&amp;"|"&amp;$AE834,'ASIGNACIONES'!$N$4:$N$451,0)),""))=0,"",IFERROR(INDEX('ASIGNACIONES'!$J$4:$J$451,MATCH($O834&amp;"|"&amp;$R834&amp;"|"&amp;$AE834,'ASIGNACIONES'!$N$4:$N$451,0)),"")))</f>
        <v/>
      </c>
      <c r="AG834" s="14">
        <f>IF($AE834="","",SUMIFS('ORDENES'!$M$4:$M$1203,'ORDENES'!$AE$4:$AE$1203,$AE834,'ORDENES'!$O$4:$O$1203,$O834,'ORDENES'!$R$4:$R$1203,$R834))</f>
        <v/>
      </c>
      <c r="AH834" s="14">
        <f>IF($AG834="","",p_factor_productividad*IFERROR(INDEX('ASIGNACIONES'!$M$4:$M$451,MATCH($O834&amp;"|"&amp;$R834&amp;"|"&amp;$AE834,'ASIGNACIONES'!$N$4:$N$451,0)),0)-$AG834)</f>
        <v/>
      </c>
      <c r="AI834" s="11">
        <f>IF($A834="","",IFERROR(INDEX('2_IMPORTAR_EJECUCION'!$F$9:$F$1208,MATCH($AQ834,'2_IMPORTAR_EJECUCION'!$J$9:$J$1208,0)),0))</f>
        <v/>
      </c>
      <c r="AJ834" s="11">
        <f>IF($A834="","",MAX(0,IFERROR(INDEX('2_IMPORTAR_EJECUCION'!$H$9:$H$1208,MATCH($AQ834,'2_IMPORTAR_EJECUCION'!$J$9:$J$1208,0)),0)-$AI834))</f>
        <v/>
      </c>
      <c r="AK834" s="11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IF($H835="","",IFERROR(INDEX('CAT_ACTIVIDADES'!$B$4:$B$8,MATCH($H835,'CAT_ACTIVIDADES'!$A$4:$A$8,0)),"(sin catálogo)"))</f>
        <v/>
      </c>
      <c r="AA835" s="13">
        <f>IF($J835="","",TODAY()-$J835)</f>
        <v/>
      </c>
      <c r="AB835" s="13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IF($AE835="","",IF((IFERROR(INDEX('ASIGNACIONES'!$J$4:$J$451,MATCH($O835&amp;"|"&amp;$R835&amp;"|"&amp;$AE835,'ASIGNACIONES'!$N$4:$N$451,0)),""))=0,"",IFERROR(INDEX('ASIGNACIONES'!$J$4:$J$451,MATCH($O835&amp;"|"&amp;$R835&amp;"|"&amp;$AE835,'ASIGNACIONES'!$N$4:$N$451,0)),"")))</f>
        <v/>
      </c>
      <c r="AG835" s="14">
        <f>IF($AE835="","",SUMIFS('ORDENES'!$M$4:$M$1203,'ORDENES'!$AE$4:$AE$1203,$AE835,'ORDENES'!$O$4:$O$1203,$O835,'ORDENES'!$R$4:$R$1203,$R835))</f>
        <v/>
      </c>
      <c r="AH835" s="14">
        <f>IF($AG835="","",p_factor_productividad*IFERROR(INDEX('ASIGNACIONES'!$M$4:$M$451,MATCH($O835&amp;"|"&amp;$R835&amp;"|"&amp;$AE835,'ASIGNACIONES'!$N$4:$N$451,0)),0)-$AG835)</f>
        <v/>
      </c>
      <c r="AI835" s="11">
        <f>IF($A835="","",IFERROR(INDEX('2_IMPORTAR_EJECUCION'!$F$9:$F$1208,MATCH($AQ835,'2_IMPORTAR_EJECUCION'!$J$9:$J$1208,0)),0))</f>
        <v/>
      </c>
      <c r="AJ835" s="11">
        <f>IF($A835="","",MAX(0,IFERROR(INDEX('2_IMPORTAR_EJECUCION'!$H$9:$H$1208,MATCH($AQ835,'2_IMPORTAR_EJECUCION'!$J$9:$J$1208,0)),0)-$AI835))</f>
        <v/>
      </c>
      <c r="AK835" s="11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IF($H836="","",IFERROR(INDEX('CAT_ACTIVIDADES'!$B$4:$B$8,MATCH($H836,'CAT_ACTIVIDADES'!$A$4:$A$8,0)),"(sin catálogo)"))</f>
        <v/>
      </c>
      <c r="AA836" s="13">
        <f>IF($J836="","",TODAY()-$J836)</f>
        <v/>
      </c>
      <c r="AB836" s="13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IF($AE836="","",IF((IFERROR(INDEX('ASIGNACIONES'!$J$4:$J$451,MATCH($O836&amp;"|"&amp;$R836&amp;"|"&amp;$AE836,'ASIGNACIONES'!$N$4:$N$451,0)),""))=0,"",IFERROR(INDEX('ASIGNACIONES'!$J$4:$J$451,MATCH($O836&amp;"|"&amp;$R836&amp;"|"&amp;$AE836,'ASIGNACIONES'!$N$4:$N$451,0)),"")))</f>
        <v/>
      </c>
      <c r="AG836" s="14">
        <f>IF($AE836="","",SUMIFS('ORDENES'!$M$4:$M$1203,'ORDENES'!$AE$4:$AE$1203,$AE836,'ORDENES'!$O$4:$O$1203,$O836,'ORDENES'!$R$4:$R$1203,$R836))</f>
        <v/>
      </c>
      <c r="AH836" s="14">
        <f>IF($AG836="","",p_factor_productividad*IFERROR(INDEX('ASIGNACIONES'!$M$4:$M$451,MATCH($O836&amp;"|"&amp;$R836&amp;"|"&amp;$AE836,'ASIGNACIONES'!$N$4:$N$451,0)),0)-$AG836)</f>
        <v/>
      </c>
      <c r="AI836" s="11">
        <f>IF($A836="","",IFERROR(INDEX('2_IMPORTAR_EJECUCION'!$F$9:$F$1208,MATCH($AQ836,'2_IMPORTAR_EJECUCION'!$J$9:$J$1208,0)),0))</f>
        <v/>
      </c>
      <c r="AJ836" s="11">
        <f>IF($A836="","",MAX(0,IFERROR(INDEX('2_IMPORTAR_EJECUCION'!$H$9:$H$1208,MATCH($AQ836,'2_IMPORTAR_EJECUCION'!$J$9:$J$1208,0)),0)-$AI836))</f>
        <v/>
      </c>
      <c r="AK836" s="11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IF($H837="","",IFERROR(INDEX('CAT_ACTIVIDADES'!$B$4:$B$8,MATCH($H837,'CAT_ACTIVIDADES'!$A$4:$A$8,0)),"(sin catálogo)"))</f>
        <v/>
      </c>
      <c r="AA837" s="13">
        <f>IF($J837="","",TODAY()-$J837)</f>
        <v/>
      </c>
      <c r="AB837" s="13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IF($AE837="","",IF((IFERROR(INDEX('ASIGNACIONES'!$J$4:$J$451,MATCH($O837&amp;"|"&amp;$R837&amp;"|"&amp;$AE837,'ASIGNACIONES'!$N$4:$N$451,0)),""))=0,"",IFERROR(INDEX('ASIGNACIONES'!$J$4:$J$451,MATCH($O837&amp;"|"&amp;$R837&amp;"|"&amp;$AE837,'ASIGNACIONES'!$N$4:$N$451,0)),"")))</f>
        <v/>
      </c>
      <c r="AG837" s="14">
        <f>IF($AE837="","",SUMIFS('ORDENES'!$M$4:$M$1203,'ORDENES'!$AE$4:$AE$1203,$AE837,'ORDENES'!$O$4:$O$1203,$O837,'ORDENES'!$R$4:$R$1203,$R837))</f>
        <v/>
      </c>
      <c r="AH837" s="14">
        <f>IF($AG837="","",p_factor_productividad*IFERROR(INDEX('ASIGNACIONES'!$M$4:$M$451,MATCH($O837&amp;"|"&amp;$R837&amp;"|"&amp;$AE837,'ASIGNACIONES'!$N$4:$N$451,0)),0)-$AG837)</f>
        <v/>
      </c>
      <c r="AI837" s="11">
        <f>IF($A837="","",IFERROR(INDEX('2_IMPORTAR_EJECUCION'!$F$9:$F$1208,MATCH($AQ837,'2_IMPORTAR_EJECUCION'!$J$9:$J$1208,0)),0))</f>
        <v/>
      </c>
      <c r="AJ837" s="11">
        <f>IF($A837="","",MAX(0,IFERROR(INDEX('2_IMPORTAR_EJECUCION'!$H$9:$H$1208,MATCH($AQ837,'2_IMPORTAR_EJECUCION'!$J$9:$J$1208,0)),0)-$AI837))</f>
        <v/>
      </c>
      <c r="AK837" s="11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IF($H838="","",IFERROR(INDEX('CAT_ACTIVIDADES'!$B$4:$B$8,MATCH($H838,'CAT_ACTIVIDADES'!$A$4:$A$8,0)),"(sin catálogo)"))</f>
        <v/>
      </c>
      <c r="AA838" s="13">
        <f>IF($J838="","",TODAY()-$J838)</f>
        <v/>
      </c>
      <c r="AB838" s="13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IF($AE838="","",IF((IFERROR(INDEX('ASIGNACIONES'!$J$4:$J$451,MATCH($O838&amp;"|"&amp;$R838&amp;"|"&amp;$AE838,'ASIGNACIONES'!$N$4:$N$451,0)),""))=0,"",IFERROR(INDEX('ASIGNACIONES'!$J$4:$J$451,MATCH($O838&amp;"|"&amp;$R838&amp;"|"&amp;$AE838,'ASIGNACIONES'!$N$4:$N$451,0)),"")))</f>
        <v/>
      </c>
      <c r="AG838" s="14">
        <f>IF($AE838="","",SUMIFS('ORDENES'!$M$4:$M$1203,'ORDENES'!$AE$4:$AE$1203,$AE838,'ORDENES'!$O$4:$O$1203,$O838,'ORDENES'!$R$4:$R$1203,$R838))</f>
        <v/>
      </c>
      <c r="AH838" s="14">
        <f>IF($AG838="","",p_factor_productividad*IFERROR(INDEX('ASIGNACIONES'!$M$4:$M$451,MATCH($O838&amp;"|"&amp;$R838&amp;"|"&amp;$AE838,'ASIGNACIONES'!$N$4:$N$451,0)),0)-$AG838)</f>
        <v/>
      </c>
      <c r="AI838" s="11">
        <f>IF($A838="","",IFERROR(INDEX('2_IMPORTAR_EJECUCION'!$F$9:$F$1208,MATCH($AQ838,'2_IMPORTAR_EJECUCION'!$J$9:$J$1208,0)),0))</f>
        <v/>
      </c>
      <c r="AJ838" s="11">
        <f>IF($A838="","",MAX(0,IFERROR(INDEX('2_IMPORTAR_EJECUCION'!$H$9:$H$1208,MATCH($AQ838,'2_IMPORTAR_EJECUCION'!$J$9:$J$1208,0)),0)-$AI838))</f>
        <v/>
      </c>
      <c r="AK838" s="11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IF($H839="","",IFERROR(INDEX('CAT_ACTIVIDADES'!$B$4:$B$8,MATCH($H839,'CAT_ACTIVIDADES'!$A$4:$A$8,0)),"(sin catálogo)"))</f>
        <v/>
      </c>
      <c r="AA839" s="13">
        <f>IF($J839="","",TODAY()-$J839)</f>
        <v/>
      </c>
      <c r="AB839" s="13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IF($AE839="","",IF((IFERROR(INDEX('ASIGNACIONES'!$J$4:$J$451,MATCH($O839&amp;"|"&amp;$R839&amp;"|"&amp;$AE839,'ASIGNACIONES'!$N$4:$N$451,0)),""))=0,"",IFERROR(INDEX('ASIGNACIONES'!$J$4:$J$451,MATCH($O839&amp;"|"&amp;$R839&amp;"|"&amp;$AE839,'ASIGNACIONES'!$N$4:$N$451,0)),"")))</f>
        <v/>
      </c>
      <c r="AG839" s="14">
        <f>IF($AE839="","",SUMIFS('ORDENES'!$M$4:$M$1203,'ORDENES'!$AE$4:$AE$1203,$AE839,'ORDENES'!$O$4:$O$1203,$O839,'ORDENES'!$R$4:$R$1203,$R839))</f>
        <v/>
      </c>
      <c r="AH839" s="14">
        <f>IF($AG839="","",p_factor_productividad*IFERROR(INDEX('ASIGNACIONES'!$M$4:$M$451,MATCH($O839&amp;"|"&amp;$R839&amp;"|"&amp;$AE839,'ASIGNACIONES'!$N$4:$N$451,0)),0)-$AG839)</f>
        <v/>
      </c>
      <c r="AI839" s="11">
        <f>IF($A839="","",IFERROR(INDEX('2_IMPORTAR_EJECUCION'!$F$9:$F$1208,MATCH($AQ839,'2_IMPORTAR_EJECUCION'!$J$9:$J$1208,0)),0))</f>
        <v/>
      </c>
      <c r="AJ839" s="11">
        <f>IF($A839="","",MAX(0,IFERROR(INDEX('2_IMPORTAR_EJECUCION'!$H$9:$H$1208,MATCH($AQ839,'2_IMPORTAR_EJECUCION'!$J$9:$J$1208,0)),0)-$AI839))</f>
        <v/>
      </c>
      <c r="AK839" s="11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IF($H840="","",IFERROR(INDEX('CAT_ACTIVIDADES'!$B$4:$B$8,MATCH($H840,'CAT_ACTIVIDADES'!$A$4:$A$8,0)),"(sin catálogo)"))</f>
        <v/>
      </c>
      <c r="AA840" s="13">
        <f>IF($J840="","",TODAY()-$J840)</f>
        <v/>
      </c>
      <c r="AB840" s="13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IF($AE840="","",IF((IFERROR(INDEX('ASIGNACIONES'!$J$4:$J$451,MATCH($O840&amp;"|"&amp;$R840&amp;"|"&amp;$AE840,'ASIGNACIONES'!$N$4:$N$451,0)),""))=0,"",IFERROR(INDEX('ASIGNACIONES'!$J$4:$J$451,MATCH($O840&amp;"|"&amp;$R840&amp;"|"&amp;$AE840,'ASIGNACIONES'!$N$4:$N$451,0)),"")))</f>
        <v/>
      </c>
      <c r="AG840" s="14">
        <f>IF($AE840="","",SUMIFS('ORDENES'!$M$4:$M$1203,'ORDENES'!$AE$4:$AE$1203,$AE840,'ORDENES'!$O$4:$O$1203,$O840,'ORDENES'!$R$4:$R$1203,$R840))</f>
        <v/>
      </c>
      <c r="AH840" s="14">
        <f>IF($AG840="","",p_factor_productividad*IFERROR(INDEX('ASIGNACIONES'!$M$4:$M$451,MATCH($O840&amp;"|"&amp;$R840&amp;"|"&amp;$AE840,'ASIGNACIONES'!$N$4:$N$451,0)),0)-$AG840)</f>
        <v/>
      </c>
      <c r="AI840" s="11">
        <f>IF($A840="","",IFERROR(INDEX('2_IMPORTAR_EJECUCION'!$F$9:$F$1208,MATCH($AQ840,'2_IMPORTAR_EJECUCION'!$J$9:$J$1208,0)),0))</f>
        <v/>
      </c>
      <c r="AJ840" s="11">
        <f>IF($A840="","",MAX(0,IFERROR(INDEX('2_IMPORTAR_EJECUCION'!$H$9:$H$1208,MATCH($AQ840,'2_IMPORTAR_EJECUCION'!$J$9:$J$1208,0)),0)-$AI840))</f>
        <v/>
      </c>
      <c r="AK840" s="11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IF($H841="","",IFERROR(INDEX('CAT_ACTIVIDADES'!$B$4:$B$8,MATCH($H841,'CAT_ACTIVIDADES'!$A$4:$A$8,0)),"(sin catálogo)"))</f>
        <v/>
      </c>
      <c r="AA841" s="13">
        <f>IF($J841="","",TODAY()-$J841)</f>
        <v/>
      </c>
      <c r="AB841" s="13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IF($AE841="","",IF((IFERROR(INDEX('ASIGNACIONES'!$J$4:$J$451,MATCH($O841&amp;"|"&amp;$R841&amp;"|"&amp;$AE841,'ASIGNACIONES'!$N$4:$N$451,0)),""))=0,"",IFERROR(INDEX('ASIGNACIONES'!$J$4:$J$451,MATCH($O841&amp;"|"&amp;$R841&amp;"|"&amp;$AE841,'ASIGNACIONES'!$N$4:$N$451,0)),"")))</f>
        <v/>
      </c>
      <c r="AG841" s="14">
        <f>IF($AE841="","",SUMIFS('ORDENES'!$M$4:$M$1203,'ORDENES'!$AE$4:$AE$1203,$AE841,'ORDENES'!$O$4:$O$1203,$O841,'ORDENES'!$R$4:$R$1203,$R841))</f>
        <v/>
      </c>
      <c r="AH841" s="14">
        <f>IF($AG841="","",p_factor_productividad*IFERROR(INDEX('ASIGNACIONES'!$M$4:$M$451,MATCH($O841&amp;"|"&amp;$R841&amp;"|"&amp;$AE841,'ASIGNACIONES'!$N$4:$N$451,0)),0)-$AG841)</f>
        <v/>
      </c>
      <c r="AI841" s="11">
        <f>IF($A841="","",IFERROR(INDEX('2_IMPORTAR_EJECUCION'!$F$9:$F$1208,MATCH($AQ841,'2_IMPORTAR_EJECUCION'!$J$9:$J$1208,0)),0))</f>
        <v/>
      </c>
      <c r="AJ841" s="11">
        <f>IF($A841="","",MAX(0,IFERROR(INDEX('2_IMPORTAR_EJECUCION'!$H$9:$H$1208,MATCH($AQ841,'2_IMPORTAR_EJECUCION'!$J$9:$J$1208,0)),0)-$AI841))</f>
        <v/>
      </c>
      <c r="AK841" s="11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IF($H842="","",IFERROR(INDEX('CAT_ACTIVIDADES'!$B$4:$B$8,MATCH($H842,'CAT_ACTIVIDADES'!$A$4:$A$8,0)),"(sin catálogo)"))</f>
        <v/>
      </c>
      <c r="AA842" s="13">
        <f>IF($J842="","",TODAY()-$J842)</f>
        <v/>
      </c>
      <c r="AB842" s="13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IF($AE842="","",IF((IFERROR(INDEX('ASIGNACIONES'!$J$4:$J$451,MATCH($O842&amp;"|"&amp;$R842&amp;"|"&amp;$AE842,'ASIGNACIONES'!$N$4:$N$451,0)),""))=0,"",IFERROR(INDEX('ASIGNACIONES'!$J$4:$J$451,MATCH($O842&amp;"|"&amp;$R842&amp;"|"&amp;$AE842,'ASIGNACIONES'!$N$4:$N$451,0)),"")))</f>
        <v/>
      </c>
      <c r="AG842" s="14">
        <f>IF($AE842="","",SUMIFS('ORDENES'!$M$4:$M$1203,'ORDENES'!$AE$4:$AE$1203,$AE842,'ORDENES'!$O$4:$O$1203,$O842,'ORDENES'!$R$4:$R$1203,$R842))</f>
        <v/>
      </c>
      <c r="AH842" s="14">
        <f>IF($AG842="","",p_factor_productividad*IFERROR(INDEX('ASIGNACIONES'!$M$4:$M$451,MATCH($O842&amp;"|"&amp;$R842&amp;"|"&amp;$AE842,'ASIGNACIONES'!$N$4:$N$451,0)),0)-$AG842)</f>
        <v/>
      </c>
      <c r="AI842" s="11">
        <f>IF($A842="","",IFERROR(INDEX('2_IMPORTAR_EJECUCION'!$F$9:$F$1208,MATCH($AQ842,'2_IMPORTAR_EJECUCION'!$J$9:$J$1208,0)),0))</f>
        <v/>
      </c>
      <c r="AJ842" s="11">
        <f>IF($A842="","",MAX(0,IFERROR(INDEX('2_IMPORTAR_EJECUCION'!$H$9:$H$1208,MATCH($AQ842,'2_IMPORTAR_EJECUCION'!$J$9:$J$1208,0)),0)-$AI842))</f>
        <v/>
      </c>
      <c r="AK842" s="11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IF($H843="","",IFERROR(INDEX('CAT_ACTIVIDADES'!$B$4:$B$8,MATCH($H843,'CAT_ACTIVIDADES'!$A$4:$A$8,0)),"(sin catálogo)"))</f>
        <v/>
      </c>
      <c r="AA843" s="13">
        <f>IF($J843="","",TODAY()-$J843)</f>
        <v/>
      </c>
      <c r="AB843" s="13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IF($AE843="","",IF((IFERROR(INDEX('ASIGNACIONES'!$J$4:$J$451,MATCH($O843&amp;"|"&amp;$R843&amp;"|"&amp;$AE843,'ASIGNACIONES'!$N$4:$N$451,0)),""))=0,"",IFERROR(INDEX('ASIGNACIONES'!$J$4:$J$451,MATCH($O843&amp;"|"&amp;$R843&amp;"|"&amp;$AE843,'ASIGNACIONES'!$N$4:$N$451,0)),"")))</f>
        <v/>
      </c>
      <c r="AG843" s="14">
        <f>IF($AE843="","",SUMIFS('ORDENES'!$M$4:$M$1203,'ORDENES'!$AE$4:$AE$1203,$AE843,'ORDENES'!$O$4:$O$1203,$O843,'ORDENES'!$R$4:$R$1203,$R843))</f>
        <v/>
      </c>
      <c r="AH843" s="14">
        <f>IF($AG843="","",p_factor_productividad*IFERROR(INDEX('ASIGNACIONES'!$M$4:$M$451,MATCH($O843&amp;"|"&amp;$R843&amp;"|"&amp;$AE843,'ASIGNACIONES'!$N$4:$N$451,0)),0)-$AG843)</f>
        <v/>
      </c>
      <c r="AI843" s="11">
        <f>IF($A843="","",IFERROR(INDEX('2_IMPORTAR_EJECUCION'!$F$9:$F$1208,MATCH($AQ843,'2_IMPORTAR_EJECUCION'!$J$9:$J$1208,0)),0))</f>
        <v/>
      </c>
      <c r="AJ843" s="11">
        <f>IF($A843="","",MAX(0,IFERROR(INDEX('2_IMPORTAR_EJECUCION'!$H$9:$H$1208,MATCH($AQ843,'2_IMPORTAR_EJECUCION'!$J$9:$J$1208,0)),0)-$AI843))</f>
        <v/>
      </c>
      <c r="AK843" s="11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IF($H844="","",IFERROR(INDEX('CAT_ACTIVIDADES'!$B$4:$B$8,MATCH($H844,'CAT_ACTIVIDADES'!$A$4:$A$8,0)),"(sin catálogo)"))</f>
        <v/>
      </c>
      <c r="AA844" s="13">
        <f>IF($J844="","",TODAY()-$J844)</f>
        <v/>
      </c>
      <c r="AB844" s="13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IF($AE844="","",IF((IFERROR(INDEX('ASIGNACIONES'!$J$4:$J$451,MATCH($O844&amp;"|"&amp;$R844&amp;"|"&amp;$AE844,'ASIGNACIONES'!$N$4:$N$451,0)),""))=0,"",IFERROR(INDEX('ASIGNACIONES'!$J$4:$J$451,MATCH($O844&amp;"|"&amp;$R844&amp;"|"&amp;$AE844,'ASIGNACIONES'!$N$4:$N$451,0)),"")))</f>
        <v/>
      </c>
      <c r="AG844" s="14">
        <f>IF($AE844="","",SUMIFS('ORDENES'!$M$4:$M$1203,'ORDENES'!$AE$4:$AE$1203,$AE844,'ORDENES'!$O$4:$O$1203,$O844,'ORDENES'!$R$4:$R$1203,$R844))</f>
        <v/>
      </c>
      <c r="AH844" s="14">
        <f>IF($AG844="","",p_factor_productividad*IFERROR(INDEX('ASIGNACIONES'!$M$4:$M$451,MATCH($O844&amp;"|"&amp;$R844&amp;"|"&amp;$AE844,'ASIGNACIONES'!$N$4:$N$451,0)),0)-$AG844)</f>
        <v/>
      </c>
      <c r="AI844" s="11">
        <f>IF($A844="","",IFERROR(INDEX('2_IMPORTAR_EJECUCION'!$F$9:$F$1208,MATCH($AQ844,'2_IMPORTAR_EJECUCION'!$J$9:$J$1208,0)),0))</f>
        <v/>
      </c>
      <c r="AJ844" s="11">
        <f>IF($A844="","",MAX(0,IFERROR(INDEX('2_IMPORTAR_EJECUCION'!$H$9:$H$1208,MATCH($AQ844,'2_IMPORTAR_EJECUCION'!$J$9:$J$1208,0)),0)-$AI844))</f>
        <v/>
      </c>
      <c r="AK844" s="11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IF($H845="","",IFERROR(INDEX('CAT_ACTIVIDADES'!$B$4:$B$8,MATCH($H845,'CAT_ACTIVIDADES'!$A$4:$A$8,0)),"(sin catálogo)"))</f>
        <v/>
      </c>
      <c r="AA845" s="13">
        <f>IF($J845="","",TODAY()-$J845)</f>
        <v/>
      </c>
      <c r="AB845" s="13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IF($AE845="","",IF((IFERROR(INDEX('ASIGNACIONES'!$J$4:$J$451,MATCH($O845&amp;"|"&amp;$R845&amp;"|"&amp;$AE845,'ASIGNACIONES'!$N$4:$N$451,0)),""))=0,"",IFERROR(INDEX('ASIGNACIONES'!$J$4:$J$451,MATCH($O845&amp;"|"&amp;$R845&amp;"|"&amp;$AE845,'ASIGNACIONES'!$N$4:$N$451,0)),"")))</f>
        <v/>
      </c>
      <c r="AG845" s="14">
        <f>IF($AE845="","",SUMIFS('ORDENES'!$M$4:$M$1203,'ORDENES'!$AE$4:$AE$1203,$AE845,'ORDENES'!$O$4:$O$1203,$O845,'ORDENES'!$R$4:$R$1203,$R845))</f>
        <v/>
      </c>
      <c r="AH845" s="14">
        <f>IF($AG845="","",p_factor_productividad*IFERROR(INDEX('ASIGNACIONES'!$M$4:$M$451,MATCH($O845&amp;"|"&amp;$R845&amp;"|"&amp;$AE845,'ASIGNACIONES'!$N$4:$N$451,0)),0)-$AG845)</f>
        <v/>
      </c>
      <c r="AI845" s="11">
        <f>IF($A845="","",IFERROR(INDEX('2_IMPORTAR_EJECUCION'!$F$9:$F$1208,MATCH($AQ845,'2_IMPORTAR_EJECUCION'!$J$9:$J$1208,0)),0))</f>
        <v/>
      </c>
      <c r="AJ845" s="11">
        <f>IF($A845="","",MAX(0,IFERROR(INDEX('2_IMPORTAR_EJECUCION'!$H$9:$H$1208,MATCH($AQ845,'2_IMPORTAR_EJECUCION'!$J$9:$J$1208,0)),0)-$AI845))</f>
        <v/>
      </c>
      <c r="AK845" s="11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IF($H846="","",IFERROR(INDEX('CAT_ACTIVIDADES'!$B$4:$B$8,MATCH($H846,'CAT_ACTIVIDADES'!$A$4:$A$8,0)),"(sin catálogo)"))</f>
        <v/>
      </c>
      <c r="AA846" s="13">
        <f>IF($J846="","",TODAY()-$J846)</f>
        <v/>
      </c>
      <c r="AB846" s="13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IF($AE846="","",IF((IFERROR(INDEX('ASIGNACIONES'!$J$4:$J$451,MATCH($O846&amp;"|"&amp;$R846&amp;"|"&amp;$AE846,'ASIGNACIONES'!$N$4:$N$451,0)),""))=0,"",IFERROR(INDEX('ASIGNACIONES'!$J$4:$J$451,MATCH($O846&amp;"|"&amp;$R846&amp;"|"&amp;$AE846,'ASIGNACIONES'!$N$4:$N$451,0)),"")))</f>
        <v/>
      </c>
      <c r="AG846" s="14">
        <f>IF($AE846="","",SUMIFS('ORDENES'!$M$4:$M$1203,'ORDENES'!$AE$4:$AE$1203,$AE846,'ORDENES'!$O$4:$O$1203,$O846,'ORDENES'!$R$4:$R$1203,$R846))</f>
        <v/>
      </c>
      <c r="AH846" s="14">
        <f>IF($AG846="","",p_factor_productividad*IFERROR(INDEX('ASIGNACIONES'!$M$4:$M$451,MATCH($O846&amp;"|"&amp;$R846&amp;"|"&amp;$AE846,'ASIGNACIONES'!$N$4:$N$451,0)),0)-$AG846)</f>
        <v/>
      </c>
      <c r="AI846" s="11">
        <f>IF($A846="","",IFERROR(INDEX('2_IMPORTAR_EJECUCION'!$F$9:$F$1208,MATCH($AQ846,'2_IMPORTAR_EJECUCION'!$J$9:$J$1208,0)),0))</f>
        <v/>
      </c>
      <c r="AJ846" s="11">
        <f>IF($A846="","",MAX(0,IFERROR(INDEX('2_IMPORTAR_EJECUCION'!$H$9:$H$1208,MATCH($AQ846,'2_IMPORTAR_EJECUCION'!$J$9:$J$1208,0)),0)-$AI846))</f>
        <v/>
      </c>
      <c r="AK846" s="11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IF($H847="","",IFERROR(INDEX('CAT_ACTIVIDADES'!$B$4:$B$8,MATCH($H847,'CAT_ACTIVIDADES'!$A$4:$A$8,0)),"(sin catálogo)"))</f>
        <v/>
      </c>
      <c r="AA847" s="13">
        <f>IF($J847="","",TODAY()-$J847)</f>
        <v/>
      </c>
      <c r="AB847" s="13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IF($AE847="","",IF((IFERROR(INDEX('ASIGNACIONES'!$J$4:$J$451,MATCH($O847&amp;"|"&amp;$R847&amp;"|"&amp;$AE847,'ASIGNACIONES'!$N$4:$N$451,0)),""))=0,"",IFERROR(INDEX('ASIGNACIONES'!$J$4:$J$451,MATCH($O847&amp;"|"&amp;$R847&amp;"|"&amp;$AE847,'ASIGNACIONES'!$N$4:$N$451,0)),"")))</f>
        <v/>
      </c>
      <c r="AG847" s="14">
        <f>IF($AE847="","",SUMIFS('ORDENES'!$M$4:$M$1203,'ORDENES'!$AE$4:$AE$1203,$AE847,'ORDENES'!$O$4:$O$1203,$O847,'ORDENES'!$R$4:$R$1203,$R847))</f>
        <v/>
      </c>
      <c r="AH847" s="14">
        <f>IF($AG847="","",p_factor_productividad*IFERROR(INDEX('ASIGNACIONES'!$M$4:$M$451,MATCH($O847&amp;"|"&amp;$R847&amp;"|"&amp;$AE847,'ASIGNACIONES'!$N$4:$N$451,0)),0)-$AG847)</f>
        <v/>
      </c>
      <c r="AI847" s="11">
        <f>IF($A847="","",IFERROR(INDEX('2_IMPORTAR_EJECUCION'!$F$9:$F$1208,MATCH($AQ847,'2_IMPORTAR_EJECUCION'!$J$9:$J$1208,0)),0))</f>
        <v/>
      </c>
      <c r="AJ847" s="11">
        <f>IF($A847="","",MAX(0,IFERROR(INDEX('2_IMPORTAR_EJECUCION'!$H$9:$H$1208,MATCH($AQ847,'2_IMPORTAR_EJECUCION'!$J$9:$J$1208,0)),0)-$AI847))</f>
        <v/>
      </c>
      <c r="AK847" s="11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IF($H848="","",IFERROR(INDEX('CAT_ACTIVIDADES'!$B$4:$B$8,MATCH($H848,'CAT_ACTIVIDADES'!$A$4:$A$8,0)),"(sin catálogo)"))</f>
        <v/>
      </c>
      <c r="AA848" s="13">
        <f>IF($J848="","",TODAY()-$J848)</f>
        <v/>
      </c>
      <c r="AB848" s="13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IF($AE848="","",IF((IFERROR(INDEX('ASIGNACIONES'!$J$4:$J$451,MATCH($O848&amp;"|"&amp;$R848&amp;"|"&amp;$AE848,'ASIGNACIONES'!$N$4:$N$451,0)),""))=0,"",IFERROR(INDEX('ASIGNACIONES'!$J$4:$J$451,MATCH($O848&amp;"|"&amp;$R848&amp;"|"&amp;$AE848,'ASIGNACIONES'!$N$4:$N$451,0)),"")))</f>
        <v/>
      </c>
      <c r="AG848" s="14">
        <f>IF($AE848="","",SUMIFS('ORDENES'!$M$4:$M$1203,'ORDENES'!$AE$4:$AE$1203,$AE848,'ORDENES'!$O$4:$O$1203,$O848,'ORDENES'!$R$4:$R$1203,$R848))</f>
        <v/>
      </c>
      <c r="AH848" s="14">
        <f>IF($AG848="","",p_factor_productividad*IFERROR(INDEX('ASIGNACIONES'!$M$4:$M$451,MATCH($O848&amp;"|"&amp;$R848&amp;"|"&amp;$AE848,'ASIGNACIONES'!$N$4:$N$451,0)),0)-$AG848)</f>
        <v/>
      </c>
      <c r="AI848" s="11">
        <f>IF($A848="","",IFERROR(INDEX('2_IMPORTAR_EJECUCION'!$F$9:$F$1208,MATCH($AQ848,'2_IMPORTAR_EJECUCION'!$J$9:$J$1208,0)),0))</f>
        <v/>
      </c>
      <c r="AJ848" s="11">
        <f>IF($A848="","",MAX(0,IFERROR(INDEX('2_IMPORTAR_EJECUCION'!$H$9:$H$1208,MATCH($AQ848,'2_IMPORTAR_EJECUCION'!$J$9:$J$1208,0)),0)-$AI848))</f>
        <v/>
      </c>
      <c r="AK848" s="11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IF($H849="","",IFERROR(INDEX('CAT_ACTIVIDADES'!$B$4:$B$8,MATCH($H849,'CAT_ACTIVIDADES'!$A$4:$A$8,0)),"(sin catálogo)"))</f>
        <v/>
      </c>
      <c r="AA849" s="13">
        <f>IF($J849="","",TODAY()-$J849)</f>
        <v/>
      </c>
      <c r="AB849" s="13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IF($AE849="","",IF((IFERROR(INDEX('ASIGNACIONES'!$J$4:$J$451,MATCH($O849&amp;"|"&amp;$R849&amp;"|"&amp;$AE849,'ASIGNACIONES'!$N$4:$N$451,0)),""))=0,"",IFERROR(INDEX('ASIGNACIONES'!$J$4:$J$451,MATCH($O849&amp;"|"&amp;$R849&amp;"|"&amp;$AE849,'ASIGNACIONES'!$N$4:$N$451,0)),"")))</f>
        <v/>
      </c>
      <c r="AG849" s="14">
        <f>IF($AE849="","",SUMIFS('ORDENES'!$M$4:$M$1203,'ORDENES'!$AE$4:$AE$1203,$AE849,'ORDENES'!$O$4:$O$1203,$O849,'ORDENES'!$R$4:$R$1203,$R849))</f>
        <v/>
      </c>
      <c r="AH849" s="14">
        <f>IF($AG849="","",p_factor_productividad*IFERROR(INDEX('ASIGNACIONES'!$M$4:$M$451,MATCH($O849&amp;"|"&amp;$R849&amp;"|"&amp;$AE849,'ASIGNACIONES'!$N$4:$N$451,0)),0)-$AG849)</f>
        <v/>
      </c>
      <c r="AI849" s="11">
        <f>IF($A849="","",IFERROR(INDEX('2_IMPORTAR_EJECUCION'!$F$9:$F$1208,MATCH($AQ849,'2_IMPORTAR_EJECUCION'!$J$9:$J$1208,0)),0))</f>
        <v/>
      </c>
      <c r="AJ849" s="11">
        <f>IF($A849="","",MAX(0,IFERROR(INDEX('2_IMPORTAR_EJECUCION'!$H$9:$H$1208,MATCH($AQ849,'2_IMPORTAR_EJECUCION'!$J$9:$J$1208,0)),0)-$AI849))</f>
        <v/>
      </c>
      <c r="AK849" s="11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IF($H850="","",IFERROR(INDEX('CAT_ACTIVIDADES'!$B$4:$B$8,MATCH($H850,'CAT_ACTIVIDADES'!$A$4:$A$8,0)),"(sin catálogo)"))</f>
        <v/>
      </c>
      <c r="AA850" s="13">
        <f>IF($J850="","",TODAY()-$J850)</f>
        <v/>
      </c>
      <c r="AB850" s="13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IF($AE850="","",IF((IFERROR(INDEX('ASIGNACIONES'!$J$4:$J$451,MATCH($O850&amp;"|"&amp;$R850&amp;"|"&amp;$AE850,'ASIGNACIONES'!$N$4:$N$451,0)),""))=0,"",IFERROR(INDEX('ASIGNACIONES'!$J$4:$J$451,MATCH($O850&amp;"|"&amp;$R850&amp;"|"&amp;$AE850,'ASIGNACIONES'!$N$4:$N$451,0)),"")))</f>
        <v/>
      </c>
      <c r="AG850" s="14">
        <f>IF($AE850="","",SUMIFS('ORDENES'!$M$4:$M$1203,'ORDENES'!$AE$4:$AE$1203,$AE850,'ORDENES'!$O$4:$O$1203,$O850,'ORDENES'!$R$4:$R$1203,$R850))</f>
        <v/>
      </c>
      <c r="AH850" s="14">
        <f>IF($AG850="","",p_factor_productividad*IFERROR(INDEX('ASIGNACIONES'!$M$4:$M$451,MATCH($O850&amp;"|"&amp;$R850&amp;"|"&amp;$AE850,'ASIGNACIONES'!$N$4:$N$451,0)),0)-$AG850)</f>
        <v/>
      </c>
      <c r="AI850" s="11">
        <f>IF($A850="","",IFERROR(INDEX('2_IMPORTAR_EJECUCION'!$F$9:$F$1208,MATCH($AQ850,'2_IMPORTAR_EJECUCION'!$J$9:$J$1208,0)),0))</f>
        <v/>
      </c>
      <c r="AJ850" s="11">
        <f>IF($A850="","",MAX(0,IFERROR(INDEX('2_IMPORTAR_EJECUCION'!$H$9:$H$1208,MATCH($AQ850,'2_IMPORTAR_EJECUCION'!$J$9:$J$1208,0)),0)-$AI850))</f>
        <v/>
      </c>
      <c r="AK850" s="11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IF($H851="","",IFERROR(INDEX('CAT_ACTIVIDADES'!$B$4:$B$8,MATCH($H851,'CAT_ACTIVIDADES'!$A$4:$A$8,0)),"(sin catálogo)"))</f>
        <v/>
      </c>
      <c r="AA851" s="13">
        <f>IF($J851="","",TODAY()-$J851)</f>
        <v/>
      </c>
      <c r="AB851" s="13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IF($AE851="","",IF((IFERROR(INDEX('ASIGNACIONES'!$J$4:$J$451,MATCH($O851&amp;"|"&amp;$R851&amp;"|"&amp;$AE851,'ASIGNACIONES'!$N$4:$N$451,0)),""))=0,"",IFERROR(INDEX('ASIGNACIONES'!$J$4:$J$451,MATCH($O851&amp;"|"&amp;$R851&amp;"|"&amp;$AE851,'ASIGNACIONES'!$N$4:$N$451,0)),"")))</f>
        <v/>
      </c>
      <c r="AG851" s="14">
        <f>IF($AE851="","",SUMIFS('ORDENES'!$M$4:$M$1203,'ORDENES'!$AE$4:$AE$1203,$AE851,'ORDENES'!$O$4:$O$1203,$O851,'ORDENES'!$R$4:$R$1203,$R851))</f>
        <v/>
      </c>
      <c r="AH851" s="14">
        <f>IF($AG851="","",p_factor_productividad*IFERROR(INDEX('ASIGNACIONES'!$M$4:$M$451,MATCH($O851&amp;"|"&amp;$R851&amp;"|"&amp;$AE851,'ASIGNACIONES'!$N$4:$N$451,0)),0)-$AG851)</f>
        <v/>
      </c>
      <c r="AI851" s="11">
        <f>IF($A851="","",IFERROR(INDEX('2_IMPORTAR_EJECUCION'!$F$9:$F$1208,MATCH($AQ851,'2_IMPORTAR_EJECUCION'!$J$9:$J$1208,0)),0))</f>
        <v/>
      </c>
      <c r="AJ851" s="11">
        <f>IF($A851="","",MAX(0,IFERROR(INDEX('2_IMPORTAR_EJECUCION'!$H$9:$H$1208,MATCH($AQ851,'2_IMPORTAR_EJECUCION'!$J$9:$J$1208,0)),0)-$AI851))</f>
        <v/>
      </c>
      <c r="AK851" s="11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IF($H852="","",IFERROR(INDEX('CAT_ACTIVIDADES'!$B$4:$B$8,MATCH($H852,'CAT_ACTIVIDADES'!$A$4:$A$8,0)),"(sin catálogo)"))</f>
        <v/>
      </c>
      <c r="AA852" s="13">
        <f>IF($J852="","",TODAY()-$J852)</f>
        <v/>
      </c>
      <c r="AB852" s="13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IF($AE852="","",IF((IFERROR(INDEX('ASIGNACIONES'!$J$4:$J$451,MATCH($O852&amp;"|"&amp;$R852&amp;"|"&amp;$AE852,'ASIGNACIONES'!$N$4:$N$451,0)),""))=0,"",IFERROR(INDEX('ASIGNACIONES'!$J$4:$J$451,MATCH($O852&amp;"|"&amp;$R852&amp;"|"&amp;$AE852,'ASIGNACIONES'!$N$4:$N$451,0)),"")))</f>
        <v/>
      </c>
      <c r="AG852" s="14">
        <f>IF($AE852="","",SUMIFS('ORDENES'!$M$4:$M$1203,'ORDENES'!$AE$4:$AE$1203,$AE852,'ORDENES'!$O$4:$O$1203,$O852,'ORDENES'!$R$4:$R$1203,$R852))</f>
        <v/>
      </c>
      <c r="AH852" s="14">
        <f>IF($AG852="","",p_factor_productividad*IFERROR(INDEX('ASIGNACIONES'!$M$4:$M$451,MATCH($O852&amp;"|"&amp;$R852&amp;"|"&amp;$AE852,'ASIGNACIONES'!$N$4:$N$451,0)),0)-$AG852)</f>
        <v/>
      </c>
      <c r="AI852" s="11">
        <f>IF($A852="","",IFERROR(INDEX('2_IMPORTAR_EJECUCION'!$F$9:$F$1208,MATCH($AQ852,'2_IMPORTAR_EJECUCION'!$J$9:$J$1208,0)),0))</f>
        <v/>
      </c>
      <c r="AJ852" s="11">
        <f>IF($A852="","",MAX(0,IFERROR(INDEX('2_IMPORTAR_EJECUCION'!$H$9:$H$1208,MATCH($AQ852,'2_IMPORTAR_EJECUCION'!$J$9:$J$1208,0)),0)-$AI852))</f>
        <v/>
      </c>
      <c r="AK852" s="11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IF($H853="","",IFERROR(INDEX('CAT_ACTIVIDADES'!$B$4:$B$8,MATCH($H853,'CAT_ACTIVIDADES'!$A$4:$A$8,0)),"(sin catálogo)"))</f>
        <v/>
      </c>
      <c r="AA853" s="13">
        <f>IF($J853="","",TODAY()-$J853)</f>
        <v/>
      </c>
      <c r="AB853" s="13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IF($AE853="","",IF((IFERROR(INDEX('ASIGNACIONES'!$J$4:$J$451,MATCH($O853&amp;"|"&amp;$R853&amp;"|"&amp;$AE853,'ASIGNACIONES'!$N$4:$N$451,0)),""))=0,"",IFERROR(INDEX('ASIGNACIONES'!$J$4:$J$451,MATCH($O853&amp;"|"&amp;$R853&amp;"|"&amp;$AE853,'ASIGNACIONES'!$N$4:$N$451,0)),"")))</f>
        <v/>
      </c>
      <c r="AG853" s="14">
        <f>IF($AE853="","",SUMIFS('ORDENES'!$M$4:$M$1203,'ORDENES'!$AE$4:$AE$1203,$AE853,'ORDENES'!$O$4:$O$1203,$O853,'ORDENES'!$R$4:$R$1203,$R853))</f>
        <v/>
      </c>
      <c r="AH853" s="14">
        <f>IF($AG853="","",p_factor_productividad*IFERROR(INDEX('ASIGNACIONES'!$M$4:$M$451,MATCH($O853&amp;"|"&amp;$R853&amp;"|"&amp;$AE853,'ASIGNACIONES'!$N$4:$N$451,0)),0)-$AG853)</f>
        <v/>
      </c>
      <c r="AI853" s="11">
        <f>IF($A853="","",IFERROR(INDEX('2_IMPORTAR_EJECUCION'!$F$9:$F$1208,MATCH($AQ853,'2_IMPORTAR_EJECUCION'!$J$9:$J$1208,0)),0))</f>
        <v/>
      </c>
      <c r="AJ853" s="11">
        <f>IF($A853="","",MAX(0,IFERROR(INDEX('2_IMPORTAR_EJECUCION'!$H$9:$H$1208,MATCH($AQ853,'2_IMPORTAR_EJECUCION'!$J$9:$J$1208,0)),0)-$AI853))</f>
        <v/>
      </c>
      <c r="AK853" s="11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IF($H854="","",IFERROR(INDEX('CAT_ACTIVIDADES'!$B$4:$B$8,MATCH($H854,'CAT_ACTIVIDADES'!$A$4:$A$8,0)),"(sin catálogo)"))</f>
        <v/>
      </c>
      <c r="AA854" s="13">
        <f>IF($J854="","",TODAY()-$J854)</f>
        <v/>
      </c>
      <c r="AB854" s="13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IF($AE854="","",IF((IFERROR(INDEX('ASIGNACIONES'!$J$4:$J$451,MATCH($O854&amp;"|"&amp;$R854&amp;"|"&amp;$AE854,'ASIGNACIONES'!$N$4:$N$451,0)),""))=0,"",IFERROR(INDEX('ASIGNACIONES'!$J$4:$J$451,MATCH($O854&amp;"|"&amp;$R854&amp;"|"&amp;$AE854,'ASIGNACIONES'!$N$4:$N$451,0)),"")))</f>
        <v/>
      </c>
      <c r="AG854" s="14">
        <f>IF($AE854="","",SUMIFS('ORDENES'!$M$4:$M$1203,'ORDENES'!$AE$4:$AE$1203,$AE854,'ORDENES'!$O$4:$O$1203,$O854,'ORDENES'!$R$4:$R$1203,$R854))</f>
        <v/>
      </c>
      <c r="AH854" s="14">
        <f>IF($AG854="","",p_factor_productividad*IFERROR(INDEX('ASIGNACIONES'!$M$4:$M$451,MATCH($O854&amp;"|"&amp;$R854&amp;"|"&amp;$AE854,'ASIGNACIONES'!$N$4:$N$451,0)),0)-$AG854)</f>
        <v/>
      </c>
      <c r="AI854" s="11">
        <f>IF($A854="","",IFERROR(INDEX('2_IMPORTAR_EJECUCION'!$F$9:$F$1208,MATCH($AQ854,'2_IMPORTAR_EJECUCION'!$J$9:$J$1208,0)),0))</f>
        <v/>
      </c>
      <c r="AJ854" s="11">
        <f>IF($A854="","",MAX(0,IFERROR(INDEX('2_IMPORTAR_EJECUCION'!$H$9:$H$1208,MATCH($AQ854,'2_IMPORTAR_EJECUCION'!$J$9:$J$1208,0)),0)-$AI854))</f>
        <v/>
      </c>
      <c r="AK854" s="11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IF($H855="","",IFERROR(INDEX('CAT_ACTIVIDADES'!$B$4:$B$8,MATCH($H855,'CAT_ACTIVIDADES'!$A$4:$A$8,0)),"(sin catálogo)"))</f>
        <v/>
      </c>
      <c r="AA855" s="13">
        <f>IF($J855="","",TODAY()-$J855)</f>
        <v/>
      </c>
      <c r="AB855" s="13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IF($AE855="","",IF((IFERROR(INDEX('ASIGNACIONES'!$J$4:$J$451,MATCH($O855&amp;"|"&amp;$R855&amp;"|"&amp;$AE855,'ASIGNACIONES'!$N$4:$N$451,0)),""))=0,"",IFERROR(INDEX('ASIGNACIONES'!$J$4:$J$451,MATCH($O855&amp;"|"&amp;$R855&amp;"|"&amp;$AE855,'ASIGNACIONES'!$N$4:$N$451,0)),"")))</f>
        <v/>
      </c>
      <c r="AG855" s="14">
        <f>IF($AE855="","",SUMIFS('ORDENES'!$M$4:$M$1203,'ORDENES'!$AE$4:$AE$1203,$AE855,'ORDENES'!$O$4:$O$1203,$O855,'ORDENES'!$R$4:$R$1203,$R855))</f>
        <v/>
      </c>
      <c r="AH855" s="14">
        <f>IF($AG855="","",p_factor_productividad*IFERROR(INDEX('ASIGNACIONES'!$M$4:$M$451,MATCH($O855&amp;"|"&amp;$R855&amp;"|"&amp;$AE855,'ASIGNACIONES'!$N$4:$N$451,0)),0)-$AG855)</f>
        <v/>
      </c>
      <c r="AI855" s="11">
        <f>IF($A855="","",IFERROR(INDEX('2_IMPORTAR_EJECUCION'!$F$9:$F$1208,MATCH($AQ855,'2_IMPORTAR_EJECUCION'!$J$9:$J$1208,0)),0))</f>
        <v/>
      </c>
      <c r="AJ855" s="11">
        <f>IF($A855="","",MAX(0,IFERROR(INDEX('2_IMPORTAR_EJECUCION'!$H$9:$H$1208,MATCH($AQ855,'2_IMPORTAR_EJECUCION'!$J$9:$J$1208,0)),0)-$AI855))</f>
        <v/>
      </c>
      <c r="AK855" s="11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IF($H856="","",IFERROR(INDEX('CAT_ACTIVIDADES'!$B$4:$B$8,MATCH($H856,'CAT_ACTIVIDADES'!$A$4:$A$8,0)),"(sin catálogo)"))</f>
        <v/>
      </c>
      <c r="AA856" s="13">
        <f>IF($J856="","",TODAY()-$J856)</f>
        <v/>
      </c>
      <c r="AB856" s="13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IF($AE856="","",IF((IFERROR(INDEX('ASIGNACIONES'!$J$4:$J$451,MATCH($O856&amp;"|"&amp;$R856&amp;"|"&amp;$AE856,'ASIGNACIONES'!$N$4:$N$451,0)),""))=0,"",IFERROR(INDEX('ASIGNACIONES'!$J$4:$J$451,MATCH($O856&amp;"|"&amp;$R856&amp;"|"&amp;$AE856,'ASIGNACIONES'!$N$4:$N$451,0)),"")))</f>
        <v/>
      </c>
      <c r="AG856" s="14">
        <f>IF($AE856="","",SUMIFS('ORDENES'!$M$4:$M$1203,'ORDENES'!$AE$4:$AE$1203,$AE856,'ORDENES'!$O$4:$O$1203,$O856,'ORDENES'!$R$4:$R$1203,$R856))</f>
        <v/>
      </c>
      <c r="AH856" s="14">
        <f>IF($AG856="","",p_factor_productividad*IFERROR(INDEX('ASIGNACIONES'!$M$4:$M$451,MATCH($O856&amp;"|"&amp;$R856&amp;"|"&amp;$AE856,'ASIGNACIONES'!$N$4:$N$451,0)),0)-$AG856)</f>
        <v/>
      </c>
      <c r="AI856" s="11">
        <f>IF($A856="","",IFERROR(INDEX('2_IMPORTAR_EJECUCION'!$F$9:$F$1208,MATCH($AQ856,'2_IMPORTAR_EJECUCION'!$J$9:$J$1208,0)),0))</f>
        <v/>
      </c>
      <c r="AJ856" s="11">
        <f>IF($A856="","",MAX(0,IFERROR(INDEX('2_IMPORTAR_EJECUCION'!$H$9:$H$1208,MATCH($AQ856,'2_IMPORTAR_EJECUCION'!$J$9:$J$1208,0)),0)-$AI856))</f>
        <v/>
      </c>
      <c r="AK856" s="11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IF($H857="","",IFERROR(INDEX('CAT_ACTIVIDADES'!$B$4:$B$8,MATCH($H857,'CAT_ACTIVIDADES'!$A$4:$A$8,0)),"(sin catálogo)"))</f>
        <v/>
      </c>
      <c r="AA857" s="13">
        <f>IF($J857="","",TODAY()-$J857)</f>
        <v/>
      </c>
      <c r="AB857" s="13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IF($AE857="","",IF((IFERROR(INDEX('ASIGNACIONES'!$J$4:$J$451,MATCH($O857&amp;"|"&amp;$R857&amp;"|"&amp;$AE857,'ASIGNACIONES'!$N$4:$N$451,0)),""))=0,"",IFERROR(INDEX('ASIGNACIONES'!$J$4:$J$451,MATCH($O857&amp;"|"&amp;$R857&amp;"|"&amp;$AE857,'ASIGNACIONES'!$N$4:$N$451,0)),"")))</f>
        <v/>
      </c>
      <c r="AG857" s="14">
        <f>IF($AE857="","",SUMIFS('ORDENES'!$M$4:$M$1203,'ORDENES'!$AE$4:$AE$1203,$AE857,'ORDENES'!$O$4:$O$1203,$O857,'ORDENES'!$R$4:$R$1203,$R857))</f>
        <v/>
      </c>
      <c r="AH857" s="14">
        <f>IF($AG857="","",p_factor_productividad*IFERROR(INDEX('ASIGNACIONES'!$M$4:$M$451,MATCH($O857&amp;"|"&amp;$R857&amp;"|"&amp;$AE857,'ASIGNACIONES'!$N$4:$N$451,0)),0)-$AG857)</f>
        <v/>
      </c>
      <c r="AI857" s="11">
        <f>IF($A857="","",IFERROR(INDEX('2_IMPORTAR_EJECUCION'!$F$9:$F$1208,MATCH($AQ857,'2_IMPORTAR_EJECUCION'!$J$9:$J$1208,0)),0))</f>
        <v/>
      </c>
      <c r="AJ857" s="11">
        <f>IF($A857="","",MAX(0,IFERROR(INDEX('2_IMPORTAR_EJECUCION'!$H$9:$H$1208,MATCH($AQ857,'2_IMPORTAR_EJECUCION'!$J$9:$J$1208,0)),0)-$AI857))</f>
        <v/>
      </c>
      <c r="AK857" s="11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IF($H858="","",IFERROR(INDEX('CAT_ACTIVIDADES'!$B$4:$B$8,MATCH($H858,'CAT_ACTIVIDADES'!$A$4:$A$8,0)),"(sin catálogo)"))</f>
        <v/>
      </c>
      <c r="AA858" s="13">
        <f>IF($J858="","",TODAY()-$J858)</f>
        <v/>
      </c>
      <c r="AB858" s="13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IF($AE858="","",IF((IFERROR(INDEX('ASIGNACIONES'!$J$4:$J$451,MATCH($O858&amp;"|"&amp;$R858&amp;"|"&amp;$AE858,'ASIGNACIONES'!$N$4:$N$451,0)),""))=0,"",IFERROR(INDEX('ASIGNACIONES'!$J$4:$J$451,MATCH($O858&amp;"|"&amp;$R858&amp;"|"&amp;$AE858,'ASIGNACIONES'!$N$4:$N$451,0)),"")))</f>
        <v/>
      </c>
      <c r="AG858" s="14">
        <f>IF($AE858="","",SUMIFS('ORDENES'!$M$4:$M$1203,'ORDENES'!$AE$4:$AE$1203,$AE858,'ORDENES'!$O$4:$O$1203,$O858,'ORDENES'!$R$4:$R$1203,$R858))</f>
        <v/>
      </c>
      <c r="AH858" s="14">
        <f>IF($AG858="","",p_factor_productividad*IFERROR(INDEX('ASIGNACIONES'!$M$4:$M$451,MATCH($O858&amp;"|"&amp;$R858&amp;"|"&amp;$AE858,'ASIGNACIONES'!$N$4:$N$451,0)),0)-$AG858)</f>
        <v/>
      </c>
      <c r="AI858" s="11">
        <f>IF($A858="","",IFERROR(INDEX('2_IMPORTAR_EJECUCION'!$F$9:$F$1208,MATCH($AQ858,'2_IMPORTAR_EJECUCION'!$J$9:$J$1208,0)),0))</f>
        <v/>
      </c>
      <c r="AJ858" s="11">
        <f>IF($A858="","",MAX(0,IFERROR(INDEX('2_IMPORTAR_EJECUCION'!$H$9:$H$1208,MATCH($AQ858,'2_IMPORTAR_EJECUCION'!$J$9:$J$1208,0)),0)-$AI858))</f>
        <v/>
      </c>
      <c r="AK858" s="11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IF($H859="","",IFERROR(INDEX('CAT_ACTIVIDADES'!$B$4:$B$8,MATCH($H859,'CAT_ACTIVIDADES'!$A$4:$A$8,0)),"(sin catálogo)"))</f>
        <v/>
      </c>
      <c r="AA859" s="13">
        <f>IF($J859="","",TODAY()-$J859)</f>
        <v/>
      </c>
      <c r="AB859" s="13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IF($AE859="","",IF((IFERROR(INDEX('ASIGNACIONES'!$J$4:$J$451,MATCH($O859&amp;"|"&amp;$R859&amp;"|"&amp;$AE859,'ASIGNACIONES'!$N$4:$N$451,0)),""))=0,"",IFERROR(INDEX('ASIGNACIONES'!$J$4:$J$451,MATCH($O859&amp;"|"&amp;$R859&amp;"|"&amp;$AE859,'ASIGNACIONES'!$N$4:$N$451,0)),"")))</f>
        <v/>
      </c>
      <c r="AG859" s="14">
        <f>IF($AE859="","",SUMIFS('ORDENES'!$M$4:$M$1203,'ORDENES'!$AE$4:$AE$1203,$AE859,'ORDENES'!$O$4:$O$1203,$O859,'ORDENES'!$R$4:$R$1203,$R859))</f>
        <v/>
      </c>
      <c r="AH859" s="14">
        <f>IF($AG859="","",p_factor_productividad*IFERROR(INDEX('ASIGNACIONES'!$M$4:$M$451,MATCH($O859&amp;"|"&amp;$R859&amp;"|"&amp;$AE859,'ASIGNACIONES'!$N$4:$N$451,0)),0)-$AG859)</f>
        <v/>
      </c>
      <c r="AI859" s="11">
        <f>IF($A859="","",IFERROR(INDEX('2_IMPORTAR_EJECUCION'!$F$9:$F$1208,MATCH($AQ859,'2_IMPORTAR_EJECUCION'!$J$9:$J$1208,0)),0))</f>
        <v/>
      </c>
      <c r="AJ859" s="11">
        <f>IF($A859="","",MAX(0,IFERROR(INDEX('2_IMPORTAR_EJECUCION'!$H$9:$H$1208,MATCH($AQ859,'2_IMPORTAR_EJECUCION'!$J$9:$J$1208,0)),0)-$AI859))</f>
        <v/>
      </c>
      <c r="AK859" s="11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IF($H860="","",IFERROR(INDEX('CAT_ACTIVIDADES'!$B$4:$B$8,MATCH($H860,'CAT_ACTIVIDADES'!$A$4:$A$8,0)),"(sin catálogo)"))</f>
        <v/>
      </c>
      <c r="AA860" s="13">
        <f>IF($J860="","",TODAY()-$J860)</f>
        <v/>
      </c>
      <c r="AB860" s="13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IF($AE860="","",IF((IFERROR(INDEX('ASIGNACIONES'!$J$4:$J$451,MATCH($O860&amp;"|"&amp;$R860&amp;"|"&amp;$AE860,'ASIGNACIONES'!$N$4:$N$451,0)),""))=0,"",IFERROR(INDEX('ASIGNACIONES'!$J$4:$J$451,MATCH($O860&amp;"|"&amp;$R860&amp;"|"&amp;$AE860,'ASIGNACIONES'!$N$4:$N$451,0)),"")))</f>
        <v/>
      </c>
      <c r="AG860" s="14">
        <f>IF($AE860="","",SUMIFS('ORDENES'!$M$4:$M$1203,'ORDENES'!$AE$4:$AE$1203,$AE860,'ORDENES'!$O$4:$O$1203,$O860,'ORDENES'!$R$4:$R$1203,$R860))</f>
        <v/>
      </c>
      <c r="AH860" s="14">
        <f>IF($AG860="","",p_factor_productividad*IFERROR(INDEX('ASIGNACIONES'!$M$4:$M$451,MATCH($O860&amp;"|"&amp;$R860&amp;"|"&amp;$AE860,'ASIGNACIONES'!$N$4:$N$451,0)),0)-$AG860)</f>
        <v/>
      </c>
      <c r="AI860" s="11">
        <f>IF($A860="","",IFERROR(INDEX('2_IMPORTAR_EJECUCION'!$F$9:$F$1208,MATCH($AQ860,'2_IMPORTAR_EJECUCION'!$J$9:$J$1208,0)),0))</f>
        <v/>
      </c>
      <c r="AJ860" s="11">
        <f>IF($A860="","",MAX(0,IFERROR(INDEX('2_IMPORTAR_EJECUCION'!$H$9:$H$1208,MATCH($AQ860,'2_IMPORTAR_EJECUCION'!$J$9:$J$1208,0)),0)-$AI860))</f>
        <v/>
      </c>
      <c r="AK860" s="11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IF($H861="","",IFERROR(INDEX('CAT_ACTIVIDADES'!$B$4:$B$8,MATCH($H861,'CAT_ACTIVIDADES'!$A$4:$A$8,0)),"(sin catálogo)"))</f>
        <v/>
      </c>
      <c r="AA861" s="13">
        <f>IF($J861="","",TODAY()-$J861)</f>
        <v/>
      </c>
      <c r="AB861" s="13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IF($AE861="","",IF((IFERROR(INDEX('ASIGNACIONES'!$J$4:$J$451,MATCH($O861&amp;"|"&amp;$R861&amp;"|"&amp;$AE861,'ASIGNACIONES'!$N$4:$N$451,0)),""))=0,"",IFERROR(INDEX('ASIGNACIONES'!$J$4:$J$451,MATCH($O861&amp;"|"&amp;$R861&amp;"|"&amp;$AE861,'ASIGNACIONES'!$N$4:$N$451,0)),"")))</f>
        <v/>
      </c>
      <c r="AG861" s="14">
        <f>IF($AE861="","",SUMIFS('ORDENES'!$M$4:$M$1203,'ORDENES'!$AE$4:$AE$1203,$AE861,'ORDENES'!$O$4:$O$1203,$O861,'ORDENES'!$R$4:$R$1203,$R861))</f>
        <v/>
      </c>
      <c r="AH861" s="14">
        <f>IF($AG861="","",p_factor_productividad*IFERROR(INDEX('ASIGNACIONES'!$M$4:$M$451,MATCH($O861&amp;"|"&amp;$R861&amp;"|"&amp;$AE861,'ASIGNACIONES'!$N$4:$N$451,0)),0)-$AG861)</f>
        <v/>
      </c>
      <c r="AI861" s="11">
        <f>IF($A861="","",IFERROR(INDEX('2_IMPORTAR_EJECUCION'!$F$9:$F$1208,MATCH($AQ861,'2_IMPORTAR_EJECUCION'!$J$9:$J$1208,0)),0))</f>
        <v/>
      </c>
      <c r="AJ861" s="11">
        <f>IF($A861="","",MAX(0,IFERROR(INDEX('2_IMPORTAR_EJECUCION'!$H$9:$H$1208,MATCH($AQ861,'2_IMPORTAR_EJECUCION'!$J$9:$J$1208,0)),0)-$AI861))</f>
        <v/>
      </c>
      <c r="AK861" s="11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IF($H862="","",IFERROR(INDEX('CAT_ACTIVIDADES'!$B$4:$B$8,MATCH($H862,'CAT_ACTIVIDADES'!$A$4:$A$8,0)),"(sin catálogo)"))</f>
        <v/>
      </c>
      <c r="AA862" s="13">
        <f>IF($J862="","",TODAY()-$J862)</f>
        <v/>
      </c>
      <c r="AB862" s="13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IF($AE862="","",IF((IFERROR(INDEX('ASIGNACIONES'!$J$4:$J$451,MATCH($O862&amp;"|"&amp;$R862&amp;"|"&amp;$AE862,'ASIGNACIONES'!$N$4:$N$451,0)),""))=0,"",IFERROR(INDEX('ASIGNACIONES'!$J$4:$J$451,MATCH($O862&amp;"|"&amp;$R862&amp;"|"&amp;$AE862,'ASIGNACIONES'!$N$4:$N$451,0)),"")))</f>
        <v/>
      </c>
      <c r="AG862" s="14">
        <f>IF($AE862="","",SUMIFS('ORDENES'!$M$4:$M$1203,'ORDENES'!$AE$4:$AE$1203,$AE862,'ORDENES'!$O$4:$O$1203,$O862,'ORDENES'!$R$4:$R$1203,$R862))</f>
        <v/>
      </c>
      <c r="AH862" s="14">
        <f>IF($AG862="","",p_factor_productividad*IFERROR(INDEX('ASIGNACIONES'!$M$4:$M$451,MATCH($O862&amp;"|"&amp;$R862&amp;"|"&amp;$AE862,'ASIGNACIONES'!$N$4:$N$451,0)),0)-$AG862)</f>
        <v/>
      </c>
      <c r="AI862" s="11">
        <f>IF($A862="","",IFERROR(INDEX('2_IMPORTAR_EJECUCION'!$F$9:$F$1208,MATCH($AQ862,'2_IMPORTAR_EJECUCION'!$J$9:$J$1208,0)),0))</f>
        <v/>
      </c>
      <c r="AJ862" s="11">
        <f>IF($A862="","",MAX(0,IFERROR(INDEX('2_IMPORTAR_EJECUCION'!$H$9:$H$1208,MATCH($AQ862,'2_IMPORTAR_EJECUCION'!$J$9:$J$1208,0)),0)-$AI862))</f>
        <v/>
      </c>
      <c r="AK862" s="11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IF($H863="","",IFERROR(INDEX('CAT_ACTIVIDADES'!$B$4:$B$8,MATCH($H863,'CAT_ACTIVIDADES'!$A$4:$A$8,0)),"(sin catálogo)"))</f>
        <v/>
      </c>
      <c r="AA863" s="13">
        <f>IF($J863="","",TODAY()-$J863)</f>
        <v/>
      </c>
      <c r="AB863" s="13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IF($AE863="","",IF((IFERROR(INDEX('ASIGNACIONES'!$J$4:$J$451,MATCH($O863&amp;"|"&amp;$R863&amp;"|"&amp;$AE863,'ASIGNACIONES'!$N$4:$N$451,0)),""))=0,"",IFERROR(INDEX('ASIGNACIONES'!$J$4:$J$451,MATCH($O863&amp;"|"&amp;$R863&amp;"|"&amp;$AE863,'ASIGNACIONES'!$N$4:$N$451,0)),"")))</f>
        <v/>
      </c>
      <c r="AG863" s="14">
        <f>IF($AE863="","",SUMIFS('ORDENES'!$M$4:$M$1203,'ORDENES'!$AE$4:$AE$1203,$AE863,'ORDENES'!$O$4:$O$1203,$O863,'ORDENES'!$R$4:$R$1203,$R863))</f>
        <v/>
      </c>
      <c r="AH863" s="14">
        <f>IF($AG863="","",p_factor_productividad*IFERROR(INDEX('ASIGNACIONES'!$M$4:$M$451,MATCH($O863&amp;"|"&amp;$R863&amp;"|"&amp;$AE863,'ASIGNACIONES'!$N$4:$N$451,0)),0)-$AG863)</f>
        <v/>
      </c>
      <c r="AI863" s="11">
        <f>IF($A863="","",IFERROR(INDEX('2_IMPORTAR_EJECUCION'!$F$9:$F$1208,MATCH($AQ863,'2_IMPORTAR_EJECUCION'!$J$9:$J$1208,0)),0))</f>
        <v/>
      </c>
      <c r="AJ863" s="11">
        <f>IF($A863="","",MAX(0,IFERROR(INDEX('2_IMPORTAR_EJECUCION'!$H$9:$H$1208,MATCH($AQ863,'2_IMPORTAR_EJECUCION'!$J$9:$J$1208,0)),0)-$AI863))</f>
        <v/>
      </c>
      <c r="AK863" s="11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IF($H864="","",IFERROR(INDEX('CAT_ACTIVIDADES'!$B$4:$B$8,MATCH($H864,'CAT_ACTIVIDADES'!$A$4:$A$8,0)),"(sin catálogo)"))</f>
        <v/>
      </c>
      <c r="AA864" s="13">
        <f>IF($J864="","",TODAY()-$J864)</f>
        <v/>
      </c>
      <c r="AB864" s="13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IF($AE864="","",IF((IFERROR(INDEX('ASIGNACIONES'!$J$4:$J$451,MATCH($O864&amp;"|"&amp;$R864&amp;"|"&amp;$AE864,'ASIGNACIONES'!$N$4:$N$451,0)),""))=0,"",IFERROR(INDEX('ASIGNACIONES'!$J$4:$J$451,MATCH($O864&amp;"|"&amp;$R864&amp;"|"&amp;$AE864,'ASIGNACIONES'!$N$4:$N$451,0)),"")))</f>
        <v/>
      </c>
      <c r="AG864" s="14">
        <f>IF($AE864="","",SUMIFS('ORDENES'!$M$4:$M$1203,'ORDENES'!$AE$4:$AE$1203,$AE864,'ORDENES'!$O$4:$O$1203,$O864,'ORDENES'!$R$4:$R$1203,$R864))</f>
        <v/>
      </c>
      <c r="AH864" s="14">
        <f>IF($AG864="","",p_factor_productividad*IFERROR(INDEX('ASIGNACIONES'!$M$4:$M$451,MATCH($O864&amp;"|"&amp;$R864&amp;"|"&amp;$AE864,'ASIGNACIONES'!$N$4:$N$451,0)),0)-$AG864)</f>
        <v/>
      </c>
      <c r="AI864" s="11">
        <f>IF($A864="","",IFERROR(INDEX('2_IMPORTAR_EJECUCION'!$F$9:$F$1208,MATCH($AQ864,'2_IMPORTAR_EJECUCION'!$J$9:$J$1208,0)),0))</f>
        <v/>
      </c>
      <c r="AJ864" s="11">
        <f>IF($A864="","",MAX(0,IFERROR(INDEX('2_IMPORTAR_EJECUCION'!$H$9:$H$1208,MATCH($AQ864,'2_IMPORTAR_EJECUCION'!$J$9:$J$1208,0)),0)-$AI864))</f>
        <v/>
      </c>
      <c r="AK864" s="11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IF($H865="","",IFERROR(INDEX('CAT_ACTIVIDADES'!$B$4:$B$8,MATCH($H865,'CAT_ACTIVIDADES'!$A$4:$A$8,0)),"(sin catálogo)"))</f>
        <v/>
      </c>
      <c r="AA865" s="13">
        <f>IF($J865="","",TODAY()-$J865)</f>
        <v/>
      </c>
      <c r="AB865" s="13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IF($AE865="","",IF((IFERROR(INDEX('ASIGNACIONES'!$J$4:$J$451,MATCH($O865&amp;"|"&amp;$R865&amp;"|"&amp;$AE865,'ASIGNACIONES'!$N$4:$N$451,0)),""))=0,"",IFERROR(INDEX('ASIGNACIONES'!$J$4:$J$451,MATCH($O865&amp;"|"&amp;$R865&amp;"|"&amp;$AE865,'ASIGNACIONES'!$N$4:$N$451,0)),"")))</f>
        <v/>
      </c>
      <c r="AG865" s="14">
        <f>IF($AE865="","",SUMIFS('ORDENES'!$M$4:$M$1203,'ORDENES'!$AE$4:$AE$1203,$AE865,'ORDENES'!$O$4:$O$1203,$O865,'ORDENES'!$R$4:$R$1203,$R865))</f>
        <v/>
      </c>
      <c r="AH865" s="14">
        <f>IF($AG865="","",p_factor_productividad*IFERROR(INDEX('ASIGNACIONES'!$M$4:$M$451,MATCH($O865&amp;"|"&amp;$R865&amp;"|"&amp;$AE865,'ASIGNACIONES'!$N$4:$N$451,0)),0)-$AG865)</f>
        <v/>
      </c>
      <c r="AI865" s="11">
        <f>IF($A865="","",IFERROR(INDEX('2_IMPORTAR_EJECUCION'!$F$9:$F$1208,MATCH($AQ865,'2_IMPORTAR_EJECUCION'!$J$9:$J$1208,0)),0))</f>
        <v/>
      </c>
      <c r="AJ865" s="11">
        <f>IF($A865="","",MAX(0,IFERROR(INDEX('2_IMPORTAR_EJECUCION'!$H$9:$H$1208,MATCH($AQ865,'2_IMPORTAR_EJECUCION'!$J$9:$J$1208,0)),0)-$AI865))</f>
        <v/>
      </c>
      <c r="AK865" s="11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IF($H866="","",IFERROR(INDEX('CAT_ACTIVIDADES'!$B$4:$B$8,MATCH($H866,'CAT_ACTIVIDADES'!$A$4:$A$8,0)),"(sin catálogo)"))</f>
        <v/>
      </c>
      <c r="AA866" s="13">
        <f>IF($J866="","",TODAY()-$J866)</f>
        <v/>
      </c>
      <c r="AB866" s="13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IF($AE866="","",IF((IFERROR(INDEX('ASIGNACIONES'!$J$4:$J$451,MATCH($O866&amp;"|"&amp;$R866&amp;"|"&amp;$AE866,'ASIGNACIONES'!$N$4:$N$451,0)),""))=0,"",IFERROR(INDEX('ASIGNACIONES'!$J$4:$J$451,MATCH($O866&amp;"|"&amp;$R866&amp;"|"&amp;$AE866,'ASIGNACIONES'!$N$4:$N$451,0)),"")))</f>
        <v/>
      </c>
      <c r="AG866" s="14">
        <f>IF($AE866="","",SUMIFS('ORDENES'!$M$4:$M$1203,'ORDENES'!$AE$4:$AE$1203,$AE866,'ORDENES'!$O$4:$O$1203,$O866,'ORDENES'!$R$4:$R$1203,$R866))</f>
        <v/>
      </c>
      <c r="AH866" s="14">
        <f>IF($AG866="","",p_factor_productividad*IFERROR(INDEX('ASIGNACIONES'!$M$4:$M$451,MATCH($O866&amp;"|"&amp;$R866&amp;"|"&amp;$AE866,'ASIGNACIONES'!$N$4:$N$451,0)),0)-$AG866)</f>
        <v/>
      </c>
      <c r="AI866" s="11">
        <f>IF($A866="","",IFERROR(INDEX('2_IMPORTAR_EJECUCION'!$F$9:$F$1208,MATCH($AQ866,'2_IMPORTAR_EJECUCION'!$J$9:$J$1208,0)),0))</f>
        <v/>
      </c>
      <c r="AJ866" s="11">
        <f>IF($A866="","",MAX(0,IFERROR(INDEX('2_IMPORTAR_EJECUCION'!$H$9:$H$1208,MATCH($AQ866,'2_IMPORTAR_EJECUCION'!$J$9:$J$1208,0)),0)-$AI866))</f>
        <v/>
      </c>
      <c r="AK866" s="11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IF($H867="","",IFERROR(INDEX('CAT_ACTIVIDADES'!$B$4:$B$8,MATCH($H867,'CAT_ACTIVIDADES'!$A$4:$A$8,0)),"(sin catálogo)"))</f>
        <v/>
      </c>
      <c r="AA867" s="13">
        <f>IF($J867="","",TODAY()-$J867)</f>
        <v/>
      </c>
      <c r="AB867" s="13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IF($AE867="","",IF((IFERROR(INDEX('ASIGNACIONES'!$J$4:$J$451,MATCH($O867&amp;"|"&amp;$R867&amp;"|"&amp;$AE867,'ASIGNACIONES'!$N$4:$N$451,0)),""))=0,"",IFERROR(INDEX('ASIGNACIONES'!$J$4:$J$451,MATCH($O867&amp;"|"&amp;$R867&amp;"|"&amp;$AE867,'ASIGNACIONES'!$N$4:$N$451,0)),"")))</f>
        <v/>
      </c>
      <c r="AG867" s="14">
        <f>IF($AE867="","",SUMIFS('ORDENES'!$M$4:$M$1203,'ORDENES'!$AE$4:$AE$1203,$AE867,'ORDENES'!$O$4:$O$1203,$O867,'ORDENES'!$R$4:$R$1203,$R867))</f>
        <v/>
      </c>
      <c r="AH867" s="14">
        <f>IF($AG867="","",p_factor_productividad*IFERROR(INDEX('ASIGNACIONES'!$M$4:$M$451,MATCH($O867&amp;"|"&amp;$R867&amp;"|"&amp;$AE867,'ASIGNACIONES'!$N$4:$N$451,0)),0)-$AG867)</f>
        <v/>
      </c>
      <c r="AI867" s="11">
        <f>IF($A867="","",IFERROR(INDEX('2_IMPORTAR_EJECUCION'!$F$9:$F$1208,MATCH($AQ867,'2_IMPORTAR_EJECUCION'!$J$9:$J$1208,0)),0))</f>
        <v/>
      </c>
      <c r="AJ867" s="11">
        <f>IF($A867="","",MAX(0,IFERROR(INDEX('2_IMPORTAR_EJECUCION'!$H$9:$H$1208,MATCH($AQ867,'2_IMPORTAR_EJECUCION'!$J$9:$J$1208,0)),0)-$AI867))</f>
        <v/>
      </c>
      <c r="AK867" s="11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IF($H868="","",IFERROR(INDEX('CAT_ACTIVIDADES'!$B$4:$B$8,MATCH($H868,'CAT_ACTIVIDADES'!$A$4:$A$8,0)),"(sin catálogo)"))</f>
        <v/>
      </c>
      <c r="AA868" s="13">
        <f>IF($J868="","",TODAY()-$J868)</f>
        <v/>
      </c>
      <c r="AB868" s="13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IF($AE868="","",IF((IFERROR(INDEX('ASIGNACIONES'!$J$4:$J$451,MATCH($O868&amp;"|"&amp;$R868&amp;"|"&amp;$AE868,'ASIGNACIONES'!$N$4:$N$451,0)),""))=0,"",IFERROR(INDEX('ASIGNACIONES'!$J$4:$J$451,MATCH($O868&amp;"|"&amp;$R868&amp;"|"&amp;$AE868,'ASIGNACIONES'!$N$4:$N$451,0)),"")))</f>
        <v/>
      </c>
      <c r="AG868" s="14">
        <f>IF($AE868="","",SUMIFS('ORDENES'!$M$4:$M$1203,'ORDENES'!$AE$4:$AE$1203,$AE868,'ORDENES'!$O$4:$O$1203,$O868,'ORDENES'!$R$4:$R$1203,$R868))</f>
        <v/>
      </c>
      <c r="AH868" s="14">
        <f>IF($AG868="","",p_factor_productividad*IFERROR(INDEX('ASIGNACIONES'!$M$4:$M$451,MATCH($O868&amp;"|"&amp;$R868&amp;"|"&amp;$AE868,'ASIGNACIONES'!$N$4:$N$451,0)),0)-$AG868)</f>
        <v/>
      </c>
      <c r="AI868" s="11">
        <f>IF($A868="","",IFERROR(INDEX('2_IMPORTAR_EJECUCION'!$F$9:$F$1208,MATCH($AQ868,'2_IMPORTAR_EJECUCION'!$J$9:$J$1208,0)),0))</f>
        <v/>
      </c>
      <c r="AJ868" s="11">
        <f>IF($A868="","",MAX(0,IFERROR(INDEX('2_IMPORTAR_EJECUCION'!$H$9:$H$1208,MATCH($AQ868,'2_IMPORTAR_EJECUCION'!$J$9:$J$1208,0)),0)-$AI868))</f>
        <v/>
      </c>
      <c r="AK868" s="11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IF($H869="","",IFERROR(INDEX('CAT_ACTIVIDADES'!$B$4:$B$8,MATCH($H869,'CAT_ACTIVIDADES'!$A$4:$A$8,0)),"(sin catálogo)"))</f>
        <v/>
      </c>
      <c r="AA869" s="13">
        <f>IF($J869="","",TODAY()-$J869)</f>
        <v/>
      </c>
      <c r="AB869" s="13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IF($AE869="","",IF((IFERROR(INDEX('ASIGNACIONES'!$J$4:$J$451,MATCH($O869&amp;"|"&amp;$R869&amp;"|"&amp;$AE869,'ASIGNACIONES'!$N$4:$N$451,0)),""))=0,"",IFERROR(INDEX('ASIGNACIONES'!$J$4:$J$451,MATCH($O869&amp;"|"&amp;$R869&amp;"|"&amp;$AE869,'ASIGNACIONES'!$N$4:$N$451,0)),"")))</f>
        <v/>
      </c>
      <c r="AG869" s="14">
        <f>IF($AE869="","",SUMIFS('ORDENES'!$M$4:$M$1203,'ORDENES'!$AE$4:$AE$1203,$AE869,'ORDENES'!$O$4:$O$1203,$O869,'ORDENES'!$R$4:$R$1203,$R869))</f>
        <v/>
      </c>
      <c r="AH869" s="14">
        <f>IF($AG869="","",p_factor_productividad*IFERROR(INDEX('ASIGNACIONES'!$M$4:$M$451,MATCH($O869&amp;"|"&amp;$R869&amp;"|"&amp;$AE869,'ASIGNACIONES'!$N$4:$N$451,0)),0)-$AG869)</f>
        <v/>
      </c>
      <c r="AI869" s="11">
        <f>IF($A869="","",IFERROR(INDEX('2_IMPORTAR_EJECUCION'!$F$9:$F$1208,MATCH($AQ869,'2_IMPORTAR_EJECUCION'!$J$9:$J$1208,0)),0))</f>
        <v/>
      </c>
      <c r="AJ869" s="11">
        <f>IF($A869="","",MAX(0,IFERROR(INDEX('2_IMPORTAR_EJECUCION'!$H$9:$H$1208,MATCH($AQ869,'2_IMPORTAR_EJECUCION'!$J$9:$J$1208,0)),0)-$AI869))</f>
        <v/>
      </c>
      <c r="AK869" s="11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IF($H870="","",IFERROR(INDEX('CAT_ACTIVIDADES'!$B$4:$B$8,MATCH($H870,'CAT_ACTIVIDADES'!$A$4:$A$8,0)),"(sin catálogo)"))</f>
        <v/>
      </c>
      <c r="AA870" s="13">
        <f>IF($J870="","",TODAY()-$J870)</f>
        <v/>
      </c>
      <c r="AB870" s="13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IF($AE870="","",IF((IFERROR(INDEX('ASIGNACIONES'!$J$4:$J$451,MATCH($O870&amp;"|"&amp;$R870&amp;"|"&amp;$AE870,'ASIGNACIONES'!$N$4:$N$451,0)),""))=0,"",IFERROR(INDEX('ASIGNACIONES'!$J$4:$J$451,MATCH($O870&amp;"|"&amp;$R870&amp;"|"&amp;$AE870,'ASIGNACIONES'!$N$4:$N$451,0)),"")))</f>
        <v/>
      </c>
      <c r="AG870" s="14">
        <f>IF($AE870="","",SUMIFS('ORDENES'!$M$4:$M$1203,'ORDENES'!$AE$4:$AE$1203,$AE870,'ORDENES'!$O$4:$O$1203,$O870,'ORDENES'!$R$4:$R$1203,$R870))</f>
        <v/>
      </c>
      <c r="AH870" s="14">
        <f>IF($AG870="","",p_factor_productividad*IFERROR(INDEX('ASIGNACIONES'!$M$4:$M$451,MATCH($O870&amp;"|"&amp;$R870&amp;"|"&amp;$AE870,'ASIGNACIONES'!$N$4:$N$451,0)),0)-$AG870)</f>
        <v/>
      </c>
      <c r="AI870" s="11">
        <f>IF($A870="","",IFERROR(INDEX('2_IMPORTAR_EJECUCION'!$F$9:$F$1208,MATCH($AQ870,'2_IMPORTAR_EJECUCION'!$J$9:$J$1208,0)),0))</f>
        <v/>
      </c>
      <c r="AJ870" s="11">
        <f>IF($A870="","",MAX(0,IFERROR(INDEX('2_IMPORTAR_EJECUCION'!$H$9:$H$1208,MATCH($AQ870,'2_IMPORTAR_EJECUCION'!$J$9:$J$1208,0)),0)-$AI870))</f>
        <v/>
      </c>
      <c r="AK870" s="11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IF($H871="","",IFERROR(INDEX('CAT_ACTIVIDADES'!$B$4:$B$8,MATCH($H871,'CAT_ACTIVIDADES'!$A$4:$A$8,0)),"(sin catálogo)"))</f>
        <v/>
      </c>
      <c r="AA871" s="13">
        <f>IF($J871="","",TODAY()-$J871)</f>
        <v/>
      </c>
      <c r="AB871" s="13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IF($AE871="","",IF((IFERROR(INDEX('ASIGNACIONES'!$J$4:$J$451,MATCH($O871&amp;"|"&amp;$R871&amp;"|"&amp;$AE871,'ASIGNACIONES'!$N$4:$N$451,0)),""))=0,"",IFERROR(INDEX('ASIGNACIONES'!$J$4:$J$451,MATCH($O871&amp;"|"&amp;$R871&amp;"|"&amp;$AE871,'ASIGNACIONES'!$N$4:$N$451,0)),"")))</f>
        <v/>
      </c>
      <c r="AG871" s="14">
        <f>IF($AE871="","",SUMIFS('ORDENES'!$M$4:$M$1203,'ORDENES'!$AE$4:$AE$1203,$AE871,'ORDENES'!$O$4:$O$1203,$O871,'ORDENES'!$R$4:$R$1203,$R871))</f>
        <v/>
      </c>
      <c r="AH871" s="14">
        <f>IF($AG871="","",p_factor_productividad*IFERROR(INDEX('ASIGNACIONES'!$M$4:$M$451,MATCH($O871&amp;"|"&amp;$R871&amp;"|"&amp;$AE871,'ASIGNACIONES'!$N$4:$N$451,0)),0)-$AG871)</f>
        <v/>
      </c>
      <c r="AI871" s="11">
        <f>IF($A871="","",IFERROR(INDEX('2_IMPORTAR_EJECUCION'!$F$9:$F$1208,MATCH($AQ871,'2_IMPORTAR_EJECUCION'!$J$9:$J$1208,0)),0))</f>
        <v/>
      </c>
      <c r="AJ871" s="11">
        <f>IF($A871="","",MAX(0,IFERROR(INDEX('2_IMPORTAR_EJECUCION'!$H$9:$H$1208,MATCH($AQ871,'2_IMPORTAR_EJECUCION'!$J$9:$J$1208,0)),0)-$AI871))</f>
        <v/>
      </c>
      <c r="AK871" s="11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IF($H872="","",IFERROR(INDEX('CAT_ACTIVIDADES'!$B$4:$B$8,MATCH($H872,'CAT_ACTIVIDADES'!$A$4:$A$8,0)),"(sin catálogo)"))</f>
        <v/>
      </c>
      <c r="AA872" s="13">
        <f>IF($J872="","",TODAY()-$J872)</f>
        <v/>
      </c>
      <c r="AB872" s="13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IF($AE872="","",IF((IFERROR(INDEX('ASIGNACIONES'!$J$4:$J$451,MATCH($O872&amp;"|"&amp;$R872&amp;"|"&amp;$AE872,'ASIGNACIONES'!$N$4:$N$451,0)),""))=0,"",IFERROR(INDEX('ASIGNACIONES'!$J$4:$J$451,MATCH($O872&amp;"|"&amp;$R872&amp;"|"&amp;$AE872,'ASIGNACIONES'!$N$4:$N$451,0)),"")))</f>
        <v/>
      </c>
      <c r="AG872" s="14">
        <f>IF($AE872="","",SUMIFS('ORDENES'!$M$4:$M$1203,'ORDENES'!$AE$4:$AE$1203,$AE872,'ORDENES'!$O$4:$O$1203,$O872,'ORDENES'!$R$4:$R$1203,$R872))</f>
        <v/>
      </c>
      <c r="AH872" s="14">
        <f>IF($AG872="","",p_factor_productividad*IFERROR(INDEX('ASIGNACIONES'!$M$4:$M$451,MATCH($O872&amp;"|"&amp;$R872&amp;"|"&amp;$AE872,'ASIGNACIONES'!$N$4:$N$451,0)),0)-$AG872)</f>
        <v/>
      </c>
      <c r="AI872" s="11">
        <f>IF($A872="","",IFERROR(INDEX('2_IMPORTAR_EJECUCION'!$F$9:$F$1208,MATCH($AQ872,'2_IMPORTAR_EJECUCION'!$J$9:$J$1208,0)),0))</f>
        <v/>
      </c>
      <c r="AJ872" s="11">
        <f>IF($A872="","",MAX(0,IFERROR(INDEX('2_IMPORTAR_EJECUCION'!$H$9:$H$1208,MATCH($AQ872,'2_IMPORTAR_EJECUCION'!$J$9:$J$1208,0)),0)-$AI872))</f>
        <v/>
      </c>
      <c r="AK872" s="11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IF($H873="","",IFERROR(INDEX('CAT_ACTIVIDADES'!$B$4:$B$8,MATCH($H873,'CAT_ACTIVIDADES'!$A$4:$A$8,0)),"(sin catálogo)"))</f>
        <v/>
      </c>
      <c r="AA873" s="13">
        <f>IF($J873="","",TODAY()-$J873)</f>
        <v/>
      </c>
      <c r="AB873" s="13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IF($AE873="","",IF((IFERROR(INDEX('ASIGNACIONES'!$J$4:$J$451,MATCH($O873&amp;"|"&amp;$R873&amp;"|"&amp;$AE873,'ASIGNACIONES'!$N$4:$N$451,0)),""))=0,"",IFERROR(INDEX('ASIGNACIONES'!$J$4:$J$451,MATCH($O873&amp;"|"&amp;$R873&amp;"|"&amp;$AE873,'ASIGNACIONES'!$N$4:$N$451,0)),"")))</f>
        <v/>
      </c>
      <c r="AG873" s="14">
        <f>IF($AE873="","",SUMIFS('ORDENES'!$M$4:$M$1203,'ORDENES'!$AE$4:$AE$1203,$AE873,'ORDENES'!$O$4:$O$1203,$O873,'ORDENES'!$R$4:$R$1203,$R873))</f>
        <v/>
      </c>
      <c r="AH873" s="14">
        <f>IF($AG873="","",p_factor_productividad*IFERROR(INDEX('ASIGNACIONES'!$M$4:$M$451,MATCH($O873&amp;"|"&amp;$R873&amp;"|"&amp;$AE873,'ASIGNACIONES'!$N$4:$N$451,0)),0)-$AG873)</f>
        <v/>
      </c>
      <c r="AI873" s="11">
        <f>IF($A873="","",IFERROR(INDEX('2_IMPORTAR_EJECUCION'!$F$9:$F$1208,MATCH($AQ873,'2_IMPORTAR_EJECUCION'!$J$9:$J$1208,0)),0))</f>
        <v/>
      </c>
      <c r="AJ873" s="11">
        <f>IF($A873="","",MAX(0,IFERROR(INDEX('2_IMPORTAR_EJECUCION'!$H$9:$H$1208,MATCH($AQ873,'2_IMPORTAR_EJECUCION'!$J$9:$J$1208,0)),0)-$AI873))</f>
        <v/>
      </c>
      <c r="AK873" s="11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IF($H874="","",IFERROR(INDEX('CAT_ACTIVIDADES'!$B$4:$B$8,MATCH($H874,'CAT_ACTIVIDADES'!$A$4:$A$8,0)),"(sin catálogo)"))</f>
        <v/>
      </c>
      <c r="AA874" s="13">
        <f>IF($J874="","",TODAY()-$J874)</f>
        <v/>
      </c>
      <c r="AB874" s="13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IF($AE874="","",IF((IFERROR(INDEX('ASIGNACIONES'!$J$4:$J$451,MATCH($O874&amp;"|"&amp;$R874&amp;"|"&amp;$AE874,'ASIGNACIONES'!$N$4:$N$451,0)),""))=0,"",IFERROR(INDEX('ASIGNACIONES'!$J$4:$J$451,MATCH($O874&amp;"|"&amp;$R874&amp;"|"&amp;$AE874,'ASIGNACIONES'!$N$4:$N$451,0)),"")))</f>
        <v/>
      </c>
      <c r="AG874" s="14">
        <f>IF($AE874="","",SUMIFS('ORDENES'!$M$4:$M$1203,'ORDENES'!$AE$4:$AE$1203,$AE874,'ORDENES'!$O$4:$O$1203,$O874,'ORDENES'!$R$4:$R$1203,$R874))</f>
        <v/>
      </c>
      <c r="AH874" s="14">
        <f>IF($AG874="","",p_factor_productividad*IFERROR(INDEX('ASIGNACIONES'!$M$4:$M$451,MATCH($O874&amp;"|"&amp;$R874&amp;"|"&amp;$AE874,'ASIGNACIONES'!$N$4:$N$451,0)),0)-$AG874)</f>
        <v/>
      </c>
      <c r="AI874" s="11">
        <f>IF($A874="","",IFERROR(INDEX('2_IMPORTAR_EJECUCION'!$F$9:$F$1208,MATCH($AQ874,'2_IMPORTAR_EJECUCION'!$J$9:$J$1208,0)),0))</f>
        <v/>
      </c>
      <c r="AJ874" s="11">
        <f>IF($A874="","",MAX(0,IFERROR(INDEX('2_IMPORTAR_EJECUCION'!$H$9:$H$1208,MATCH($AQ874,'2_IMPORTAR_EJECUCION'!$J$9:$J$1208,0)),0)-$AI874))</f>
        <v/>
      </c>
      <c r="AK874" s="11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IF($H875="","",IFERROR(INDEX('CAT_ACTIVIDADES'!$B$4:$B$8,MATCH($H875,'CAT_ACTIVIDADES'!$A$4:$A$8,0)),"(sin catálogo)"))</f>
        <v/>
      </c>
      <c r="AA875" s="13">
        <f>IF($J875="","",TODAY()-$J875)</f>
        <v/>
      </c>
      <c r="AB875" s="13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IF($AE875="","",IF((IFERROR(INDEX('ASIGNACIONES'!$J$4:$J$451,MATCH($O875&amp;"|"&amp;$R875&amp;"|"&amp;$AE875,'ASIGNACIONES'!$N$4:$N$451,0)),""))=0,"",IFERROR(INDEX('ASIGNACIONES'!$J$4:$J$451,MATCH($O875&amp;"|"&amp;$R875&amp;"|"&amp;$AE875,'ASIGNACIONES'!$N$4:$N$451,0)),"")))</f>
        <v/>
      </c>
      <c r="AG875" s="14">
        <f>IF($AE875="","",SUMIFS('ORDENES'!$M$4:$M$1203,'ORDENES'!$AE$4:$AE$1203,$AE875,'ORDENES'!$O$4:$O$1203,$O875,'ORDENES'!$R$4:$R$1203,$R875))</f>
        <v/>
      </c>
      <c r="AH875" s="14">
        <f>IF($AG875="","",p_factor_productividad*IFERROR(INDEX('ASIGNACIONES'!$M$4:$M$451,MATCH($O875&amp;"|"&amp;$R875&amp;"|"&amp;$AE875,'ASIGNACIONES'!$N$4:$N$451,0)),0)-$AG875)</f>
        <v/>
      </c>
      <c r="AI875" s="11">
        <f>IF($A875="","",IFERROR(INDEX('2_IMPORTAR_EJECUCION'!$F$9:$F$1208,MATCH($AQ875,'2_IMPORTAR_EJECUCION'!$J$9:$J$1208,0)),0))</f>
        <v/>
      </c>
      <c r="AJ875" s="11">
        <f>IF($A875="","",MAX(0,IFERROR(INDEX('2_IMPORTAR_EJECUCION'!$H$9:$H$1208,MATCH($AQ875,'2_IMPORTAR_EJECUCION'!$J$9:$J$1208,0)),0)-$AI875))</f>
        <v/>
      </c>
      <c r="AK875" s="11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IF($H876="","",IFERROR(INDEX('CAT_ACTIVIDADES'!$B$4:$B$8,MATCH($H876,'CAT_ACTIVIDADES'!$A$4:$A$8,0)),"(sin catálogo)"))</f>
        <v/>
      </c>
      <c r="AA876" s="13">
        <f>IF($J876="","",TODAY()-$J876)</f>
        <v/>
      </c>
      <c r="AB876" s="13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IF($AE876="","",IF((IFERROR(INDEX('ASIGNACIONES'!$J$4:$J$451,MATCH($O876&amp;"|"&amp;$R876&amp;"|"&amp;$AE876,'ASIGNACIONES'!$N$4:$N$451,0)),""))=0,"",IFERROR(INDEX('ASIGNACIONES'!$J$4:$J$451,MATCH($O876&amp;"|"&amp;$R876&amp;"|"&amp;$AE876,'ASIGNACIONES'!$N$4:$N$451,0)),"")))</f>
        <v/>
      </c>
      <c r="AG876" s="14">
        <f>IF($AE876="","",SUMIFS('ORDENES'!$M$4:$M$1203,'ORDENES'!$AE$4:$AE$1203,$AE876,'ORDENES'!$O$4:$O$1203,$O876,'ORDENES'!$R$4:$R$1203,$R876))</f>
        <v/>
      </c>
      <c r="AH876" s="14">
        <f>IF($AG876="","",p_factor_productividad*IFERROR(INDEX('ASIGNACIONES'!$M$4:$M$451,MATCH($O876&amp;"|"&amp;$R876&amp;"|"&amp;$AE876,'ASIGNACIONES'!$N$4:$N$451,0)),0)-$AG876)</f>
        <v/>
      </c>
      <c r="AI876" s="11">
        <f>IF($A876="","",IFERROR(INDEX('2_IMPORTAR_EJECUCION'!$F$9:$F$1208,MATCH($AQ876,'2_IMPORTAR_EJECUCION'!$J$9:$J$1208,0)),0))</f>
        <v/>
      </c>
      <c r="AJ876" s="11">
        <f>IF($A876="","",MAX(0,IFERROR(INDEX('2_IMPORTAR_EJECUCION'!$H$9:$H$1208,MATCH($AQ876,'2_IMPORTAR_EJECUCION'!$J$9:$J$1208,0)),0)-$AI876))</f>
        <v/>
      </c>
      <c r="AK876" s="11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IF($H877="","",IFERROR(INDEX('CAT_ACTIVIDADES'!$B$4:$B$8,MATCH($H877,'CAT_ACTIVIDADES'!$A$4:$A$8,0)),"(sin catálogo)"))</f>
        <v/>
      </c>
      <c r="AA877" s="13">
        <f>IF($J877="","",TODAY()-$J877)</f>
        <v/>
      </c>
      <c r="AB877" s="13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IF($AE877="","",IF((IFERROR(INDEX('ASIGNACIONES'!$J$4:$J$451,MATCH($O877&amp;"|"&amp;$R877&amp;"|"&amp;$AE877,'ASIGNACIONES'!$N$4:$N$451,0)),""))=0,"",IFERROR(INDEX('ASIGNACIONES'!$J$4:$J$451,MATCH($O877&amp;"|"&amp;$R877&amp;"|"&amp;$AE877,'ASIGNACIONES'!$N$4:$N$451,0)),"")))</f>
        <v/>
      </c>
      <c r="AG877" s="14">
        <f>IF($AE877="","",SUMIFS('ORDENES'!$M$4:$M$1203,'ORDENES'!$AE$4:$AE$1203,$AE877,'ORDENES'!$O$4:$O$1203,$O877,'ORDENES'!$R$4:$R$1203,$R877))</f>
        <v/>
      </c>
      <c r="AH877" s="14">
        <f>IF($AG877="","",p_factor_productividad*IFERROR(INDEX('ASIGNACIONES'!$M$4:$M$451,MATCH($O877&amp;"|"&amp;$R877&amp;"|"&amp;$AE877,'ASIGNACIONES'!$N$4:$N$451,0)),0)-$AG877)</f>
        <v/>
      </c>
      <c r="AI877" s="11">
        <f>IF($A877="","",IFERROR(INDEX('2_IMPORTAR_EJECUCION'!$F$9:$F$1208,MATCH($AQ877,'2_IMPORTAR_EJECUCION'!$J$9:$J$1208,0)),0))</f>
        <v/>
      </c>
      <c r="AJ877" s="11">
        <f>IF($A877="","",MAX(0,IFERROR(INDEX('2_IMPORTAR_EJECUCION'!$H$9:$H$1208,MATCH($AQ877,'2_IMPORTAR_EJECUCION'!$J$9:$J$1208,0)),0)-$AI877))</f>
        <v/>
      </c>
      <c r="AK877" s="11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IF($H878="","",IFERROR(INDEX('CAT_ACTIVIDADES'!$B$4:$B$8,MATCH($H878,'CAT_ACTIVIDADES'!$A$4:$A$8,0)),"(sin catálogo)"))</f>
        <v/>
      </c>
      <c r="AA878" s="13">
        <f>IF($J878="","",TODAY()-$J878)</f>
        <v/>
      </c>
      <c r="AB878" s="13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IF($AE878="","",IF((IFERROR(INDEX('ASIGNACIONES'!$J$4:$J$451,MATCH($O878&amp;"|"&amp;$R878&amp;"|"&amp;$AE878,'ASIGNACIONES'!$N$4:$N$451,0)),""))=0,"",IFERROR(INDEX('ASIGNACIONES'!$J$4:$J$451,MATCH($O878&amp;"|"&amp;$R878&amp;"|"&amp;$AE878,'ASIGNACIONES'!$N$4:$N$451,0)),"")))</f>
        <v/>
      </c>
      <c r="AG878" s="14">
        <f>IF($AE878="","",SUMIFS('ORDENES'!$M$4:$M$1203,'ORDENES'!$AE$4:$AE$1203,$AE878,'ORDENES'!$O$4:$O$1203,$O878,'ORDENES'!$R$4:$R$1203,$R878))</f>
        <v/>
      </c>
      <c r="AH878" s="14">
        <f>IF($AG878="","",p_factor_productividad*IFERROR(INDEX('ASIGNACIONES'!$M$4:$M$451,MATCH($O878&amp;"|"&amp;$R878&amp;"|"&amp;$AE878,'ASIGNACIONES'!$N$4:$N$451,0)),0)-$AG878)</f>
        <v/>
      </c>
      <c r="AI878" s="11">
        <f>IF($A878="","",IFERROR(INDEX('2_IMPORTAR_EJECUCION'!$F$9:$F$1208,MATCH($AQ878,'2_IMPORTAR_EJECUCION'!$J$9:$J$1208,0)),0))</f>
        <v/>
      </c>
      <c r="AJ878" s="11">
        <f>IF($A878="","",MAX(0,IFERROR(INDEX('2_IMPORTAR_EJECUCION'!$H$9:$H$1208,MATCH($AQ878,'2_IMPORTAR_EJECUCION'!$J$9:$J$1208,0)),0)-$AI878))</f>
        <v/>
      </c>
      <c r="AK878" s="11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IF($H879="","",IFERROR(INDEX('CAT_ACTIVIDADES'!$B$4:$B$8,MATCH($H879,'CAT_ACTIVIDADES'!$A$4:$A$8,0)),"(sin catálogo)"))</f>
        <v/>
      </c>
      <c r="AA879" s="13">
        <f>IF($J879="","",TODAY()-$J879)</f>
        <v/>
      </c>
      <c r="AB879" s="13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IF($AE879="","",IF((IFERROR(INDEX('ASIGNACIONES'!$J$4:$J$451,MATCH($O879&amp;"|"&amp;$R879&amp;"|"&amp;$AE879,'ASIGNACIONES'!$N$4:$N$451,0)),""))=0,"",IFERROR(INDEX('ASIGNACIONES'!$J$4:$J$451,MATCH($O879&amp;"|"&amp;$R879&amp;"|"&amp;$AE879,'ASIGNACIONES'!$N$4:$N$451,0)),"")))</f>
        <v/>
      </c>
      <c r="AG879" s="14">
        <f>IF($AE879="","",SUMIFS('ORDENES'!$M$4:$M$1203,'ORDENES'!$AE$4:$AE$1203,$AE879,'ORDENES'!$O$4:$O$1203,$O879,'ORDENES'!$R$4:$R$1203,$R879))</f>
        <v/>
      </c>
      <c r="AH879" s="14">
        <f>IF($AG879="","",p_factor_productividad*IFERROR(INDEX('ASIGNACIONES'!$M$4:$M$451,MATCH($O879&amp;"|"&amp;$R879&amp;"|"&amp;$AE879,'ASIGNACIONES'!$N$4:$N$451,0)),0)-$AG879)</f>
        <v/>
      </c>
      <c r="AI879" s="11">
        <f>IF($A879="","",IFERROR(INDEX('2_IMPORTAR_EJECUCION'!$F$9:$F$1208,MATCH($AQ879,'2_IMPORTAR_EJECUCION'!$J$9:$J$1208,0)),0))</f>
        <v/>
      </c>
      <c r="AJ879" s="11">
        <f>IF($A879="","",MAX(0,IFERROR(INDEX('2_IMPORTAR_EJECUCION'!$H$9:$H$1208,MATCH($AQ879,'2_IMPORTAR_EJECUCION'!$J$9:$J$1208,0)),0)-$AI879))</f>
        <v/>
      </c>
      <c r="AK879" s="11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IF($H880="","",IFERROR(INDEX('CAT_ACTIVIDADES'!$B$4:$B$8,MATCH($H880,'CAT_ACTIVIDADES'!$A$4:$A$8,0)),"(sin catálogo)"))</f>
        <v/>
      </c>
      <c r="AA880" s="13">
        <f>IF($J880="","",TODAY()-$J880)</f>
        <v/>
      </c>
      <c r="AB880" s="13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IF($AE880="","",IF((IFERROR(INDEX('ASIGNACIONES'!$J$4:$J$451,MATCH($O880&amp;"|"&amp;$R880&amp;"|"&amp;$AE880,'ASIGNACIONES'!$N$4:$N$451,0)),""))=0,"",IFERROR(INDEX('ASIGNACIONES'!$J$4:$J$451,MATCH($O880&amp;"|"&amp;$R880&amp;"|"&amp;$AE880,'ASIGNACIONES'!$N$4:$N$451,0)),"")))</f>
        <v/>
      </c>
      <c r="AG880" s="14">
        <f>IF($AE880="","",SUMIFS('ORDENES'!$M$4:$M$1203,'ORDENES'!$AE$4:$AE$1203,$AE880,'ORDENES'!$O$4:$O$1203,$O880,'ORDENES'!$R$4:$R$1203,$R880))</f>
        <v/>
      </c>
      <c r="AH880" s="14">
        <f>IF($AG880="","",p_factor_productividad*IFERROR(INDEX('ASIGNACIONES'!$M$4:$M$451,MATCH($O880&amp;"|"&amp;$R880&amp;"|"&amp;$AE880,'ASIGNACIONES'!$N$4:$N$451,0)),0)-$AG880)</f>
        <v/>
      </c>
      <c r="AI880" s="11">
        <f>IF($A880="","",IFERROR(INDEX('2_IMPORTAR_EJECUCION'!$F$9:$F$1208,MATCH($AQ880,'2_IMPORTAR_EJECUCION'!$J$9:$J$1208,0)),0))</f>
        <v/>
      </c>
      <c r="AJ880" s="11">
        <f>IF($A880="","",MAX(0,IFERROR(INDEX('2_IMPORTAR_EJECUCION'!$H$9:$H$1208,MATCH($AQ880,'2_IMPORTAR_EJECUCION'!$J$9:$J$1208,0)),0)-$AI880))</f>
        <v/>
      </c>
      <c r="AK880" s="11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IF($H881="","",IFERROR(INDEX('CAT_ACTIVIDADES'!$B$4:$B$8,MATCH($H881,'CAT_ACTIVIDADES'!$A$4:$A$8,0)),"(sin catálogo)"))</f>
        <v/>
      </c>
      <c r="AA881" s="13">
        <f>IF($J881="","",TODAY()-$J881)</f>
        <v/>
      </c>
      <c r="AB881" s="13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IF($AE881="","",IF((IFERROR(INDEX('ASIGNACIONES'!$J$4:$J$451,MATCH($O881&amp;"|"&amp;$R881&amp;"|"&amp;$AE881,'ASIGNACIONES'!$N$4:$N$451,0)),""))=0,"",IFERROR(INDEX('ASIGNACIONES'!$J$4:$J$451,MATCH($O881&amp;"|"&amp;$R881&amp;"|"&amp;$AE881,'ASIGNACIONES'!$N$4:$N$451,0)),"")))</f>
        <v/>
      </c>
      <c r="AG881" s="14">
        <f>IF($AE881="","",SUMIFS('ORDENES'!$M$4:$M$1203,'ORDENES'!$AE$4:$AE$1203,$AE881,'ORDENES'!$O$4:$O$1203,$O881,'ORDENES'!$R$4:$R$1203,$R881))</f>
        <v/>
      </c>
      <c r="AH881" s="14">
        <f>IF($AG881="","",p_factor_productividad*IFERROR(INDEX('ASIGNACIONES'!$M$4:$M$451,MATCH($O881&amp;"|"&amp;$R881&amp;"|"&amp;$AE881,'ASIGNACIONES'!$N$4:$N$451,0)),0)-$AG881)</f>
        <v/>
      </c>
      <c r="AI881" s="11">
        <f>IF($A881="","",IFERROR(INDEX('2_IMPORTAR_EJECUCION'!$F$9:$F$1208,MATCH($AQ881,'2_IMPORTAR_EJECUCION'!$J$9:$J$1208,0)),0))</f>
        <v/>
      </c>
      <c r="AJ881" s="11">
        <f>IF($A881="","",MAX(0,IFERROR(INDEX('2_IMPORTAR_EJECUCION'!$H$9:$H$1208,MATCH($AQ881,'2_IMPORTAR_EJECUCION'!$J$9:$J$1208,0)),0)-$AI881))</f>
        <v/>
      </c>
      <c r="AK881" s="11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IF($H882="","",IFERROR(INDEX('CAT_ACTIVIDADES'!$B$4:$B$8,MATCH($H882,'CAT_ACTIVIDADES'!$A$4:$A$8,0)),"(sin catálogo)"))</f>
        <v/>
      </c>
      <c r="AA882" s="13">
        <f>IF($J882="","",TODAY()-$J882)</f>
        <v/>
      </c>
      <c r="AB882" s="13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IF($AE882="","",IF((IFERROR(INDEX('ASIGNACIONES'!$J$4:$J$451,MATCH($O882&amp;"|"&amp;$R882&amp;"|"&amp;$AE882,'ASIGNACIONES'!$N$4:$N$451,0)),""))=0,"",IFERROR(INDEX('ASIGNACIONES'!$J$4:$J$451,MATCH($O882&amp;"|"&amp;$R882&amp;"|"&amp;$AE882,'ASIGNACIONES'!$N$4:$N$451,0)),"")))</f>
        <v/>
      </c>
      <c r="AG882" s="14">
        <f>IF($AE882="","",SUMIFS('ORDENES'!$M$4:$M$1203,'ORDENES'!$AE$4:$AE$1203,$AE882,'ORDENES'!$O$4:$O$1203,$O882,'ORDENES'!$R$4:$R$1203,$R882))</f>
        <v/>
      </c>
      <c r="AH882" s="14">
        <f>IF($AG882="","",p_factor_productividad*IFERROR(INDEX('ASIGNACIONES'!$M$4:$M$451,MATCH($O882&amp;"|"&amp;$R882&amp;"|"&amp;$AE882,'ASIGNACIONES'!$N$4:$N$451,0)),0)-$AG882)</f>
        <v/>
      </c>
      <c r="AI882" s="11">
        <f>IF($A882="","",IFERROR(INDEX('2_IMPORTAR_EJECUCION'!$F$9:$F$1208,MATCH($AQ882,'2_IMPORTAR_EJECUCION'!$J$9:$J$1208,0)),0))</f>
        <v/>
      </c>
      <c r="AJ882" s="11">
        <f>IF($A882="","",MAX(0,IFERROR(INDEX('2_IMPORTAR_EJECUCION'!$H$9:$H$1208,MATCH($AQ882,'2_IMPORTAR_EJECUCION'!$J$9:$J$1208,0)),0)-$AI882))</f>
        <v/>
      </c>
      <c r="AK882" s="11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IF($H883="","",IFERROR(INDEX('CAT_ACTIVIDADES'!$B$4:$B$8,MATCH($H883,'CAT_ACTIVIDADES'!$A$4:$A$8,0)),"(sin catálogo)"))</f>
        <v/>
      </c>
      <c r="AA883" s="13">
        <f>IF($J883="","",TODAY()-$J883)</f>
        <v/>
      </c>
      <c r="AB883" s="13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IF($AE883="","",IF((IFERROR(INDEX('ASIGNACIONES'!$J$4:$J$451,MATCH($O883&amp;"|"&amp;$R883&amp;"|"&amp;$AE883,'ASIGNACIONES'!$N$4:$N$451,0)),""))=0,"",IFERROR(INDEX('ASIGNACIONES'!$J$4:$J$451,MATCH($O883&amp;"|"&amp;$R883&amp;"|"&amp;$AE883,'ASIGNACIONES'!$N$4:$N$451,0)),"")))</f>
        <v/>
      </c>
      <c r="AG883" s="14">
        <f>IF($AE883="","",SUMIFS('ORDENES'!$M$4:$M$1203,'ORDENES'!$AE$4:$AE$1203,$AE883,'ORDENES'!$O$4:$O$1203,$O883,'ORDENES'!$R$4:$R$1203,$R883))</f>
        <v/>
      </c>
      <c r="AH883" s="14">
        <f>IF($AG883="","",p_factor_productividad*IFERROR(INDEX('ASIGNACIONES'!$M$4:$M$451,MATCH($O883&amp;"|"&amp;$R883&amp;"|"&amp;$AE883,'ASIGNACIONES'!$N$4:$N$451,0)),0)-$AG883)</f>
        <v/>
      </c>
      <c r="AI883" s="11">
        <f>IF($A883="","",IFERROR(INDEX('2_IMPORTAR_EJECUCION'!$F$9:$F$1208,MATCH($AQ883,'2_IMPORTAR_EJECUCION'!$J$9:$J$1208,0)),0))</f>
        <v/>
      </c>
      <c r="AJ883" s="11">
        <f>IF($A883="","",MAX(0,IFERROR(INDEX('2_IMPORTAR_EJECUCION'!$H$9:$H$1208,MATCH($AQ883,'2_IMPORTAR_EJECUCION'!$J$9:$J$1208,0)),0)-$AI883))</f>
        <v/>
      </c>
      <c r="AK883" s="11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IF($H884="","",IFERROR(INDEX('CAT_ACTIVIDADES'!$B$4:$B$8,MATCH($H884,'CAT_ACTIVIDADES'!$A$4:$A$8,0)),"(sin catálogo)"))</f>
        <v/>
      </c>
      <c r="AA884" s="13">
        <f>IF($J884="","",TODAY()-$J884)</f>
        <v/>
      </c>
      <c r="AB884" s="13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IF($AE884="","",IF((IFERROR(INDEX('ASIGNACIONES'!$J$4:$J$451,MATCH($O884&amp;"|"&amp;$R884&amp;"|"&amp;$AE884,'ASIGNACIONES'!$N$4:$N$451,0)),""))=0,"",IFERROR(INDEX('ASIGNACIONES'!$J$4:$J$451,MATCH($O884&amp;"|"&amp;$R884&amp;"|"&amp;$AE884,'ASIGNACIONES'!$N$4:$N$451,0)),"")))</f>
        <v/>
      </c>
      <c r="AG884" s="14">
        <f>IF($AE884="","",SUMIFS('ORDENES'!$M$4:$M$1203,'ORDENES'!$AE$4:$AE$1203,$AE884,'ORDENES'!$O$4:$O$1203,$O884,'ORDENES'!$R$4:$R$1203,$R884))</f>
        <v/>
      </c>
      <c r="AH884" s="14">
        <f>IF($AG884="","",p_factor_productividad*IFERROR(INDEX('ASIGNACIONES'!$M$4:$M$451,MATCH($O884&amp;"|"&amp;$R884&amp;"|"&amp;$AE884,'ASIGNACIONES'!$N$4:$N$451,0)),0)-$AG884)</f>
        <v/>
      </c>
      <c r="AI884" s="11">
        <f>IF($A884="","",IFERROR(INDEX('2_IMPORTAR_EJECUCION'!$F$9:$F$1208,MATCH($AQ884,'2_IMPORTAR_EJECUCION'!$J$9:$J$1208,0)),0))</f>
        <v/>
      </c>
      <c r="AJ884" s="11">
        <f>IF($A884="","",MAX(0,IFERROR(INDEX('2_IMPORTAR_EJECUCION'!$H$9:$H$1208,MATCH($AQ884,'2_IMPORTAR_EJECUCION'!$J$9:$J$1208,0)),0)-$AI884))</f>
        <v/>
      </c>
      <c r="AK884" s="11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IF($H885="","",IFERROR(INDEX('CAT_ACTIVIDADES'!$B$4:$B$8,MATCH($H885,'CAT_ACTIVIDADES'!$A$4:$A$8,0)),"(sin catálogo)"))</f>
        <v/>
      </c>
      <c r="AA885" s="13">
        <f>IF($J885="","",TODAY()-$J885)</f>
        <v/>
      </c>
      <c r="AB885" s="13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IF($AE885="","",IF((IFERROR(INDEX('ASIGNACIONES'!$J$4:$J$451,MATCH($O885&amp;"|"&amp;$R885&amp;"|"&amp;$AE885,'ASIGNACIONES'!$N$4:$N$451,0)),""))=0,"",IFERROR(INDEX('ASIGNACIONES'!$J$4:$J$451,MATCH($O885&amp;"|"&amp;$R885&amp;"|"&amp;$AE885,'ASIGNACIONES'!$N$4:$N$451,0)),"")))</f>
        <v/>
      </c>
      <c r="AG885" s="14">
        <f>IF($AE885="","",SUMIFS('ORDENES'!$M$4:$M$1203,'ORDENES'!$AE$4:$AE$1203,$AE885,'ORDENES'!$O$4:$O$1203,$O885,'ORDENES'!$R$4:$R$1203,$R885))</f>
        <v/>
      </c>
      <c r="AH885" s="14">
        <f>IF($AG885="","",p_factor_productividad*IFERROR(INDEX('ASIGNACIONES'!$M$4:$M$451,MATCH($O885&amp;"|"&amp;$R885&amp;"|"&amp;$AE885,'ASIGNACIONES'!$N$4:$N$451,0)),0)-$AG885)</f>
        <v/>
      </c>
      <c r="AI885" s="11">
        <f>IF($A885="","",IFERROR(INDEX('2_IMPORTAR_EJECUCION'!$F$9:$F$1208,MATCH($AQ885,'2_IMPORTAR_EJECUCION'!$J$9:$J$1208,0)),0))</f>
        <v/>
      </c>
      <c r="AJ885" s="11">
        <f>IF($A885="","",MAX(0,IFERROR(INDEX('2_IMPORTAR_EJECUCION'!$H$9:$H$1208,MATCH($AQ885,'2_IMPORTAR_EJECUCION'!$J$9:$J$1208,0)),0)-$AI885))</f>
        <v/>
      </c>
      <c r="AK885" s="11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IF($H886="","",IFERROR(INDEX('CAT_ACTIVIDADES'!$B$4:$B$8,MATCH($H886,'CAT_ACTIVIDADES'!$A$4:$A$8,0)),"(sin catálogo)"))</f>
        <v/>
      </c>
      <c r="AA886" s="13">
        <f>IF($J886="","",TODAY()-$J886)</f>
        <v/>
      </c>
      <c r="AB886" s="13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IF($AE886="","",IF((IFERROR(INDEX('ASIGNACIONES'!$J$4:$J$451,MATCH($O886&amp;"|"&amp;$R886&amp;"|"&amp;$AE886,'ASIGNACIONES'!$N$4:$N$451,0)),""))=0,"",IFERROR(INDEX('ASIGNACIONES'!$J$4:$J$451,MATCH($O886&amp;"|"&amp;$R886&amp;"|"&amp;$AE886,'ASIGNACIONES'!$N$4:$N$451,0)),"")))</f>
        <v/>
      </c>
      <c r="AG886" s="14">
        <f>IF($AE886="","",SUMIFS('ORDENES'!$M$4:$M$1203,'ORDENES'!$AE$4:$AE$1203,$AE886,'ORDENES'!$O$4:$O$1203,$O886,'ORDENES'!$R$4:$R$1203,$R886))</f>
        <v/>
      </c>
      <c r="AH886" s="14">
        <f>IF($AG886="","",p_factor_productividad*IFERROR(INDEX('ASIGNACIONES'!$M$4:$M$451,MATCH($O886&amp;"|"&amp;$R886&amp;"|"&amp;$AE886,'ASIGNACIONES'!$N$4:$N$451,0)),0)-$AG886)</f>
        <v/>
      </c>
      <c r="AI886" s="11">
        <f>IF($A886="","",IFERROR(INDEX('2_IMPORTAR_EJECUCION'!$F$9:$F$1208,MATCH($AQ886,'2_IMPORTAR_EJECUCION'!$J$9:$J$1208,0)),0))</f>
        <v/>
      </c>
      <c r="AJ886" s="11">
        <f>IF($A886="","",MAX(0,IFERROR(INDEX('2_IMPORTAR_EJECUCION'!$H$9:$H$1208,MATCH($AQ886,'2_IMPORTAR_EJECUCION'!$J$9:$J$1208,0)),0)-$AI886))</f>
        <v/>
      </c>
      <c r="AK886" s="11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IF($H887="","",IFERROR(INDEX('CAT_ACTIVIDADES'!$B$4:$B$8,MATCH($H887,'CAT_ACTIVIDADES'!$A$4:$A$8,0)),"(sin catálogo)"))</f>
        <v/>
      </c>
      <c r="AA887" s="13">
        <f>IF($J887="","",TODAY()-$J887)</f>
        <v/>
      </c>
      <c r="AB887" s="13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IF($AE887="","",IF((IFERROR(INDEX('ASIGNACIONES'!$J$4:$J$451,MATCH($O887&amp;"|"&amp;$R887&amp;"|"&amp;$AE887,'ASIGNACIONES'!$N$4:$N$451,0)),""))=0,"",IFERROR(INDEX('ASIGNACIONES'!$J$4:$J$451,MATCH($O887&amp;"|"&amp;$R887&amp;"|"&amp;$AE887,'ASIGNACIONES'!$N$4:$N$451,0)),"")))</f>
        <v/>
      </c>
      <c r="AG887" s="14">
        <f>IF($AE887="","",SUMIFS('ORDENES'!$M$4:$M$1203,'ORDENES'!$AE$4:$AE$1203,$AE887,'ORDENES'!$O$4:$O$1203,$O887,'ORDENES'!$R$4:$R$1203,$R887))</f>
        <v/>
      </c>
      <c r="AH887" s="14">
        <f>IF($AG887="","",p_factor_productividad*IFERROR(INDEX('ASIGNACIONES'!$M$4:$M$451,MATCH($O887&amp;"|"&amp;$R887&amp;"|"&amp;$AE887,'ASIGNACIONES'!$N$4:$N$451,0)),0)-$AG887)</f>
        <v/>
      </c>
      <c r="AI887" s="11">
        <f>IF($A887="","",IFERROR(INDEX('2_IMPORTAR_EJECUCION'!$F$9:$F$1208,MATCH($AQ887,'2_IMPORTAR_EJECUCION'!$J$9:$J$1208,0)),0))</f>
        <v/>
      </c>
      <c r="AJ887" s="11">
        <f>IF($A887="","",MAX(0,IFERROR(INDEX('2_IMPORTAR_EJECUCION'!$H$9:$H$1208,MATCH($AQ887,'2_IMPORTAR_EJECUCION'!$J$9:$J$1208,0)),0)-$AI887))</f>
        <v/>
      </c>
      <c r="AK887" s="11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IF($H888="","",IFERROR(INDEX('CAT_ACTIVIDADES'!$B$4:$B$8,MATCH($H888,'CAT_ACTIVIDADES'!$A$4:$A$8,0)),"(sin catálogo)"))</f>
        <v/>
      </c>
      <c r="AA888" s="13">
        <f>IF($J888="","",TODAY()-$J888)</f>
        <v/>
      </c>
      <c r="AB888" s="13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IF($AE888="","",IF((IFERROR(INDEX('ASIGNACIONES'!$J$4:$J$451,MATCH($O888&amp;"|"&amp;$R888&amp;"|"&amp;$AE888,'ASIGNACIONES'!$N$4:$N$451,0)),""))=0,"",IFERROR(INDEX('ASIGNACIONES'!$J$4:$J$451,MATCH($O888&amp;"|"&amp;$R888&amp;"|"&amp;$AE888,'ASIGNACIONES'!$N$4:$N$451,0)),"")))</f>
        <v/>
      </c>
      <c r="AG888" s="14">
        <f>IF($AE888="","",SUMIFS('ORDENES'!$M$4:$M$1203,'ORDENES'!$AE$4:$AE$1203,$AE888,'ORDENES'!$O$4:$O$1203,$O888,'ORDENES'!$R$4:$R$1203,$R888))</f>
        <v/>
      </c>
      <c r="AH888" s="14">
        <f>IF($AG888="","",p_factor_productividad*IFERROR(INDEX('ASIGNACIONES'!$M$4:$M$451,MATCH($O888&amp;"|"&amp;$R888&amp;"|"&amp;$AE888,'ASIGNACIONES'!$N$4:$N$451,0)),0)-$AG888)</f>
        <v/>
      </c>
      <c r="AI888" s="11">
        <f>IF($A888="","",IFERROR(INDEX('2_IMPORTAR_EJECUCION'!$F$9:$F$1208,MATCH($AQ888,'2_IMPORTAR_EJECUCION'!$J$9:$J$1208,0)),0))</f>
        <v/>
      </c>
      <c r="AJ888" s="11">
        <f>IF($A888="","",MAX(0,IFERROR(INDEX('2_IMPORTAR_EJECUCION'!$H$9:$H$1208,MATCH($AQ888,'2_IMPORTAR_EJECUCION'!$J$9:$J$1208,0)),0)-$AI888))</f>
        <v/>
      </c>
      <c r="AK888" s="11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IF($H889="","",IFERROR(INDEX('CAT_ACTIVIDADES'!$B$4:$B$8,MATCH($H889,'CAT_ACTIVIDADES'!$A$4:$A$8,0)),"(sin catálogo)"))</f>
        <v/>
      </c>
      <c r="AA889" s="13">
        <f>IF($J889="","",TODAY()-$J889)</f>
        <v/>
      </c>
      <c r="AB889" s="13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IF($AE889="","",IF((IFERROR(INDEX('ASIGNACIONES'!$J$4:$J$451,MATCH($O889&amp;"|"&amp;$R889&amp;"|"&amp;$AE889,'ASIGNACIONES'!$N$4:$N$451,0)),""))=0,"",IFERROR(INDEX('ASIGNACIONES'!$J$4:$J$451,MATCH($O889&amp;"|"&amp;$R889&amp;"|"&amp;$AE889,'ASIGNACIONES'!$N$4:$N$451,0)),"")))</f>
        <v/>
      </c>
      <c r="AG889" s="14">
        <f>IF($AE889="","",SUMIFS('ORDENES'!$M$4:$M$1203,'ORDENES'!$AE$4:$AE$1203,$AE889,'ORDENES'!$O$4:$O$1203,$O889,'ORDENES'!$R$4:$R$1203,$R889))</f>
        <v/>
      </c>
      <c r="AH889" s="14">
        <f>IF($AG889="","",p_factor_productividad*IFERROR(INDEX('ASIGNACIONES'!$M$4:$M$451,MATCH($O889&amp;"|"&amp;$R889&amp;"|"&amp;$AE889,'ASIGNACIONES'!$N$4:$N$451,0)),0)-$AG889)</f>
        <v/>
      </c>
      <c r="AI889" s="11">
        <f>IF($A889="","",IFERROR(INDEX('2_IMPORTAR_EJECUCION'!$F$9:$F$1208,MATCH($AQ889,'2_IMPORTAR_EJECUCION'!$J$9:$J$1208,0)),0))</f>
        <v/>
      </c>
      <c r="AJ889" s="11">
        <f>IF($A889="","",MAX(0,IFERROR(INDEX('2_IMPORTAR_EJECUCION'!$H$9:$H$1208,MATCH($AQ889,'2_IMPORTAR_EJECUCION'!$J$9:$J$1208,0)),0)-$AI889))</f>
        <v/>
      </c>
      <c r="AK889" s="11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IF($H890="","",IFERROR(INDEX('CAT_ACTIVIDADES'!$B$4:$B$8,MATCH($H890,'CAT_ACTIVIDADES'!$A$4:$A$8,0)),"(sin catálogo)"))</f>
        <v/>
      </c>
      <c r="AA890" s="13">
        <f>IF($J890="","",TODAY()-$J890)</f>
        <v/>
      </c>
      <c r="AB890" s="13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IF($AE890="","",IF((IFERROR(INDEX('ASIGNACIONES'!$J$4:$J$451,MATCH($O890&amp;"|"&amp;$R890&amp;"|"&amp;$AE890,'ASIGNACIONES'!$N$4:$N$451,0)),""))=0,"",IFERROR(INDEX('ASIGNACIONES'!$J$4:$J$451,MATCH($O890&amp;"|"&amp;$R890&amp;"|"&amp;$AE890,'ASIGNACIONES'!$N$4:$N$451,0)),"")))</f>
        <v/>
      </c>
      <c r="AG890" s="14">
        <f>IF($AE890="","",SUMIFS('ORDENES'!$M$4:$M$1203,'ORDENES'!$AE$4:$AE$1203,$AE890,'ORDENES'!$O$4:$O$1203,$O890,'ORDENES'!$R$4:$R$1203,$R890))</f>
        <v/>
      </c>
      <c r="AH890" s="14">
        <f>IF($AG890="","",p_factor_productividad*IFERROR(INDEX('ASIGNACIONES'!$M$4:$M$451,MATCH($O890&amp;"|"&amp;$R890&amp;"|"&amp;$AE890,'ASIGNACIONES'!$N$4:$N$451,0)),0)-$AG890)</f>
        <v/>
      </c>
      <c r="AI890" s="11">
        <f>IF($A890="","",IFERROR(INDEX('2_IMPORTAR_EJECUCION'!$F$9:$F$1208,MATCH($AQ890,'2_IMPORTAR_EJECUCION'!$J$9:$J$1208,0)),0))</f>
        <v/>
      </c>
      <c r="AJ890" s="11">
        <f>IF($A890="","",MAX(0,IFERROR(INDEX('2_IMPORTAR_EJECUCION'!$H$9:$H$1208,MATCH($AQ890,'2_IMPORTAR_EJECUCION'!$J$9:$J$1208,0)),0)-$AI890))</f>
        <v/>
      </c>
      <c r="AK890" s="11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IF($H891="","",IFERROR(INDEX('CAT_ACTIVIDADES'!$B$4:$B$8,MATCH($H891,'CAT_ACTIVIDADES'!$A$4:$A$8,0)),"(sin catálogo)"))</f>
        <v/>
      </c>
      <c r="AA891" s="13">
        <f>IF($J891="","",TODAY()-$J891)</f>
        <v/>
      </c>
      <c r="AB891" s="13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IF($AE891="","",IF((IFERROR(INDEX('ASIGNACIONES'!$J$4:$J$451,MATCH($O891&amp;"|"&amp;$R891&amp;"|"&amp;$AE891,'ASIGNACIONES'!$N$4:$N$451,0)),""))=0,"",IFERROR(INDEX('ASIGNACIONES'!$J$4:$J$451,MATCH($O891&amp;"|"&amp;$R891&amp;"|"&amp;$AE891,'ASIGNACIONES'!$N$4:$N$451,0)),"")))</f>
        <v/>
      </c>
      <c r="AG891" s="14">
        <f>IF($AE891="","",SUMIFS('ORDENES'!$M$4:$M$1203,'ORDENES'!$AE$4:$AE$1203,$AE891,'ORDENES'!$O$4:$O$1203,$O891,'ORDENES'!$R$4:$R$1203,$R891))</f>
        <v/>
      </c>
      <c r="AH891" s="14">
        <f>IF($AG891="","",p_factor_productividad*IFERROR(INDEX('ASIGNACIONES'!$M$4:$M$451,MATCH($O891&amp;"|"&amp;$R891&amp;"|"&amp;$AE891,'ASIGNACIONES'!$N$4:$N$451,0)),0)-$AG891)</f>
        <v/>
      </c>
      <c r="AI891" s="11">
        <f>IF($A891="","",IFERROR(INDEX('2_IMPORTAR_EJECUCION'!$F$9:$F$1208,MATCH($AQ891,'2_IMPORTAR_EJECUCION'!$J$9:$J$1208,0)),0))</f>
        <v/>
      </c>
      <c r="AJ891" s="11">
        <f>IF($A891="","",MAX(0,IFERROR(INDEX('2_IMPORTAR_EJECUCION'!$H$9:$H$1208,MATCH($AQ891,'2_IMPORTAR_EJECUCION'!$J$9:$J$1208,0)),0)-$AI891))</f>
        <v/>
      </c>
      <c r="AK891" s="11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IF($H892="","",IFERROR(INDEX('CAT_ACTIVIDADES'!$B$4:$B$8,MATCH($H892,'CAT_ACTIVIDADES'!$A$4:$A$8,0)),"(sin catálogo)"))</f>
        <v/>
      </c>
      <c r="AA892" s="13">
        <f>IF($J892="","",TODAY()-$J892)</f>
        <v/>
      </c>
      <c r="AB892" s="13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IF($AE892="","",IF((IFERROR(INDEX('ASIGNACIONES'!$J$4:$J$451,MATCH($O892&amp;"|"&amp;$R892&amp;"|"&amp;$AE892,'ASIGNACIONES'!$N$4:$N$451,0)),""))=0,"",IFERROR(INDEX('ASIGNACIONES'!$J$4:$J$451,MATCH($O892&amp;"|"&amp;$R892&amp;"|"&amp;$AE892,'ASIGNACIONES'!$N$4:$N$451,0)),"")))</f>
        <v/>
      </c>
      <c r="AG892" s="14">
        <f>IF($AE892="","",SUMIFS('ORDENES'!$M$4:$M$1203,'ORDENES'!$AE$4:$AE$1203,$AE892,'ORDENES'!$O$4:$O$1203,$O892,'ORDENES'!$R$4:$R$1203,$R892))</f>
        <v/>
      </c>
      <c r="AH892" s="14">
        <f>IF($AG892="","",p_factor_productividad*IFERROR(INDEX('ASIGNACIONES'!$M$4:$M$451,MATCH($O892&amp;"|"&amp;$R892&amp;"|"&amp;$AE892,'ASIGNACIONES'!$N$4:$N$451,0)),0)-$AG892)</f>
        <v/>
      </c>
      <c r="AI892" s="11">
        <f>IF($A892="","",IFERROR(INDEX('2_IMPORTAR_EJECUCION'!$F$9:$F$1208,MATCH($AQ892,'2_IMPORTAR_EJECUCION'!$J$9:$J$1208,0)),0))</f>
        <v/>
      </c>
      <c r="AJ892" s="11">
        <f>IF($A892="","",MAX(0,IFERROR(INDEX('2_IMPORTAR_EJECUCION'!$H$9:$H$1208,MATCH($AQ892,'2_IMPORTAR_EJECUCION'!$J$9:$J$1208,0)),0)-$AI892))</f>
        <v/>
      </c>
      <c r="AK892" s="11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IF($H893="","",IFERROR(INDEX('CAT_ACTIVIDADES'!$B$4:$B$8,MATCH($H893,'CAT_ACTIVIDADES'!$A$4:$A$8,0)),"(sin catálogo)"))</f>
        <v/>
      </c>
      <c r="AA893" s="13">
        <f>IF($J893="","",TODAY()-$J893)</f>
        <v/>
      </c>
      <c r="AB893" s="13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IF($AE893="","",IF((IFERROR(INDEX('ASIGNACIONES'!$J$4:$J$451,MATCH($O893&amp;"|"&amp;$R893&amp;"|"&amp;$AE893,'ASIGNACIONES'!$N$4:$N$451,0)),""))=0,"",IFERROR(INDEX('ASIGNACIONES'!$J$4:$J$451,MATCH($O893&amp;"|"&amp;$R893&amp;"|"&amp;$AE893,'ASIGNACIONES'!$N$4:$N$451,0)),"")))</f>
        <v/>
      </c>
      <c r="AG893" s="14">
        <f>IF($AE893="","",SUMIFS('ORDENES'!$M$4:$M$1203,'ORDENES'!$AE$4:$AE$1203,$AE893,'ORDENES'!$O$4:$O$1203,$O893,'ORDENES'!$R$4:$R$1203,$R893))</f>
        <v/>
      </c>
      <c r="AH893" s="14">
        <f>IF($AG893="","",p_factor_productividad*IFERROR(INDEX('ASIGNACIONES'!$M$4:$M$451,MATCH($O893&amp;"|"&amp;$R893&amp;"|"&amp;$AE893,'ASIGNACIONES'!$N$4:$N$451,0)),0)-$AG893)</f>
        <v/>
      </c>
      <c r="AI893" s="11">
        <f>IF($A893="","",IFERROR(INDEX('2_IMPORTAR_EJECUCION'!$F$9:$F$1208,MATCH($AQ893,'2_IMPORTAR_EJECUCION'!$J$9:$J$1208,0)),0))</f>
        <v/>
      </c>
      <c r="AJ893" s="11">
        <f>IF($A893="","",MAX(0,IFERROR(INDEX('2_IMPORTAR_EJECUCION'!$H$9:$H$1208,MATCH($AQ893,'2_IMPORTAR_EJECUCION'!$J$9:$J$1208,0)),0)-$AI893))</f>
        <v/>
      </c>
      <c r="AK893" s="11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IF($H894="","",IFERROR(INDEX('CAT_ACTIVIDADES'!$B$4:$B$8,MATCH($H894,'CAT_ACTIVIDADES'!$A$4:$A$8,0)),"(sin catálogo)"))</f>
        <v/>
      </c>
      <c r="AA894" s="13">
        <f>IF($J894="","",TODAY()-$J894)</f>
        <v/>
      </c>
      <c r="AB894" s="13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IF($AE894="","",IF((IFERROR(INDEX('ASIGNACIONES'!$J$4:$J$451,MATCH($O894&amp;"|"&amp;$R894&amp;"|"&amp;$AE894,'ASIGNACIONES'!$N$4:$N$451,0)),""))=0,"",IFERROR(INDEX('ASIGNACIONES'!$J$4:$J$451,MATCH($O894&amp;"|"&amp;$R894&amp;"|"&amp;$AE894,'ASIGNACIONES'!$N$4:$N$451,0)),"")))</f>
        <v/>
      </c>
      <c r="AG894" s="14">
        <f>IF($AE894="","",SUMIFS('ORDENES'!$M$4:$M$1203,'ORDENES'!$AE$4:$AE$1203,$AE894,'ORDENES'!$O$4:$O$1203,$O894,'ORDENES'!$R$4:$R$1203,$R894))</f>
        <v/>
      </c>
      <c r="AH894" s="14">
        <f>IF($AG894="","",p_factor_productividad*IFERROR(INDEX('ASIGNACIONES'!$M$4:$M$451,MATCH($O894&amp;"|"&amp;$R894&amp;"|"&amp;$AE894,'ASIGNACIONES'!$N$4:$N$451,0)),0)-$AG894)</f>
        <v/>
      </c>
      <c r="AI894" s="11">
        <f>IF($A894="","",IFERROR(INDEX('2_IMPORTAR_EJECUCION'!$F$9:$F$1208,MATCH($AQ894,'2_IMPORTAR_EJECUCION'!$J$9:$J$1208,0)),0))</f>
        <v/>
      </c>
      <c r="AJ894" s="11">
        <f>IF($A894="","",MAX(0,IFERROR(INDEX('2_IMPORTAR_EJECUCION'!$H$9:$H$1208,MATCH($AQ894,'2_IMPORTAR_EJECUCION'!$J$9:$J$1208,0)),0)-$AI894))</f>
        <v/>
      </c>
      <c r="AK894" s="11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IF($H895="","",IFERROR(INDEX('CAT_ACTIVIDADES'!$B$4:$B$8,MATCH($H895,'CAT_ACTIVIDADES'!$A$4:$A$8,0)),"(sin catálogo)"))</f>
        <v/>
      </c>
      <c r="AA895" s="13">
        <f>IF($J895="","",TODAY()-$J895)</f>
        <v/>
      </c>
      <c r="AB895" s="13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IF($AE895="","",IF((IFERROR(INDEX('ASIGNACIONES'!$J$4:$J$451,MATCH($O895&amp;"|"&amp;$R895&amp;"|"&amp;$AE895,'ASIGNACIONES'!$N$4:$N$451,0)),""))=0,"",IFERROR(INDEX('ASIGNACIONES'!$J$4:$J$451,MATCH($O895&amp;"|"&amp;$R895&amp;"|"&amp;$AE895,'ASIGNACIONES'!$N$4:$N$451,0)),"")))</f>
        <v/>
      </c>
      <c r="AG895" s="14">
        <f>IF($AE895="","",SUMIFS('ORDENES'!$M$4:$M$1203,'ORDENES'!$AE$4:$AE$1203,$AE895,'ORDENES'!$O$4:$O$1203,$O895,'ORDENES'!$R$4:$R$1203,$R895))</f>
        <v/>
      </c>
      <c r="AH895" s="14">
        <f>IF($AG895="","",p_factor_productividad*IFERROR(INDEX('ASIGNACIONES'!$M$4:$M$451,MATCH($O895&amp;"|"&amp;$R895&amp;"|"&amp;$AE895,'ASIGNACIONES'!$N$4:$N$451,0)),0)-$AG895)</f>
        <v/>
      </c>
      <c r="AI895" s="11">
        <f>IF($A895="","",IFERROR(INDEX('2_IMPORTAR_EJECUCION'!$F$9:$F$1208,MATCH($AQ895,'2_IMPORTAR_EJECUCION'!$J$9:$J$1208,0)),0))</f>
        <v/>
      </c>
      <c r="AJ895" s="11">
        <f>IF($A895="","",MAX(0,IFERROR(INDEX('2_IMPORTAR_EJECUCION'!$H$9:$H$1208,MATCH($AQ895,'2_IMPORTAR_EJECUCION'!$J$9:$J$1208,0)),0)-$AI895))</f>
        <v/>
      </c>
      <c r="AK895" s="11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IF($H896="","",IFERROR(INDEX('CAT_ACTIVIDADES'!$B$4:$B$8,MATCH($H896,'CAT_ACTIVIDADES'!$A$4:$A$8,0)),"(sin catálogo)"))</f>
        <v/>
      </c>
      <c r="AA896" s="13">
        <f>IF($J896="","",TODAY()-$J896)</f>
        <v/>
      </c>
      <c r="AB896" s="13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IF($AE896="","",IF((IFERROR(INDEX('ASIGNACIONES'!$J$4:$J$451,MATCH($O896&amp;"|"&amp;$R896&amp;"|"&amp;$AE896,'ASIGNACIONES'!$N$4:$N$451,0)),""))=0,"",IFERROR(INDEX('ASIGNACIONES'!$J$4:$J$451,MATCH($O896&amp;"|"&amp;$R896&amp;"|"&amp;$AE896,'ASIGNACIONES'!$N$4:$N$451,0)),"")))</f>
        <v/>
      </c>
      <c r="AG896" s="14">
        <f>IF($AE896="","",SUMIFS('ORDENES'!$M$4:$M$1203,'ORDENES'!$AE$4:$AE$1203,$AE896,'ORDENES'!$O$4:$O$1203,$O896,'ORDENES'!$R$4:$R$1203,$R896))</f>
        <v/>
      </c>
      <c r="AH896" s="14">
        <f>IF($AG896="","",p_factor_productividad*IFERROR(INDEX('ASIGNACIONES'!$M$4:$M$451,MATCH($O896&amp;"|"&amp;$R896&amp;"|"&amp;$AE896,'ASIGNACIONES'!$N$4:$N$451,0)),0)-$AG896)</f>
        <v/>
      </c>
      <c r="AI896" s="11">
        <f>IF($A896="","",IFERROR(INDEX('2_IMPORTAR_EJECUCION'!$F$9:$F$1208,MATCH($AQ896,'2_IMPORTAR_EJECUCION'!$J$9:$J$1208,0)),0))</f>
        <v/>
      </c>
      <c r="AJ896" s="11">
        <f>IF($A896="","",MAX(0,IFERROR(INDEX('2_IMPORTAR_EJECUCION'!$H$9:$H$1208,MATCH($AQ896,'2_IMPORTAR_EJECUCION'!$J$9:$J$1208,0)),0)-$AI896))</f>
        <v/>
      </c>
      <c r="AK896" s="11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IF($H897="","",IFERROR(INDEX('CAT_ACTIVIDADES'!$B$4:$B$8,MATCH($H897,'CAT_ACTIVIDADES'!$A$4:$A$8,0)),"(sin catálogo)"))</f>
        <v/>
      </c>
      <c r="AA897" s="13">
        <f>IF($J897="","",TODAY()-$J897)</f>
        <v/>
      </c>
      <c r="AB897" s="13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IF($AE897="","",IF((IFERROR(INDEX('ASIGNACIONES'!$J$4:$J$451,MATCH($O897&amp;"|"&amp;$R897&amp;"|"&amp;$AE897,'ASIGNACIONES'!$N$4:$N$451,0)),""))=0,"",IFERROR(INDEX('ASIGNACIONES'!$J$4:$J$451,MATCH($O897&amp;"|"&amp;$R897&amp;"|"&amp;$AE897,'ASIGNACIONES'!$N$4:$N$451,0)),"")))</f>
        <v/>
      </c>
      <c r="AG897" s="14">
        <f>IF($AE897="","",SUMIFS('ORDENES'!$M$4:$M$1203,'ORDENES'!$AE$4:$AE$1203,$AE897,'ORDENES'!$O$4:$O$1203,$O897,'ORDENES'!$R$4:$R$1203,$R897))</f>
        <v/>
      </c>
      <c r="AH897" s="14">
        <f>IF($AG897="","",p_factor_productividad*IFERROR(INDEX('ASIGNACIONES'!$M$4:$M$451,MATCH($O897&amp;"|"&amp;$R897&amp;"|"&amp;$AE897,'ASIGNACIONES'!$N$4:$N$451,0)),0)-$AG897)</f>
        <v/>
      </c>
      <c r="AI897" s="11">
        <f>IF($A897="","",IFERROR(INDEX('2_IMPORTAR_EJECUCION'!$F$9:$F$1208,MATCH($AQ897,'2_IMPORTAR_EJECUCION'!$J$9:$J$1208,0)),0))</f>
        <v/>
      </c>
      <c r="AJ897" s="11">
        <f>IF($A897="","",MAX(0,IFERROR(INDEX('2_IMPORTAR_EJECUCION'!$H$9:$H$1208,MATCH($AQ897,'2_IMPORTAR_EJECUCION'!$J$9:$J$1208,0)),0)-$AI897))</f>
        <v/>
      </c>
      <c r="AK897" s="11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IF($H898="","",IFERROR(INDEX('CAT_ACTIVIDADES'!$B$4:$B$8,MATCH($H898,'CAT_ACTIVIDADES'!$A$4:$A$8,0)),"(sin catálogo)"))</f>
        <v/>
      </c>
      <c r="AA898" s="13">
        <f>IF($J898="","",TODAY()-$J898)</f>
        <v/>
      </c>
      <c r="AB898" s="13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IF($AE898="","",IF((IFERROR(INDEX('ASIGNACIONES'!$J$4:$J$451,MATCH($O898&amp;"|"&amp;$R898&amp;"|"&amp;$AE898,'ASIGNACIONES'!$N$4:$N$451,0)),""))=0,"",IFERROR(INDEX('ASIGNACIONES'!$J$4:$J$451,MATCH($O898&amp;"|"&amp;$R898&amp;"|"&amp;$AE898,'ASIGNACIONES'!$N$4:$N$451,0)),"")))</f>
        <v/>
      </c>
      <c r="AG898" s="14">
        <f>IF($AE898="","",SUMIFS('ORDENES'!$M$4:$M$1203,'ORDENES'!$AE$4:$AE$1203,$AE898,'ORDENES'!$O$4:$O$1203,$O898,'ORDENES'!$R$4:$R$1203,$R898))</f>
        <v/>
      </c>
      <c r="AH898" s="14">
        <f>IF($AG898="","",p_factor_productividad*IFERROR(INDEX('ASIGNACIONES'!$M$4:$M$451,MATCH($O898&amp;"|"&amp;$R898&amp;"|"&amp;$AE898,'ASIGNACIONES'!$N$4:$N$451,0)),0)-$AG898)</f>
        <v/>
      </c>
      <c r="AI898" s="11">
        <f>IF($A898="","",IFERROR(INDEX('2_IMPORTAR_EJECUCION'!$F$9:$F$1208,MATCH($AQ898,'2_IMPORTAR_EJECUCION'!$J$9:$J$1208,0)),0))</f>
        <v/>
      </c>
      <c r="AJ898" s="11">
        <f>IF($A898="","",MAX(0,IFERROR(INDEX('2_IMPORTAR_EJECUCION'!$H$9:$H$1208,MATCH($AQ898,'2_IMPORTAR_EJECUCION'!$J$9:$J$1208,0)),0)-$AI898))</f>
        <v/>
      </c>
      <c r="AK898" s="11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IF($H899="","",IFERROR(INDEX('CAT_ACTIVIDADES'!$B$4:$B$8,MATCH($H899,'CAT_ACTIVIDADES'!$A$4:$A$8,0)),"(sin catálogo)"))</f>
        <v/>
      </c>
      <c r="AA899" s="13">
        <f>IF($J899="","",TODAY()-$J899)</f>
        <v/>
      </c>
      <c r="AB899" s="13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IF($AE899="","",IF((IFERROR(INDEX('ASIGNACIONES'!$J$4:$J$451,MATCH($O899&amp;"|"&amp;$R899&amp;"|"&amp;$AE899,'ASIGNACIONES'!$N$4:$N$451,0)),""))=0,"",IFERROR(INDEX('ASIGNACIONES'!$J$4:$J$451,MATCH($O899&amp;"|"&amp;$R899&amp;"|"&amp;$AE899,'ASIGNACIONES'!$N$4:$N$451,0)),"")))</f>
        <v/>
      </c>
      <c r="AG899" s="14">
        <f>IF($AE899="","",SUMIFS('ORDENES'!$M$4:$M$1203,'ORDENES'!$AE$4:$AE$1203,$AE899,'ORDENES'!$O$4:$O$1203,$O899,'ORDENES'!$R$4:$R$1203,$R899))</f>
        <v/>
      </c>
      <c r="AH899" s="14">
        <f>IF($AG899="","",p_factor_productividad*IFERROR(INDEX('ASIGNACIONES'!$M$4:$M$451,MATCH($O899&amp;"|"&amp;$R899&amp;"|"&amp;$AE899,'ASIGNACIONES'!$N$4:$N$451,0)),0)-$AG899)</f>
        <v/>
      </c>
      <c r="AI899" s="11">
        <f>IF($A899="","",IFERROR(INDEX('2_IMPORTAR_EJECUCION'!$F$9:$F$1208,MATCH($AQ899,'2_IMPORTAR_EJECUCION'!$J$9:$J$1208,0)),0))</f>
        <v/>
      </c>
      <c r="AJ899" s="11">
        <f>IF($A899="","",MAX(0,IFERROR(INDEX('2_IMPORTAR_EJECUCION'!$H$9:$H$1208,MATCH($AQ899,'2_IMPORTAR_EJECUCION'!$J$9:$J$1208,0)),0)-$AI899))</f>
        <v/>
      </c>
      <c r="AK899" s="11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IF($H900="","",IFERROR(INDEX('CAT_ACTIVIDADES'!$B$4:$B$8,MATCH($H900,'CAT_ACTIVIDADES'!$A$4:$A$8,0)),"(sin catálogo)"))</f>
        <v/>
      </c>
      <c r="AA900" s="13">
        <f>IF($J900="","",TODAY()-$J900)</f>
        <v/>
      </c>
      <c r="AB900" s="13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IF($AE900="","",IF((IFERROR(INDEX('ASIGNACIONES'!$J$4:$J$451,MATCH($O900&amp;"|"&amp;$R900&amp;"|"&amp;$AE900,'ASIGNACIONES'!$N$4:$N$451,0)),""))=0,"",IFERROR(INDEX('ASIGNACIONES'!$J$4:$J$451,MATCH($O900&amp;"|"&amp;$R900&amp;"|"&amp;$AE900,'ASIGNACIONES'!$N$4:$N$451,0)),"")))</f>
        <v/>
      </c>
      <c r="AG900" s="14">
        <f>IF($AE900="","",SUMIFS('ORDENES'!$M$4:$M$1203,'ORDENES'!$AE$4:$AE$1203,$AE900,'ORDENES'!$O$4:$O$1203,$O900,'ORDENES'!$R$4:$R$1203,$R900))</f>
        <v/>
      </c>
      <c r="AH900" s="14">
        <f>IF($AG900="","",p_factor_productividad*IFERROR(INDEX('ASIGNACIONES'!$M$4:$M$451,MATCH($O900&amp;"|"&amp;$R900&amp;"|"&amp;$AE900,'ASIGNACIONES'!$N$4:$N$451,0)),0)-$AG900)</f>
        <v/>
      </c>
      <c r="AI900" s="11">
        <f>IF($A900="","",IFERROR(INDEX('2_IMPORTAR_EJECUCION'!$F$9:$F$1208,MATCH($AQ900,'2_IMPORTAR_EJECUCION'!$J$9:$J$1208,0)),0))</f>
        <v/>
      </c>
      <c r="AJ900" s="11">
        <f>IF($A900="","",MAX(0,IFERROR(INDEX('2_IMPORTAR_EJECUCION'!$H$9:$H$1208,MATCH($AQ900,'2_IMPORTAR_EJECUCION'!$J$9:$J$1208,0)),0)-$AI900))</f>
        <v/>
      </c>
      <c r="AK900" s="11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IF($H901="","",IFERROR(INDEX('CAT_ACTIVIDADES'!$B$4:$B$8,MATCH($H901,'CAT_ACTIVIDADES'!$A$4:$A$8,0)),"(sin catálogo)"))</f>
        <v/>
      </c>
      <c r="AA901" s="13">
        <f>IF($J901="","",TODAY()-$J901)</f>
        <v/>
      </c>
      <c r="AB901" s="13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IF($AE901="","",IF((IFERROR(INDEX('ASIGNACIONES'!$J$4:$J$451,MATCH($O901&amp;"|"&amp;$R901&amp;"|"&amp;$AE901,'ASIGNACIONES'!$N$4:$N$451,0)),""))=0,"",IFERROR(INDEX('ASIGNACIONES'!$J$4:$J$451,MATCH($O901&amp;"|"&amp;$R901&amp;"|"&amp;$AE901,'ASIGNACIONES'!$N$4:$N$451,0)),"")))</f>
        <v/>
      </c>
      <c r="AG901" s="14">
        <f>IF($AE901="","",SUMIFS('ORDENES'!$M$4:$M$1203,'ORDENES'!$AE$4:$AE$1203,$AE901,'ORDENES'!$O$4:$O$1203,$O901,'ORDENES'!$R$4:$R$1203,$R901))</f>
        <v/>
      </c>
      <c r="AH901" s="14">
        <f>IF($AG901="","",p_factor_productividad*IFERROR(INDEX('ASIGNACIONES'!$M$4:$M$451,MATCH($O901&amp;"|"&amp;$R901&amp;"|"&amp;$AE901,'ASIGNACIONES'!$N$4:$N$451,0)),0)-$AG901)</f>
        <v/>
      </c>
      <c r="AI901" s="11">
        <f>IF($A901="","",IFERROR(INDEX('2_IMPORTAR_EJECUCION'!$F$9:$F$1208,MATCH($AQ901,'2_IMPORTAR_EJECUCION'!$J$9:$J$1208,0)),0))</f>
        <v/>
      </c>
      <c r="AJ901" s="11">
        <f>IF($A901="","",MAX(0,IFERROR(INDEX('2_IMPORTAR_EJECUCION'!$H$9:$H$1208,MATCH($AQ901,'2_IMPORTAR_EJECUCION'!$J$9:$J$1208,0)),0)-$AI901))</f>
        <v/>
      </c>
      <c r="AK901" s="11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IF($H902="","",IFERROR(INDEX('CAT_ACTIVIDADES'!$B$4:$B$8,MATCH($H902,'CAT_ACTIVIDADES'!$A$4:$A$8,0)),"(sin catálogo)"))</f>
        <v/>
      </c>
      <c r="AA902" s="13">
        <f>IF($J902="","",TODAY()-$J902)</f>
        <v/>
      </c>
      <c r="AB902" s="13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IF($AE902="","",IF((IFERROR(INDEX('ASIGNACIONES'!$J$4:$J$451,MATCH($O902&amp;"|"&amp;$R902&amp;"|"&amp;$AE902,'ASIGNACIONES'!$N$4:$N$451,0)),""))=0,"",IFERROR(INDEX('ASIGNACIONES'!$J$4:$J$451,MATCH($O902&amp;"|"&amp;$R902&amp;"|"&amp;$AE902,'ASIGNACIONES'!$N$4:$N$451,0)),"")))</f>
        <v/>
      </c>
      <c r="AG902" s="14">
        <f>IF($AE902="","",SUMIFS('ORDENES'!$M$4:$M$1203,'ORDENES'!$AE$4:$AE$1203,$AE902,'ORDENES'!$O$4:$O$1203,$O902,'ORDENES'!$R$4:$R$1203,$R902))</f>
        <v/>
      </c>
      <c r="AH902" s="14">
        <f>IF($AG902="","",p_factor_productividad*IFERROR(INDEX('ASIGNACIONES'!$M$4:$M$451,MATCH($O902&amp;"|"&amp;$R902&amp;"|"&amp;$AE902,'ASIGNACIONES'!$N$4:$N$451,0)),0)-$AG902)</f>
        <v/>
      </c>
      <c r="AI902" s="11">
        <f>IF($A902="","",IFERROR(INDEX('2_IMPORTAR_EJECUCION'!$F$9:$F$1208,MATCH($AQ902,'2_IMPORTAR_EJECUCION'!$J$9:$J$1208,0)),0))</f>
        <v/>
      </c>
      <c r="AJ902" s="11">
        <f>IF($A902="","",MAX(0,IFERROR(INDEX('2_IMPORTAR_EJECUCION'!$H$9:$H$1208,MATCH($AQ902,'2_IMPORTAR_EJECUCION'!$J$9:$J$1208,0)),0)-$AI902))</f>
        <v/>
      </c>
      <c r="AK902" s="11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IF($H903="","",IFERROR(INDEX('CAT_ACTIVIDADES'!$B$4:$B$8,MATCH($H903,'CAT_ACTIVIDADES'!$A$4:$A$8,0)),"(sin catálogo)"))</f>
        <v/>
      </c>
      <c r="AA903" s="13">
        <f>IF($J903="","",TODAY()-$J903)</f>
        <v/>
      </c>
      <c r="AB903" s="13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IF($AE903="","",IF((IFERROR(INDEX('ASIGNACIONES'!$J$4:$J$451,MATCH($O903&amp;"|"&amp;$R903&amp;"|"&amp;$AE903,'ASIGNACIONES'!$N$4:$N$451,0)),""))=0,"",IFERROR(INDEX('ASIGNACIONES'!$J$4:$J$451,MATCH($O903&amp;"|"&amp;$R903&amp;"|"&amp;$AE903,'ASIGNACIONES'!$N$4:$N$451,0)),"")))</f>
        <v/>
      </c>
      <c r="AG903" s="14">
        <f>IF($AE903="","",SUMIFS('ORDENES'!$M$4:$M$1203,'ORDENES'!$AE$4:$AE$1203,$AE903,'ORDENES'!$O$4:$O$1203,$O903,'ORDENES'!$R$4:$R$1203,$R903))</f>
        <v/>
      </c>
      <c r="AH903" s="14">
        <f>IF($AG903="","",p_factor_productividad*IFERROR(INDEX('ASIGNACIONES'!$M$4:$M$451,MATCH($O903&amp;"|"&amp;$R903&amp;"|"&amp;$AE903,'ASIGNACIONES'!$N$4:$N$451,0)),0)-$AG903)</f>
        <v/>
      </c>
      <c r="AI903" s="11">
        <f>IF($A903="","",IFERROR(INDEX('2_IMPORTAR_EJECUCION'!$F$9:$F$1208,MATCH($AQ903,'2_IMPORTAR_EJECUCION'!$J$9:$J$1208,0)),0))</f>
        <v/>
      </c>
      <c r="AJ903" s="11">
        <f>IF($A903="","",MAX(0,IFERROR(INDEX('2_IMPORTAR_EJECUCION'!$H$9:$H$1208,MATCH($AQ903,'2_IMPORTAR_EJECUCION'!$J$9:$J$1208,0)),0)-$AI903))</f>
        <v/>
      </c>
      <c r="AK903" s="11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IF($H904="","",IFERROR(INDEX('CAT_ACTIVIDADES'!$B$4:$B$8,MATCH($H904,'CAT_ACTIVIDADES'!$A$4:$A$8,0)),"(sin catálogo)"))</f>
        <v/>
      </c>
      <c r="AA904" s="13">
        <f>IF($J904="","",TODAY()-$J904)</f>
        <v/>
      </c>
      <c r="AB904" s="13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IF($AE904="","",IF((IFERROR(INDEX('ASIGNACIONES'!$J$4:$J$451,MATCH($O904&amp;"|"&amp;$R904&amp;"|"&amp;$AE904,'ASIGNACIONES'!$N$4:$N$451,0)),""))=0,"",IFERROR(INDEX('ASIGNACIONES'!$J$4:$J$451,MATCH($O904&amp;"|"&amp;$R904&amp;"|"&amp;$AE904,'ASIGNACIONES'!$N$4:$N$451,0)),"")))</f>
        <v/>
      </c>
      <c r="AG904" s="14">
        <f>IF($AE904="","",SUMIFS('ORDENES'!$M$4:$M$1203,'ORDENES'!$AE$4:$AE$1203,$AE904,'ORDENES'!$O$4:$O$1203,$O904,'ORDENES'!$R$4:$R$1203,$R904))</f>
        <v/>
      </c>
      <c r="AH904" s="14">
        <f>IF($AG904="","",p_factor_productividad*IFERROR(INDEX('ASIGNACIONES'!$M$4:$M$451,MATCH($O904&amp;"|"&amp;$R904&amp;"|"&amp;$AE904,'ASIGNACIONES'!$N$4:$N$451,0)),0)-$AG904)</f>
        <v/>
      </c>
      <c r="AI904" s="11">
        <f>IF($A904="","",IFERROR(INDEX('2_IMPORTAR_EJECUCION'!$F$9:$F$1208,MATCH($AQ904,'2_IMPORTAR_EJECUCION'!$J$9:$J$1208,0)),0))</f>
        <v/>
      </c>
      <c r="AJ904" s="11">
        <f>IF($A904="","",MAX(0,IFERROR(INDEX('2_IMPORTAR_EJECUCION'!$H$9:$H$1208,MATCH($AQ904,'2_IMPORTAR_EJECUCION'!$J$9:$J$1208,0)),0)-$AI904))</f>
        <v/>
      </c>
      <c r="AK904" s="11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IF($H905="","",IFERROR(INDEX('CAT_ACTIVIDADES'!$B$4:$B$8,MATCH($H905,'CAT_ACTIVIDADES'!$A$4:$A$8,0)),"(sin catálogo)"))</f>
        <v/>
      </c>
      <c r="AA905" s="13">
        <f>IF($J905="","",TODAY()-$J905)</f>
        <v/>
      </c>
      <c r="AB905" s="13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IF($AE905="","",IF((IFERROR(INDEX('ASIGNACIONES'!$J$4:$J$451,MATCH($O905&amp;"|"&amp;$R905&amp;"|"&amp;$AE905,'ASIGNACIONES'!$N$4:$N$451,0)),""))=0,"",IFERROR(INDEX('ASIGNACIONES'!$J$4:$J$451,MATCH($O905&amp;"|"&amp;$R905&amp;"|"&amp;$AE905,'ASIGNACIONES'!$N$4:$N$451,0)),"")))</f>
        <v/>
      </c>
      <c r="AG905" s="14">
        <f>IF($AE905="","",SUMIFS('ORDENES'!$M$4:$M$1203,'ORDENES'!$AE$4:$AE$1203,$AE905,'ORDENES'!$O$4:$O$1203,$O905,'ORDENES'!$R$4:$R$1203,$R905))</f>
        <v/>
      </c>
      <c r="AH905" s="14">
        <f>IF($AG905="","",p_factor_productividad*IFERROR(INDEX('ASIGNACIONES'!$M$4:$M$451,MATCH($O905&amp;"|"&amp;$R905&amp;"|"&amp;$AE905,'ASIGNACIONES'!$N$4:$N$451,0)),0)-$AG905)</f>
        <v/>
      </c>
      <c r="AI905" s="11">
        <f>IF($A905="","",IFERROR(INDEX('2_IMPORTAR_EJECUCION'!$F$9:$F$1208,MATCH($AQ905,'2_IMPORTAR_EJECUCION'!$J$9:$J$1208,0)),0))</f>
        <v/>
      </c>
      <c r="AJ905" s="11">
        <f>IF($A905="","",MAX(0,IFERROR(INDEX('2_IMPORTAR_EJECUCION'!$H$9:$H$1208,MATCH($AQ905,'2_IMPORTAR_EJECUCION'!$J$9:$J$1208,0)),0)-$AI905))</f>
        <v/>
      </c>
      <c r="AK905" s="11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IF($H906="","",IFERROR(INDEX('CAT_ACTIVIDADES'!$B$4:$B$8,MATCH($H906,'CAT_ACTIVIDADES'!$A$4:$A$8,0)),"(sin catálogo)"))</f>
        <v/>
      </c>
      <c r="AA906" s="13">
        <f>IF($J906="","",TODAY()-$J906)</f>
        <v/>
      </c>
      <c r="AB906" s="13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IF($AE906="","",IF((IFERROR(INDEX('ASIGNACIONES'!$J$4:$J$451,MATCH($O906&amp;"|"&amp;$R906&amp;"|"&amp;$AE906,'ASIGNACIONES'!$N$4:$N$451,0)),""))=0,"",IFERROR(INDEX('ASIGNACIONES'!$J$4:$J$451,MATCH($O906&amp;"|"&amp;$R906&amp;"|"&amp;$AE906,'ASIGNACIONES'!$N$4:$N$451,0)),"")))</f>
        <v/>
      </c>
      <c r="AG906" s="14">
        <f>IF($AE906="","",SUMIFS('ORDENES'!$M$4:$M$1203,'ORDENES'!$AE$4:$AE$1203,$AE906,'ORDENES'!$O$4:$O$1203,$O906,'ORDENES'!$R$4:$R$1203,$R906))</f>
        <v/>
      </c>
      <c r="AH906" s="14">
        <f>IF($AG906="","",p_factor_productividad*IFERROR(INDEX('ASIGNACIONES'!$M$4:$M$451,MATCH($O906&amp;"|"&amp;$R906&amp;"|"&amp;$AE906,'ASIGNACIONES'!$N$4:$N$451,0)),0)-$AG906)</f>
        <v/>
      </c>
      <c r="AI906" s="11">
        <f>IF($A906="","",IFERROR(INDEX('2_IMPORTAR_EJECUCION'!$F$9:$F$1208,MATCH($AQ906,'2_IMPORTAR_EJECUCION'!$J$9:$J$1208,0)),0))</f>
        <v/>
      </c>
      <c r="AJ906" s="11">
        <f>IF($A906="","",MAX(0,IFERROR(INDEX('2_IMPORTAR_EJECUCION'!$H$9:$H$1208,MATCH($AQ906,'2_IMPORTAR_EJECUCION'!$J$9:$J$1208,0)),0)-$AI906))</f>
        <v/>
      </c>
      <c r="AK906" s="11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IF($H907="","",IFERROR(INDEX('CAT_ACTIVIDADES'!$B$4:$B$8,MATCH($H907,'CAT_ACTIVIDADES'!$A$4:$A$8,0)),"(sin catálogo)"))</f>
        <v/>
      </c>
      <c r="AA907" s="13">
        <f>IF($J907="","",TODAY()-$J907)</f>
        <v/>
      </c>
      <c r="AB907" s="13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IF($AE907="","",IF((IFERROR(INDEX('ASIGNACIONES'!$J$4:$J$451,MATCH($O907&amp;"|"&amp;$R907&amp;"|"&amp;$AE907,'ASIGNACIONES'!$N$4:$N$451,0)),""))=0,"",IFERROR(INDEX('ASIGNACIONES'!$J$4:$J$451,MATCH($O907&amp;"|"&amp;$R907&amp;"|"&amp;$AE907,'ASIGNACIONES'!$N$4:$N$451,0)),"")))</f>
        <v/>
      </c>
      <c r="AG907" s="14">
        <f>IF($AE907="","",SUMIFS('ORDENES'!$M$4:$M$1203,'ORDENES'!$AE$4:$AE$1203,$AE907,'ORDENES'!$O$4:$O$1203,$O907,'ORDENES'!$R$4:$R$1203,$R907))</f>
        <v/>
      </c>
      <c r="AH907" s="14">
        <f>IF($AG907="","",p_factor_productividad*IFERROR(INDEX('ASIGNACIONES'!$M$4:$M$451,MATCH($O907&amp;"|"&amp;$R907&amp;"|"&amp;$AE907,'ASIGNACIONES'!$N$4:$N$451,0)),0)-$AG907)</f>
        <v/>
      </c>
      <c r="AI907" s="11">
        <f>IF($A907="","",IFERROR(INDEX('2_IMPORTAR_EJECUCION'!$F$9:$F$1208,MATCH($AQ907,'2_IMPORTAR_EJECUCION'!$J$9:$J$1208,0)),0))</f>
        <v/>
      </c>
      <c r="AJ907" s="11">
        <f>IF($A907="","",MAX(0,IFERROR(INDEX('2_IMPORTAR_EJECUCION'!$H$9:$H$1208,MATCH($AQ907,'2_IMPORTAR_EJECUCION'!$J$9:$J$1208,0)),0)-$AI907))</f>
        <v/>
      </c>
      <c r="AK907" s="11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IF($H908="","",IFERROR(INDEX('CAT_ACTIVIDADES'!$B$4:$B$8,MATCH($H908,'CAT_ACTIVIDADES'!$A$4:$A$8,0)),"(sin catálogo)"))</f>
        <v/>
      </c>
      <c r="AA908" s="13">
        <f>IF($J908="","",TODAY()-$J908)</f>
        <v/>
      </c>
      <c r="AB908" s="13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IF($AE908="","",IF((IFERROR(INDEX('ASIGNACIONES'!$J$4:$J$451,MATCH($O908&amp;"|"&amp;$R908&amp;"|"&amp;$AE908,'ASIGNACIONES'!$N$4:$N$451,0)),""))=0,"",IFERROR(INDEX('ASIGNACIONES'!$J$4:$J$451,MATCH($O908&amp;"|"&amp;$R908&amp;"|"&amp;$AE908,'ASIGNACIONES'!$N$4:$N$451,0)),"")))</f>
        <v/>
      </c>
      <c r="AG908" s="14">
        <f>IF($AE908="","",SUMIFS('ORDENES'!$M$4:$M$1203,'ORDENES'!$AE$4:$AE$1203,$AE908,'ORDENES'!$O$4:$O$1203,$O908,'ORDENES'!$R$4:$R$1203,$R908))</f>
        <v/>
      </c>
      <c r="AH908" s="14">
        <f>IF($AG908="","",p_factor_productividad*IFERROR(INDEX('ASIGNACIONES'!$M$4:$M$451,MATCH($O908&amp;"|"&amp;$R908&amp;"|"&amp;$AE908,'ASIGNACIONES'!$N$4:$N$451,0)),0)-$AG908)</f>
        <v/>
      </c>
      <c r="AI908" s="11">
        <f>IF($A908="","",IFERROR(INDEX('2_IMPORTAR_EJECUCION'!$F$9:$F$1208,MATCH($AQ908,'2_IMPORTAR_EJECUCION'!$J$9:$J$1208,0)),0))</f>
        <v/>
      </c>
      <c r="AJ908" s="11">
        <f>IF($A908="","",MAX(0,IFERROR(INDEX('2_IMPORTAR_EJECUCION'!$H$9:$H$1208,MATCH($AQ908,'2_IMPORTAR_EJECUCION'!$J$9:$J$1208,0)),0)-$AI908))</f>
        <v/>
      </c>
      <c r="AK908" s="11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IF($H909="","",IFERROR(INDEX('CAT_ACTIVIDADES'!$B$4:$B$8,MATCH($H909,'CAT_ACTIVIDADES'!$A$4:$A$8,0)),"(sin catálogo)"))</f>
        <v/>
      </c>
      <c r="AA909" s="13">
        <f>IF($J909="","",TODAY()-$J909)</f>
        <v/>
      </c>
      <c r="AB909" s="13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IF($AE909="","",IF((IFERROR(INDEX('ASIGNACIONES'!$J$4:$J$451,MATCH($O909&amp;"|"&amp;$R909&amp;"|"&amp;$AE909,'ASIGNACIONES'!$N$4:$N$451,0)),""))=0,"",IFERROR(INDEX('ASIGNACIONES'!$J$4:$J$451,MATCH($O909&amp;"|"&amp;$R909&amp;"|"&amp;$AE909,'ASIGNACIONES'!$N$4:$N$451,0)),"")))</f>
        <v/>
      </c>
      <c r="AG909" s="14">
        <f>IF($AE909="","",SUMIFS('ORDENES'!$M$4:$M$1203,'ORDENES'!$AE$4:$AE$1203,$AE909,'ORDENES'!$O$4:$O$1203,$O909,'ORDENES'!$R$4:$R$1203,$R909))</f>
        <v/>
      </c>
      <c r="AH909" s="14">
        <f>IF($AG909="","",p_factor_productividad*IFERROR(INDEX('ASIGNACIONES'!$M$4:$M$451,MATCH($O909&amp;"|"&amp;$R909&amp;"|"&amp;$AE909,'ASIGNACIONES'!$N$4:$N$451,0)),0)-$AG909)</f>
        <v/>
      </c>
      <c r="AI909" s="11">
        <f>IF($A909="","",IFERROR(INDEX('2_IMPORTAR_EJECUCION'!$F$9:$F$1208,MATCH($AQ909,'2_IMPORTAR_EJECUCION'!$J$9:$J$1208,0)),0))</f>
        <v/>
      </c>
      <c r="AJ909" s="11">
        <f>IF($A909="","",MAX(0,IFERROR(INDEX('2_IMPORTAR_EJECUCION'!$H$9:$H$1208,MATCH($AQ909,'2_IMPORTAR_EJECUCION'!$J$9:$J$1208,0)),0)-$AI909))</f>
        <v/>
      </c>
      <c r="AK909" s="11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IF($H910="","",IFERROR(INDEX('CAT_ACTIVIDADES'!$B$4:$B$8,MATCH($H910,'CAT_ACTIVIDADES'!$A$4:$A$8,0)),"(sin catálogo)"))</f>
        <v/>
      </c>
      <c r="AA910" s="13">
        <f>IF($J910="","",TODAY()-$J910)</f>
        <v/>
      </c>
      <c r="AB910" s="13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IF($AE910="","",IF((IFERROR(INDEX('ASIGNACIONES'!$J$4:$J$451,MATCH($O910&amp;"|"&amp;$R910&amp;"|"&amp;$AE910,'ASIGNACIONES'!$N$4:$N$451,0)),""))=0,"",IFERROR(INDEX('ASIGNACIONES'!$J$4:$J$451,MATCH($O910&amp;"|"&amp;$R910&amp;"|"&amp;$AE910,'ASIGNACIONES'!$N$4:$N$451,0)),"")))</f>
        <v/>
      </c>
      <c r="AG910" s="14">
        <f>IF($AE910="","",SUMIFS('ORDENES'!$M$4:$M$1203,'ORDENES'!$AE$4:$AE$1203,$AE910,'ORDENES'!$O$4:$O$1203,$O910,'ORDENES'!$R$4:$R$1203,$R910))</f>
        <v/>
      </c>
      <c r="AH910" s="14">
        <f>IF($AG910="","",p_factor_productividad*IFERROR(INDEX('ASIGNACIONES'!$M$4:$M$451,MATCH($O910&amp;"|"&amp;$R910&amp;"|"&amp;$AE910,'ASIGNACIONES'!$N$4:$N$451,0)),0)-$AG910)</f>
        <v/>
      </c>
      <c r="AI910" s="11">
        <f>IF($A910="","",IFERROR(INDEX('2_IMPORTAR_EJECUCION'!$F$9:$F$1208,MATCH($AQ910,'2_IMPORTAR_EJECUCION'!$J$9:$J$1208,0)),0))</f>
        <v/>
      </c>
      <c r="AJ910" s="11">
        <f>IF($A910="","",MAX(0,IFERROR(INDEX('2_IMPORTAR_EJECUCION'!$H$9:$H$1208,MATCH($AQ910,'2_IMPORTAR_EJECUCION'!$J$9:$J$1208,0)),0)-$AI910))</f>
        <v/>
      </c>
      <c r="AK910" s="11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IF($H911="","",IFERROR(INDEX('CAT_ACTIVIDADES'!$B$4:$B$8,MATCH($H911,'CAT_ACTIVIDADES'!$A$4:$A$8,0)),"(sin catálogo)"))</f>
        <v/>
      </c>
      <c r="AA911" s="13">
        <f>IF($J911="","",TODAY()-$J911)</f>
        <v/>
      </c>
      <c r="AB911" s="13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IF($AE911="","",IF((IFERROR(INDEX('ASIGNACIONES'!$J$4:$J$451,MATCH($O911&amp;"|"&amp;$R911&amp;"|"&amp;$AE911,'ASIGNACIONES'!$N$4:$N$451,0)),""))=0,"",IFERROR(INDEX('ASIGNACIONES'!$J$4:$J$451,MATCH($O911&amp;"|"&amp;$R911&amp;"|"&amp;$AE911,'ASIGNACIONES'!$N$4:$N$451,0)),"")))</f>
        <v/>
      </c>
      <c r="AG911" s="14">
        <f>IF($AE911="","",SUMIFS('ORDENES'!$M$4:$M$1203,'ORDENES'!$AE$4:$AE$1203,$AE911,'ORDENES'!$O$4:$O$1203,$O911,'ORDENES'!$R$4:$R$1203,$R911))</f>
        <v/>
      </c>
      <c r="AH911" s="14">
        <f>IF($AG911="","",p_factor_productividad*IFERROR(INDEX('ASIGNACIONES'!$M$4:$M$451,MATCH($O911&amp;"|"&amp;$R911&amp;"|"&amp;$AE911,'ASIGNACIONES'!$N$4:$N$451,0)),0)-$AG911)</f>
        <v/>
      </c>
      <c r="AI911" s="11">
        <f>IF($A911="","",IFERROR(INDEX('2_IMPORTAR_EJECUCION'!$F$9:$F$1208,MATCH($AQ911,'2_IMPORTAR_EJECUCION'!$J$9:$J$1208,0)),0))</f>
        <v/>
      </c>
      <c r="AJ911" s="11">
        <f>IF($A911="","",MAX(0,IFERROR(INDEX('2_IMPORTAR_EJECUCION'!$H$9:$H$1208,MATCH($AQ911,'2_IMPORTAR_EJECUCION'!$J$9:$J$1208,0)),0)-$AI911))</f>
        <v/>
      </c>
      <c r="AK911" s="11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IF($H912="","",IFERROR(INDEX('CAT_ACTIVIDADES'!$B$4:$B$8,MATCH($H912,'CAT_ACTIVIDADES'!$A$4:$A$8,0)),"(sin catálogo)"))</f>
        <v/>
      </c>
      <c r="AA912" s="13">
        <f>IF($J912="","",TODAY()-$J912)</f>
        <v/>
      </c>
      <c r="AB912" s="13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IF($AE912="","",IF((IFERROR(INDEX('ASIGNACIONES'!$J$4:$J$451,MATCH($O912&amp;"|"&amp;$R912&amp;"|"&amp;$AE912,'ASIGNACIONES'!$N$4:$N$451,0)),""))=0,"",IFERROR(INDEX('ASIGNACIONES'!$J$4:$J$451,MATCH($O912&amp;"|"&amp;$R912&amp;"|"&amp;$AE912,'ASIGNACIONES'!$N$4:$N$451,0)),"")))</f>
        <v/>
      </c>
      <c r="AG912" s="14">
        <f>IF($AE912="","",SUMIFS('ORDENES'!$M$4:$M$1203,'ORDENES'!$AE$4:$AE$1203,$AE912,'ORDENES'!$O$4:$O$1203,$O912,'ORDENES'!$R$4:$R$1203,$R912))</f>
        <v/>
      </c>
      <c r="AH912" s="14">
        <f>IF($AG912="","",p_factor_productividad*IFERROR(INDEX('ASIGNACIONES'!$M$4:$M$451,MATCH($O912&amp;"|"&amp;$R912&amp;"|"&amp;$AE912,'ASIGNACIONES'!$N$4:$N$451,0)),0)-$AG912)</f>
        <v/>
      </c>
      <c r="AI912" s="11">
        <f>IF($A912="","",IFERROR(INDEX('2_IMPORTAR_EJECUCION'!$F$9:$F$1208,MATCH($AQ912,'2_IMPORTAR_EJECUCION'!$J$9:$J$1208,0)),0))</f>
        <v/>
      </c>
      <c r="AJ912" s="11">
        <f>IF($A912="","",MAX(0,IFERROR(INDEX('2_IMPORTAR_EJECUCION'!$H$9:$H$1208,MATCH($AQ912,'2_IMPORTAR_EJECUCION'!$J$9:$J$1208,0)),0)-$AI912))</f>
        <v/>
      </c>
      <c r="AK912" s="11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IF($H913="","",IFERROR(INDEX('CAT_ACTIVIDADES'!$B$4:$B$8,MATCH($H913,'CAT_ACTIVIDADES'!$A$4:$A$8,0)),"(sin catálogo)"))</f>
        <v/>
      </c>
      <c r="AA913" s="13">
        <f>IF($J913="","",TODAY()-$J913)</f>
        <v/>
      </c>
      <c r="AB913" s="13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IF($AE913="","",IF((IFERROR(INDEX('ASIGNACIONES'!$J$4:$J$451,MATCH($O913&amp;"|"&amp;$R913&amp;"|"&amp;$AE913,'ASIGNACIONES'!$N$4:$N$451,0)),""))=0,"",IFERROR(INDEX('ASIGNACIONES'!$J$4:$J$451,MATCH($O913&amp;"|"&amp;$R913&amp;"|"&amp;$AE913,'ASIGNACIONES'!$N$4:$N$451,0)),"")))</f>
        <v/>
      </c>
      <c r="AG913" s="14">
        <f>IF($AE913="","",SUMIFS('ORDENES'!$M$4:$M$1203,'ORDENES'!$AE$4:$AE$1203,$AE913,'ORDENES'!$O$4:$O$1203,$O913,'ORDENES'!$R$4:$R$1203,$R913))</f>
        <v/>
      </c>
      <c r="AH913" s="14">
        <f>IF($AG913="","",p_factor_productividad*IFERROR(INDEX('ASIGNACIONES'!$M$4:$M$451,MATCH($O913&amp;"|"&amp;$R913&amp;"|"&amp;$AE913,'ASIGNACIONES'!$N$4:$N$451,0)),0)-$AG913)</f>
        <v/>
      </c>
      <c r="AI913" s="11">
        <f>IF($A913="","",IFERROR(INDEX('2_IMPORTAR_EJECUCION'!$F$9:$F$1208,MATCH($AQ913,'2_IMPORTAR_EJECUCION'!$J$9:$J$1208,0)),0))</f>
        <v/>
      </c>
      <c r="AJ913" s="11">
        <f>IF($A913="","",MAX(0,IFERROR(INDEX('2_IMPORTAR_EJECUCION'!$H$9:$H$1208,MATCH($AQ913,'2_IMPORTAR_EJECUCION'!$J$9:$J$1208,0)),0)-$AI913))</f>
        <v/>
      </c>
      <c r="AK913" s="11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IF($H914="","",IFERROR(INDEX('CAT_ACTIVIDADES'!$B$4:$B$8,MATCH($H914,'CAT_ACTIVIDADES'!$A$4:$A$8,0)),"(sin catálogo)"))</f>
        <v/>
      </c>
      <c r="AA914" s="13">
        <f>IF($J914="","",TODAY()-$J914)</f>
        <v/>
      </c>
      <c r="AB914" s="13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IF($AE914="","",IF((IFERROR(INDEX('ASIGNACIONES'!$J$4:$J$451,MATCH($O914&amp;"|"&amp;$R914&amp;"|"&amp;$AE914,'ASIGNACIONES'!$N$4:$N$451,0)),""))=0,"",IFERROR(INDEX('ASIGNACIONES'!$J$4:$J$451,MATCH($O914&amp;"|"&amp;$R914&amp;"|"&amp;$AE914,'ASIGNACIONES'!$N$4:$N$451,0)),"")))</f>
        <v/>
      </c>
      <c r="AG914" s="14">
        <f>IF($AE914="","",SUMIFS('ORDENES'!$M$4:$M$1203,'ORDENES'!$AE$4:$AE$1203,$AE914,'ORDENES'!$O$4:$O$1203,$O914,'ORDENES'!$R$4:$R$1203,$R914))</f>
        <v/>
      </c>
      <c r="AH914" s="14">
        <f>IF($AG914="","",p_factor_productividad*IFERROR(INDEX('ASIGNACIONES'!$M$4:$M$451,MATCH($O914&amp;"|"&amp;$R914&amp;"|"&amp;$AE914,'ASIGNACIONES'!$N$4:$N$451,0)),0)-$AG914)</f>
        <v/>
      </c>
      <c r="AI914" s="11">
        <f>IF($A914="","",IFERROR(INDEX('2_IMPORTAR_EJECUCION'!$F$9:$F$1208,MATCH($AQ914,'2_IMPORTAR_EJECUCION'!$J$9:$J$1208,0)),0))</f>
        <v/>
      </c>
      <c r="AJ914" s="11">
        <f>IF($A914="","",MAX(0,IFERROR(INDEX('2_IMPORTAR_EJECUCION'!$H$9:$H$1208,MATCH($AQ914,'2_IMPORTAR_EJECUCION'!$J$9:$J$1208,0)),0)-$AI914))</f>
        <v/>
      </c>
      <c r="AK914" s="11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IF($H915="","",IFERROR(INDEX('CAT_ACTIVIDADES'!$B$4:$B$8,MATCH($H915,'CAT_ACTIVIDADES'!$A$4:$A$8,0)),"(sin catálogo)"))</f>
        <v/>
      </c>
      <c r="AA915" s="13">
        <f>IF($J915="","",TODAY()-$J915)</f>
        <v/>
      </c>
      <c r="AB915" s="13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IF($AE915="","",IF((IFERROR(INDEX('ASIGNACIONES'!$J$4:$J$451,MATCH($O915&amp;"|"&amp;$R915&amp;"|"&amp;$AE915,'ASIGNACIONES'!$N$4:$N$451,0)),""))=0,"",IFERROR(INDEX('ASIGNACIONES'!$J$4:$J$451,MATCH($O915&amp;"|"&amp;$R915&amp;"|"&amp;$AE915,'ASIGNACIONES'!$N$4:$N$451,0)),"")))</f>
        <v/>
      </c>
      <c r="AG915" s="14">
        <f>IF($AE915="","",SUMIFS('ORDENES'!$M$4:$M$1203,'ORDENES'!$AE$4:$AE$1203,$AE915,'ORDENES'!$O$4:$O$1203,$O915,'ORDENES'!$R$4:$R$1203,$R915))</f>
        <v/>
      </c>
      <c r="AH915" s="14">
        <f>IF($AG915="","",p_factor_productividad*IFERROR(INDEX('ASIGNACIONES'!$M$4:$M$451,MATCH($O915&amp;"|"&amp;$R915&amp;"|"&amp;$AE915,'ASIGNACIONES'!$N$4:$N$451,0)),0)-$AG915)</f>
        <v/>
      </c>
      <c r="AI915" s="11">
        <f>IF($A915="","",IFERROR(INDEX('2_IMPORTAR_EJECUCION'!$F$9:$F$1208,MATCH($AQ915,'2_IMPORTAR_EJECUCION'!$J$9:$J$1208,0)),0))</f>
        <v/>
      </c>
      <c r="AJ915" s="11">
        <f>IF($A915="","",MAX(0,IFERROR(INDEX('2_IMPORTAR_EJECUCION'!$H$9:$H$1208,MATCH($AQ915,'2_IMPORTAR_EJECUCION'!$J$9:$J$1208,0)),0)-$AI915))</f>
        <v/>
      </c>
      <c r="AK915" s="11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IF($H916="","",IFERROR(INDEX('CAT_ACTIVIDADES'!$B$4:$B$8,MATCH($H916,'CAT_ACTIVIDADES'!$A$4:$A$8,0)),"(sin catálogo)"))</f>
        <v/>
      </c>
      <c r="AA916" s="13">
        <f>IF($J916="","",TODAY()-$J916)</f>
        <v/>
      </c>
      <c r="AB916" s="13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IF($AE916="","",IF((IFERROR(INDEX('ASIGNACIONES'!$J$4:$J$451,MATCH($O916&amp;"|"&amp;$R916&amp;"|"&amp;$AE916,'ASIGNACIONES'!$N$4:$N$451,0)),""))=0,"",IFERROR(INDEX('ASIGNACIONES'!$J$4:$J$451,MATCH($O916&amp;"|"&amp;$R916&amp;"|"&amp;$AE916,'ASIGNACIONES'!$N$4:$N$451,0)),"")))</f>
        <v/>
      </c>
      <c r="AG916" s="14">
        <f>IF($AE916="","",SUMIFS('ORDENES'!$M$4:$M$1203,'ORDENES'!$AE$4:$AE$1203,$AE916,'ORDENES'!$O$4:$O$1203,$O916,'ORDENES'!$R$4:$R$1203,$R916))</f>
        <v/>
      </c>
      <c r="AH916" s="14">
        <f>IF($AG916="","",p_factor_productividad*IFERROR(INDEX('ASIGNACIONES'!$M$4:$M$451,MATCH($O916&amp;"|"&amp;$R916&amp;"|"&amp;$AE916,'ASIGNACIONES'!$N$4:$N$451,0)),0)-$AG916)</f>
        <v/>
      </c>
      <c r="AI916" s="11">
        <f>IF($A916="","",IFERROR(INDEX('2_IMPORTAR_EJECUCION'!$F$9:$F$1208,MATCH($AQ916,'2_IMPORTAR_EJECUCION'!$J$9:$J$1208,0)),0))</f>
        <v/>
      </c>
      <c r="AJ916" s="11">
        <f>IF($A916="","",MAX(0,IFERROR(INDEX('2_IMPORTAR_EJECUCION'!$H$9:$H$1208,MATCH($AQ916,'2_IMPORTAR_EJECUCION'!$J$9:$J$1208,0)),0)-$AI916))</f>
        <v/>
      </c>
      <c r="AK916" s="11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IF($H917="","",IFERROR(INDEX('CAT_ACTIVIDADES'!$B$4:$B$8,MATCH($H917,'CAT_ACTIVIDADES'!$A$4:$A$8,0)),"(sin catálogo)"))</f>
        <v/>
      </c>
      <c r="AA917" s="13">
        <f>IF($J917="","",TODAY()-$J917)</f>
        <v/>
      </c>
      <c r="AB917" s="13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IF($AE917="","",IF((IFERROR(INDEX('ASIGNACIONES'!$J$4:$J$451,MATCH($O917&amp;"|"&amp;$R917&amp;"|"&amp;$AE917,'ASIGNACIONES'!$N$4:$N$451,0)),""))=0,"",IFERROR(INDEX('ASIGNACIONES'!$J$4:$J$451,MATCH($O917&amp;"|"&amp;$R917&amp;"|"&amp;$AE917,'ASIGNACIONES'!$N$4:$N$451,0)),"")))</f>
        <v/>
      </c>
      <c r="AG917" s="14">
        <f>IF($AE917="","",SUMIFS('ORDENES'!$M$4:$M$1203,'ORDENES'!$AE$4:$AE$1203,$AE917,'ORDENES'!$O$4:$O$1203,$O917,'ORDENES'!$R$4:$R$1203,$R917))</f>
        <v/>
      </c>
      <c r="AH917" s="14">
        <f>IF($AG917="","",p_factor_productividad*IFERROR(INDEX('ASIGNACIONES'!$M$4:$M$451,MATCH($O917&amp;"|"&amp;$R917&amp;"|"&amp;$AE917,'ASIGNACIONES'!$N$4:$N$451,0)),0)-$AG917)</f>
        <v/>
      </c>
      <c r="AI917" s="11">
        <f>IF($A917="","",IFERROR(INDEX('2_IMPORTAR_EJECUCION'!$F$9:$F$1208,MATCH($AQ917,'2_IMPORTAR_EJECUCION'!$J$9:$J$1208,0)),0))</f>
        <v/>
      </c>
      <c r="AJ917" s="11">
        <f>IF($A917="","",MAX(0,IFERROR(INDEX('2_IMPORTAR_EJECUCION'!$H$9:$H$1208,MATCH($AQ917,'2_IMPORTAR_EJECUCION'!$J$9:$J$1208,0)),0)-$AI917))</f>
        <v/>
      </c>
      <c r="AK917" s="11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IF($H918="","",IFERROR(INDEX('CAT_ACTIVIDADES'!$B$4:$B$8,MATCH($H918,'CAT_ACTIVIDADES'!$A$4:$A$8,0)),"(sin catálogo)"))</f>
        <v/>
      </c>
      <c r="AA918" s="13">
        <f>IF($J918="","",TODAY()-$J918)</f>
        <v/>
      </c>
      <c r="AB918" s="13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IF($AE918="","",IF((IFERROR(INDEX('ASIGNACIONES'!$J$4:$J$451,MATCH($O918&amp;"|"&amp;$R918&amp;"|"&amp;$AE918,'ASIGNACIONES'!$N$4:$N$451,0)),""))=0,"",IFERROR(INDEX('ASIGNACIONES'!$J$4:$J$451,MATCH($O918&amp;"|"&amp;$R918&amp;"|"&amp;$AE918,'ASIGNACIONES'!$N$4:$N$451,0)),"")))</f>
        <v/>
      </c>
      <c r="AG918" s="14">
        <f>IF($AE918="","",SUMIFS('ORDENES'!$M$4:$M$1203,'ORDENES'!$AE$4:$AE$1203,$AE918,'ORDENES'!$O$4:$O$1203,$O918,'ORDENES'!$R$4:$R$1203,$R918))</f>
        <v/>
      </c>
      <c r="AH918" s="14">
        <f>IF($AG918="","",p_factor_productividad*IFERROR(INDEX('ASIGNACIONES'!$M$4:$M$451,MATCH($O918&amp;"|"&amp;$R918&amp;"|"&amp;$AE918,'ASIGNACIONES'!$N$4:$N$451,0)),0)-$AG918)</f>
        <v/>
      </c>
      <c r="AI918" s="11">
        <f>IF($A918="","",IFERROR(INDEX('2_IMPORTAR_EJECUCION'!$F$9:$F$1208,MATCH($AQ918,'2_IMPORTAR_EJECUCION'!$J$9:$J$1208,0)),0))</f>
        <v/>
      </c>
      <c r="AJ918" s="11">
        <f>IF($A918="","",MAX(0,IFERROR(INDEX('2_IMPORTAR_EJECUCION'!$H$9:$H$1208,MATCH($AQ918,'2_IMPORTAR_EJECUCION'!$J$9:$J$1208,0)),0)-$AI918))</f>
        <v/>
      </c>
      <c r="AK918" s="11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IF($H919="","",IFERROR(INDEX('CAT_ACTIVIDADES'!$B$4:$B$8,MATCH($H919,'CAT_ACTIVIDADES'!$A$4:$A$8,0)),"(sin catálogo)"))</f>
        <v/>
      </c>
      <c r="AA919" s="13">
        <f>IF($J919="","",TODAY()-$J919)</f>
        <v/>
      </c>
      <c r="AB919" s="13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IF($AE919="","",IF((IFERROR(INDEX('ASIGNACIONES'!$J$4:$J$451,MATCH($O919&amp;"|"&amp;$R919&amp;"|"&amp;$AE919,'ASIGNACIONES'!$N$4:$N$451,0)),""))=0,"",IFERROR(INDEX('ASIGNACIONES'!$J$4:$J$451,MATCH($O919&amp;"|"&amp;$R919&amp;"|"&amp;$AE919,'ASIGNACIONES'!$N$4:$N$451,0)),"")))</f>
        <v/>
      </c>
      <c r="AG919" s="14">
        <f>IF($AE919="","",SUMIFS('ORDENES'!$M$4:$M$1203,'ORDENES'!$AE$4:$AE$1203,$AE919,'ORDENES'!$O$4:$O$1203,$O919,'ORDENES'!$R$4:$R$1203,$R919))</f>
        <v/>
      </c>
      <c r="AH919" s="14">
        <f>IF($AG919="","",p_factor_productividad*IFERROR(INDEX('ASIGNACIONES'!$M$4:$M$451,MATCH($O919&amp;"|"&amp;$R919&amp;"|"&amp;$AE919,'ASIGNACIONES'!$N$4:$N$451,0)),0)-$AG919)</f>
        <v/>
      </c>
      <c r="AI919" s="11">
        <f>IF($A919="","",IFERROR(INDEX('2_IMPORTAR_EJECUCION'!$F$9:$F$1208,MATCH($AQ919,'2_IMPORTAR_EJECUCION'!$J$9:$J$1208,0)),0))</f>
        <v/>
      </c>
      <c r="AJ919" s="11">
        <f>IF($A919="","",MAX(0,IFERROR(INDEX('2_IMPORTAR_EJECUCION'!$H$9:$H$1208,MATCH($AQ919,'2_IMPORTAR_EJECUCION'!$J$9:$J$1208,0)),0)-$AI919))</f>
        <v/>
      </c>
      <c r="AK919" s="11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IF($H920="","",IFERROR(INDEX('CAT_ACTIVIDADES'!$B$4:$B$8,MATCH($H920,'CAT_ACTIVIDADES'!$A$4:$A$8,0)),"(sin catálogo)"))</f>
        <v/>
      </c>
      <c r="AA920" s="13">
        <f>IF($J920="","",TODAY()-$J920)</f>
        <v/>
      </c>
      <c r="AB920" s="13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IF($AE920="","",IF((IFERROR(INDEX('ASIGNACIONES'!$J$4:$J$451,MATCH($O920&amp;"|"&amp;$R920&amp;"|"&amp;$AE920,'ASIGNACIONES'!$N$4:$N$451,0)),""))=0,"",IFERROR(INDEX('ASIGNACIONES'!$J$4:$J$451,MATCH($O920&amp;"|"&amp;$R920&amp;"|"&amp;$AE920,'ASIGNACIONES'!$N$4:$N$451,0)),"")))</f>
        <v/>
      </c>
      <c r="AG920" s="14">
        <f>IF($AE920="","",SUMIFS('ORDENES'!$M$4:$M$1203,'ORDENES'!$AE$4:$AE$1203,$AE920,'ORDENES'!$O$4:$O$1203,$O920,'ORDENES'!$R$4:$R$1203,$R920))</f>
        <v/>
      </c>
      <c r="AH920" s="14">
        <f>IF($AG920="","",p_factor_productividad*IFERROR(INDEX('ASIGNACIONES'!$M$4:$M$451,MATCH($O920&amp;"|"&amp;$R920&amp;"|"&amp;$AE920,'ASIGNACIONES'!$N$4:$N$451,0)),0)-$AG920)</f>
        <v/>
      </c>
      <c r="AI920" s="11">
        <f>IF($A920="","",IFERROR(INDEX('2_IMPORTAR_EJECUCION'!$F$9:$F$1208,MATCH($AQ920,'2_IMPORTAR_EJECUCION'!$J$9:$J$1208,0)),0))</f>
        <v/>
      </c>
      <c r="AJ920" s="11">
        <f>IF($A920="","",MAX(0,IFERROR(INDEX('2_IMPORTAR_EJECUCION'!$H$9:$H$1208,MATCH($AQ920,'2_IMPORTAR_EJECUCION'!$J$9:$J$1208,0)),0)-$AI920))</f>
        <v/>
      </c>
      <c r="AK920" s="11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IF($H921="","",IFERROR(INDEX('CAT_ACTIVIDADES'!$B$4:$B$8,MATCH($H921,'CAT_ACTIVIDADES'!$A$4:$A$8,0)),"(sin catálogo)"))</f>
        <v/>
      </c>
      <c r="AA921" s="13">
        <f>IF($J921="","",TODAY()-$J921)</f>
        <v/>
      </c>
      <c r="AB921" s="13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IF($AE921="","",IF((IFERROR(INDEX('ASIGNACIONES'!$J$4:$J$451,MATCH($O921&amp;"|"&amp;$R921&amp;"|"&amp;$AE921,'ASIGNACIONES'!$N$4:$N$451,0)),""))=0,"",IFERROR(INDEX('ASIGNACIONES'!$J$4:$J$451,MATCH($O921&amp;"|"&amp;$R921&amp;"|"&amp;$AE921,'ASIGNACIONES'!$N$4:$N$451,0)),"")))</f>
        <v/>
      </c>
      <c r="AG921" s="14">
        <f>IF($AE921="","",SUMIFS('ORDENES'!$M$4:$M$1203,'ORDENES'!$AE$4:$AE$1203,$AE921,'ORDENES'!$O$4:$O$1203,$O921,'ORDENES'!$R$4:$R$1203,$R921))</f>
        <v/>
      </c>
      <c r="AH921" s="14">
        <f>IF($AG921="","",p_factor_productividad*IFERROR(INDEX('ASIGNACIONES'!$M$4:$M$451,MATCH($O921&amp;"|"&amp;$R921&amp;"|"&amp;$AE921,'ASIGNACIONES'!$N$4:$N$451,0)),0)-$AG921)</f>
        <v/>
      </c>
      <c r="AI921" s="11">
        <f>IF($A921="","",IFERROR(INDEX('2_IMPORTAR_EJECUCION'!$F$9:$F$1208,MATCH($AQ921,'2_IMPORTAR_EJECUCION'!$J$9:$J$1208,0)),0))</f>
        <v/>
      </c>
      <c r="AJ921" s="11">
        <f>IF($A921="","",MAX(0,IFERROR(INDEX('2_IMPORTAR_EJECUCION'!$H$9:$H$1208,MATCH($AQ921,'2_IMPORTAR_EJECUCION'!$J$9:$J$1208,0)),0)-$AI921))</f>
        <v/>
      </c>
      <c r="AK921" s="11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IF($H922="","",IFERROR(INDEX('CAT_ACTIVIDADES'!$B$4:$B$8,MATCH($H922,'CAT_ACTIVIDADES'!$A$4:$A$8,0)),"(sin catálogo)"))</f>
        <v/>
      </c>
      <c r="AA922" s="13">
        <f>IF($J922="","",TODAY()-$J922)</f>
        <v/>
      </c>
      <c r="AB922" s="13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IF($AE922="","",IF((IFERROR(INDEX('ASIGNACIONES'!$J$4:$J$451,MATCH($O922&amp;"|"&amp;$R922&amp;"|"&amp;$AE922,'ASIGNACIONES'!$N$4:$N$451,0)),""))=0,"",IFERROR(INDEX('ASIGNACIONES'!$J$4:$J$451,MATCH($O922&amp;"|"&amp;$R922&amp;"|"&amp;$AE922,'ASIGNACIONES'!$N$4:$N$451,0)),"")))</f>
        <v/>
      </c>
      <c r="AG922" s="14">
        <f>IF($AE922="","",SUMIFS('ORDENES'!$M$4:$M$1203,'ORDENES'!$AE$4:$AE$1203,$AE922,'ORDENES'!$O$4:$O$1203,$O922,'ORDENES'!$R$4:$R$1203,$R922))</f>
        <v/>
      </c>
      <c r="AH922" s="14">
        <f>IF($AG922="","",p_factor_productividad*IFERROR(INDEX('ASIGNACIONES'!$M$4:$M$451,MATCH($O922&amp;"|"&amp;$R922&amp;"|"&amp;$AE922,'ASIGNACIONES'!$N$4:$N$451,0)),0)-$AG922)</f>
        <v/>
      </c>
      <c r="AI922" s="11">
        <f>IF($A922="","",IFERROR(INDEX('2_IMPORTAR_EJECUCION'!$F$9:$F$1208,MATCH($AQ922,'2_IMPORTAR_EJECUCION'!$J$9:$J$1208,0)),0))</f>
        <v/>
      </c>
      <c r="AJ922" s="11">
        <f>IF($A922="","",MAX(0,IFERROR(INDEX('2_IMPORTAR_EJECUCION'!$H$9:$H$1208,MATCH($AQ922,'2_IMPORTAR_EJECUCION'!$J$9:$J$1208,0)),0)-$AI922))</f>
        <v/>
      </c>
      <c r="AK922" s="11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IF($H923="","",IFERROR(INDEX('CAT_ACTIVIDADES'!$B$4:$B$8,MATCH($H923,'CAT_ACTIVIDADES'!$A$4:$A$8,0)),"(sin catálogo)"))</f>
        <v/>
      </c>
      <c r="AA923" s="13">
        <f>IF($J923="","",TODAY()-$J923)</f>
        <v/>
      </c>
      <c r="AB923" s="13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IF($AE923="","",IF((IFERROR(INDEX('ASIGNACIONES'!$J$4:$J$451,MATCH($O923&amp;"|"&amp;$R923&amp;"|"&amp;$AE923,'ASIGNACIONES'!$N$4:$N$451,0)),""))=0,"",IFERROR(INDEX('ASIGNACIONES'!$J$4:$J$451,MATCH($O923&amp;"|"&amp;$R923&amp;"|"&amp;$AE923,'ASIGNACIONES'!$N$4:$N$451,0)),"")))</f>
        <v/>
      </c>
      <c r="AG923" s="14">
        <f>IF($AE923="","",SUMIFS('ORDENES'!$M$4:$M$1203,'ORDENES'!$AE$4:$AE$1203,$AE923,'ORDENES'!$O$4:$O$1203,$O923,'ORDENES'!$R$4:$R$1203,$R923))</f>
        <v/>
      </c>
      <c r="AH923" s="14">
        <f>IF($AG923="","",p_factor_productividad*IFERROR(INDEX('ASIGNACIONES'!$M$4:$M$451,MATCH($O923&amp;"|"&amp;$R923&amp;"|"&amp;$AE923,'ASIGNACIONES'!$N$4:$N$451,0)),0)-$AG923)</f>
        <v/>
      </c>
      <c r="AI923" s="11">
        <f>IF($A923="","",IFERROR(INDEX('2_IMPORTAR_EJECUCION'!$F$9:$F$1208,MATCH($AQ923,'2_IMPORTAR_EJECUCION'!$J$9:$J$1208,0)),0))</f>
        <v/>
      </c>
      <c r="AJ923" s="11">
        <f>IF($A923="","",MAX(0,IFERROR(INDEX('2_IMPORTAR_EJECUCION'!$H$9:$H$1208,MATCH($AQ923,'2_IMPORTAR_EJECUCION'!$J$9:$J$1208,0)),0)-$AI923))</f>
        <v/>
      </c>
      <c r="AK923" s="11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IF($H924="","",IFERROR(INDEX('CAT_ACTIVIDADES'!$B$4:$B$8,MATCH($H924,'CAT_ACTIVIDADES'!$A$4:$A$8,0)),"(sin catálogo)"))</f>
        <v/>
      </c>
      <c r="AA924" s="13">
        <f>IF($J924="","",TODAY()-$J924)</f>
        <v/>
      </c>
      <c r="AB924" s="13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IF($AE924="","",IF((IFERROR(INDEX('ASIGNACIONES'!$J$4:$J$451,MATCH($O924&amp;"|"&amp;$R924&amp;"|"&amp;$AE924,'ASIGNACIONES'!$N$4:$N$451,0)),""))=0,"",IFERROR(INDEX('ASIGNACIONES'!$J$4:$J$451,MATCH($O924&amp;"|"&amp;$R924&amp;"|"&amp;$AE924,'ASIGNACIONES'!$N$4:$N$451,0)),"")))</f>
        <v/>
      </c>
      <c r="AG924" s="14">
        <f>IF($AE924="","",SUMIFS('ORDENES'!$M$4:$M$1203,'ORDENES'!$AE$4:$AE$1203,$AE924,'ORDENES'!$O$4:$O$1203,$O924,'ORDENES'!$R$4:$R$1203,$R924))</f>
        <v/>
      </c>
      <c r="AH924" s="14">
        <f>IF($AG924="","",p_factor_productividad*IFERROR(INDEX('ASIGNACIONES'!$M$4:$M$451,MATCH($O924&amp;"|"&amp;$R924&amp;"|"&amp;$AE924,'ASIGNACIONES'!$N$4:$N$451,0)),0)-$AG924)</f>
        <v/>
      </c>
      <c r="AI924" s="11">
        <f>IF($A924="","",IFERROR(INDEX('2_IMPORTAR_EJECUCION'!$F$9:$F$1208,MATCH($AQ924,'2_IMPORTAR_EJECUCION'!$J$9:$J$1208,0)),0))</f>
        <v/>
      </c>
      <c r="AJ924" s="11">
        <f>IF($A924="","",MAX(0,IFERROR(INDEX('2_IMPORTAR_EJECUCION'!$H$9:$H$1208,MATCH($AQ924,'2_IMPORTAR_EJECUCION'!$J$9:$J$1208,0)),0)-$AI924))</f>
        <v/>
      </c>
      <c r="AK924" s="11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IF($H925="","",IFERROR(INDEX('CAT_ACTIVIDADES'!$B$4:$B$8,MATCH($H925,'CAT_ACTIVIDADES'!$A$4:$A$8,0)),"(sin catálogo)"))</f>
        <v/>
      </c>
      <c r="AA925" s="13">
        <f>IF($J925="","",TODAY()-$J925)</f>
        <v/>
      </c>
      <c r="AB925" s="13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IF($AE925="","",IF((IFERROR(INDEX('ASIGNACIONES'!$J$4:$J$451,MATCH($O925&amp;"|"&amp;$R925&amp;"|"&amp;$AE925,'ASIGNACIONES'!$N$4:$N$451,0)),""))=0,"",IFERROR(INDEX('ASIGNACIONES'!$J$4:$J$451,MATCH($O925&amp;"|"&amp;$R925&amp;"|"&amp;$AE925,'ASIGNACIONES'!$N$4:$N$451,0)),"")))</f>
        <v/>
      </c>
      <c r="AG925" s="14">
        <f>IF($AE925="","",SUMIFS('ORDENES'!$M$4:$M$1203,'ORDENES'!$AE$4:$AE$1203,$AE925,'ORDENES'!$O$4:$O$1203,$O925,'ORDENES'!$R$4:$R$1203,$R925))</f>
        <v/>
      </c>
      <c r="AH925" s="14">
        <f>IF($AG925="","",p_factor_productividad*IFERROR(INDEX('ASIGNACIONES'!$M$4:$M$451,MATCH($O925&amp;"|"&amp;$R925&amp;"|"&amp;$AE925,'ASIGNACIONES'!$N$4:$N$451,0)),0)-$AG925)</f>
        <v/>
      </c>
      <c r="AI925" s="11">
        <f>IF($A925="","",IFERROR(INDEX('2_IMPORTAR_EJECUCION'!$F$9:$F$1208,MATCH($AQ925,'2_IMPORTAR_EJECUCION'!$J$9:$J$1208,0)),0))</f>
        <v/>
      </c>
      <c r="AJ925" s="11">
        <f>IF($A925="","",MAX(0,IFERROR(INDEX('2_IMPORTAR_EJECUCION'!$H$9:$H$1208,MATCH($AQ925,'2_IMPORTAR_EJECUCION'!$J$9:$J$1208,0)),0)-$AI925))</f>
        <v/>
      </c>
      <c r="AK925" s="11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IF($H926="","",IFERROR(INDEX('CAT_ACTIVIDADES'!$B$4:$B$8,MATCH($H926,'CAT_ACTIVIDADES'!$A$4:$A$8,0)),"(sin catálogo)"))</f>
        <v/>
      </c>
      <c r="AA926" s="13">
        <f>IF($J926="","",TODAY()-$J926)</f>
        <v/>
      </c>
      <c r="AB926" s="13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IF($AE926="","",IF((IFERROR(INDEX('ASIGNACIONES'!$J$4:$J$451,MATCH($O926&amp;"|"&amp;$R926&amp;"|"&amp;$AE926,'ASIGNACIONES'!$N$4:$N$451,0)),""))=0,"",IFERROR(INDEX('ASIGNACIONES'!$J$4:$J$451,MATCH($O926&amp;"|"&amp;$R926&amp;"|"&amp;$AE926,'ASIGNACIONES'!$N$4:$N$451,0)),"")))</f>
        <v/>
      </c>
      <c r="AG926" s="14">
        <f>IF($AE926="","",SUMIFS('ORDENES'!$M$4:$M$1203,'ORDENES'!$AE$4:$AE$1203,$AE926,'ORDENES'!$O$4:$O$1203,$O926,'ORDENES'!$R$4:$R$1203,$R926))</f>
        <v/>
      </c>
      <c r="AH926" s="14">
        <f>IF($AG926="","",p_factor_productividad*IFERROR(INDEX('ASIGNACIONES'!$M$4:$M$451,MATCH($O926&amp;"|"&amp;$R926&amp;"|"&amp;$AE926,'ASIGNACIONES'!$N$4:$N$451,0)),0)-$AG926)</f>
        <v/>
      </c>
      <c r="AI926" s="11">
        <f>IF($A926="","",IFERROR(INDEX('2_IMPORTAR_EJECUCION'!$F$9:$F$1208,MATCH($AQ926,'2_IMPORTAR_EJECUCION'!$J$9:$J$1208,0)),0))</f>
        <v/>
      </c>
      <c r="AJ926" s="11">
        <f>IF($A926="","",MAX(0,IFERROR(INDEX('2_IMPORTAR_EJECUCION'!$H$9:$H$1208,MATCH($AQ926,'2_IMPORTAR_EJECUCION'!$J$9:$J$1208,0)),0)-$AI926))</f>
        <v/>
      </c>
      <c r="AK926" s="11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IF($H927="","",IFERROR(INDEX('CAT_ACTIVIDADES'!$B$4:$B$8,MATCH($H927,'CAT_ACTIVIDADES'!$A$4:$A$8,0)),"(sin catálogo)"))</f>
        <v/>
      </c>
      <c r="AA927" s="13">
        <f>IF($J927="","",TODAY()-$J927)</f>
        <v/>
      </c>
      <c r="AB927" s="13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IF($AE927="","",IF((IFERROR(INDEX('ASIGNACIONES'!$J$4:$J$451,MATCH($O927&amp;"|"&amp;$R927&amp;"|"&amp;$AE927,'ASIGNACIONES'!$N$4:$N$451,0)),""))=0,"",IFERROR(INDEX('ASIGNACIONES'!$J$4:$J$451,MATCH($O927&amp;"|"&amp;$R927&amp;"|"&amp;$AE927,'ASIGNACIONES'!$N$4:$N$451,0)),"")))</f>
        <v/>
      </c>
      <c r="AG927" s="14">
        <f>IF($AE927="","",SUMIFS('ORDENES'!$M$4:$M$1203,'ORDENES'!$AE$4:$AE$1203,$AE927,'ORDENES'!$O$4:$O$1203,$O927,'ORDENES'!$R$4:$R$1203,$R927))</f>
        <v/>
      </c>
      <c r="AH927" s="14">
        <f>IF($AG927="","",p_factor_productividad*IFERROR(INDEX('ASIGNACIONES'!$M$4:$M$451,MATCH($O927&amp;"|"&amp;$R927&amp;"|"&amp;$AE927,'ASIGNACIONES'!$N$4:$N$451,0)),0)-$AG927)</f>
        <v/>
      </c>
      <c r="AI927" s="11">
        <f>IF($A927="","",IFERROR(INDEX('2_IMPORTAR_EJECUCION'!$F$9:$F$1208,MATCH($AQ927,'2_IMPORTAR_EJECUCION'!$J$9:$J$1208,0)),0))</f>
        <v/>
      </c>
      <c r="AJ927" s="11">
        <f>IF($A927="","",MAX(0,IFERROR(INDEX('2_IMPORTAR_EJECUCION'!$H$9:$H$1208,MATCH($AQ927,'2_IMPORTAR_EJECUCION'!$J$9:$J$1208,0)),0)-$AI927))</f>
        <v/>
      </c>
      <c r="AK927" s="11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IF($H928="","",IFERROR(INDEX('CAT_ACTIVIDADES'!$B$4:$B$8,MATCH($H928,'CAT_ACTIVIDADES'!$A$4:$A$8,0)),"(sin catálogo)"))</f>
        <v/>
      </c>
      <c r="AA928" s="13">
        <f>IF($J928="","",TODAY()-$J928)</f>
        <v/>
      </c>
      <c r="AB928" s="13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IF($AE928="","",IF((IFERROR(INDEX('ASIGNACIONES'!$J$4:$J$451,MATCH($O928&amp;"|"&amp;$R928&amp;"|"&amp;$AE928,'ASIGNACIONES'!$N$4:$N$451,0)),""))=0,"",IFERROR(INDEX('ASIGNACIONES'!$J$4:$J$451,MATCH($O928&amp;"|"&amp;$R928&amp;"|"&amp;$AE928,'ASIGNACIONES'!$N$4:$N$451,0)),"")))</f>
        <v/>
      </c>
      <c r="AG928" s="14">
        <f>IF($AE928="","",SUMIFS('ORDENES'!$M$4:$M$1203,'ORDENES'!$AE$4:$AE$1203,$AE928,'ORDENES'!$O$4:$O$1203,$O928,'ORDENES'!$R$4:$R$1203,$R928))</f>
        <v/>
      </c>
      <c r="AH928" s="14">
        <f>IF($AG928="","",p_factor_productividad*IFERROR(INDEX('ASIGNACIONES'!$M$4:$M$451,MATCH($O928&amp;"|"&amp;$R928&amp;"|"&amp;$AE928,'ASIGNACIONES'!$N$4:$N$451,0)),0)-$AG928)</f>
        <v/>
      </c>
      <c r="AI928" s="11">
        <f>IF($A928="","",IFERROR(INDEX('2_IMPORTAR_EJECUCION'!$F$9:$F$1208,MATCH($AQ928,'2_IMPORTAR_EJECUCION'!$J$9:$J$1208,0)),0))</f>
        <v/>
      </c>
      <c r="AJ928" s="11">
        <f>IF($A928="","",MAX(0,IFERROR(INDEX('2_IMPORTAR_EJECUCION'!$H$9:$H$1208,MATCH($AQ928,'2_IMPORTAR_EJECUCION'!$J$9:$J$1208,0)),0)-$AI928))</f>
        <v/>
      </c>
      <c r="AK928" s="11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IF($H929="","",IFERROR(INDEX('CAT_ACTIVIDADES'!$B$4:$B$8,MATCH($H929,'CAT_ACTIVIDADES'!$A$4:$A$8,0)),"(sin catálogo)"))</f>
        <v/>
      </c>
      <c r="AA929" s="13">
        <f>IF($J929="","",TODAY()-$J929)</f>
        <v/>
      </c>
      <c r="AB929" s="13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IF($AE929="","",IF((IFERROR(INDEX('ASIGNACIONES'!$J$4:$J$451,MATCH($O929&amp;"|"&amp;$R929&amp;"|"&amp;$AE929,'ASIGNACIONES'!$N$4:$N$451,0)),""))=0,"",IFERROR(INDEX('ASIGNACIONES'!$J$4:$J$451,MATCH($O929&amp;"|"&amp;$R929&amp;"|"&amp;$AE929,'ASIGNACIONES'!$N$4:$N$451,0)),"")))</f>
        <v/>
      </c>
      <c r="AG929" s="14">
        <f>IF($AE929="","",SUMIFS('ORDENES'!$M$4:$M$1203,'ORDENES'!$AE$4:$AE$1203,$AE929,'ORDENES'!$O$4:$O$1203,$O929,'ORDENES'!$R$4:$R$1203,$R929))</f>
        <v/>
      </c>
      <c r="AH929" s="14">
        <f>IF($AG929="","",p_factor_productividad*IFERROR(INDEX('ASIGNACIONES'!$M$4:$M$451,MATCH($O929&amp;"|"&amp;$R929&amp;"|"&amp;$AE929,'ASIGNACIONES'!$N$4:$N$451,0)),0)-$AG929)</f>
        <v/>
      </c>
      <c r="AI929" s="11">
        <f>IF($A929="","",IFERROR(INDEX('2_IMPORTAR_EJECUCION'!$F$9:$F$1208,MATCH($AQ929,'2_IMPORTAR_EJECUCION'!$J$9:$J$1208,0)),0))</f>
        <v/>
      </c>
      <c r="AJ929" s="11">
        <f>IF($A929="","",MAX(0,IFERROR(INDEX('2_IMPORTAR_EJECUCION'!$H$9:$H$1208,MATCH($AQ929,'2_IMPORTAR_EJECUCION'!$J$9:$J$1208,0)),0)-$AI929))</f>
        <v/>
      </c>
      <c r="AK929" s="11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IF($H930="","",IFERROR(INDEX('CAT_ACTIVIDADES'!$B$4:$B$8,MATCH($H930,'CAT_ACTIVIDADES'!$A$4:$A$8,0)),"(sin catálogo)"))</f>
        <v/>
      </c>
      <c r="AA930" s="13">
        <f>IF($J930="","",TODAY()-$J930)</f>
        <v/>
      </c>
      <c r="AB930" s="13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IF($AE930="","",IF((IFERROR(INDEX('ASIGNACIONES'!$J$4:$J$451,MATCH($O930&amp;"|"&amp;$R930&amp;"|"&amp;$AE930,'ASIGNACIONES'!$N$4:$N$451,0)),""))=0,"",IFERROR(INDEX('ASIGNACIONES'!$J$4:$J$451,MATCH($O930&amp;"|"&amp;$R930&amp;"|"&amp;$AE930,'ASIGNACIONES'!$N$4:$N$451,0)),"")))</f>
        <v/>
      </c>
      <c r="AG930" s="14">
        <f>IF($AE930="","",SUMIFS('ORDENES'!$M$4:$M$1203,'ORDENES'!$AE$4:$AE$1203,$AE930,'ORDENES'!$O$4:$O$1203,$O930,'ORDENES'!$R$4:$R$1203,$R930))</f>
        <v/>
      </c>
      <c r="AH930" s="14">
        <f>IF($AG930="","",p_factor_productividad*IFERROR(INDEX('ASIGNACIONES'!$M$4:$M$451,MATCH($O930&amp;"|"&amp;$R930&amp;"|"&amp;$AE930,'ASIGNACIONES'!$N$4:$N$451,0)),0)-$AG930)</f>
        <v/>
      </c>
      <c r="AI930" s="11">
        <f>IF($A930="","",IFERROR(INDEX('2_IMPORTAR_EJECUCION'!$F$9:$F$1208,MATCH($AQ930,'2_IMPORTAR_EJECUCION'!$J$9:$J$1208,0)),0))</f>
        <v/>
      </c>
      <c r="AJ930" s="11">
        <f>IF($A930="","",MAX(0,IFERROR(INDEX('2_IMPORTAR_EJECUCION'!$H$9:$H$1208,MATCH($AQ930,'2_IMPORTAR_EJECUCION'!$J$9:$J$1208,0)),0)-$AI930))</f>
        <v/>
      </c>
      <c r="AK930" s="11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IF($H931="","",IFERROR(INDEX('CAT_ACTIVIDADES'!$B$4:$B$8,MATCH($H931,'CAT_ACTIVIDADES'!$A$4:$A$8,0)),"(sin catálogo)"))</f>
        <v/>
      </c>
      <c r="AA931" s="13">
        <f>IF($J931="","",TODAY()-$J931)</f>
        <v/>
      </c>
      <c r="AB931" s="13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IF($AE931="","",IF((IFERROR(INDEX('ASIGNACIONES'!$J$4:$J$451,MATCH($O931&amp;"|"&amp;$R931&amp;"|"&amp;$AE931,'ASIGNACIONES'!$N$4:$N$451,0)),""))=0,"",IFERROR(INDEX('ASIGNACIONES'!$J$4:$J$451,MATCH($O931&amp;"|"&amp;$R931&amp;"|"&amp;$AE931,'ASIGNACIONES'!$N$4:$N$451,0)),"")))</f>
        <v/>
      </c>
      <c r="AG931" s="14">
        <f>IF($AE931="","",SUMIFS('ORDENES'!$M$4:$M$1203,'ORDENES'!$AE$4:$AE$1203,$AE931,'ORDENES'!$O$4:$O$1203,$O931,'ORDENES'!$R$4:$R$1203,$R931))</f>
        <v/>
      </c>
      <c r="AH931" s="14">
        <f>IF($AG931="","",p_factor_productividad*IFERROR(INDEX('ASIGNACIONES'!$M$4:$M$451,MATCH($O931&amp;"|"&amp;$R931&amp;"|"&amp;$AE931,'ASIGNACIONES'!$N$4:$N$451,0)),0)-$AG931)</f>
        <v/>
      </c>
      <c r="AI931" s="11">
        <f>IF($A931="","",IFERROR(INDEX('2_IMPORTAR_EJECUCION'!$F$9:$F$1208,MATCH($AQ931,'2_IMPORTAR_EJECUCION'!$J$9:$J$1208,0)),0))</f>
        <v/>
      </c>
      <c r="AJ931" s="11">
        <f>IF($A931="","",MAX(0,IFERROR(INDEX('2_IMPORTAR_EJECUCION'!$H$9:$H$1208,MATCH($AQ931,'2_IMPORTAR_EJECUCION'!$J$9:$J$1208,0)),0)-$AI931))</f>
        <v/>
      </c>
      <c r="AK931" s="11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IF($H932="","",IFERROR(INDEX('CAT_ACTIVIDADES'!$B$4:$B$8,MATCH($H932,'CAT_ACTIVIDADES'!$A$4:$A$8,0)),"(sin catálogo)"))</f>
        <v/>
      </c>
      <c r="AA932" s="13">
        <f>IF($J932="","",TODAY()-$J932)</f>
        <v/>
      </c>
      <c r="AB932" s="13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IF($AE932="","",IF((IFERROR(INDEX('ASIGNACIONES'!$J$4:$J$451,MATCH($O932&amp;"|"&amp;$R932&amp;"|"&amp;$AE932,'ASIGNACIONES'!$N$4:$N$451,0)),""))=0,"",IFERROR(INDEX('ASIGNACIONES'!$J$4:$J$451,MATCH($O932&amp;"|"&amp;$R932&amp;"|"&amp;$AE932,'ASIGNACIONES'!$N$4:$N$451,0)),"")))</f>
        <v/>
      </c>
      <c r="AG932" s="14">
        <f>IF($AE932="","",SUMIFS('ORDENES'!$M$4:$M$1203,'ORDENES'!$AE$4:$AE$1203,$AE932,'ORDENES'!$O$4:$O$1203,$O932,'ORDENES'!$R$4:$R$1203,$R932))</f>
        <v/>
      </c>
      <c r="AH932" s="14">
        <f>IF($AG932="","",p_factor_productividad*IFERROR(INDEX('ASIGNACIONES'!$M$4:$M$451,MATCH($O932&amp;"|"&amp;$R932&amp;"|"&amp;$AE932,'ASIGNACIONES'!$N$4:$N$451,0)),0)-$AG932)</f>
        <v/>
      </c>
      <c r="AI932" s="11">
        <f>IF($A932="","",IFERROR(INDEX('2_IMPORTAR_EJECUCION'!$F$9:$F$1208,MATCH($AQ932,'2_IMPORTAR_EJECUCION'!$J$9:$J$1208,0)),0))</f>
        <v/>
      </c>
      <c r="AJ932" s="11">
        <f>IF($A932="","",MAX(0,IFERROR(INDEX('2_IMPORTAR_EJECUCION'!$H$9:$H$1208,MATCH($AQ932,'2_IMPORTAR_EJECUCION'!$J$9:$J$1208,0)),0)-$AI932))</f>
        <v/>
      </c>
      <c r="AK932" s="11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IF($H933="","",IFERROR(INDEX('CAT_ACTIVIDADES'!$B$4:$B$8,MATCH($H933,'CAT_ACTIVIDADES'!$A$4:$A$8,0)),"(sin catálogo)"))</f>
        <v/>
      </c>
      <c r="AA933" s="13">
        <f>IF($J933="","",TODAY()-$J933)</f>
        <v/>
      </c>
      <c r="AB933" s="13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IF($AE933="","",IF((IFERROR(INDEX('ASIGNACIONES'!$J$4:$J$451,MATCH($O933&amp;"|"&amp;$R933&amp;"|"&amp;$AE933,'ASIGNACIONES'!$N$4:$N$451,0)),""))=0,"",IFERROR(INDEX('ASIGNACIONES'!$J$4:$J$451,MATCH($O933&amp;"|"&amp;$R933&amp;"|"&amp;$AE933,'ASIGNACIONES'!$N$4:$N$451,0)),"")))</f>
        <v/>
      </c>
      <c r="AG933" s="14">
        <f>IF($AE933="","",SUMIFS('ORDENES'!$M$4:$M$1203,'ORDENES'!$AE$4:$AE$1203,$AE933,'ORDENES'!$O$4:$O$1203,$O933,'ORDENES'!$R$4:$R$1203,$R933))</f>
        <v/>
      </c>
      <c r="AH933" s="14">
        <f>IF($AG933="","",p_factor_productividad*IFERROR(INDEX('ASIGNACIONES'!$M$4:$M$451,MATCH($O933&amp;"|"&amp;$R933&amp;"|"&amp;$AE933,'ASIGNACIONES'!$N$4:$N$451,0)),0)-$AG933)</f>
        <v/>
      </c>
      <c r="AI933" s="11">
        <f>IF($A933="","",IFERROR(INDEX('2_IMPORTAR_EJECUCION'!$F$9:$F$1208,MATCH($AQ933,'2_IMPORTAR_EJECUCION'!$J$9:$J$1208,0)),0))</f>
        <v/>
      </c>
      <c r="AJ933" s="11">
        <f>IF($A933="","",MAX(0,IFERROR(INDEX('2_IMPORTAR_EJECUCION'!$H$9:$H$1208,MATCH($AQ933,'2_IMPORTAR_EJECUCION'!$J$9:$J$1208,0)),0)-$AI933))</f>
        <v/>
      </c>
      <c r="AK933" s="11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IF($H934="","",IFERROR(INDEX('CAT_ACTIVIDADES'!$B$4:$B$8,MATCH($H934,'CAT_ACTIVIDADES'!$A$4:$A$8,0)),"(sin catálogo)"))</f>
        <v/>
      </c>
      <c r="AA934" s="13">
        <f>IF($J934="","",TODAY()-$J934)</f>
        <v/>
      </c>
      <c r="AB934" s="13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IF($AE934="","",IF((IFERROR(INDEX('ASIGNACIONES'!$J$4:$J$451,MATCH($O934&amp;"|"&amp;$R934&amp;"|"&amp;$AE934,'ASIGNACIONES'!$N$4:$N$451,0)),""))=0,"",IFERROR(INDEX('ASIGNACIONES'!$J$4:$J$451,MATCH($O934&amp;"|"&amp;$R934&amp;"|"&amp;$AE934,'ASIGNACIONES'!$N$4:$N$451,0)),"")))</f>
        <v/>
      </c>
      <c r="AG934" s="14">
        <f>IF($AE934="","",SUMIFS('ORDENES'!$M$4:$M$1203,'ORDENES'!$AE$4:$AE$1203,$AE934,'ORDENES'!$O$4:$O$1203,$O934,'ORDENES'!$R$4:$R$1203,$R934))</f>
        <v/>
      </c>
      <c r="AH934" s="14">
        <f>IF($AG934="","",p_factor_productividad*IFERROR(INDEX('ASIGNACIONES'!$M$4:$M$451,MATCH($O934&amp;"|"&amp;$R934&amp;"|"&amp;$AE934,'ASIGNACIONES'!$N$4:$N$451,0)),0)-$AG934)</f>
        <v/>
      </c>
      <c r="AI934" s="11">
        <f>IF($A934="","",IFERROR(INDEX('2_IMPORTAR_EJECUCION'!$F$9:$F$1208,MATCH($AQ934,'2_IMPORTAR_EJECUCION'!$J$9:$J$1208,0)),0))</f>
        <v/>
      </c>
      <c r="AJ934" s="11">
        <f>IF($A934="","",MAX(0,IFERROR(INDEX('2_IMPORTAR_EJECUCION'!$H$9:$H$1208,MATCH($AQ934,'2_IMPORTAR_EJECUCION'!$J$9:$J$1208,0)),0)-$AI934))</f>
        <v/>
      </c>
      <c r="AK934" s="11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IF($H935="","",IFERROR(INDEX('CAT_ACTIVIDADES'!$B$4:$B$8,MATCH($H935,'CAT_ACTIVIDADES'!$A$4:$A$8,0)),"(sin catálogo)"))</f>
        <v/>
      </c>
      <c r="AA935" s="13">
        <f>IF($J935="","",TODAY()-$J935)</f>
        <v/>
      </c>
      <c r="AB935" s="13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IF($AE935="","",IF((IFERROR(INDEX('ASIGNACIONES'!$J$4:$J$451,MATCH($O935&amp;"|"&amp;$R935&amp;"|"&amp;$AE935,'ASIGNACIONES'!$N$4:$N$451,0)),""))=0,"",IFERROR(INDEX('ASIGNACIONES'!$J$4:$J$451,MATCH($O935&amp;"|"&amp;$R935&amp;"|"&amp;$AE935,'ASIGNACIONES'!$N$4:$N$451,0)),"")))</f>
        <v/>
      </c>
      <c r="AG935" s="14">
        <f>IF($AE935="","",SUMIFS('ORDENES'!$M$4:$M$1203,'ORDENES'!$AE$4:$AE$1203,$AE935,'ORDENES'!$O$4:$O$1203,$O935,'ORDENES'!$R$4:$R$1203,$R935))</f>
        <v/>
      </c>
      <c r="AH935" s="14">
        <f>IF($AG935="","",p_factor_productividad*IFERROR(INDEX('ASIGNACIONES'!$M$4:$M$451,MATCH($O935&amp;"|"&amp;$R935&amp;"|"&amp;$AE935,'ASIGNACIONES'!$N$4:$N$451,0)),0)-$AG935)</f>
        <v/>
      </c>
      <c r="AI935" s="11">
        <f>IF($A935="","",IFERROR(INDEX('2_IMPORTAR_EJECUCION'!$F$9:$F$1208,MATCH($AQ935,'2_IMPORTAR_EJECUCION'!$J$9:$J$1208,0)),0))</f>
        <v/>
      </c>
      <c r="AJ935" s="11">
        <f>IF($A935="","",MAX(0,IFERROR(INDEX('2_IMPORTAR_EJECUCION'!$H$9:$H$1208,MATCH($AQ935,'2_IMPORTAR_EJECUCION'!$J$9:$J$1208,0)),0)-$AI935))</f>
        <v/>
      </c>
      <c r="AK935" s="11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IF($H936="","",IFERROR(INDEX('CAT_ACTIVIDADES'!$B$4:$B$8,MATCH($H936,'CAT_ACTIVIDADES'!$A$4:$A$8,0)),"(sin catálogo)"))</f>
        <v/>
      </c>
      <c r="AA936" s="13">
        <f>IF($J936="","",TODAY()-$J936)</f>
        <v/>
      </c>
      <c r="AB936" s="13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IF($AE936="","",IF((IFERROR(INDEX('ASIGNACIONES'!$J$4:$J$451,MATCH($O936&amp;"|"&amp;$R936&amp;"|"&amp;$AE936,'ASIGNACIONES'!$N$4:$N$451,0)),""))=0,"",IFERROR(INDEX('ASIGNACIONES'!$J$4:$J$451,MATCH($O936&amp;"|"&amp;$R936&amp;"|"&amp;$AE936,'ASIGNACIONES'!$N$4:$N$451,0)),"")))</f>
        <v/>
      </c>
      <c r="AG936" s="14">
        <f>IF($AE936="","",SUMIFS('ORDENES'!$M$4:$M$1203,'ORDENES'!$AE$4:$AE$1203,$AE936,'ORDENES'!$O$4:$O$1203,$O936,'ORDENES'!$R$4:$R$1203,$R936))</f>
        <v/>
      </c>
      <c r="AH936" s="14">
        <f>IF($AG936="","",p_factor_productividad*IFERROR(INDEX('ASIGNACIONES'!$M$4:$M$451,MATCH($O936&amp;"|"&amp;$R936&amp;"|"&amp;$AE936,'ASIGNACIONES'!$N$4:$N$451,0)),0)-$AG936)</f>
        <v/>
      </c>
      <c r="AI936" s="11">
        <f>IF($A936="","",IFERROR(INDEX('2_IMPORTAR_EJECUCION'!$F$9:$F$1208,MATCH($AQ936,'2_IMPORTAR_EJECUCION'!$J$9:$J$1208,0)),0))</f>
        <v/>
      </c>
      <c r="AJ936" s="11">
        <f>IF($A936="","",MAX(0,IFERROR(INDEX('2_IMPORTAR_EJECUCION'!$H$9:$H$1208,MATCH($AQ936,'2_IMPORTAR_EJECUCION'!$J$9:$J$1208,0)),0)-$AI936))</f>
        <v/>
      </c>
      <c r="AK936" s="11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IF($H937="","",IFERROR(INDEX('CAT_ACTIVIDADES'!$B$4:$B$8,MATCH($H937,'CAT_ACTIVIDADES'!$A$4:$A$8,0)),"(sin catálogo)"))</f>
        <v/>
      </c>
      <c r="AA937" s="13">
        <f>IF($J937="","",TODAY()-$J937)</f>
        <v/>
      </c>
      <c r="AB937" s="13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IF($AE937="","",IF((IFERROR(INDEX('ASIGNACIONES'!$J$4:$J$451,MATCH($O937&amp;"|"&amp;$R937&amp;"|"&amp;$AE937,'ASIGNACIONES'!$N$4:$N$451,0)),""))=0,"",IFERROR(INDEX('ASIGNACIONES'!$J$4:$J$451,MATCH($O937&amp;"|"&amp;$R937&amp;"|"&amp;$AE937,'ASIGNACIONES'!$N$4:$N$451,0)),"")))</f>
        <v/>
      </c>
      <c r="AG937" s="14">
        <f>IF($AE937="","",SUMIFS('ORDENES'!$M$4:$M$1203,'ORDENES'!$AE$4:$AE$1203,$AE937,'ORDENES'!$O$4:$O$1203,$O937,'ORDENES'!$R$4:$R$1203,$R937))</f>
        <v/>
      </c>
      <c r="AH937" s="14">
        <f>IF($AG937="","",p_factor_productividad*IFERROR(INDEX('ASIGNACIONES'!$M$4:$M$451,MATCH($O937&amp;"|"&amp;$R937&amp;"|"&amp;$AE937,'ASIGNACIONES'!$N$4:$N$451,0)),0)-$AG937)</f>
        <v/>
      </c>
      <c r="AI937" s="11">
        <f>IF($A937="","",IFERROR(INDEX('2_IMPORTAR_EJECUCION'!$F$9:$F$1208,MATCH($AQ937,'2_IMPORTAR_EJECUCION'!$J$9:$J$1208,0)),0))</f>
        <v/>
      </c>
      <c r="AJ937" s="11">
        <f>IF($A937="","",MAX(0,IFERROR(INDEX('2_IMPORTAR_EJECUCION'!$H$9:$H$1208,MATCH($AQ937,'2_IMPORTAR_EJECUCION'!$J$9:$J$1208,0)),0)-$AI937))</f>
        <v/>
      </c>
      <c r="AK937" s="11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IF($H938="","",IFERROR(INDEX('CAT_ACTIVIDADES'!$B$4:$B$8,MATCH($H938,'CAT_ACTIVIDADES'!$A$4:$A$8,0)),"(sin catálogo)"))</f>
        <v/>
      </c>
      <c r="AA938" s="13">
        <f>IF($J938="","",TODAY()-$J938)</f>
        <v/>
      </c>
      <c r="AB938" s="13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IF($AE938="","",IF((IFERROR(INDEX('ASIGNACIONES'!$J$4:$J$451,MATCH($O938&amp;"|"&amp;$R938&amp;"|"&amp;$AE938,'ASIGNACIONES'!$N$4:$N$451,0)),""))=0,"",IFERROR(INDEX('ASIGNACIONES'!$J$4:$J$451,MATCH($O938&amp;"|"&amp;$R938&amp;"|"&amp;$AE938,'ASIGNACIONES'!$N$4:$N$451,0)),"")))</f>
        <v/>
      </c>
      <c r="AG938" s="14">
        <f>IF($AE938="","",SUMIFS('ORDENES'!$M$4:$M$1203,'ORDENES'!$AE$4:$AE$1203,$AE938,'ORDENES'!$O$4:$O$1203,$O938,'ORDENES'!$R$4:$R$1203,$R938))</f>
        <v/>
      </c>
      <c r="AH938" s="14">
        <f>IF($AG938="","",p_factor_productividad*IFERROR(INDEX('ASIGNACIONES'!$M$4:$M$451,MATCH($O938&amp;"|"&amp;$R938&amp;"|"&amp;$AE938,'ASIGNACIONES'!$N$4:$N$451,0)),0)-$AG938)</f>
        <v/>
      </c>
      <c r="AI938" s="11">
        <f>IF($A938="","",IFERROR(INDEX('2_IMPORTAR_EJECUCION'!$F$9:$F$1208,MATCH($AQ938,'2_IMPORTAR_EJECUCION'!$J$9:$J$1208,0)),0))</f>
        <v/>
      </c>
      <c r="AJ938" s="11">
        <f>IF($A938="","",MAX(0,IFERROR(INDEX('2_IMPORTAR_EJECUCION'!$H$9:$H$1208,MATCH($AQ938,'2_IMPORTAR_EJECUCION'!$J$9:$J$1208,0)),0)-$AI938))</f>
        <v/>
      </c>
      <c r="AK938" s="11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IF($H939="","",IFERROR(INDEX('CAT_ACTIVIDADES'!$B$4:$B$8,MATCH($H939,'CAT_ACTIVIDADES'!$A$4:$A$8,0)),"(sin catálogo)"))</f>
        <v/>
      </c>
      <c r="AA939" s="13">
        <f>IF($J939="","",TODAY()-$J939)</f>
        <v/>
      </c>
      <c r="AB939" s="13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IF($AE939="","",IF((IFERROR(INDEX('ASIGNACIONES'!$J$4:$J$451,MATCH($O939&amp;"|"&amp;$R939&amp;"|"&amp;$AE939,'ASIGNACIONES'!$N$4:$N$451,0)),""))=0,"",IFERROR(INDEX('ASIGNACIONES'!$J$4:$J$451,MATCH($O939&amp;"|"&amp;$R939&amp;"|"&amp;$AE939,'ASIGNACIONES'!$N$4:$N$451,0)),"")))</f>
        <v/>
      </c>
      <c r="AG939" s="14">
        <f>IF($AE939="","",SUMIFS('ORDENES'!$M$4:$M$1203,'ORDENES'!$AE$4:$AE$1203,$AE939,'ORDENES'!$O$4:$O$1203,$O939,'ORDENES'!$R$4:$R$1203,$R939))</f>
        <v/>
      </c>
      <c r="AH939" s="14">
        <f>IF($AG939="","",p_factor_productividad*IFERROR(INDEX('ASIGNACIONES'!$M$4:$M$451,MATCH($O939&amp;"|"&amp;$R939&amp;"|"&amp;$AE939,'ASIGNACIONES'!$N$4:$N$451,0)),0)-$AG939)</f>
        <v/>
      </c>
      <c r="AI939" s="11">
        <f>IF($A939="","",IFERROR(INDEX('2_IMPORTAR_EJECUCION'!$F$9:$F$1208,MATCH($AQ939,'2_IMPORTAR_EJECUCION'!$J$9:$J$1208,0)),0))</f>
        <v/>
      </c>
      <c r="AJ939" s="11">
        <f>IF($A939="","",MAX(0,IFERROR(INDEX('2_IMPORTAR_EJECUCION'!$H$9:$H$1208,MATCH($AQ939,'2_IMPORTAR_EJECUCION'!$J$9:$J$1208,0)),0)-$AI939))</f>
        <v/>
      </c>
      <c r="AK939" s="11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IF($H940="","",IFERROR(INDEX('CAT_ACTIVIDADES'!$B$4:$B$8,MATCH($H940,'CAT_ACTIVIDADES'!$A$4:$A$8,0)),"(sin catálogo)"))</f>
        <v/>
      </c>
      <c r="AA940" s="13">
        <f>IF($J940="","",TODAY()-$J940)</f>
        <v/>
      </c>
      <c r="AB940" s="13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IF($AE940="","",IF((IFERROR(INDEX('ASIGNACIONES'!$J$4:$J$451,MATCH($O940&amp;"|"&amp;$R940&amp;"|"&amp;$AE940,'ASIGNACIONES'!$N$4:$N$451,0)),""))=0,"",IFERROR(INDEX('ASIGNACIONES'!$J$4:$J$451,MATCH($O940&amp;"|"&amp;$R940&amp;"|"&amp;$AE940,'ASIGNACIONES'!$N$4:$N$451,0)),"")))</f>
        <v/>
      </c>
      <c r="AG940" s="14">
        <f>IF($AE940="","",SUMIFS('ORDENES'!$M$4:$M$1203,'ORDENES'!$AE$4:$AE$1203,$AE940,'ORDENES'!$O$4:$O$1203,$O940,'ORDENES'!$R$4:$R$1203,$R940))</f>
        <v/>
      </c>
      <c r="AH940" s="14">
        <f>IF($AG940="","",p_factor_productividad*IFERROR(INDEX('ASIGNACIONES'!$M$4:$M$451,MATCH($O940&amp;"|"&amp;$R940&amp;"|"&amp;$AE940,'ASIGNACIONES'!$N$4:$N$451,0)),0)-$AG940)</f>
        <v/>
      </c>
      <c r="AI940" s="11">
        <f>IF($A940="","",IFERROR(INDEX('2_IMPORTAR_EJECUCION'!$F$9:$F$1208,MATCH($AQ940,'2_IMPORTAR_EJECUCION'!$J$9:$J$1208,0)),0))</f>
        <v/>
      </c>
      <c r="AJ940" s="11">
        <f>IF($A940="","",MAX(0,IFERROR(INDEX('2_IMPORTAR_EJECUCION'!$H$9:$H$1208,MATCH($AQ940,'2_IMPORTAR_EJECUCION'!$J$9:$J$1208,0)),0)-$AI940))</f>
        <v/>
      </c>
      <c r="AK940" s="11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IF($H941="","",IFERROR(INDEX('CAT_ACTIVIDADES'!$B$4:$B$8,MATCH($H941,'CAT_ACTIVIDADES'!$A$4:$A$8,0)),"(sin catálogo)"))</f>
        <v/>
      </c>
      <c r="AA941" s="13">
        <f>IF($J941="","",TODAY()-$J941)</f>
        <v/>
      </c>
      <c r="AB941" s="13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IF($AE941="","",IF((IFERROR(INDEX('ASIGNACIONES'!$J$4:$J$451,MATCH($O941&amp;"|"&amp;$R941&amp;"|"&amp;$AE941,'ASIGNACIONES'!$N$4:$N$451,0)),""))=0,"",IFERROR(INDEX('ASIGNACIONES'!$J$4:$J$451,MATCH($O941&amp;"|"&amp;$R941&amp;"|"&amp;$AE941,'ASIGNACIONES'!$N$4:$N$451,0)),"")))</f>
        <v/>
      </c>
      <c r="AG941" s="14">
        <f>IF($AE941="","",SUMIFS('ORDENES'!$M$4:$M$1203,'ORDENES'!$AE$4:$AE$1203,$AE941,'ORDENES'!$O$4:$O$1203,$O941,'ORDENES'!$R$4:$R$1203,$R941))</f>
        <v/>
      </c>
      <c r="AH941" s="14">
        <f>IF($AG941="","",p_factor_productividad*IFERROR(INDEX('ASIGNACIONES'!$M$4:$M$451,MATCH($O941&amp;"|"&amp;$R941&amp;"|"&amp;$AE941,'ASIGNACIONES'!$N$4:$N$451,0)),0)-$AG941)</f>
        <v/>
      </c>
      <c r="AI941" s="11">
        <f>IF($A941="","",IFERROR(INDEX('2_IMPORTAR_EJECUCION'!$F$9:$F$1208,MATCH($AQ941,'2_IMPORTAR_EJECUCION'!$J$9:$J$1208,0)),0))</f>
        <v/>
      </c>
      <c r="AJ941" s="11">
        <f>IF($A941="","",MAX(0,IFERROR(INDEX('2_IMPORTAR_EJECUCION'!$H$9:$H$1208,MATCH($AQ941,'2_IMPORTAR_EJECUCION'!$J$9:$J$1208,0)),0)-$AI941))</f>
        <v/>
      </c>
      <c r="AK941" s="11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IF($H942="","",IFERROR(INDEX('CAT_ACTIVIDADES'!$B$4:$B$8,MATCH($H942,'CAT_ACTIVIDADES'!$A$4:$A$8,0)),"(sin catálogo)"))</f>
        <v/>
      </c>
      <c r="AA942" s="13">
        <f>IF($J942="","",TODAY()-$J942)</f>
        <v/>
      </c>
      <c r="AB942" s="13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IF($AE942="","",IF((IFERROR(INDEX('ASIGNACIONES'!$J$4:$J$451,MATCH($O942&amp;"|"&amp;$R942&amp;"|"&amp;$AE942,'ASIGNACIONES'!$N$4:$N$451,0)),""))=0,"",IFERROR(INDEX('ASIGNACIONES'!$J$4:$J$451,MATCH($O942&amp;"|"&amp;$R942&amp;"|"&amp;$AE942,'ASIGNACIONES'!$N$4:$N$451,0)),"")))</f>
        <v/>
      </c>
      <c r="AG942" s="14">
        <f>IF($AE942="","",SUMIFS('ORDENES'!$M$4:$M$1203,'ORDENES'!$AE$4:$AE$1203,$AE942,'ORDENES'!$O$4:$O$1203,$O942,'ORDENES'!$R$4:$R$1203,$R942))</f>
        <v/>
      </c>
      <c r="AH942" s="14">
        <f>IF($AG942="","",p_factor_productividad*IFERROR(INDEX('ASIGNACIONES'!$M$4:$M$451,MATCH($O942&amp;"|"&amp;$R942&amp;"|"&amp;$AE942,'ASIGNACIONES'!$N$4:$N$451,0)),0)-$AG942)</f>
        <v/>
      </c>
      <c r="AI942" s="11">
        <f>IF($A942="","",IFERROR(INDEX('2_IMPORTAR_EJECUCION'!$F$9:$F$1208,MATCH($AQ942,'2_IMPORTAR_EJECUCION'!$J$9:$J$1208,0)),0))</f>
        <v/>
      </c>
      <c r="AJ942" s="11">
        <f>IF($A942="","",MAX(0,IFERROR(INDEX('2_IMPORTAR_EJECUCION'!$H$9:$H$1208,MATCH($AQ942,'2_IMPORTAR_EJECUCION'!$J$9:$J$1208,0)),0)-$AI942))</f>
        <v/>
      </c>
      <c r="AK942" s="11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IF($H943="","",IFERROR(INDEX('CAT_ACTIVIDADES'!$B$4:$B$8,MATCH($H943,'CAT_ACTIVIDADES'!$A$4:$A$8,0)),"(sin catálogo)"))</f>
        <v/>
      </c>
      <c r="AA943" s="13">
        <f>IF($J943="","",TODAY()-$J943)</f>
        <v/>
      </c>
      <c r="AB943" s="13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IF($AE943="","",IF((IFERROR(INDEX('ASIGNACIONES'!$J$4:$J$451,MATCH($O943&amp;"|"&amp;$R943&amp;"|"&amp;$AE943,'ASIGNACIONES'!$N$4:$N$451,0)),""))=0,"",IFERROR(INDEX('ASIGNACIONES'!$J$4:$J$451,MATCH($O943&amp;"|"&amp;$R943&amp;"|"&amp;$AE943,'ASIGNACIONES'!$N$4:$N$451,0)),"")))</f>
        <v/>
      </c>
      <c r="AG943" s="14">
        <f>IF($AE943="","",SUMIFS('ORDENES'!$M$4:$M$1203,'ORDENES'!$AE$4:$AE$1203,$AE943,'ORDENES'!$O$4:$O$1203,$O943,'ORDENES'!$R$4:$R$1203,$R943))</f>
        <v/>
      </c>
      <c r="AH943" s="14">
        <f>IF($AG943="","",p_factor_productividad*IFERROR(INDEX('ASIGNACIONES'!$M$4:$M$451,MATCH($O943&amp;"|"&amp;$R943&amp;"|"&amp;$AE943,'ASIGNACIONES'!$N$4:$N$451,0)),0)-$AG943)</f>
        <v/>
      </c>
      <c r="AI943" s="11">
        <f>IF($A943="","",IFERROR(INDEX('2_IMPORTAR_EJECUCION'!$F$9:$F$1208,MATCH($AQ943,'2_IMPORTAR_EJECUCION'!$J$9:$J$1208,0)),0))</f>
        <v/>
      </c>
      <c r="AJ943" s="11">
        <f>IF($A943="","",MAX(0,IFERROR(INDEX('2_IMPORTAR_EJECUCION'!$H$9:$H$1208,MATCH($AQ943,'2_IMPORTAR_EJECUCION'!$J$9:$J$1208,0)),0)-$AI943))</f>
        <v/>
      </c>
      <c r="AK943" s="11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IF($H944="","",IFERROR(INDEX('CAT_ACTIVIDADES'!$B$4:$B$8,MATCH($H944,'CAT_ACTIVIDADES'!$A$4:$A$8,0)),"(sin catálogo)"))</f>
        <v/>
      </c>
      <c r="AA944" s="13">
        <f>IF($J944="","",TODAY()-$J944)</f>
        <v/>
      </c>
      <c r="AB944" s="13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IF($AE944="","",IF((IFERROR(INDEX('ASIGNACIONES'!$J$4:$J$451,MATCH($O944&amp;"|"&amp;$R944&amp;"|"&amp;$AE944,'ASIGNACIONES'!$N$4:$N$451,0)),""))=0,"",IFERROR(INDEX('ASIGNACIONES'!$J$4:$J$451,MATCH($O944&amp;"|"&amp;$R944&amp;"|"&amp;$AE944,'ASIGNACIONES'!$N$4:$N$451,0)),"")))</f>
        <v/>
      </c>
      <c r="AG944" s="14">
        <f>IF($AE944="","",SUMIFS('ORDENES'!$M$4:$M$1203,'ORDENES'!$AE$4:$AE$1203,$AE944,'ORDENES'!$O$4:$O$1203,$O944,'ORDENES'!$R$4:$R$1203,$R944))</f>
        <v/>
      </c>
      <c r="AH944" s="14">
        <f>IF($AG944="","",p_factor_productividad*IFERROR(INDEX('ASIGNACIONES'!$M$4:$M$451,MATCH($O944&amp;"|"&amp;$R944&amp;"|"&amp;$AE944,'ASIGNACIONES'!$N$4:$N$451,0)),0)-$AG944)</f>
        <v/>
      </c>
      <c r="AI944" s="11">
        <f>IF($A944="","",IFERROR(INDEX('2_IMPORTAR_EJECUCION'!$F$9:$F$1208,MATCH($AQ944,'2_IMPORTAR_EJECUCION'!$J$9:$J$1208,0)),0))</f>
        <v/>
      </c>
      <c r="AJ944" s="11">
        <f>IF($A944="","",MAX(0,IFERROR(INDEX('2_IMPORTAR_EJECUCION'!$H$9:$H$1208,MATCH($AQ944,'2_IMPORTAR_EJECUCION'!$J$9:$J$1208,0)),0)-$AI944))</f>
        <v/>
      </c>
      <c r="AK944" s="11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IF($H945="","",IFERROR(INDEX('CAT_ACTIVIDADES'!$B$4:$B$8,MATCH($H945,'CAT_ACTIVIDADES'!$A$4:$A$8,0)),"(sin catálogo)"))</f>
        <v/>
      </c>
      <c r="AA945" s="13">
        <f>IF($J945="","",TODAY()-$J945)</f>
        <v/>
      </c>
      <c r="AB945" s="13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IF($AE945="","",IF((IFERROR(INDEX('ASIGNACIONES'!$J$4:$J$451,MATCH($O945&amp;"|"&amp;$R945&amp;"|"&amp;$AE945,'ASIGNACIONES'!$N$4:$N$451,0)),""))=0,"",IFERROR(INDEX('ASIGNACIONES'!$J$4:$J$451,MATCH($O945&amp;"|"&amp;$R945&amp;"|"&amp;$AE945,'ASIGNACIONES'!$N$4:$N$451,0)),"")))</f>
        <v/>
      </c>
      <c r="AG945" s="14">
        <f>IF($AE945="","",SUMIFS('ORDENES'!$M$4:$M$1203,'ORDENES'!$AE$4:$AE$1203,$AE945,'ORDENES'!$O$4:$O$1203,$O945,'ORDENES'!$R$4:$R$1203,$R945))</f>
        <v/>
      </c>
      <c r="AH945" s="14">
        <f>IF($AG945="","",p_factor_productividad*IFERROR(INDEX('ASIGNACIONES'!$M$4:$M$451,MATCH($O945&amp;"|"&amp;$R945&amp;"|"&amp;$AE945,'ASIGNACIONES'!$N$4:$N$451,0)),0)-$AG945)</f>
        <v/>
      </c>
      <c r="AI945" s="11">
        <f>IF($A945="","",IFERROR(INDEX('2_IMPORTAR_EJECUCION'!$F$9:$F$1208,MATCH($AQ945,'2_IMPORTAR_EJECUCION'!$J$9:$J$1208,0)),0))</f>
        <v/>
      </c>
      <c r="AJ945" s="11">
        <f>IF($A945="","",MAX(0,IFERROR(INDEX('2_IMPORTAR_EJECUCION'!$H$9:$H$1208,MATCH($AQ945,'2_IMPORTAR_EJECUCION'!$J$9:$J$1208,0)),0)-$AI945))</f>
        <v/>
      </c>
      <c r="AK945" s="11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IF($H946="","",IFERROR(INDEX('CAT_ACTIVIDADES'!$B$4:$B$8,MATCH($H946,'CAT_ACTIVIDADES'!$A$4:$A$8,0)),"(sin catálogo)"))</f>
        <v/>
      </c>
      <c r="AA946" s="13">
        <f>IF($J946="","",TODAY()-$J946)</f>
        <v/>
      </c>
      <c r="AB946" s="13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IF($AE946="","",IF((IFERROR(INDEX('ASIGNACIONES'!$J$4:$J$451,MATCH($O946&amp;"|"&amp;$R946&amp;"|"&amp;$AE946,'ASIGNACIONES'!$N$4:$N$451,0)),""))=0,"",IFERROR(INDEX('ASIGNACIONES'!$J$4:$J$451,MATCH($O946&amp;"|"&amp;$R946&amp;"|"&amp;$AE946,'ASIGNACIONES'!$N$4:$N$451,0)),"")))</f>
        <v/>
      </c>
      <c r="AG946" s="14">
        <f>IF($AE946="","",SUMIFS('ORDENES'!$M$4:$M$1203,'ORDENES'!$AE$4:$AE$1203,$AE946,'ORDENES'!$O$4:$O$1203,$O946,'ORDENES'!$R$4:$R$1203,$R946))</f>
        <v/>
      </c>
      <c r="AH946" s="14">
        <f>IF($AG946="","",p_factor_productividad*IFERROR(INDEX('ASIGNACIONES'!$M$4:$M$451,MATCH($O946&amp;"|"&amp;$R946&amp;"|"&amp;$AE946,'ASIGNACIONES'!$N$4:$N$451,0)),0)-$AG946)</f>
        <v/>
      </c>
      <c r="AI946" s="11">
        <f>IF($A946="","",IFERROR(INDEX('2_IMPORTAR_EJECUCION'!$F$9:$F$1208,MATCH($AQ946,'2_IMPORTAR_EJECUCION'!$J$9:$J$1208,0)),0))</f>
        <v/>
      </c>
      <c r="AJ946" s="11">
        <f>IF($A946="","",MAX(0,IFERROR(INDEX('2_IMPORTAR_EJECUCION'!$H$9:$H$1208,MATCH($AQ946,'2_IMPORTAR_EJECUCION'!$J$9:$J$1208,0)),0)-$AI946))</f>
        <v/>
      </c>
      <c r="AK946" s="11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IF($H947="","",IFERROR(INDEX('CAT_ACTIVIDADES'!$B$4:$B$8,MATCH($H947,'CAT_ACTIVIDADES'!$A$4:$A$8,0)),"(sin catálogo)"))</f>
        <v/>
      </c>
      <c r="AA947" s="13">
        <f>IF($J947="","",TODAY()-$J947)</f>
        <v/>
      </c>
      <c r="AB947" s="13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IF($AE947="","",IF((IFERROR(INDEX('ASIGNACIONES'!$J$4:$J$451,MATCH($O947&amp;"|"&amp;$R947&amp;"|"&amp;$AE947,'ASIGNACIONES'!$N$4:$N$451,0)),""))=0,"",IFERROR(INDEX('ASIGNACIONES'!$J$4:$J$451,MATCH($O947&amp;"|"&amp;$R947&amp;"|"&amp;$AE947,'ASIGNACIONES'!$N$4:$N$451,0)),"")))</f>
        <v/>
      </c>
      <c r="AG947" s="14">
        <f>IF($AE947="","",SUMIFS('ORDENES'!$M$4:$M$1203,'ORDENES'!$AE$4:$AE$1203,$AE947,'ORDENES'!$O$4:$O$1203,$O947,'ORDENES'!$R$4:$R$1203,$R947))</f>
        <v/>
      </c>
      <c r="AH947" s="14">
        <f>IF($AG947="","",p_factor_productividad*IFERROR(INDEX('ASIGNACIONES'!$M$4:$M$451,MATCH($O947&amp;"|"&amp;$R947&amp;"|"&amp;$AE947,'ASIGNACIONES'!$N$4:$N$451,0)),0)-$AG947)</f>
        <v/>
      </c>
      <c r="AI947" s="11">
        <f>IF($A947="","",IFERROR(INDEX('2_IMPORTAR_EJECUCION'!$F$9:$F$1208,MATCH($AQ947,'2_IMPORTAR_EJECUCION'!$J$9:$J$1208,0)),0))</f>
        <v/>
      </c>
      <c r="AJ947" s="11">
        <f>IF($A947="","",MAX(0,IFERROR(INDEX('2_IMPORTAR_EJECUCION'!$H$9:$H$1208,MATCH($AQ947,'2_IMPORTAR_EJECUCION'!$J$9:$J$1208,0)),0)-$AI947))</f>
        <v/>
      </c>
      <c r="AK947" s="11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IF($H948="","",IFERROR(INDEX('CAT_ACTIVIDADES'!$B$4:$B$8,MATCH($H948,'CAT_ACTIVIDADES'!$A$4:$A$8,0)),"(sin catálogo)"))</f>
        <v/>
      </c>
      <c r="AA948" s="13">
        <f>IF($J948="","",TODAY()-$J948)</f>
        <v/>
      </c>
      <c r="AB948" s="13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IF($AE948="","",IF((IFERROR(INDEX('ASIGNACIONES'!$J$4:$J$451,MATCH($O948&amp;"|"&amp;$R948&amp;"|"&amp;$AE948,'ASIGNACIONES'!$N$4:$N$451,0)),""))=0,"",IFERROR(INDEX('ASIGNACIONES'!$J$4:$J$451,MATCH($O948&amp;"|"&amp;$R948&amp;"|"&amp;$AE948,'ASIGNACIONES'!$N$4:$N$451,0)),"")))</f>
        <v/>
      </c>
      <c r="AG948" s="14">
        <f>IF($AE948="","",SUMIFS('ORDENES'!$M$4:$M$1203,'ORDENES'!$AE$4:$AE$1203,$AE948,'ORDENES'!$O$4:$O$1203,$O948,'ORDENES'!$R$4:$R$1203,$R948))</f>
        <v/>
      </c>
      <c r="AH948" s="14">
        <f>IF($AG948="","",p_factor_productividad*IFERROR(INDEX('ASIGNACIONES'!$M$4:$M$451,MATCH($O948&amp;"|"&amp;$R948&amp;"|"&amp;$AE948,'ASIGNACIONES'!$N$4:$N$451,0)),0)-$AG948)</f>
        <v/>
      </c>
      <c r="AI948" s="11">
        <f>IF($A948="","",IFERROR(INDEX('2_IMPORTAR_EJECUCION'!$F$9:$F$1208,MATCH($AQ948,'2_IMPORTAR_EJECUCION'!$J$9:$J$1208,0)),0))</f>
        <v/>
      </c>
      <c r="AJ948" s="11">
        <f>IF($A948="","",MAX(0,IFERROR(INDEX('2_IMPORTAR_EJECUCION'!$H$9:$H$1208,MATCH($AQ948,'2_IMPORTAR_EJECUCION'!$J$9:$J$1208,0)),0)-$AI948))</f>
        <v/>
      </c>
      <c r="AK948" s="11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IF($H949="","",IFERROR(INDEX('CAT_ACTIVIDADES'!$B$4:$B$8,MATCH($H949,'CAT_ACTIVIDADES'!$A$4:$A$8,0)),"(sin catálogo)"))</f>
        <v/>
      </c>
      <c r="AA949" s="13">
        <f>IF($J949="","",TODAY()-$J949)</f>
        <v/>
      </c>
      <c r="AB949" s="13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IF($AE949="","",IF((IFERROR(INDEX('ASIGNACIONES'!$J$4:$J$451,MATCH($O949&amp;"|"&amp;$R949&amp;"|"&amp;$AE949,'ASIGNACIONES'!$N$4:$N$451,0)),""))=0,"",IFERROR(INDEX('ASIGNACIONES'!$J$4:$J$451,MATCH($O949&amp;"|"&amp;$R949&amp;"|"&amp;$AE949,'ASIGNACIONES'!$N$4:$N$451,0)),"")))</f>
        <v/>
      </c>
      <c r="AG949" s="14">
        <f>IF($AE949="","",SUMIFS('ORDENES'!$M$4:$M$1203,'ORDENES'!$AE$4:$AE$1203,$AE949,'ORDENES'!$O$4:$O$1203,$O949,'ORDENES'!$R$4:$R$1203,$R949))</f>
        <v/>
      </c>
      <c r="AH949" s="14">
        <f>IF($AG949="","",p_factor_productividad*IFERROR(INDEX('ASIGNACIONES'!$M$4:$M$451,MATCH($O949&amp;"|"&amp;$R949&amp;"|"&amp;$AE949,'ASIGNACIONES'!$N$4:$N$451,0)),0)-$AG949)</f>
        <v/>
      </c>
      <c r="AI949" s="11">
        <f>IF($A949="","",IFERROR(INDEX('2_IMPORTAR_EJECUCION'!$F$9:$F$1208,MATCH($AQ949,'2_IMPORTAR_EJECUCION'!$J$9:$J$1208,0)),0))</f>
        <v/>
      </c>
      <c r="AJ949" s="11">
        <f>IF($A949="","",MAX(0,IFERROR(INDEX('2_IMPORTAR_EJECUCION'!$H$9:$H$1208,MATCH($AQ949,'2_IMPORTAR_EJECUCION'!$J$9:$J$1208,0)),0)-$AI949))</f>
        <v/>
      </c>
      <c r="AK949" s="11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IF($H950="","",IFERROR(INDEX('CAT_ACTIVIDADES'!$B$4:$B$8,MATCH($H950,'CAT_ACTIVIDADES'!$A$4:$A$8,0)),"(sin catálogo)"))</f>
        <v/>
      </c>
      <c r="AA950" s="13">
        <f>IF($J950="","",TODAY()-$J950)</f>
        <v/>
      </c>
      <c r="AB950" s="13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IF($AE950="","",IF((IFERROR(INDEX('ASIGNACIONES'!$J$4:$J$451,MATCH($O950&amp;"|"&amp;$R950&amp;"|"&amp;$AE950,'ASIGNACIONES'!$N$4:$N$451,0)),""))=0,"",IFERROR(INDEX('ASIGNACIONES'!$J$4:$J$451,MATCH($O950&amp;"|"&amp;$R950&amp;"|"&amp;$AE950,'ASIGNACIONES'!$N$4:$N$451,0)),"")))</f>
        <v/>
      </c>
      <c r="AG950" s="14">
        <f>IF($AE950="","",SUMIFS('ORDENES'!$M$4:$M$1203,'ORDENES'!$AE$4:$AE$1203,$AE950,'ORDENES'!$O$4:$O$1203,$O950,'ORDENES'!$R$4:$R$1203,$R950))</f>
        <v/>
      </c>
      <c r="AH950" s="14">
        <f>IF($AG950="","",p_factor_productividad*IFERROR(INDEX('ASIGNACIONES'!$M$4:$M$451,MATCH($O950&amp;"|"&amp;$R950&amp;"|"&amp;$AE950,'ASIGNACIONES'!$N$4:$N$451,0)),0)-$AG950)</f>
        <v/>
      </c>
      <c r="AI950" s="11">
        <f>IF($A950="","",IFERROR(INDEX('2_IMPORTAR_EJECUCION'!$F$9:$F$1208,MATCH($AQ950,'2_IMPORTAR_EJECUCION'!$J$9:$J$1208,0)),0))</f>
        <v/>
      </c>
      <c r="AJ950" s="11">
        <f>IF($A950="","",MAX(0,IFERROR(INDEX('2_IMPORTAR_EJECUCION'!$H$9:$H$1208,MATCH($AQ950,'2_IMPORTAR_EJECUCION'!$J$9:$J$1208,0)),0)-$AI950))</f>
        <v/>
      </c>
      <c r="AK950" s="11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IF($H951="","",IFERROR(INDEX('CAT_ACTIVIDADES'!$B$4:$B$8,MATCH($H951,'CAT_ACTIVIDADES'!$A$4:$A$8,0)),"(sin catálogo)"))</f>
        <v/>
      </c>
      <c r="AA951" s="13">
        <f>IF($J951="","",TODAY()-$J951)</f>
        <v/>
      </c>
      <c r="AB951" s="13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IF($AE951="","",IF((IFERROR(INDEX('ASIGNACIONES'!$J$4:$J$451,MATCH($O951&amp;"|"&amp;$R951&amp;"|"&amp;$AE951,'ASIGNACIONES'!$N$4:$N$451,0)),""))=0,"",IFERROR(INDEX('ASIGNACIONES'!$J$4:$J$451,MATCH($O951&amp;"|"&amp;$R951&amp;"|"&amp;$AE951,'ASIGNACIONES'!$N$4:$N$451,0)),"")))</f>
        <v/>
      </c>
      <c r="AG951" s="14">
        <f>IF($AE951="","",SUMIFS('ORDENES'!$M$4:$M$1203,'ORDENES'!$AE$4:$AE$1203,$AE951,'ORDENES'!$O$4:$O$1203,$O951,'ORDENES'!$R$4:$R$1203,$R951))</f>
        <v/>
      </c>
      <c r="AH951" s="14">
        <f>IF($AG951="","",p_factor_productividad*IFERROR(INDEX('ASIGNACIONES'!$M$4:$M$451,MATCH($O951&amp;"|"&amp;$R951&amp;"|"&amp;$AE951,'ASIGNACIONES'!$N$4:$N$451,0)),0)-$AG951)</f>
        <v/>
      </c>
      <c r="AI951" s="11">
        <f>IF($A951="","",IFERROR(INDEX('2_IMPORTAR_EJECUCION'!$F$9:$F$1208,MATCH($AQ951,'2_IMPORTAR_EJECUCION'!$J$9:$J$1208,0)),0))</f>
        <v/>
      </c>
      <c r="AJ951" s="11">
        <f>IF($A951="","",MAX(0,IFERROR(INDEX('2_IMPORTAR_EJECUCION'!$H$9:$H$1208,MATCH($AQ951,'2_IMPORTAR_EJECUCION'!$J$9:$J$1208,0)),0)-$AI951))</f>
        <v/>
      </c>
      <c r="AK951" s="11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IF($H952="","",IFERROR(INDEX('CAT_ACTIVIDADES'!$B$4:$B$8,MATCH($H952,'CAT_ACTIVIDADES'!$A$4:$A$8,0)),"(sin catálogo)"))</f>
        <v/>
      </c>
      <c r="AA952" s="13">
        <f>IF($J952="","",TODAY()-$J952)</f>
        <v/>
      </c>
      <c r="AB952" s="13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IF($AE952="","",IF((IFERROR(INDEX('ASIGNACIONES'!$J$4:$J$451,MATCH($O952&amp;"|"&amp;$R952&amp;"|"&amp;$AE952,'ASIGNACIONES'!$N$4:$N$451,0)),""))=0,"",IFERROR(INDEX('ASIGNACIONES'!$J$4:$J$451,MATCH($O952&amp;"|"&amp;$R952&amp;"|"&amp;$AE952,'ASIGNACIONES'!$N$4:$N$451,0)),"")))</f>
        <v/>
      </c>
      <c r="AG952" s="14">
        <f>IF($AE952="","",SUMIFS('ORDENES'!$M$4:$M$1203,'ORDENES'!$AE$4:$AE$1203,$AE952,'ORDENES'!$O$4:$O$1203,$O952,'ORDENES'!$R$4:$R$1203,$R952))</f>
        <v/>
      </c>
      <c r="AH952" s="14">
        <f>IF($AG952="","",p_factor_productividad*IFERROR(INDEX('ASIGNACIONES'!$M$4:$M$451,MATCH($O952&amp;"|"&amp;$R952&amp;"|"&amp;$AE952,'ASIGNACIONES'!$N$4:$N$451,0)),0)-$AG952)</f>
        <v/>
      </c>
      <c r="AI952" s="11">
        <f>IF($A952="","",IFERROR(INDEX('2_IMPORTAR_EJECUCION'!$F$9:$F$1208,MATCH($AQ952,'2_IMPORTAR_EJECUCION'!$J$9:$J$1208,0)),0))</f>
        <v/>
      </c>
      <c r="AJ952" s="11">
        <f>IF($A952="","",MAX(0,IFERROR(INDEX('2_IMPORTAR_EJECUCION'!$H$9:$H$1208,MATCH($AQ952,'2_IMPORTAR_EJECUCION'!$J$9:$J$1208,0)),0)-$AI952))</f>
        <v/>
      </c>
      <c r="AK952" s="11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IF($H953="","",IFERROR(INDEX('CAT_ACTIVIDADES'!$B$4:$B$8,MATCH($H953,'CAT_ACTIVIDADES'!$A$4:$A$8,0)),"(sin catálogo)"))</f>
        <v/>
      </c>
      <c r="AA953" s="13">
        <f>IF($J953="","",TODAY()-$J953)</f>
        <v/>
      </c>
      <c r="AB953" s="13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IF($AE953="","",IF((IFERROR(INDEX('ASIGNACIONES'!$J$4:$J$451,MATCH($O953&amp;"|"&amp;$R953&amp;"|"&amp;$AE953,'ASIGNACIONES'!$N$4:$N$451,0)),""))=0,"",IFERROR(INDEX('ASIGNACIONES'!$J$4:$J$451,MATCH($O953&amp;"|"&amp;$R953&amp;"|"&amp;$AE953,'ASIGNACIONES'!$N$4:$N$451,0)),"")))</f>
        <v/>
      </c>
      <c r="AG953" s="14">
        <f>IF($AE953="","",SUMIFS('ORDENES'!$M$4:$M$1203,'ORDENES'!$AE$4:$AE$1203,$AE953,'ORDENES'!$O$4:$O$1203,$O953,'ORDENES'!$R$4:$R$1203,$R953))</f>
        <v/>
      </c>
      <c r="AH953" s="14">
        <f>IF($AG953="","",p_factor_productividad*IFERROR(INDEX('ASIGNACIONES'!$M$4:$M$451,MATCH($O953&amp;"|"&amp;$R953&amp;"|"&amp;$AE953,'ASIGNACIONES'!$N$4:$N$451,0)),0)-$AG953)</f>
        <v/>
      </c>
      <c r="AI953" s="11">
        <f>IF($A953="","",IFERROR(INDEX('2_IMPORTAR_EJECUCION'!$F$9:$F$1208,MATCH($AQ953,'2_IMPORTAR_EJECUCION'!$J$9:$J$1208,0)),0))</f>
        <v/>
      </c>
      <c r="AJ953" s="11">
        <f>IF($A953="","",MAX(0,IFERROR(INDEX('2_IMPORTAR_EJECUCION'!$H$9:$H$1208,MATCH($AQ953,'2_IMPORTAR_EJECUCION'!$J$9:$J$1208,0)),0)-$AI953))</f>
        <v/>
      </c>
      <c r="AK953" s="11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IF($H954="","",IFERROR(INDEX('CAT_ACTIVIDADES'!$B$4:$B$8,MATCH($H954,'CAT_ACTIVIDADES'!$A$4:$A$8,0)),"(sin catálogo)"))</f>
        <v/>
      </c>
      <c r="AA954" s="13">
        <f>IF($J954="","",TODAY()-$J954)</f>
        <v/>
      </c>
      <c r="AB954" s="13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IF($AE954="","",IF((IFERROR(INDEX('ASIGNACIONES'!$J$4:$J$451,MATCH($O954&amp;"|"&amp;$R954&amp;"|"&amp;$AE954,'ASIGNACIONES'!$N$4:$N$451,0)),""))=0,"",IFERROR(INDEX('ASIGNACIONES'!$J$4:$J$451,MATCH($O954&amp;"|"&amp;$R954&amp;"|"&amp;$AE954,'ASIGNACIONES'!$N$4:$N$451,0)),"")))</f>
        <v/>
      </c>
      <c r="AG954" s="14">
        <f>IF($AE954="","",SUMIFS('ORDENES'!$M$4:$M$1203,'ORDENES'!$AE$4:$AE$1203,$AE954,'ORDENES'!$O$4:$O$1203,$O954,'ORDENES'!$R$4:$R$1203,$R954))</f>
        <v/>
      </c>
      <c r="AH954" s="14">
        <f>IF($AG954="","",p_factor_productividad*IFERROR(INDEX('ASIGNACIONES'!$M$4:$M$451,MATCH($O954&amp;"|"&amp;$R954&amp;"|"&amp;$AE954,'ASIGNACIONES'!$N$4:$N$451,0)),0)-$AG954)</f>
        <v/>
      </c>
      <c r="AI954" s="11">
        <f>IF($A954="","",IFERROR(INDEX('2_IMPORTAR_EJECUCION'!$F$9:$F$1208,MATCH($AQ954,'2_IMPORTAR_EJECUCION'!$J$9:$J$1208,0)),0))</f>
        <v/>
      </c>
      <c r="AJ954" s="11">
        <f>IF($A954="","",MAX(0,IFERROR(INDEX('2_IMPORTAR_EJECUCION'!$H$9:$H$1208,MATCH($AQ954,'2_IMPORTAR_EJECUCION'!$J$9:$J$1208,0)),0)-$AI954))</f>
        <v/>
      </c>
      <c r="AK954" s="11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IF($H955="","",IFERROR(INDEX('CAT_ACTIVIDADES'!$B$4:$B$8,MATCH($H955,'CAT_ACTIVIDADES'!$A$4:$A$8,0)),"(sin catálogo)"))</f>
        <v/>
      </c>
      <c r="AA955" s="13">
        <f>IF($J955="","",TODAY()-$J955)</f>
        <v/>
      </c>
      <c r="AB955" s="13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IF($AE955="","",IF((IFERROR(INDEX('ASIGNACIONES'!$J$4:$J$451,MATCH($O955&amp;"|"&amp;$R955&amp;"|"&amp;$AE955,'ASIGNACIONES'!$N$4:$N$451,0)),""))=0,"",IFERROR(INDEX('ASIGNACIONES'!$J$4:$J$451,MATCH($O955&amp;"|"&amp;$R955&amp;"|"&amp;$AE955,'ASIGNACIONES'!$N$4:$N$451,0)),"")))</f>
        <v/>
      </c>
      <c r="AG955" s="14">
        <f>IF($AE955="","",SUMIFS('ORDENES'!$M$4:$M$1203,'ORDENES'!$AE$4:$AE$1203,$AE955,'ORDENES'!$O$4:$O$1203,$O955,'ORDENES'!$R$4:$R$1203,$R955))</f>
        <v/>
      </c>
      <c r="AH955" s="14">
        <f>IF($AG955="","",p_factor_productividad*IFERROR(INDEX('ASIGNACIONES'!$M$4:$M$451,MATCH($O955&amp;"|"&amp;$R955&amp;"|"&amp;$AE955,'ASIGNACIONES'!$N$4:$N$451,0)),0)-$AG955)</f>
        <v/>
      </c>
      <c r="AI955" s="11">
        <f>IF($A955="","",IFERROR(INDEX('2_IMPORTAR_EJECUCION'!$F$9:$F$1208,MATCH($AQ955,'2_IMPORTAR_EJECUCION'!$J$9:$J$1208,0)),0))</f>
        <v/>
      </c>
      <c r="AJ955" s="11">
        <f>IF($A955="","",MAX(0,IFERROR(INDEX('2_IMPORTAR_EJECUCION'!$H$9:$H$1208,MATCH($AQ955,'2_IMPORTAR_EJECUCION'!$J$9:$J$1208,0)),0)-$AI955))</f>
        <v/>
      </c>
      <c r="AK955" s="11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IF($H956="","",IFERROR(INDEX('CAT_ACTIVIDADES'!$B$4:$B$8,MATCH($H956,'CAT_ACTIVIDADES'!$A$4:$A$8,0)),"(sin catálogo)"))</f>
        <v/>
      </c>
      <c r="AA956" s="13">
        <f>IF($J956="","",TODAY()-$J956)</f>
        <v/>
      </c>
      <c r="AB956" s="13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IF($AE956="","",IF((IFERROR(INDEX('ASIGNACIONES'!$J$4:$J$451,MATCH($O956&amp;"|"&amp;$R956&amp;"|"&amp;$AE956,'ASIGNACIONES'!$N$4:$N$451,0)),""))=0,"",IFERROR(INDEX('ASIGNACIONES'!$J$4:$J$451,MATCH($O956&amp;"|"&amp;$R956&amp;"|"&amp;$AE956,'ASIGNACIONES'!$N$4:$N$451,0)),"")))</f>
        <v/>
      </c>
      <c r="AG956" s="14">
        <f>IF($AE956="","",SUMIFS('ORDENES'!$M$4:$M$1203,'ORDENES'!$AE$4:$AE$1203,$AE956,'ORDENES'!$O$4:$O$1203,$O956,'ORDENES'!$R$4:$R$1203,$R956))</f>
        <v/>
      </c>
      <c r="AH956" s="14">
        <f>IF($AG956="","",p_factor_productividad*IFERROR(INDEX('ASIGNACIONES'!$M$4:$M$451,MATCH($O956&amp;"|"&amp;$R956&amp;"|"&amp;$AE956,'ASIGNACIONES'!$N$4:$N$451,0)),0)-$AG956)</f>
        <v/>
      </c>
      <c r="AI956" s="11">
        <f>IF($A956="","",IFERROR(INDEX('2_IMPORTAR_EJECUCION'!$F$9:$F$1208,MATCH($AQ956,'2_IMPORTAR_EJECUCION'!$J$9:$J$1208,0)),0))</f>
        <v/>
      </c>
      <c r="AJ956" s="11">
        <f>IF($A956="","",MAX(0,IFERROR(INDEX('2_IMPORTAR_EJECUCION'!$H$9:$H$1208,MATCH($AQ956,'2_IMPORTAR_EJECUCION'!$J$9:$J$1208,0)),0)-$AI956))</f>
        <v/>
      </c>
      <c r="AK956" s="11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IF($H957="","",IFERROR(INDEX('CAT_ACTIVIDADES'!$B$4:$B$8,MATCH($H957,'CAT_ACTIVIDADES'!$A$4:$A$8,0)),"(sin catálogo)"))</f>
        <v/>
      </c>
      <c r="AA957" s="13">
        <f>IF($J957="","",TODAY()-$J957)</f>
        <v/>
      </c>
      <c r="AB957" s="13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IF($AE957="","",IF((IFERROR(INDEX('ASIGNACIONES'!$J$4:$J$451,MATCH($O957&amp;"|"&amp;$R957&amp;"|"&amp;$AE957,'ASIGNACIONES'!$N$4:$N$451,0)),""))=0,"",IFERROR(INDEX('ASIGNACIONES'!$J$4:$J$451,MATCH($O957&amp;"|"&amp;$R957&amp;"|"&amp;$AE957,'ASIGNACIONES'!$N$4:$N$451,0)),"")))</f>
        <v/>
      </c>
      <c r="AG957" s="14">
        <f>IF($AE957="","",SUMIFS('ORDENES'!$M$4:$M$1203,'ORDENES'!$AE$4:$AE$1203,$AE957,'ORDENES'!$O$4:$O$1203,$O957,'ORDENES'!$R$4:$R$1203,$R957))</f>
        <v/>
      </c>
      <c r="AH957" s="14">
        <f>IF($AG957="","",p_factor_productividad*IFERROR(INDEX('ASIGNACIONES'!$M$4:$M$451,MATCH($O957&amp;"|"&amp;$R957&amp;"|"&amp;$AE957,'ASIGNACIONES'!$N$4:$N$451,0)),0)-$AG957)</f>
        <v/>
      </c>
      <c r="AI957" s="11">
        <f>IF($A957="","",IFERROR(INDEX('2_IMPORTAR_EJECUCION'!$F$9:$F$1208,MATCH($AQ957,'2_IMPORTAR_EJECUCION'!$J$9:$J$1208,0)),0))</f>
        <v/>
      </c>
      <c r="AJ957" s="11">
        <f>IF($A957="","",MAX(0,IFERROR(INDEX('2_IMPORTAR_EJECUCION'!$H$9:$H$1208,MATCH($AQ957,'2_IMPORTAR_EJECUCION'!$J$9:$J$1208,0)),0)-$AI957))</f>
        <v/>
      </c>
      <c r="AK957" s="11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IF($H958="","",IFERROR(INDEX('CAT_ACTIVIDADES'!$B$4:$B$8,MATCH($H958,'CAT_ACTIVIDADES'!$A$4:$A$8,0)),"(sin catálogo)"))</f>
        <v/>
      </c>
      <c r="AA958" s="13">
        <f>IF($J958="","",TODAY()-$J958)</f>
        <v/>
      </c>
      <c r="AB958" s="13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IF($AE958="","",IF((IFERROR(INDEX('ASIGNACIONES'!$J$4:$J$451,MATCH($O958&amp;"|"&amp;$R958&amp;"|"&amp;$AE958,'ASIGNACIONES'!$N$4:$N$451,0)),""))=0,"",IFERROR(INDEX('ASIGNACIONES'!$J$4:$J$451,MATCH($O958&amp;"|"&amp;$R958&amp;"|"&amp;$AE958,'ASIGNACIONES'!$N$4:$N$451,0)),"")))</f>
        <v/>
      </c>
      <c r="AG958" s="14">
        <f>IF($AE958="","",SUMIFS('ORDENES'!$M$4:$M$1203,'ORDENES'!$AE$4:$AE$1203,$AE958,'ORDENES'!$O$4:$O$1203,$O958,'ORDENES'!$R$4:$R$1203,$R958))</f>
        <v/>
      </c>
      <c r="AH958" s="14">
        <f>IF($AG958="","",p_factor_productividad*IFERROR(INDEX('ASIGNACIONES'!$M$4:$M$451,MATCH($O958&amp;"|"&amp;$R958&amp;"|"&amp;$AE958,'ASIGNACIONES'!$N$4:$N$451,0)),0)-$AG958)</f>
        <v/>
      </c>
      <c r="AI958" s="11">
        <f>IF($A958="","",IFERROR(INDEX('2_IMPORTAR_EJECUCION'!$F$9:$F$1208,MATCH($AQ958,'2_IMPORTAR_EJECUCION'!$J$9:$J$1208,0)),0))</f>
        <v/>
      </c>
      <c r="AJ958" s="11">
        <f>IF($A958="","",MAX(0,IFERROR(INDEX('2_IMPORTAR_EJECUCION'!$H$9:$H$1208,MATCH($AQ958,'2_IMPORTAR_EJECUCION'!$J$9:$J$1208,0)),0)-$AI958))</f>
        <v/>
      </c>
      <c r="AK958" s="11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IF($H959="","",IFERROR(INDEX('CAT_ACTIVIDADES'!$B$4:$B$8,MATCH($H959,'CAT_ACTIVIDADES'!$A$4:$A$8,0)),"(sin catálogo)"))</f>
        <v/>
      </c>
      <c r="AA959" s="13">
        <f>IF($J959="","",TODAY()-$J959)</f>
        <v/>
      </c>
      <c r="AB959" s="13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IF($AE959="","",IF((IFERROR(INDEX('ASIGNACIONES'!$J$4:$J$451,MATCH($O959&amp;"|"&amp;$R959&amp;"|"&amp;$AE959,'ASIGNACIONES'!$N$4:$N$451,0)),""))=0,"",IFERROR(INDEX('ASIGNACIONES'!$J$4:$J$451,MATCH($O959&amp;"|"&amp;$R959&amp;"|"&amp;$AE959,'ASIGNACIONES'!$N$4:$N$451,0)),"")))</f>
        <v/>
      </c>
      <c r="AG959" s="14">
        <f>IF($AE959="","",SUMIFS('ORDENES'!$M$4:$M$1203,'ORDENES'!$AE$4:$AE$1203,$AE959,'ORDENES'!$O$4:$O$1203,$O959,'ORDENES'!$R$4:$R$1203,$R959))</f>
        <v/>
      </c>
      <c r="AH959" s="14">
        <f>IF($AG959="","",p_factor_productividad*IFERROR(INDEX('ASIGNACIONES'!$M$4:$M$451,MATCH($O959&amp;"|"&amp;$R959&amp;"|"&amp;$AE959,'ASIGNACIONES'!$N$4:$N$451,0)),0)-$AG959)</f>
        <v/>
      </c>
      <c r="AI959" s="11">
        <f>IF($A959="","",IFERROR(INDEX('2_IMPORTAR_EJECUCION'!$F$9:$F$1208,MATCH($AQ959,'2_IMPORTAR_EJECUCION'!$J$9:$J$1208,0)),0))</f>
        <v/>
      </c>
      <c r="AJ959" s="11">
        <f>IF($A959="","",MAX(0,IFERROR(INDEX('2_IMPORTAR_EJECUCION'!$H$9:$H$1208,MATCH($AQ959,'2_IMPORTAR_EJECUCION'!$J$9:$J$1208,0)),0)-$AI959))</f>
        <v/>
      </c>
      <c r="AK959" s="11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IF($H960="","",IFERROR(INDEX('CAT_ACTIVIDADES'!$B$4:$B$8,MATCH($H960,'CAT_ACTIVIDADES'!$A$4:$A$8,0)),"(sin catálogo)"))</f>
        <v/>
      </c>
      <c r="AA960" s="13">
        <f>IF($J960="","",TODAY()-$J960)</f>
        <v/>
      </c>
      <c r="AB960" s="13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IF($AE960="","",IF((IFERROR(INDEX('ASIGNACIONES'!$J$4:$J$451,MATCH($O960&amp;"|"&amp;$R960&amp;"|"&amp;$AE960,'ASIGNACIONES'!$N$4:$N$451,0)),""))=0,"",IFERROR(INDEX('ASIGNACIONES'!$J$4:$J$451,MATCH($O960&amp;"|"&amp;$R960&amp;"|"&amp;$AE960,'ASIGNACIONES'!$N$4:$N$451,0)),"")))</f>
        <v/>
      </c>
      <c r="AG960" s="14">
        <f>IF($AE960="","",SUMIFS('ORDENES'!$M$4:$M$1203,'ORDENES'!$AE$4:$AE$1203,$AE960,'ORDENES'!$O$4:$O$1203,$O960,'ORDENES'!$R$4:$R$1203,$R960))</f>
        <v/>
      </c>
      <c r="AH960" s="14">
        <f>IF($AG960="","",p_factor_productividad*IFERROR(INDEX('ASIGNACIONES'!$M$4:$M$451,MATCH($O960&amp;"|"&amp;$R960&amp;"|"&amp;$AE960,'ASIGNACIONES'!$N$4:$N$451,0)),0)-$AG960)</f>
        <v/>
      </c>
      <c r="AI960" s="11">
        <f>IF($A960="","",IFERROR(INDEX('2_IMPORTAR_EJECUCION'!$F$9:$F$1208,MATCH($AQ960,'2_IMPORTAR_EJECUCION'!$J$9:$J$1208,0)),0))</f>
        <v/>
      </c>
      <c r="AJ960" s="11">
        <f>IF($A960="","",MAX(0,IFERROR(INDEX('2_IMPORTAR_EJECUCION'!$H$9:$H$1208,MATCH($AQ960,'2_IMPORTAR_EJECUCION'!$J$9:$J$1208,0)),0)-$AI960))</f>
        <v/>
      </c>
      <c r="AK960" s="11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IF($H961="","",IFERROR(INDEX('CAT_ACTIVIDADES'!$B$4:$B$8,MATCH($H961,'CAT_ACTIVIDADES'!$A$4:$A$8,0)),"(sin catálogo)"))</f>
        <v/>
      </c>
      <c r="AA961" s="13">
        <f>IF($J961="","",TODAY()-$J961)</f>
        <v/>
      </c>
      <c r="AB961" s="13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IF($AE961="","",IF((IFERROR(INDEX('ASIGNACIONES'!$J$4:$J$451,MATCH($O961&amp;"|"&amp;$R961&amp;"|"&amp;$AE961,'ASIGNACIONES'!$N$4:$N$451,0)),""))=0,"",IFERROR(INDEX('ASIGNACIONES'!$J$4:$J$451,MATCH($O961&amp;"|"&amp;$R961&amp;"|"&amp;$AE961,'ASIGNACIONES'!$N$4:$N$451,0)),"")))</f>
        <v/>
      </c>
      <c r="AG961" s="14">
        <f>IF($AE961="","",SUMIFS('ORDENES'!$M$4:$M$1203,'ORDENES'!$AE$4:$AE$1203,$AE961,'ORDENES'!$O$4:$O$1203,$O961,'ORDENES'!$R$4:$R$1203,$R961))</f>
        <v/>
      </c>
      <c r="AH961" s="14">
        <f>IF($AG961="","",p_factor_productividad*IFERROR(INDEX('ASIGNACIONES'!$M$4:$M$451,MATCH($O961&amp;"|"&amp;$R961&amp;"|"&amp;$AE961,'ASIGNACIONES'!$N$4:$N$451,0)),0)-$AG961)</f>
        <v/>
      </c>
      <c r="AI961" s="11">
        <f>IF($A961="","",IFERROR(INDEX('2_IMPORTAR_EJECUCION'!$F$9:$F$1208,MATCH($AQ961,'2_IMPORTAR_EJECUCION'!$J$9:$J$1208,0)),0))</f>
        <v/>
      </c>
      <c r="AJ961" s="11">
        <f>IF($A961="","",MAX(0,IFERROR(INDEX('2_IMPORTAR_EJECUCION'!$H$9:$H$1208,MATCH($AQ961,'2_IMPORTAR_EJECUCION'!$J$9:$J$1208,0)),0)-$AI961))</f>
        <v/>
      </c>
      <c r="AK961" s="11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IF($H962="","",IFERROR(INDEX('CAT_ACTIVIDADES'!$B$4:$B$8,MATCH($H962,'CAT_ACTIVIDADES'!$A$4:$A$8,0)),"(sin catálogo)"))</f>
        <v/>
      </c>
      <c r="AA962" s="13">
        <f>IF($J962="","",TODAY()-$J962)</f>
        <v/>
      </c>
      <c r="AB962" s="13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IF($AE962="","",IF((IFERROR(INDEX('ASIGNACIONES'!$J$4:$J$451,MATCH($O962&amp;"|"&amp;$R962&amp;"|"&amp;$AE962,'ASIGNACIONES'!$N$4:$N$451,0)),""))=0,"",IFERROR(INDEX('ASIGNACIONES'!$J$4:$J$451,MATCH($O962&amp;"|"&amp;$R962&amp;"|"&amp;$AE962,'ASIGNACIONES'!$N$4:$N$451,0)),"")))</f>
        <v/>
      </c>
      <c r="AG962" s="14">
        <f>IF($AE962="","",SUMIFS('ORDENES'!$M$4:$M$1203,'ORDENES'!$AE$4:$AE$1203,$AE962,'ORDENES'!$O$4:$O$1203,$O962,'ORDENES'!$R$4:$R$1203,$R962))</f>
        <v/>
      </c>
      <c r="AH962" s="14">
        <f>IF($AG962="","",p_factor_productividad*IFERROR(INDEX('ASIGNACIONES'!$M$4:$M$451,MATCH($O962&amp;"|"&amp;$R962&amp;"|"&amp;$AE962,'ASIGNACIONES'!$N$4:$N$451,0)),0)-$AG962)</f>
        <v/>
      </c>
      <c r="AI962" s="11">
        <f>IF($A962="","",IFERROR(INDEX('2_IMPORTAR_EJECUCION'!$F$9:$F$1208,MATCH($AQ962,'2_IMPORTAR_EJECUCION'!$J$9:$J$1208,0)),0))</f>
        <v/>
      </c>
      <c r="AJ962" s="11">
        <f>IF($A962="","",MAX(0,IFERROR(INDEX('2_IMPORTAR_EJECUCION'!$H$9:$H$1208,MATCH($AQ962,'2_IMPORTAR_EJECUCION'!$J$9:$J$1208,0)),0)-$AI962))</f>
        <v/>
      </c>
      <c r="AK962" s="11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IF($H963="","",IFERROR(INDEX('CAT_ACTIVIDADES'!$B$4:$B$8,MATCH($H963,'CAT_ACTIVIDADES'!$A$4:$A$8,0)),"(sin catálogo)"))</f>
        <v/>
      </c>
      <c r="AA963" s="13">
        <f>IF($J963="","",TODAY()-$J963)</f>
        <v/>
      </c>
      <c r="AB963" s="13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IF($AE963="","",IF((IFERROR(INDEX('ASIGNACIONES'!$J$4:$J$451,MATCH($O963&amp;"|"&amp;$R963&amp;"|"&amp;$AE963,'ASIGNACIONES'!$N$4:$N$451,0)),""))=0,"",IFERROR(INDEX('ASIGNACIONES'!$J$4:$J$451,MATCH($O963&amp;"|"&amp;$R963&amp;"|"&amp;$AE963,'ASIGNACIONES'!$N$4:$N$451,0)),"")))</f>
        <v/>
      </c>
      <c r="AG963" s="14">
        <f>IF($AE963="","",SUMIFS('ORDENES'!$M$4:$M$1203,'ORDENES'!$AE$4:$AE$1203,$AE963,'ORDENES'!$O$4:$O$1203,$O963,'ORDENES'!$R$4:$R$1203,$R963))</f>
        <v/>
      </c>
      <c r="AH963" s="14">
        <f>IF($AG963="","",p_factor_productividad*IFERROR(INDEX('ASIGNACIONES'!$M$4:$M$451,MATCH($O963&amp;"|"&amp;$R963&amp;"|"&amp;$AE963,'ASIGNACIONES'!$N$4:$N$451,0)),0)-$AG963)</f>
        <v/>
      </c>
      <c r="AI963" s="11">
        <f>IF($A963="","",IFERROR(INDEX('2_IMPORTAR_EJECUCION'!$F$9:$F$1208,MATCH($AQ963,'2_IMPORTAR_EJECUCION'!$J$9:$J$1208,0)),0))</f>
        <v/>
      </c>
      <c r="AJ963" s="11">
        <f>IF($A963="","",MAX(0,IFERROR(INDEX('2_IMPORTAR_EJECUCION'!$H$9:$H$1208,MATCH($AQ963,'2_IMPORTAR_EJECUCION'!$J$9:$J$1208,0)),0)-$AI963))</f>
        <v/>
      </c>
      <c r="AK963" s="11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IF($H964="","",IFERROR(INDEX('CAT_ACTIVIDADES'!$B$4:$B$8,MATCH($H964,'CAT_ACTIVIDADES'!$A$4:$A$8,0)),"(sin catálogo)"))</f>
        <v/>
      </c>
      <c r="AA964" s="13">
        <f>IF($J964="","",TODAY()-$J964)</f>
        <v/>
      </c>
      <c r="AB964" s="13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IF($AE964="","",IF((IFERROR(INDEX('ASIGNACIONES'!$J$4:$J$451,MATCH($O964&amp;"|"&amp;$R964&amp;"|"&amp;$AE964,'ASIGNACIONES'!$N$4:$N$451,0)),""))=0,"",IFERROR(INDEX('ASIGNACIONES'!$J$4:$J$451,MATCH($O964&amp;"|"&amp;$R964&amp;"|"&amp;$AE964,'ASIGNACIONES'!$N$4:$N$451,0)),"")))</f>
        <v/>
      </c>
      <c r="AG964" s="14">
        <f>IF($AE964="","",SUMIFS('ORDENES'!$M$4:$M$1203,'ORDENES'!$AE$4:$AE$1203,$AE964,'ORDENES'!$O$4:$O$1203,$O964,'ORDENES'!$R$4:$R$1203,$R964))</f>
        <v/>
      </c>
      <c r="AH964" s="14">
        <f>IF($AG964="","",p_factor_productividad*IFERROR(INDEX('ASIGNACIONES'!$M$4:$M$451,MATCH($O964&amp;"|"&amp;$R964&amp;"|"&amp;$AE964,'ASIGNACIONES'!$N$4:$N$451,0)),0)-$AG964)</f>
        <v/>
      </c>
      <c r="AI964" s="11">
        <f>IF($A964="","",IFERROR(INDEX('2_IMPORTAR_EJECUCION'!$F$9:$F$1208,MATCH($AQ964,'2_IMPORTAR_EJECUCION'!$J$9:$J$1208,0)),0))</f>
        <v/>
      </c>
      <c r="AJ964" s="11">
        <f>IF($A964="","",MAX(0,IFERROR(INDEX('2_IMPORTAR_EJECUCION'!$H$9:$H$1208,MATCH($AQ964,'2_IMPORTAR_EJECUCION'!$J$9:$J$1208,0)),0)-$AI964))</f>
        <v/>
      </c>
      <c r="AK964" s="11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IF($H965="","",IFERROR(INDEX('CAT_ACTIVIDADES'!$B$4:$B$8,MATCH($H965,'CAT_ACTIVIDADES'!$A$4:$A$8,0)),"(sin catálogo)"))</f>
        <v/>
      </c>
      <c r="AA965" s="13">
        <f>IF($J965="","",TODAY()-$J965)</f>
        <v/>
      </c>
      <c r="AB965" s="13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IF($AE965="","",IF((IFERROR(INDEX('ASIGNACIONES'!$J$4:$J$451,MATCH($O965&amp;"|"&amp;$R965&amp;"|"&amp;$AE965,'ASIGNACIONES'!$N$4:$N$451,0)),""))=0,"",IFERROR(INDEX('ASIGNACIONES'!$J$4:$J$451,MATCH($O965&amp;"|"&amp;$R965&amp;"|"&amp;$AE965,'ASIGNACIONES'!$N$4:$N$451,0)),"")))</f>
        <v/>
      </c>
      <c r="AG965" s="14">
        <f>IF($AE965="","",SUMIFS('ORDENES'!$M$4:$M$1203,'ORDENES'!$AE$4:$AE$1203,$AE965,'ORDENES'!$O$4:$O$1203,$O965,'ORDENES'!$R$4:$R$1203,$R965))</f>
        <v/>
      </c>
      <c r="AH965" s="14">
        <f>IF($AG965="","",p_factor_productividad*IFERROR(INDEX('ASIGNACIONES'!$M$4:$M$451,MATCH($O965&amp;"|"&amp;$R965&amp;"|"&amp;$AE965,'ASIGNACIONES'!$N$4:$N$451,0)),0)-$AG965)</f>
        <v/>
      </c>
      <c r="AI965" s="11">
        <f>IF($A965="","",IFERROR(INDEX('2_IMPORTAR_EJECUCION'!$F$9:$F$1208,MATCH($AQ965,'2_IMPORTAR_EJECUCION'!$J$9:$J$1208,0)),0))</f>
        <v/>
      </c>
      <c r="AJ965" s="11">
        <f>IF($A965="","",MAX(0,IFERROR(INDEX('2_IMPORTAR_EJECUCION'!$H$9:$H$1208,MATCH($AQ965,'2_IMPORTAR_EJECUCION'!$J$9:$J$1208,0)),0)-$AI965))</f>
        <v/>
      </c>
      <c r="AK965" s="11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IF($H966="","",IFERROR(INDEX('CAT_ACTIVIDADES'!$B$4:$B$8,MATCH($H966,'CAT_ACTIVIDADES'!$A$4:$A$8,0)),"(sin catálogo)"))</f>
        <v/>
      </c>
      <c r="AA966" s="13">
        <f>IF($J966="","",TODAY()-$J966)</f>
        <v/>
      </c>
      <c r="AB966" s="13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IF($AE966="","",IF((IFERROR(INDEX('ASIGNACIONES'!$J$4:$J$451,MATCH($O966&amp;"|"&amp;$R966&amp;"|"&amp;$AE966,'ASIGNACIONES'!$N$4:$N$451,0)),""))=0,"",IFERROR(INDEX('ASIGNACIONES'!$J$4:$J$451,MATCH($O966&amp;"|"&amp;$R966&amp;"|"&amp;$AE966,'ASIGNACIONES'!$N$4:$N$451,0)),"")))</f>
        <v/>
      </c>
      <c r="AG966" s="14">
        <f>IF($AE966="","",SUMIFS('ORDENES'!$M$4:$M$1203,'ORDENES'!$AE$4:$AE$1203,$AE966,'ORDENES'!$O$4:$O$1203,$O966,'ORDENES'!$R$4:$R$1203,$R966))</f>
        <v/>
      </c>
      <c r="AH966" s="14">
        <f>IF($AG966="","",p_factor_productividad*IFERROR(INDEX('ASIGNACIONES'!$M$4:$M$451,MATCH($O966&amp;"|"&amp;$R966&amp;"|"&amp;$AE966,'ASIGNACIONES'!$N$4:$N$451,0)),0)-$AG966)</f>
        <v/>
      </c>
      <c r="AI966" s="11">
        <f>IF($A966="","",IFERROR(INDEX('2_IMPORTAR_EJECUCION'!$F$9:$F$1208,MATCH($AQ966,'2_IMPORTAR_EJECUCION'!$J$9:$J$1208,0)),0))</f>
        <v/>
      </c>
      <c r="AJ966" s="11">
        <f>IF($A966="","",MAX(0,IFERROR(INDEX('2_IMPORTAR_EJECUCION'!$H$9:$H$1208,MATCH($AQ966,'2_IMPORTAR_EJECUCION'!$J$9:$J$1208,0)),0)-$AI966))</f>
        <v/>
      </c>
      <c r="AK966" s="11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IF($H967="","",IFERROR(INDEX('CAT_ACTIVIDADES'!$B$4:$B$8,MATCH($H967,'CAT_ACTIVIDADES'!$A$4:$A$8,0)),"(sin catálogo)"))</f>
        <v/>
      </c>
      <c r="AA967" s="13">
        <f>IF($J967="","",TODAY()-$J967)</f>
        <v/>
      </c>
      <c r="AB967" s="13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IF($AE967="","",IF((IFERROR(INDEX('ASIGNACIONES'!$J$4:$J$451,MATCH($O967&amp;"|"&amp;$R967&amp;"|"&amp;$AE967,'ASIGNACIONES'!$N$4:$N$451,0)),""))=0,"",IFERROR(INDEX('ASIGNACIONES'!$J$4:$J$451,MATCH($O967&amp;"|"&amp;$R967&amp;"|"&amp;$AE967,'ASIGNACIONES'!$N$4:$N$451,0)),"")))</f>
        <v/>
      </c>
      <c r="AG967" s="14">
        <f>IF($AE967="","",SUMIFS('ORDENES'!$M$4:$M$1203,'ORDENES'!$AE$4:$AE$1203,$AE967,'ORDENES'!$O$4:$O$1203,$O967,'ORDENES'!$R$4:$R$1203,$R967))</f>
        <v/>
      </c>
      <c r="AH967" s="14">
        <f>IF($AG967="","",p_factor_productividad*IFERROR(INDEX('ASIGNACIONES'!$M$4:$M$451,MATCH($O967&amp;"|"&amp;$R967&amp;"|"&amp;$AE967,'ASIGNACIONES'!$N$4:$N$451,0)),0)-$AG967)</f>
        <v/>
      </c>
      <c r="AI967" s="11">
        <f>IF($A967="","",IFERROR(INDEX('2_IMPORTAR_EJECUCION'!$F$9:$F$1208,MATCH($AQ967,'2_IMPORTAR_EJECUCION'!$J$9:$J$1208,0)),0))</f>
        <v/>
      </c>
      <c r="AJ967" s="11">
        <f>IF($A967="","",MAX(0,IFERROR(INDEX('2_IMPORTAR_EJECUCION'!$H$9:$H$1208,MATCH($AQ967,'2_IMPORTAR_EJECUCION'!$J$9:$J$1208,0)),0)-$AI967))</f>
        <v/>
      </c>
      <c r="AK967" s="11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IF($H968="","",IFERROR(INDEX('CAT_ACTIVIDADES'!$B$4:$B$8,MATCH($H968,'CAT_ACTIVIDADES'!$A$4:$A$8,0)),"(sin catálogo)"))</f>
        <v/>
      </c>
      <c r="AA968" s="13">
        <f>IF($J968="","",TODAY()-$J968)</f>
        <v/>
      </c>
      <c r="AB968" s="13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IF($AE968="","",IF((IFERROR(INDEX('ASIGNACIONES'!$J$4:$J$451,MATCH($O968&amp;"|"&amp;$R968&amp;"|"&amp;$AE968,'ASIGNACIONES'!$N$4:$N$451,0)),""))=0,"",IFERROR(INDEX('ASIGNACIONES'!$J$4:$J$451,MATCH($O968&amp;"|"&amp;$R968&amp;"|"&amp;$AE968,'ASIGNACIONES'!$N$4:$N$451,0)),"")))</f>
        <v/>
      </c>
      <c r="AG968" s="14">
        <f>IF($AE968="","",SUMIFS('ORDENES'!$M$4:$M$1203,'ORDENES'!$AE$4:$AE$1203,$AE968,'ORDENES'!$O$4:$O$1203,$O968,'ORDENES'!$R$4:$R$1203,$R968))</f>
        <v/>
      </c>
      <c r="AH968" s="14">
        <f>IF($AG968="","",p_factor_productividad*IFERROR(INDEX('ASIGNACIONES'!$M$4:$M$451,MATCH($O968&amp;"|"&amp;$R968&amp;"|"&amp;$AE968,'ASIGNACIONES'!$N$4:$N$451,0)),0)-$AG968)</f>
        <v/>
      </c>
      <c r="AI968" s="11">
        <f>IF($A968="","",IFERROR(INDEX('2_IMPORTAR_EJECUCION'!$F$9:$F$1208,MATCH($AQ968,'2_IMPORTAR_EJECUCION'!$J$9:$J$1208,0)),0))</f>
        <v/>
      </c>
      <c r="AJ968" s="11">
        <f>IF($A968="","",MAX(0,IFERROR(INDEX('2_IMPORTAR_EJECUCION'!$H$9:$H$1208,MATCH($AQ968,'2_IMPORTAR_EJECUCION'!$J$9:$J$1208,0)),0)-$AI968))</f>
        <v/>
      </c>
      <c r="AK968" s="11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IF($H969="","",IFERROR(INDEX('CAT_ACTIVIDADES'!$B$4:$B$8,MATCH($H969,'CAT_ACTIVIDADES'!$A$4:$A$8,0)),"(sin catálogo)"))</f>
        <v/>
      </c>
      <c r="AA969" s="13">
        <f>IF($J969="","",TODAY()-$J969)</f>
        <v/>
      </c>
      <c r="AB969" s="13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IF($AE969="","",IF((IFERROR(INDEX('ASIGNACIONES'!$J$4:$J$451,MATCH($O969&amp;"|"&amp;$R969&amp;"|"&amp;$AE969,'ASIGNACIONES'!$N$4:$N$451,0)),""))=0,"",IFERROR(INDEX('ASIGNACIONES'!$J$4:$J$451,MATCH($O969&amp;"|"&amp;$R969&amp;"|"&amp;$AE969,'ASIGNACIONES'!$N$4:$N$451,0)),"")))</f>
        <v/>
      </c>
      <c r="AG969" s="14">
        <f>IF($AE969="","",SUMIFS('ORDENES'!$M$4:$M$1203,'ORDENES'!$AE$4:$AE$1203,$AE969,'ORDENES'!$O$4:$O$1203,$O969,'ORDENES'!$R$4:$R$1203,$R969))</f>
        <v/>
      </c>
      <c r="AH969" s="14">
        <f>IF($AG969="","",p_factor_productividad*IFERROR(INDEX('ASIGNACIONES'!$M$4:$M$451,MATCH($O969&amp;"|"&amp;$R969&amp;"|"&amp;$AE969,'ASIGNACIONES'!$N$4:$N$451,0)),0)-$AG969)</f>
        <v/>
      </c>
      <c r="AI969" s="11">
        <f>IF($A969="","",IFERROR(INDEX('2_IMPORTAR_EJECUCION'!$F$9:$F$1208,MATCH($AQ969,'2_IMPORTAR_EJECUCION'!$J$9:$J$1208,0)),0))</f>
        <v/>
      </c>
      <c r="AJ969" s="11">
        <f>IF($A969="","",MAX(0,IFERROR(INDEX('2_IMPORTAR_EJECUCION'!$H$9:$H$1208,MATCH($AQ969,'2_IMPORTAR_EJECUCION'!$J$9:$J$1208,0)),0)-$AI969))</f>
        <v/>
      </c>
      <c r="AK969" s="11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IF($H970="","",IFERROR(INDEX('CAT_ACTIVIDADES'!$B$4:$B$8,MATCH($H970,'CAT_ACTIVIDADES'!$A$4:$A$8,0)),"(sin catálogo)"))</f>
        <v/>
      </c>
      <c r="AA970" s="13">
        <f>IF($J970="","",TODAY()-$J970)</f>
        <v/>
      </c>
      <c r="AB970" s="13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IF($AE970="","",IF((IFERROR(INDEX('ASIGNACIONES'!$J$4:$J$451,MATCH($O970&amp;"|"&amp;$R970&amp;"|"&amp;$AE970,'ASIGNACIONES'!$N$4:$N$451,0)),""))=0,"",IFERROR(INDEX('ASIGNACIONES'!$J$4:$J$451,MATCH($O970&amp;"|"&amp;$R970&amp;"|"&amp;$AE970,'ASIGNACIONES'!$N$4:$N$451,0)),"")))</f>
        <v/>
      </c>
      <c r="AG970" s="14">
        <f>IF($AE970="","",SUMIFS('ORDENES'!$M$4:$M$1203,'ORDENES'!$AE$4:$AE$1203,$AE970,'ORDENES'!$O$4:$O$1203,$O970,'ORDENES'!$R$4:$R$1203,$R970))</f>
        <v/>
      </c>
      <c r="AH970" s="14">
        <f>IF($AG970="","",p_factor_productividad*IFERROR(INDEX('ASIGNACIONES'!$M$4:$M$451,MATCH($O970&amp;"|"&amp;$R970&amp;"|"&amp;$AE970,'ASIGNACIONES'!$N$4:$N$451,0)),0)-$AG970)</f>
        <v/>
      </c>
      <c r="AI970" s="11">
        <f>IF($A970="","",IFERROR(INDEX('2_IMPORTAR_EJECUCION'!$F$9:$F$1208,MATCH($AQ970,'2_IMPORTAR_EJECUCION'!$J$9:$J$1208,0)),0))</f>
        <v/>
      </c>
      <c r="AJ970" s="11">
        <f>IF($A970="","",MAX(0,IFERROR(INDEX('2_IMPORTAR_EJECUCION'!$H$9:$H$1208,MATCH($AQ970,'2_IMPORTAR_EJECUCION'!$J$9:$J$1208,0)),0)-$AI970))</f>
        <v/>
      </c>
      <c r="AK970" s="11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IF($H971="","",IFERROR(INDEX('CAT_ACTIVIDADES'!$B$4:$B$8,MATCH($H971,'CAT_ACTIVIDADES'!$A$4:$A$8,0)),"(sin catálogo)"))</f>
        <v/>
      </c>
      <c r="AA971" s="13">
        <f>IF($J971="","",TODAY()-$J971)</f>
        <v/>
      </c>
      <c r="AB971" s="13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IF($AE971="","",IF((IFERROR(INDEX('ASIGNACIONES'!$J$4:$J$451,MATCH($O971&amp;"|"&amp;$R971&amp;"|"&amp;$AE971,'ASIGNACIONES'!$N$4:$N$451,0)),""))=0,"",IFERROR(INDEX('ASIGNACIONES'!$J$4:$J$451,MATCH($O971&amp;"|"&amp;$R971&amp;"|"&amp;$AE971,'ASIGNACIONES'!$N$4:$N$451,0)),"")))</f>
        <v/>
      </c>
      <c r="AG971" s="14">
        <f>IF($AE971="","",SUMIFS('ORDENES'!$M$4:$M$1203,'ORDENES'!$AE$4:$AE$1203,$AE971,'ORDENES'!$O$4:$O$1203,$O971,'ORDENES'!$R$4:$R$1203,$R971))</f>
        <v/>
      </c>
      <c r="AH971" s="14">
        <f>IF($AG971="","",p_factor_productividad*IFERROR(INDEX('ASIGNACIONES'!$M$4:$M$451,MATCH($O971&amp;"|"&amp;$R971&amp;"|"&amp;$AE971,'ASIGNACIONES'!$N$4:$N$451,0)),0)-$AG971)</f>
        <v/>
      </c>
      <c r="AI971" s="11">
        <f>IF($A971="","",IFERROR(INDEX('2_IMPORTAR_EJECUCION'!$F$9:$F$1208,MATCH($AQ971,'2_IMPORTAR_EJECUCION'!$J$9:$J$1208,0)),0))</f>
        <v/>
      </c>
      <c r="AJ971" s="11">
        <f>IF($A971="","",MAX(0,IFERROR(INDEX('2_IMPORTAR_EJECUCION'!$H$9:$H$1208,MATCH($AQ971,'2_IMPORTAR_EJECUCION'!$J$9:$J$1208,0)),0)-$AI971))</f>
        <v/>
      </c>
      <c r="AK971" s="11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IF($H972="","",IFERROR(INDEX('CAT_ACTIVIDADES'!$B$4:$B$8,MATCH($H972,'CAT_ACTIVIDADES'!$A$4:$A$8,0)),"(sin catálogo)"))</f>
        <v/>
      </c>
      <c r="AA972" s="13">
        <f>IF($J972="","",TODAY()-$J972)</f>
        <v/>
      </c>
      <c r="AB972" s="13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IF($AE972="","",IF((IFERROR(INDEX('ASIGNACIONES'!$J$4:$J$451,MATCH($O972&amp;"|"&amp;$R972&amp;"|"&amp;$AE972,'ASIGNACIONES'!$N$4:$N$451,0)),""))=0,"",IFERROR(INDEX('ASIGNACIONES'!$J$4:$J$451,MATCH($O972&amp;"|"&amp;$R972&amp;"|"&amp;$AE972,'ASIGNACIONES'!$N$4:$N$451,0)),"")))</f>
        <v/>
      </c>
      <c r="AG972" s="14">
        <f>IF($AE972="","",SUMIFS('ORDENES'!$M$4:$M$1203,'ORDENES'!$AE$4:$AE$1203,$AE972,'ORDENES'!$O$4:$O$1203,$O972,'ORDENES'!$R$4:$R$1203,$R972))</f>
        <v/>
      </c>
      <c r="AH972" s="14">
        <f>IF($AG972="","",p_factor_productividad*IFERROR(INDEX('ASIGNACIONES'!$M$4:$M$451,MATCH($O972&amp;"|"&amp;$R972&amp;"|"&amp;$AE972,'ASIGNACIONES'!$N$4:$N$451,0)),0)-$AG972)</f>
        <v/>
      </c>
      <c r="AI972" s="11">
        <f>IF($A972="","",IFERROR(INDEX('2_IMPORTAR_EJECUCION'!$F$9:$F$1208,MATCH($AQ972,'2_IMPORTAR_EJECUCION'!$J$9:$J$1208,0)),0))</f>
        <v/>
      </c>
      <c r="AJ972" s="11">
        <f>IF($A972="","",MAX(0,IFERROR(INDEX('2_IMPORTAR_EJECUCION'!$H$9:$H$1208,MATCH($AQ972,'2_IMPORTAR_EJECUCION'!$J$9:$J$1208,0)),0)-$AI972))</f>
        <v/>
      </c>
      <c r="AK972" s="11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IF($H973="","",IFERROR(INDEX('CAT_ACTIVIDADES'!$B$4:$B$8,MATCH($H973,'CAT_ACTIVIDADES'!$A$4:$A$8,0)),"(sin catálogo)"))</f>
        <v/>
      </c>
      <c r="AA973" s="13">
        <f>IF($J973="","",TODAY()-$J973)</f>
        <v/>
      </c>
      <c r="AB973" s="13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IF($AE973="","",IF((IFERROR(INDEX('ASIGNACIONES'!$J$4:$J$451,MATCH($O973&amp;"|"&amp;$R973&amp;"|"&amp;$AE973,'ASIGNACIONES'!$N$4:$N$451,0)),""))=0,"",IFERROR(INDEX('ASIGNACIONES'!$J$4:$J$451,MATCH($O973&amp;"|"&amp;$R973&amp;"|"&amp;$AE973,'ASIGNACIONES'!$N$4:$N$451,0)),"")))</f>
        <v/>
      </c>
      <c r="AG973" s="14">
        <f>IF($AE973="","",SUMIFS('ORDENES'!$M$4:$M$1203,'ORDENES'!$AE$4:$AE$1203,$AE973,'ORDENES'!$O$4:$O$1203,$O973,'ORDENES'!$R$4:$R$1203,$R973))</f>
        <v/>
      </c>
      <c r="AH973" s="14">
        <f>IF($AG973="","",p_factor_productividad*IFERROR(INDEX('ASIGNACIONES'!$M$4:$M$451,MATCH($O973&amp;"|"&amp;$R973&amp;"|"&amp;$AE973,'ASIGNACIONES'!$N$4:$N$451,0)),0)-$AG973)</f>
        <v/>
      </c>
      <c r="AI973" s="11">
        <f>IF($A973="","",IFERROR(INDEX('2_IMPORTAR_EJECUCION'!$F$9:$F$1208,MATCH($AQ973,'2_IMPORTAR_EJECUCION'!$J$9:$J$1208,0)),0))</f>
        <v/>
      </c>
      <c r="AJ973" s="11">
        <f>IF($A973="","",MAX(0,IFERROR(INDEX('2_IMPORTAR_EJECUCION'!$H$9:$H$1208,MATCH($AQ973,'2_IMPORTAR_EJECUCION'!$J$9:$J$1208,0)),0)-$AI973))</f>
        <v/>
      </c>
      <c r="AK973" s="11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IF($H974="","",IFERROR(INDEX('CAT_ACTIVIDADES'!$B$4:$B$8,MATCH($H974,'CAT_ACTIVIDADES'!$A$4:$A$8,0)),"(sin catálogo)"))</f>
        <v/>
      </c>
      <c r="AA974" s="13">
        <f>IF($J974="","",TODAY()-$J974)</f>
        <v/>
      </c>
      <c r="AB974" s="13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IF($AE974="","",IF((IFERROR(INDEX('ASIGNACIONES'!$J$4:$J$451,MATCH($O974&amp;"|"&amp;$R974&amp;"|"&amp;$AE974,'ASIGNACIONES'!$N$4:$N$451,0)),""))=0,"",IFERROR(INDEX('ASIGNACIONES'!$J$4:$J$451,MATCH($O974&amp;"|"&amp;$R974&amp;"|"&amp;$AE974,'ASIGNACIONES'!$N$4:$N$451,0)),"")))</f>
        <v/>
      </c>
      <c r="AG974" s="14">
        <f>IF($AE974="","",SUMIFS('ORDENES'!$M$4:$M$1203,'ORDENES'!$AE$4:$AE$1203,$AE974,'ORDENES'!$O$4:$O$1203,$O974,'ORDENES'!$R$4:$R$1203,$R974))</f>
        <v/>
      </c>
      <c r="AH974" s="14">
        <f>IF($AG974="","",p_factor_productividad*IFERROR(INDEX('ASIGNACIONES'!$M$4:$M$451,MATCH($O974&amp;"|"&amp;$R974&amp;"|"&amp;$AE974,'ASIGNACIONES'!$N$4:$N$451,0)),0)-$AG974)</f>
        <v/>
      </c>
      <c r="AI974" s="11">
        <f>IF($A974="","",IFERROR(INDEX('2_IMPORTAR_EJECUCION'!$F$9:$F$1208,MATCH($AQ974,'2_IMPORTAR_EJECUCION'!$J$9:$J$1208,0)),0))</f>
        <v/>
      </c>
      <c r="AJ974" s="11">
        <f>IF($A974="","",MAX(0,IFERROR(INDEX('2_IMPORTAR_EJECUCION'!$H$9:$H$1208,MATCH($AQ974,'2_IMPORTAR_EJECUCION'!$J$9:$J$1208,0)),0)-$AI974))</f>
        <v/>
      </c>
      <c r="AK974" s="11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IF($H975="","",IFERROR(INDEX('CAT_ACTIVIDADES'!$B$4:$B$8,MATCH($H975,'CAT_ACTIVIDADES'!$A$4:$A$8,0)),"(sin catálogo)"))</f>
        <v/>
      </c>
      <c r="AA975" s="13">
        <f>IF($J975="","",TODAY()-$J975)</f>
        <v/>
      </c>
      <c r="AB975" s="13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IF($AE975="","",IF((IFERROR(INDEX('ASIGNACIONES'!$J$4:$J$451,MATCH($O975&amp;"|"&amp;$R975&amp;"|"&amp;$AE975,'ASIGNACIONES'!$N$4:$N$451,0)),""))=0,"",IFERROR(INDEX('ASIGNACIONES'!$J$4:$J$451,MATCH($O975&amp;"|"&amp;$R975&amp;"|"&amp;$AE975,'ASIGNACIONES'!$N$4:$N$451,0)),"")))</f>
        <v/>
      </c>
      <c r="AG975" s="14">
        <f>IF($AE975="","",SUMIFS('ORDENES'!$M$4:$M$1203,'ORDENES'!$AE$4:$AE$1203,$AE975,'ORDENES'!$O$4:$O$1203,$O975,'ORDENES'!$R$4:$R$1203,$R975))</f>
        <v/>
      </c>
      <c r="AH975" s="14">
        <f>IF($AG975="","",p_factor_productividad*IFERROR(INDEX('ASIGNACIONES'!$M$4:$M$451,MATCH($O975&amp;"|"&amp;$R975&amp;"|"&amp;$AE975,'ASIGNACIONES'!$N$4:$N$451,0)),0)-$AG975)</f>
        <v/>
      </c>
      <c r="AI975" s="11">
        <f>IF($A975="","",IFERROR(INDEX('2_IMPORTAR_EJECUCION'!$F$9:$F$1208,MATCH($AQ975,'2_IMPORTAR_EJECUCION'!$J$9:$J$1208,0)),0))</f>
        <v/>
      </c>
      <c r="AJ975" s="11">
        <f>IF($A975="","",MAX(0,IFERROR(INDEX('2_IMPORTAR_EJECUCION'!$H$9:$H$1208,MATCH($AQ975,'2_IMPORTAR_EJECUCION'!$J$9:$J$1208,0)),0)-$AI975))</f>
        <v/>
      </c>
      <c r="AK975" s="11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IF($H976="","",IFERROR(INDEX('CAT_ACTIVIDADES'!$B$4:$B$8,MATCH($H976,'CAT_ACTIVIDADES'!$A$4:$A$8,0)),"(sin catálogo)"))</f>
        <v/>
      </c>
      <c r="AA976" s="13">
        <f>IF($J976="","",TODAY()-$J976)</f>
        <v/>
      </c>
      <c r="AB976" s="13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IF($AE976="","",IF((IFERROR(INDEX('ASIGNACIONES'!$J$4:$J$451,MATCH($O976&amp;"|"&amp;$R976&amp;"|"&amp;$AE976,'ASIGNACIONES'!$N$4:$N$451,0)),""))=0,"",IFERROR(INDEX('ASIGNACIONES'!$J$4:$J$451,MATCH($O976&amp;"|"&amp;$R976&amp;"|"&amp;$AE976,'ASIGNACIONES'!$N$4:$N$451,0)),"")))</f>
        <v/>
      </c>
      <c r="AG976" s="14">
        <f>IF($AE976="","",SUMIFS('ORDENES'!$M$4:$M$1203,'ORDENES'!$AE$4:$AE$1203,$AE976,'ORDENES'!$O$4:$O$1203,$O976,'ORDENES'!$R$4:$R$1203,$R976))</f>
        <v/>
      </c>
      <c r="AH976" s="14">
        <f>IF($AG976="","",p_factor_productividad*IFERROR(INDEX('ASIGNACIONES'!$M$4:$M$451,MATCH($O976&amp;"|"&amp;$R976&amp;"|"&amp;$AE976,'ASIGNACIONES'!$N$4:$N$451,0)),0)-$AG976)</f>
        <v/>
      </c>
      <c r="AI976" s="11">
        <f>IF($A976="","",IFERROR(INDEX('2_IMPORTAR_EJECUCION'!$F$9:$F$1208,MATCH($AQ976,'2_IMPORTAR_EJECUCION'!$J$9:$J$1208,0)),0))</f>
        <v/>
      </c>
      <c r="AJ976" s="11">
        <f>IF($A976="","",MAX(0,IFERROR(INDEX('2_IMPORTAR_EJECUCION'!$H$9:$H$1208,MATCH($AQ976,'2_IMPORTAR_EJECUCION'!$J$9:$J$1208,0)),0)-$AI976))</f>
        <v/>
      </c>
      <c r="AK976" s="11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IF($H977="","",IFERROR(INDEX('CAT_ACTIVIDADES'!$B$4:$B$8,MATCH($H977,'CAT_ACTIVIDADES'!$A$4:$A$8,0)),"(sin catálogo)"))</f>
        <v/>
      </c>
      <c r="AA977" s="13">
        <f>IF($J977="","",TODAY()-$J977)</f>
        <v/>
      </c>
      <c r="AB977" s="13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IF($AE977="","",IF((IFERROR(INDEX('ASIGNACIONES'!$J$4:$J$451,MATCH($O977&amp;"|"&amp;$R977&amp;"|"&amp;$AE977,'ASIGNACIONES'!$N$4:$N$451,0)),""))=0,"",IFERROR(INDEX('ASIGNACIONES'!$J$4:$J$451,MATCH($O977&amp;"|"&amp;$R977&amp;"|"&amp;$AE977,'ASIGNACIONES'!$N$4:$N$451,0)),"")))</f>
        <v/>
      </c>
      <c r="AG977" s="14">
        <f>IF($AE977="","",SUMIFS('ORDENES'!$M$4:$M$1203,'ORDENES'!$AE$4:$AE$1203,$AE977,'ORDENES'!$O$4:$O$1203,$O977,'ORDENES'!$R$4:$R$1203,$R977))</f>
        <v/>
      </c>
      <c r="AH977" s="14">
        <f>IF($AG977="","",p_factor_productividad*IFERROR(INDEX('ASIGNACIONES'!$M$4:$M$451,MATCH($O977&amp;"|"&amp;$R977&amp;"|"&amp;$AE977,'ASIGNACIONES'!$N$4:$N$451,0)),0)-$AG977)</f>
        <v/>
      </c>
      <c r="AI977" s="11">
        <f>IF($A977="","",IFERROR(INDEX('2_IMPORTAR_EJECUCION'!$F$9:$F$1208,MATCH($AQ977,'2_IMPORTAR_EJECUCION'!$J$9:$J$1208,0)),0))</f>
        <v/>
      </c>
      <c r="AJ977" s="11">
        <f>IF($A977="","",MAX(0,IFERROR(INDEX('2_IMPORTAR_EJECUCION'!$H$9:$H$1208,MATCH($AQ977,'2_IMPORTAR_EJECUCION'!$J$9:$J$1208,0)),0)-$AI977))</f>
        <v/>
      </c>
      <c r="AK977" s="11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IF($H978="","",IFERROR(INDEX('CAT_ACTIVIDADES'!$B$4:$B$8,MATCH($H978,'CAT_ACTIVIDADES'!$A$4:$A$8,0)),"(sin catálogo)"))</f>
        <v/>
      </c>
      <c r="AA978" s="13">
        <f>IF($J978="","",TODAY()-$J978)</f>
        <v/>
      </c>
      <c r="AB978" s="13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IF($AE978="","",IF((IFERROR(INDEX('ASIGNACIONES'!$J$4:$J$451,MATCH($O978&amp;"|"&amp;$R978&amp;"|"&amp;$AE978,'ASIGNACIONES'!$N$4:$N$451,0)),""))=0,"",IFERROR(INDEX('ASIGNACIONES'!$J$4:$J$451,MATCH($O978&amp;"|"&amp;$R978&amp;"|"&amp;$AE978,'ASIGNACIONES'!$N$4:$N$451,0)),"")))</f>
        <v/>
      </c>
      <c r="AG978" s="14">
        <f>IF($AE978="","",SUMIFS('ORDENES'!$M$4:$M$1203,'ORDENES'!$AE$4:$AE$1203,$AE978,'ORDENES'!$O$4:$O$1203,$O978,'ORDENES'!$R$4:$R$1203,$R978))</f>
        <v/>
      </c>
      <c r="AH978" s="14">
        <f>IF($AG978="","",p_factor_productividad*IFERROR(INDEX('ASIGNACIONES'!$M$4:$M$451,MATCH($O978&amp;"|"&amp;$R978&amp;"|"&amp;$AE978,'ASIGNACIONES'!$N$4:$N$451,0)),0)-$AG978)</f>
        <v/>
      </c>
      <c r="AI978" s="11">
        <f>IF($A978="","",IFERROR(INDEX('2_IMPORTAR_EJECUCION'!$F$9:$F$1208,MATCH($AQ978,'2_IMPORTAR_EJECUCION'!$J$9:$J$1208,0)),0))</f>
        <v/>
      </c>
      <c r="AJ978" s="11">
        <f>IF($A978="","",MAX(0,IFERROR(INDEX('2_IMPORTAR_EJECUCION'!$H$9:$H$1208,MATCH($AQ978,'2_IMPORTAR_EJECUCION'!$J$9:$J$1208,0)),0)-$AI978))</f>
        <v/>
      </c>
      <c r="AK978" s="11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IF($H979="","",IFERROR(INDEX('CAT_ACTIVIDADES'!$B$4:$B$8,MATCH($H979,'CAT_ACTIVIDADES'!$A$4:$A$8,0)),"(sin catálogo)"))</f>
        <v/>
      </c>
      <c r="AA979" s="13">
        <f>IF($J979="","",TODAY()-$J979)</f>
        <v/>
      </c>
      <c r="AB979" s="13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IF($AE979="","",IF((IFERROR(INDEX('ASIGNACIONES'!$J$4:$J$451,MATCH($O979&amp;"|"&amp;$R979&amp;"|"&amp;$AE979,'ASIGNACIONES'!$N$4:$N$451,0)),""))=0,"",IFERROR(INDEX('ASIGNACIONES'!$J$4:$J$451,MATCH($O979&amp;"|"&amp;$R979&amp;"|"&amp;$AE979,'ASIGNACIONES'!$N$4:$N$451,0)),"")))</f>
        <v/>
      </c>
      <c r="AG979" s="14">
        <f>IF($AE979="","",SUMIFS('ORDENES'!$M$4:$M$1203,'ORDENES'!$AE$4:$AE$1203,$AE979,'ORDENES'!$O$4:$O$1203,$O979,'ORDENES'!$R$4:$R$1203,$R979))</f>
        <v/>
      </c>
      <c r="AH979" s="14">
        <f>IF($AG979="","",p_factor_productividad*IFERROR(INDEX('ASIGNACIONES'!$M$4:$M$451,MATCH($O979&amp;"|"&amp;$R979&amp;"|"&amp;$AE979,'ASIGNACIONES'!$N$4:$N$451,0)),0)-$AG979)</f>
        <v/>
      </c>
      <c r="AI979" s="11">
        <f>IF($A979="","",IFERROR(INDEX('2_IMPORTAR_EJECUCION'!$F$9:$F$1208,MATCH($AQ979,'2_IMPORTAR_EJECUCION'!$J$9:$J$1208,0)),0))</f>
        <v/>
      </c>
      <c r="AJ979" s="11">
        <f>IF($A979="","",MAX(0,IFERROR(INDEX('2_IMPORTAR_EJECUCION'!$H$9:$H$1208,MATCH($AQ979,'2_IMPORTAR_EJECUCION'!$J$9:$J$1208,0)),0)-$AI979))</f>
        <v/>
      </c>
      <c r="AK979" s="11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IF($H980="","",IFERROR(INDEX('CAT_ACTIVIDADES'!$B$4:$B$8,MATCH($H980,'CAT_ACTIVIDADES'!$A$4:$A$8,0)),"(sin catálogo)"))</f>
        <v/>
      </c>
      <c r="AA980" s="13">
        <f>IF($J980="","",TODAY()-$J980)</f>
        <v/>
      </c>
      <c r="AB980" s="13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IF($AE980="","",IF((IFERROR(INDEX('ASIGNACIONES'!$J$4:$J$451,MATCH($O980&amp;"|"&amp;$R980&amp;"|"&amp;$AE980,'ASIGNACIONES'!$N$4:$N$451,0)),""))=0,"",IFERROR(INDEX('ASIGNACIONES'!$J$4:$J$451,MATCH($O980&amp;"|"&amp;$R980&amp;"|"&amp;$AE980,'ASIGNACIONES'!$N$4:$N$451,0)),"")))</f>
        <v/>
      </c>
      <c r="AG980" s="14">
        <f>IF($AE980="","",SUMIFS('ORDENES'!$M$4:$M$1203,'ORDENES'!$AE$4:$AE$1203,$AE980,'ORDENES'!$O$4:$O$1203,$O980,'ORDENES'!$R$4:$R$1203,$R980))</f>
        <v/>
      </c>
      <c r="AH980" s="14">
        <f>IF($AG980="","",p_factor_productividad*IFERROR(INDEX('ASIGNACIONES'!$M$4:$M$451,MATCH($O980&amp;"|"&amp;$R980&amp;"|"&amp;$AE980,'ASIGNACIONES'!$N$4:$N$451,0)),0)-$AG980)</f>
        <v/>
      </c>
      <c r="AI980" s="11">
        <f>IF($A980="","",IFERROR(INDEX('2_IMPORTAR_EJECUCION'!$F$9:$F$1208,MATCH($AQ980,'2_IMPORTAR_EJECUCION'!$J$9:$J$1208,0)),0))</f>
        <v/>
      </c>
      <c r="AJ980" s="11">
        <f>IF($A980="","",MAX(0,IFERROR(INDEX('2_IMPORTAR_EJECUCION'!$H$9:$H$1208,MATCH($AQ980,'2_IMPORTAR_EJECUCION'!$J$9:$J$1208,0)),0)-$AI980))</f>
        <v/>
      </c>
      <c r="AK980" s="11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IF($H981="","",IFERROR(INDEX('CAT_ACTIVIDADES'!$B$4:$B$8,MATCH($H981,'CAT_ACTIVIDADES'!$A$4:$A$8,0)),"(sin catálogo)"))</f>
        <v/>
      </c>
      <c r="AA981" s="13">
        <f>IF($J981="","",TODAY()-$J981)</f>
        <v/>
      </c>
      <c r="AB981" s="13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IF($AE981="","",IF((IFERROR(INDEX('ASIGNACIONES'!$J$4:$J$451,MATCH($O981&amp;"|"&amp;$R981&amp;"|"&amp;$AE981,'ASIGNACIONES'!$N$4:$N$451,0)),""))=0,"",IFERROR(INDEX('ASIGNACIONES'!$J$4:$J$451,MATCH($O981&amp;"|"&amp;$R981&amp;"|"&amp;$AE981,'ASIGNACIONES'!$N$4:$N$451,0)),"")))</f>
        <v/>
      </c>
      <c r="AG981" s="14">
        <f>IF($AE981="","",SUMIFS('ORDENES'!$M$4:$M$1203,'ORDENES'!$AE$4:$AE$1203,$AE981,'ORDENES'!$O$4:$O$1203,$O981,'ORDENES'!$R$4:$R$1203,$R981))</f>
        <v/>
      </c>
      <c r="AH981" s="14">
        <f>IF($AG981="","",p_factor_productividad*IFERROR(INDEX('ASIGNACIONES'!$M$4:$M$451,MATCH($O981&amp;"|"&amp;$R981&amp;"|"&amp;$AE981,'ASIGNACIONES'!$N$4:$N$451,0)),0)-$AG981)</f>
        <v/>
      </c>
      <c r="AI981" s="11">
        <f>IF($A981="","",IFERROR(INDEX('2_IMPORTAR_EJECUCION'!$F$9:$F$1208,MATCH($AQ981,'2_IMPORTAR_EJECUCION'!$J$9:$J$1208,0)),0))</f>
        <v/>
      </c>
      <c r="AJ981" s="11">
        <f>IF($A981="","",MAX(0,IFERROR(INDEX('2_IMPORTAR_EJECUCION'!$H$9:$H$1208,MATCH($AQ981,'2_IMPORTAR_EJECUCION'!$J$9:$J$1208,0)),0)-$AI981))</f>
        <v/>
      </c>
      <c r="AK981" s="11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IF($H982="","",IFERROR(INDEX('CAT_ACTIVIDADES'!$B$4:$B$8,MATCH($H982,'CAT_ACTIVIDADES'!$A$4:$A$8,0)),"(sin catálogo)"))</f>
        <v/>
      </c>
      <c r="AA982" s="13">
        <f>IF($J982="","",TODAY()-$J982)</f>
        <v/>
      </c>
      <c r="AB982" s="13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IF($AE982="","",IF((IFERROR(INDEX('ASIGNACIONES'!$J$4:$J$451,MATCH($O982&amp;"|"&amp;$R982&amp;"|"&amp;$AE982,'ASIGNACIONES'!$N$4:$N$451,0)),""))=0,"",IFERROR(INDEX('ASIGNACIONES'!$J$4:$J$451,MATCH($O982&amp;"|"&amp;$R982&amp;"|"&amp;$AE982,'ASIGNACIONES'!$N$4:$N$451,0)),"")))</f>
        <v/>
      </c>
      <c r="AG982" s="14">
        <f>IF($AE982="","",SUMIFS('ORDENES'!$M$4:$M$1203,'ORDENES'!$AE$4:$AE$1203,$AE982,'ORDENES'!$O$4:$O$1203,$O982,'ORDENES'!$R$4:$R$1203,$R982))</f>
        <v/>
      </c>
      <c r="AH982" s="14">
        <f>IF($AG982="","",p_factor_productividad*IFERROR(INDEX('ASIGNACIONES'!$M$4:$M$451,MATCH($O982&amp;"|"&amp;$R982&amp;"|"&amp;$AE982,'ASIGNACIONES'!$N$4:$N$451,0)),0)-$AG982)</f>
        <v/>
      </c>
      <c r="AI982" s="11">
        <f>IF($A982="","",IFERROR(INDEX('2_IMPORTAR_EJECUCION'!$F$9:$F$1208,MATCH($AQ982,'2_IMPORTAR_EJECUCION'!$J$9:$J$1208,0)),0))</f>
        <v/>
      </c>
      <c r="AJ982" s="11">
        <f>IF($A982="","",MAX(0,IFERROR(INDEX('2_IMPORTAR_EJECUCION'!$H$9:$H$1208,MATCH($AQ982,'2_IMPORTAR_EJECUCION'!$J$9:$J$1208,0)),0)-$AI982))</f>
        <v/>
      </c>
      <c r="AK982" s="11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IF($H983="","",IFERROR(INDEX('CAT_ACTIVIDADES'!$B$4:$B$8,MATCH($H983,'CAT_ACTIVIDADES'!$A$4:$A$8,0)),"(sin catálogo)"))</f>
        <v/>
      </c>
      <c r="AA983" s="13">
        <f>IF($J983="","",TODAY()-$J983)</f>
        <v/>
      </c>
      <c r="AB983" s="13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IF($AE983="","",IF((IFERROR(INDEX('ASIGNACIONES'!$J$4:$J$451,MATCH($O983&amp;"|"&amp;$R983&amp;"|"&amp;$AE983,'ASIGNACIONES'!$N$4:$N$451,0)),""))=0,"",IFERROR(INDEX('ASIGNACIONES'!$J$4:$J$451,MATCH($O983&amp;"|"&amp;$R983&amp;"|"&amp;$AE983,'ASIGNACIONES'!$N$4:$N$451,0)),"")))</f>
        <v/>
      </c>
      <c r="AG983" s="14">
        <f>IF($AE983="","",SUMIFS('ORDENES'!$M$4:$M$1203,'ORDENES'!$AE$4:$AE$1203,$AE983,'ORDENES'!$O$4:$O$1203,$O983,'ORDENES'!$R$4:$R$1203,$R983))</f>
        <v/>
      </c>
      <c r="AH983" s="14">
        <f>IF($AG983="","",p_factor_productividad*IFERROR(INDEX('ASIGNACIONES'!$M$4:$M$451,MATCH($O983&amp;"|"&amp;$R983&amp;"|"&amp;$AE983,'ASIGNACIONES'!$N$4:$N$451,0)),0)-$AG983)</f>
        <v/>
      </c>
      <c r="AI983" s="11">
        <f>IF($A983="","",IFERROR(INDEX('2_IMPORTAR_EJECUCION'!$F$9:$F$1208,MATCH($AQ983,'2_IMPORTAR_EJECUCION'!$J$9:$J$1208,0)),0))</f>
        <v/>
      </c>
      <c r="AJ983" s="11">
        <f>IF($A983="","",MAX(0,IFERROR(INDEX('2_IMPORTAR_EJECUCION'!$H$9:$H$1208,MATCH($AQ983,'2_IMPORTAR_EJECUCION'!$J$9:$J$1208,0)),0)-$AI983))</f>
        <v/>
      </c>
      <c r="AK983" s="11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IF($H984="","",IFERROR(INDEX('CAT_ACTIVIDADES'!$B$4:$B$8,MATCH($H984,'CAT_ACTIVIDADES'!$A$4:$A$8,0)),"(sin catálogo)"))</f>
        <v/>
      </c>
      <c r="AA984" s="13">
        <f>IF($J984="","",TODAY()-$J984)</f>
        <v/>
      </c>
      <c r="AB984" s="13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IF($AE984="","",IF((IFERROR(INDEX('ASIGNACIONES'!$J$4:$J$451,MATCH($O984&amp;"|"&amp;$R984&amp;"|"&amp;$AE984,'ASIGNACIONES'!$N$4:$N$451,0)),""))=0,"",IFERROR(INDEX('ASIGNACIONES'!$J$4:$J$451,MATCH($O984&amp;"|"&amp;$R984&amp;"|"&amp;$AE984,'ASIGNACIONES'!$N$4:$N$451,0)),"")))</f>
        <v/>
      </c>
      <c r="AG984" s="14">
        <f>IF($AE984="","",SUMIFS('ORDENES'!$M$4:$M$1203,'ORDENES'!$AE$4:$AE$1203,$AE984,'ORDENES'!$O$4:$O$1203,$O984,'ORDENES'!$R$4:$R$1203,$R984))</f>
        <v/>
      </c>
      <c r="AH984" s="14">
        <f>IF($AG984="","",p_factor_productividad*IFERROR(INDEX('ASIGNACIONES'!$M$4:$M$451,MATCH($O984&amp;"|"&amp;$R984&amp;"|"&amp;$AE984,'ASIGNACIONES'!$N$4:$N$451,0)),0)-$AG984)</f>
        <v/>
      </c>
      <c r="AI984" s="11">
        <f>IF($A984="","",IFERROR(INDEX('2_IMPORTAR_EJECUCION'!$F$9:$F$1208,MATCH($AQ984,'2_IMPORTAR_EJECUCION'!$J$9:$J$1208,0)),0))</f>
        <v/>
      </c>
      <c r="AJ984" s="11">
        <f>IF($A984="","",MAX(0,IFERROR(INDEX('2_IMPORTAR_EJECUCION'!$H$9:$H$1208,MATCH($AQ984,'2_IMPORTAR_EJECUCION'!$J$9:$J$1208,0)),0)-$AI984))</f>
        <v/>
      </c>
      <c r="AK984" s="11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IF($H985="","",IFERROR(INDEX('CAT_ACTIVIDADES'!$B$4:$B$8,MATCH($H985,'CAT_ACTIVIDADES'!$A$4:$A$8,0)),"(sin catálogo)"))</f>
        <v/>
      </c>
      <c r="AA985" s="13">
        <f>IF($J985="","",TODAY()-$J985)</f>
        <v/>
      </c>
      <c r="AB985" s="13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IF($AE985="","",IF((IFERROR(INDEX('ASIGNACIONES'!$J$4:$J$451,MATCH($O985&amp;"|"&amp;$R985&amp;"|"&amp;$AE985,'ASIGNACIONES'!$N$4:$N$451,0)),""))=0,"",IFERROR(INDEX('ASIGNACIONES'!$J$4:$J$451,MATCH($O985&amp;"|"&amp;$R985&amp;"|"&amp;$AE985,'ASIGNACIONES'!$N$4:$N$451,0)),"")))</f>
        <v/>
      </c>
      <c r="AG985" s="14">
        <f>IF($AE985="","",SUMIFS('ORDENES'!$M$4:$M$1203,'ORDENES'!$AE$4:$AE$1203,$AE985,'ORDENES'!$O$4:$O$1203,$O985,'ORDENES'!$R$4:$R$1203,$R985))</f>
        <v/>
      </c>
      <c r="AH985" s="14">
        <f>IF($AG985="","",p_factor_productividad*IFERROR(INDEX('ASIGNACIONES'!$M$4:$M$451,MATCH($O985&amp;"|"&amp;$R985&amp;"|"&amp;$AE985,'ASIGNACIONES'!$N$4:$N$451,0)),0)-$AG985)</f>
        <v/>
      </c>
      <c r="AI985" s="11">
        <f>IF($A985="","",IFERROR(INDEX('2_IMPORTAR_EJECUCION'!$F$9:$F$1208,MATCH($AQ985,'2_IMPORTAR_EJECUCION'!$J$9:$J$1208,0)),0))</f>
        <v/>
      </c>
      <c r="AJ985" s="11">
        <f>IF($A985="","",MAX(0,IFERROR(INDEX('2_IMPORTAR_EJECUCION'!$H$9:$H$1208,MATCH($AQ985,'2_IMPORTAR_EJECUCION'!$J$9:$J$1208,0)),0)-$AI985))</f>
        <v/>
      </c>
      <c r="AK985" s="11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IF($H986="","",IFERROR(INDEX('CAT_ACTIVIDADES'!$B$4:$B$8,MATCH($H986,'CAT_ACTIVIDADES'!$A$4:$A$8,0)),"(sin catálogo)"))</f>
        <v/>
      </c>
      <c r="AA986" s="13">
        <f>IF($J986="","",TODAY()-$J986)</f>
        <v/>
      </c>
      <c r="AB986" s="13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IF($AE986="","",IF((IFERROR(INDEX('ASIGNACIONES'!$J$4:$J$451,MATCH($O986&amp;"|"&amp;$R986&amp;"|"&amp;$AE986,'ASIGNACIONES'!$N$4:$N$451,0)),""))=0,"",IFERROR(INDEX('ASIGNACIONES'!$J$4:$J$451,MATCH($O986&amp;"|"&amp;$R986&amp;"|"&amp;$AE986,'ASIGNACIONES'!$N$4:$N$451,0)),"")))</f>
        <v/>
      </c>
      <c r="AG986" s="14">
        <f>IF($AE986="","",SUMIFS('ORDENES'!$M$4:$M$1203,'ORDENES'!$AE$4:$AE$1203,$AE986,'ORDENES'!$O$4:$O$1203,$O986,'ORDENES'!$R$4:$R$1203,$R986))</f>
        <v/>
      </c>
      <c r="AH986" s="14">
        <f>IF($AG986="","",p_factor_productividad*IFERROR(INDEX('ASIGNACIONES'!$M$4:$M$451,MATCH($O986&amp;"|"&amp;$R986&amp;"|"&amp;$AE986,'ASIGNACIONES'!$N$4:$N$451,0)),0)-$AG986)</f>
        <v/>
      </c>
      <c r="AI986" s="11">
        <f>IF($A986="","",IFERROR(INDEX('2_IMPORTAR_EJECUCION'!$F$9:$F$1208,MATCH($AQ986,'2_IMPORTAR_EJECUCION'!$J$9:$J$1208,0)),0))</f>
        <v/>
      </c>
      <c r="AJ986" s="11">
        <f>IF($A986="","",MAX(0,IFERROR(INDEX('2_IMPORTAR_EJECUCION'!$H$9:$H$1208,MATCH($AQ986,'2_IMPORTAR_EJECUCION'!$J$9:$J$1208,0)),0)-$AI986))</f>
        <v/>
      </c>
      <c r="AK986" s="11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IF($H987="","",IFERROR(INDEX('CAT_ACTIVIDADES'!$B$4:$B$8,MATCH($H987,'CAT_ACTIVIDADES'!$A$4:$A$8,0)),"(sin catálogo)"))</f>
        <v/>
      </c>
      <c r="AA987" s="13">
        <f>IF($J987="","",TODAY()-$J987)</f>
        <v/>
      </c>
      <c r="AB987" s="13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IF($AE987="","",IF((IFERROR(INDEX('ASIGNACIONES'!$J$4:$J$451,MATCH($O987&amp;"|"&amp;$R987&amp;"|"&amp;$AE987,'ASIGNACIONES'!$N$4:$N$451,0)),""))=0,"",IFERROR(INDEX('ASIGNACIONES'!$J$4:$J$451,MATCH($O987&amp;"|"&amp;$R987&amp;"|"&amp;$AE987,'ASIGNACIONES'!$N$4:$N$451,0)),"")))</f>
        <v/>
      </c>
      <c r="AG987" s="14">
        <f>IF($AE987="","",SUMIFS('ORDENES'!$M$4:$M$1203,'ORDENES'!$AE$4:$AE$1203,$AE987,'ORDENES'!$O$4:$O$1203,$O987,'ORDENES'!$R$4:$R$1203,$R987))</f>
        <v/>
      </c>
      <c r="AH987" s="14">
        <f>IF($AG987="","",p_factor_productividad*IFERROR(INDEX('ASIGNACIONES'!$M$4:$M$451,MATCH($O987&amp;"|"&amp;$R987&amp;"|"&amp;$AE987,'ASIGNACIONES'!$N$4:$N$451,0)),0)-$AG987)</f>
        <v/>
      </c>
      <c r="AI987" s="11">
        <f>IF($A987="","",IFERROR(INDEX('2_IMPORTAR_EJECUCION'!$F$9:$F$1208,MATCH($AQ987,'2_IMPORTAR_EJECUCION'!$J$9:$J$1208,0)),0))</f>
        <v/>
      </c>
      <c r="AJ987" s="11">
        <f>IF($A987="","",MAX(0,IFERROR(INDEX('2_IMPORTAR_EJECUCION'!$H$9:$H$1208,MATCH($AQ987,'2_IMPORTAR_EJECUCION'!$J$9:$J$1208,0)),0)-$AI987))</f>
        <v/>
      </c>
      <c r="AK987" s="11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IF($H988="","",IFERROR(INDEX('CAT_ACTIVIDADES'!$B$4:$B$8,MATCH($H988,'CAT_ACTIVIDADES'!$A$4:$A$8,0)),"(sin catálogo)"))</f>
        <v/>
      </c>
      <c r="AA988" s="13">
        <f>IF($J988="","",TODAY()-$J988)</f>
        <v/>
      </c>
      <c r="AB988" s="13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IF($AE988="","",IF((IFERROR(INDEX('ASIGNACIONES'!$J$4:$J$451,MATCH($O988&amp;"|"&amp;$R988&amp;"|"&amp;$AE988,'ASIGNACIONES'!$N$4:$N$451,0)),""))=0,"",IFERROR(INDEX('ASIGNACIONES'!$J$4:$J$451,MATCH($O988&amp;"|"&amp;$R988&amp;"|"&amp;$AE988,'ASIGNACIONES'!$N$4:$N$451,0)),"")))</f>
        <v/>
      </c>
      <c r="AG988" s="14">
        <f>IF($AE988="","",SUMIFS('ORDENES'!$M$4:$M$1203,'ORDENES'!$AE$4:$AE$1203,$AE988,'ORDENES'!$O$4:$O$1203,$O988,'ORDENES'!$R$4:$R$1203,$R988))</f>
        <v/>
      </c>
      <c r="AH988" s="14">
        <f>IF($AG988="","",p_factor_productividad*IFERROR(INDEX('ASIGNACIONES'!$M$4:$M$451,MATCH($O988&amp;"|"&amp;$R988&amp;"|"&amp;$AE988,'ASIGNACIONES'!$N$4:$N$451,0)),0)-$AG988)</f>
        <v/>
      </c>
      <c r="AI988" s="11">
        <f>IF($A988="","",IFERROR(INDEX('2_IMPORTAR_EJECUCION'!$F$9:$F$1208,MATCH($AQ988,'2_IMPORTAR_EJECUCION'!$J$9:$J$1208,0)),0))</f>
        <v/>
      </c>
      <c r="AJ988" s="11">
        <f>IF($A988="","",MAX(0,IFERROR(INDEX('2_IMPORTAR_EJECUCION'!$H$9:$H$1208,MATCH($AQ988,'2_IMPORTAR_EJECUCION'!$J$9:$J$1208,0)),0)-$AI988))</f>
        <v/>
      </c>
      <c r="AK988" s="11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IF($H989="","",IFERROR(INDEX('CAT_ACTIVIDADES'!$B$4:$B$8,MATCH($H989,'CAT_ACTIVIDADES'!$A$4:$A$8,0)),"(sin catálogo)"))</f>
        <v/>
      </c>
      <c r="AA989" s="13">
        <f>IF($J989="","",TODAY()-$J989)</f>
        <v/>
      </c>
      <c r="AB989" s="13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IF($AE989="","",IF((IFERROR(INDEX('ASIGNACIONES'!$J$4:$J$451,MATCH($O989&amp;"|"&amp;$R989&amp;"|"&amp;$AE989,'ASIGNACIONES'!$N$4:$N$451,0)),""))=0,"",IFERROR(INDEX('ASIGNACIONES'!$J$4:$J$451,MATCH($O989&amp;"|"&amp;$R989&amp;"|"&amp;$AE989,'ASIGNACIONES'!$N$4:$N$451,0)),"")))</f>
        <v/>
      </c>
      <c r="AG989" s="14">
        <f>IF($AE989="","",SUMIFS('ORDENES'!$M$4:$M$1203,'ORDENES'!$AE$4:$AE$1203,$AE989,'ORDENES'!$O$4:$O$1203,$O989,'ORDENES'!$R$4:$R$1203,$R989))</f>
        <v/>
      </c>
      <c r="AH989" s="14">
        <f>IF($AG989="","",p_factor_productividad*IFERROR(INDEX('ASIGNACIONES'!$M$4:$M$451,MATCH($O989&amp;"|"&amp;$R989&amp;"|"&amp;$AE989,'ASIGNACIONES'!$N$4:$N$451,0)),0)-$AG989)</f>
        <v/>
      </c>
      <c r="AI989" s="11">
        <f>IF($A989="","",IFERROR(INDEX('2_IMPORTAR_EJECUCION'!$F$9:$F$1208,MATCH($AQ989,'2_IMPORTAR_EJECUCION'!$J$9:$J$1208,0)),0))</f>
        <v/>
      </c>
      <c r="AJ989" s="11">
        <f>IF($A989="","",MAX(0,IFERROR(INDEX('2_IMPORTAR_EJECUCION'!$H$9:$H$1208,MATCH($AQ989,'2_IMPORTAR_EJECUCION'!$J$9:$J$1208,0)),0)-$AI989))</f>
        <v/>
      </c>
      <c r="AK989" s="11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IF($H990="","",IFERROR(INDEX('CAT_ACTIVIDADES'!$B$4:$B$8,MATCH($H990,'CAT_ACTIVIDADES'!$A$4:$A$8,0)),"(sin catálogo)"))</f>
        <v/>
      </c>
      <c r="AA990" s="13">
        <f>IF($J990="","",TODAY()-$J990)</f>
        <v/>
      </c>
      <c r="AB990" s="13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IF($AE990="","",IF((IFERROR(INDEX('ASIGNACIONES'!$J$4:$J$451,MATCH($O990&amp;"|"&amp;$R990&amp;"|"&amp;$AE990,'ASIGNACIONES'!$N$4:$N$451,0)),""))=0,"",IFERROR(INDEX('ASIGNACIONES'!$J$4:$J$451,MATCH($O990&amp;"|"&amp;$R990&amp;"|"&amp;$AE990,'ASIGNACIONES'!$N$4:$N$451,0)),"")))</f>
        <v/>
      </c>
      <c r="AG990" s="14">
        <f>IF($AE990="","",SUMIFS('ORDENES'!$M$4:$M$1203,'ORDENES'!$AE$4:$AE$1203,$AE990,'ORDENES'!$O$4:$O$1203,$O990,'ORDENES'!$R$4:$R$1203,$R990))</f>
        <v/>
      </c>
      <c r="AH990" s="14">
        <f>IF($AG990="","",p_factor_productividad*IFERROR(INDEX('ASIGNACIONES'!$M$4:$M$451,MATCH($O990&amp;"|"&amp;$R990&amp;"|"&amp;$AE990,'ASIGNACIONES'!$N$4:$N$451,0)),0)-$AG990)</f>
        <v/>
      </c>
      <c r="AI990" s="11">
        <f>IF($A990="","",IFERROR(INDEX('2_IMPORTAR_EJECUCION'!$F$9:$F$1208,MATCH($AQ990,'2_IMPORTAR_EJECUCION'!$J$9:$J$1208,0)),0))</f>
        <v/>
      </c>
      <c r="AJ990" s="11">
        <f>IF($A990="","",MAX(0,IFERROR(INDEX('2_IMPORTAR_EJECUCION'!$H$9:$H$1208,MATCH($AQ990,'2_IMPORTAR_EJECUCION'!$J$9:$J$1208,0)),0)-$AI990))</f>
        <v/>
      </c>
      <c r="AK990" s="11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IF($H991="","",IFERROR(INDEX('CAT_ACTIVIDADES'!$B$4:$B$8,MATCH($H991,'CAT_ACTIVIDADES'!$A$4:$A$8,0)),"(sin catálogo)"))</f>
        <v/>
      </c>
      <c r="AA991" s="13">
        <f>IF($J991="","",TODAY()-$J991)</f>
        <v/>
      </c>
      <c r="AB991" s="13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IF($AE991="","",IF((IFERROR(INDEX('ASIGNACIONES'!$J$4:$J$451,MATCH($O991&amp;"|"&amp;$R991&amp;"|"&amp;$AE991,'ASIGNACIONES'!$N$4:$N$451,0)),""))=0,"",IFERROR(INDEX('ASIGNACIONES'!$J$4:$J$451,MATCH($O991&amp;"|"&amp;$R991&amp;"|"&amp;$AE991,'ASIGNACIONES'!$N$4:$N$451,0)),"")))</f>
        <v/>
      </c>
      <c r="AG991" s="14">
        <f>IF($AE991="","",SUMIFS('ORDENES'!$M$4:$M$1203,'ORDENES'!$AE$4:$AE$1203,$AE991,'ORDENES'!$O$4:$O$1203,$O991,'ORDENES'!$R$4:$R$1203,$R991))</f>
        <v/>
      </c>
      <c r="AH991" s="14">
        <f>IF($AG991="","",p_factor_productividad*IFERROR(INDEX('ASIGNACIONES'!$M$4:$M$451,MATCH($O991&amp;"|"&amp;$R991&amp;"|"&amp;$AE991,'ASIGNACIONES'!$N$4:$N$451,0)),0)-$AG991)</f>
        <v/>
      </c>
      <c r="AI991" s="11">
        <f>IF($A991="","",IFERROR(INDEX('2_IMPORTAR_EJECUCION'!$F$9:$F$1208,MATCH($AQ991,'2_IMPORTAR_EJECUCION'!$J$9:$J$1208,0)),0))</f>
        <v/>
      </c>
      <c r="AJ991" s="11">
        <f>IF($A991="","",MAX(0,IFERROR(INDEX('2_IMPORTAR_EJECUCION'!$H$9:$H$1208,MATCH($AQ991,'2_IMPORTAR_EJECUCION'!$J$9:$J$1208,0)),0)-$AI991))</f>
        <v/>
      </c>
      <c r="AK991" s="11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IF($H992="","",IFERROR(INDEX('CAT_ACTIVIDADES'!$B$4:$B$8,MATCH($H992,'CAT_ACTIVIDADES'!$A$4:$A$8,0)),"(sin catálogo)"))</f>
        <v/>
      </c>
      <c r="AA992" s="13">
        <f>IF($J992="","",TODAY()-$J992)</f>
        <v/>
      </c>
      <c r="AB992" s="13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IF($AE992="","",IF((IFERROR(INDEX('ASIGNACIONES'!$J$4:$J$451,MATCH($O992&amp;"|"&amp;$R992&amp;"|"&amp;$AE992,'ASIGNACIONES'!$N$4:$N$451,0)),""))=0,"",IFERROR(INDEX('ASIGNACIONES'!$J$4:$J$451,MATCH($O992&amp;"|"&amp;$R992&amp;"|"&amp;$AE992,'ASIGNACIONES'!$N$4:$N$451,0)),"")))</f>
        <v/>
      </c>
      <c r="AG992" s="14">
        <f>IF($AE992="","",SUMIFS('ORDENES'!$M$4:$M$1203,'ORDENES'!$AE$4:$AE$1203,$AE992,'ORDENES'!$O$4:$O$1203,$O992,'ORDENES'!$R$4:$R$1203,$R992))</f>
        <v/>
      </c>
      <c r="AH992" s="14">
        <f>IF($AG992="","",p_factor_productividad*IFERROR(INDEX('ASIGNACIONES'!$M$4:$M$451,MATCH($O992&amp;"|"&amp;$R992&amp;"|"&amp;$AE992,'ASIGNACIONES'!$N$4:$N$451,0)),0)-$AG992)</f>
        <v/>
      </c>
      <c r="AI992" s="11">
        <f>IF($A992="","",IFERROR(INDEX('2_IMPORTAR_EJECUCION'!$F$9:$F$1208,MATCH($AQ992,'2_IMPORTAR_EJECUCION'!$J$9:$J$1208,0)),0))</f>
        <v/>
      </c>
      <c r="AJ992" s="11">
        <f>IF($A992="","",MAX(0,IFERROR(INDEX('2_IMPORTAR_EJECUCION'!$H$9:$H$1208,MATCH($AQ992,'2_IMPORTAR_EJECUCION'!$J$9:$J$1208,0)),0)-$AI992))</f>
        <v/>
      </c>
      <c r="AK992" s="11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IF($H993="","",IFERROR(INDEX('CAT_ACTIVIDADES'!$B$4:$B$8,MATCH($H993,'CAT_ACTIVIDADES'!$A$4:$A$8,0)),"(sin catálogo)"))</f>
        <v/>
      </c>
      <c r="AA993" s="13">
        <f>IF($J993="","",TODAY()-$J993)</f>
        <v/>
      </c>
      <c r="AB993" s="13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IF($AE993="","",IF((IFERROR(INDEX('ASIGNACIONES'!$J$4:$J$451,MATCH($O993&amp;"|"&amp;$R993&amp;"|"&amp;$AE993,'ASIGNACIONES'!$N$4:$N$451,0)),""))=0,"",IFERROR(INDEX('ASIGNACIONES'!$J$4:$J$451,MATCH($O993&amp;"|"&amp;$R993&amp;"|"&amp;$AE993,'ASIGNACIONES'!$N$4:$N$451,0)),"")))</f>
        <v/>
      </c>
      <c r="AG993" s="14">
        <f>IF($AE993="","",SUMIFS('ORDENES'!$M$4:$M$1203,'ORDENES'!$AE$4:$AE$1203,$AE993,'ORDENES'!$O$4:$O$1203,$O993,'ORDENES'!$R$4:$R$1203,$R993))</f>
        <v/>
      </c>
      <c r="AH993" s="14">
        <f>IF($AG993="","",p_factor_productividad*IFERROR(INDEX('ASIGNACIONES'!$M$4:$M$451,MATCH($O993&amp;"|"&amp;$R993&amp;"|"&amp;$AE993,'ASIGNACIONES'!$N$4:$N$451,0)),0)-$AG993)</f>
        <v/>
      </c>
      <c r="AI993" s="11">
        <f>IF($A993="","",IFERROR(INDEX('2_IMPORTAR_EJECUCION'!$F$9:$F$1208,MATCH($AQ993,'2_IMPORTAR_EJECUCION'!$J$9:$J$1208,0)),0))</f>
        <v/>
      </c>
      <c r="AJ993" s="11">
        <f>IF($A993="","",MAX(0,IFERROR(INDEX('2_IMPORTAR_EJECUCION'!$H$9:$H$1208,MATCH($AQ993,'2_IMPORTAR_EJECUCION'!$J$9:$J$1208,0)),0)-$AI993))</f>
        <v/>
      </c>
      <c r="AK993" s="11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IF($H994="","",IFERROR(INDEX('CAT_ACTIVIDADES'!$B$4:$B$8,MATCH($H994,'CAT_ACTIVIDADES'!$A$4:$A$8,0)),"(sin catálogo)"))</f>
        <v/>
      </c>
      <c r="AA994" s="13">
        <f>IF($J994="","",TODAY()-$J994)</f>
        <v/>
      </c>
      <c r="AB994" s="13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IF($AE994="","",IF((IFERROR(INDEX('ASIGNACIONES'!$J$4:$J$451,MATCH($O994&amp;"|"&amp;$R994&amp;"|"&amp;$AE994,'ASIGNACIONES'!$N$4:$N$451,0)),""))=0,"",IFERROR(INDEX('ASIGNACIONES'!$J$4:$J$451,MATCH($O994&amp;"|"&amp;$R994&amp;"|"&amp;$AE994,'ASIGNACIONES'!$N$4:$N$451,0)),"")))</f>
        <v/>
      </c>
      <c r="AG994" s="14">
        <f>IF($AE994="","",SUMIFS('ORDENES'!$M$4:$M$1203,'ORDENES'!$AE$4:$AE$1203,$AE994,'ORDENES'!$O$4:$O$1203,$O994,'ORDENES'!$R$4:$R$1203,$R994))</f>
        <v/>
      </c>
      <c r="AH994" s="14">
        <f>IF($AG994="","",p_factor_productividad*IFERROR(INDEX('ASIGNACIONES'!$M$4:$M$451,MATCH($O994&amp;"|"&amp;$R994&amp;"|"&amp;$AE994,'ASIGNACIONES'!$N$4:$N$451,0)),0)-$AG994)</f>
        <v/>
      </c>
      <c r="AI994" s="11">
        <f>IF($A994="","",IFERROR(INDEX('2_IMPORTAR_EJECUCION'!$F$9:$F$1208,MATCH($AQ994,'2_IMPORTAR_EJECUCION'!$J$9:$J$1208,0)),0))</f>
        <v/>
      </c>
      <c r="AJ994" s="11">
        <f>IF($A994="","",MAX(0,IFERROR(INDEX('2_IMPORTAR_EJECUCION'!$H$9:$H$1208,MATCH($AQ994,'2_IMPORTAR_EJECUCION'!$J$9:$J$1208,0)),0)-$AI994))</f>
        <v/>
      </c>
      <c r="AK994" s="11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IF($H995="","",IFERROR(INDEX('CAT_ACTIVIDADES'!$B$4:$B$8,MATCH($H995,'CAT_ACTIVIDADES'!$A$4:$A$8,0)),"(sin catálogo)"))</f>
        <v/>
      </c>
      <c r="AA995" s="13">
        <f>IF($J995="","",TODAY()-$J995)</f>
        <v/>
      </c>
      <c r="AB995" s="13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IF($AE995="","",IF((IFERROR(INDEX('ASIGNACIONES'!$J$4:$J$451,MATCH($O995&amp;"|"&amp;$R995&amp;"|"&amp;$AE995,'ASIGNACIONES'!$N$4:$N$451,0)),""))=0,"",IFERROR(INDEX('ASIGNACIONES'!$J$4:$J$451,MATCH($O995&amp;"|"&amp;$R995&amp;"|"&amp;$AE995,'ASIGNACIONES'!$N$4:$N$451,0)),"")))</f>
        <v/>
      </c>
      <c r="AG995" s="14">
        <f>IF($AE995="","",SUMIFS('ORDENES'!$M$4:$M$1203,'ORDENES'!$AE$4:$AE$1203,$AE995,'ORDENES'!$O$4:$O$1203,$O995,'ORDENES'!$R$4:$R$1203,$R995))</f>
        <v/>
      </c>
      <c r="AH995" s="14">
        <f>IF($AG995="","",p_factor_productividad*IFERROR(INDEX('ASIGNACIONES'!$M$4:$M$451,MATCH($O995&amp;"|"&amp;$R995&amp;"|"&amp;$AE995,'ASIGNACIONES'!$N$4:$N$451,0)),0)-$AG995)</f>
        <v/>
      </c>
      <c r="AI995" s="11">
        <f>IF($A995="","",IFERROR(INDEX('2_IMPORTAR_EJECUCION'!$F$9:$F$1208,MATCH($AQ995,'2_IMPORTAR_EJECUCION'!$J$9:$J$1208,0)),0))</f>
        <v/>
      </c>
      <c r="AJ995" s="11">
        <f>IF($A995="","",MAX(0,IFERROR(INDEX('2_IMPORTAR_EJECUCION'!$H$9:$H$1208,MATCH($AQ995,'2_IMPORTAR_EJECUCION'!$J$9:$J$1208,0)),0)-$AI995))</f>
        <v/>
      </c>
      <c r="AK995" s="11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IF($H996="","",IFERROR(INDEX('CAT_ACTIVIDADES'!$B$4:$B$8,MATCH($H996,'CAT_ACTIVIDADES'!$A$4:$A$8,0)),"(sin catálogo)"))</f>
        <v/>
      </c>
      <c r="AA996" s="13">
        <f>IF($J996="","",TODAY()-$J996)</f>
        <v/>
      </c>
      <c r="AB996" s="13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IF($AE996="","",IF((IFERROR(INDEX('ASIGNACIONES'!$J$4:$J$451,MATCH($O996&amp;"|"&amp;$R996&amp;"|"&amp;$AE996,'ASIGNACIONES'!$N$4:$N$451,0)),""))=0,"",IFERROR(INDEX('ASIGNACIONES'!$J$4:$J$451,MATCH($O996&amp;"|"&amp;$R996&amp;"|"&amp;$AE996,'ASIGNACIONES'!$N$4:$N$451,0)),"")))</f>
        <v/>
      </c>
      <c r="AG996" s="14">
        <f>IF($AE996="","",SUMIFS('ORDENES'!$M$4:$M$1203,'ORDENES'!$AE$4:$AE$1203,$AE996,'ORDENES'!$O$4:$O$1203,$O996,'ORDENES'!$R$4:$R$1203,$R996))</f>
        <v/>
      </c>
      <c r="AH996" s="14">
        <f>IF($AG996="","",p_factor_productividad*IFERROR(INDEX('ASIGNACIONES'!$M$4:$M$451,MATCH($O996&amp;"|"&amp;$R996&amp;"|"&amp;$AE996,'ASIGNACIONES'!$N$4:$N$451,0)),0)-$AG996)</f>
        <v/>
      </c>
      <c r="AI996" s="11">
        <f>IF($A996="","",IFERROR(INDEX('2_IMPORTAR_EJECUCION'!$F$9:$F$1208,MATCH($AQ996,'2_IMPORTAR_EJECUCION'!$J$9:$J$1208,0)),0))</f>
        <v/>
      </c>
      <c r="AJ996" s="11">
        <f>IF($A996="","",MAX(0,IFERROR(INDEX('2_IMPORTAR_EJECUCION'!$H$9:$H$1208,MATCH($AQ996,'2_IMPORTAR_EJECUCION'!$J$9:$J$1208,0)),0)-$AI996))</f>
        <v/>
      </c>
      <c r="AK996" s="11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IF($H997="","",IFERROR(INDEX('CAT_ACTIVIDADES'!$B$4:$B$8,MATCH($H997,'CAT_ACTIVIDADES'!$A$4:$A$8,0)),"(sin catálogo)"))</f>
        <v/>
      </c>
      <c r="AA997" s="13">
        <f>IF($J997="","",TODAY()-$J997)</f>
        <v/>
      </c>
      <c r="AB997" s="13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IF($AE997="","",IF((IFERROR(INDEX('ASIGNACIONES'!$J$4:$J$451,MATCH($O997&amp;"|"&amp;$R997&amp;"|"&amp;$AE997,'ASIGNACIONES'!$N$4:$N$451,0)),""))=0,"",IFERROR(INDEX('ASIGNACIONES'!$J$4:$J$451,MATCH($O997&amp;"|"&amp;$R997&amp;"|"&amp;$AE997,'ASIGNACIONES'!$N$4:$N$451,0)),"")))</f>
        <v/>
      </c>
      <c r="AG997" s="14">
        <f>IF($AE997="","",SUMIFS('ORDENES'!$M$4:$M$1203,'ORDENES'!$AE$4:$AE$1203,$AE997,'ORDENES'!$O$4:$O$1203,$O997,'ORDENES'!$R$4:$R$1203,$R997))</f>
        <v/>
      </c>
      <c r="AH997" s="14">
        <f>IF($AG997="","",p_factor_productividad*IFERROR(INDEX('ASIGNACIONES'!$M$4:$M$451,MATCH($O997&amp;"|"&amp;$R997&amp;"|"&amp;$AE997,'ASIGNACIONES'!$N$4:$N$451,0)),0)-$AG997)</f>
        <v/>
      </c>
      <c r="AI997" s="11">
        <f>IF($A997="","",IFERROR(INDEX('2_IMPORTAR_EJECUCION'!$F$9:$F$1208,MATCH($AQ997,'2_IMPORTAR_EJECUCION'!$J$9:$J$1208,0)),0))</f>
        <v/>
      </c>
      <c r="AJ997" s="11">
        <f>IF($A997="","",MAX(0,IFERROR(INDEX('2_IMPORTAR_EJECUCION'!$H$9:$H$1208,MATCH($AQ997,'2_IMPORTAR_EJECUCION'!$J$9:$J$1208,0)),0)-$AI997))</f>
        <v/>
      </c>
      <c r="AK997" s="11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IF($H998="","",IFERROR(INDEX('CAT_ACTIVIDADES'!$B$4:$B$8,MATCH($H998,'CAT_ACTIVIDADES'!$A$4:$A$8,0)),"(sin catálogo)"))</f>
        <v/>
      </c>
      <c r="AA998" s="13">
        <f>IF($J998="","",TODAY()-$J998)</f>
        <v/>
      </c>
      <c r="AB998" s="13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IF($AE998="","",IF((IFERROR(INDEX('ASIGNACIONES'!$J$4:$J$451,MATCH($O998&amp;"|"&amp;$R998&amp;"|"&amp;$AE998,'ASIGNACIONES'!$N$4:$N$451,0)),""))=0,"",IFERROR(INDEX('ASIGNACIONES'!$J$4:$J$451,MATCH($O998&amp;"|"&amp;$R998&amp;"|"&amp;$AE998,'ASIGNACIONES'!$N$4:$N$451,0)),"")))</f>
        <v/>
      </c>
      <c r="AG998" s="14">
        <f>IF($AE998="","",SUMIFS('ORDENES'!$M$4:$M$1203,'ORDENES'!$AE$4:$AE$1203,$AE998,'ORDENES'!$O$4:$O$1203,$O998,'ORDENES'!$R$4:$R$1203,$R998))</f>
        <v/>
      </c>
      <c r="AH998" s="14">
        <f>IF($AG998="","",p_factor_productividad*IFERROR(INDEX('ASIGNACIONES'!$M$4:$M$451,MATCH($O998&amp;"|"&amp;$R998&amp;"|"&amp;$AE998,'ASIGNACIONES'!$N$4:$N$451,0)),0)-$AG998)</f>
        <v/>
      </c>
      <c r="AI998" s="11">
        <f>IF($A998="","",IFERROR(INDEX('2_IMPORTAR_EJECUCION'!$F$9:$F$1208,MATCH($AQ998,'2_IMPORTAR_EJECUCION'!$J$9:$J$1208,0)),0))</f>
        <v/>
      </c>
      <c r="AJ998" s="11">
        <f>IF($A998="","",MAX(0,IFERROR(INDEX('2_IMPORTAR_EJECUCION'!$H$9:$H$1208,MATCH($AQ998,'2_IMPORTAR_EJECUCION'!$J$9:$J$1208,0)),0)-$AI998))</f>
        <v/>
      </c>
      <c r="AK998" s="11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IF($H999="","",IFERROR(INDEX('CAT_ACTIVIDADES'!$B$4:$B$8,MATCH($H999,'CAT_ACTIVIDADES'!$A$4:$A$8,0)),"(sin catálogo)"))</f>
        <v/>
      </c>
      <c r="AA999" s="13">
        <f>IF($J999="","",TODAY()-$J999)</f>
        <v/>
      </c>
      <c r="AB999" s="13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IF($AE999="","",IF((IFERROR(INDEX('ASIGNACIONES'!$J$4:$J$451,MATCH($O999&amp;"|"&amp;$R999&amp;"|"&amp;$AE999,'ASIGNACIONES'!$N$4:$N$451,0)),""))=0,"",IFERROR(INDEX('ASIGNACIONES'!$J$4:$J$451,MATCH($O999&amp;"|"&amp;$R999&amp;"|"&amp;$AE999,'ASIGNACIONES'!$N$4:$N$451,0)),"")))</f>
        <v/>
      </c>
      <c r="AG999" s="14">
        <f>IF($AE999="","",SUMIFS('ORDENES'!$M$4:$M$1203,'ORDENES'!$AE$4:$AE$1203,$AE999,'ORDENES'!$O$4:$O$1203,$O999,'ORDENES'!$R$4:$R$1203,$R999))</f>
        <v/>
      </c>
      <c r="AH999" s="14">
        <f>IF($AG999="","",p_factor_productividad*IFERROR(INDEX('ASIGNACIONES'!$M$4:$M$451,MATCH($O999&amp;"|"&amp;$R999&amp;"|"&amp;$AE999,'ASIGNACIONES'!$N$4:$N$451,0)),0)-$AG999)</f>
        <v/>
      </c>
      <c r="AI999" s="11">
        <f>IF($A999="","",IFERROR(INDEX('2_IMPORTAR_EJECUCION'!$F$9:$F$1208,MATCH($AQ999,'2_IMPORTAR_EJECUCION'!$J$9:$J$1208,0)),0))</f>
        <v/>
      </c>
      <c r="AJ999" s="11">
        <f>IF($A999="","",MAX(0,IFERROR(INDEX('2_IMPORTAR_EJECUCION'!$H$9:$H$1208,MATCH($AQ999,'2_IMPORTAR_EJECUCION'!$J$9:$J$1208,0)),0)-$AI999))</f>
        <v/>
      </c>
      <c r="AK999" s="11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IF($H1000="","",IFERROR(INDEX('CAT_ACTIVIDADES'!$B$4:$B$8,MATCH($H1000,'CAT_ACTIVIDADES'!$A$4:$A$8,0)),"(sin catálogo)"))</f>
        <v/>
      </c>
      <c r="AA1000" s="13">
        <f>IF($J1000="","",TODAY()-$J1000)</f>
        <v/>
      </c>
      <c r="AB1000" s="13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J$4:$J$451,MATCH($O1000&amp;"|"&amp;$R1000&amp;"|"&amp;$AE1000,'ASIGNACIONES'!$N$4:$N$451,0)),""))=0,"",IFERROR(INDEX('ASIGNACIONES'!$J$4:$J$451,MATCH($O1000&amp;"|"&amp;$R1000&amp;"|"&amp;$AE1000,'ASIGNACIONES'!$N$4:$N$451,0)),"")))</f>
        <v/>
      </c>
      <c r="AG1000" s="14">
        <f>IF($AE1000="","",SUMIFS('ORDENES'!$M$4:$M$1203,'ORDENES'!$AE$4:$AE$1203,$AE1000,'ORDENES'!$O$4:$O$1203,$O1000,'ORDENES'!$R$4:$R$1203,$R1000))</f>
        <v/>
      </c>
      <c r="AH1000" s="14">
        <f>IF($AG1000="","",p_factor_productividad*IFERROR(INDEX('ASIGNACIONES'!$M$4:$M$451,MATCH($O1000&amp;"|"&amp;$R1000&amp;"|"&amp;$AE1000,'ASIGNACIONES'!$N$4:$N$451,0)),0)-$AG1000)</f>
        <v/>
      </c>
      <c r="AI1000" s="11">
        <f>IF($A1000="","",IFERROR(INDEX('2_IMPORTAR_EJECUCION'!$F$9:$F$1208,MATCH($AQ1000,'2_IMPORTAR_EJECUCION'!$J$9:$J$1208,0)),0))</f>
        <v/>
      </c>
      <c r="AJ1000" s="11">
        <f>IF($A1000="","",MAX(0,IFERROR(INDEX('2_IMPORTAR_EJECUCION'!$H$9:$H$1208,MATCH($AQ1000,'2_IMPORTAR_EJECUCION'!$J$9:$J$1208,0)),0)-$AI1000))</f>
        <v/>
      </c>
      <c r="AK1000" s="11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IF($H1001="","",IFERROR(INDEX('CAT_ACTIVIDADES'!$B$4:$B$8,MATCH($H1001,'CAT_ACTIVIDADES'!$A$4:$A$8,0)),"(sin catálogo)"))</f>
        <v/>
      </c>
      <c r="AA1001" s="13">
        <f>IF($J1001="","",TODAY()-$J1001)</f>
        <v/>
      </c>
      <c r="AB1001" s="13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J$4:$J$451,MATCH($O1001&amp;"|"&amp;$R1001&amp;"|"&amp;$AE1001,'ASIGNACIONES'!$N$4:$N$451,0)),""))=0,"",IFERROR(INDEX('ASIGNACIONES'!$J$4:$J$451,MATCH($O1001&amp;"|"&amp;$R1001&amp;"|"&amp;$AE1001,'ASIGNACIONES'!$N$4:$N$451,0)),"")))</f>
        <v/>
      </c>
      <c r="AG1001" s="14">
        <f>IF($AE1001="","",SUMIFS('ORDENES'!$M$4:$M$1203,'ORDENES'!$AE$4:$AE$1203,$AE1001,'ORDENES'!$O$4:$O$1203,$O1001,'ORDENES'!$R$4:$R$1203,$R1001))</f>
        <v/>
      </c>
      <c r="AH1001" s="14">
        <f>IF($AG1001="","",p_factor_productividad*IFERROR(INDEX('ASIGNACIONES'!$M$4:$M$451,MATCH($O1001&amp;"|"&amp;$R1001&amp;"|"&amp;$AE1001,'ASIGNACIONES'!$N$4:$N$451,0)),0)-$AG1001)</f>
        <v/>
      </c>
      <c r="AI1001" s="11">
        <f>IF($A1001="","",IFERROR(INDEX('2_IMPORTAR_EJECUCION'!$F$9:$F$1208,MATCH($AQ1001,'2_IMPORTAR_EJECUCION'!$J$9:$J$1208,0)),0))</f>
        <v/>
      </c>
      <c r="AJ1001" s="11">
        <f>IF($A1001="","",MAX(0,IFERROR(INDEX('2_IMPORTAR_EJECUCION'!$H$9:$H$1208,MATCH($AQ1001,'2_IMPORTAR_EJECUCION'!$J$9:$J$1208,0)),0)-$AI1001))</f>
        <v/>
      </c>
      <c r="AK1001" s="11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IF($H1002="","",IFERROR(INDEX('CAT_ACTIVIDADES'!$B$4:$B$8,MATCH($H1002,'CAT_ACTIVIDADES'!$A$4:$A$8,0)),"(sin catálogo)"))</f>
        <v/>
      </c>
      <c r="AA1002" s="13">
        <f>IF($J1002="","",TODAY()-$J1002)</f>
        <v/>
      </c>
      <c r="AB1002" s="13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J$4:$J$451,MATCH($O1002&amp;"|"&amp;$R1002&amp;"|"&amp;$AE1002,'ASIGNACIONES'!$N$4:$N$451,0)),""))=0,"",IFERROR(INDEX('ASIGNACIONES'!$J$4:$J$451,MATCH($O1002&amp;"|"&amp;$R1002&amp;"|"&amp;$AE1002,'ASIGNACIONES'!$N$4:$N$451,0)),"")))</f>
        <v/>
      </c>
      <c r="AG1002" s="14">
        <f>IF($AE1002="","",SUMIFS('ORDENES'!$M$4:$M$1203,'ORDENES'!$AE$4:$AE$1203,$AE1002,'ORDENES'!$O$4:$O$1203,$O1002,'ORDENES'!$R$4:$R$1203,$R1002))</f>
        <v/>
      </c>
      <c r="AH1002" s="14">
        <f>IF($AG1002="","",p_factor_productividad*IFERROR(INDEX('ASIGNACIONES'!$M$4:$M$451,MATCH($O1002&amp;"|"&amp;$R1002&amp;"|"&amp;$AE1002,'ASIGNACIONES'!$N$4:$N$451,0)),0)-$AG1002)</f>
        <v/>
      </c>
      <c r="AI1002" s="11">
        <f>IF($A1002="","",IFERROR(INDEX('2_IMPORTAR_EJECUCION'!$F$9:$F$1208,MATCH($AQ1002,'2_IMPORTAR_EJECUCION'!$J$9:$J$1208,0)),0))</f>
        <v/>
      </c>
      <c r="AJ1002" s="11">
        <f>IF($A1002="","",MAX(0,IFERROR(INDEX('2_IMPORTAR_EJECUCION'!$H$9:$H$1208,MATCH($AQ1002,'2_IMPORTAR_EJECUCION'!$J$9:$J$1208,0)),0)-$AI1002))</f>
        <v/>
      </c>
      <c r="AK1002" s="11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IF($H1003="","",IFERROR(INDEX('CAT_ACTIVIDADES'!$B$4:$B$8,MATCH($H1003,'CAT_ACTIVIDADES'!$A$4:$A$8,0)),"(sin catálogo)"))</f>
        <v/>
      </c>
      <c r="AA1003" s="13">
        <f>IF($J1003="","",TODAY()-$J1003)</f>
        <v/>
      </c>
      <c r="AB1003" s="13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J$4:$J$451,MATCH($O1003&amp;"|"&amp;$R1003&amp;"|"&amp;$AE1003,'ASIGNACIONES'!$N$4:$N$451,0)),""))=0,"",IFERROR(INDEX('ASIGNACIONES'!$J$4:$J$451,MATCH($O1003&amp;"|"&amp;$R1003&amp;"|"&amp;$AE1003,'ASIGNACIONES'!$N$4:$N$451,0)),"")))</f>
        <v/>
      </c>
      <c r="AG1003" s="14">
        <f>IF($AE1003="","",SUMIFS('ORDENES'!$M$4:$M$1203,'ORDENES'!$AE$4:$AE$1203,$AE1003,'ORDENES'!$O$4:$O$1203,$O1003,'ORDENES'!$R$4:$R$1203,$R1003))</f>
        <v/>
      </c>
      <c r="AH1003" s="14">
        <f>IF($AG1003="","",p_factor_productividad*IFERROR(INDEX('ASIGNACIONES'!$M$4:$M$451,MATCH($O1003&amp;"|"&amp;$R1003&amp;"|"&amp;$AE1003,'ASIGNACIONES'!$N$4:$N$451,0)),0)-$AG1003)</f>
        <v/>
      </c>
      <c r="AI1003" s="11">
        <f>IF($A1003="","",IFERROR(INDEX('2_IMPORTAR_EJECUCION'!$F$9:$F$1208,MATCH($AQ1003,'2_IMPORTAR_EJECUCION'!$J$9:$J$1208,0)),0))</f>
        <v/>
      </c>
      <c r="AJ1003" s="11">
        <f>IF($A1003="","",MAX(0,IFERROR(INDEX('2_IMPORTAR_EJECUCION'!$H$9:$H$1208,MATCH($AQ1003,'2_IMPORTAR_EJECUCION'!$J$9:$J$1208,0)),0)-$AI1003))</f>
        <v/>
      </c>
      <c r="AK1003" s="11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IF($H1004="","",IFERROR(INDEX('CAT_ACTIVIDADES'!$B$4:$B$8,MATCH($H1004,'CAT_ACTIVIDADES'!$A$4:$A$8,0)),"(sin catálogo)"))</f>
        <v/>
      </c>
      <c r="AA1004" s="13">
        <f>IF($J1004="","",TODAY()-$J1004)</f>
        <v/>
      </c>
      <c r="AB1004" s="13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J$4:$J$451,MATCH($O1004&amp;"|"&amp;$R1004&amp;"|"&amp;$AE1004,'ASIGNACIONES'!$N$4:$N$451,0)),""))=0,"",IFERROR(INDEX('ASIGNACIONES'!$J$4:$J$451,MATCH($O1004&amp;"|"&amp;$R1004&amp;"|"&amp;$AE1004,'ASIGNACIONES'!$N$4:$N$451,0)),"")))</f>
        <v/>
      </c>
      <c r="AG1004" s="14">
        <f>IF($AE1004="","",SUMIFS('ORDENES'!$M$4:$M$1203,'ORDENES'!$AE$4:$AE$1203,$AE1004,'ORDENES'!$O$4:$O$1203,$O1004,'ORDENES'!$R$4:$R$1203,$R1004))</f>
        <v/>
      </c>
      <c r="AH1004" s="14">
        <f>IF($AG1004="","",p_factor_productividad*IFERROR(INDEX('ASIGNACIONES'!$M$4:$M$451,MATCH($O1004&amp;"|"&amp;$R1004&amp;"|"&amp;$AE1004,'ASIGNACIONES'!$N$4:$N$451,0)),0)-$AG1004)</f>
        <v/>
      </c>
      <c r="AI1004" s="11">
        <f>IF($A1004="","",IFERROR(INDEX('2_IMPORTAR_EJECUCION'!$F$9:$F$1208,MATCH($AQ1004,'2_IMPORTAR_EJECUCION'!$J$9:$J$1208,0)),0))</f>
        <v/>
      </c>
      <c r="AJ1004" s="11">
        <f>IF($A1004="","",MAX(0,IFERROR(INDEX('2_IMPORTAR_EJECUCION'!$H$9:$H$1208,MATCH($AQ1004,'2_IMPORTAR_EJECUCION'!$J$9:$J$1208,0)),0)-$AI1004))</f>
        <v/>
      </c>
      <c r="AK1004" s="11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IF($H1005="","",IFERROR(INDEX('CAT_ACTIVIDADES'!$B$4:$B$8,MATCH($H1005,'CAT_ACTIVIDADES'!$A$4:$A$8,0)),"(sin catálogo)"))</f>
        <v/>
      </c>
      <c r="AA1005" s="13">
        <f>IF($J1005="","",TODAY()-$J1005)</f>
        <v/>
      </c>
      <c r="AB1005" s="13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J$4:$J$451,MATCH($O1005&amp;"|"&amp;$R1005&amp;"|"&amp;$AE1005,'ASIGNACIONES'!$N$4:$N$451,0)),""))=0,"",IFERROR(INDEX('ASIGNACIONES'!$J$4:$J$451,MATCH($O1005&amp;"|"&amp;$R1005&amp;"|"&amp;$AE1005,'ASIGNACIONES'!$N$4:$N$451,0)),"")))</f>
        <v/>
      </c>
      <c r="AG1005" s="14">
        <f>IF($AE1005="","",SUMIFS('ORDENES'!$M$4:$M$1203,'ORDENES'!$AE$4:$AE$1203,$AE1005,'ORDENES'!$O$4:$O$1203,$O1005,'ORDENES'!$R$4:$R$1203,$R1005))</f>
        <v/>
      </c>
      <c r="AH1005" s="14">
        <f>IF($AG1005="","",p_factor_productividad*IFERROR(INDEX('ASIGNACIONES'!$M$4:$M$451,MATCH($O1005&amp;"|"&amp;$R1005&amp;"|"&amp;$AE1005,'ASIGNACIONES'!$N$4:$N$451,0)),0)-$AG1005)</f>
        <v/>
      </c>
      <c r="AI1005" s="11">
        <f>IF($A1005="","",IFERROR(INDEX('2_IMPORTAR_EJECUCION'!$F$9:$F$1208,MATCH($AQ1005,'2_IMPORTAR_EJECUCION'!$J$9:$J$1208,0)),0))</f>
        <v/>
      </c>
      <c r="AJ1005" s="11">
        <f>IF($A1005="","",MAX(0,IFERROR(INDEX('2_IMPORTAR_EJECUCION'!$H$9:$H$1208,MATCH($AQ1005,'2_IMPORTAR_EJECUCION'!$J$9:$J$1208,0)),0)-$AI1005))</f>
        <v/>
      </c>
      <c r="AK1005" s="11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IF($H1006="","",IFERROR(INDEX('CAT_ACTIVIDADES'!$B$4:$B$8,MATCH($H1006,'CAT_ACTIVIDADES'!$A$4:$A$8,0)),"(sin catálogo)"))</f>
        <v/>
      </c>
      <c r="AA1006" s="13">
        <f>IF($J1006="","",TODAY()-$J1006)</f>
        <v/>
      </c>
      <c r="AB1006" s="13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J$4:$J$451,MATCH($O1006&amp;"|"&amp;$R1006&amp;"|"&amp;$AE1006,'ASIGNACIONES'!$N$4:$N$451,0)),""))=0,"",IFERROR(INDEX('ASIGNACIONES'!$J$4:$J$451,MATCH($O1006&amp;"|"&amp;$R1006&amp;"|"&amp;$AE1006,'ASIGNACIONES'!$N$4:$N$451,0)),"")))</f>
        <v/>
      </c>
      <c r="AG1006" s="14">
        <f>IF($AE1006="","",SUMIFS('ORDENES'!$M$4:$M$1203,'ORDENES'!$AE$4:$AE$1203,$AE1006,'ORDENES'!$O$4:$O$1203,$O1006,'ORDENES'!$R$4:$R$1203,$R1006))</f>
        <v/>
      </c>
      <c r="AH1006" s="14">
        <f>IF($AG1006="","",p_factor_productividad*IFERROR(INDEX('ASIGNACIONES'!$M$4:$M$451,MATCH($O1006&amp;"|"&amp;$R1006&amp;"|"&amp;$AE1006,'ASIGNACIONES'!$N$4:$N$451,0)),0)-$AG1006)</f>
        <v/>
      </c>
      <c r="AI1006" s="11">
        <f>IF($A1006="","",IFERROR(INDEX('2_IMPORTAR_EJECUCION'!$F$9:$F$1208,MATCH($AQ1006,'2_IMPORTAR_EJECUCION'!$J$9:$J$1208,0)),0))</f>
        <v/>
      </c>
      <c r="AJ1006" s="11">
        <f>IF($A1006="","",MAX(0,IFERROR(INDEX('2_IMPORTAR_EJECUCION'!$H$9:$H$1208,MATCH($AQ1006,'2_IMPORTAR_EJECUCION'!$J$9:$J$1208,0)),0)-$AI1006))</f>
        <v/>
      </c>
      <c r="AK1006" s="11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IF($H1007="","",IFERROR(INDEX('CAT_ACTIVIDADES'!$B$4:$B$8,MATCH($H1007,'CAT_ACTIVIDADES'!$A$4:$A$8,0)),"(sin catálogo)"))</f>
        <v/>
      </c>
      <c r="AA1007" s="13">
        <f>IF($J1007="","",TODAY()-$J1007)</f>
        <v/>
      </c>
      <c r="AB1007" s="13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J$4:$J$451,MATCH($O1007&amp;"|"&amp;$R1007&amp;"|"&amp;$AE1007,'ASIGNACIONES'!$N$4:$N$451,0)),""))=0,"",IFERROR(INDEX('ASIGNACIONES'!$J$4:$J$451,MATCH($O1007&amp;"|"&amp;$R1007&amp;"|"&amp;$AE1007,'ASIGNACIONES'!$N$4:$N$451,0)),"")))</f>
        <v/>
      </c>
      <c r="AG1007" s="14">
        <f>IF($AE1007="","",SUMIFS('ORDENES'!$M$4:$M$1203,'ORDENES'!$AE$4:$AE$1203,$AE1007,'ORDENES'!$O$4:$O$1203,$O1007,'ORDENES'!$R$4:$R$1203,$R1007))</f>
        <v/>
      </c>
      <c r="AH1007" s="14">
        <f>IF($AG1007="","",p_factor_productividad*IFERROR(INDEX('ASIGNACIONES'!$M$4:$M$451,MATCH($O1007&amp;"|"&amp;$R1007&amp;"|"&amp;$AE1007,'ASIGNACIONES'!$N$4:$N$451,0)),0)-$AG1007)</f>
        <v/>
      </c>
      <c r="AI1007" s="11">
        <f>IF($A1007="","",IFERROR(INDEX('2_IMPORTAR_EJECUCION'!$F$9:$F$1208,MATCH($AQ1007,'2_IMPORTAR_EJECUCION'!$J$9:$J$1208,0)),0))</f>
        <v/>
      </c>
      <c r="AJ1007" s="11">
        <f>IF($A1007="","",MAX(0,IFERROR(INDEX('2_IMPORTAR_EJECUCION'!$H$9:$H$1208,MATCH($AQ1007,'2_IMPORTAR_EJECUCION'!$J$9:$J$1208,0)),0)-$AI1007))</f>
        <v/>
      </c>
      <c r="AK1007" s="11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IF($H1008="","",IFERROR(INDEX('CAT_ACTIVIDADES'!$B$4:$B$8,MATCH($H1008,'CAT_ACTIVIDADES'!$A$4:$A$8,0)),"(sin catálogo)"))</f>
        <v/>
      </c>
      <c r="AA1008" s="13">
        <f>IF($J1008="","",TODAY()-$J1008)</f>
        <v/>
      </c>
      <c r="AB1008" s="13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J$4:$J$451,MATCH($O1008&amp;"|"&amp;$R1008&amp;"|"&amp;$AE1008,'ASIGNACIONES'!$N$4:$N$451,0)),""))=0,"",IFERROR(INDEX('ASIGNACIONES'!$J$4:$J$451,MATCH($O1008&amp;"|"&amp;$R1008&amp;"|"&amp;$AE1008,'ASIGNACIONES'!$N$4:$N$451,0)),"")))</f>
        <v/>
      </c>
      <c r="AG1008" s="14">
        <f>IF($AE1008="","",SUMIFS('ORDENES'!$M$4:$M$1203,'ORDENES'!$AE$4:$AE$1203,$AE1008,'ORDENES'!$O$4:$O$1203,$O1008,'ORDENES'!$R$4:$R$1203,$R1008))</f>
        <v/>
      </c>
      <c r="AH1008" s="14">
        <f>IF($AG1008="","",p_factor_productividad*IFERROR(INDEX('ASIGNACIONES'!$M$4:$M$451,MATCH($O1008&amp;"|"&amp;$R1008&amp;"|"&amp;$AE1008,'ASIGNACIONES'!$N$4:$N$451,0)),0)-$AG1008)</f>
        <v/>
      </c>
      <c r="AI1008" s="11">
        <f>IF($A1008="","",IFERROR(INDEX('2_IMPORTAR_EJECUCION'!$F$9:$F$1208,MATCH($AQ1008,'2_IMPORTAR_EJECUCION'!$J$9:$J$1208,0)),0))</f>
        <v/>
      </c>
      <c r="AJ1008" s="11">
        <f>IF($A1008="","",MAX(0,IFERROR(INDEX('2_IMPORTAR_EJECUCION'!$H$9:$H$1208,MATCH($AQ1008,'2_IMPORTAR_EJECUCION'!$J$9:$J$1208,0)),0)-$AI1008))</f>
        <v/>
      </c>
      <c r="AK1008" s="11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IF($H1009="","",IFERROR(INDEX('CAT_ACTIVIDADES'!$B$4:$B$8,MATCH($H1009,'CAT_ACTIVIDADES'!$A$4:$A$8,0)),"(sin catálogo)"))</f>
        <v/>
      </c>
      <c r="AA1009" s="13">
        <f>IF($J1009="","",TODAY()-$J1009)</f>
        <v/>
      </c>
      <c r="AB1009" s="13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J$4:$J$451,MATCH($O1009&amp;"|"&amp;$R1009&amp;"|"&amp;$AE1009,'ASIGNACIONES'!$N$4:$N$451,0)),""))=0,"",IFERROR(INDEX('ASIGNACIONES'!$J$4:$J$451,MATCH($O1009&amp;"|"&amp;$R1009&amp;"|"&amp;$AE1009,'ASIGNACIONES'!$N$4:$N$451,0)),"")))</f>
        <v/>
      </c>
      <c r="AG1009" s="14">
        <f>IF($AE1009="","",SUMIFS('ORDENES'!$M$4:$M$1203,'ORDENES'!$AE$4:$AE$1203,$AE1009,'ORDENES'!$O$4:$O$1203,$O1009,'ORDENES'!$R$4:$R$1203,$R1009))</f>
        <v/>
      </c>
      <c r="AH1009" s="14">
        <f>IF($AG1009="","",p_factor_productividad*IFERROR(INDEX('ASIGNACIONES'!$M$4:$M$451,MATCH($O1009&amp;"|"&amp;$R1009&amp;"|"&amp;$AE1009,'ASIGNACIONES'!$N$4:$N$451,0)),0)-$AG1009)</f>
        <v/>
      </c>
      <c r="AI1009" s="11">
        <f>IF($A1009="","",IFERROR(INDEX('2_IMPORTAR_EJECUCION'!$F$9:$F$1208,MATCH($AQ1009,'2_IMPORTAR_EJECUCION'!$J$9:$J$1208,0)),0))</f>
        <v/>
      </c>
      <c r="AJ1009" s="11">
        <f>IF($A1009="","",MAX(0,IFERROR(INDEX('2_IMPORTAR_EJECUCION'!$H$9:$H$1208,MATCH($AQ1009,'2_IMPORTAR_EJECUCION'!$J$9:$J$1208,0)),0)-$AI1009))</f>
        <v/>
      </c>
      <c r="AK1009" s="11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IF($H1010="","",IFERROR(INDEX('CAT_ACTIVIDADES'!$B$4:$B$8,MATCH($H1010,'CAT_ACTIVIDADES'!$A$4:$A$8,0)),"(sin catálogo)"))</f>
        <v/>
      </c>
      <c r="AA1010" s="13">
        <f>IF($J1010="","",TODAY()-$J1010)</f>
        <v/>
      </c>
      <c r="AB1010" s="13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J$4:$J$451,MATCH($O1010&amp;"|"&amp;$R1010&amp;"|"&amp;$AE1010,'ASIGNACIONES'!$N$4:$N$451,0)),""))=0,"",IFERROR(INDEX('ASIGNACIONES'!$J$4:$J$451,MATCH($O1010&amp;"|"&amp;$R1010&amp;"|"&amp;$AE1010,'ASIGNACIONES'!$N$4:$N$451,0)),"")))</f>
        <v/>
      </c>
      <c r="AG1010" s="14">
        <f>IF($AE1010="","",SUMIFS('ORDENES'!$M$4:$M$1203,'ORDENES'!$AE$4:$AE$1203,$AE1010,'ORDENES'!$O$4:$O$1203,$O1010,'ORDENES'!$R$4:$R$1203,$R1010))</f>
        <v/>
      </c>
      <c r="AH1010" s="14">
        <f>IF($AG1010="","",p_factor_productividad*IFERROR(INDEX('ASIGNACIONES'!$M$4:$M$451,MATCH($O1010&amp;"|"&amp;$R1010&amp;"|"&amp;$AE1010,'ASIGNACIONES'!$N$4:$N$451,0)),0)-$AG1010)</f>
        <v/>
      </c>
      <c r="AI1010" s="11">
        <f>IF($A1010="","",IFERROR(INDEX('2_IMPORTAR_EJECUCION'!$F$9:$F$1208,MATCH($AQ1010,'2_IMPORTAR_EJECUCION'!$J$9:$J$1208,0)),0))</f>
        <v/>
      </c>
      <c r="AJ1010" s="11">
        <f>IF($A1010="","",MAX(0,IFERROR(INDEX('2_IMPORTAR_EJECUCION'!$H$9:$H$1208,MATCH($AQ1010,'2_IMPORTAR_EJECUCION'!$J$9:$J$1208,0)),0)-$AI1010))</f>
        <v/>
      </c>
      <c r="AK1010" s="11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IF($H1011="","",IFERROR(INDEX('CAT_ACTIVIDADES'!$B$4:$B$8,MATCH($H1011,'CAT_ACTIVIDADES'!$A$4:$A$8,0)),"(sin catálogo)"))</f>
        <v/>
      </c>
      <c r="AA1011" s="13">
        <f>IF($J1011="","",TODAY()-$J1011)</f>
        <v/>
      </c>
      <c r="AB1011" s="13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J$4:$J$451,MATCH($O1011&amp;"|"&amp;$R1011&amp;"|"&amp;$AE1011,'ASIGNACIONES'!$N$4:$N$451,0)),""))=0,"",IFERROR(INDEX('ASIGNACIONES'!$J$4:$J$451,MATCH($O1011&amp;"|"&amp;$R1011&amp;"|"&amp;$AE1011,'ASIGNACIONES'!$N$4:$N$451,0)),"")))</f>
        <v/>
      </c>
      <c r="AG1011" s="14">
        <f>IF($AE1011="","",SUMIFS('ORDENES'!$M$4:$M$1203,'ORDENES'!$AE$4:$AE$1203,$AE1011,'ORDENES'!$O$4:$O$1203,$O1011,'ORDENES'!$R$4:$R$1203,$R1011))</f>
        <v/>
      </c>
      <c r="AH1011" s="14">
        <f>IF($AG1011="","",p_factor_productividad*IFERROR(INDEX('ASIGNACIONES'!$M$4:$M$451,MATCH($O1011&amp;"|"&amp;$R1011&amp;"|"&amp;$AE1011,'ASIGNACIONES'!$N$4:$N$451,0)),0)-$AG1011)</f>
        <v/>
      </c>
      <c r="AI1011" s="11">
        <f>IF($A1011="","",IFERROR(INDEX('2_IMPORTAR_EJECUCION'!$F$9:$F$1208,MATCH($AQ1011,'2_IMPORTAR_EJECUCION'!$J$9:$J$1208,0)),0))</f>
        <v/>
      </c>
      <c r="AJ1011" s="11">
        <f>IF($A1011="","",MAX(0,IFERROR(INDEX('2_IMPORTAR_EJECUCION'!$H$9:$H$1208,MATCH($AQ1011,'2_IMPORTAR_EJECUCION'!$J$9:$J$1208,0)),0)-$AI1011))</f>
        <v/>
      </c>
      <c r="AK1011" s="11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IF($H1012="","",IFERROR(INDEX('CAT_ACTIVIDADES'!$B$4:$B$8,MATCH($H1012,'CAT_ACTIVIDADES'!$A$4:$A$8,0)),"(sin catálogo)"))</f>
        <v/>
      </c>
      <c r="AA1012" s="13">
        <f>IF($J1012="","",TODAY()-$J1012)</f>
        <v/>
      </c>
      <c r="AB1012" s="13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J$4:$J$451,MATCH($O1012&amp;"|"&amp;$R1012&amp;"|"&amp;$AE1012,'ASIGNACIONES'!$N$4:$N$451,0)),""))=0,"",IFERROR(INDEX('ASIGNACIONES'!$J$4:$J$451,MATCH($O1012&amp;"|"&amp;$R1012&amp;"|"&amp;$AE1012,'ASIGNACIONES'!$N$4:$N$451,0)),"")))</f>
        <v/>
      </c>
      <c r="AG1012" s="14">
        <f>IF($AE1012="","",SUMIFS('ORDENES'!$M$4:$M$1203,'ORDENES'!$AE$4:$AE$1203,$AE1012,'ORDENES'!$O$4:$O$1203,$O1012,'ORDENES'!$R$4:$R$1203,$R1012))</f>
        <v/>
      </c>
      <c r="AH1012" s="14">
        <f>IF($AG1012="","",p_factor_productividad*IFERROR(INDEX('ASIGNACIONES'!$M$4:$M$451,MATCH($O1012&amp;"|"&amp;$R1012&amp;"|"&amp;$AE1012,'ASIGNACIONES'!$N$4:$N$451,0)),0)-$AG1012)</f>
        <v/>
      </c>
      <c r="AI1012" s="11">
        <f>IF($A1012="","",IFERROR(INDEX('2_IMPORTAR_EJECUCION'!$F$9:$F$1208,MATCH($AQ1012,'2_IMPORTAR_EJECUCION'!$J$9:$J$1208,0)),0))</f>
        <v/>
      </c>
      <c r="AJ1012" s="11">
        <f>IF($A1012="","",MAX(0,IFERROR(INDEX('2_IMPORTAR_EJECUCION'!$H$9:$H$1208,MATCH($AQ1012,'2_IMPORTAR_EJECUCION'!$J$9:$J$1208,0)),0)-$AI1012))</f>
        <v/>
      </c>
      <c r="AK1012" s="11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IF($H1013="","",IFERROR(INDEX('CAT_ACTIVIDADES'!$B$4:$B$8,MATCH($H1013,'CAT_ACTIVIDADES'!$A$4:$A$8,0)),"(sin catálogo)"))</f>
        <v/>
      </c>
      <c r="AA1013" s="13">
        <f>IF($J1013="","",TODAY()-$J1013)</f>
        <v/>
      </c>
      <c r="AB1013" s="13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J$4:$J$451,MATCH($O1013&amp;"|"&amp;$R1013&amp;"|"&amp;$AE1013,'ASIGNACIONES'!$N$4:$N$451,0)),""))=0,"",IFERROR(INDEX('ASIGNACIONES'!$J$4:$J$451,MATCH($O1013&amp;"|"&amp;$R1013&amp;"|"&amp;$AE1013,'ASIGNACIONES'!$N$4:$N$451,0)),"")))</f>
        <v/>
      </c>
      <c r="AG1013" s="14">
        <f>IF($AE1013="","",SUMIFS('ORDENES'!$M$4:$M$1203,'ORDENES'!$AE$4:$AE$1203,$AE1013,'ORDENES'!$O$4:$O$1203,$O1013,'ORDENES'!$R$4:$R$1203,$R1013))</f>
        <v/>
      </c>
      <c r="AH1013" s="14">
        <f>IF($AG1013="","",p_factor_productividad*IFERROR(INDEX('ASIGNACIONES'!$M$4:$M$451,MATCH($O1013&amp;"|"&amp;$R1013&amp;"|"&amp;$AE1013,'ASIGNACIONES'!$N$4:$N$451,0)),0)-$AG1013)</f>
        <v/>
      </c>
      <c r="AI1013" s="11">
        <f>IF($A1013="","",IFERROR(INDEX('2_IMPORTAR_EJECUCION'!$F$9:$F$1208,MATCH($AQ1013,'2_IMPORTAR_EJECUCION'!$J$9:$J$1208,0)),0))</f>
        <v/>
      </c>
      <c r="AJ1013" s="11">
        <f>IF($A1013="","",MAX(0,IFERROR(INDEX('2_IMPORTAR_EJECUCION'!$H$9:$H$1208,MATCH($AQ1013,'2_IMPORTAR_EJECUCION'!$J$9:$J$1208,0)),0)-$AI1013))</f>
        <v/>
      </c>
      <c r="AK1013" s="11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IF($H1014="","",IFERROR(INDEX('CAT_ACTIVIDADES'!$B$4:$B$8,MATCH($H1014,'CAT_ACTIVIDADES'!$A$4:$A$8,0)),"(sin catálogo)"))</f>
        <v/>
      </c>
      <c r="AA1014" s="13">
        <f>IF($J1014="","",TODAY()-$J1014)</f>
        <v/>
      </c>
      <c r="AB1014" s="13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J$4:$J$451,MATCH($O1014&amp;"|"&amp;$R1014&amp;"|"&amp;$AE1014,'ASIGNACIONES'!$N$4:$N$451,0)),""))=0,"",IFERROR(INDEX('ASIGNACIONES'!$J$4:$J$451,MATCH($O1014&amp;"|"&amp;$R1014&amp;"|"&amp;$AE1014,'ASIGNACIONES'!$N$4:$N$451,0)),"")))</f>
        <v/>
      </c>
      <c r="AG1014" s="14">
        <f>IF($AE1014="","",SUMIFS('ORDENES'!$M$4:$M$1203,'ORDENES'!$AE$4:$AE$1203,$AE1014,'ORDENES'!$O$4:$O$1203,$O1014,'ORDENES'!$R$4:$R$1203,$R1014))</f>
        <v/>
      </c>
      <c r="AH1014" s="14">
        <f>IF($AG1014="","",p_factor_productividad*IFERROR(INDEX('ASIGNACIONES'!$M$4:$M$451,MATCH($O1014&amp;"|"&amp;$R1014&amp;"|"&amp;$AE1014,'ASIGNACIONES'!$N$4:$N$451,0)),0)-$AG1014)</f>
        <v/>
      </c>
      <c r="AI1014" s="11">
        <f>IF($A1014="","",IFERROR(INDEX('2_IMPORTAR_EJECUCION'!$F$9:$F$1208,MATCH($AQ1014,'2_IMPORTAR_EJECUCION'!$J$9:$J$1208,0)),0))</f>
        <v/>
      </c>
      <c r="AJ1014" s="11">
        <f>IF($A1014="","",MAX(0,IFERROR(INDEX('2_IMPORTAR_EJECUCION'!$H$9:$H$1208,MATCH($AQ1014,'2_IMPORTAR_EJECUCION'!$J$9:$J$1208,0)),0)-$AI1014))</f>
        <v/>
      </c>
      <c r="AK1014" s="11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IF($H1015="","",IFERROR(INDEX('CAT_ACTIVIDADES'!$B$4:$B$8,MATCH($H1015,'CAT_ACTIVIDADES'!$A$4:$A$8,0)),"(sin catálogo)"))</f>
        <v/>
      </c>
      <c r="AA1015" s="13">
        <f>IF($J1015="","",TODAY()-$J1015)</f>
        <v/>
      </c>
      <c r="AB1015" s="13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J$4:$J$451,MATCH($O1015&amp;"|"&amp;$R1015&amp;"|"&amp;$AE1015,'ASIGNACIONES'!$N$4:$N$451,0)),""))=0,"",IFERROR(INDEX('ASIGNACIONES'!$J$4:$J$451,MATCH($O1015&amp;"|"&amp;$R1015&amp;"|"&amp;$AE1015,'ASIGNACIONES'!$N$4:$N$451,0)),"")))</f>
        <v/>
      </c>
      <c r="AG1015" s="14">
        <f>IF($AE1015="","",SUMIFS('ORDENES'!$M$4:$M$1203,'ORDENES'!$AE$4:$AE$1203,$AE1015,'ORDENES'!$O$4:$O$1203,$O1015,'ORDENES'!$R$4:$R$1203,$R1015))</f>
        <v/>
      </c>
      <c r="AH1015" s="14">
        <f>IF($AG1015="","",p_factor_productividad*IFERROR(INDEX('ASIGNACIONES'!$M$4:$M$451,MATCH($O1015&amp;"|"&amp;$R1015&amp;"|"&amp;$AE1015,'ASIGNACIONES'!$N$4:$N$451,0)),0)-$AG1015)</f>
        <v/>
      </c>
      <c r="AI1015" s="11">
        <f>IF($A1015="","",IFERROR(INDEX('2_IMPORTAR_EJECUCION'!$F$9:$F$1208,MATCH($AQ1015,'2_IMPORTAR_EJECUCION'!$J$9:$J$1208,0)),0))</f>
        <v/>
      </c>
      <c r="AJ1015" s="11">
        <f>IF($A1015="","",MAX(0,IFERROR(INDEX('2_IMPORTAR_EJECUCION'!$H$9:$H$1208,MATCH($AQ1015,'2_IMPORTAR_EJECUCION'!$J$9:$J$1208,0)),0)-$AI1015))</f>
        <v/>
      </c>
      <c r="AK1015" s="11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IF($H1016="","",IFERROR(INDEX('CAT_ACTIVIDADES'!$B$4:$B$8,MATCH($H1016,'CAT_ACTIVIDADES'!$A$4:$A$8,0)),"(sin catálogo)"))</f>
        <v/>
      </c>
      <c r="AA1016" s="13">
        <f>IF($J1016="","",TODAY()-$J1016)</f>
        <v/>
      </c>
      <c r="AB1016" s="13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J$4:$J$451,MATCH($O1016&amp;"|"&amp;$R1016&amp;"|"&amp;$AE1016,'ASIGNACIONES'!$N$4:$N$451,0)),""))=0,"",IFERROR(INDEX('ASIGNACIONES'!$J$4:$J$451,MATCH($O1016&amp;"|"&amp;$R1016&amp;"|"&amp;$AE1016,'ASIGNACIONES'!$N$4:$N$451,0)),"")))</f>
        <v/>
      </c>
      <c r="AG1016" s="14">
        <f>IF($AE1016="","",SUMIFS('ORDENES'!$M$4:$M$1203,'ORDENES'!$AE$4:$AE$1203,$AE1016,'ORDENES'!$O$4:$O$1203,$O1016,'ORDENES'!$R$4:$R$1203,$R1016))</f>
        <v/>
      </c>
      <c r="AH1016" s="14">
        <f>IF($AG1016="","",p_factor_productividad*IFERROR(INDEX('ASIGNACIONES'!$M$4:$M$451,MATCH($O1016&amp;"|"&amp;$R1016&amp;"|"&amp;$AE1016,'ASIGNACIONES'!$N$4:$N$451,0)),0)-$AG1016)</f>
        <v/>
      </c>
      <c r="AI1016" s="11">
        <f>IF($A1016="","",IFERROR(INDEX('2_IMPORTAR_EJECUCION'!$F$9:$F$1208,MATCH($AQ1016,'2_IMPORTAR_EJECUCION'!$J$9:$J$1208,0)),0))</f>
        <v/>
      </c>
      <c r="AJ1016" s="11">
        <f>IF($A1016="","",MAX(0,IFERROR(INDEX('2_IMPORTAR_EJECUCION'!$H$9:$H$1208,MATCH($AQ1016,'2_IMPORTAR_EJECUCION'!$J$9:$J$1208,0)),0)-$AI1016))</f>
        <v/>
      </c>
      <c r="AK1016" s="11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IF($H1017="","",IFERROR(INDEX('CAT_ACTIVIDADES'!$B$4:$B$8,MATCH($H1017,'CAT_ACTIVIDADES'!$A$4:$A$8,0)),"(sin catálogo)"))</f>
        <v/>
      </c>
      <c r="AA1017" s="13">
        <f>IF($J1017="","",TODAY()-$J1017)</f>
        <v/>
      </c>
      <c r="AB1017" s="13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J$4:$J$451,MATCH($O1017&amp;"|"&amp;$R1017&amp;"|"&amp;$AE1017,'ASIGNACIONES'!$N$4:$N$451,0)),""))=0,"",IFERROR(INDEX('ASIGNACIONES'!$J$4:$J$451,MATCH($O1017&amp;"|"&amp;$R1017&amp;"|"&amp;$AE1017,'ASIGNACIONES'!$N$4:$N$451,0)),"")))</f>
        <v/>
      </c>
      <c r="AG1017" s="14">
        <f>IF($AE1017="","",SUMIFS('ORDENES'!$M$4:$M$1203,'ORDENES'!$AE$4:$AE$1203,$AE1017,'ORDENES'!$O$4:$O$1203,$O1017,'ORDENES'!$R$4:$R$1203,$R1017))</f>
        <v/>
      </c>
      <c r="AH1017" s="14">
        <f>IF($AG1017="","",p_factor_productividad*IFERROR(INDEX('ASIGNACIONES'!$M$4:$M$451,MATCH($O1017&amp;"|"&amp;$R1017&amp;"|"&amp;$AE1017,'ASIGNACIONES'!$N$4:$N$451,0)),0)-$AG1017)</f>
        <v/>
      </c>
      <c r="AI1017" s="11">
        <f>IF($A1017="","",IFERROR(INDEX('2_IMPORTAR_EJECUCION'!$F$9:$F$1208,MATCH($AQ1017,'2_IMPORTAR_EJECUCION'!$J$9:$J$1208,0)),0))</f>
        <v/>
      </c>
      <c r="AJ1017" s="11">
        <f>IF($A1017="","",MAX(0,IFERROR(INDEX('2_IMPORTAR_EJECUCION'!$H$9:$H$1208,MATCH($AQ1017,'2_IMPORTAR_EJECUCION'!$J$9:$J$1208,0)),0)-$AI1017))</f>
        <v/>
      </c>
      <c r="AK1017" s="11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IF($H1018="","",IFERROR(INDEX('CAT_ACTIVIDADES'!$B$4:$B$8,MATCH($H1018,'CAT_ACTIVIDADES'!$A$4:$A$8,0)),"(sin catálogo)"))</f>
        <v/>
      </c>
      <c r="AA1018" s="13">
        <f>IF($J1018="","",TODAY()-$J1018)</f>
        <v/>
      </c>
      <c r="AB1018" s="13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J$4:$J$451,MATCH($O1018&amp;"|"&amp;$R1018&amp;"|"&amp;$AE1018,'ASIGNACIONES'!$N$4:$N$451,0)),""))=0,"",IFERROR(INDEX('ASIGNACIONES'!$J$4:$J$451,MATCH($O1018&amp;"|"&amp;$R1018&amp;"|"&amp;$AE1018,'ASIGNACIONES'!$N$4:$N$451,0)),"")))</f>
        <v/>
      </c>
      <c r="AG1018" s="14">
        <f>IF($AE1018="","",SUMIFS('ORDENES'!$M$4:$M$1203,'ORDENES'!$AE$4:$AE$1203,$AE1018,'ORDENES'!$O$4:$O$1203,$O1018,'ORDENES'!$R$4:$R$1203,$R1018))</f>
        <v/>
      </c>
      <c r="AH1018" s="14">
        <f>IF($AG1018="","",p_factor_productividad*IFERROR(INDEX('ASIGNACIONES'!$M$4:$M$451,MATCH($O1018&amp;"|"&amp;$R1018&amp;"|"&amp;$AE1018,'ASIGNACIONES'!$N$4:$N$451,0)),0)-$AG1018)</f>
        <v/>
      </c>
      <c r="AI1018" s="11">
        <f>IF($A1018="","",IFERROR(INDEX('2_IMPORTAR_EJECUCION'!$F$9:$F$1208,MATCH($AQ1018,'2_IMPORTAR_EJECUCION'!$J$9:$J$1208,0)),0))</f>
        <v/>
      </c>
      <c r="AJ1018" s="11">
        <f>IF($A1018="","",MAX(0,IFERROR(INDEX('2_IMPORTAR_EJECUCION'!$H$9:$H$1208,MATCH($AQ1018,'2_IMPORTAR_EJECUCION'!$J$9:$J$1208,0)),0)-$AI1018))</f>
        <v/>
      </c>
      <c r="AK1018" s="11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IF($H1019="","",IFERROR(INDEX('CAT_ACTIVIDADES'!$B$4:$B$8,MATCH($H1019,'CAT_ACTIVIDADES'!$A$4:$A$8,0)),"(sin catálogo)"))</f>
        <v/>
      </c>
      <c r="AA1019" s="13">
        <f>IF($J1019="","",TODAY()-$J1019)</f>
        <v/>
      </c>
      <c r="AB1019" s="13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J$4:$J$451,MATCH($O1019&amp;"|"&amp;$R1019&amp;"|"&amp;$AE1019,'ASIGNACIONES'!$N$4:$N$451,0)),""))=0,"",IFERROR(INDEX('ASIGNACIONES'!$J$4:$J$451,MATCH($O1019&amp;"|"&amp;$R1019&amp;"|"&amp;$AE1019,'ASIGNACIONES'!$N$4:$N$451,0)),"")))</f>
        <v/>
      </c>
      <c r="AG1019" s="14">
        <f>IF($AE1019="","",SUMIFS('ORDENES'!$M$4:$M$1203,'ORDENES'!$AE$4:$AE$1203,$AE1019,'ORDENES'!$O$4:$O$1203,$O1019,'ORDENES'!$R$4:$R$1203,$R1019))</f>
        <v/>
      </c>
      <c r="AH1019" s="14">
        <f>IF($AG1019="","",p_factor_productividad*IFERROR(INDEX('ASIGNACIONES'!$M$4:$M$451,MATCH($O1019&amp;"|"&amp;$R1019&amp;"|"&amp;$AE1019,'ASIGNACIONES'!$N$4:$N$451,0)),0)-$AG1019)</f>
        <v/>
      </c>
      <c r="AI1019" s="11">
        <f>IF($A1019="","",IFERROR(INDEX('2_IMPORTAR_EJECUCION'!$F$9:$F$1208,MATCH($AQ1019,'2_IMPORTAR_EJECUCION'!$J$9:$J$1208,0)),0))</f>
        <v/>
      </c>
      <c r="AJ1019" s="11">
        <f>IF($A1019="","",MAX(0,IFERROR(INDEX('2_IMPORTAR_EJECUCION'!$H$9:$H$1208,MATCH($AQ1019,'2_IMPORTAR_EJECUCION'!$J$9:$J$1208,0)),0)-$AI1019))</f>
        <v/>
      </c>
      <c r="AK1019" s="11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IF($H1020="","",IFERROR(INDEX('CAT_ACTIVIDADES'!$B$4:$B$8,MATCH($H1020,'CAT_ACTIVIDADES'!$A$4:$A$8,0)),"(sin catálogo)"))</f>
        <v/>
      </c>
      <c r="AA1020" s="13">
        <f>IF($J1020="","",TODAY()-$J1020)</f>
        <v/>
      </c>
      <c r="AB1020" s="13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J$4:$J$451,MATCH($O1020&amp;"|"&amp;$R1020&amp;"|"&amp;$AE1020,'ASIGNACIONES'!$N$4:$N$451,0)),""))=0,"",IFERROR(INDEX('ASIGNACIONES'!$J$4:$J$451,MATCH($O1020&amp;"|"&amp;$R1020&amp;"|"&amp;$AE1020,'ASIGNACIONES'!$N$4:$N$451,0)),"")))</f>
        <v/>
      </c>
      <c r="AG1020" s="14">
        <f>IF($AE1020="","",SUMIFS('ORDENES'!$M$4:$M$1203,'ORDENES'!$AE$4:$AE$1203,$AE1020,'ORDENES'!$O$4:$O$1203,$O1020,'ORDENES'!$R$4:$R$1203,$R1020))</f>
        <v/>
      </c>
      <c r="AH1020" s="14">
        <f>IF($AG1020="","",p_factor_productividad*IFERROR(INDEX('ASIGNACIONES'!$M$4:$M$451,MATCH($O1020&amp;"|"&amp;$R1020&amp;"|"&amp;$AE1020,'ASIGNACIONES'!$N$4:$N$451,0)),0)-$AG1020)</f>
        <v/>
      </c>
      <c r="AI1020" s="11">
        <f>IF($A1020="","",IFERROR(INDEX('2_IMPORTAR_EJECUCION'!$F$9:$F$1208,MATCH($AQ1020,'2_IMPORTAR_EJECUCION'!$J$9:$J$1208,0)),0))</f>
        <v/>
      </c>
      <c r="AJ1020" s="11">
        <f>IF($A1020="","",MAX(0,IFERROR(INDEX('2_IMPORTAR_EJECUCION'!$H$9:$H$1208,MATCH($AQ1020,'2_IMPORTAR_EJECUCION'!$J$9:$J$1208,0)),0)-$AI1020))</f>
        <v/>
      </c>
      <c r="AK1020" s="11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IF($H1021="","",IFERROR(INDEX('CAT_ACTIVIDADES'!$B$4:$B$8,MATCH($H1021,'CAT_ACTIVIDADES'!$A$4:$A$8,0)),"(sin catálogo)"))</f>
        <v/>
      </c>
      <c r="AA1021" s="13">
        <f>IF($J1021="","",TODAY()-$J1021)</f>
        <v/>
      </c>
      <c r="AB1021" s="13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J$4:$J$451,MATCH($O1021&amp;"|"&amp;$R1021&amp;"|"&amp;$AE1021,'ASIGNACIONES'!$N$4:$N$451,0)),""))=0,"",IFERROR(INDEX('ASIGNACIONES'!$J$4:$J$451,MATCH($O1021&amp;"|"&amp;$R1021&amp;"|"&amp;$AE1021,'ASIGNACIONES'!$N$4:$N$451,0)),"")))</f>
        <v/>
      </c>
      <c r="AG1021" s="14">
        <f>IF($AE1021="","",SUMIFS('ORDENES'!$M$4:$M$1203,'ORDENES'!$AE$4:$AE$1203,$AE1021,'ORDENES'!$O$4:$O$1203,$O1021,'ORDENES'!$R$4:$R$1203,$R1021))</f>
        <v/>
      </c>
      <c r="AH1021" s="14">
        <f>IF($AG1021="","",p_factor_productividad*IFERROR(INDEX('ASIGNACIONES'!$M$4:$M$451,MATCH($O1021&amp;"|"&amp;$R1021&amp;"|"&amp;$AE1021,'ASIGNACIONES'!$N$4:$N$451,0)),0)-$AG1021)</f>
        <v/>
      </c>
      <c r="AI1021" s="11">
        <f>IF($A1021="","",IFERROR(INDEX('2_IMPORTAR_EJECUCION'!$F$9:$F$1208,MATCH($AQ1021,'2_IMPORTAR_EJECUCION'!$J$9:$J$1208,0)),0))</f>
        <v/>
      </c>
      <c r="AJ1021" s="11">
        <f>IF($A1021="","",MAX(0,IFERROR(INDEX('2_IMPORTAR_EJECUCION'!$H$9:$H$1208,MATCH($AQ1021,'2_IMPORTAR_EJECUCION'!$J$9:$J$1208,0)),0)-$AI1021))</f>
        <v/>
      </c>
      <c r="AK1021" s="11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IF($H1022="","",IFERROR(INDEX('CAT_ACTIVIDADES'!$B$4:$B$8,MATCH($H1022,'CAT_ACTIVIDADES'!$A$4:$A$8,0)),"(sin catálogo)"))</f>
        <v/>
      </c>
      <c r="AA1022" s="13">
        <f>IF($J1022="","",TODAY()-$J1022)</f>
        <v/>
      </c>
      <c r="AB1022" s="13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J$4:$J$451,MATCH($O1022&amp;"|"&amp;$R1022&amp;"|"&amp;$AE1022,'ASIGNACIONES'!$N$4:$N$451,0)),""))=0,"",IFERROR(INDEX('ASIGNACIONES'!$J$4:$J$451,MATCH($O1022&amp;"|"&amp;$R1022&amp;"|"&amp;$AE1022,'ASIGNACIONES'!$N$4:$N$451,0)),"")))</f>
        <v/>
      </c>
      <c r="AG1022" s="14">
        <f>IF($AE1022="","",SUMIFS('ORDENES'!$M$4:$M$1203,'ORDENES'!$AE$4:$AE$1203,$AE1022,'ORDENES'!$O$4:$O$1203,$O1022,'ORDENES'!$R$4:$R$1203,$R1022))</f>
        <v/>
      </c>
      <c r="AH1022" s="14">
        <f>IF($AG1022="","",p_factor_productividad*IFERROR(INDEX('ASIGNACIONES'!$M$4:$M$451,MATCH($O1022&amp;"|"&amp;$R1022&amp;"|"&amp;$AE1022,'ASIGNACIONES'!$N$4:$N$451,0)),0)-$AG1022)</f>
        <v/>
      </c>
      <c r="AI1022" s="11">
        <f>IF($A1022="","",IFERROR(INDEX('2_IMPORTAR_EJECUCION'!$F$9:$F$1208,MATCH($AQ1022,'2_IMPORTAR_EJECUCION'!$J$9:$J$1208,0)),0))</f>
        <v/>
      </c>
      <c r="AJ1022" s="11">
        <f>IF($A1022="","",MAX(0,IFERROR(INDEX('2_IMPORTAR_EJECUCION'!$H$9:$H$1208,MATCH($AQ1022,'2_IMPORTAR_EJECUCION'!$J$9:$J$1208,0)),0)-$AI1022))</f>
        <v/>
      </c>
      <c r="AK1022" s="11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IF($H1023="","",IFERROR(INDEX('CAT_ACTIVIDADES'!$B$4:$B$8,MATCH($H1023,'CAT_ACTIVIDADES'!$A$4:$A$8,0)),"(sin catálogo)"))</f>
        <v/>
      </c>
      <c r="AA1023" s="13">
        <f>IF($J1023="","",TODAY()-$J1023)</f>
        <v/>
      </c>
      <c r="AB1023" s="13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J$4:$J$451,MATCH($O1023&amp;"|"&amp;$R1023&amp;"|"&amp;$AE1023,'ASIGNACIONES'!$N$4:$N$451,0)),""))=0,"",IFERROR(INDEX('ASIGNACIONES'!$J$4:$J$451,MATCH($O1023&amp;"|"&amp;$R1023&amp;"|"&amp;$AE1023,'ASIGNACIONES'!$N$4:$N$451,0)),"")))</f>
        <v/>
      </c>
      <c r="AG1023" s="14">
        <f>IF($AE1023="","",SUMIFS('ORDENES'!$M$4:$M$1203,'ORDENES'!$AE$4:$AE$1203,$AE1023,'ORDENES'!$O$4:$O$1203,$O1023,'ORDENES'!$R$4:$R$1203,$R1023))</f>
        <v/>
      </c>
      <c r="AH1023" s="14">
        <f>IF($AG1023="","",p_factor_productividad*IFERROR(INDEX('ASIGNACIONES'!$M$4:$M$451,MATCH($O1023&amp;"|"&amp;$R1023&amp;"|"&amp;$AE1023,'ASIGNACIONES'!$N$4:$N$451,0)),0)-$AG1023)</f>
        <v/>
      </c>
      <c r="AI1023" s="11">
        <f>IF($A1023="","",IFERROR(INDEX('2_IMPORTAR_EJECUCION'!$F$9:$F$1208,MATCH($AQ1023,'2_IMPORTAR_EJECUCION'!$J$9:$J$1208,0)),0))</f>
        <v/>
      </c>
      <c r="AJ1023" s="11">
        <f>IF($A1023="","",MAX(0,IFERROR(INDEX('2_IMPORTAR_EJECUCION'!$H$9:$H$1208,MATCH($AQ1023,'2_IMPORTAR_EJECUCION'!$J$9:$J$1208,0)),0)-$AI1023))</f>
        <v/>
      </c>
      <c r="AK1023" s="11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IF($H1024="","",IFERROR(INDEX('CAT_ACTIVIDADES'!$B$4:$B$8,MATCH($H1024,'CAT_ACTIVIDADES'!$A$4:$A$8,0)),"(sin catálogo)"))</f>
        <v/>
      </c>
      <c r="AA1024" s="13">
        <f>IF($J1024="","",TODAY()-$J1024)</f>
        <v/>
      </c>
      <c r="AB1024" s="13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J$4:$J$451,MATCH($O1024&amp;"|"&amp;$R1024&amp;"|"&amp;$AE1024,'ASIGNACIONES'!$N$4:$N$451,0)),""))=0,"",IFERROR(INDEX('ASIGNACIONES'!$J$4:$J$451,MATCH($O1024&amp;"|"&amp;$R1024&amp;"|"&amp;$AE1024,'ASIGNACIONES'!$N$4:$N$451,0)),"")))</f>
        <v/>
      </c>
      <c r="AG1024" s="14">
        <f>IF($AE1024="","",SUMIFS('ORDENES'!$M$4:$M$1203,'ORDENES'!$AE$4:$AE$1203,$AE1024,'ORDENES'!$O$4:$O$1203,$O1024,'ORDENES'!$R$4:$R$1203,$R1024))</f>
        <v/>
      </c>
      <c r="AH1024" s="14">
        <f>IF($AG1024="","",p_factor_productividad*IFERROR(INDEX('ASIGNACIONES'!$M$4:$M$451,MATCH($O1024&amp;"|"&amp;$R1024&amp;"|"&amp;$AE1024,'ASIGNACIONES'!$N$4:$N$451,0)),0)-$AG1024)</f>
        <v/>
      </c>
      <c r="AI1024" s="11">
        <f>IF($A1024="","",IFERROR(INDEX('2_IMPORTAR_EJECUCION'!$F$9:$F$1208,MATCH($AQ1024,'2_IMPORTAR_EJECUCION'!$J$9:$J$1208,0)),0))</f>
        <v/>
      </c>
      <c r="AJ1024" s="11">
        <f>IF($A1024="","",MAX(0,IFERROR(INDEX('2_IMPORTAR_EJECUCION'!$H$9:$H$1208,MATCH($AQ1024,'2_IMPORTAR_EJECUCION'!$J$9:$J$1208,0)),0)-$AI1024))</f>
        <v/>
      </c>
      <c r="AK1024" s="11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IF($H1025="","",IFERROR(INDEX('CAT_ACTIVIDADES'!$B$4:$B$8,MATCH($H1025,'CAT_ACTIVIDADES'!$A$4:$A$8,0)),"(sin catálogo)"))</f>
        <v/>
      </c>
      <c r="AA1025" s="13">
        <f>IF($J1025="","",TODAY()-$J1025)</f>
        <v/>
      </c>
      <c r="AB1025" s="13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J$4:$J$451,MATCH($O1025&amp;"|"&amp;$R1025&amp;"|"&amp;$AE1025,'ASIGNACIONES'!$N$4:$N$451,0)),""))=0,"",IFERROR(INDEX('ASIGNACIONES'!$J$4:$J$451,MATCH($O1025&amp;"|"&amp;$R1025&amp;"|"&amp;$AE1025,'ASIGNACIONES'!$N$4:$N$451,0)),"")))</f>
        <v/>
      </c>
      <c r="AG1025" s="14">
        <f>IF($AE1025="","",SUMIFS('ORDENES'!$M$4:$M$1203,'ORDENES'!$AE$4:$AE$1203,$AE1025,'ORDENES'!$O$4:$O$1203,$O1025,'ORDENES'!$R$4:$R$1203,$R1025))</f>
        <v/>
      </c>
      <c r="AH1025" s="14">
        <f>IF($AG1025="","",p_factor_productividad*IFERROR(INDEX('ASIGNACIONES'!$M$4:$M$451,MATCH($O1025&amp;"|"&amp;$R1025&amp;"|"&amp;$AE1025,'ASIGNACIONES'!$N$4:$N$451,0)),0)-$AG1025)</f>
        <v/>
      </c>
      <c r="AI1025" s="11">
        <f>IF($A1025="","",IFERROR(INDEX('2_IMPORTAR_EJECUCION'!$F$9:$F$1208,MATCH($AQ1025,'2_IMPORTAR_EJECUCION'!$J$9:$J$1208,0)),0))</f>
        <v/>
      </c>
      <c r="AJ1025" s="11">
        <f>IF($A1025="","",MAX(0,IFERROR(INDEX('2_IMPORTAR_EJECUCION'!$H$9:$H$1208,MATCH($AQ1025,'2_IMPORTAR_EJECUCION'!$J$9:$J$1208,0)),0)-$AI1025))</f>
        <v/>
      </c>
      <c r="AK1025" s="11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IF($H1026="","",IFERROR(INDEX('CAT_ACTIVIDADES'!$B$4:$B$8,MATCH($H1026,'CAT_ACTIVIDADES'!$A$4:$A$8,0)),"(sin catálogo)"))</f>
        <v/>
      </c>
      <c r="AA1026" s="13">
        <f>IF($J1026="","",TODAY()-$J1026)</f>
        <v/>
      </c>
      <c r="AB1026" s="13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J$4:$J$451,MATCH($O1026&amp;"|"&amp;$R1026&amp;"|"&amp;$AE1026,'ASIGNACIONES'!$N$4:$N$451,0)),""))=0,"",IFERROR(INDEX('ASIGNACIONES'!$J$4:$J$451,MATCH($O1026&amp;"|"&amp;$R1026&amp;"|"&amp;$AE1026,'ASIGNACIONES'!$N$4:$N$451,0)),"")))</f>
        <v/>
      </c>
      <c r="AG1026" s="14">
        <f>IF($AE1026="","",SUMIFS('ORDENES'!$M$4:$M$1203,'ORDENES'!$AE$4:$AE$1203,$AE1026,'ORDENES'!$O$4:$O$1203,$O1026,'ORDENES'!$R$4:$R$1203,$R1026))</f>
        <v/>
      </c>
      <c r="AH1026" s="14">
        <f>IF($AG1026="","",p_factor_productividad*IFERROR(INDEX('ASIGNACIONES'!$M$4:$M$451,MATCH($O1026&amp;"|"&amp;$R1026&amp;"|"&amp;$AE1026,'ASIGNACIONES'!$N$4:$N$451,0)),0)-$AG1026)</f>
        <v/>
      </c>
      <c r="AI1026" s="11">
        <f>IF($A1026="","",IFERROR(INDEX('2_IMPORTAR_EJECUCION'!$F$9:$F$1208,MATCH($AQ1026,'2_IMPORTAR_EJECUCION'!$J$9:$J$1208,0)),0))</f>
        <v/>
      </c>
      <c r="AJ1026" s="11">
        <f>IF($A1026="","",MAX(0,IFERROR(INDEX('2_IMPORTAR_EJECUCION'!$H$9:$H$1208,MATCH($AQ1026,'2_IMPORTAR_EJECUCION'!$J$9:$J$1208,0)),0)-$AI1026))</f>
        <v/>
      </c>
      <c r="AK1026" s="11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IF($H1027="","",IFERROR(INDEX('CAT_ACTIVIDADES'!$B$4:$B$8,MATCH($H1027,'CAT_ACTIVIDADES'!$A$4:$A$8,0)),"(sin catálogo)"))</f>
        <v/>
      </c>
      <c r="AA1027" s="13">
        <f>IF($J1027="","",TODAY()-$J1027)</f>
        <v/>
      </c>
      <c r="AB1027" s="13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J$4:$J$451,MATCH($O1027&amp;"|"&amp;$R1027&amp;"|"&amp;$AE1027,'ASIGNACIONES'!$N$4:$N$451,0)),""))=0,"",IFERROR(INDEX('ASIGNACIONES'!$J$4:$J$451,MATCH($O1027&amp;"|"&amp;$R1027&amp;"|"&amp;$AE1027,'ASIGNACIONES'!$N$4:$N$451,0)),"")))</f>
        <v/>
      </c>
      <c r="AG1027" s="14">
        <f>IF($AE1027="","",SUMIFS('ORDENES'!$M$4:$M$1203,'ORDENES'!$AE$4:$AE$1203,$AE1027,'ORDENES'!$O$4:$O$1203,$O1027,'ORDENES'!$R$4:$R$1203,$R1027))</f>
        <v/>
      </c>
      <c r="AH1027" s="14">
        <f>IF($AG1027="","",p_factor_productividad*IFERROR(INDEX('ASIGNACIONES'!$M$4:$M$451,MATCH($O1027&amp;"|"&amp;$R1027&amp;"|"&amp;$AE1027,'ASIGNACIONES'!$N$4:$N$451,0)),0)-$AG1027)</f>
        <v/>
      </c>
      <c r="AI1027" s="11">
        <f>IF($A1027="","",IFERROR(INDEX('2_IMPORTAR_EJECUCION'!$F$9:$F$1208,MATCH($AQ1027,'2_IMPORTAR_EJECUCION'!$J$9:$J$1208,0)),0))</f>
        <v/>
      </c>
      <c r="AJ1027" s="11">
        <f>IF($A1027="","",MAX(0,IFERROR(INDEX('2_IMPORTAR_EJECUCION'!$H$9:$H$1208,MATCH($AQ1027,'2_IMPORTAR_EJECUCION'!$J$9:$J$1208,0)),0)-$AI1027))</f>
        <v/>
      </c>
      <c r="AK1027" s="11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IF($H1028="","",IFERROR(INDEX('CAT_ACTIVIDADES'!$B$4:$B$8,MATCH($H1028,'CAT_ACTIVIDADES'!$A$4:$A$8,0)),"(sin catálogo)"))</f>
        <v/>
      </c>
      <c r="AA1028" s="13">
        <f>IF($J1028="","",TODAY()-$J1028)</f>
        <v/>
      </c>
      <c r="AB1028" s="13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J$4:$J$451,MATCH($O1028&amp;"|"&amp;$R1028&amp;"|"&amp;$AE1028,'ASIGNACIONES'!$N$4:$N$451,0)),""))=0,"",IFERROR(INDEX('ASIGNACIONES'!$J$4:$J$451,MATCH($O1028&amp;"|"&amp;$R1028&amp;"|"&amp;$AE1028,'ASIGNACIONES'!$N$4:$N$451,0)),"")))</f>
        <v/>
      </c>
      <c r="AG1028" s="14">
        <f>IF($AE1028="","",SUMIFS('ORDENES'!$M$4:$M$1203,'ORDENES'!$AE$4:$AE$1203,$AE1028,'ORDENES'!$O$4:$O$1203,$O1028,'ORDENES'!$R$4:$R$1203,$R1028))</f>
        <v/>
      </c>
      <c r="AH1028" s="14">
        <f>IF($AG1028="","",p_factor_productividad*IFERROR(INDEX('ASIGNACIONES'!$M$4:$M$451,MATCH($O1028&amp;"|"&amp;$R1028&amp;"|"&amp;$AE1028,'ASIGNACIONES'!$N$4:$N$451,0)),0)-$AG1028)</f>
        <v/>
      </c>
      <c r="AI1028" s="11">
        <f>IF($A1028="","",IFERROR(INDEX('2_IMPORTAR_EJECUCION'!$F$9:$F$1208,MATCH($AQ1028,'2_IMPORTAR_EJECUCION'!$J$9:$J$1208,0)),0))</f>
        <v/>
      </c>
      <c r="AJ1028" s="11">
        <f>IF($A1028="","",MAX(0,IFERROR(INDEX('2_IMPORTAR_EJECUCION'!$H$9:$H$1208,MATCH($AQ1028,'2_IMPORTAR_EJECUCION'!$J$9:$J$1208,0)),0)-$AI1028))</f>
        <v/>
      </c>
      <c r="AK1028" s="11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IF($H1029="","",IFERROR(INDEX('CAT_ACTIVIDADES'!$B$4:$B$8,MATCH($H1029,'CAT_ACTIVIDADES'!$A$4:$A$8,0)),"(sin catálogo)"))</f>
        <v/>
      </c>
      <c r="AA1029" s="13">
        <f>IF($J1029="","",TODAY()-$J1029)</f>
        <v/>
      </c>
      <c r="AB1029" s="13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J$4:$J$451,MATCH($O1029&amp;"|"&amp;$R1029&amp;"|"&amp;$AE1029,'ASIGNACIONES'!$N$4:$N$451,0)),""))=0,"",IFERROR(INDEX('ASIGNACIONES'!$J$4:$J$451,MATCH($O1029&amp;"|"&amp;$R1029&amp;"|"&amp;$AE1029,'ASIGNACIONES'!$N$4:$N$451,0)),"")))</f>
        <v/>
      </c>
      <c r="AG1029" s="14">
        <f>IF($AE1029="","",SUMIFS('ORDENES'!$M$4:$M$1203,'ORDENES'!$AE$4:$AE$1203,$AE1029,'ORDENES'!$O$4:$O$1203,$O1029,'ORDENES'!$R$4:$R$1203,$R1029))</f>
        <v/>
      </c>
      <c r="AH1029" s="14">
        <f>IF($AG1029="","",p_factor_productividad*IFERROR(INDEX('ASIGNACIONES'!$M$4:$M$451,MATCH($O1029&amp;"|"&amp;$R1029&amp;"|"&amp;$AE1029,'ASIGNACIONES'!$N$4:$N$451,0)),0)-$AG1029)</f>
        <v/>
      </c>
      <c r="AI1029" s="11">
        <f>IF($A1029="","",IFERROR(INDEX('2_IMPORTAR_EJECUCION'!$F$9:$F$1208,MATCH($AQ1029,'2_IMPORTAR_EJECUCION'!$J$9:$J$1208,0)),0))</f>
        <v/>
      </c>
      <c r="AJ1029" s="11">
        <f>IF($A1029="","",MAX(0,IFERROR(INDEX('2_IMPORTAR_EJECUCION'!$H$9:$H$1208,MATCH($AQ1029,'2_IMPORTAR_EJECUCION'!$J$9:$J$1208,0)),0)-$AI1029))</f>
        <v/>
      </c>
      <c r="AK1029" s="11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IF($H1030="","",IFERROR(INDEX('CAT_ACTIVIDADES'!$B$4:$B$8,MATCH($H1030,'CAT_ACTIVIDADES'!$A$4:$A$8,0)),"(sin catálogo)"))</f>
        <v/>
      </c>
      <c r="AA1030" s="13">
        <f>IF($J1030="","",TODAY()-$J1030)</f>
        <v/>
      </c>
      <c r="AB1030" s="13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J$4:$J$451,MATCH($O1030&amp;"|"&amp;$R1030&amp;"|"&amp;$AE1030,'ASIGNACIONES'!$N$4:$N$451,0)),""))=0,"",IFERROR(INDEX('ASIGNACIONES'!$J$4:$J$451,MATCH($O1030&amp;"|"&amp;$R1030&amp;"|"&amp;$AE1030,'ASIGNACIONES'!$N$4:$N$451,0)),"")))</f>
        <v/>
      </c>
      <c r="AG1030" s="14">
        <f>IF($AE1030="","",SUMIFS('ORDENES'!$M$4:$M$1203,'ORDENES'!$AE$4:$AE$1203,$AE1030,'ORDENES'!$O$4:$O$1203,$O1030,'ORDENES'!$R$4:$R$1203,$R1030))</f>
        <v/>
      </c>
      <c r="AH1030" s="14">
        <f>IF($AG1030="","",p_factor_productividad*IFERROR(INDEX('ASIGNACIONES'!$M$4:$M$451,MATCH($O1030&amp;"|"&amp;$R1030&amp;"|"&amp;$AE1030,'ASIGNACIONES'!$N$4:$N$451,0)),0)-$AG1030)</f>
        <v/>
      </c>
      <c r="AI1030" s="11">
        <f>IF($A1030="","",IFERROR(INDEX('2_IMPORTAR_EJECUCION'!$F$9:$F$1208,MATCH($AQ1030,'2_IMPORTAR_EJECUCION'!$J$9:$J$1208,0)),0))</f>
        <v/>
      </c>
      <c r="AJ1030" s="11">
        <f>IF($A1030="","",MAX(0,IFERROR(INDEX('2_IMPORTAR_EJECUCION'!$H$9:$H$1208,MATCH($AQ1030,'2_IMPORTAR_EJECUCION'!$J$9:$J$1208,0)),0)-$AI1030))</f>
        <v/>
      </c>
      <c r="AK1030" s="11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IF($H1031="","",IFERROR(INDEX('CAT_ACTIVIDADES'!$B$4:$B$8,MATCH($H1031,'CAT_ACTIVIDADES'!$A$4:$A$8,0)),"(sin catálogo)"))</f>
        <v/>
      </c>
      <c r="AA1031" s="13">
        <f>IF($J1031="","",TODAY()-$J1031)</f>
        <v/>
      </c>
      <c r="AB1031" s="13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J$4:$J$451,MATCH($O1031&amp;"|"&amp;$R1031&amp;"|"&amp;$AE1031,'ASIGNACIONES'!$N$4:$N$451,0)),""))=0,"",IFERROR(INDEX('ASIGNACIONES'!$J$4:$J$451,MATCH($O1031&amp;"|"&amp;$R1031&amp;"|"&amp;$AE1031,'ASIGNACIONES'!$N$4:$N$451,0)),"")))</f>
        <v/>
      </c>
      <c r="AG1031" s="14">
        <f>IF($AE1031="","",SUMIFS('ORDENES'!$M$4:$M$1203,'ORDENES'!$AE$4:$AE$1203,$AE1031,'ORDENES'!$O$4:$O$1203,$O1031,'ORDENES'!$R$4:$R$1203,$R1031))</f>
        <v/>
      </c>
      <c r="AH1031" s="14">
        <f>IF($AG1031="","",p_factor_productividad*IFERROR(INDEX('ASIGNACIONES'!$M$4:$M$451,MATCH($O1031&amp;"|"&amp;$R1031&amp;"|"&amp;$AE1031,'ASIGNACIONES'!$N$4:$N$451,0)),0)-$AG1031)</f>
        <v/>
      </c>
      <c r="AI1031" s="11">
        <f>IF($A1031="","",IFERROR(INDEX('2_IMPORTAR_EJECUCION'!$F$9:$F$1208,MATCH($AQ1031,'2_IMPORTAR_EJECUCION'!$J$9:$J$1208,0)),0))</f>
        <v/>
      </c>
      <c r="AJ1031" s="11">
        <f>IF($A1031="","",MAX(0,IFERROR(INDEX('2_IMPORTAR_EJECUCION'!$H$9:$H$1208,MATCH($AQ1031,'2_IMPORTAR_EJECUCION'!$J$9:$J$1208,0)),0)-$AI1031))</f>
        <v/>
      </c>
      <c r="AK1031" s="11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IF($H1032="","",IFERROR(INDEX('CAT_ACTIVIDADES'!$B$4:$B$8,MATCH($H1032,'CAT_ACTIVIDADES'!$A$4:$A$8,0)),"(sin catálogo)"))</f>
        <v/>
      </c>
      <c r="AA1032" s="13">
        <f>IF($J1032="","",TODAY()-$J1032)</f>
        <v/>
      </c>
      <c r="AB1032" s="13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J$4:$J$451,MATCH($O1032&amp;"|"&amp;$R1032&amp;"|"&amp;$AE1032,'ASIGNACIONES'!$N$4:$N$451,0)),""))=0,"",IFERROR(INDEX('ASIGNACIONES'!$J$4:$J$451,MATCH($O1032&amp;"|"&amp;$R1032&amp;"|"&amp;$AE1032,'ASIGNACIONES'!$N$4:$N$451,0)),"")))</f>
        <v/>
      </c>
      <c r="AG1032" s="14">
        <f>IF($AE1032="","",SUMIFS('ORDENES'!$M$4:$M$1203,'ORDENES'!$AE$4:$AE$1203,$AE1032,'ORDENES'!$O$4:$O$1203,$O1032,'ORDENES'!$R$4:$R$1203,$R1032))</f>
        <v/>
      </c>
      <c r="AH1032" s="14">
        <f>IF($AG1032="","",p_factor_productividad*IFERROR(INDEX('ASIGNACIONES'!$M$4:$M$451,MATCH($O1032&amp;"|"&amp;$R1032&amp;"|"&amp;$AE1032,'ASIGNACIONES'!$N$4:$N$451,0)),0)-$AG1032)</f>
        <v/>
      </c>
      <c r="AI1032" s="11">
        <f>IF($A1032="","",IFERROR(INDEX('2_IMPORTAR_EJECUCION'!$F$9:$F$1208,MATCH($AQ1032,'2_IMPORTAR_EJECUCION'!$J$9:$J$1208,0)),0))</f>
        <v/>
      </c>
      <c r="AJ1032" s="11">
        <f>IF($A1032="","",MAX(0,IFERROR(INDEX('2_IMPORTAR_EJECUCION'!$H$9:$H$1208,MATCH($AQ1032,'2_IMPORTAR_EJECUCION'!$J$9:$J$1208,0)),0)-$AI1032))</f>
        <v/>
      </c>
      <c r="AK1032" s="11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IF($H1033="","",IFERROR(INDEX('CAT_ACTIVIDADES'!$B$4:$B$8,MATCH($H1033,'CAT_ACTIVIDADES'!$A$4:$A$8,0)),"(sin catálogo)"))</f>
        <v/>
      </c>
      <c r="AA1033" s="13">
        <f>IF($J1033="","",TODAY()-$J1033)</f>
        <v/>
      </c>
      <c r="AB1033" s="13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J$4:$J$451,MATCH($O1033&amp;"|"&amp;$R1033&amp;"|"&amp;$AE1033,'ASIGNACIONES'!$N$4:$N$451,0)),""))=0,"",IFERROR(INDEX('ASIGNACIONES'!$J$4:$J$451,MATCH($O1033&amp;"|"&amp;$R1033&amp;"|"&amp;$AE1033,'ASIGNACIONES'!$N$4:$N$451,0)),"")))</f>
        <v/>
      </c>
      <c r="AG1033" s="14">
        <f>IF($AE1033="","",SUMIFS('ORDENES'!$M$4:$M$1203,'ORDENES'!$AE$4:$AE$1203,$AE1033,'ORDENES'!$O$4:$O$1203,$O1033,'ORDENES'!$R$4:$R$1203,$R1033))</f>
        <v/>
      </c>
      <c r="AH1033" s="14">
        <f>IF($AG1033="","",p_factor_productividad*IFERROR(INDEX('ASIGNACIONES'!$M$4:$M$451,MATCH($O1033&amp;"|"&amp;$R1033&amp;"|"&amp;$AE1033,'ASIGNACIONES'!$N$4:$N$451,0)),0)-$AG1033)</f>
        <v/>
      </c>
      <c r="AI1033" s="11">
        <f>IF($A1033="","",IFERROR(INDEX('2_IMPORTAR_EJECUCION'!$F$9:$F$1208,MATCH($AQ1033,'2_IMPORTAR_EJECUCION'!$J$9:$J$1208,0)),0))</f>
        <v/>
      </c>
      <c r="AJ1033" s="11">
        <f>IF($A1033="","",MAX(0,IFERROR(INDEX('2_IMPORTAR_EJECUCION'!$H$9:$H$1208,MATCH($AQ1033,'2_IMPORTAR_EJECUCION'!$J$9:$J$1208,0)),0)-$AI1033))</f>
        <v/>
      </c>
      <c r="AK1033" s="11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IF($H1034="","",IFERROR(INDEX('CAT_ACTIVIDADES'!$B$4:$B$8,MATCH($H1034,'CAT_ACTIVIDADES'!$A$4:$A$8,0)),"(sin catálogo)"))</f>
        <v/>
      </c>
      <c r="AA1034" s="13">
        <f>IF($J1034="","",TODAY()-$J1034)</f>
        <v/>
      </c>
      <c r="AB1034" s="13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J$4:$J$451,MATCH($O1034&amp;"|"&amp;$R1034&amp;"|"&amp;$AE1034,'ASIGNACIONES'!$N$4:$N$451,0)),""))=0,"",IFERROR(INDEX('ASIGNACIONES'!$J$4:$J$451,MATCH($O1034&amp;"|"&amp;$R1034&amp;"|"&amp;$AE1034,'ASIGNACIONES'!$N$4:$N$451,0)),"")))</f>
        <v/>
      </c>
      <c r="AG1034" s="14">
        <f>IF($AE1034="","",SUMIFS('ORDENES'!$M$4:$M$1203,'ORDENES'!$AE$4:$AE$1203,$AE1034,'ORDENES'!$O$4:$O$1203,$O1034,'ORDENES'!$R$4:$R$1203,$R1034))</f>
        <v/>
      </c>
      <c r="AH1034" s="14">
        <f>IF($AG1034="","",p_factor_productividad*IFERROR(INDEX('ASIGNACIONES'!$M$4:$M$451,MATCH($O1034&amp;"|"&amp;$R1034&amp;"|"&amp;$AE1034,'ASIGNACIONES'!$N$4:$N$451,0)),0)-$AG1034)</f>
        <v/>
      </c>
      <c r="AI1034" s="11">
        <f>IF($A1034="","",IFERROR(INDEX('2_IMPORTAR_EJECUCION'!$F$9:$F$1208,MATCH($AQ1034,'2_IMPORTAR_EJECUCION'!$J$9:$J$1208,0)),0))</f>
        <v/>
      </c>
      <c r="AJ1034" s="11">
        <f>IF($A1034="","",MAX(0,IFERROR(INDEX('2_IMPORTAR_EJECUCION'!$H$9:$H$1208,MATCH($AQ1034,'2_IMPORTAR_EJECUCION'!$J$9:$J$1208,0)),0)-$AI1034))</f>
        <v/>
      </c>
      <c r="AK1034" s="11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IF($H1035="","",IFERROR(INDEX('CAT_ACTIVIDADES'!$B$4:$B$8,MATCH($H1035,'CAT_ACTIVIDADES'!$A$4:$A$8,0)),"(sin catálogo)"))</f>
        <v/>
      </c>
      <c r="AA1035" s="13">
        <f>IF($J1035="","",TODAY()-$J1035)</f>
        <v/>
      </c>
      <c r="AB1035" s="13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J$4:$J$451,MATCH($O1035&amp;"|"&amp;$R1035&amp;"|"&amp;$AE1035,'ASIGNACIONES'!$N$4:$N$451,0)),""))=0,"",IFERROR(INDEX('ASIGNACIONES'!$J$4:$J$451,MATCH($O1035&amp;"|"&amp;$R1035&amp;"|"&amp;$AE1035,'ASIGNACIONES'!$N$4:$N$451,0)),"")))</f>
        <v/>
      </c>
      <c r="AG1035" s="14">
        <f>IF($AE1035="","",SUMIFS('ORDENES'!$M$4:$M$1203,'ORDENES'!$AE$4:$AE$1203,$AE1035,'ORDENES'!$O$4:$O$1203,$O1035,'ORDENES'!$R$4:$R$1203,$R1035))</f>
        <v/>
      </c>
      <c r="AH1035" s="14">
        <f>IF($AG1035="","",p_factor_productividad*IFERROR(INDEX('ASIGNACIONES'!$M$4:$M$451,MATCH($O1035&amp;"|"&amp;$R1035&amp;"|"&amp;$AE1035,'ASIGNACIONES'!$N$4:$N$451,0)),0)-$AG1035)</f>
        <v/>
      </c>
      <c r="AI1035" s="11">
        <f>IF($A1035="","",IFERROR(INDEX('2_IMPORTAR_EJECUCION'!$F$9:$F$1208,MATCH($AQ1035,'2_IMPORTAR_EJECUCION'!$J$9:$J$1208,0)),0))</f>
        <v/>
      </c>
      <c r="AJ1035" s="11">
        <f>IF($A1035="","",MAX(0,IFERROR(INDEX('2_IMPORTAR_EJECUCION'!$H$9:$H$1208,MATCH($AQ1035,'2_IMPORTAR_EJECUCION'!$J$9:$J$1208,0)),0)-$AI1035))</f>
        <v/>
      </c>
      <c r="AK1035" s="11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IF($H1036="","",IFERROR(INDEX('CAT_ACTIVIDADES'!$B$4:$B$8,MATCH($H1036,'CAT_ACTIVIDADES'!$A$4:$A$8,0)),"(sin catálogo)"))</f>
        <v/>
      </c>
      <c r="AA1036" s="13">
        <f>IF($J1036="","",TODAY()-$J1036)</f>
        <v/>
      </c>
      <c r="AB1036" s="13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J$4:$J$451,MATCH($O1036&amp;"|"&amp;$R1036&amp;"|"&amp;$AE1036,'ASIGNACIONES'!$N$4:$N$451,0)),""))=0,"",IFERROR(INDEX('ASIGNACIONES'!$J$4:$J$451,MATCH($O1036&amp;"|"&amp;$R1036&amp;"|"&amp;$AE1036,'ASIGNACIONES'!$N$4:$N$451,0)),"")))</f>
        <v/>
      </c>
      <c r="AG1036" s="14">
        <f>IF($AE1036="","",SUMIFS('ORDENES'!$M$4:$M$1203,'ORDENES'!$AE$4:$AE$1203,$AE1036,'ORDENES'!$O$4:$O$1203,$O1036,'ORDENES'!$R$4:$R$1203,$R1036))</f>
        <v/>
      </c>
      <c r="AH1036" s="14">
        <f>IF($AG1036="","",p_factor_productividad*IFERROR(INDEX('ASIGNACIONES'!$M$4:$M$451,MATCH($O1036&amp;"|"&amp;$R1036&amp;"|"&amp;$AE1036,'ASIGNACIONES'!$N$4:$N$451,0)),0)-$AG1036)</f>
        <v/>
      </c>
      <c r="AI1036" s="11">
        <f>IF($A1036="","",IFERROR(INDEX('2_IMPORTAR_EJECUCION'!$F$9:$F$1208,MATCH($AQ1036,'2_IMPORTAR_EJECUCION'!$J$9:$J$1208,0)),0))</f>
        <v/>
      </c>
      <c r="AJ1036" s="11">
        <f>IF($A1036="","",MAX(0,IFERROR(INDEX('2_IMPORTAR_EJECUCION'!$H$9:$H$1208,MATCH($AQ1036,'2_IMPORTAR_EJECUCION'!$J$9:$J$1208,0)),0)-$AI1036))</f>
        <v/>
      </c>
      <c r="AK1036" s="11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IF($H1037="","",IFERROR(INDEX('CAT_ACTIVIDADES'!$B$4:$B$8,MATCH($H1037,'CAT_ACTIVIDADES'!$A$4:$A$8,0)),"(sin catálogo)"))</f>
        <v/>
      </c>
      <c r="AA1037" s="13">
        <f>IF($J1037="","",TODAY()-$J1037)</f>
        <v/>
      </c>
      <c r="AB1037" s="13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J$4:$J$451,MATCH($O1037&amp;"|"&amp;$R1037&amp;"|"&amp;$AE1037,'ASIGNACIONES'!$N$4:$N$451,0)),""))=0,"",IFERROR(INDEX('ASIGNACIONES'!$J$4:$J$451,MATCH($O1037&amp;"|"&amp;$R1037&amp;"|"&amp;$AE1037,'ASIGNACIONES'!$N$4:$N$451,0)),"")))</f>
        <v/>
      </c>
      <c r="AG1037" s="14">
        <f>IF($AE1037="","",SUMIFS('ORDENES'!$M$4:$M$1203,'ORDENES'!$AE$4:$AE$1203,$AE1037,'ORDENES'!$O$4:$O$1203,$O1037,'ORDENES'!$R$4:$R$1203,$R1037))</f>
        <v/>
      </c>
      <c r="AH1037" s="14">
        <f>IF($AG1037="","",p_factor_productividad*IFERROR(INDEX('ASIGNACIONES'!$M$4:$M$451,MATCH($O1037&amp;"|"&amp;$R1037&amp;"|"&amp;$AE1037,'ASIGNACIONES'!$N$4:$N$451,0)),0)-$AG1037)</f>
        <v/>
      </c>
      <c r="AI1037" s="11">
        <f>IF($A1037="","",IFERROR(INDEX('2_IMPORTAR_EJECUCION'!$F$9:$F$1208,MATCH($AQ1037,'2_IMPORTAR_EJECUCION'!$J$9:$J$1208,0)),0))</f>
        <v/>
      </c>
      <c r="AJ1037" s="11">
        <f>IF($A1037="","",MAX(0,IFERROR(INDEX('2_IMPORTAR_EJECUCION'!$H$9:$H$1208,MATCH($AQ1037,'2_IMPORTAR_EJECUCION'!$J$9:$J$1208,0)),0)-$AI1037))</f>
        <v/>
      </c>
      <c r="AK1037" s="11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IF($H1038="","",IFERROR(INDEX('CAT_ACTIVIDADES'!$B$4:$B$8,MATCH($H1038,'CAT_ACTIVIDADES'!$A$4:$A$8,0)),"(sin catálogo)"))</f>
        <v/>
      </c>
      <c r="AA1038" s="13">
        <f>IF($J1038="","",TODAY()-$J1038)</f>
        <v/>
      </c>
      <c r="AB1038" s="13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J$4:$J$451,MATCH($O1038&amp;"|"&amp;$R1038&amp;"|"&amp;$AE1038,'ASIGNACIONES'!$N$4:$N$451,0)),""))=0,"",IFERROR(INDEX('ASIGNACIONES'!$J$4:$J$451,MATCH($O1038&amp;"|"&amp;$R1038&amp;"|"&amp;$AE1038,'ASIGNACIONES'!$N$4:$N$451,0)),"")))</f>
        <v/>
      </c>
      <c r="AG1038" s="14">
        <f>IF($AE1038="","",SUMIFS('ORDENES'!$M$4:$M$1203,'ORDENES'!$AE$4:$AE$1203,$AE1038,'ORDENES'!$O$4:$O$1203,$O1038,'ORDENES'!$R$4:$R$1203,$R1038))</f>
        <v/>
      </c>
      <c r="AH1038" s="14">
        <f>IF($AG1038="","",p_factor_productividad*IFERROR(INDEX('ASIGNACIONES'!$M$4:$M$451,MATCH($O1038&amp;"|"&amp;$R1038&amp;"|"&amp;$AE1038,'ASIGNACIONES'!$N$4:$N$451,0)),0)-$AG1038)</f>
        <v/>
      </c>
      <c r="AI1038" s="11">
        <f>IF($A1038="","",IFERROR(INDEX('2_IMPORTAR_EJECUCION'!$F$9:$F$1208,MATCH($AQ1038,'2_IMPORTAR_EJECUCION'!$J$9:$J$1208,0)),0))</f>
        <v/>
      </c>
      <c r="AJ1038" s="11">
        <f>IF($A1038="","",MAX(0,IFERROR(INDEX('2_IMPORTAR_EJECUCION'!$H$9:$H$1208,MATCH($AQ1038,'2_IMPORTAR_EJECUCION'!$J$9:$J$1208,0)),0)-$AI1038))</f>
        <v/>
      </c>
      <c r="AK1038" s="11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IF($H1039="","",IFERROR(INDEX('CAT_ACTIVIDADES'!$B$4:$B$8,MATCH($H1039,'CAT_ACTIVIDADES'!$A$4:$A$8,0)),"(sin catálogo)"))</f>
        <v/>
      </c>
      <c r="AA1039" s="13">
        <f>IF($J1039="","",TODAY()-$J1039)</f>
        <v/>
      </c>
      <c r="AB1039" s="13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J$4:$J$451,MATCH($O1039&amp;"|"&amp;$R1039&amp;"|"&amp;$AE1039,'ASIGNACIONES'!$N$4:$N$451,0)),""))=0,"",IFERROR(INDEX('ASIGNACIONES'!$J$4:$J$451,MATCH($O1039&amp;"|"&amp;$R1039&amp;"|"&amp;$AE1039,'ASIGNACIONES'!$N$4:$N$451,0)),"")))</f>
        <v/>
      </c>
      <c r="AG1039" s="14">
        <f>IF($AE1039="","",SUMIFS('ORDENES'!$M$4:$M$1203,'ORDENES'!$AE$4:$AE$1203,$AE1039,'ORDENES'!$O$4:$O$1203,$O1039,'ORDENES'!$R$4:$R$1203,$R1039))</f>
        <v/>
      </c>
      <c r="AH1039" s="14">
        <f>IF($AG1039="","",p_factor_productividad*IFERROR(INDEX('ASIGNACIONES'!$M$4:$M$451,MATCH($O1039&amp;"|"&amp;$R1039&amp;"|"&amp;$AE1039,'ASIGNACIONES'!$N$4:$N$451,0)),0)-$AG1039)</f>
        <v/>
      </c>
      <c r="AI1039" s="11">
        <f>IF($A1039="","",IFERROR(INDEX('2_IMPORTAR_EJECUCION'!$F$9:$F$1208,MATCH($AQ1039,'2_IMPORTAR_EJECUCION'!$J$9:$J$1208,0)),0))</f>
        <v/>
      </c>
      <c r="AJ1039" s="11">
        <f>IF($A1039="","",MAX(0,IFERROR(INDEX('2_IMPORTAR_EJECUCION'!$H$9:$H$1208,MATCH($AQ1039,'2_IMPORTAR_EJECUCION'!$J$9:$J$1208,0)),0)-$AI1039))</f>
        <v/>
      </c>
      <c r="AK1039" s="11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IF($H1040="","",IFERROR(INDEX('CAT_ACTIVIDADES'!$B$4:$B$8,MATCH($H1040,'CAT_ACTIVIDADES'!$A$4:$A$8,0)),"(sin catálogo)"))</f>
        <v/>
      </c>
      <c r="AA1040" s="13">
        <f>IF($J1040="","",TODAY()-$J1040)</f>
        <v/>
      </c>
      <c r="AB1040" s="13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J$4:$J$451,MATCH($O1040&amp;"|"&amp;$R1040&amp;"|"&amp;$AE1040,'ASIGNACIONES'!$N$4:$N$451,0)),""))=0,"",IFERROR(INDEX('ASIGNACIONES'!$J$4:$J$451,MATCH($O1040&amp;"|"&amp;$R1040&amp;"|"&amp;$AE1040,'ASIGNACIONES'!$N$4:$N$451,0)),"")))</f>
        <v/>
      </c>
      <c r="AG1040" s="14">
        <f>IF($AE1040="","",SUMIFS('ORDENES'!$M$4:$M$1203,'ORDENES'!$AE$4:$AE$1203,$AE1040,'ORDENES'!$O$4:$O$1203,$O1040,'ORDENES'!$R$4:$R$1203,$R1040))</f>
        <v/>
      </c>
      <c r="AH1040" s="14">
        <f>IF($AG1040="","",p_factor_productividad*IFERROR(INDEX('ASIGNACIONES'!$M$4:$M$451,MATCH($O1040&amp;"|"&amp;$R1040&amp;"|"&amp;$AE1040,'ASIGNACIONES'!$N$4:$N$451,0)),0)-$AG1040)</f>
        <v/>
      </c>
      <c r="AI1040" s="11">
        <f>IF($A1040="","",IFERROR(INDEX('2_IMPORTAR_EJECUCION'!$F$9:$F$1208,MATCH($AQ1040,'2_IMPORTAR_EJECUCION'!$J$9:$J$1208,0)),0))</f>
        <v/>
      </c>
      <c r="AJ1040" s="11">
        <f>IF($A1040="","",MAX(0,IFERROR(INDEX('2_IMPORTAR_EJECUCION'!$H$9:$H$1208,MATCH($AQ1040,'2_IMPORTAR_EJECUCION'!$J$9:$J$1208,0)),0)-$AI1040))</f>
        <v/>
      </c>
      <c r="AK1040" s="11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IF($H1041="","",IFERROR(INDEX('CAT_ACTIVIDADES'!$B$4:$B$8,MATCH($H1041,'CAT_ACTIVIDADES'!$A$4:$A$8,0)),"(sin catálogo)"))</f>
        <v/>
      </c>
      <c r="AA1041" s="13">
        <f>IF($J1041="","",TODAY()-$J1041)</f>
        <v/>
      </c>
      <c r="AB1041" s="13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J$4:$J$451,MATCH($O1041&amp;"|"&amp;$R1041&amp;"|"&amp;$AE1041,'ASIGNACIONES'!$N$4:$N$451,0)),""))=0,"",IFERROR(INDEX('ASIGNACIONES'!$J$4:$J$451,MATCH($O1041&amp;"|"&amp;$R1041&amp;"|"&amp;$AE1041,'ASIGNACIONES'!$N$4:$N$451,0)),"")))</f>
        <v/>
      </c>
      <c r="AG1041" s="14">
        <f>IF($AE1041="","",SUMIFS('ORDENES'!$M$4:$M$1203,'ORDENES'!$AE$4:$AE$1203,$AE1041,'ORDENES'!$O$4:$O$1203,$O1041,'ORDENES'!$R$4:$R$1203,$R1041))</f>
        <v/>
      </c>
      <c r="AH1041" s="14">
        <f>IF($AG1041="","",p_factor_productividad*IFERROR(INDEX('ASIGNACIONES'!$M$4:$M$451,MATCH($O1041&amp;"|"&amp;$R1041&amp;"|"&amp;$AE1041,'ASIGNACIONES'!$N$4:$N$451,0)),0)-$AG1041)</f>
        <v/>
      </c>
      <c r="AI1041" s="11">
        <f>IF($A1041="","",IFERROR(INDEX('2_IMPORTAR_EJECUCION'!$F$9:$F$1208,MATCH($AQ1041,'2_IMPORTAR_EJECUCION'!$J$9:$J$1208,0)),0))</f>
        <v/>
      </c>
      <c r="AJ1041" s="11">
        <f>IF($A1041="","",MAX(0,IFERROR(INDEX('2_IMPORTAR_EJECUCION'!$H$9:$H$1208,MATCH($AQ1041,'2_IMPORTAR_EJECUCION'!$J$9:$J$1208,0)),0)-$AI1041))</f>
        <v/>
      </c>
      <c r="AK1041" s="11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IF($H1042="","",IFERROR(INDEX('CAT_ACTIVIDADES'!$B$4:$B$8,MATCH($H1042,'CAT_ACTIVIDADES'!$A$4:$A$8,0)),"(sin catálogo)"))</f>
        <v/>
      </c>
      <c r="AA1042" s="13">
        <f>IF($J1042="","",TODAY()-$J1042)</f>
        <v/>
      </c>
      <c r="AB1042" s="13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J$4:$J$451,MATCH($O1042&amp;"|"&amp;$R1042&amp;"|"&amp;$AE1042,'ASIGNACIONES'!$N$4:$N$451,0)),""))=0,"",IFERROR(INDEX('ASIGNACIONES'!$J$4:$J$451,MATCH($O1042&amp;"|"&amp;$R1042&amp;"|"&amp;$AE1042,'ASIGNACIONES'!$N$4:$N$451,0)),"")))</f>
        <v/>
      </c>
      <c r="AG1042" s="14">
        <f>IF($AE1042="","",SUMIFS('ORDENES'!$M$4:$M$1203,'ORDENES'!$AE$4:$AE$1203,$AE1042,'ORDENES'!$O$4:$O$1203,$O1042,'ORDENES'!$R$4:$R$1203,$R1042))</f>
        <v/>
      </c>
      <c r="AH1042" s="14">
        <f>IF($AG1042="","",p_factor_productividad*IFERROR(INDEX('ASIGNACIONES'!$M$4:$M$451,MATCH($O1042&amp;"|"&amp;$R1042&amp;"|"&amp;$AE1042,'ASIGNACIONES'!$N$4:$N$451,0)),0)-$AG1042)</f>
        <v/>
      </c>
      <c r="AI1042" s="11">
        <f>IF($A1042="","",IFERROR(INDEX('2_IMPORTAR_EJECUCION'!$F$9:$F$1208,MATCH($AQ1042,'2_IMPORTAR_EJECUCION'!$J$9:$J$1208,0)),0))</f>
        <v/>
      </c>
      <c r="AJ1042" s="11">
        <f>IF($A1042="","",MAX(0,IFERROR(INDEX('2_IMPORTAR_EJECUCION'!$H$9:$H$1208,MATCH($AQ1042,'2_IMPORTAR_EJECUCION'!$J$9:$J$1208,0)),0)-$AI1042))</f>
        <v/>
      </c>
      <c r="AK1042" s="11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IF($H1043="","",IFERROR(INDEX('CAT_ACTIVIDADES'!$B$4:$B$8,MATCH($H1043,'CAT_ACTIVIDADES'!$A$4:$A$8,0)),"(sin catálogo)"))</f>
        <v/>
      </c>
      <c r="AA1043" s="13">
        <f>IF($J1043="","",TODAY()-$J1043)</f>
        <v/>
      </c>
      <c r="AB1043" s="13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J$4:$J$451,MATCH($O1043&amp;"|"&amp;$R1043&amp;"|"&amp;$AE1043,'ASIGNACIONES'!$N$4:$N$451,0)),""))=0,"",IFERROR(INDEX('ASIGNACIONES'!$J$4:$J$451,MATCH($O1043&amp;"|"&amp;$R1043&amp;"|"&amp;$AE1043,'ASIGNACIONES'!$N$4:$N$451,0)),"")))</f>
        <v/>
      </c>
      <c r="AG1043" s="14">
        <f>IF($AE1043="","",SUMIFS('ORDENES'!$M$4:$M$1203,'ORDENES'!$AE$4:$AE$1203,$AE1043,'ORDENES'!$O$4:$O$1203,$O1043,'ORDENES'!$R$4:$R$1203,$R1043))</f>
        <v/>
      </c>
      <c r="AH1043" s="14">
        <f>IF($AG1043="","",p_factor_productividad*IFERROR(INDEX('ASIGNACIONES'!$M$4:$M$451,MATCH($O1043&amp;"|"&amp;$R1043&amp;"|"&amp;$AE1043,'ASIGNACIONES'!$N$4:$N$451,0)),0)-$AG1043)</f>
        <v/>
      </c>
      <c r="AI1043" s="11">
        <f>IF($A1043="","",IFERROR(INDEX('2_IMPORTAR_EJECUCION'!$F$9:$F$1208,MATCH($AQ1043,'2_IMPORTAR_EJECUCION'!$J$9:$J$1208,0)),0))</f>
        <v/>
      </c>
      <c r="AJ1043" s="11">
        <f>IF($A1043="","",MAX(0,IFERROR(INDEX('2_IMPORTAR_EJECUCION'!$H$9:$H$1208,MATCH($AQ1043,'2_IMPORTAR_EJECUCION'!$J$9:$J$1208,0)),0)-$AI1043))</f>
        <v/>
      </c>
      <c r="AK1043" s="11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IF($H1044="","",IFERROR(INDEX('CAT_ACTIVIDADES'!$B$4:$B$8,MATCH($H1044,'CAT_ACTIVIDADES'!$A$4:$A$8,0)),"(sin catálogo)"))</f>
        <v/>
      </c>
      <c r="AA1044" s="13">
        <f>IF($J1044="","",TODAY()-$J1044)</f>
        <v/>
      </c>
      <c r="AB1044" s="13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J$4:$J$451,MATCH($O1044&amp;"|"&amp;$R1044&amp;"|"&amp;$AE1044,'ASIGNACIONES'!$N$4:$N$451,0)),""))=0,"",IFERROR(INDEX('ASIGNACIONES'!$J$4:$J$451,MATCH($O1044&amp;"|"&amp;$R1044&amp;"|"&amp;$AE1044,'ASIGNACIONES'!$N$4:$N$451,0)),"")))</f>
        <v/>
      </c>
      <c r="AG1044" s="14">
        <f>IF($AE1044="","",SUMIFS('ORDENES'!$M$4:$M$1203,'ORDENES'!$AE$4:$AE$1203,$AE1044,'ORDENES'!$O$4:$O$1203,$O1044,'ORDENES'!$R$4:$R$1203,$R1044))</f>
        <v/>
      </c>
      <c r="AH1044" s="14">
        <f>IF($AG1044="","",p_factor_productividad*IFERROR(INDEX('ASIGNACIONES'!$M$4:$M$451,MATCH($O1044&amp;"|"&amp;$R1044&amp;"|"&amp;$AE1044,'ASIGNACIONES'!$N$4:$N$451,0)),0)-$AG1044)</f>
        <v/>
      </c>
      <c r="AI1044" s="11">
        <f>IF($A1044="","",IFERROR(INDEX('2_IMPORTAR_EJECUCION'!$F$9:$F$1208,MATCH($AQ1044,'2_IMPORTAR_EJECUCION'!$J$9:$J$1208,0)),0))</f>
        <v/>
      </c>
      <c r="AJ1044" s="11">
        <f>IF($A1044="","",MAX(0,IFERROR(INDEX('2_IMPORTAR_EJECUCION'!$H$9:$H$1208,MATCH($AQ1044,'2_IMPORTAR_EJECUCION'!$J$9:$J$1208,0)),0)-$AI1044))</f>
        <v/>
      </c>
      <c r="AK1044" s="11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IF($H1045="","",IFERROR(INDEX('CAT_ACTIVIDADES'!$B$4:$B$8,MATCH($H1045,'CAT_ACTIVIDADES'!$A$4:$A$8,0)),"(sin catálogo)"))</f>
        <v/>
      </c>
      <c r="AA1045" s="13">
        <f>IF($J1045="","",TODAY()-$J1045)</f>
        <v/>
      </c>
      <c r="AB1045" s="13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J$4:$J$451,MATCH($O1045&amp;"|"&amp;$R1045&amp;"|"&amp;$AE1045,'ASIGNACIONES'!$N$4:$N$451,0)),""))=0,"",IFERROR(INDEX('ASIGNACIONES'!$J$4:$J$451,MATCH($O1045&amp;"|"&amp;$R1045&amp;"|"&amp;$AE1045,'ASIGNACIONES'!$N$4:$N$451,0)),"")))</f>
        <v/>
      </c>
      <c r="AG1045" s="14">
        <f>IF($AE1045="","",SUMIFS('ORDENES'!$M$4:$M$1203,'ORDENES'!$AE$4:$AE$1203,$AE1045,'ORDENES'!$O$4:$O$1203,$O1045,'ORDENES'!$R$4:$R$1203,$R1045))</f>
        <v/>
      </c>
      <c r="AH1045" s="14">
        <f>IF($AG1045="","",p_factor_productividad*IFERROR(INDEX('ASIGNACIONES'!$M$4:$M$451,MATCH($O1045&amp;"|"&amp;$R1045&amp;"|"&amp;$AE1045,'ASIGNACIONES'!$N$4:$N$451,0)),0)-$AG1045)</f>
        <v/>
      </c>
      <c r="AI1045" s="11">
        <f>IF($A1045="","",IFERROR(INDEX('2_IMPORTAR_EJECUCION'!$F$9:$F$1208,MATCH($AQ1045,'2_IMPORTAR_EJECUCION'!$J$9:$J$1208,0)),0))</f>
        <v/>
      </c>
      <c r="AJ1045" s="11">
        <f>IF($A1045="","",MAX(0,IFERROR(INDEX('2_IMPORTAR_EJECUCION'!$H$9:$H$1208,MATCH($AQ1045,'2_IMPORTAR_EJECUCION'!$J$9:$J$1208,0)),0)-$AI1045))</f>
        <v/>
      </c>
      <c r="AK1045" s="11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IF($H1046="","",IFERROR(INDEX('CAT_ACTIVIDADES'!$B$4:$B$8,MATCH($H1046,'CAT_ACTIVIDADES'!$A$4:$A$8,0)),"(sin catálogo)"))</f>
        <v/>
      </c>
      <c r="AA1046" s="13">
        <f>IF($J1046="","",TODAY()-$J1046)</f>
        <v/>
      </c>
      <c r="AB1046" s="13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J$4:$J$451,MATCH($O1046&amp;"|"&amp;$R1046&amp;"|"&amp;$AE1046,'ASIGNACIONES'!$N$4:$N$451,0)),""))=0,"",IFERROR(INDEX('ASIGNACIONES'!$J$4:$J$451,MATCH($O1046&amp;"|"&amp;$R1046&amp;"|"&amp;$AE1046,'ASIGNACIONES'!$N$4:$N$451,0)),"")))</f>
        <v/>
      </c>
      <c r="AG1046" s="14">
        <f>IF($AE1046="","",SUMIFS('ORDENES'!$M$4:$M$1203,'ORDENES'!$AE$4:$AE$1203,$AE1046,'ORDENES'!$O$4:$O$1203,$O1046,'ORDENES'!$R$4:$R$1203,$R1046))</f>
        <v/>
      </c>
      <c r="AH1046" s="14">
        <f>IF($AG1046="","",p_factor_productividad*IFERROR(INDEX('ASIGNACIONES'!$M$4:$M$451,MATCH($O1046&amp;"|"&amp;$R1046&amp;"|"&amp;$AE1046,'ASIGNACIONES'!$N$4:$N$451,0)),0)-$AG1046)</f>
        <v/>
      </c>
      <c r="AI1046" s="11">
        <f>IF($A1046="","",IFERROR(INDEX('2_IMPORTAR_EJECUCION'!$F$9:$F$1208,MATCH($AQ1046,'2_IMPORTAR_EJECUCION'!$J$9:$J$1208,0)),0))</f>
        <v/>
      </c>
      <c r="AJ1046" s="11">
        <f>IF($A1046="","",MAX(0,IFERROR(INDEX('2_IMPORTAR_EJECUCION'!$H$9:$H$1208,MATCH($AQ1046,'2_IMPORTAR_EJECUCION'!$J$9:$J$1208,0)),0)-$AI1046))</f>
        <v/>
      </c>
      <c r="AK1046" s="11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IF($H1047="","",IFERROR(INDEX('CAT_ACTIVIDADES'!$B$4:$B$8,MATCH($H1047,'CAT_ACTIVIDADES'!$A$4:$A$8,0)),"(sin catálogo)"))</f>
        <v/>
      </c>
      <c r="AA1047" s="13">
        <f>IF($J1047="","",TODAY()-$J1047)</f>
        <v/>
      </c>
      <c r="AB1047" s="13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J$4:$J$451,MATCH($O1047&amp;"|"&amp;$R1047&amp;"|"&amp;$AE1047,'ASIGNACIONES'!$N$4:$N$451,0)),""))=0,"",IFERROR(INDEX('ASIGNACIONES'!$J$4:$J$451,MATCH($O1047&amp;"|"&amp;$R1047&amp;"|"&amp;$AE1047,'ASIGNACIONES'!$N$4:$N$451,0)),"")))</f>
        <v/>
      </c>
      <c r="AG1047" s="14">
        <f>IF($AE1047="","",SUMIFS('ORDENES'!$M$4:$M$1203,'ORDENES'!$AE$4:$AE$1203,$AE1047,'ORDENES'!$O$4:$O$1203,$O1047,'ORDENES'!$R$4:$R$1203,$R1047))</f>
        <v/>
      </c>
      <c r="AH1047" s="14">
        <f>IF($AG1047="","",p_factor_productividad*IFERROR(INDEX('ASIGNACIONES'!$M$4:$M$451,MATCH($O1047&amp;"|"&amp;$R1047&amp;"|"&amp;$AE1047,'ASIGNACIONES'!$N$4:$N$451,0)),0)-$AG1047)</f>
        <v/>
      </c>
      <c r="AI1047" s="11">
        <f>IF($A1047="","",IFERROR(INDEX('2_IMPORTAR_EJECUCION'!$F$9:$F$1208,MATCH($AQ1047,'2_IMPORTAR_EJECUCION'!$J$9:$J$1208,0)),0))</f>
        <v/>
      </c>
      <c r="AJ1047" s="11">
        <f>IF($A1047="","",MAX(0,IFERROR(INDEX('2_IMPORTAR_EJECUCION'!$H$9:$H$1208,MATCH($AQ1047,'2_IMPORTAR_EJECUCION'!$J$9:$J$1208,0)),0)-$AI1047))</f>
        <v/>
      </c>
      <c r="AK1047" s="11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IF($H1048="","",IFERROR(INDEX('CAT_ACTIVIDADES'!$B$4:$B$8,MATCH($H1048,'CAT_ACTIVIDADES'!$A$4:$A$8,0)),"(sin catálogo)"))</f>
        <v/>
      </c>
      <c r="AA1048" s="13">
        <f>IF($J1048="","",TODAY()-$J1048)</f>
        <v/>
      </c>
      <c r="AB1048" s="13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J$4:$J$451,MATCH($O1048&amp;"|"&amp;$R1048&amp;"|"&amp;$AE1048,'ASIGNACIONES'!$N$4:$N$451,0)),""))=0,"",IFERROR(INDEX('ASIGNACIONES'!$J$4:$J$451,MATCH($O1048&amp;"|"&amp;$R1048&amp;"|"&amp;$AE1048,'ASIGNACIONES'!$N$4:$N$451,0)),"")))</f>
        <v/>
      </c>
      <c r="AG1048" s="14">
        <f>IF($AE1048="","",SUMIFS('ORDENES'!$M$4:$M$1203,'ORDENES'!$AE$4:$AE$1203,$AE1048,'ORDENES'!$O$4:$O$1203,$O1048,'ORDENES'!$R$4:$R$1203,$R1048))</f>
        <v/>
      </c>
      <c r="AH1048" s="14">
        <f>IF($AG1048="","",p_factor_productividad*IFERROR(INDEX('ASIGNACIONES'!$M$4:$M$451,MATCH($O1048&amp;"|"&amp;$R1048&amp;"|"&amp;$AE1048,'ASIGNACIONES'!$N$4:$N$451,0)),0)-$AG1048)</f>
        <v/>
      </c>
      <c r="AI1048" s="11">
        <f>IF($A1048="","",IFERROR(INDEX('2_IMPORTAR_EJECUCION'!$F$9:$F$1208,MATCH($AQ1048,'2_IMPORTAR_EJECUCION'!$J$9:$J$1208,0)),0))</f>
        <v/>
      </c>
      <c r="AJ1048" s="11">
        <f>IF($A1048="","",MAX(0,IFERROR(INDEX('2_IMPORTAR_EJECUCION'!$H$9:$H$1208,MATCH($AQ1048,'2_IMPORTAR_EJECUCION'!$J$9:$J$1208,0)),0)-$AI1048))</f>
        <v/>
      </c>
      <c r="AK1048" s="11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IF($H1049="","",IFERROR(INDEX('CAT_ACTIVIDADES'!$B$4:$B$8,MATCH($H1049,'CAT_ACTIVIDADES'!$A$4:$A$8,0)),"(sin catálogo)"))</f>
        <v/>
      </c>
      <c r="AA1049" s="13">
        <f>IF($J1049="","",TODAY()-$J1049)</f>
        <v/>
      </c>
      <c r="AB1049" s="13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J$4:$J$451,MATCH($O1049&amp;"|"&amp;$R1049&amp;"|"&amp;$AE1049,'ASIGNACIONES'!$N$4:$N$451,0)),""))=0,"",IFERROR(INDEX('ASIGNACIONES'!$J$4:$J$451,MATCH($O1049&amp;"|"&amp;$R1049&amp;"|"&amp;$AE1049,'ASIGNACIONES'!$N$4:$N$451,0)),"")))</f>
        <v/>
      </c>
      <c r="AG1049" s="14">
        <f>IF($AE1049="","",SUMIFS('ORDENES'!$M$4:$M$1203,'ORDENES'!$AE$4:$AE$1203,$AE1049,'ORDENES'!$O$4:$O$1203,$O1049,'ORDENES'!$R$4:$R$1203,$R1049))</f>
        <v/>
      </c>
      <c r="AH1049" s="14">
        <f>IF($AG1049="","",p_factor_productividad*IFERROR(INDEX('ASIGNACIONES'!$M$4:$M$451,MATCH($O1049&amp;"|"&amp;$R1049&amp;"|"&amp;$AE1049,'ASIGNACIONES'!$N$4:$N$451,0)),0)-$AG1049)</f>
        <v/>
      </c>
      <c r="AI1049" s="11">
        <f>IF($A1049="","",IFERROR(INDEX('2_IMPORTAR_EJECUCION'!$F$9:$F$1208,MATCH($AQ1049,'2_IMPORTAR_EJECUCION'!$J$9:$J$1208,0)),0))</f>
        <v/>
      </c>
      <c r="AJ1049" s="11">
        <f>IF($A1049="","",MAX(0,IFERROR(INDEX('2_IMPORTAR_EJECUCION'!$H$9:$H$1208,MATCH($AQ1049,'2_IMPORTAR_EJECUCION'!$J$9:$J$1208,0)),0)-$AI1049))</f>
        <v/>
      </c>
      <c r="AK1049" s="11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IF($H1050="","",IFERROR(INDEX('CAT_ACTIVIDADES'!$B$4:$B$8,MATCH($H1050,'CAT_ACTIVIDADES'!$A$4:$A$8,0)),"(sin catálogo)"))</f>
        <v/>
      </c>
      <c r="AA1050" s="13">
        <f>IF($J1050="","",TODAY()-$J1050)</f>
        <v/>
      </c>
      <c r="AB1050" s="13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J$4:$J$451,MATCH($O1050&amp;"|"&amp;$R1050&amp;"|"&amp;$AE1050,'ASIGNACIONES'!$N$4:$N$451,0)),""))=0,"",IFERROR(INDEX('ASIGNACIONES'!$J$4:$J$451,MATCH($O1050&amp;"|"&amp;$R1050&amp;"|"&amp;$AE1050,'ASIGNACIONES'!$N$4:$N$451,0)),"")))</f>
        <v/>
      </c>
      <c r="AG1050" s="14">
        <f>IF($AE1050="","",SUMIFS('ORDENES'!$M$4:$M$1203,'ORDENES'!$AE$4:$AE$1203,$AE1050,'ORDENES'!$O$4:$O$1203,$O1050,'ORDENES'!$R$4:$R$1203,$R1050))</f>
        <v/>
      </c>
      <c r="AH1050" s="14">
        <f>IF($AG1050="","",p_factor_productividad*IFERROR(INDEX('ASIGNACIONES'!$M$4:$M$451,MATCH($O1050&amp;"|"&amp;$R1050&amp;"|"&amp;$AE1050,'ASIGNACIONES'!$N$4:$N$451,0)),0)-$AG1050)</f>
        <v/>
      </c>
      <c r="AI1050" s="11">
        <f>IF($A1050="","",IFERROR(INDEX('2_IMPORTAR_EJECUCION'!$F$9:$F$1208,MATCH($AQ1050,'2_IMPORTAR_EJECUCION'!$J$9:$J$1208,0)),0))</f>
        <v/>
      </c>
      <c r="AJ1050" s="11">
        <f>IF($A1050="","",MAX(0,IFERROR(INDEX('2_IMPORTAR_EJECUCION'!$H$9:$H$1208,MATCH($AQ1050,'2_IMPORTAR_EJECUCION'!$J$9:$J$1208,0)),0)-$AI1050))</f>
        <v/>
      </c>
      <c r="AK1050" s="11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IF($H1051="","",IFERROR(INDEX('CAT_ACTIVIDADES'!$B$4:$B$8,MATCH($H1051,'CAT_ACTIVIDADES'!$A$4:$A$8,0)),"(sin catálogo)"))</f>
        <v/>
      </c>
      <c r="AA1051" s="13">
        <f>IF($J1051="","",TODAY()-$J1051)</f>
        <v/>
      </c>
      <c r="AB1051" s="13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J$4:$J$451,MATCH($O1051&amp;"|"&amp;$R1051&amp;"|"&amp;$AE1051,'ASIGNACIONES'!$N$4:$N$451,0)),""))=0,"",IFERROR(INDEX('ASIGNACIONES'!$J$4:$J$451,MATCH($O1051&amp;"|"&amp;$R1051&amp;"|"&amp;$AE1051,'ASIGNACIONES'!$N$4:$N$451,0)),"")))</f>
        <v/>
      </c>
      <c r="AG1051" s="14">
        <f>IF($AE1051="","",SUMIFS('ORDENES'!$M$4:$M$1203,'ORDENES'!$AE$4:$AE$1203,$AE1051,'ORDENES'!$O$4:$O$1203,$O1051,'ORDENES'!$R$4:$R$1203,$R1051))</f>
        <v/>
      </c>
      <c r="AH1051" s="14">
        <f>IF($AG1051="","",p_factor_productividad*IFERROR(INDEX('ASIGNACIONES'!$M$4:$M$451,MATCH($O1051&amp;"|"&amp;$R1051&amp;"|"&amp;$AE1051,'ASIGNACIONES'!$N$4:$N$451,0)),0)-$AG1051)</f>
        <v/>
      </c>
      <c r="AI1051" s="11">
        <f>IF($A1051="","",IFERROR(INDEX('2_IMPORTAR_EJECUCION'!$F$9:$F$1208,MATCH($AQ1051,'2_IMPORTAR_EJECUCION'!$J$9:$J$1208,0)),0))</f>
        <v/>
      </c>
      <c r="AJ1051" s="11">
        <f>IF($A1051="","",MAX(0,IFERROR(INDEX('2_IMPORTAR_EJECUCION'!$H$9:$H$1208,MATCH($AQ1051,'2_IMPORTAR_EJECUCION'!$J$9:$J$1208,0)),0)-$AI1051))</f>
        <v/>
      </c>
      <c r="AK1051" s="11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IF($H1052="","",IFERROR(INDEX('CAT_ACTIVIDADES'!$B$4:$B$8,MATCH($H1052,'CAT_ACTIVIDADES'!$A$4:$A$8,0)),"(sin catálogo)"))</f>
        <v/>
      </c>
      <c r="AA1052" s="13">
        <f>IF($J1052="","",TODAY()-$J1052)</f>
        <v/>
      </c>
      <c r="AB1052" s="13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J$4:$J$451,MATCH($O1052&amp;"|"&amp;$R1052&amp;"|"&amp;$AE1052,'ASIGNACIONES'!$N$4:$N$451,0)),""))=0,"",IFERROR(INDEX('ASIGNACIONES'!$J$4:$J$451,MATCH($O1052&amp;"|"&amp;$R1052&amp;"|"&amp;$AE1052,'ASIGNACIONES'!$N$4:$N$451,0)),"")))</f>
        <v/>
      </c>
      <c r="AG1052" s="14">
        <f>IF($AE1052="","",SUMIFS('ORDENES'!$M$4:$M$1203,'ORDENES'!$AE$4:$AE$1203,$AE1052,'ORDENES'!$O$4:$O$1203,$O1052,'ORDENES'!$R$4:$R$1203,$R1052))</f>
        <v/>
      </c>
      <c r="AH1052" s="14">
        <f>IF($AG1052="","",p_factor_productividad*IFERROR(INDEX('ASIGNACIONES'!$M$4:$M$451,MATCH($O1052&amp;"|"&amp;$R1052&amp;"|"&amp;$AE1052,'ASIGNACIONES'!$N$4:$N$451,0)),0)-$AG1052)</f>
        <v/>
      </c>
      <c r="AI1052" s="11">
        <f>IF($A1052="","",IFERROR(INDEX('2_IMPORTAR_EJECUCION'!$F$9:$F$1208,MATCH($AQ1052,'2_IMPORTAR_EJECUCION'!$J$9:$J$1208,0)),0))</f>
        <v/>
      </c>
      <c r="AJ1052" s="11">
        <f>IF($A1052="","",MAX(0,IFERROR(INDEX('2_IMPORTAR_EJECUCION'!$H$9:$H$1208,MATCH($AQ1052,'2_IMPORTAR_EJECUCION'!$J$9:$J$1208,0)),0)-$AI1052))</f>
        <v/>
      </c>
      <c r="AK1052" s="11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IF($H1053="","",IFERROR(INDEX('CAT_ACTIVIDADES'!$B$4:$B$8,MATCH($H1053,'CAT_ACTIVIDADES'!$A$4:$A$8,0)),"(sin catálogo)"))</f>
        <v/>
      </c>
      <c r="AA1053" s="13">
        <f>IF($J1053="","",TODAY()-$J1053)</f>
        <v/>
      </c>
      <c r="AB1053" s="13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J$4:$J$451,MATCH($O1053&amp;"|"&amp;$R1053&amp;"|"&amp;$AE1053,'ASIGNACIONES'!$N$4:$N$451,0)),""))=0,"",IFERROR(INDEX('ASIGNACIONES'!$J$4:$J$451,MATCH($O1053&amp;"|"&amp;$R1053&amp;"|"&amp;$AE1053,'ASIGNACIONES'!$N$4:$N$451,0)),"")))</f>
        <v/>
      </c>
      <c r="AG1053" s="14">
        <f>IF($AE1053="","",SUMIFS('ORDENES'!$M$4:$M$1203,'ORDENES'!$AE$4:$AE$1203,$AE1053,'ORDENES'!$O$4:$O$1203,$O1053,'ORDENES'!$R$4:$R$1203,$R1053))</f>
        <v/>
      </c>
      <c r="AH1053" s="14">
        <f>IF($AG1053="","",p_factor_productividad*IFERROR(INDEX('ASIGNACIONES'!$M$4:$M$451,MATCH($O1053&amp;"|"&amp;$R1053&amp;"|"&amp;$AE1053,'ASIGNACIONES'!$N$4:$N$451,0)),0)-$AG1053)</f>
        <v/>
      </c>
      <c r="AI1053" s="11">
        <f>IF($A1053="","",IFERROR(INDEX('2_IMPORTAR_EJECUCION'!$F$9:$F$1208,MATCH($AQ1053,'2_IMPORTAR_EJECUCION'!$J$9:$J$1208,0)),0))</f>
        <v/>
      </c>
      <c r="AJ1053" s="11">
        <f>IF($A1053="","",MAX(0,IFERROR(INDEX('2_IMPORTAR_EJECUCION'!$H$9:$H$1208,MATCH($AQ1053,'2_IMPORTAR_EJECUCION'!$J$9:$J$1208,0)),0)-$AI1053))</f>
        <v/>
      </c>
      <c r="AK1053" s="11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IF($H1054="","",IFERROR(INDEX('CAT_ACTIVIDADES'!$B$4:$B$8,MATCH($H1054,'CAT_ACTIVIDADES'!$A$4:$A$8,0)),"(sin catálogo)"))</f>
        <v/>
      </c>
      <c r="AA1054" s="13">
        <f>IF($J1054="","",TODAY()-$J1054)</f>
        <v/>
      </c>
      <c r="AB1054" s="13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J$4:$J$451,MATCH($O1054&amp;"|"&amp;$R1054&amp;"|"&amp;$AE1054,'ASIGNACIONES'!$N$4:$N$451,0)),""))=0,"",IFERROR(INDEX('ASIGNACIONES'!$J$4:$J$451,MATCH($O1054&amp;"|"&amp;$R1054&amp;"|"&amp;$AE1054,'ASIGNACIONES'!$N$4:$N$451,0)),"")))</f>
        <v/>
      </c>
      <c r="AG1054" s="14">
        <f>IF($AE1054="","",SUMIFS('ORDENES'!$M$4:$M$1203,'ORDENES'!$AE$4:$AE$1203,$AE1054,'ORDENES'!$O$4:$O$1203,$O1054,'ORDENES'!$R$4:$R$1203,$R1054))</f>
        <v/>
      </c>
      <c r="AH1054" s="14">
        <f>IF($AG1054="","",p_factor_productividad*IFERROR(INDEX('ASIGNACIONES'!$M$4:$M$451,MATCH($O1054&amp;"|"&amp;$R1054&amp;"|"&amp;$AE1054,'ASIGNACIONES'!$N$4:$N$451,0)),0)-$AG1054)</f>
        <v/>
      </c>
      <c r="AI1054" s="11">
        <f>IF($A1054="","",IFERROR(INDEX('2_IMPORTAR_EJECUCION'!$F$9:$F$1208,MATCH($AQ1054,'2_IMPORTAR_EJECUCION'!$J$9:$J$1208,0)),0))</f>
        <v/>
      </c>
      <c r="AJ1054" s="11">
        <f>IF($A1054="","",MAX(0,IFERROR(INDEX('2_IMPORTAR_EJECUCION'!$H$9:$H$1208,MATCH($AQ1054,'2_IMPORTAR_EJECUCION'!$J$9:$J$1208,0)),0)-$AI1054))</f>
        <v/>
      </c>
      <c r="AK1054" s="11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IF($H1055="","",IFERROR(INDEX('CAT_ACTIVIDADES'!$B$4:$B$8,MATCH($H1055,'CAT_ACTIVIDADES'!$A$4:$A$8,0)),"(sin catálogo)"))</f>
        <v/>
      </c>
      <c r="AA1055" s="13">
        <f>IF($J1055="","",TODAY()-$J1055)</f>
        <v/>
      </c>
      <c r="AB1055" s="13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J$4:$J$451,MATCH($O1055&amp;"|"&amp;$R1055&amp;"|"&amp;$AE1055,'ASIGNACIONES'!$N$4:$N$451,0)),""))=0,"",IFERROR(INDEX('ASIGNACIONES'!$J$4:$J$451,MATCH($O1055&amp;"|"&amp;$R1055&amp;"|"&amp;$AE1055,'ASIGNACIONES'!$N$4:$N$451,0)),"")))</f>
        <v/>
      </c>
      <c r="AG1055" s="14">
        <f>IF($AE1055="","",SUMIFS('ORDENES'!$M$4:$M$1203,'ORDENES'!$AE$4:$AE$1203,$AE1055,'ORDENES'!$O$4:$O$1203,$O1055,'ORDENES'!$R$4:$R$1203,$R1055))</f>
        <v/>
      </c>
      <c r="AH1055" s="14">
        <f>IF($AG1055="","",p_factor_productividad*IFERROR(INDEX('ASIGNACIONES'!$M$4:$M$451,MATCH($O1055&amp;"|"&amp;$R1055&amp;"|"&amp;$AE1055,'ASIGNACIONES'!$N$4:$N$451,0)),0)-$AG1055)</f>
        <v/>
      </c>
      <c r="AI1055" s="11">
        <f>IF($A1055="","",IFERROR(INDEX('2_IMPORTAR_EJECUCION'!$F$9:$F$1208,MATCH($AQ1055,'2_IMPORTAR_EJECUCION'!$J$9:$J$1208,0)),0))</f>
        <v/>
      </c>
      <c r="AJ1055" s="11">
        <f>IF($A1055="","",MAX(0,IFERROR(INDEX('2_IMPORTAR_EJECUCION'!$H$9:$H$1208,MATCH($AQ1055,'2_IMPORTAR_EJECUCION'!$J$9:$J$1208,0)),0)-$AI1055))</f>
        <v/>
      </c>
      <c r="AK1055" s="11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IF($H1056="","",IFERROR(INDEX('CAT_ACTIVIDADES'!$B$4:$B$8,MATCH($H1056,'CAT_ACTIVIDADES'!$A$4:$A$8,0)),"(sin catálogo)"))</f>
        <v/>
      </c>
      <c r="AA1056" s="13">
        <f>IF($J1056="","",TODAY()-$J1056)</f>
        <v/>
      </c>
      <c r="AB1056" s="13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J$4:$J$451,MATCH($O1056&amp;"|"&amp;$R1056&amp;"|"&amp;$AE1056,'ASIGNACIONES'!$N$4:$N$451,0)),""))=0,"",IFERROR(INDEX('ASIGNACIONES'!$J$4:$J$451,MATCH($O1056&amp;"|"&amp;$R1056&amp;"|"&amp;$AE1056,'ASIGNACIONES'!$N$4:$N$451,0)),"")))</f>
        <v/>
      </c>
      <c r="AG1056" s="14">
        <f>IF($AE1056="","",SUMIFS('ORDENES'!$M$4:$M$1203,'ORDENES'!$AE$4:$AE$1203,$AE1056,'ORDENES'!$O$4:$O$1203,$O1056,'ORDENES'!$R$4:$R$1203,$R1056))</f>
        <v/>
      </c>
      <c r="AH1056" s="14">
        <f>IF($AG1056="","",p_factor_productividad*IFERROR(INDEX('ASIGNACIONES'!$M$4:$M$451,MATCH($O1056&amp;"|"&amp;$R1056&amp;"|"&amp;$AE1056,'ASIGNACIONES'!$N$4:$N$451,0)),0)-$AG1056)</f>
        <v/>
      </c>
      <c r="AI1056" s="11">
        <f>IF($A1056="","",IFERROR(INDEX('2_IMPORTAR_EJECUCION'!$F$9:$F$1208,MATCH($AQ1056,'2_IMPORTAR_EJECUCION'!$J$9:$J$1208,0)),0))</f>
        <v/>
      </c>
      <c r="AJ1056" s="11">
        <f>IF($A1056="","",MAX(0,IFERROR(INDEX('2_IMPORTAR_EJECUCION'!$H$9:$H$1208,MATCH($AQ1056,'2_IMPORTAR_EJECUCION'!$J$9:$J$1208,0)),0)-$AI1056))</f>
        <v/>
      </c>
      <c r="AK1056" s="11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IF($H1057="","",IFERROR(INDEX('CAT_ACTIVIDADES'!$B$4:$B$8,MATCH($H1057,'CAT_ACTIVIDADES'!$A$4:$A$8,0)),"(sin catálogo)"))</f>
        <v/>
      </c>
      <c r="AA1057" s="13">
        <f>IF($J1057="","",TODAY()-$J1057)</f>
        <v/>
      </c>
      <c r="AB1057" s="13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J$4:$J$451,MATCH($O1057&amp;"|"&amp;$R1057&amp;"|"&amp;$AE1057,'ASIGNACIONES'!$N$4:$N$451,0)),""))=0,"",IFERROR(INDEX('ASIGNACIONES'!$J$4:$J$451,MATCH($O1057&amp;"|"&amp;$R1057&amp;"|"&amp;$AE1057,'ASIGNACIONES'!$N$4:$N$451,0)),"")))</f>
        <v/>
      </c>
      <c r="AG1057" s="14">
        <f>IF($AE1057="","",SUMIFS('ORDENES'!$M$4:$M$1203,'ORDENES'!$AE$4:$AE$1203,$AE1057,'ORDENES'!$O$4:$O$1203,$O1057,'ORDENES'!$R$4:$R$1203,$R1057))</f>
        <v/>
      </c>
      <c r="AH1057" s="14">
        <f>IF($AG1057="","",p_factor_productividad*IFERROR(INDEX('ASIGNACIONES'!$M$4:$M$451,MATCH($O1057&amp;"|"&amp;$R1057&amp;"|"&amp;$AE1057,'ASIGNACIONES'!$N$4:$N$451,0)),0)-$AG1057)</f>
        <v/>
      </c>
      <c r="AI1057" s="11">
        <f>IF($A1057="","",IFERROR(INDEX('2_IMPORTAR_EJECUCION'!$F$9:$F$1208,MATCH($AQ1057,'2_IMPORTAR_EJECUCION'!$J$9:$J$1208,0)),0))</f>
        <v/>
      </c>
      <c r="AJ1057" s="11">
        <f>IF($A1057="","",MAX(0,IFERROR(INDEX('2_IMPORTAR_EJECUCION'!$H$9:$H$1208,MATCH($AQ1057,'2_IMPORTAR_EJECUCION'!$J$9:$J$1208,0)),0)-$AI1057))</f>
        <v/>
      </c>
      <c r="AK1057" s="11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IF($H1058="","",IFERROR(INDEX('CAT_ACTIVIDADES'!$B$4:$B$8,MATCH($H1058,'CAT_ACTIVIDADES'!$A$4:$A$8,0)),"(sin catálogo)"))</f>
        <v/>
      </c>
      <c r="AA1058" s="13">
        <f>IF($J1058="","",TODAY()-$J1058)</f>
        <v/>
      </c>
      <c r="AB1058" s="13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J$4:$J$451,MATCH($O1058&amp;"|"&amp;$R1058&amp;"|"&amp;$AE1058,'ASIGNACIONES'!$N$4:$N$451,0)),""))=0,"",IFERROR(INDEX('ASIGNACIONES'!$J$4:$J$451,MATCH($O1058&amp;"|"&amp;$R1058&amp;"|"&amp;$AE1058,'ASIGNACIONES'!$N$4:$N$451,0)),"")))</f>
        <v/>
      </c>
      <c r="AG1058" s="14">
        <f>IF($AE1058="","",SUMIFS('ORDENES'!$M$4:$M$1203,'ORDENES'!$AE$4:$AE$1203,$AE1058,'ORDENES'!$O$4:$O$1203,$O1058,'ORDENES'!$R$4:$R$1203,$R1058))</f>
        <v/>
      </c>
      <c r="AH1058" s="14">
        <f>IF($AG1058="","",p_factor_productividad*IFERROR(INDEX('ASIGNACIONES'!$M$4:$M$451,MATCH($O1058&amp;"|"&amp;$R1058&amp;"|"&amp;$AE1058,'ASIGNACIONES'!$N$4:$N$451,0)),0)-$AG1058)</f>
        <v/>
      </c>
      <c r="AI1058" s="11">
        <f>IF($A1058="","",IFERROR(INDEX('2_IMPORTAR_EJECUCION'!$F$9:$F$1208,MATCH($AQ1058,'2_IMPORTAR_EJECUCION'!$J$9:$J$1208,0)),0))</f>
        <v/>
      </c>
      <c r="AJ1058" s="11">
        <f>IF($A1058="","",MAX(0,IFERROR(INDEX('2_IMPORTAR_EJECUCION'!$H$9:$H$1208,MATCH($AQ1058,'2_IMPORTAR_EJECUCION'!$J$9:$J$1208,0)),0)-$AI1058))</f>
        <v/>
      </c>
      <c r="AK1058" s="11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IF($H1059="","",IFERROR(INDEX('CAT_ACTIVIDADES'!$B$4:$B$8,MATCH($H1059,'CAT_ACTIVIDADES'!$A$4:$A$8,0)),"(sin catálogo)"))</f>
        <v/>
      </c>
      <c r="AA1059" s="13">
        <f>IF($J1059="","",TODAY()-$J1059)</f>
        <v/>
      </c>
      <c r="AB1059" s="13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J$4:$J$451,MATCH($O1059&amp;"|"&amp;$R1059&amp;"|"&amp;$AE1059,'ASIGNACIONES'!$N$4:$N$451,0)),""))=0,"",IFERROR(INDEX('ASIGNACIONES'!$J$4:$J$451,MATCH($O1059&amp;"|"&amp;$R1059&amp;"|"&amp;$AE1059,'ASIGNACIONES'!$N$4:$N$451,0)),"")))</f>
        <v/>
      </c>
      <c r="AG1059" s="14">
        <f>IF($AE1059="","",SUMIFS('ORDENES'!$M$4:$M$1203,'ORDENES'!$AE$4:$AE$1203,$AE1059,'ORDENES'!$O$4:$O$1203,$O1059,'ORDENES'!$R$4:$R$1203,$R1059))</f>
        <v/>
      </c>
      <c r="AH1059" s="14">
        <f>IF($AG1059="","",p_factor_productividad*IFERROR(INDEX('ASIGNACIONES'!$M$4:$M$451,MATCH($O1059&amp;"|"&amp;$R1059&amp;"|"&amp;$AE1059,'ASIGNACIONES'!$N$4:$N$451,0)),0)-$AG1059)</f>
        <v/>
      </c>
      <c r="AI1059" s="11">
        <f>IF($A1059="","",IFERROR(INDEX('2_IMPORTAR_EJECUCION'!$F$9:$F$1208,MATCH($AQ1059,'2_IMPORTAR_EJECUCION'!$J$9:$J$1208,0)),0))</f>
        <v/>
      </c>
      <c r="AJ1059" s="11">
        <f>IF($A1059="","",MAX(0,IFERROR(INDEX('2_IMPORTAR_EJECUCION'!$H$9:$H$1208,MATCH($AQ1059,'2_IMPORTAR_EJECUCION'!$J$9:$J$1208,0)),0)-$AI1059))</f>
        <v/>
      </c>
      <c r="AK1059" s="11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IF($H1060="","",IFERROR(INDEX('CAT_ACTIVIDADES'!$B$4:$B$8,MATCH($H1060,'CAT_ACTIVIDADES'!$A$4:$A$8,0)),"(sin catálogo)"))</f>
        <v/>
      </c>
      <c r="AA1060" s="13">
        <f>IF($J1060="","",TODAY()-$J1060)</f>
        <v/>
      </c>
      <c r="AB1060" s="13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J$4:$J$451,MATCH($O1060&amp;"|"&amp;$R1060&amp;"|"&amp;$AE1060,'ASIGNACIONES'!$N$4:$N$451,0)),""))=0,"",IFERROR(INDEX('ASIGNACIONES'!$J$4:$J$451,MATCH($O1060&amp;"|"&amp;$R1060&amp;"|"&amp;$AE1060,'ASIGNACIONES'!$N$4:$N$451,0)),"")))</f>
        <v/>
      </c>
      <c r="AG1060" s="14">
        <f>IF($AE1060="","",SUMIFS('ORDENES'!$M$4:$M$1203,'ORDENES'!$AE$4:$AE$1203,$AE1060,'ORDENES'!$O$4:$O$1203,$O1060,'ORDENES'!$R$4:$R$1203,$R1060))</f>
        <v/>
      </c>
      <c r="AH1060" s="14">
        <f>IF($AG1060="","",p_factor_productividad*IFERROR(INDEX('ASIGNACIONES'!$M$4:$M$451,MATCH($O1060&amp;"|"&amp;$R1060&amp;"|"&amp;$AE1060,'ASIGNACIONES'!$N$4:$N$451,0)),0)-$AG1060)</f>
        <v/>
      </c>
      <c r="AI1060" s="11">
        <f>IF($A1060="","",IFERROR(INDEX('2_IMPORTAR_EJECUCION'!$F$9:$F$1208,MATCH($AQ1060,'2_IMPORTAR_EJECUCION'!$J$9:$J$1208,0)),0))</f>
        <v/>
      </c>
      <c r="AJ1060" s="11">
        <f>IF($A1060="","",MAX(0,IFERROR(INDEX('2_IMPORTAR_EJECUCION'!$H$9:$H$1208,MATCH($AQ1060,'2_IMPORTAR_EJECUCION'!$J$9:$J$1208,0)),0)-$AI1060))</f>
        <v/>
      </c>
      <c r="AK1060" s="11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IF($H1061="","",IFERROR(INDEX('CAT_ACTIVIDADES'!$B$4:$B$8,MATCH($H1061,'CAT_ACTIVIDADES'!$A$4:$A$8,0)),"(sin catálogo)"))</f>
        <v/>
      </c>
      <c r="AA1061" s="13">
        <f>IF($J1061="","",TODAY()-$J1061)</f>
        <v/>
      </c>
      <c r="AB1061" s="13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J$4:$J$451,MATCH($O1061&amp;"|"&amp;$R1061&amp;"|"&amp;$AE1061,'ASIGNACIONES'!$N$4:$N$451,0)),""))=0,"",IFERROR(INDEX('ASIGNACIONES'!$J$4:$J$451,MATCH($O1061&amp;"|"&amp;$R1061&amp;"|"&amp;$AE1061,'ASIGNACIONES'!$N$4:$N$451,0)),"")))</f>
        <v/>
      </c>
      <c r="AG1061" s="14">
        <f>IF($AE1061="","",SUMIFS('ORDENES'!$M$4:$M$1203,'ORDENES'!$AE$4:$AE$1203,$AE1061,'ORDENES'!$O$4:$O$1203,$O1061,'ORDENES'!$R$4:$R$1203,$R1061))</f>
        <v/>
      </c>
      <c r="AH1061" s="14">
        <f>IF($AG1061="","",p_factor_productividad*IFERROR(INDEX('ASIGNACIONES'!$M$4:$M$451,MATCH($O1061&amp;"|"&amp;$R1061&amp;"|"&amp;$AE1061,'ASIGNACIONES'!$N$4:$N$451,0)),0)-$AG1061)</f>
        <v/>
      </c>
      <c r="AI1061" s="11">
        <f>IF($A1061="","",IFERROR(INDEX('2_IMPORTAR_EJECUCION'!$F$9:$F$1208,MATCH($AQ1061,'2_IMPORTAR_EJECUCION'!$J$9:$J$1208,0)),0))</f>
        <v/>
      </c>
      <c r="AJ1061" s="11">
        <f>IF($A1061="","",MAX(0,IFERROR(INDEX('2_IMPORTAR_EJECUCION'!$H$9:$H$1208,MATCH($AQ1061,'2_IMPORTAR_EJECUCION'!$J$9:$J$1208,0)),0)-$AI1061))</f>
        <v/>
      </c>
      <c r="AK1061" s="11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IF($H1062="","",IFERROR(INDEX('CAT_ACTIVIDADES'!$B$4:$B$8,MATCH($H1062,'CAT_ACTIVIDADES'!$A$4:$A$8,0)),"(sin catálogo)"))</f>
        <v/>
      </c>
      <c r="AA1062" s="13">
        <f>IF($J1062="","",TODAY()-$J1062)</f>
        <v/>
      </c>
      <c r="AB1062" s="13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J$4:$J$451,MATCH($O1062&amp;"|"&amp;$R1062&amp;"|"&amp;$AE1062,'ASIGNACIONES'!$N$4:$N$451,0)),""))=0,"",IFERROR(INDEX('ASIGNACIONES'!$J$4:$J$451,MATCH($O1062&amp;"|"&amp;$R1062&amp;"|"&amp;$AE1062,'ASIGNACIONES'!$N$4:$N$451,0)),"")))</f>
        <v/>
      </c>
      <c r="AG1062" s="14">
        <f>IF($AE1062="","",SUMIFS('ORDENES'!$M$4:$M$1203,'ORDENES'!$AE$4:$AE$1203,$AE1062,'ORDENES'!$O$4:$O$1203,$O1062,'ORDENES'!$R$4:$R$1203,$R1062))</f>
        <v/>
      </c>
      <c r="AH1062" s="14">
        <f>IF($AG1062="","",p_factor_productividad*IFERROR(INDEX('ASIGNACIONES'!$M$4:$M$451,MATCH($O1062&amp;"|"&amp;$R1062&amp;"|"&amp;$AE1062,'ASIGNACIONES'!$N$4:$N$451,0)),0)-$AG1062)</f>
        <v/>
      </c>
      <c r="AI1062" s="11">
        <f>IF($A1062="","",IFERROR(INDEX('2_IMPORTAR_EJECUCION'!$F$9:$F$1208,MATCH($AQ1062,'2_IMPORTAR_EJECUCION'!$J$9:$J$1208,0)),0))</f>
        <v/>
      </c>
      <c r="AJ1062" s="11">
        <f>IF($A1062="","",MAX(0,IFERROR(INDEX('2_IMPORTAR_EJECUCION'!$H$9:$H$1208,MATCH($AQ1062,'2_IMPORTAR_EJECUCION'!$J$9:$J$1208,0)),0)-$AI1062))</f>
        <v/>
      </c>
      <c r="AK1062" s="11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IF($H1063="","",IFERROR(INDEX('CAT_ACTIVIDADES'!$B$4:$B$8,MATCH($H1063,'CAT_ACTIVIDADES'!$A$4:$A$8,0)),"(sin catálogo)"))</f>
        <v/>
      </c>
      <c r="AA1063" s="13">
        <f>IF($J1063="","",TODAY()-$J1063)</f>
        <v/>
      </c>
      <c r="AB1063" s="13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J$4:$J$451,MATCH($O1063&amp;"|"&amp;$R1063&amp;"|"&amp;$AE1063,'ASIGNACIONES'!$N$4:$N$451,0)),""))=0,"",IFERROR(INDEX('ASIGNACIONES'!$J$4:$J$451,MATCH($O1063&amp;"|"&amp;$R1063&amp;"|"&amp;$AE1063,'ASIGNACIONES'!$N$4:$N$451,0)),"")))</f>
        <v/>
      </c>
      <c r="AG1063" s="14">
        <f>IF($AE1063="","",SUMIFS('ORDENES'!$M$4:$M$1203,'ORDENES'!$AE$4:$AE$1203,$AE1063,'ORDENES'!$O$4:$O$1203,$O1063,'ORDENES'!$R$4:$R$1203,$R1063))</f>
        <v/>
      </c>
      <c r="AH1063" s="14">
        <f>IF($AG1063="","",p_factor_productividad*IFERROR(INDEX('ASIGNACIONES'!$M$4:$M$451,MATCH($O1063&amp;"|"&amp;$R1063&amp;"|"&amp;$AE1063,'ASIGNACIONES'!$N$4:$N$451,0)),0)-$AG1063)</f>
        <v/>
      </c>
      <c r="AI1063" s="11">
        <f>IF($A1063="","",IFERROR(INDEX('2_IMPORTAR_EJECUCION'!$F$9:$F$1208,MATCH($AQ1063,'2_IMPORTAR_EJECUCION'!$J$9:$J$1208,0)),0))</f>
        <v/>
      </c>
      <c r="AJ1063" s="11">
        <f>IF($A1063="","",MAX(0,IFERROR(INDEX('2_IMPORTAR_EJECUCION'!$H$9:$H$1208,MATCH($AQ1063,'2_IMPORTAR_EJECUCION'!$J$9:$J$1208,0)),0)-$AI1063))</f>
        <v/>
      </c>
      <c r="AK1063" s="11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IF($H1064="","",IFERROR(INDEX('CAT_ACTIVIDADES'!$B$4:$B$8,MATCH($H1064,'CAT_ACTIVIDADES'!$A$4:$A$8,0)),"(sin catálogo)"))</f>
        <v/>
      </c>
      <c r="AA1064" s="13">
        <f>IF($J1064="","",TODAY()-$J1064)</f>
        <v/>
      </c>
      <c r="AB1064" s="13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J$4:$J$451,MATCH($O1064&amp;"|"&amp;$R1064&amp;"|"&amp;$AE1064,'ASIGNACIONES'!$N$4:$N$451,0)),""))=0,"",IFERROR(INDEX('ASIGNACIONES'!$J$4:$J$451,MATCH($O1064&amp;"|"&amp;$R1064&amp;"|"&amp;$AE1064,'ASIGNACIONES'!$N$4:$N$451,0)),"")))</f>
        <v/>
      </c>
      <c r="AG1064" s="14">
        <f>IF($AE1064="","",SUMIFS('ORDENES'!$M$4:$M$1203,'ORDENES'!$AE$4:$AE$1203,$AE1064,'ORDENES'!$O$4:$O$1203,$O1064,'ORDENES'!$R$4:$R$1203,$R1064))</f>
        <v/>
      </c>
      <c r="AH1064" s="14">
        <f>IF($AG1064="","",p_factor_productividad*IFERROR(INDEX('ASIGNACIONES'!$M$4:$M$451,MATCH($O1064&amp;"|"&amp;$R1064&amp;"|"&amp;$AE1064,'ASIGNACIONES'!$N$4:$N$451,0)),0)-$AG1064)</f>
        <v/>
      </c>
      <c r="AI1064" s="11">
        <f>IF($A1064="","",IFERROR(INDEX('2_IMPORTAR_EJECUCION'!$F$9:$F$1208,MATCH($AQ1064,'2_IMPORTAR_EJECUCION'!$J$9:$J$1208,0)),0))</f>
        <v/>
      </c>
      <c r="AJ1064" s="11">
        <f>IF($A1064="","",MAX(0,IFERROR(INDEX('2_IMPORTAR_EJECUCION'!$H$9:$H$1208,MATCH($AQ1064,'2_IMPORTAR_EJECUCION'!$J$9:$J$1208,0)),0)-$AI1064))</f>
        <v/>
      </c>
      <c r="AK1064" s="11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IF($H1065="","",IFERROR(INDEX('CAT_ACTIVIDADES'!$B$4:$B$8,MATCH($H1065,'CAT_ACTIVIDADES'!$A$4:$A$8,0)),"(sin catálogo)"))</f>
        <v/>
      </c>
      <c r="AA1065" s="13">
        <f>IF($J1065="","",TODAY()-$J1065)</f>
        <v/>
      </c>
      <c r="AB1065" s="13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J$4:$J$451,MATCH($O1065&amp;"|"&amp;$R1065&amp;"|"&amp;$AE1065,'ASIGNACIONES'!$N$4:$N$451,0)),""))=0,"",IFERROR(INDEX('ASIGNACIONES'!$J$4:$J$451,MATCH($O1065&amp;"|"&amp;$R1065&amp;"|"&amp;$AE1065,'ASIGNACIONES'!$N$4:$N$451,0)),"")))</f>
        <v/>
      </c>
      <c r="AG1065" s="14">
        <f>IF($AE1065="","",SUMIFS('ORDENES'!$M$4:$M$1203,'ORDENES'!$AE$4:$AE$1203,$AE1065,'ORDENES'!$O$4:$O$1203,$O1065,'ORDENES'!$R$4:$R$1203,$R1065))</f>
        <v/>
      </c>
      <c r="AH1065" s="14">
        <f>IF($AG1065="","",p_factor_productividad*IFERROR(INDEX('ASIGNACIONES'!$M$4:$M$451,MATCH($O1065&amp;"|"&amp;$R1065&amp;"|"&amp;$AE1065,'ASIGNACIONES'!$N$4:$N$451,0)),0)-$AG1065)</f>
        <v/>
      </c>
      <c r="AI1065" s="11">
        <f>IF($A1065="","",IFERROR(INDEX('2_IMPORTAR_EJECUCION'!$F$9:$F$1208,MATCH($AQ1065,'2_IMPORTAR_EJECUCION'!$J$9:$J$1208,0)),0))</f>
        <v/>
      </c>
      <c r="AJ1065" s="11">
        <f>IF($A1065="","",MAX(0,IFERROR(INDEX('2_IMPORTAR_EJECUCION'!$H$9:$H$1208,MATCH($AQ1065,'2_IMPORTAR_EJECUCION'!$J$9:$J$1208,0)),0)-$AI1065))</f>
        <v/>
      </c>
      <c r="AK1065" s="11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IF($H1066="","",IFERROR(INDEX('CAT_ACTIVIDADES'!$B$4:$B$8,MATCH($H1066,'CAT_ACTIVIDADES'!$A$4:$A$8,0)),"(sin catálogo)"))</f>
        <v/>
      </c>
      <c r="AA1066" s="13">
        <f>IF($J1066="","",TODAY()-$J1066)</f>
        <v/>
      </c>
      <c r="AB1066" s="13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J$4:$J$451,MATCH($O1066&amp;"|"&amp;$R1066&amp;"|"&amp;$AE1066,'ASIGNACIONES'!$N$4:$N$451,0)),""))=0,"",IFERROR(INDEX('ASIGNACIONES'!$J$4:$J$451,MATCH($O1066&amp;"|"&amp;$R1066&amp;"|"&amp;$AE1066,'ASIGNACIONES'!$N$4:$N$451,0)),"")))</f>
        <v/>
      </c>
      <c r="AG1066" s="14">
        <f>IF($AE1066="","",SUMIFS('ORDENES'!$M$4:$M$1203,'ORDENES'!$AE$4:$AE$1203,$AE1066,'ORDENES'!$O$4:$O$1203,$O1066,'ORDENES'!$R$4:$R$1203,$R1066))</f>
        <v/>
      </c>
      <c r="AH1066" s="14">
        <f>IF($AG1066="","",p_factor_productividad*IFERROR(INDEX('ASIGNACIONES'!$M$4:$M$451,MATCH($O1066&amp;"|"&amp;$R1066&amp;"|"&amp;$AE1066,'ASIGNACIONES'!$N$4:$N$451,0)),0)-$AG1066)</f>
        <v/>
      </c>
      <c r="AI1066" s="11">
        <f>IF($A1066="","",IFERROR(INDEX('2_IMPORTAR_EJECUCION'!$F$9:$F$1208,MATCH($AQ1066,'2_IMPORTAR_EJECUCION'!$J$9:$J$1208,0)),0))</f>
        <v/>
      </c>
      <c r="AJ1066" s="11">
        <f>IF($A1066="","",MAX(0,IFERROR(INDEX('2_IMPORTAR_EJECUCION'!$H$9:$H$1208,MATCH($AQ1066,'2_IMPORTAR_EJECUCION'!$J$9:$J$1208,0)),0)-$AI1066))</f>
        <v/>
      </c>
      <c r="AK1066" s="11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IF($H1067="","",IFERROR(INDEX('CAT_ACTIVIDADES'!$B$4:$B$8,MATCH($H1067,'CAT_ACTIVIDADES'!$A$4:$A$8,0)),"(sin catálogo)"))</f>
        <v/>
      </c>
      <c r="AA1067" s="13">
        <f>IF($J1067="","",TODAY()-$J1067)</f>
        <v/>
      </c>
      <c r="AB1067" s="13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J$4:$J$451,MATCH($O1067&amp;"|"&amp;$R1067&amp;"|"&amp;$AE1067,'ASIGNACIONES'!$N$4:$N$451,0)),""))=0,"",IFERROR(INDEX('ASIGNACIONES'!$J$4:$J$451,MATCH($O1067&amp;"|"&amp;$R1067&amp;"|"&amp;$AE1067,'ASIGNACIONES'!$N$4:$N$451,0)),"")))</f>
        <v/>
      </c>
      <c r="AG1067" s="14">
        <f>IF($AE1067="","",SUMIFS('ORDENES'!$M$4:$M$1203,'ORDENES'!$AE$4:$AE$1203,$AE1067,'ORDENES'!$O$4:$O$1203,$O1067,'ORDENES'!$R$4:$R$1203,$R1067))</f>
        <v/>
      </c>
      <c r="AH1067" s="14">
        <f>IF($AG1067="","",p_factor_productividad*IFERROR(INDEX('ASIGNACIONES'!$M$4:$M$451,MATCH($O1067&amp;"|"&amp;$R1067&amp;"|"&amp;$AE1067,'ASIGNACIONES'!$N$4:$N$451,0)),0)-$AG1067)</f>
        <v/>
      </c>
      <c r="AI1067" s="11">
        <f>IF($A1067="","",IFERROR(INDEX('2_IMPORTAR_EJECUCION'!$F$9:$F$1208,MATCH($AQ1067,'2_IMPORTAR_EJECUCION'!$J$9:$J$1208,0)),0))</f>
        <v/>
      </c>
      <c r="AJ1067" s="11">
        <f>IF($A1067="","",MAX(0,IFERROR(INDEX('2_IMPORTAR_EJECUCION'!$H$9:$H$1208,MATCH($AQ1067,'2_IMPORTAR_EJECUCION'!$J$9:$J$1208,0)),0)-$AI1067))</f>
        <v/>
      </c>
      <c r="AK1067" s="11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IF($H1068="","",IFERROR(INDEX('CAT_ACTIVIDADES'!$B$4:$B$8,MATCH($H1068,'CAT_ACTIVIDADES'!$A$4:$A$8,0)),"(sin catálogo)"))</f>
        <v/>
      </c>
      <c r="AA1068" s="13">
        <f>IF($J1068="","",TODAY()-$J1068)</f>
        <v/>
      </c>
      <c r="AB1068" s="13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J$4:$J$451,MATCH($O1068&amp;"|"&amp;$R1068&amp;"|"&amp;$AE1068,'ASIGNACIONES'!$N$4:$N$451,0)),""))=0,"",IFERROR(INDEX('ASIGNACIONES'!$J$4:$J$451,MATCH($O1068&amp;"|"&amp;$R1068&amp;"|"&amp;$AE1068,'ASIGNACIONES'!$N$4:$N$451,0)),"")))</f>
        <v/>
      </c>
      <c r="AG1068" s="14">
        <f>IF($AE1068="","",SUMIFS('ORDENES'!$M$4:$M$1203,'ORDENES'!$AE$4:$AE$1203,$AE1068,'ORDENES'!$O$4:$O$1203,$O1068,'ORDENES'!$R$4:$R$1203,$R1068))</f>
        <v/>
      </c>
      <c r="AH1068" s="14">
        <f>IF($AG1068="","",p_factor_productividad*IFERROR(INDEX('ASIGNACIONES'!$M$4:$M$451,MATCH($O1068&amp;"|"&amp;$R1068&amp;"|"&amp;$AE1068,'ASIGNACIONES'!$N$4:$N$451,0)),0)-$AG1068)</f>
        <v/>
      </c>
      <c r="AI1068" s="11">
        <f>IF($A1068="","",IFERROR(INDEX('2_IMPORTAR_EJECUCION'!$F$9:$F$1208,MATCH($AQ1068,'2_IMPORTAR_EJECUCION'!$J$9:$J$1208,0)),0))</f>
        <v/>
      </c>
      <c r="AJ1068" s="11">
        <f>IF($A1068="","",MAX(0,IFERROR(INDEX('2_IMPORTAR_EJECUCION'!$H$9:$H$1208,MATCH($AQ1068,'2_IMPORTAR_EJECUCION'!$J$9:$J$1208,0)),0)-$AI1068))</f>
        <v/>
      </c>
      <c r="AK1068" s="11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IF($H1069="","",IFERROR(INDEX('CAT_ACTIVIDADES'!$B$4:$B$8,MATCH($H1069,'CAT_ACTIVIDADES'!$A$4:$A$8,0)),"(sin catálogo)"))</f>
        <v/>
      </c>
      <c r="AA1069" s="13">
        <f>IF($J1069="","",TODAY()-$J1069)</f>
        <v/>
      </c>
      <c r="AB1069" s="13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J$4:$J$451,MATCH($O1069&amp;"|"&amp;$R1069&amp;"|"&amp;$AE1069,'ASIGNACIONES'!$N$4:$N$451,0)),""))=0,"",IFERROR(INDEX('ASIGNACIONES'!$J$4:$J$451,MATCH($O1069&amp;"|"&amp;$R1069&amp;"|"&amp;$AE1069,'ASIGNACIONES'!$N$4:$N$451,0)),"")))</f>
        <v/>
      </c>
      <c r="AG1069" s="14">
        <f>IF($AE1069="","",SUMIFS('ORDENES'!$M$4:$M$1203,'ORDENES'!$AE$4:$AE$1203,$AE1069,'ORDENES'!$O$4:$O$1203,$O1069,'ORDENES'!$R$4:$R$1203,$R1069))</f>
        <v/>
      </c>
      <c r="AH1069" s="14">
        <f>IF($AG1069="","",p_factor_productividad*IFERROR(INDEX('ASIGNACIONES'!$M$4:$M$451,MATCH($O1069&amp;"|"&amp;$R1069&amp;"|"&amp;$AE1069,'ASIGNACIONES'!$N$4:$N$451,0)),0)-$AG1069)</f>
        <v/>
      </c>
      <c r="AI1069" s="11">
        <f>IF($A1069="","",IFERROR(INDEX('2_IMPORTAR_EJECUCION'!$F$9:$F$1208,MATCH($AQ1069,'2_IMPORTAR_EJECUCION'!$J$9:$J$1208,0)),0))</f>
        <v/>
      </c>
      <c r="AJ1069" s="11">
        <f>IF($A1069="","",MAX(0,IFERROR(INDEX('2_IMPORTAR_EJECUCION'!$H$9:$H$1208,MATCH($AQ1069,'2_IMPORTAR_EJECUCION'!$J$9:$J$1208,0)),0)-$AI1069))</f>
        <v/>
      </c>
      <c r="AK1069" s="11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IF($H1070="","",IFERROR(INDEX('CAT_ACTIVIDADES'!$B$4:$B$8,MATCH($H1070,'CAT_ACTIVIDADES'!$A$4:$A$8,0)),"(sin catálogo)"))</f>
        <v/>
      </c>
      <c r="AA1070" s="13">
        <f>IF($J1070="","",TODAY()-$J1070)</f>
        <v/>
      </c>
      <c r="AB1070" s="13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J$4:$J$451,MATCH($O1070&amp;"|"&amp;$R1070&amp;"|"&amp;$AE1070,'ASIGNACIONES'!$N$4:$N$451,0)),""))=0,"",IFERROR(INDEX('ASIGNACIONES'!$J$4:$J$451,MATCH($O1070&amp;"|"&amp;$R1070&amp;"|"&amp;$AE1070,'ASIGNACIONES'!$N$4:$N$451,0)),"")))</f>
        <v/>
      </c>
      <c r="AG1070" s="14">
        <f>IF($AE1070="","",SUMIFS('ORDENES'!$M$4:$M$1203,'ORDENES'!$AE$4:$AE$1203,$AE1070,'ORDENES'!$O$4:$O$1203,$O1070,'ORDENES'!$R$4:$R$1203,$R1070))</f>
        <v/>
      </c>
      <c r="AH1070" s="14">
        <f>IF($AG1070="","",p_factor_productividad*IFERROR(INDEX('ASIGNACIONES'!$M$4:$M$451,MATCH($O1070&amp;"|"&amp;$R1070&amp;"|"&amp;$AE1070,'ASIGNACIONES'!$N$4:$N$451,0)),0)-$AG1070)</f>
        <v/>
      </c>
      <c r="AI1070" s="11">
        <f>IF($A1070="","",IFERROR(INDEX('2_IMPORTAR_EJECUCION'!$F$9:$F$1208,MATCH($AQ1070,'2_IMPORTAR_EJECUCION'!$J$9:$J$1208,0)),0))</f>
        <v/>
      </c>
      <c r="AJ1070" s="11">
        <f>IF($A1070="","",MAX(0,IFERROR(INDEX('2_IMPORTAR_EJECUCION'!$H$9:$H$1208,MATCH($AQ1070,'2_IMPORTAR_EJECUCION'!$J$9:$J$1208,0)),0)-$AI1070))</f>
        <v/>
      </c>
      <c r="AK1070" s="11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IF($H1071="","",IFERROR(INDEX('CAT_ACTIVIDADES'!$B$4:$B$8,MATCH($H1071,'CAT_ACTIVIDADES'!$A$4:$A$8,0)),"(sin catálogo)"))</f>
        <v/>
      </c>
      <c r="AA1071" s="13">
        <f>IF($J1071="","",TODAY()-$J1071)</f>
        <v/>
      </c>
      <c r="AB1071" s="13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J$4:$J$451,MATCH($O1071&amp;"|"&amp;$R1071&amp;"|"&amp;$AE1071,'ASIGNACIONES'!$N$4:$N$451,0)),""))=0,"",IFERROR(INDEX('ASIGNACIONES'!$J$4:$J$451,MATCH($O1071&amp;"|"&amp;$R1071&amp;"|"&amp;$AE1071,'ASIGNACIONES'!$N$4:$N$451,0)),"")))</f>
        <v/>
      </c>
      <c r="AG1071" s="14">
        <f>IF($AE1071="","",SUMIFS('ORDENES'!$M$4:$M$1203,'ORDENES'!$AE$4:$AE$1203,$AE1071,'ORDENES'!$O$4:$O$1203,$O1071,'ORDENES'!$R$4:$R$1203,$R1071))</f>
        <v/>
      </c>
      <c r="AH1071" s="14">
        <f>IF($AG1071="","",p_factor_productividad*IFERROR(INDEX('ASIGNACIONES'!$M$4:$M$451,MATCH($O1071&amp;"|"&amp;$R1071&amp;"|"&amp;$AE1071,'ASIGNACIONES'!$N$4:$N$451,0)),0)-$AG1071)</f>
        <v/>
      </c>
      <c r="AI1071" s="11">
        <f>IF($A1071="","",IFERROR(INDEX('2_IMPORTAR_EJECUCION'!$F$9:$F$1208,MATCH($AQ1071,'2_IMPORTAR_EJECUCION'!$J$9:$J$1208,0)),0))</f>
        <v/>
      </c>
      <c r="AJ1071" s="11">
        <f>IF($A1071="","",MAX(0,IFERROR(INDEX('2_IMPORTAR_EJECUCION'!$H$9:$H$1208,MATCH($AQ1071,'2_IMPORTAR_EJECUCION'!$J$9:$J$1208,0)),0)-$AI1071))</f>
        <v/>
      </c>
      <c r="AK1071" s="11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IF($H1072="","",IFERROR(INDEX('CAT_ACTIVIDADES'!$B$4:$B$8,MATCH($H1072,'CAT_ACTIVIDADES'!$A$4:$A$8,0)),"(sin catálogo)"))</f>
        <v/>
      </c>
      <c r="AA1072" s="13">
        <f>IF($J1072="","",TODAY()-$J1072)</f>
        <v/>
      </c>
      <c r="AB1072" s="13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J$4:$J$451,MATCH($O1072&amp;"|"&amp;$R1072&amp;"|"&amp;$AE1072,'ASIGNACIONES'!$N$4:$N$451,0)),""))=0,"",IFERROR(INDEX('ASIGNACIONES'!$J$4:$J$451,MATCH($O1072&amp;"|"&amp;$R1072&amp;"|"&amp;$AE1072,'ASIGNACIONES'!$N$4:$N$451,0)),"")))</f>
        <v/>
      </c>
      <c r="AG1072" s="14">
        <f>IF($AE1072="","",SUMIFS('ORDENES'!$M$4:$M$1203,'ORDENES'!$AE$4:$AE$1203,$AE1072,'ORDENES'!$O$4:$O$1203,$O1072,'ORDENES'!$R$4:$R$1203,$R1072))</f>
        <v/>
      </c>
      <c r="AH1072" s="14">
        <f>IF($AG1072="","",p_factor_productividad*IFERROR(INDEX('ASIGNACIONES'!$M$4:$M$451,MATCH($O1072&amp;"|"&amp;$R1072&amp;"|"&amp;$AE1072,'ASIGNACIONES'!$N$4:$N$451,0)),0)-$AG1072)</f>
        <v/>
      </c>
      <c r="AI1072" s="11">
        <f>IF($A1072="","",IFERROR(INDEX('2_IMPORTAR_EJECUCION'!$F$9:$F$1208,MATCH($AQ1072,'2_IMPORTAR_EJECUCION'!$J$9:$J$1208,0)),0))</f>
        <v/>
      </c>
      <c r="AJ1072" s="11">
        <f>IF($A1072="","",MAX(0,IFERROR(INDEX('2_IMPORTAR_EJECUCION'!$H$9:$H$1208,MATCH($AQ1072,'2_IMPORTAR_EJECUCION'!$J$9:$J$1208,0)),0)-$AI1072))</f>
        <v/>
      </c>
      <c r="AK1072" s="11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IF($H1073="","",IFERROR(INDEX('CAT_ACTIVIDADES'!$B$4:$B$8,MATCH($H1073,'CAT_ACTIVIDADES'!$A$4:$A$8,0)),"(sin catálogo)"))</f>
        <v/>
      </c>
      <c r="AA1073" s="13">
        <f>IF($J1073="","",TODAY()-$J1073)</f>
        <v/>
      </c>
      <c r="AB1073" s="13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J$4:$J$451,MATCH($O1073&amp;"|"&amp;$R1073&amp;"|"&amp;$AE1073,'ASIGNACIONES'!$N$4:$N$451,0)),""))=0,"",IFERROR(INDEX('ASIGNACIONES'!$J$4:$J$451,MATCH($O1073&amp;"|"&amp;$R1073&amp;"|"&amp;$AE1073,'ASIGNACIONES'!$N$4:$N$451,0)),"")))</f>
        <v/>
      </c>
      <c r="AG1073" s="14">
        <f>IF($AE1073="","",SUMIFS('ORDENES'!$M$4:$M$1203,'ORDENES'!$AE$4:$AE$1203,$AE1073,'ORDENES'!$O$4:$O$1203,$O1073,'ORDENES'!$R$4:$R$1203,$R1073))</f>
        <v/>
      </c>
      <c r="AH1073" s="14">
        <f>IF($AG1073="","",p_factor_productividad*IFERROR(INDEX('ASIGNACIONES'!$M$4:$M$451,MATCH($O1073&amp;"|"&amp;$R1073&amp;"|"&amp;$AE1073,'ASIGNACIONES'!$N$4:$N$451,0)),0)-$AG1073)</f>
        <v/>
      </c>
      <c r="AI1073" s="11">
        <f>IF($A1073="","",IFERROR(INDEX('2_IMPORTAR_EJECUCION'!$F$9:$F$1208,MATCH($AQ1073,'2_IMPORTAR_EJECUCION'!$J$9:$J$1208,0)),0))</f>
        <v/>
      </c>
      <c r="AJ1073" s="11">
        <f>IF($A1073="","",MAX(0,IFERROR(INDEX('2_IMPORTAR_EJECUCION'!$H$9:$H$1208,MATCH($AQ1073,'2_IMPORTAR_EJECUCION'!$J$9:$J$1208,0)),0)-$AI1073))</f>
        <v/>
      </c>
      <c r="AK1073" s="11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IF($H1074="","",IFERROR(INDEX('CAT_ACTIVIDADES'!$B$4:$B$8,MATCH($H1074,'CAT_ACTIVIDADES'!$A$4:$A$8,0)),"(sin catálogo)"))</f>
        <v/>
      </c>
      <c r="AA1074" s="13">
        <f>IF($J1074="","",TODAY()-$J1074)</f>
        <v/>
      </c>
      <c r="AB1074" s="13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J$4:$J$451,MATCH($O1074&amp;"|"&amp;$R1074&amp;"|"&amp;$AE1074,'ASIGNACIONES'!$N$4:$N$451,0)),""))=0,"",IFERROR(INDEX('ASIGNACIONES'!$J$4:$J$451,MATCH($O1074&amp;"|"&amp;$R1074&amp;"|"&amp;$AE1074,'ASIGNACIONES'!$N$4:$N$451,0)),"")))</f>
        <v/>
      </c>
      <c r="AG1074" s="14">
        <f>IF($AE1074="","",SUMIFS('ORDENES'!$M$4:$M$1203,'ORDENES'!$AE$4:$AE$1203,$AE1074,'ORDENES'!$O$4:$O$1203,$O1074,'ORDENES'!$R$4:$R$1203,$R1074))</f>
        <v/>
      </c>
      <c r="AH1074" s="14">
        <f>IF($AG1074="","",p_factor_productividad*IFERROR(INDEX('ASIGNACIONES'!$M$4:$M$451,MATCH($O1074&amp;"|"&amp;$R1074&amp;"|"&amp;$AE1074,'ASIGNACIONES'!$N$4:$N$451,0)),0)-$AG1074)</f>
        <v/>
      </c>
      <c r="AI1074" s="11">
        <f>IF($A1074="","",IFERROR(INDEX('2_IMPORTAR_EJECUCION'!$F$9:$F$1208,MATCH($AQ1074,'2_IMPORTAR_EJECUCION'!$J$9:$J$1208,0)),0))</f>
        <v/>
      </c>
      <c r="AJ1074" s="11">
        <f>IF($A1074="","",MAX(0,IFERROR(INDEX('2_IMPORTAR_EJECUCION'!$H$9:$H$1208,MATCH($AQ1074,'2_IMPORTAR_EJECUCION'!$J$9:$J$1208,0)),0)-$AI1074))</f>
        <v/>
      </c>
      <c r="AK1074" s="11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IF($H1075="","",IFERROR(INDEX('CAT_ACTIVIDADES'!$B$4:$B$8,MATCH($H1075,'CAT_ACTIVIDADES'!$A$4:$A$8,0)),"(sin catálogo)"))</f>
        <v/>
      </c>
      <c r="AA1075" s="13">
        <f>IF($J1075="","",TODAY()-$J1075)</f>
        <v/>
      </c>
      <c r="AB1075" s="13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J$4:$J$451,MATCH($O1075&amp;"|"&amp;$R1075&amp;"|"&amp;$AE1075,'ASIGNACIONES'!$N$4:$N$451,0)),""))=0,"",IFERROR(INDEX('ASIGNACIONES'!$J$4:$J$451,MATCH($O1075&amp;"|"&amp;$R1075&amp;"|"&amp;$AE1075,'ASIGNACIONES'!$N$4:$N$451,0)),"")))</f>
        <v/>
      </c>
      <c r="AG1075" s="14">
        <f>IF($AE1075="","",SUMIFS('ORDENES'!$M$4:$M$1203,'ORDENES'!$AE$4:$AE$1203,$AE1075,'ORDENES'!$O$4:$O$1203,$O1075,'ORDENES'!$R$4:$R$1203,$R1075))</f>
        <v/>
      </c>
      <c r="AH1075" s="14">
        <f>IF($AG1075="","",p_factor_productividad*IFERROR(INDEX('ASIGNACIONES'!$M$4:$M$451,MATCH($O1075&amp;"|"&amp;$R1075&amp;"|"&amp;$AE1075,'ASIGNACIONES'!$N$4:$N$451,0)),0)-$AG1075)</f>
        <v/>
      </c>
      <c r="AI1075" s="11">
        <f>IF($A1075="","",IFERROR(INDEX('2_IMPORTAR_EJECUCION'!$F$9:$F$1208,MATCH($AQ1075,'2_IMPORTAR_EJECUCION'!$J$9:$J$1208,0)),0))</f>
        <v/>
      </c>
      <c r="AJ1075" s="11">
        <f>IF($A1075="","",MAX(0,IFERROR(INDEX('2_IMPORTAR_EJECUCION'!$H$9:$H$1208,MATCH($AQ1075,'2_IMPORTAR_EJECUCION'!$J$9:$J$1208,0)),0)-$AI1075))</f>
        <v/>
      </c>
      <c r="AK1075" s="11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IF($H1076="","",IFERROR(INDEX('CAT_ACTIVIDADES'!$B$4:$B$8,MATCH($H1076,'CAT_ACTIVIDADES'!$A$4:$A$8,0)),"(sin catálogo)"))</f>
        <v/>
      </c>
      <c r="AA1076" s="13">
        <f>IF($J1076="","",TODAY()-$J1076)</f>
        <v/>
      </c>
      <c r="AB1076" s="13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J$4:$J$451,MATCH($O1076&amp;"|"&amp;$R1076&amp;"|"&amp;$AE1076,'ASIGNACIONES'!$N$4:$N$451,0)),""))=0,"",IFERROR(INDEX('ASIGNACIONES'!$J$4:$J$451,MATCH($O1076&amp;"|"&amp;$R1076&amp;"|"&amp;$AE1076,'ASIGNACIONES'!$N$4:$N$451,0)),"")))</f>
        <v/>
      </c>
      <c r="AG1076" s="14">
        <f>IF($AE1076="","",SUMIFS('ORDENES'!$M$4:$M$1203,'ORDENES'!$AE$4:$AE$1203,$AE1076,'ORDENES'!$O$4:$O$1203,$O1076,'ORDENES'!$R$4:$R$1203,$R1076))</f>
        <v/>
      </c>
      <c r="AH1076" s="14">
        <f>IF($AG1076="","",p_factor_productividad*IFERROR(INDEX('ASIGNACIONES'!$M$4:$M$451,MATCH($O1076&amp;"|"&amp;$R1076&amp;"|"&amp;$AE1076,'ASIGNACIONES'!$N$4:$N$451,0)),0)-$AG1076)</f>
        <v/>
      </c>
      <c r="AI1076" s="11">
        <f>IF($A1076="","",IFERROR(INDEX('2_IMPORTAR_EJECUCION'!$F$9:$F$1208,MATCH($AQ1076,'2_IMPORTAR_EJECUCION'!$J$9:$J$1208,0)),0))</f>
        <v/>
      </c>
      <c r="AJ1076" s="11">
        <f>IF($A1076="","",MAX(0,IFERROR(INDEX('2_IMPORTAR_EJECUCION'!$H$9:$H$1208,MATCH($AQ1076,'2_IMPORTAR_EJECUCION'!$J$9:$J$1208,0)),0)-$AI1076))</f>
        <v/>
      </c>
      <c r="AK1076" s="11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IF($H1077="","",IFERROR(INDEX('CAT_ACTIVIDADES'!$B$4:$B$8,MATCH($H1077,'CAT_ACTIVIDADES'!$A$4:$A$8,0)),"(sin catálogo)"))</f>
        <v/>
      </c>
      <c r="AA1077" s="13">
        <f>IF($J1077="","",TODAY()-$J1077)</f>
        <v/>
      </c>
      <c r="AB1077" s="13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J$4:$J$451,MATCH($O1077&amp;"|"&amp;$R1077&amp;"|"&amp;$AE1077,'ASIGNACIONES'!$N$4:$N$451,0)),""))=0,"",IFERROR(INDEX('ASIGNACIONES'!$J$4:$J$451,MATCH($O1077&amp;"|"&amp;$R1077&amp;"|"&amp;$AE1077,'ASIGNACIONES'!$N$4:$N$451,0)),"")))</f>
        <v/>
      </c>
      <c r="AG1077" s="14">
        <f>IF($AE1077="","",SUMIFS('ORDENES'!$M$4:$M$1203,'ORDENES'!$AE$4:$AE$1203,$AE1077,'ORDENES'!$O$4:$O$1203,$O1077,'ORDENES'!$R$4:$R$1203,$R1077))</f>
        <v/>
      </c>
      <c r="AH1077" s="14">
        <f>IF($AG1077="","",p_factor_productividad*IFERROR(INDEX('ASIGNACIONES'!$M$4:$M$451,MATCH($O1077&amp;"|"&amp;$R1077&amp;"|"&amp;$AE1077,'ASIGNACIONES'!$N$4:$N$451,0)),0)-$AG1077)</f>
        <v/>
      </c>
      <c r="AI1077" s="11">
        <f>IF($A1077="","",IFERROR(INDEX('2_IMPORTAR_EJECUCION'!$F$9:$F$1208,MATCH($AQ1077,'2_IMPORTAR_EJECUCION'!$J$9:$J$1208,0)),0))</f>
        <v/>
      </c>
      <c r="AJ1077" s="11">
        <f>IF($A1077="","",MAX(0,IFERROR(INDEX('2_IMPORTAR_EJECUCION'!$H$9:$H$1208,MATCH($AQ1077,'2_IMPORTAR_EJECUCION'!$J$9:$J$1208,0)),0)-$AI1077))</f>
        <v/>
      </c>
      <c r="AK1077" s="11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IF($H1078="","",IFERROR(INDEX('CAT_ACTIVIDADES'!$B$4:$B$8,MATCH($H1078,'CAT_ACTIVIDADES'!$A$4:$A$8,0)),"(sin catálogo)"))</f>
        <v/>
      </c>
      <c r="AA1078" s="13">
        <f>IF($J1078="","",TODAY()-$J1078)</f>
        <v/>
      </c>
      <c r="AB1078" s="13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J$4:$J$451,MATCH($O1078&amp;"|"&amp;$R1078&amp;"|"&amp;$AE1078,'ASIGNACIONES'!$N$4:$N$451,0)),""))=0,"",IFERROR(INDEX('ASIGNACIONES'!$J$4:$J$451,MATCH($O1078&amp;"|"&amp;$R1078&amp;"|"&amp;$AE1078,'ASIGNACIONES'!$N$4:$N$451,0)),"")))</f>
        <v/>
      </c>
      <c r="AG1078" s="14">
        <f>IF($AE1078="","",SUMIFS('ORDENES'!$M$4:$M$1203,'ORDENES'!$AE$4:$AE$1203,$AE1078,'ORDENES'!$O$4:$O$1203,$O1078,'ORDENES'!$R$4:$R$1203,$R1078))</f>
        <v/>
      </c>
      <c r="AH1078" s="14">
        <f>IF($AG1078="","",p_factor_productividad*IFERROR(INDEX('ASIGNACIONES'!$M$4:$M$451,MATCH($O1078&amp;"|"&amp;$R1078&amp;"|"&amp;$AE1078,'ASIGNACIONES'!$N$4:$N$451,0)),0)-$AG1078)</f>
        <v/>
      </c>
      <c r="AI1078" s="11">
        <f>IF($A1078="","",IFERROR(INDEX('2_IMPORTAR_EJECUCION'!$F$9:$F$1208,MATCH($AQ1078,'2_IMPORTAR_EJECUCION'!$J$9:$J$1208,0)),0))</f>
        <v/>
      </c>
      <c r="AJ1078" s="11">
        <f>IF($A1078="","",MAX(0,IFERROR(INDEX('2_IMPORTAR_EJECUCION'!$H$9:$H$1208,MATCH($AQ1078,'2_IMPORTAR_EJECUCION'!$J$9:$J$1208,0)),0)-$AI1078))</f>
        <v/>
      </c>
      <c r="AK1078" s="11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IF($H1079="","",IFERROR(INDEX('CAT_ACTIVIDADES'!$B$4:$B$8,MATCH($H1079,'CAT_ACTIVIDADES'!$A$4:$A$8,0)),"(sin catálogo)"))</f>
        <v/>
      </c>
      <c r="AA1079" s="13">
        <f>IF($J1079="","",TODAY()-$J1079)</f>
        <v/>
      </c>
      <c r="AB1079" s="13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J$4:$J$451,MATCH($O1079&amp;"|"&amp;$R1079&amp;"|"&amp;$AE1079,'ASIGNACIONES'!$N$4:$N$451,0)),""))=0,"",IFERROR(INDEX('ASIGNACIONES'!$J$4:$J$451,MATCH($O1079&amp;"|"&amp;$R1079&amp;"|"&amp;$AE1079,'ASIGNACIONES'!$N$4:$N$451,0)),"")))</f>
        <v/>
      </c>
      <c r="AG1079" s="14">
        <f>IF($AE1079="","",SUMIFS('ORDENES'!$M$4:$M$1203,'ORDENES'!$AE$4:$AE$1203,$AE1079,'ORDENES'!$O$4:$O$1203,$O1079,'ORDENES'!$R$4:$R$1203,$R1079))</f>
        <v/>
      </c>
      <c r="AH1079" s="14">
        <f>IF($AG1079="","",p_factor_productividad*IFERROR(INDEX('ASIGNACIONES'!$M$4:$M$451,MATCH($O1079&amp;"|"&amp;$R1079&amp;"|"&amp;$AE1079,'ASIGNACIONES'!$N$4:$N$451,0)),0)-$AG1079)</f>
        <v/>
      </c>
      <c r="AI1079" s="11">
        <f>IF($A1079="","",IFERROR(INDEX('2_IMPORTAR_EJECUCION'!$F$9:$F$1208,MATCH($AQ1079,'2_IMPORTAR_EJECUCION'!$J$9:$J$1208,0)),0))</f>
        <v/>
      </c>
      <c r="AJ1079" s="11">
        <f>IF($A1079="","",MAX(0,IFERROR(INDEX('2_IMPORTAR_EJECUCION'!$H$9:$H$1208,MATCH($AQ1079,'2_IMPORTAR_EJECUCION'!$J$9:$J$1208,0)),0)-$AI1079))</f>
        <v/>
      </c>
      <c r="AK1079" s="11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IF($H1080="","",IFERROR(INDEX('CAT_ACTIVIDADES'!$B$4:$B$8,MATCH($H1080,'CAT_ACTIVIDADES'!$A$4:$A$8,0)),"(sin catálogo)"))</f>
        <v/>
      </c>
      <c r="AA1080" s="13">
        <f>IF($J1080="","",TODAY()-$J1080)</f>
        <v/>
      </c>
      <c r="AB1080" s="13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J$4:$J$451,MATCH($O1080&amp;"|"&amp;$R1080&amp;"|"&amp;$AE1080,'ASIGNACIONES'!$N$4:$N$451,0)),""))=0,"",IFERROR(INDEX('ASIGNACIONES'!$J$4:$J$451,MATCH($O1080&amp;"|"&amp;$R1080&amp;"|"&amp;$AE1080,'ASIGNACIONES'!$N$4:$N$451,0)),"")))</f>
        <v/>
      </c>
      <c r="AG1080" s="14">
        <f>IF($AE1080="","",SUMIFS('ORDENES'!$M$4:$M$1203,'ORDENES'!$AE$4:$AE$1203,$AE1080,'ORDENES'!$O$4:$O$1203,$O1080,'ORDENES'!$R$4:$R$1203,$R1080))</f>
        <v/>
      </c>
      <c r="AH1080" s="14">
        <f>IF($AG1080="","",p_factor_productividad*IFERROR(INDEX('ASIGNACIONES'!$M$4:$M$451,MATCH($O1080&amp;"|"&amp;$R1080&amp;"|"&amp;$AE1080,'ASIGNACIONES'!$N$4:$N$451,0)),0)-$AG1080)</f>
        <v/>
      </c>
      <c r="AI1080" s="11">
        <f>IF($A1080="","",IFERROR(INDEX('2_IMPORTAR_EJECUCION'!$F$9:$F$1208,MATCH($AQ1080,'2_IMPORTAR_EJECUCION'!$J$9:$J$1208,0)),0))</f>
        <v/>
      </c>
      <c r="AJ1080" s="11">
        <f>IF($A1080="","",MAX(0,IFERROR(INDEX('2_IMPORTAR_EJECUCION'!$H$9:$H$1208,MATCH($AQ1080,'2_IMPORTAR_EJECUCION'!$J$9:$J$1208,0)),0)-$AI1080))</f>
        <v/>
      </c>
      <c r="AK1080" s="11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IF($H1081="","",IFERROR(INDEX('CAT_ACTIVIDADES'!$B$4:$B$8,MATCH($H1081,'CAT_ACTIVIDADES'!$A$4:$A$8,0)),"(sin catálogo)"))</f>
        <v/>
      </c>
      <c r="AA1081" s="13">
        <f>IF($J1081="","",TODAY()-$J1081)</f>
        <v/>
      </c>
      <c r="AB1081" s="13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J$4:$J$451,MATCH($O1081&amp;"|"&amp;$R1081&amp;"|"&amp;$AE1081,'ASIGNACIONES'!$N$4:$N$451,0)),""))=0,"",IFERROR(INDEX('ASIGNACIONES'!$J$4:$J$451,MATCH($O1081&amp;"|"&amp;$R1081&amp;"|"&amp;$AE1081,'ASIGNACIONES'!$N$4:$N$451,0)),"")))</f>
        <v/>
      </c>
      <c r="AG1081" s="14">
        <f>IF($AE1081="","",SUMIFS('ORDENES'!$M$4:$M$1203,'ORDENES'!$AE$4:$AE$1203,$AE1081,'ORDENES'!$O$4:$O$1203,$O1081,'ORDENES'!$R$4:$R$1203,$R1081))</f>
        <v/>
      </c>
      <c r="AH1081" s="14">
        <f>IF($AG1081="","",p_factor_productividad*IFERROR(INDEX('ASIGNACIONES'!$M$4:$M$451,MATCH($O1081&amp;"|"&amp;$R1081&amp;"|"&amp;$AE1081,'ASIGNACIONES'!$N$4:$N$451,0)),0)-$AG1081)</f>
        <v/>
      </c>
      <c r="AI1081" s="11">
        <f>IF($A1081="","",IFERROR(INDEX('2_IMPORTAR_EJECUCION'!$F$9:$F$1208,MATCH($AQ1081,'2_IMPORTAR_EJECUCION'!$J$9:$J$1208,0)),0))</f>
        <v/>
      </c>
      <c r="AJ1081" s="11">
        <f>IF($A1081="","",MAX(0,IFERROR(INDEX('2_IMPORTAR_EJECUCION'!$H$9:$H$1208,MATCH($AQ1081,'2_IMPORTAR_EJECUCION'!$J$9:$J$1208,0)),0)-$AI1081))</f>
        <v/>
      </c>
      <c r="AK1081" s="11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IF($H1082="","",IFERROR(INDEX('CAT_ACTIVIDADES'!$B$4:$B$8,MATCH($H1082,'CAT_ACTIVIDADES'!$A$4:$A$8,0)),"(sin catálogo)"))</f>
        <v/>
      </c>
      <c r="AA1082" s="13">
        <f>IF($J1082="","",TODAY()-$J1082)</f>
        <v/>
      </c>
      <c r="AB1082" s="13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J$4:$J$451,MATCH($O1082&amp;"|"&amp;$R1082&amp;"|"&amp;$AE1082,'ASIGNACIONES'!$N$4:$N$451,0)),""))=0,"",IFERROR(INDEX('ASIGNACIONES'!$J$4:$J$451,MATCH($O1082&amp;"|"&amp;$R1082&amp;"|"&amp;$AE1082,'ASIGNACIONES'!$N$4:$N$451,0)),"")))</f>
        <v/>
      </c>
      <c r="AG1082" s="14">
        <f>IF($AE1082="","",SUMIFS('ORDENES'!$M$4:$M$1203,'ORDENES'!$AE$4:$AE$1203,$AE1082,'ORDENES'!$O$4:$O$1203,$O1082,'ORDENES'!$R$4:$R$1203,$R1082))</f>
        <v/>
      </c>
      <c r="AH1082" s="14">
        <f>IF($AG1082="","",p_factor_productividad*IFERROR(INDEX('ASIGNACIONES'!$M$4:$M$451,MATCH($O1082&amp;"|"&amp;$R1082&amp;"|"&amp;$AE1082,'ASIGNACIONES'!$N$4:$N$451,0)),0)-$AG1082)</f>
        <v/>
      </c>
      <c r="AI1082" s="11">
        <f>IF($A1082="","",IFERROR(INDEX('2_IMPORTAR_EJECUCION'!$F$9:$F$1208,MATCH($AQ1082,'2_IMPORTAR_EJECUCION'!$J$9:$J$1208,0)),0))</f>
        <v/>
      </c>
      <c r="AJ1082" s="11">
        <f>IF($A1082="","",MAX(0,IFERROR(INDEX('2_IMPORTAR_EJECUCION'!$H$9:$H$1208,MATCH($AQ1082,'2_IMPORTAR_EJECUCION'!$J$9:$J$1208,0)),0)-$AI1082))</f>
        <v/>
      </c>
      <c r="AK1082" s="11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IF($H1083="","",IFERROR(INDEX('CAT_ACTIVIDADES'!$B$4:$B$8,MATCH($H1083,'CAT_ACTIVIDADES'!$A$4:$A$8,0)),"(sin catálogo)"))</f>
        <v/>
      </c>
      <c r="AA1083" s="13">
        <f>IF($J1083="","",TODAY()-$J1083)</f>
        <v/>
      </c>
      <c r="AB1083" s="13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J$4:$J$451,MATCH($O1083&amp;"|"&amp;$R1083&amp;"|"&amp;$AE1083,'ASIGNACIONES'!$N$4:$N$451,0)),""))=0,"",IFERROR(INDEX('ASIGNACIONES'!$J$4:$J$451,MATCH($O1083&amp;"|"&amp;$R1083&amp;"|"&amp;$AE1083,'ASIGNACIONES'!$N$4:$N$451,0)),"")))</f>
        <v/>
      </c>
      <c r="AG1083" s="14">
        <f>IF($AE1083="","",SUMIFS('ORDENES'!$M$4:$M$1203,'ORDENES'!$AE$4:$AE$1203,$AE1083,'ORDENES'!$O$4:$O$1203,$O1083,'ORDENES'!$R$4:$R$1203,$R1083))</f>
        <v/>
      </c>
      <c r="AH1083" s="14">
        <f>IF($AG1083="","",p_factor_productividad*IFERROR(INDEX('ASIGNACIONES'!$M$4:$M$451,MATCH($O1083&amp;"|"&amp;$R1083&amp;"|"&amp;$AE1083,'ASIGNACIONES'!$N$4:$N$451,0)),0)-$AG1083)</f>
        <v/>
      </c>
      <c r="AI1083" s="11">
        <f>IF($A1083="","",IFERROR(INDEX('2_IMPORTAR_EJECUCION'!$F$9:$F$1208,MATCH($AQ1083,'2_IMPORTAR_EJECUCION'!$J$9:$J$1208,0)),0))</f>
        <v/>
      </c>
      <c r="AJ1083" s="11">
        <f>IF($A1083="","",MAX(0,IFERROR(INDEX('2_IMPORTAR_EJECUCION'!$H$9:$H$1208,MATCH($AQ1083,'2_IMPORTAR_EJECUCION'!$J$9:$J$1208,0)),0)-$AI1083))</f>
        <v/>
      </c>
      <c r="AK1083" s="11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IF($H1084="","",IFERROR(INDEX('CAT_ACTIVIDADES'!$B$4:$B$8,MATCH($H1084,'CAT_ACTIVIDADES'!$A$4:$A$8,0)),"(sin catálogo)"))</f>
        <v/>
      </c>
      <c r="AA1084" s="13">
        <f>IF($J1084="","",TODAY()-$J1084)</f>
        <v/>
      </c>
      <c r="AB1084" s="13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J$4:$J$451,MATCH($O1084&amp;"|"&amp;$R1084&amp;"|"&amp;$AE1084,'ASIGNACIONES'!$N$4:$N$451,0)),""))=0,"",IFERROR(INDEX('ASIGNACIONES'!$J$4:$J$451,MATCH($O1084&amp;"|"&amp;$R1084&amp;"|"&amp;$AE1084,'ASIGNACIONES'!$N$4:$N$451,0)),"")))</f>
        <v/>
      </c>
      <c r="AG1084" s="14">
        <f>IF($AE1084="","",SUMIFS('ORDENES'!$M$4:$M$1203,'ORDENES'!$AE$4:$AE$1203,$AE1084,'ORDENES'!$O$4:$O$1203,$O1084,'ORDENES'!$R$4:$R$1203,$R1084))</f>
        <v/>
      </c>
      <c r="AH1084" s="14">
        <f>IF($AG1084="","",p_factor_productividad*IFERROR(INDEX('ASIGNACIONES'!$M$4:$M$451,MATCH($O1084&amp;"|"&amp;$R1084&amp;"|"&amp;$AE1084,'ASIGNACIONES'!$N$4:$N$451,0)),0)-$AG1084)</f>
        <v/>
      </c>
      <c r="AI1084" s="11">
        <f>IF($A1084="","",IFERROR(INDEX('2_IMPORTAR_EJECUCION'!$F$9:$F$1208,MATCH($AQ1084,'2_IMPORTAR_EJECUCION'!$J$9:$J$1208,0)),0))</f>
        <v/>
      </c>
      <c r="AJ1084" s="11">
        <f>IF($A1084="","",MAX(0,IFERROR(INDEX('2_IMPORTAR_EJECUCION'!$H$9:$H$1208,MATCH($AQ1084,'2_IMPORTAR_EJECUCION'!$J$9:$J$1208,0)),0)-$AI1084))</f>
        <v/>
      </c>
      <c r="AK1084" s="11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IF($H1085="","",IFERROR(INDEX('CAT_ACTIVIDADES'!$B$4:$B$8,MATCH($H1085,'CAT_ACTIVIDADES'!$A$4:$A$8,0)),"(sin catálogo)"))</f>
        <v/>
      </c>
      <c r="AA1085" s="13">
        <f>IF($J1085="","",TODAY()-$J1085)</f>
        <v/>
      </c>
      <c r="AB1085" s="13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J$4:$J$451,MATCH($O1085&amp;"|"&amp;$R1085&amp;"|"&amp;$AE1085,'ASIGNACIONES'!$N$4:$N$451,0)),""))=0,"",IFERROR(INDEX('ASIGNACIONES'!$J$4:$J$451,MATCH($O1085&amp;"|"&amp;$R1085&amp;"|"&amp;$AE1085,'ASIGNACIONES'!$N$4:$N$451,0)),"")))</f>
        <v/>
      </c>
      <c r="AG1085" s="14">
        <f>IF($AE1085="","",SUMIFS('ORDENES'!$M$4:$M$1203,'ORDENES'!$AE$4:$AE$1203,$AE1085,'ORDENES'!$O$4:$O$1203,$O1085,'ORDENES'!$R$4:$R$1203,$R1085))</f>
        <v/>
      </c>
      <c r="AH1085" s="14">
        <f>IF($AG1085="","",p_factor_productividad*IFERROR(INDEX('ASIGNACIONES'!$M$4:$M$451,MATCH($O1085&amp;"|"&amp;$R1085&amp;"|"&amp;$AE1085,'ASIGNACIONES'!$N$4:$N$451,0)),0)-$AG1085)</f>
        <v/>
      </c>
      <c r="AI1085" s="11">
        <f>IF($A1085="","",IFERROR(INDEX('2_IMPORTAR_EJECUCION'!$F$9:$F$1208,MATCH($AQ1085,'2_IMPORTAR_EJECUCION'!$J$9:$J$1208,0)),0))</f>
        <v/>
      </c>
      <c r="AJ1085" s="11">
        <f>IF($A1085="","",MAX(0,IFERROR(INDEX('2_IMPORTAR_EJECUCION'!$H$9:$H$1208,MATCH($AQ1085,'2_IMPORTAR_EJECUCION'!$J$9:$J$1208,0)),0)-$AI1085))</f>
        <v/>
      </c>
      <c r="AK1085" s="11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IF($H1086="","",IFERROR(INDEX('CAT_ACTIVIDADES'!$B$4:$B$8,MATCH($H1086,'CAT_ACTIVIDADES'!$A$4:$A$8,0)),"(sin catálogo)"))</f>
        <v/>
      </c>
      <c r="AA1086" s="13">
        <f>IF($J1086="","",TODAY()-$J1086)</f>
        <v/>
      </c>
      <c r="AB1086" s="13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J$4:$J$451,MATCH($O1086&amp;"|"&amp;$R1086&amp;"|"&amp;$AE1086,'ASIGNACIONES'!$N$4:$N$451,0)),""))=0,"",IFERROR(INDEX('ASIGNACIONES'!$J$4:$J$451,MATCH($O1086&amp;"|"&amp;$R1086&amp;"|"&amp;$AE1086,'ASIGNACIONES'!$N$4:$N$451,0)),"")))</f>
        <v/>
      </c>
      <c r="AG1086" s="14">
        <f>IF($AE1086="","",SUMIFS('ORDENES'!$M$4:$M$1203,'ORDENES'!$AE$4:$AE$1203,$AE1086,'ORDENES'!$O$4:$O$1203,$O1086,'ORDENES'!$R$4:$R$1203,$R1086))</f>
        <v/>
      </c>
      <c r="AH1086" s="14">
        <f>IF($AG1086="","",p_factor_productividad*IFERROR(INDEX('ASIGNACIONES'!$M$4:$M$451,MATCH($O1086&amp;"|"&amp;$R1086&amp;"|"&amp;$AE1086,'ASIGNACIONES'!$N$4:$N$451,0)),0)-$AG1086)</f>
        <v/>
      </c>
      <c r="AI1086" s="11">
        <f>IF($A1086="","",IFERROR(INDEX('2_IMPORTAR_EJECUCION'!$F$9:$F$1208,MATCH($AQ1086,'2_IMPORTAR_EJECUCION'!$J$9:$J$1208,0)),0))</f>
        <v/>
      </c>
      <c r="AJ1086" s="11">
        <f>IF($A1086="","",MAX(0,IFERROR(INDEX('2_IMPORTAR_EJECUCION'!$H$9:$H$1208,MATCH($AQ1086,'2_IMPORTAR_EJECUCION'!$J$9:$J$1208,0)),0)-$AI1086))</f>
        <v/>
      </c>
      <c r="AK1086" s="11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IF($H1087="","",IFERROR(INDEX('CAT_ACTIVIDADES'!$B$4:$B$8,MATCH($H1087,'CAT_ACTIVIDADES'!$A$4:$A$8,0)),"(sin catálogo)"))</f>
        <v/>
      </c>
      <c r="AA1087" s="13">
        <f>IF($J1087="","",TODAY()-$J1087)</f>
        <v/>
      </c>
      <c r="AB1087" s="13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J$4:$J$451,MATCH($O1087&amp;"|"&amp;$R1087&amp;"|"&amp;$AE1087,'ASIGNACIONES'!$N$4:$N$451,0)),""))=0,"",IFERROR(INDEX('ASIGNACIONES'!$J$4:$J$451,MATCH($O1087&amp;"|"&amp;$R1087&amp;"|"&amp;$AE1087,'ASIGNACIONES'!$N$4:$N$451,0)),"")))</f>
        <v/>
      </c>
      <c r="AG1087" s="14">
        <f>IF($AE1087="","",SUMIFS('ORDENES'!$M$4:$M$1203,'ORDENES'!$AE$4:$AE$1203,$AE1087,'ORDENES'!$O$4:$O$1203,$O1087,'ORDENES'!$R$4:$R$1203,$R1087))</f>
        <v/>
      </c>
      <c r="AH1087" s="14">
        <f>IF($AG1087="","",p_factor_productividad*IFERROR(INDEX('ASIGNACIONES'!$M$4:$M$451,MATCH($O1087&amp;"|"&amp;$R1087&amp;"|"&amp;$AE1087,'ASIGNACIONES'!$N$4:$N$451,0)),0)-$AG1087)</f>
        <v/>
      </c>
      <c r="AI1087" s="11">
        <f>IF($A1087="","",IFERROR(INDEX('2_IMPORTAR_EJECUCION'!$F$9:$F$1208,MATCH($AQ1087,'2_IMPORTAR_EJECUCION'!$J$9:$J$1208,0)),0))</f>
        <v/>
      </c>
      <c r="AJ1087" s="11">
        <f>IF($A1087="","",MAX(0,IFERROR(INDEX('2_IMPORTAR_EJECUCION'!$H$9:$H$1208,MATCH($AQ1087,'2_IMPORTAR_EJECUCION'!$J$9:$J$1208,0)),0)-$AI1087))</f>
        <v/>
      </c>
      <c r="AK1087" s="11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IF($H1088="","",IFERROR(INDEX('CAT_ACTIVIDADES'!$B$4:$B$8,MATCH($H1088,'CAT_ACTIVIDADES'!$A$4:$A$8,0)),"(sin catálogo)"))</f>
        <v/>
      </c>
      <c r="AA1088" s="13">
        <f>IF($J1088="","",TODAY()-$J1088)</f>
        <v/>
      </c>
      <c r="AB1088" s="13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J$4:$J$451,MATCH($O1088&amp;"|"&amp;$R1088&amp;"|"&amp;$AE1088,'ASIGNACIONES'!$N$4:$N$451,0)),""))=0,"",IFERROR(INDEX('ASIGNACIONES'!$J$4:$J$451,MATCH($O1088&amp;"|"&amp;$R1088&amp;"|"&amp;$AE1088,'ASIGNACIONES'!$N$4:$N$451,0)),"")))</f>
        <v/>
      </c>
      <c r="AG1088" s="14">
        <f>IF($AE1088="","",SUMIFS('ORDENES'!$M$4:$M$1203,'ORDENES'!$AE$4:$AE$1203,$AE1088,'ORDENES'!$O$4:$O$1203,$O1088,'ORDENES'!$R$4:$R$1203,$R1088))</f>
        <v/>
      </c>
      <c r="AH1088" s="14">
        <f>IF($AG1088="","",p_factor_productividad*IFERROR(INDEX('ASIGNACIONES'!$M$4:$M$451,MATCH($O1088&amp;"|"&amp;$R1088&amp;"|"&amp;$AE1088,'ASIGNACIONES'!$N$4:$N$451,0)),0)-$AG1088)</f>
        <v/>
      </c>
      <c r="AI1088" s="11">
        <f>IF($A1088="","",IFERROR(INDEX('2_IMPORTAR_EJECUCION'!$F$9:$F$1208,MATCH($AQ1088,'2_IMPORTAR_EJECUCION'!$J$9:$J$1208,0)),0))</f>
        <v/>
      </c>
      <c r="AJ1088" s="11">
        <f>IF($A1088="","",MAX(0,IFERROR(INDEX('2_IMPORTAR_EJECUCION'!$H$9:$H$1208,MATCH($AQ1088,'2_IMPORTAR_EJECUCION'!$J$9:$J$1208,0)),0)-$AI1088))</f>
        <v/>
      </c>
      <c r="AK1088" s="11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IF($H1089="","",IFERROR(INDEX('CAT_ACTIVIDADES'!$B$4:$B$8,MATCH($H1089,'CAT_ACTIVIDADES'!$A$4:$A$8,0)),"(sin catálogo)"))</f>
        <v/>
      </c>
      <c r="AA1089" s="13">
        <f>IF($J1089="","",TODAY()-$J1089)</f>
        <v/>
      </c>
      <c r="AB1089" s="13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J$4:$J$451,MATCH($O1089&amp;"|"&amp;$R1089&amp;"|"&amp;$AE1089,'ASIGNACIONES'!$N$4:$N$451,0)),""))=0,"",IFERROR(INDEX('ASIGNACIONES'!$J$4:$J$451,MATCH($O1089&amp;"|"&amp;$R1089&amp;"|"&amp;$AE1089,'ASIGNACIONES'!$N$4:$N$451,0)),"")))</f>
        <v/>
      </c>
      <c r="AG1089" s="14">
        <f>IF($AE1089="","",SUMIFS('ORDENES'!$M$4:$M$1203,'ORDENES'!$AE$4:$AE$1203,$AE1089,'ORDENES'!$O$4:$O$1203,$O1089,'ORDENES'!$R$4:$R$1203,$R1089))</f>
        <v/>
      </c>
      <c r="AH1089" s="14">
        <f>IF($AG1089="","",p_factor_productividad*IFERROR(INDEX('ASIGNACIONES'!$M$4:$M$451,MATCH($O1089&amp;"|"&amp;$R1089&amp;"|"&amp;$AE1089,'ASIGNACIONES'!$N$4:$N$451,0)),0)-$AG1089)</f>
        <v/>
      </c>
      <c r="AI1089" s="11">
        <f>IF($A1089="","",IFERROR(INDEX('2_IMPORTAR_EJECUCION'!$F$9:$F$1208,MATCH($AQ1089,'2_IMPORTAR_EJECUCION'!$J$9:$J$1208,0)),0))</f>
        <v/>
      </c>
      <c r="AJ1089" s="11">
        <f>IF($A1089="","",MAX(0,IFERROR(INDEX('2_IMPORTAR_EJECUCION'!$H$9:$H$1208,MATCH($AQ1089,'2_IMPORTAR_EJECUCION'!$J$9:$J$1208,0)),0)-$AI1089))</f>
        <v/>
      </c>
      <c r="AK1089" s="11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IF($H1090="","",IFERROR(INDEX('CAT_ACTIVIDADES'!$B$4:$B$8,MATCH($H1090,'CAT_ACTIVIDADES'!$A$4:$A$8,0)),"(sin catálogo)"))</f>
        <v/>
      </c>
      <c r="AA1090" s="13">
        <f>IF($J1090="","",TODAY()-$J1090)</f>
        <v/>
      </c>
      <c r="AB1090" s="13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J$4:$J$451,MATCH($O1090&amp;"|"&amp;$R1090&amp;"|"&amp;$AE1090,'ASIGNACIONES'!$N$4:$N$451,0)),""))=0,"",IFERROR(INDEX('ASIGNACIONES'!$J$4:$J$451,MATCH($O1090&amp;"|"&amp;$R1090&amp;"|"&amp;$AE1090,'ASIGNACIONES'!$N$4:$N$451,0)),"")))</f>
        <v/>
      </c>
      <c r="AG1090" s="14">
        <f>IF($AE1090="","",SUMIFS('ORDENES'!$M$4:$M$1203,'ORDENES'!$AE$4:$AE$1203,$AE1090,'ORDENES'!$O$4:$O$1203,$O1090,'ORDENES'!$R$4:$R$1203,$R1090))</f>
        <v/>
      </c>
      <c r="AH1090" s="14">
        <f>IF($AG1090="","",p_factor_productividad*IFERROR(INDEX('ASIGNACIONES'!$M$4:$M$451,MATCH($O1090&amp;"|"&amp;$R1090&amp;"|"&amp;$AE1090,'ASIGNACIONES'!$N$4:$N$451,0)),0)-$AG1090)</f>
        <v/>
      </c>
      <c r="AI1090" s="11">
        <f>IF($A1090="","",IFERROR(INDEX('2_IMPORTAR_EJECUCION'!$F$9:$F$1208,MATCH($AQ1090,'2_IMPORTAR_EJECUCION'!$J$9:$J$1208,0)),0))</f>
        <v/>
      </c>
      <c r="AJ1090" s="11">
        <f>IF($A1090="","",MAX(0,IFERROR(INDEX('2_IMPORTAR_EJECUCION'!$H$9:$H$1208,MATCH($AQ1090,'2_IMPORTAR_EJECUCION'!$J$9:$J$1208,0)),0)-$AI1090))</f>
        <v/>
      </c>
      <c r="AK1090" s="11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IF($H1091="","",IFERROR(INDEX('CAT_ACTIVIDADES'!$B$4:$B$8,MATCH($H1091,'CAT_ACTIVIDADES'!$A$4:$A$8,0)),"(sin catálogo)"))</f>
        <v/>
      </c>
      <c r="AA1091" s="13">
        <f>IF($J1091="","",TODAY()-$J1091)</f>
        <v/>
      </c>
      <c r="AB1091" s="13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J$4:$J$451,MATCH($O1091&amp;"|"&amp;$R1091&amp;"|"&amp;$AE1091,'ASIGNACIONES'!$N$4:$N$451,0)),""))=0,"",IFERROR(INDEX('ASIGNACIONES'!$J$4:$J$451,MATCH($O1091&amp;"|"&amp;$R1091&amp;"|"&amp;$AE1091,'ASIGNACIONES'!$N$4:$N$451,0)),"")))</f>
        <v/>
      </c>
      <c r="AG1091" s="14">
        <f>IF($AE1091="","",SUMIFS('ORDENES'!$M$4:$M$1203,'ORDENES'!$AE$4:$AE$1203,$AE1091,'ORDENES'!$O$4:$O$1203,$O1091,'ORDENES'!$R$4:$R$1203,$R1091))</f>
        <v/>
      </c>
      <c r="AH1091" s="14">
        <f>IF($AG1091="","",p_factor_productividad*IFERROR(INDEX('ASIGNACIONES'!$M$4:$M$451,MATCH($O1091&amp;"|"&amp;$R1091&amp;"|"&amp;$AE1091,'ASIGNACIONES'!$N$4:$N$451,0)),0)-$AG1091)</f>
        <v/>
      </c>
      <c r="AI1091" s="11">
        <f>IF($A1091="","",IFERROR(INDEX('2_IMPORTAR_EJECUCION'!$F$9:$F$1208,MATCH($AQ1091,'2_IMPORTAR_EJECUCION'!$J$9:$J$1208,0)),0))</f>
        <v/>
      </c>
      <c r="AJ1091" s="11">
        <f>IF($A1091="","",MAX(0,IFERROR(INDEX('2_IMPORTAR_EJECUCION'!$H$9:$H$1208,MATCH($AQ1091,'2_IMPORTAR_EJECUCION'!$J$9:$J$1208,0)),0)-$AI1091))</f>
        <v/>
      </c>
      <c r="AK1091" s="11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IF($H1092="","",IFERROR(INDEX('CAT_ACTIVIDADES'!$B$4:$B$8,MATCH($H1092,'CAT_ACTIVIDADES'!$A$4:$A$8,0)),"(sin catálogo)"))</f>
        <v/>
      </c>
      <c r="AA1092" s="13">
        <f>IF($J1092="","",TODAY()-$J1092)</f>
        <v/>
      </c>
      <c r="AB1092" s="13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J$4:$J$451,MATCH($O1092&amp;"|"&amp;$R1092&amp;"|"&amp;$AE1092,'ASIGNACIONES'!$N$4:$N$451,0)),""))=0,"",IFERROR(INDEX('ASIGNACIONES'!$J$4:$J$451,MATCH($O1092&amp;"|"&amp;$R1092&amp;"|"&amp;$AE1092,'ASIGNACIONES'!$N$4:$N$451,0)),"")))</f>
        <v/>
      </c>
      <c r="AG1092" s="14">
        <f>IF($AE1092="","",SUMIFS('ORDENES'!$M$4:$M$1203,'ORDENES'!$AE$4:$AE$1203,$AE1092,'ORDENES'!$O$4:$O$1203,$O1092,'ORDENES'!$R$4:$R$1203,$R1092))</f>
        <v/>
      </c>
      <c r="AH1092" s="14">
        <f>IF($AG1092="","",p_factor_productividad*IFERROR(INDEX('ASIGNACIONES'!$M$4:$M$451,MATCH($O1092&amp;"|"&amp;$R1092&amp;"|"&amp;$AE1092,'ASIGNACIONES'!$N$4:$N$451,0)),0)-$AG1092)</f>
        <v/>
      </c>
      <c r="AI1092" s="11">
        <f>IF($A1092="","",IFERROR(INDEX('2_IMPORTAR_EJECUCION'!$F$9:$F$1208,MATCH($AQ1092,'2_IMPORTAR_EJECUCION'!$J$9:$J$1208,0)),0))</f>
        <v/>
      </c>
      <c r="AJ1092" s="11">
        <f>IF($A1092="","",MAX(0,IFERROR(INDEX('2_IMPORTAR_EJECUCION'!$H$9:$H$1208,MATCH($AQ1092,'2_IMPORTAR_EJECUCION'!$J$9:$J$1208,0)),0)-$AI1092))</f>
        <v/>
      </c>
      <c r="AK1092" s="11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IF($H1093="","",IFERROR(INDEX('CAT_ACTIVIDADES'!$B$4:$B$8,MATCH($H1093,'CAT_ACTIVIDADES'!$A$4:$A$8,0)),"(sin catálogo)"))</f>
        <v/>
      </c>
      <c r="AA1093" s="13">
        <f>IF($J1093="","",TODAY()-$J1093)</f>
        <v/>
      </c>
      <c r="AB1093" s="13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J$4:$J$451,MATCH($O1093&amp;"|"&amp;$R1093&amp;"|"&amp;$AE1093,'ASIGNACIONES'!$N$4:$N$451,0)),""))=0,"",IFERROR(INDEX('ASIGNACIONES'!$J$4:$J$451,MATCH($O1093&amp;"|"&amp;$R1093&amp;"|"&amp;$AE1093,'ASIGNACIONES'!$N$4:$N$451,0)),"")))</f>
        <v/>
      </c>
      <c r="AG1093" s="14">
        <f>IF($AE1093="","",SUMIFS('ORDENES'!$M$4:$M$1203,'ORDENES'!$AE$4:$AE$1203,$AE1093,'ORDENES'!$O$4:$O$1203,$O1093,'ORDENES'!$R$4:$R$1203,$R1093))</f>
        <v/>
      </c>
      <c r="AH1093" s="14">
        <f>IF($AG1093="","",p_factor_productividad*IFERROR(INDEX('ASIGNACIONES'!$M$4:$M$451,MATCH($O1093&amp;"|"&amp;$R1093&amp;"|"&amp;$AE1093,'ASIGNACIONES'!$N$4:$N$451,0)),0)-$AG1093)</f>
        <v/>
      </c>
      <c r="AI1093" s="11">
        <f>IF($A1093="","",IFERROR(INDEX('2_IMPORTAR_EJECUCION'!$F$9:$F$1208,MATCH($AQ1093,'2_IMPORTAR_EJECUCION'!$J$9:$J$1208,0)),0))</f>
        <v/>
      </c>
      <c r="AJ1093" s="11">
        <f>IF($A1093="","",MAX(0,IFERROR(INDEX('2_IMPORTAR_EJECUCION'!$H$9:$H$1208,MATCH($AQ1093,'2_IMPORTAR_EJECUCION'!$J$9:$J$1208,0)),0)-$AI1093))</f>
        <v/>
      </c>
      <c r="AK1093" s="11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IF($H1094="","",IFERROR(INDEX('CAT_ACTIVIDADES'!$B$4:$B$8,MATCH($H1094,'CAT_ACTIVIDADES'!$A$4:$A$8,0)),"(sin catálogo)"))</f>
        <v/>
      </c>
      <c r="AA1094" s="13">
        <f>IF($J1094="","",TODAY()-$J1094)</f>
        <v/>
      </c>
      <c r="AB1094" s="13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J$4:$J$451,MATCH($O1094&amp;"|"&amp;$R1094&amp;"|"&amp;$AE1094,'ASIGNACIONES'!$N$4:$N$451,0)),""))=0,"",IFERROR(INDEX('ASIGNACIONES'!$J$4:$J$451,MATCH($O1094&amp;"|"&amp;$R1094&amp;"|"&amp;$AE1094,'ASIGNACIONES'!$N$4:$N$451,0)),"")))</f>
        <v/>
      </c>
      <c r="AG1094" s="14">
        <f>IF($AE1094="","",SUMIFS('ORDENES'!$M$4:$M$1203,'ORDENES'!$AE$4:$AE$1203,$AE1094,'ORDENES'!$O$4:$O$1203,$O1094,'ORDENES'!$R$4:$R$1203,$R1094))</f>
        <v/>
      </c>
      <c r="AH1094" s="14">
        <f>IF($AG1094="","",p_factor_productividad*IFERROR(INDEX('ASIGNACIONES'!$M$4:$M$451,MATCH($O1094&amp;"|"&amp;$R1094&amp;"|"&amp;$AE1094,'ASIGNACIONES'!$N$4:$N$451,0)),0)-$AG1094)</f>
        <v/>
      </c>
      <c r="AI1094" s="11">
        <f>IF($A1094="","",IFERROR(INDEX('2_IMPORTAR_EJECUCION'!$F$9:$F$1208,MATCH($AQ1094,'2_IMPORTAR_EJECUCION'!$J$9:$J$1208,0)),0))</f>
        <v/>
      </c>
      <c r="AJ1094" s="11">
        <f>IF($A1094="","",MAX(0,IFERROR(INDEX('2_IMPORTAR_EJECUCION'!$H$9:$H$1208,MATCH($AQ1094,'2_IMPORTAR_EJECUCION'!$J$9:$J$1208,0)),0)-$AI1094))</f>
        <v/>
      </c>
      <c r="AK1094" s="11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IF($H1095="","",IFERROR(INDEX('CAT_ACTIVIDADES'!$B$4:$B$8,MATCH($H1095,'CAT_ACTIVIDADES'!$A$4:$A$8,0)),"(sin catálogo)"))</f>
        <v/>
      </c>
      <c r="AA1095" s="13">
        <f>IF($J1095="","",TODAY()-$J1095)</f>
        <v/>
      </c>
      <c r="AB1095" s="13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J$4:$J$451,MATCH($O1095&amp;"|"&amp;$R1095&amp;"|"&amp;$AE1095,'ASIGNACIONES'!$N$4:$N$451,0)),""))=0,"",IFERROR(INDEX('ASIGNACIONES'!$J$4:$J$451,MATCH($O1095&amp;"|"&amp;$R1095&amp;"|"&amp;$AE1095,'ASIGNACIONES'!$N$4:$N$451,0)),"")))</f>
        <v/>
      </c>
      <c r="AG1095" s="14">
        <f>IF($AE1095="","",SUMIFS('ORDENES'!$M$4:$M$1203,'ORDENES'!$AE$4:$AE$1203,$AE1095,'ORDENES'!$O$4:$O$1203,$O1095,'ORDENES'!$R$4:$R$1203,$R1095))</f>
        <v/>
      </c>
      <c r="AH1095" s="14">
        <f>IF($AG1095="","",p_factor_productividad*IFERROR(INDEX('ASIGNACIONES'!$M$4:$M$451,MATCH($O1095&amp;"|"&amp;$R1095&amp;"|"&amp;$AE1095,'ASIGNACIONES'!$N$4:$N$451,0)),0)-$AG1095)</f>
        <v/>
      </c>
      <c r="AI1095" s="11">
        <f>IF($A1095="","",IFERROR(INDEX('2_IMPORTAR_EJECUCION'!$F$9:$F$1208,MATCH($AQ1095,'2_IMPORTAR_EJECUCION'!$J$9:$J$1208,0)),0))</f>
        <v/>
      </c>
      <c r="AJ1095" s="11">
        <f>IF($A1095="","",MAX(0,IFERROR(INDEX('2_IMPORTAR_EJECUCION'!$H$9:$H$1208,MATCH($AQ1095,'2_IMPORTAR_EJECUCION'!$J$9:$J$1208,0)),0)-$AI1095))</f>
        <v/>
      </c>
      <c r="AK1095" s="11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IF($H1096="","",IFERROR(INDEX('CAT_ACTIVIDADES'!$B$4:$B$8,MATCH($H1096,'CAT_ACTIVIDADES'!$A$4:$A$8,0)),"(sin catálogo)"))</f>
        <v/>
      </c>
      <c r="AA1096" s="13">
        <f>IF($J1096="","",TODAY()-$J1096)</f>
        <v/>
      </c>
      <c r="AB1096" s="13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J$4:$J$451,MATCH($O1096&amp;"|"&amp;$R1096&amp;"|"&amp;$AE1096,'ASIGNACIONES'!$N$4:$N$451,0)),""))=0,"",IFERROR(INDEX('ASIGNACIONES'!$J$4:$J$451,MATCH($O1096&amp;"|"&amp;$R1096&amp;"|"&amp;$AE1096,'ASIGNACIONES'!$N$4:$N$451,0)),"")))</f>
        <v/>
      </c>
      <c r="AG1096" s="14">
        <f>IF($AE1096="","",SUMIFS('ORDENES'!$M$4:$M$1203,'ORDENES'!$AE$4:$AE$1203,$AE1096,'ORDENES'!$O$4:$O$1203,$O1096,'ORDENES'!$R$4:$R$1203,$R1096))</f>
        <v/>
      </c>
      <c r="AH1096" s="14">
        <f>IF($AG1096="","",p_factor_productividad*IFERROR(INDEX('ASIGNACIONES'!$M$4:$M$451,MATCH($O1096&amp;"|"&amp;$R1096&amp;"|"&amp;$AE1096,'ASIGNACIONES'!$N$4:$N$451,0)),0)-$AG1096)</f>
        <v/>
      </c>
      <c r="AI1096" s="11">
        <f>IF($A1096="","",IFERROR(INDEX('2_IMPORTAR_EJECUCION'!$F$9:$F$1208,MATCH($AQ1096,'2_IMPORTAR_EJECUCION'!$J$9:$J$1208,0)),0))</f>
        <v/>
      </c>
      <c r="AJ1096" s="11">
        <f>IF($A1096="","",MAX(0,IFERROR(INDEX('2_IMPORTAR_EJECUCION'!$H$9:$H$1208,MATCH($AQ1096,'2_IMPORTAR_EJECUCION'!$J$9:$J$1208,0)),0)-$AI1096))</f>
        <v/>
      </c>
      <c r="AK1096" s="11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IF($H1097="","",IFERROR(INDEX('CAT_ACTIVIDADES'!$B$4:$B$8,MATCH($H1097,'CAT_ACTIVIDADES'!$A$4:$A$8,0)),"(sin catálogo)"))</f>
        <v/>
      </c>
      <c r="AA1097" s="13">
        <f>IF($J1097="","",TODAY()-$J1097)</f>
        <v/>
      </c>
      <c r="AB1097" s="13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J$4:$J$451,MATCH($O1097&amp;"|"&amp;$R1097&amp;"|"&amp;$AE1097,'ASIGNACIONES'!$N$4:$N$451,0)),""))=0,"",IFERROR(INDEX('ASIGNACIONES'!$J$4:$J$451,MATCH($O1097&amp;"|"&amp;$R1097&amp;"|"&amp;$AE1097,'ASIGNACIONES'!$N$4:$N$451,0)),"")))</f>
        <v/>
      </c>
      <c r="AG1097" s="14">
        <f>IF($AE1097="","",SUMIFS('ORDENES'!$M$4:$M$1203,'ORDENES'!$AE$4:$AE$1203,$AE1097,'ORDENES'!$O$4:$O$1203,$O1097,'ORDENES'!$R$4:$R$1203,$R1097))</f>
        <v/>
      </c>
      <c r="AH1097" s="14">
        <f>IF($AG1097="","",p_factor_productividad*IFERROR(INDEX('ASIGNACIONES'!$M$4:$M$451,MATCH($O1097&amp;"|"&amp;$R1097&amp;"|"&amp;$AE1097,'ASIGNACIONES'!$N$4:$N$451,0)),0)-$AG1097)</f>
        <v/>
      </c>
      <c r="AI1097" s="11">
        <f>IF($A1097="","",IFERROR(INDEX('2_IMPORTAR_EJECUCION'!$F$9:$F$1208,MATCH($AQ1097,'2_IMPORTAR_EJECUCION'!$J$9:$J$1208,0)),0))</f>
        <v/>
      </c>
      <c r="AJ1097" s="11">
        <f>IF($A1097="","",MAX(0,IFERROR(INDEX('2_IMPORTAR_EJECUCION'!$H$9:$H$1208,MATCH($AQ1097,'2_IMPORTAR_EJECUCION'!$J$9:$J$1208,0)),0)-$AI1097))</f>
        <v/>
      </c>
      <c r="AK1097" s="11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IF($H1098="","",IFERROR(INDEX('CAT_ACTIVIDADES'!$B$4:$B$8,MATCH($H1098,'CAT_ACTIVIDADES'!$A$4:$A$8,0)),"(sin catálogo)"))</f>
        <v/>
      </c>
      <c r="AA1098" s="13">
        <f>IF($J1098="","",TODAY()-$J1098)</f>
        <v/>
      </c>
      <c r="AB1098" s="13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J$4:$J$451,MATCH($O1098&amp;"|"&amp;$R1098&amp;"|"&amp;$AE1098,'ASIGNACIONES'!$N$4:$N$451,0)),""))=0,"",IFERROR(INDEX('ASIGNACIONES'!$J$4:$J$451,MATCH($O1098&amp;"|"&amp;$R1098&amp;"|"&amp;$AE1098,'ASIGNACIONES'!$N$4:$N$451,0)),"")))</f>
        <v/>
      </c>
      <c r="AG1098" s="14">
        <f>IF($AE1098="","",SUMIFS('ORDENES'!$M$4:$M$1203,'ORDENES'!$AE$4:$AE$1203,$AE1098,'ORDENES'!$O$4:$O$1203,$O1098,'ORDENES'!$R$4:$R$1203,$R1098))</f>
        <v/>
      </c>
      <c r="AH1098" s="14">
        <f>IF($AG1098="","",p_factor_productividad*IFERROR(INDEX('ASIGNACIONES'!$M$4:$M$451,MATCH($O1098&amp;"|"&amp;$R1098&amp;"|"&amp;$AE1098,'ASIGNACIONES'!$N$4:$N$451,0)),0)-$AG1098)</f>
        <v/>
      </c>
      <c r="AI1098" s="11">
        <f>IF($A1098="","",IFERROR(INDEX('2_IMPORTAR_EJECUCION'!$F$9:$F$1208,MATCH($AQ1098,'2_IMPORTAR_EJECUCION'!$J$9:$J$1208,0)),0))</f>
        <v/>
      </c>
      <c r="AJ1098" s="11">
        <f>IF($A1098="","",MAX(0,IFERROR(INDEX('2_IMPORTAR_EJECUCION'!$H$9:$H$1208,MATCH($AQ1098,'2_IMPORTAR_EJECUCION'!$J$9:$J$1208,0)),0)-$AI1098))</f>
        <v/>
      </c>
      <c r="AK1098" s="11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IF($H1099="","",IFERROR(INDEX('CAT_ACTIVIDADES'!$B$4:$B$8,MATCH($H1099,'CAT_ACTIVIDADES'!$A$4:$A$8,0)),"(sin catálogo)"))</f>
        <v/>
      </c>
      <c r="AA1099" s="13">
        <f>IF($J1099="","",TODAY()-$J1099)</f>
        <v/>
      </c>
      <c r="AB1099" s="13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J$4:$J$451,MATCH($O1099&amp;"|"&amp;$R1099&amp;"|"&amp;$AE1099,'ASIGNACIONES'!$N$4:$N$451,0)),""))=0,"",IFERROR(INDEX('ASIGNACIONES'!$J$4:$J$451,MATCH($O1099&amp;"|"&amp;$R1099&amp;"|"&amp;$AE1099,'ASIGNACIONES'!$N$4:$N$451,0)),"")))</f>
        <v/>
      </c>
      <c r="AG1099" s="14">
        <f>IF($AE1099="","",SUMIFS('ORDENES'!$M$4:$M$1203,'ORDENES'!$AE$4:$AE$1203,$AE1099,'ORDENES'!$O$4:$O$1203,$O1099,'ORDENES'!$R$4:$R$1203,$R1099))</f>
        <v/>
      </c>
      <c r="AH1099" s="14">
        <f>IF($AG1099="","",p_factor_productividad*IFERROR(INDEX('ASIGNACIONES'!$M$4:$M$451,MATCH($O1099&amp;"|"&amp;$R1099&amp;"|"&amp;$AE1099,'ASIGNACIONES'!$N$4:$N$451,0)),0)-$AG1099)</f>
        <v/>
      </c>
      <c r="AI1099" s="11">
        <f>IF($A1099="","",IFERROR(INDEX('2_IMPORTAR_EJECUCION'!$F$9:$F$1208,MATCH($AQ1099,'2_IMPORTAR_EJECUCION'!$J$9:$J$1208,0)),0))</f>
        <v/>
      </c>
      <c r="AJ1099" s="11">
        <f>IF($A1099="","",MAX(0,IFERROR(INDEX('2_IMPORTAR_EJECUCION'!$H$9:$H$1208,MATCH($AQ1099,'2_IMPORTAR_EJECUCION'!$J$9:$J$1208,0)),0)-$AI1099))</f>
        <v/>
      </c>
      <c r="AK1099" s="11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IF($H1100="","",IFERROR(INDEX('CAT_ACTIVIDADES'!$B$4:$B$8,MATCH($H1100,'CAT_ACTIVIDADES'!$A$4:$A$8,0)),"(sin catálogo)"))</f>
        <v/>
      </c>
      <c r="AA1100" s="13">
        <f>IF($J1100="","",TODAY()-$J1100)</f>
        <v/>
      </c>
      <c r="AB1100" s="13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J$4:$J$451,MATCH($O1100&amp;"|"&amp;$R1100&amp;"|"&amp;$AE1100,'ASIGNACIONES'!$N$4:$N$451,0)),""))=0,"",IFERROR(INDEX('ASIGNACIONES'!$J$4:$J$451,MATCH($O1100&amp;"|"&amp;$R1100&amp;"|"&amp;$AE1100,'ASIGNACIONES'!$N$4:$N$451,0)),"")))</f>
        <v/>
      </c>
      <c r="AG1100" s="14">
        <f>IF($AE1100="","",SUMIFS('ORDENES'!$M$4:$M$1203,'ORDENES'!$AE$4:$AE$1203,$AE1100,'ORDENES'!$O$4:$O$1203,$O1100,'ORDENES'!$R$4:$R$1203,$R1100))</f>
        <v/>
      </c>
      <c r="AH1100" s="14">
        <f>IF($AG1100="","",p_factor_productividad*IFERROR(INDEX('ASIGNACIONES'!$M$4:$M$451,MATCH($O1100&amp;"|"&amp;$R1100&amp;"|"&amp;$AE1100,'ASIGNACIONES'!$N$4:$N$451,0)),0)-$AG1100)</f>
        <v/>
      </c>
      <c r="AI1100" s="11">
        <f>IF($A1100="","",IFERROR(INDEX('2_IMPORTAR_EJECUCION'!$F$9:$F$1208,MATCH($AQ1100,'2_IMPORTAR_EJECUCION'!$J$9:$J$1208,0)),0))</f>
        <v/>
      </c>
      <c r="AJ1100" s="11">
        <f>IF($A1100="","",MAX(0,IFERROR(INDEX('2_IMPORTAR_EJECUCION'!$H$9:$H$1208,MATCH($AQ1100,'2_IMPORTAR_EJECUCION'!$J$9:$J$1208,0)),0)-$AI1100))</f>
        <v/>
      </c>
      <c r="AK1100" s="11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IF($H1101="","",IFERROR(INDEX('CAT_ACTIVIDADES'!$B$4:$B$8,MATCH($H1101,'CAT_ACTIVIDADES'!$A$4:$A$8,0)),"(sin catálogo)"))</f>
        <v/>
      </c>
      <c r="AA1101" s="13">
        <f>IF($J1101="","",TODAY()-$J1101)</f>
        <v/>
      </c>
      <c r="AB1101" s="13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J$4:$J$451,MATCH($O1101&amp;"|"&amp;$R1101&amp;"|"&amp;$AE1101,'ASIGNACIONES'!$N$4:$N$451,0)),""))=0,"",IFERROR(INDEX('ASIGNACIONES'!$J$4:$J$451,MATCH($O1101&amp;"|"&amp;$R1101&amp;"|"&amp;$AE1101,'ASIGNACIONES'!$N$4:$N$451,0)),"")))</f>
        <v/>
      </c>
      <c r="AG1101" s="14">
        <f>IF($AE1101="","",SUMIFS('ORDENES'!$M$4:$M$1203,'ORDENES'!$AE$4:$AE$1203,$AE1101,'ORDENES'!$O$4:$O$1203,$O1101,'ORDENES'!$R$4:$R$1203,$R1101))</f>
        <v/>
      </c>
      <c r="AH1101" s="14">
        <f>IF($AG1101="","",p_factor_productividad*IFERROR(INDEX('ASIGNACIONES'!$M$4:$M$451,MATCH($O1101&amp;"|"&amp;$R1101&amp;"|"&amp;$AE1101,'ASIGNACIONES'!$N$4:$N$451,0)),0)-$AG1101)</f>
        <v/>
      </c>
      <c r="AI1101" s="11">
        <f>IF($A1101="","",IFERROR(INDEX('2_IMPORTAR_EJECUCION'!$F$9:$F$1208,MATCH($AQ1101,'2_IMPORTAR_EJECUCION'!$J$9:$J$1208,0)),0))</f>
        <v/>
      </c>
      <c r="AJ1101" s="11">
        <f>IF($A1101="","",MAX(0,IFERROR(INDEX('2_IMPORTAR_EJECUCION'!$H$9:$H$1208,MATCH($AQ1101,'2_IMPORTAR_EJECUCION'!$J$9:$J$1208,0)),0)-$AI1101))</f>
        <v/>
      </c>
      <c r="AK1101" s="11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IF($H1102="","",IFERROR(INDEX('CAT_ACTIVIDADES'!$B$4:$B$8,MATCH($H1102,'CAT_ACTIVIDADES'!$A$4:$A$8,0)),"(sin catálogo)"))</f>
        <v/>
      </c>
      <c r="AA1102" s="13">
        <f>IF($J1102="","",TODAY()-$J1102)</f>
        <v/>
      </c>
      <c r="AB1102" s="13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J$4:$J$451,MATCH($O1102&amp;"|"&amp;$R1102&amp;"|"&amp;$AE1102,'ASIGNACIONES'!$N$4:$N$451,0)),""))=0,"",IFERROR(INDEX('ASIGNACIONES'!$J$4:$J$451,MATCH($O1102&amp;"|"&amp;$R1102&amp;"|"&amp;$AE1102,'ASIGNACIONES'!$N$4:$N$451,0)),"")))</f>
        <v/>
      </c>
      <c r="AG1102" s="14">
        <f>IF($AE1102="","",SUMIFS('ORDENES'!$M$4:$M$1203,'ORDENES'!$AE$4:$AE$1203,$AE1102,'ORDENES'!$O$4:$O$1203,$O1102,'ORDENES'!$R$4:$R$1203,$R1102))</f>
        <v/>
      </c>
      <c r="AH1102" s="14">
        <f>IF($AG1102="","",p_factor_productividad*IFERROR(INDEX('ASIGNACIONES'!$M$4:$M$451,MATCH($O1102&amp;"|"&amp;$R1102&amp;"|"&amp;$AE1102,'ASIGNACIONES'!$N$4:$N$451,0)),0)-$AG1102)</f>
        <v/>
      </c>
      <c r="AI1102" s="11">
        <f>IF($A1102="","",IFERROR(INDEX('2_IMPORTAR_EJECUCION'!$F$9:$F$1208,MATCH($AQ1102,'2_IMPORTAR_EJECUCION'!$J$9:$J$1208,0)),0))</f>
        <v/>
      </c>
      <c r="AJ1102" s="11">
        <f>IF($A1102="","",MAX(0,IFERROR(INDEX('2_IMPORTAR_EJECUCION'!$H$9:$H$1208,MATCH($AQ1102,'2_IMPORTAR_EJECUCION'!$J$9:$J$1208,0)),0)-$AI1102))</f>
        <v/>
      </c>
      <c r="AK1102" s="11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IF($H1103="","",IFERROR(INDEX('CAT_ACTIVIDADES'!$B$4:$B$8,MATCH($H1103,'CAT_ACTIVIDADES'!$A$4:$A$8,0)),"(sin catálogo)"))</f>
        <v/>
      </c>
      <c r="AA1103" s="13">
        <f>IF($J1103="","",TODAY()-$J1103)</f>
        <v/>
      </c>
      <c r="AB1103" s="13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J$4:$J$451,MATCH($O1103&amp;"|"&amp;$R1103&amp;"|"&amp;$AE1103,'ASIGNACIONES'!$N$4:$N$451,0)),""))=0,"",IFERROR(INDEX('ASIGNACIONES'!$J$4:$J$451,MATCH($O1103&amp;"|"&amp;$R1103&amp;"|"&amp;$AE1103,'ASIGNACIONES'!$N$4:$N$451,0)),"")))</f>
        <v/>
      </c>
      <c r="AG1103" s="14">
        <f>IF($AE1103="","",SUMIFS('ORDENES'!$M$4:$M$1203,'ORDENES'!$AE$4:$AE$1203,$AE1103,'ORDENES'!$O$4:$O$1203,$O1103,'ORDENES'!$R$4:$R$1203,$R1103))</f>
        <v/>
      </c>
      <c r="AH1103" s="14">
        <f>IF($AG1103="","",p_factor_productividad*IFERROR(INDEX('ASIGNACIONES'!$M$4:$M$451,MATCH($O1103&amp;"|"&amp;$R1103&amp;"|"&amp;$AE1103,'ASIGNACIONES'!$N$4:$N$451,0)),0)-$AG1103)</f>
        <v/>
      </c>
      <c r="AI1103" s="11">
        <f>IF($A1103="","",IFERROR(INDEX('2_IMPORTAR_EJECUCION'!$F$9:$F$1208,MATCH($AQ1103,'2_IMPORTAR_EJECUCION'!$J$9:$J$1208,0)),0))</f>
        <v/>
      </c>
      <c r="AJ1103" s="11">
        <f>IF($A1103="","",MAX(0,IFERROR(INDEX('2_IMPORTAR_EJECUCION'!$H$9:$H$1208,MATCH($AQ1103,'2_IMPORTAR_EJECUCION'!$J$9:$J$1208,0)),0)-$AI1103))</f>
        <v/>
      </c>
      <c r="AK1103" s="11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IF($H1104="","",IFERROR(INDEX('CAT_ACTIVIDADES'!$B$4:$B$8,MATCH($H1104,'CAT_ACTIVIDADES'!$A$4:$A$8,0)),"(sin catálogo)"))</f>
        <v/>
      </c>
      <c r="AA1104" s="13">
        <f>IF($J1104="","",TODAY()-$J1104)</f>
        <v/>
      </c>
      <c r="AB1104" s="13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J$4:$J$451,MATCH($O1104&amp;"|"&amp;$R1104&amp;"|"&amp;$AE1104,'ASIGNACIONES'!$N$4:$N$451,0)),""))=0,"",IFERROR(INDEX('ASIGNACIONES'!$J$4:$J$451,MATCH($O1104&amp;"|"&amp;$R1104&amp;"|"&amp;$AE1104,'ASIGNACIONES'!$N$4:$N$451,0)),"")))</f>
        <v/>
      </c>
      <c r="AG1104" s="14">
        <f>IF($AE1104="","",SUMIFS('ORDENES'!$M$4:$M$1203,'ORDENES'!$AE$4:$AE$1203,$AE1104,'ORDENES'!$O$4:$O$1203,$O1104,'ORDENES'!$R$4:$R$1203,$R1104))</f>
        <v/>
      </c>
      <c r="AH1104" s="14">
        <f>IF($AG1104="","",p_factor_productividad*IFERROR(INDEX('ASIGNACIONES'!$M$4:$M$451,MATCH($O1104&amp;"|"&amp;$R1104&amp;"|"&amp;$AE1104,'ASIGNACIONES'!$N$4:$N$451,0)),0)-$AG1104)</f>
        <v/>
      </c>
      <c r="AI1104" s="11">
        <f>IF($A1104="","",IFERROR(INDEX('2_IMPORTAR_EJECUCION'!$F$9:$F$1208,MATCH($AQ1104,'2_IMPORTAR_EJECUCION'!$J$9:$J$1208,0)),0))</f>
        <v/>
      </c>
      <c r="AJ1104" s="11">
        <f>IF($A1104="","",MAX(0,IFERROR(INDEX('2_IMPORTAR_EJECUCION'!$H$9:$H$1208,MATCH($AQ1104,'2_IMPORTAR_EJECUCION'!$J$9:$J$1208,0)),0)-$AI1104))</f>
        <v/>
      </c>
      <c r="AK1104" s="11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IF($H1105="","",IFERROR(INDEX('CAT_ACTIVIDADES'!$B$4:$B$8,MATCH($H1105,'CAT_ACTIVIDADES'!$A$4:$A$8,0)),"(sin catálogo)"))</f>
        <v/>
      </c>
      <c r="AA1105" s="13">
        <f>IF($J1105="","",TODAY()-$J1105)</f>
        <v/>
      </c>
      <c r="AB1105" s="13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J$4:$J$451,MATCH($O1105&amp;"|"&amp;$R1105&amp;"|"&amp;$AE1105,'ASIGNACIONES'!$N$4:$N$451,0)),""))=0,"",IFERROR(INDEX('ASIGNACIONES'!$J$4:$J$451,MATCH($O1105&amp;"|"&amp;$R1105&amp;"|"&amp;$AE1105,'ASIGNACIONES'!$N$4:$N$451,0)),"")))</f>
        <v/>
      </c>
      <c r="AG1105" s="14">
        <f>IF($AE1105="","",SUMIFS('ORDENES'!$M$4:$M$1203,'ORDENES'!$AE$4:$AE$1203,$AE1105,'ORDENES'!$O$4:$O$1203,$O1105,'ORDENES'!$R$4:$R$1203,$R1105))</f>
        <v/>
      </c>
      <c r="AH1105" s="14">
        <f>IF($AG1105="","",p_factor_productividad*IFERROR(INDEX('ASIGNACIONES'!$M$4:$M$451,MATCH($O1105&amp;"|"&amp;$R1105&amp;"|"&amp;$AE1105,'ASIGNACIONES'!$N$4:$N$451,0)),0)-$AG1105)</f>
        <v/>
      </c>
      <c r="AI1105" s="11">
        <f>IF($A1105="","",IFERROR(INDEX('2_IMPORTAR_EJECUCION'!$F$9:$F$1208,MATCH($AQ1105,'2_IMPORTAR_EJECUCION'!$J$9:$J$1208,0)),0))</f>
        <v/>
      </c>
      <c r="AJ1105" s="11">
        <f>IF($A1105="","",MAX(0,IFERROR(INDEX('2_IMPORTAR_EJECUCION'!$H$9:$H$1208,MATCH($AQ1105,'2_IMPORTAR_EJECUCION'!$J$9:$J$1208,0)),0)-$AI1105))</f>
        <v/>
      </c>
      <c r="AK1105" s="11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IF($H1106="","",IFERROR(INDEX('CAT_ACTIVIDADES'!$B$4:$B$8,MATCH($H1106,'CAT_ACTIVIDADES'!$A$4:$A$8,0)),"(sin catálogo)"))</f>
        <v/>
      </c>
      <c r="AA1106" s="13">
        <f>IF($J1106="","",TODAY()-$J1106)</f>
        <v/>
      </c>
      <c r="AB1106" s="13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J$4:$J$451,MATCH($O1106&amp;"|"&amp;$R1106&amp;"|"&amp;$AE1106,'ASIGNACIONES'!$N$4:$N$451,0)),""))=0,"",IFERROR(INDEX('ASIGNACIONES'!$J$4:$J$451,MATCH($O1106&amp;"|"&amp;$R1106&amp;"|"&amp;$AE1106,'ASIGNACIONES'!$N$4:$N$451,0)),"")))</f>
        <v/>
      </c>
      <c r="AG1106" s="14">
        <f>IF($AE1106="","",SUMIFS('ORDENES'!$M$4:$M$1203,'ORDENES'!$AE$4:$AE$1203,$AE1106,'ORDENES'!$O$4:$O$1203,$O1106,'ORDENES'!$R$4:$R$1203,$R1106))</f>
        <v/>
      </c>
      <c r="AH1106" s="14">
        <f>IF($AG1106="","",p_factor_productividad*IFERROR(INDEX('ASIGNACIONES'!$M$4:$M$451,MATCH($O1106&amp;"|"&amp;$R1106&amp;"|"&amp;$AE1106,'ASIGNACIONES'!$N$4:$N$451,0)),0)-$AG1106)</f>
        <v/>
      </c>
      <c r="AI1106" s="11">
        <f>IF($A1106="","",IFERROR(INDEX('2_IMPORTAR_EJECUCION'!$F$9:$F$1208,MATCH($AQ1106,'2_IMPORTAR_EJECUCION'!$J$9:$J$1208,0)),0))</f>
        <v/>
      </c>
      <c r="AJ1106" s="11">
        <f>IF($A1106="","",MAX(0,IFERROR(INDEX('2_IMPORTAR_EJECUCION'!$H$9:$H$1208,MATCH($AQ1106,'2_IMPORTAR_EJECUCION'!$J$9:$J$1208,0)),0)-$AI1106))</f>
        <v/>
      </c>
      <c r="AK1106" s="11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IF($H1107="","",IFERROR(INDEX('CAT_ACTIVIDADES'!$B$4:$B$8,MATCH($H1107,'CAT_ACTIVIDADES'!$A$4:$A$8,0)),"(sin catálogo)"))</f>
        <v/>
      </c>
      <c r="AA1107" s="13">
        <f>IF($J1107="","",TODAY()-$J1107)</f>
        <v/>
      </c>
      <c r="AB1107" s="13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J$4:$J$451,MATCH($O1107&amp;"|"&amp;$R1107&amp;"|"&amp;$AE1107,'ASIGNACIONES'!$N$4:$N$451,0)),""))=0,"",IFERROR(INDEX('ASIGNACIONES'!$J$4:$J$451,MATCH($O1107&amp;"|"&amp;$R1107&amp;"|"&amp;$AE1107,'ASIGNACIONES'!$N$4:$N$451,0)),"")))</f>
        <v/>
      </c>
      <c r="AG1107" s="14">
        <f>IF($AE1107="","",SUMIFS('ORDENES'!$M$4:$M$1203,'ORDENES'!$AE$4:$AE$1203,$AE1107,'ORDENES'!$O$4:$O$1203,$O1107,'ORDENES'!$R$4:$R$1203,$R1107))</f>
        <v/>
      </c>
      <c r="AH1107" s="14">
        <f>IF($AG1107="","",p_factor_productividad*IFERROR(INDEX('ASIGNACIONES'!$M$4:$M$451,MATCH($O1107&amp;"|"&amp;$R1107&amp;"|"&amp;$AE1107,'ASIGNACIONES'!$N$4:$N$451,0)),0)-$AG1107)</f>
        <v/>
      </c>
      <c r="AI1107" s="11">
        <f>IF($A1107="","",IFERROR(INDEX('2_IMPORTAR_EJECUCION'!$F$9:$F$1208,MATCH($AQ1107,'2_IMPORTAR_EJECUCION'!$J$9:$J$1208,0)),0))</f>
        <v/>
      </c>
      <c r="AJ1107" s="11">
        <f>IF($A1107="","",MAX(0,IFERROR(INDEX('2_IMPORTAR_EJECUCION'!$H$9:$H$1208,MATCH($AQ1107,'2_IMPORTAR_EJECUCION'!$J$9:$J$1208,0)),0)-$AI1107))</f>
        <v/>
      </c>
      <c r="AK1107" s="11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IF($H1108="","",IFERROR(INDEX('CAT_ACTIVIDADES'!$B$4:$B$8,MATCH($H1108,'CAT_ACTIVIDADES'!$A$4:$A$8,0)),"(sin catálogo)"))</f>
        <v/>
      </c>
      <c r="AA1108" s="13">
        <f>IF($J1108="","",TODAY()-$J1108)</f>
        <v/>
      </c>
      <c r="AB1108" s="13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J$4:$J$451,MATCH($O1108&amp;"|"&amp;$R1108&amp;"|"&amp;$AE1108,'ASIGNACIONES'!$N$4:$N$451,0)),""))=0,"",IFERROR(INDEX('ASIGNACIONES'!$J$4:$J$451,MATCH($O1108&amp;"|"&amp;$R1108&amp;"|"&amp;$AE1108,'ASIGNACIONES'!$N$4:$N$451,0)),"")))</f>
        <v/>
      </c>
      <c r="AG1108" s="14">
        <f>IF($AE1108="","",SUMIFS('ORDENES'!$M$4:$M$1203,'ORDENES'!$AE$4:$AE$1203,$AE1108,'ORDENES'!$O$4:$O$1203,$O1108,'ORDENES'!$R$4:$R$1203,$R1108))</f>
        <v/>
      </c>
      <c r="AH1108" s="14">
        <f>IF($AG1108="","",p_factor_productividad*IFERROR(INDEX('ASIGNACIONES'!$M$4:$M$451,MATCH($O1108&amp;"|"&amp;$R1108&amp;"|"&amp;$AE1108,'ASIGNACIONES'!$N$4:$N$451,0)),0)-$AG1108)</f>
        <v/>
      </c>
      <c r="AI1108" s="11">
        <f>IF($A1108="","",IFERROR(INDEX('2_IMPORTAR_EJECUCION'!$F$9:$F$1208,MATCH($AQ1108,'2_IMPORTAR_EJECUCION'!$J$9:$J$1208,0)),0))</f>
        <v/>
      </c>
      <c r="AJ1108" s="11">
        <f>IF($A1108="","",MAX(0,IFERROR(INDEX('2_IMPORTAR_EJECUCION'!$H$9:$H$1208,MATCH($AQ1108,'2_IMPORTAR_EJECUCION'!$J$9:$J$1208,0)),0)-$AI1108))</f>
        <v/>
      </c>
      <c r="AK1108" s="11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IF($H1109="","",IFERROR(INDEX('CAT_ACTIVIDADES'!$B$4:$B$8,MATCH($H1109,'CAT_ACTIVIDADES'!$A$4:$A$8,0)),"(sin catálogo)"))</f>
        <v/>
      </c>
      <c r="AA1109" s="13">
        <f>IF($J1109="","",TODAY()-$J1109)</f>
        <v/>
      </c>
      <c r="AB1109" s="13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J$4:$J$451,MATCH($O1109&amp;"|"&amp;$R1109&amp;"|"&amp;$AE1109,'ASIGNACIONES'!$N$4:$N$451,0)),""))=0,"",IFERROR(INDEX('ASIGNACIONES'!$J$4:$J$451,MATCH($O1109&amp;"|"&amp;$R1109&amp;"|"&amp;$AE1109,'ASIGNACIONES'!$N$4:$N$451,0)),"")))</f>
        <v/>
      </c>
      <c r="AG1109" s="14">
        <f>IF($AE1109="","",SUMIFS('ORDENES'!$M$4:$M$1203,'ORDENES'!$AE$4:$AE$1203,$AE1109,'ORDENES'!$O$4:$O$1203,$O1109,'ORDENES'!$R$4:$R$1203,$R1109))</f>
        <v/>
      </c>
      <c r="AH1109" s="14">
        <f>IF($AG1109="","",p_factor_productividad*IFERROR(INDEX('ASIGNACIONES'!$M$4:$M$451,MATCH($O1109&amp;"|"&amp;$R1109&amp;"|"&amp;$AE1109,'ASIGNACIONES'!$N$4:$N$451,0)),0)-$AG1109)</f>
        <v/>
      </c>
      <c r="AI1109" s="11">
        <f>IF($A1109="","",IFERROR(INDEX('2_IMPORTAR_EJECUCION'!$F$9:$F$1208,MATCH($AQ1109,'2_IMPORTAR_EJECUCION'!$J$9:$J$1208,0)),0))</f>
        <v/>
      </c>
      <c r="AJ1109" s="11">
        <f>IF($A1109="","",MAX(0,IFERROR(INDEX('2_IMPORTAR_EJECUCION'!$H$9:$H$1208,MATCH($AQ1109,'2_IMPORTAR_EJECUCION'!$J$9:$J$1208,0)),0)-$AI1109))</f>
        <v/>
      </c>
      <c r="AK1109" s="11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IF($H1110="","",IFERROR(INDEX('CAT_ACTIVIDADES'!$B$4:$B$8,MATCH($H1110,'CAT_ACTIVIDADES'!$A$4:$A$8,0)),"(sin catálogo)"))</f>
        <v/>
      </c>
      <c r="AA1110" s="13">
        <f>IF($J1110="","",TODAY()-$J1110)</f>
        <v/>
      </c>
      <c r="AB1110" s="13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J$4:$J$451,MATCH($O1110&amp;"|"&amp;$R1110&amp;"|"&amp;$AE1110,'ASIGNACIONES'!$N$4:$N$451,0)),""))=0,"",IFERROR(INDEX('ASIGNACIONES'!$J$4:$J$451,MATCH($O1110&amp;"|"&amp;$R1110&amp;"|"&amp;$AE1110,'ASIGNACIONES'!$N$4:$N$451,0)),"")))</f>
        <v/>
      </c>
      <c r="AG1110" s="14">
        <f>IF($AE1110="","",SUMIFS('ORDENES'!$M$4:$M$1203,'ORDENES'!$AE$4:$AE$1203,$AE1110,'ORDENES'!$O$4:$O$1203,$O1110,'ORDENES'!$R$4:$R$1203,$R1110))</f>
        <v/>
      </c>
      <c r="AH1110" s="14">
        <f>IF($AG1110="","",p_factor_productividad*IFERROR(INDEX('ASIGNACIONES'!$M$4:$M$451,MATCH($O1110&amp;"|"&amp;$R1110&amp;"|"&amp;$AE1110,'ASIGNACIONES'!$N$4:$N$451,0)),0)-$AG1110)</f>
        <v/>
      </c>
      <c r="AI1110" s="11">
        <f>IF($A1110="","",IFERROR(INDEX('2_IMPORTAR_EJECUCION'!$F$9:$F$1208,MATCH($AQ1110,'2_IMPORTAR_EJECUCION'!$J$9:$J$1208,0)),0))</f>
        <v/>
      </c>
      <c r="AJ1110" s="11">
        <f>IF($A1110="","",MAX(0,IFERROR(INDEX('2_IMPORTAR_EJECUCION'!$H$9:$H$1208,MATCH($AQ1110,'2_IMPORTAR_EJECUCION'!$J$9:$J$1208,0)),0)-$AI1110))</f>
        <v/>
      </c>
      <c r="AK1110" s="11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IF($H1111="","",IFERROR(INDEX('CAT_ACTIVIDADES'!$B$4:$B$8,MATCH($H1111,'CAT_ACTIVIDADES'!$A$4:$A$8,0)),"(sin catálogo)"))</f>
        <v/>
      </c>
      <c r="AA1111" s="13">
        <f>IF($J1111="","",TODAY()-$J1111)</f>
        <v/>
      </c>
      <c r="AB1111" s="13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J$4:$J$451,MATCH($O1111&amp;"|"&amp;$R1111&amp;"|"&amp;$AE1111,'ASIGNACIONES'!$N$4:$N$451,0)),""))=0,"",IFERROR(INDEX('ASIGNACIONES'!$J$4:$J$451,MATCH($O1111&amp;"|"&amp;$R1111&amp;"|"&amp;$AE1111,'ASIGNACIONES'!$N$4:$N$451,0)),"")))</f>
        <v/>
      </c>
      <c r="AG1111" s="14">
        <f>IF($AE1111="","",SUMIFS('ORDENES'!$M$4:$M$1203,'ORDENES'!$AE$4:$AE$1203,$AE1111,'ORDENES'!$O$4:$O$1203,$O1111,'ORDENES'!$R$4:$R$1203,$R1111))</f>
        <v/>
      </c>
      <c r="AH1111" s="14">
        <f>IF($AG1111="","",p_factor_productividad*IFERROR(INDEX('ASIGNACIONES'!$M$4:$M$451,MATCH($O1111&amp;"|"&amp;$R1111&amp;"|"&amp;$AE1111,'ASIGNACIONES'!$N$4:$N$451,0)),0)-$AG1111)</f>
        <v/>
      </c>
      <c r="AI1111" s="11">
        <f>IF($A1111="","",IFERROR(INDEX('2_IMPORTAR_EJECUCION'!$F$9:$F$1208,MATCH($AQ1111,'2_IMPORTAR_EJECUCION'!$J$9:$J$1208,0)),0))</f>
        <v/>
      </c>
      <c r="AJ1111" s="11">
        <f>IF($A1111="","",MAX(0,IFERROR(INDEX('2_IMPORTAR_EJECUCION'!$H$9:$H$1208,MATCH($AQ1111,'2_IMPORTAR_EJECUCION'!$J$9:$J$1208,0)),0)-$AI1111))</f>
        <v/>
      </c>
      <c r="AK1111" s="11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IF($H1112="","",IFERROR(INDEX('CAT_ACTIVIDADES'!$B$4:$B$8,MATCH($H1112,'CAT_ACTIVIDADES'!$A$4:$A$8,0)),"(sin catálogo)"))</f>
        <v/>
      </c>
      <c r="AA1112" s="13">
        <f>IF($J1112="","",TODAY()-$J1112)</f>
        <v/>
      </c>
      <c r="AB1112" s="13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J$4:$J$451,MATCH($O1112&amp;"|"&amp;$R1112&amp;"|"&amp;$AE1112,'ASIGNACIONES'!$N$4:$N$451,0)),""))=0,"",IFERROR(INDEX('ASIGNACIONES'!$J$4:$J$451,MATCH($O1112&amp;"|"&amp;$R1112&amp;"|"&amp;$AE1112,'ASIGNACIONES'!$N$4:$N$451,0)),"")))</f>
        <v/>
      </c>
      <c r="AG1112" s="14">
        <f>IF($AE1112="","",SUMIFS('ORDENES'!$M$4:$M$1203,'ORDENES'!$AE$4:$AE$1203,$AE1112,'ORDENES'!$O$4:$O$1203,$O1112,'ORDENES'!$R$4:$R$1203,$R1112))</f>
        <v/>
      </c>
      <c r="AH1112" s="14">
        <f>IF($AG1112="","",p_factor_productividad*IFERROR(INDEX('ASIGNACIONES'!$M$4:$M$451,MATCH($O1112&amp;"|"&amp;$R1112&amp;"|"&amp;$AE1112,'ASIGNACIONES'!$N$4:$N$451,0)),0)-$AG1112)</f>
        <v/>
      </c>
      <c r="AI1112" s="11">
        <f>IF($A1112="","",IFERROR(INDEX('2_IMPORTAR_EJECUCION'!$F$9:$F$1208,MATCH($AQ1112,'2_IMPORTAR_EJECUCION'!$J$9:$J$1208,0)),0))</f>
        <v/>
      </c>
      <c r="AJ1112" s="11">
        <f>IF($A1112="","",MAX(0,IFERROR(INDEX('2_IMPORTAR_EJECUCION'!$H$9:$H$1208,MATCH($AQ1112,'2_IMPORTAR_EJECUCION'!$J$9:$J$1208,0)),0)-$AI1112))</f>
        <v/>
      </c>
      <c r="AK1112" s="11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IF($H1113="","",IFERROR(INDEX('CAT_ACTIVIDADES'!$B$4:$B$8,MATCH($H1113,'CAT_ACTIVIDADES'!$A$4:$A$8,0)),"(sin catálogo)"))</f>
        <v/>
      </c>
      <c r="AA1113" s="13">
        <f>IF($J1113="","",TODAY()-$J1113)</f>
        <v/>
      </c>
      <c r="AB1113" s="13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J$4:$J$451,MATCH($O1113&amp;"|"&amp;$R1113&amp;"|"&amp;$AE1113,'ASIGNACIONES'!$N$4:$N$451,0)),""))=0,"",IFERROR(INDEX('ASIGNACIONES'!$J$4:$J$451,MATCH($O1113&amp;"|"&amp;$R1113&amp;"|"&amp;$AE1113,'ASIGNACIONES'!$N$4:$N$451,0)),"")))</f>
        <v/>
      </c>
      <c r="AG1113" s="14">
        <f>IF($AE1113="","",SUMIFS('ORDENES'!$M$4:$M$1203,'ORDENES'!$AE$4:$AE$1203,$AE1113,'ORDENES'!$O$4:$O$1203,$O1113,'ORDENES'!$R$4:$R$1203,$R1113))</f>
        <v/>
      </c>
      <c r="AH1113" s="14">
        <f>IF($AG1113="","",p_factor_productividad*IFERROR(INDEX('ASIGNACIONES'!$M$4:$M$451,MATCH($O1113&amp;"|"&amp;$R1113&amp;"|"&amp;$AE1113,'ASIGNACIONES'!$N$4:$N$451,0)),0)-$AG1113)</f>
        <v/>
      </c>
      <c r="AI1113" s="11">
        <f>IF($A1113="","",IFERROR(INDEX('2_IMPORTAR_EJECUCION'!$F$9:$F$1208,MATCH($AQ1113,'2_IMPORTAR_EJECUCION'!$J$9:$J$1208,0)),0))</f>
        <v/>
      </c>
      <c r="AJ1113" s="11">
        <f>IF($A1113="","",MAX(0,IFERROR(INDEX('2_IMPORTAR_EJECUCION'!$H$9:$H$1208,MATCH($AQ1113,'2_IMPORTAR_EJECUCION'!$J$9:$J$1208,0)),0)-$AI1113))</f>
        <v/>
      </c>
      <c r="AK1113" s="11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IF($H1114="","",IFERROR(INDEX('CAT_ACTIVIDADES'!$B$4:$B$8,MATCH($H1114,'CAT_ACTIVIDADES'!$A$4:$A$8,0)),"(sin catálogo)"))</f>
        <v/>
      </c>
      <c r="AA1114" s="13">
        <f>IF($J1114="","",TODAY()-$J1114)</f>
        <v/>
      </c>
      <c r="AB1114" s="13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J$4:$J$451,MATCH($O1114&amp;"|"&amp;$R1114&amp;"|"&amp;$AE1114,'ASIGNACIONES'!$N$4:$N$451,0)),""))=0,"",IFERROR(INDEX('ASIGNACIONES'!$J$4:$J$451,MATCH($O1114&amp;"|"&amp;$R1114&amp;"|"&amp;$AE1114,'ASIGNACIONES'!$N$4:$N$451,0)),"")))</f>
        <v/>
      </c>
      <c r="AG1114" s="14">
        <f>IF($AE1114="","",SUMIFS('ORDENES'!$M$4:$M$1203,'ORDENES'!$AE$4:$AE$1203,$AE1114,'ORDENES'!$O$4:$O$1203,$O1114,'ORDENES'!$R$4:$R$1203,$R1114))</f>
        <v/>
      </c>
      <c r="AH1114" s="14">
        <f>IF($AG1114="","",p_factor_productividad*IFERROR(INDEX('ASIGNACIONES'!$M$4:$M$451,MATCH($O1114&amp;"|"&amp;$R1114&amp;"|"&amp;$AE1114,'ASIGNACIONES'!$N$4:$N$451,0)),0)-$AG1114)</f>
        <v/>
      </c>
      <c r="AI1114" s="11">
        <f>IF($A1114="","",IFERROR(INDEX('2_IMPORTAR_EJECUCION'!$F$9:$F$1208,MATCH($AQ1114,'2_IMPORTAR_EJECUCION'!$J$9:$J$1208,0)),0))</f>
        <v/>
      </c>
      <c r="AJ1114" s="11">
        <f>IF($A1114="","",MAX(0,IFERROR(INDEX('2_IMPORTAR_EJECUCION'!$H$9:$H$1208,MATCH($AQ1114,'2_IMPORTAR_EJECUCION'!$J$9:$J$1208,0)),0)-$AI1114))</f>
        <v/>
      </c>
      <c r="AK1114" s="11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IF($H1115="","",IFERROR(INDEX('CAT_ACTIVIDADES'!$B$4:$B$8,MATCH($H1115,'CAT_ACTIVIDADES'!$A$4:$A$8,0)),"(sin catálogo)"))</f>
        <v/>
      </c>
      <c r="AA1115" s="13">
        <f>IF($J1115="","",TODAY()-$J1115)</f>
        <v/>
      </c>
      <c r="AB1115" s="13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J$4:$J$451,MATCH($O1115&amp;"|"&amp;$R1115&amp;"|"&amp;$AE1115,'ASIGNACIONES'!$N$4:$N$451,0)),""))=0,"",IFERROR(INDEX('ASIGNACIONES'!$J$4:$J$451,MATCH($O1115&amp;"|"&amp;$R1115&amp;"|"&amp;$AE1115,'ASIGNACIONES'!$N$4:$N$451,0)),"")))</f>
        <v/>
      </c>
      <c r="AG1115" s="14">
        <f>IF($AE1115="","",SUMIFS('ORDENES'!$M$4:$M$1203,'ORDENES'!$AE$4:$AE$1203,$AE1115,'ORDENES'!$O$4:$O$1203,$O1115,'ORDENES'!$R$4:$R$1203,$R1115))</f>
        <v/>
      </c>
      <c r="AH1115" s="14">
        <f>IF($AG1115="","",p_factor_productividad*IFERROR(INDEX('ASIGNACIONES'!$M$4:$M$451,MATCH($O1115&amp;"|"&amp;$R1115&amp;"|"&amp;$AE1115,'ASIGNACIONES'!$N$4:$N$451,0)),0)-$AG1115)</f>
        <v/>
      </c>
      <c r="AI1115" s="11">
        <f>IF($A1115="","",IFERROR(INDEX('2_IMPORTAR_EJECUCION'!$F$9:$F$1208,MATCH($AQ1115,'2_IMPORTAR_EJECUCION'!$J$9:$J$1208,0)),0))</f>
        <v/>
      </c>
      <c r="AJ1115" s="11">
        <f>IF($A1115="","",MAX(0,IFERROR(INDEX('2_IMPORTAR_EJECUCION'!$H$9:$H$1208,MATCH($AQ1115,'2_IMPORTAR_EJECUCION'!$J$9:$J$1208,0)),0)-$AI1115))</f>
        <v/>
      </c>
      <c r="AK1115" s="11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IF($H1116="","",IFERROR(INDEX('CAT_ACTIVIDADES'!$B$4:$B$8,MATCH($H1116,'CAT_ACTIVIDADES'!$A$4:$A$8,0)),"(sin catálogo)"))</f>
        <v/>
      </c>
      <c r="AA1116" s="13">
        <f>IF($J1116="","",TODAY()-$J1116)</f>
        <v/>
      </c>
      <c r="AB1116" s="13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J$4:$J$451,MATCH($O1116&amp;"|"&amp;$R1116&amp;"|"&amp;$AE1116,'ASIGNACIONES'!$N$4:$N$451,0)),""))=0,"",IFERROR(INDEX('ASIGNACIONES'!$J$4:$J$451,MATCH($O1116&amp;"|"&amp;$R1116&amp;"|"&amp;$AE1116,'ASIGNACIONES'!$N$4:$N$451,0)),"")))</f>
        <v/>
      </c>
      <c r="AG1116" s="14">
        <f>IF($AE1116="","",SUMIFS('ORDENES'!$M$4:$M$1203,'ORDENES'!$AE$4:$AE$1203,$AE1116,'ORDENES'!$O$4:$O$1203,$O1116,'ORDENES'!$R$4:$R$1203,$R1116))</f>
        <v/>
      </c>
      <c r="AH1116" s="14">
        <f>IF($AG1116="","",p_factor_productividad*IFERROR(INDEX('ASIGNACIONES'!$M$4:$M$451,MATCH($O1116&amp;"|"&amp;$R1116&amp;"|"&amp;$AE1116,'ASIGNACIONES'!$N$4:$N$451,0)),0)-$AG1116)</f>
        <v/>
      </c>
      <c r="AI1116" s="11">
        <f>IF($A1116="","",IFERROR(INDEX('2_IMPORTAR_EJECUCION'!$F$9:$F$1208,MATCH($AQ1116,'2_IMPORTAR_EJECUCION'!$J$9:$J$1208,0)),0))</f>
        <v/>
      </c>
      <c r="AJ1116" s="11">
        <f>IF($A1116="","",MAX(0,IFERROR(INDEX('2_IMPORTAR_EJECUCION'!$H$9:$H$1208,MATCH($AQ1116,'2_IMPORTAR_EJECUCION'!$J$9:$J$1208,0)),0)-$AI1116))</f>
        <v/>
      </c>
      <c r="AK1116" s="11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IF($H1117="","",IFERROR(INDEX('CAT_ACTIVIDADES'!$B$4:$B$8,MATCH($H1117,'CAT_ACTIVIDADES'!$A$4:$A$8,0)),"(sin catálogo)"))</f>
        <v/>
      </c>
      <c r="AA1117" s="13">
        <f>IF($J1117="","",TODAY()-$J1117)</f>
        <v/>
      </c>
      <c r="AB1117" s="13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J$4:$J$451,MATCH($O1117&amp;"|"&amp;$R1117&amp;"|"&amp;$AE1117,'ASIGNACIONES'!$N$4:$N$451,0)),""))=0,"",IFERROR(INDEX('ASIGNACIONES'!$J$4:$J$451,MATCH($O1117&amp;"|"&amp;$R1117&amp;"|"&amp;$AE1117,'ASIGNACIONES'!$N$4:$N$451,0)),"")))</f>
        <v/>
      </c>
      <c r="AG1117" s="14">
        <f>IF($AE1117="","",SUMIFS('ORDENES'!$M$4:$M$1203,'ORDENES'!$AE$4:$AE$1203,$AE1117,'ORDENES'!$O$4:$O$1203,$O1117,'ORDENES'!$R$4:$R$1203,$R1117))</f>
        <v/>
      </c>
      <c r="AH1117" s="14">
        <f>IF($AG1117="","",p_factor_productividad*IFERROR(INDEX('ASIGNACIONES'!$M$4:$M$451,MATCH($O1117&amp;"|"&amp;$R1117&amp;"|"&amp;$AE1117,'ASIGNACIONES'!$N$4:$N$451,0)),0)-$AG1117)</f>
        <v/>
      </c>
      <c r="AI1117" s="11">
        <f>IF($A1117="","",IFERROR(INDEX('2_IMPORTAR_EJECUCION'!$F$9:$F$1208,MATCH($AQ1117,'2_IMPORTAR_EJECUCION'!$J$9:$J$1208,0)),0))</f>
        <v/>
      </c>
      <c r="AJ1117" s="11">
        <f>IF($A1117="","",MAX(0,IFERROR(INDEX('2_IMPORTAR_EJECUCION'!$H$9:$H$1208,MATCH($AQ1117,'2_IMPORTAR_EJECUCION'!$J$9:$J$1208,0)),0)-$AI1117))</f>
        <v/>
      </c>
      <c r="AK1117" s="11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IF($H1118="","",IFERROR(INDEX('CAT_ACTIVIDADES'!$B$4:$B$8,MATCH($H1118,'CAT_ACTIVIDADES'!$A$4:$A$8,0)),"(sin catálogo)"))</f>
        <v/>
      </c>
      <c r="AA1118" s="13">
        <f>IF($J1118="","",TODAY()-$J1118)</f>
        <v/>
      </c>
      <c r="AB1118" s="13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J$4:$J$451,MATCH($O1118&amp;"|"&amp;$R1118&amp;"|"&amp;$AE1118,'ASIGNACIONES'!$N$4:$N$451,0)),""))=0,"",IFERROR(INDEX('ASIGNACIONES'!$J$4:$J$451,MATCH($O1118&amp;"|"&amp;$R1118&amp;"|"&amp;$AE1118,'ASIGNACIONES'!$N$4:$N$451,0)),"")))</f>
        <v/>
      </c>
      <c r="AG1118" s="14">
        <f>IF($AE1118="","",SUMIFS('ORDENES'!$M$4:$M$1203,'ORDENES'!$AE$4:$AE$1203,$AE1118,'ORDENES'!$O$4:$O$1203,$O1118,'ORDENES'!$R$4:$R$1203,$R1118))</f>
        <v/>
      </c>
      <c r="AH1118" s="14">
        <f>IF($AG1118="","",p_factor_productividad*IFERROR(INDEX('ASIGNACIONES'!$M$4:$M$451,MATCH($O1118&amp;"|"&amp;$R1118&amp;"|"&amp;$AE1118,'ASIGNACIONES'!$N$4:$N$451,0)),0)-$AG1118)</f>
        <v/>
      </c>
      <c r="AI1118" s="11">
        <f>IF($A1118="","",IFERROR(INDEX('2_IMPORTAR_EJECUCION'!$F$9:$F$1208,MATCH($AQ1118,'2_IMPORTAR_EJECUCION'!$J$9:$J$1208,0)),0))</f>
        <v/>
      </c>
      <c r="AJ1118" s="11">
        <f>IF($A1118="","",MAX(0,IFERROR(INDEX('2_IMPORTAR_EJECUCION'!$H$9:$H$1208,MATCH($AQ1118,'2_IMPORTAR_EJECUCION'!$J$9:$J$1208,0)),0)-$AI1118))</f>
        <v/>
      </c>
      <c r="AK1118" s="11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IF($H1119="","",IFERROR(INDEX('CAT_ACTIVIDADES'!$B$4:$B$8,MATCH($H1119,'CAT_ACTIVIDADES'!$A$4:$A$8,0)),"(sin catálogo)"))</f>
        <v/>
      </c>
      <c r="AA1119" s="13">
        <f>IF($J1119="","",TODAY()-$J1119)</f>
        <v/>
      </c>
      <c r="AB1119" s="13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J$4:$J$451,MATCH($O1119&amp;"|"&amp;$R1119&amp;"|"&amp;$AE1119,'ASIGNACIONES'!$N$4:$N$451,0)),""))=0,"",IFERROR(INDEX('ASIGNACIONES'!$J$4:$J$451,MATCH($O1119&amp;"|"&amp;$R1119&amp;"|"&amp;$AE1119,'ASIGNACIONES'!$N$4:$N$451,0)),"")))</f>
        <v/>
      </c>
      <c r="AG1119" s="14">
        <f>IF($AE1119="","",SUMIFS('ORDENES'!$M$4:$M$1203,'ORDENES'!$AE$4:$AE$1203,$AE1119,'ORDENES'!$O$4:$O$1203,$O1119,'ORDENES'!$R$4:$R$1203,$R1119))</f>
        <v/>
      </c>
      <c r="AH1119" s="14">
        <f>IF($AG1119="","",p_factor_productividad*IFERROR(INDEX('ASIGNACIONES'!$M$4:$M$451,MATCH($O1119&amp;"|"&amp;$R1119&amp;"|"&amp;$AE1119,'ASIGNACIONES'!$N$4:$N$451,0)),0)-$AG1119)</f>
        <v/>
      </c>
      <c r="AI1119" s="11">
        <f>IF($A1119="","",IFERROR(INDEX('2_IMPORTAR_EJECUCION'!$F$9:$F$1208,MATCH($AQ1119,'2_IMPORTAR_EJECUCION'!$J$9:$J$1208,0)),0))</f>
        <v/>
      </c>
      <c r="AJ1119" s="11">
        <f>IF($A1119="","",MAX(0,IFERROR(INDEX('2_IMPORTAR_EJECUCION'!$H$9:$H$1208,MATCH($AQ1119,'2_IMPORTAR_EJECUCION'!$J$9:$J$1208,0)),0)-$AI1119))</f>
        <v/>
      </c>
      <c r="AK1119" s="11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IF($H1120="","",IFERROR(INDEX('CAT_ACTIVIDADES'!$B$4:$B$8,MATCH($H1120,'CAT_ACTIVIDADES'!$A$4:$A$8,0)),"(sin catálogo)"))</f>
        <v/>
      </c>
      <c r="AA1120" s="13">
        <f>IF($J1120="","",TODAY()-$J1120)</f>
        <v/>
      </c>
      <c r="AB1120" s="13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J$4:$J$451,MATCH($O1120&amp;"|"&amp;$R1120&amp;"|"&amp;$AE1120,'ASIGNACIONES'!$N$4:$N$451,0)),""))=0,"",IFERROR(INDEX('ASIGNACIONES'!$J$4:$J$451,MATCH($O1120&amp;"|"&amp;$R1120&amp;"|"&amp;$AE1120,'ASIGNACIONES'!$N$4:$N$451,0)),"")))</f>
        <v/>
      </c>
      <c r="AG1120" s="14">
        <f>IF($AE1120="","",SUMIFS('ORDENES'!$M$4:$M$1203,'ORDENES'!$AE$4:$AE$1203,$AE1120,'ORDENES'!$O$4:$O$1203,$O1120,'ORDENES'!$R$4:$R$1203,$R1120))</f>
        <v/>
      </c>
      <c r="AH1120" s="14">
        <f>IF($AG1120="","",p_factor_productividad*IFERROR(INDEX('ASIGNACIONES'!$M$4:$M$451,MATCH($O1120&amp;"|"&amp;$R1120&amp;"|"&amp;$AE1120,'ASIGNACIONES'!$N$4:$N$451,0)),0)-$AG1120)</f>
        <v/>
      </c>
      <c r="AI1120" s="11">
        <f>IF($A1120="","",IFERROR(INDEX('2_IMPORTAR_EJECUCION'!$F$9:$F$1208,MATCH($AQ1120,'2_IMPORTAR_EJECUCION'!$J$9:$J$1208,0)),0))</f>
        <v/>
      </c>
      <c r="AJ1120" s="11">
        <f>IF($A1120="","",MAX(0,IFERROR(INDEX('2_IMPORTAR_EJECUCION'!$H$9:$H$1208,MATCH($AQ1120,'2_IMPORTAR_EJECUCION'!$J$9:$J$1208,0)),0)-$AI1120))</f>
        <v/>
      </c>
      <c r="AK1120" s="11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IF($H1121="","",IFERROR(INDEX('CAT_ACTIVIDADES'!$B$4:$B$8,MATCH($H1121,'CAT_ACTIVIDADES'!$A$4:$A$8,0)),"(sin catálogo)"))</f>
        <v/>
      </c>
      <c r="AA1121" s="13">
        <f>IF($J1121="","",TODAY()-$J1121)</f>
        <v/>
      </c>
      <c r="AB1121" s="13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J$4:$J$451,MATCH($O1121&amp;"|"&amp;$R1121&amp;"|"&amp;$AE1121,'ASIGNACIONES'!$N$4:$N$451,0)),""))=0,"",IFERROR(INDEX('ASIGNACIONES'!$J$4:$J$451,MATCH($O1121&amp;"|"&amp;$R1121&amp;"|"&amp;$AE1121,'ASIGNACIONES'!$N$4:$N$451,0)),"")))</f>
        <v/>
      </c>
      <c r="AG1121" s="14">
        <f>IF($AE1121="","",SUMIFS('ORDENES'!$M$4:$M$1203,'ORDENES'!$AE$4:$AE$1203,$AE1121,'ORDENES'!$O$4:$O$1203,$O1121,'ORDENES'!$R$4:$R$1203,$R1121))</f>
        <v/>
      </c>
      <c r="AH1121" s="14">
        <f>IF($AG1121="","",p_factor_productividad*IFERROR(INDEX('ASIGNACIONES'!$M$4:$M$451,MATCH($O1121&amp;"|"&amp;$R1121&amp;"|"&amp;$AE1121,'ASIGNACIONES'!$N$4:$N$451,0)),0)-$AG1121)</f>
        <v/>
      </c>
      <c r="AI1121" s="11">
        <f>IF($A1121="","",IFERROR(INDEX('2_IMPORTAR_EJECUCION'!$F$9:$F$1208,MATCH($AQ1121,'2_IMPORTAR_EJECUCION'!$J$9:$J$1208,0)),0))</f>
        <v/>
      </c>
      <c r="AJ1121" s="11">
        <f>IF($A1121="","",MAX(0,IFERROR(INDEX('2_IMPORTAR_EJECUCION'!$H$9:$H$1208,MATCH($AQ1121,'2_IMPORTAR_EJECUCION'!$J$9:$J$1208,0)),0)-$AI1121))</f>
        <v/>
      </c>
      <c r="AK1121" s="11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IF($H1122="","",IFERROR(INDEX('CAT_ACTIVIDADES'!$B$4:$B$8,MATCH($H1122,'CAT_ACTIVIDADES'!$A$4:$A$8,0)),"(sin catálogo)"))</f>
        <v/>
      </c>
      <c r="AA1122" s="13">
        <f>IF($J1122="","",TODAY()-$J1122)</f>
        <v/>
      </c>
      <c r="AB1122" s="13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J$4:$J$451,MATCH($O1122&amp;"|"&amp;$R1122&amp;"|"&amp;$AE1122,'ASIGNACIONES'!$N$4:$N$451,0)),""))=0,"",IFERROR(INDEX('ASIGNACIONES'!$J$4:$J$451,MATCH($O1122&amp;"|"&amp;$R1122&amp;"|"&amp;$AE1122,'ASIGNACIONES'!$N$4:$N$451,0)),"")))</f>
        <v/>
      </c>
      <c r="AG1122" s="14">
        <f>IF($AE1122="","",SUMIFS('ORDENES'!$M$4:$M$1203,'ORDENES'!$AE$4:$AE$1203,$AE1122,'ORDENES'!$O$4:$O$1203,$O1122,'ORDENES'!$R$4:$R$1203,$R1122))</f>
        <v/>
      </c>
      <c r="AH1122" s="14">
        <f>IF($AG1122="","",p_factor_productividad*IFERROR(INDEX('ASIGNACIONES'!$M$4:$M$451,MATCH($O1122&amp;"|"&amp;$R1122&amp;"|"&amp;$AE1122,'ASIGNACIONES'!$N$4:$N$451,0)),0)-$AG1122)</f>
        <v/>
      </c>
      <c r="AI1122" s="11">
        <f>IF($A1122="","",IFERROR(INDEX('2_IMPORTAR_EJECUCION'!$F$9:$F$1208,MATCH($AQ1122,'2_IMPORTAR_EJECUCION'!$J$9:$J$1208,0)),0))</f>
        <v/>
      </c>
      <c r="AJ1122" s="11">
        <f>IF($A1122="","",MAX(0,IFERROR(INDEX('2_IMPORTAR_EJECUCION'!$H$9:$H$1208,MATCH($AQ1122,'2_IMPORTAR_EJECUCION'!$J$9:$J$1208,0)),0)-$AI1122))</f>
        <v/>
      </c>
      <c r="AK1122" s="11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IF($H1123="","",IFERROR(INDEX('CAT_ACTIVIDADES'!$B$4:$B$8,MATCH($H1123,'CAT_ACTIVIDADES'!$A$4:$A$8,0)),"(sin catálogo)"))</f>
        <v/>
      </c>
      <c r="AA1123" s="13">
        <f>IF($J1123="","",TODAY()-$J1123)</f>
        <v/>
      </c>
      <c r="AB1123" s="13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J$4:$J$451,MATCH($O1123&amp;"|"&amp;$R1123&amp;"|"&amp;$AE1123,'ASIGNACIONES'!$N$4:$N$451,0)),""))=0,"",IFERROR(INDEX('ASIGNACIONES'!$J$4:$J$451,MATCH($O1123&amp;"|"&amp;$R1123&amp;"|"&amp;$AE1123,'ASIGNACIONES'!$N$4:$N$451,0)),"")))</f>
        <v/>
      </c>
      <c r="AG1123" s="14">
        <f>IF($AE1123="","",SUMIFS('ORDENES'!$M$4:$M$1203,'ORDENES'!$AE$4:$AE$1203,$AE1123,'ORDENES'!$O$4:$O$1203,$O1123,'ORDENES'!$R$4:$R$1203,$R1123))</f>
        <v/>
      </c>
      <c r="AH1123" s="14">
        <f>IF($AG1123="","",p_factor_productividad*IFERROR(INDEX('ASIGNACIONES'!$M$4:$M$451,MATCH($O1123&amp;"|"&amp;$R1123&amp;"|"&amp;$AE1123,'ASIGNACIONES'!$N$4:$N$451,0)),0)-$AG1123)</f>
        <v/>
      </c>
      <c r="AI1123" s="11">
        <f>IF($A1123="","",IFERROR(INDEX('2_IMPORTAR_EJECUCION'!$F$9:$F$1208,MATCH($AQ1123,'2_IMPORTAR_EJECUCION'!$J$9:$J$1208,0)),0))</f>
        <v/>
      </c>
      <c r="AJ1123" s="11">
        <f>IF($A1123="","",MAX(0,IFERROR(INDEX('2_IMPORTAR_EJECUCION'!$H$9:$H$1208,MATCH($AQ1123,'2_IMPORTAR_EJECUCION'!$J$9:$J$1208,0)),0)-$AI1123))</f>
        <v/>
      </c>
      <c r="AK1123" s="11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IF($H1124="","",IFERROR(INDEX('CAT_ACTIVIDADES'!$B$4:$B$8,MATCH($H1124,'CAT_ACTIVIDADES'!$A$4:$A$8,0)),"(sin catálogo)"))</f>
        <v/>
      </c>
      <c r="AA1124" s="13">
        <f>IF($J1124="","",TODAY()-$J1124)</f>
        <v/>
      </c>
      <c r="AB1124" s="13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J$4:$J$451,MATCH($O1124&amp;"|"&amp;$R1124&amp;"|"&amp;$AE1124,'ASIGNACIONES'!$N$4:$N$451,0)),""))=0,"",IFERROR(INDEX('ASIGNACIONES'!$J$4:$J$451,MATCH($O1124&amp;"|"&amp;$R1124&amp;"|"&amp;$AE1124,'ASIGNACIONES'!$N$4:$N$451,0)),"")))</f>
        <v/>
      </c>
      <c r="AG1124" s="14">
        <f>IF($AE1124="","",SUMIFS('ORDENES'!$M$4:$M$1203,'ORDENES'!$AE$4:$AE$1203,$AE1124,'ORDENES'!$O$4:$O$1203,$O1124,'ORDENES'!$R$4:$R$1203,$R1124))</f>
        <v/>
      </c>
      <c r="AH1124" s="14">
        <f>IF($AG1124="","",p_factor_productividad*IFERROR(INDEX('ASIGNACIONES'!$M$4:$M$451,MATCH($O1124&amp;"|"&amp;$R1124&amp;"|"&amp;$AE1124,'ASIGNACIONES'!$N$4:$N$451,0)),0)-$AG1124)</f>
        <v/>
      </c>
      <c r="AI1124" s="11">
        <f>IF($A1124="","",IFERROR(INDEX('2_IMPORTAR_EJECUCION'!$F$9:$F$1208,MATCH($AQ1124,'2_IMPORTAR_EJECUCION'!$J$9:$J$1208,0)),0))</f>
        <v/>
      </c>
      <c r="AJ1124" s="11">
        <f>IF($A1124="","",MAX(0,IFERROR(INDEX('2_IMPORTAR_EJECUCION'!$H$9:$H$1208,MATCH($AQ1124,'2_IMPORTAR_EJECUCION'!$J$9:$J$1208,0)),0)-$AI1124))</f>
        <v/>
      </c>
      <c r="AK1124" s="11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IF($H1125="","",IFERROR(INDEX('CAT_ACTIVIDADES'!$B$4:$B$8,MATCH($H1125,'CAT_ACTIVIDADES'!$A$4:$A$8,0)),"(sin catálogo)"))</f>
        <v/>
      </c>
      <c r="AA1125" s="13">
        <f>IF($J1125="","",TODAY()-$J1125)</f>
        <v/>
      </c>
      <c r="AB1125" s="13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J$4:$J$451,MATCH($O1125&amp;"|"&amp;$R1125&amp;"|"&amp;$AE1125,'ASIGNACIONES'!$N$4:$N$451,0)),""))=0,"",IFERROR(INDEX('ASIGNACIONES'!$J$4:$J$451,MATCH($O1125&amp;"|"&amp;$R1125&amp;"|"&amp;$AE1125,'ASIGNACIONES'!$N$4:$N$451,0)),"")))</f>
        <v/>
      </c>
      <c r="AG1125" s="14">
        <f>IF($AE1125="","",SUMIFS('ORDENES'!$M$4:$M$1203,'ORDENES'!$AE$4:$AE$1203,$AE1125,'ORDENES'!$O$4:$O$1203,$O1125,'ORDENES'!$R$4:$R$1203,$R1125))</f>
        <v/>
      </c>
      <c r="AH1125" s="14">
        <f>IF($AG1125="","",p_factor_productividad*IFERROR(INDEX('ASIGNACIONES'!$M$4:$M$451,MATCH($O1125&amp;"|"&amp;$R1125&amp;"|"&amp;$AE1125,'ASIGNACIONES'!$N$4:$N$451,0)),0)-$AG1125)</f>
        <v/>
      </c>
      <c r="AI1125" s="11">
        <f>IF($A1125="","",IFERROR(INDEX('2_IMPORTAR_EJECUCION'!$F$9:$F$1208,MATCH($AQ1125,'2_IMPORTAR_EJECUCION'!$J$9:$J$1208,0)),0))</f>
        <v/>
      </c>
      <c r="AJ1125" s="11">
        <f>IF($A1125="","",MAX(0,IFERROR(INDEX('2_IMPORTAR_EJECUCION'!$H$9:$H$1208,MATCH($AQ1125,'2_IMPORTAR_EJECUCION'!$J$9:$J$1208,0)),0)-$AI1125))</f>
        <v/>
      </c>
      <c r="AK1125" s="11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IF($H1126="","",IFERROR(INDEX('CAT_ACTIVIDADES'!$B$4:$B$8,MATCH($H1126,'CAT_ACTIVIDADES'!$A$4:$A$8,0)),"(sin catálogo)"))</f>
        <v/>
      </c>
      <c r="AA1126" s="13">
        <f>IF($J1126="","",TODAY()-$J1126)</f>
        <v/>
      </c>
      <c r="AB1126" s="13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J$4:$J$451,MATCH($O1126&amp;"|"&amp;$R1126&amp;"|"&amp;$AE1126,'ASIGNACIONES'!$N$4:$N$451,0)),""))=0,"",IFERROR(INDEX('ASIGNACIONES'!$J$4:$J$451,MATCH($O1126&amp;"|"&amp;$R1126&amp;"|"&amp;$AE1126,'ASIGNACIONES'!$N$4:$N$451,0)),"")))</f>
        <v/>
      </c>
      <c r="AG1126" s="14">
        <f>IF($AE1126="","",SUMIFS('ORDENES'!$M$4:$M$1203,'ORDENES'!$AE$4:$AE$1203,$AE1126,'ORDENES'!$O$4:$O$1203,$O1126,'ORDENES'!$R$4:$R$1203,$R1126))</f>
        <v/>
      </c>
      <c r="AH1126" s="14">
        <f>IF($AG1126="","",p_factor_productividad*IFERROR(INDEX('ASIGNACIONES'!$M$4:$M$451,MATCH($O1126&amp;"|"&amp;$R1126&amp;"|"&amp;$AE1126,'ASIGNACIONES'!$N$4:$N$451,0)),0)-$AG1126)</f>
        <v/>
      </c>
      <c r="AI1126" s="11">
        <f>IF($A1126="","",IFERROR(INDEX('2_IMPORTAR_EJECUCION'!$F$9:$F$1208,MATCH($AQ1126,'2_IMPORTAR_EJECUCION'!$J$9:$J$1208,0)),0))</f>
        <v/>
      </c>
      <c r="AJ1126" s="11">
        <f>IF($A1126="","",MAX(0,IFERROR(INDEX('2_IMPORTAR_EJECUCION'!$H$9:$H$1208,MATCH($AQ1126,'2_IMPORTAR_EJECUCION'!$J$9:$J$1208,0)),0)-$AI1126))</f>
        <v/>
      </c>
      <c r="AK1126" s="11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IF($H1127="","",IFERROR(INDEX('CAT_ACTIVIDADES'!$B$4:$B$8,MATCH($H1127,'CAT_ACTIVIDADES'!$A$4:$A$8,0)),"(sin catálogo)"))</f>
        <v/>
      </c>
      <c r="AA1127" s="13">
        <f>IF($J1127="","",TODAY()-$J1127)</f>
        <v/>
      </c>
      <c r="AB1127" s="13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J$4:$J$451,MATCH($O1127&amp;"|"&amp;$R1127&amp;"|"&amp;$AE1127,'ASIGNACIONES'!$N$4:$N$451,0)),""))=0,"",IFERROR(INDEX('ASIGNACIONES'!$J$4:$J$451,MATCH($O1127&amp;"|"&amp;$R1127&amp;"|"&amp;$AE1127,'ASIGNACIONES'!$N$4:$N$451,0)),"")))</f>
        <v/>
      </c>
      <c r="AG1127" s="14">
        <f>IF($AE1127="","",SUMIFS('ORDENES'!$M$4:$M$1203,'ORDENES'!$AE$4:$AE$1203,$AE1127,'ORDENES'!$O$4:$O$1203,$O1127,'ORDENES'!$R$4:$R$1203,$R1127))</f>
        <v/>
      </c>
      <c r="AH1127" s="14">
        <f>IF($AG1127="","",p_factor_productividad*IFERROR(INDEX('ASIGNACIONES'!$M$4:$M$451,MATCH($O1127&amp;"|"&amp;$R1127&amp;"|"&amp;$AE1127,'ASIGNACIONES'!$N$4:$N$451,0)),0)-$AG1127)</f>
        <v/>
      </c>
      <c r="AI1127" s="11">
        <f>IF($A1127="","",IFERROR(INDEX('2_IMPORTAR_EJECUCION'!$F$9:$F$1208,MATCH($AQ1127,'2_IMPORTAR_EJECUCION'!$J$9:$J$1208,0)),0))</f>
        <v/>
      </c>
      <c r="AJ1127" s="11">
        <f>IF($A1127="","",MAX(0,IFERROR(INDEX('2_IMPORTAR_EJECUCION'!$H$9:$H$1208,MATCH($AQ1127,'2_IMPORTAR_EJECUCION'!$J$9:$J$1208,0)),0)-$AI1127))</f>
        <v/>
      </c>
      <c r="AK1127" s="11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IF($H1128="","",IFERROR(INDEX('CAT_ACTIVIDADES'!$B$4:$B$8,MATCH($H1128,'CAT_ACTIVIDADES'!$A$4:$A$8,0)),"(sin catálogo)"))</f>
        <v/>
      </c>
      <c r="AA1128" s="13">
        <f>IF($J1128="","",TODAY()-$J1128)</f>
        <v/>
      </c>
      <c r="AB1128" s="13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J$4:$J$451,MATCH($O1128&amp;"|"&amp;$R1128&amp;"|"&amp;$AE1128,'ASIGNACIONES'!$N$4:$N$451,0)),""))=0,"",IFERROR(INDEX('ASIGNACIONES'!$J$4:$J$451,MATCH($O1128&amp;"|"&amp;$R1128&amp;"|"&amp;$AE1128,'ASIGNACIONES'!$N$4:$N$451,0)),"")))</f>
        <v/>
      </c>
      <c r="AG1128" s="14">
        <f>IF($AE1128="","",SUMIFS('ORDENES'!$M$4:$M$1203,'ORDENES'!$AE$4:$AE$1203,$AE1128,'ORDENES'!$O$4:$O$1203,$O1128,'ORDENES'!$R$4:$R$1203,$R1128))</f>
        <v/>
      </c>
      <c r="AH1128" s="14">
        <f>IF($AG1128="","",p_factor_productividad*IFERROR(INDEX('ASIGNACIONES'!$M$4:$M$451,MATCH($O1128&amp;"|"&amp;$R1128&amp;"|"&amp;$AE1128,'ASIGNACIONES'!$N$4:$N$451,0)),0)-$AG1128)</f>
        <v/>
      </c>
      <c r="AI1128" s="11">
        <f>IF($A1128="","",IFERROR(INDEX('2_IMPORTAR_EJECUCION'!$F$9:$F$1208,MATCH($AQ1128,'2_IMPORTAR_EJECUCION'!$J$9:$J$1208,0)),0))</f>
        <v/>
      </c>
      <c r="AJ1128" s="11">
        <f>IF($A1128="","",MAX(0,IFERROR(INDEX('2_IMPORTAR_EJECUCION'!$H$9:$H$1208,MATCH($AQ1128,'2_IMPORTAR_EJECUCION'!$J$9:$J$1208,0)),0)-$AI1128))</f>
        <v/>
      </c>
      <c r="AK1128" s="11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IF($H1129="","",IFERROR(INDEX('CAT_ACTIVIDADES'!$B$4:$B$8,MATCH($H1129,'CAT_ACTIVIDADES'!$A$4:$A$8,0)),"(sin catálogo)"))</f>
        <v/>
      </c>
      <c r="AA1129" s="13">
        <f>IF($J1129="","",TODAY()-$J1129)</f>
        <v/>
      </c>
      <c r="AB1129" s="13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J$4:$J$451,MATCH($O1129&amp;"|"&amp;$R1129&amp;"|"&amp;$AE1129,'ASIGNACIONES'!$N$4:$N$451,0)),""))=0,"",IFERROR(INDEX('ASIGNACIONES'!$J$4:$J$451,MATCH($O1129&amp;"|"&amp;$R1129&amp;"|"&amp;$AE1129,'ASIGNACIONES'!$N$4:$N$451,0)),"")))</f>
        <v/>
      </c>
      <c r="AG1129" s="14">
        <f>IF($AE1129="","",SUMIFS('ORDENES'!$M$4:$M$1203,'ORDENES'!$AE$4:$AE$1203,$AE1129,'ORDENES'!$O$4:$O$1203,$O1129,'ORDENES'!$R$4:$R$1203,$R1129))</f>
        <v/>
      </c>
      <c r="AH1129" s="14">
        <f>IF($AG1129="","",p_factor_productividad*IFERROR(INDEX('ASIGNACIONES'!$M$4:$M$451,MATCH($O1129&amp;"|"&amp;$R1129&amp;"|"&amp;$AE1129,'ASIGNACIONES'!$N$4:$N$451,0)),0)-$AG1129)</f>
        <v/>
      </c>
      <c r="AI1129" s="11">
        <f>IF($A1129="","",IFERROR(INDEX('2_IMPORTAR_EJECUCION'!$F$9:$F$1208,MATCH($AQ1129,'2_IMPORTAR_EJECUCION'!$J$9:$J$1208,0)),0))</f>
        <v/>
      </c>
      <c r="AJ1129" s="11">
        <f>IF($A1129="","",MAX(0,IFERROR(INDEX('2_IMPORTAR_EJECUCION'!$H$9:$H$1208,MATCH($AQ1129,'2_IMPORTAR_EJECUCION'!$J$9:$J$1208,0)),0)-$AI1129))</f>
        <v/>
      </c>
      <c r="AK1129" s="11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IF($H1130="","",IFERROR(INDEX('CAT_ACTIVIDADES'!$B$4:$B$8,MATCH($H1130,'CAT_ACTIVIDADES'!$A$4:$A$8,0)),"(sin catálogo)"))</f>
        <v/>
      </c>
      <c r="AA1130" s="13">
        <f>IF($J1130="","",TODAY()-$J1130)</f>
        <v/>
      </c>
      <c r="AB1130" s="13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J$4:$J$451,MATCH($O1130&amp;"|"&amp;$R1130&amp;"|"&amp;$AE1130,'ASIGNACIONES'!$N$4:$N$451,0)),""))=0,"",IFERROR(INDEX('ASIGNACIONES'!$J$4:$J$451,MATCH($O1130&amp;"|"&amp;$R1130&amp;"|"&amp;$AE1130,'ASIGNACIONES'!$N$4:$N$451,0)),"")))</f>
        <v/>
      </c>
      <c r="AG1130" s="14">
        <f>IF($AE1130="","",SUMIFS('ORDENES'!$M$4:$M$1203,'ORDENES'!$AE$4:$AE$1203,$AE1130,'ORDENES'!$O$4:$O$1203,$O1130,'ORDENES'!$R$4:$R$1203,$R1130))</f>
        <v/>
      </c>
      <c r="AH1130" s="14">
        <f>IF($AG1130="","",p_factor_productividad*IFERROR(INDEX('ASIGNACIONES'!$M$4:$M$451,MATCH($O1130&amp;"|"&amp;$R1130&amp;"|"&amp;$AE1130,'ASIGNACIONES'!$N$4:$N$451,0)),0)-$AG1130)</f>
        <v/>
      </c>
      <c r="AI1130" s="11">
        <f>IF($A1130="","",IFERROR(INDEX('2_IMPORTAR_EJECUCION'!$F$9:$F$1208,MATCH($AQ1130,'2_IMPORTAR_EJECUCION'!$J$9:$J$1208,0)),0))</f>
        <v/>
      </c>
      <c r="AJ1130" s="11">
        <f>IF($A1130="","",MAX(0,IFERROR(INDEX('2_IMPORTAR_EJECUCION'!$H$9:$H$1208,MATCH($AQ1130,'2_IMPORTAR_EJECUCION'!$J$9:$J$1208,0)),0)-$AI1130))</f>
        <v/>
      </c>
      <c r="AK1130" s="11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IF($H1131="","",IFERROR(INDEX('CAT_ACTIVIDADES'!$B$4:$B$8,MATCH($H1131,'CAT_ACTIVIDADES'!$A$4:$A$8,0)),"(sin catálogo)"))</f>
        <v/>
      </c>
      <c r="AA1131" s="13">
        <f>IF($J1131="","",TODAY()-$J1131)</f>
        <v/>
      </c>
      <c r="AB1131" s="13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J$4:$J$451,MATCH($O1131&amp;"|"&amp;$R1131&amp;"|"&amp;$AE1131,'ASIGNACIONES'!$N$4:$N$451,0)),""))=0,"",IFERROR(INDEX('ASIGNACIONES'!$J$4:$J$451,MATCH($O1131&amp;"|"&amp;$R1131&amp;"|"&amp;$AE1131,'ASIGNACIONES'!$N$4:$N$451,0)),"")))</f>
        <v/>
      </c>
      <c r="AG1131" s="14">
        <f>IF($AE1131="","",SUMIFS('ORDENES'!$M$4:$M$1203,'ORDENES'!$AE$4:$AE$1203,$AE1131,'ORDENES'!$O$4:$O$1203,$O1131,'ORDENES'!$R$4:$R$1203,$R1131))</f>
        <v/>
      </c>
      <c r="AH1131" s="14">
        <f>IF($AG1131="","",p_factor_productividad*IFERROR(INDEX('ASIGNACIONES'!$M$4:$M$451,MATCH($O1131&amp;"|"&amp;$R1131&amp;"|"&amp;$AE1131,'ASIGNACIONES'!$N$4:$N$451,0)),0)-$AG1131)</f>
        <v/>
      </c>
      <c r="AI1131" s="11">
        <f>IF($A1131="","",IFERROR(INDEX('2_IMPORTAR_EJECUCION'!$F$9:$F$1208,MATCH($AQ1131,'2_IMPORTAR_EJECUCION'!$J$9:$J$1208,0)),0))</f>
        <v/>
      </c>
      <c r="AJ1131" s="11">
        <f>IF($A1131="","",MAX(0,IFERROR(INDEX('2_IMPORTAR_EJECUCION'!$H$9:$H$1208,MATCH($AQ1131,'2_IMPORTAR_EJECUCION'!$J$9:$J$1208,0)),0)-$AI1131))</f>
        <v/>
      </c>
      <c r="AK1131" s="11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IF($H1132="","",IFERROR(INDEX('CAT_ACTIVIDADES'!$B$4:$B$8,MATCH($H1132,'CAT_ACTIVIDADES'!$A$4:$A$8,0)),"(sin catálogo)"))</f>
        <v/>
      </c>
      <c r="AA1132" s="13">
        <f>IF($J1132="","",TODAY()-$J1132)</f>
        <v/>
      </c>
      <c r="AB1132" s="13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J$4:$J$451,MATCH($O1132&amp;"|"&amp;$R1132&amp;"|"&amp;$AE1132,'ASIGNACIONES'!$N$4:$N$451,0)),""))=0,"",IFERROR(INDEX('ASIGNACIONES'!$J$4:$J$451,MATCH($O1132&amp;"|"&amp;$R1132&amp;"|"&amp;$AE1132,'ASIGNACIONES'!$N$4:$N$451,0)),"")))</f>
        <v/>
      </c>
      <c r="AG1132" s="14">
        <f>IF($AE1132="","",SUMIFS('ORDENES'!$M$4:$M$1203,'ORDENES'!$AE$4:$AE$1203,$AE1132,'ORDENES'!$O$4:$O$1203,$O1132,'ORDENES'!$R$4:$R$1203,$R1132))</f>
        <v/>
      </c>
      <c r="AH1132" s="14">
        <f>IF($AG1132="","",p_factor_productividad*IFERROR(INDEX('ASIGNACIONES'!$M$4:$M$451,MATCH($O1132&amp;"|"&amp;$R1132&amp;"|"&amp;$AE1132,'ASIGNACIONES'!$N$4:$N$451,0)),0)-$AG1132)</f>
        <v/>
      </c>
      <c r="AI1132" s="11">
        <f>IF($A1132="","",IFERROR(INDEX('2_IMPORTAR_EJECUCION'!$F$9:$F$1208,MATCH($AQ1132,'2_IMPORTAR_EJECUCION'!$J$9:$J$1208,0)),0))</f>
        <v/>
      </c>
      <c r="AJ1132" s="11">
        <f>IF($A1132="","",MAX(0,IFERROR(INDEX('2_IMPORTAR_EJECUCION'!$H$9:$H$1208,MATCH($AQ1132,'2_IMPORTAR_EJECUCION'!$J$9:$J$1208,0)),0)-$AI1132))</f>
        <v/>
      </c>
      <c r="AK1132" s="11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IF($H1133="","",IFERROR(INDEX('CAT_ACTIVIDADES'!$B$4:$B$8,MATCH($H1133,'CAT_ACTIVIDADES'!$A$4:$A$8,0)),"(sin catálogo)"))</f>
        <v/>
      </c>
      <c r="AA1133" s="13">
        <f>IF($J1133="","",TODAY()-$J1133)</f>
        <v/>
      </c>
      <c r="AB1133" s="13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J$4:$J$451,MATCH($O1133&amp;"|"&amp;$R1133&amp;"|"&amp;$AE1133,'ASIGNACIONES'!$N$4:$N$451,0)),""))=0,"",IFERROR(INDEX('ASIGNACIONES'!$J$4:$J$451,MATCH($O1133&amp;"|"&amp;$R1133&amp;"|"&amp;$AE1133,'ASIGNACIONES'!$N$4:$N$451,0)),"")))</f>
        <v/>
      </c>
      <c r="AG1133" s="14">
        <f>IF($AE1133="","",SUMIFS('ORDENES'!$M$4:$M$1203,'ORDENES'!$AE$4:$AE$1203,$AE1133,'ORDENES'!$O$4:$O$1203,$O1133,'ORDENES'!$R$4:$R$1203,$R1133))</f>
        <v/>
      </c>
      <c r="AH1133" s="14">
        <f>IF($AG1133="","",p_factor_productividad*IFERROR(INDEX('ASIGNACIONES'!$M$4:$M$451,MATCH($O1133&amp;"|"&amp;$R1133&amp;"|"&amp;$AE1133,'ASIGNACIONES'!$N$4:$N$451,0)),0)-$AG1133)</f>
        <v/>
      </c>
      <c r="AI1133" s="11">
        <f>IF($A1133="","",IFERROR(INDEX('2_IMPORTAR_EJECUCION'!$F$9:$F$1208,MATCH($AQ1133,'2_IMPORTAR_EJECUCION'!$J$9:$J$1208,0)),0))</f>
        <v/>
      </c>
      <c r="AJ1133" s="11">
        <f>IF($A1133="","",MAX(0,IFERROR(INDEX('2_IMPORTAR_EJECUCION'!$H$9:$H$1208,MATCH($AQ1133,'2_IMPORTAR_EJECUCION'!$J$9:$J$1208,0)),0)-$AI1133))</f>
        <v/>
      </c>
      <c r="AK1133" s="11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IF($H1134="","",IFERROR(INDEX('CAT_ACTIVIDADES'!$B$4:$B$8,MATCH($H1134,'CAT_ACTIVIDADES'!$A$4:$A$8,0)),"(sin catálogo)"))</f>
        <v/>
      </c>
      <c r="AA1134" s="13">
        <f>IF($J1134="","",TODAY()-$J1134)</f>
        <v/>
      </c>
      <c r="AB1134" s="13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J$4:$J$451,MATCH($O1134&amp;"|"&amp;$R1134&amp;"|"&amp;$AE1134,'ASIGNACIONES'!$N$4:$N$451,0)),""))=0,"",IFERROR(INDEX('ASIGNACIONES'!$J$4:$J$451,MATCH($O1134&amp;"|"&amp;$R1134&amp;"|"&amp;$AE1134,'ASIGNACIONES'!$N$4:$N$451,0)),"")))</f>
        <v/>
      </c>
      <c r="AG1134" s="14">
        <f>IF($AE1134="","",SUMIFS('ORDENES'!$M$4:$M$1203,'ORDENES'!$AE$4:$AE$1203,$AE1134,'ORDENES'!$O$4:$O$1203,$O1134,'ORDENES'!$R$4:$R$1203,$R1134))</f>
        <v/>
      </c>
      <c r="AH1134" s="14">
        <f>IF($AG1134="","",p_factor_productividad*IFERROR(INDEX('ASIGNACIONES'!$M$4:$M$451,MATCH($O1134&amp;"|"&amp;$R1134&amp;"|"&amp;$AE1134,'ASIGNACIONES'!$N$4:$N$451,0)),0)-$AG1134)</f>
        <v/>
      </c>
      <c r="AI1134" s="11">
        <f>IF($A1134="","",IFERROR(INDEX('2_IMPORTAR_EJECUCION'!$F$9:$F$1208,MATCH($AQ1134,'2_IMPORTAR_EJECUCION'!$J$9:$J$1208,0)),0))</f>
        <v/>
      </c>
      <c r="AJ1134" s="11">
        <f>IF($A1134="","",MAX(0,IFERROR(INDEX('2_IMPORTAR_EJECUCION'!$H$9:$H$1208,MATCH($AQ1134,'2_IMPORTAR_EJECUCION'!$J$9:$J$1208,0)),0)-$AI1134))</f>
        <v/>
      </c>
      <c r="AK1134" s="11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IF($H1135="","",IFERROR(INDEX('CAT_ACTIVIDADES'!$B$4:$B$8,MATCH($H1135,'CAT_ACTIVIDADES'!$A$4:$A$8,0)),"(sin catálogo)"))</f>
        <v/>
      </c>
      <c r="AA1135" s="13">
        <f>IF($J1135="","",TODAY()-$J1135)</f>
        <v/>
      </c>
      <c r="AB1135" s="13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J$4:$J$451,MATCH($O1135&amp;"|"&amp;$R1135&amp;"|"&amp;$AE1135,'ASIGNACIONES'!$N$4:$N$451,0)),""))=0,"",IFERROR(INDEX('ASIGNACIONES'!$J$4:$J$451,MATCH($O1135&amp;"|"&amp;$R1135&amp;"|"&amp;$AE1135,'ASIGNACIONES'!$N$4:$N$451,0)),"")))</f>
        <v/>
      </c>
      <c r="AG1135" s="14">
        <f>IF($AE1135="","",SUMIFS('ORDENES'!$M$4:$M$1203,'ORDENES'!$AE$4:$AE$1203,$AE1135,'ORDENES'!$O$4:$O$1203,$O1135,'ORDENES'!$R$4:$R$1203,$R1135))</f>
        <v/>
      </c>
      <c r="AH1135" s="14">
        <f>IF($AG1135="","",p_factor_productividad*IFERROR(INDEX('ASIGNACIONES'!$M$4:$M$451,MATCH($O1135&amp;"|"&amp;$R1135&amp;"|"&amp;$AE1135,'ASIGNACIONES'!$N$4:$N$451,0)),0)-$AG1135)</f>
        <v/>
      </c>
      <c r="AI1135" s="11">
        <f>IF($A1135="","",IFERROR(INDEX('2_IMPORTAR_EJECUCION'!$F$9:$F$1208,MATCH($AQ1135,'2_IMPORTAR_EJECUCION'!$J$9:$J$1208,0)),0))</f>
        <v/>
      </c>
      <c r="AJ1135" s="11">
        <f>IF($A1135="","",MAX(0,IFERROR(INDEX('2_IMPORTAR_EJECUCION'!$H$9:$H$1208,MATCH($AQ1135,'2_IMPORTAR_EJECUCION'!$J$9:$J$1208,0)),0)-$AI1135))</f>
        <v/>
      </c>
      <c r="AK1135" s="11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IF($H1136="","",IFERROR(INDEX('CAT_ACTIVIDADES'!$B$4:$B$8,MATCH($H1136,'CAT_ACTIVIDADES'!$A$4:$A$8,0)),"(sin catálogo)"))</f>
        <v/>
      </c>
      <c r="AA1136" s="13">
        <f>IF($J1136="","",TODAY()-$J1136)</f>
        <v/>
      </c>
      <c r="AB1136" s="13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J$4:$J$451,MATCH($O1136&amp;"|"&amp;$R1136&amp;"|"&amp;$AE1136,'ASIGNACIONES'!$N$4:$N$451,0)),""))=0,"",IFERROR(INDEX('ASIGNACIONES'!$J$4:$J$451,MATCH($O1136&amp;"|"&amp;$R1136&amp;"|"&amp;$AE1136,'ASIGNACIONES'!$N$4:$N$451,0)),"")))</f>
        <v/>
      </c>
      <c r="AG1136" s="14">
        <f>IF($AE1136="","",SUMIFS('ORDENES'!$M$4:$M$1203,'ORDENES'!$AE$4:$AE$1203,$AE1136,'ORDENES'!$O$4:$O$1203,$O1136,'ORDENES'!$R$4:$R$1203,$R1136))</f>
        <v/>
      </c>
      <c r="AH1136" s="14">
        <f>IF($AG1136="","",p_factor_productividad*IFERROR(INDEX('ASIGNACIONES'!$M$4:$M$451,MATCH($O1136&amp;"|"&amp;$R1136&amp;"|"&amp;$AE1136,'ASIGNACIONES'!$N$4:$N$451,0)),0)-$AG1136)</f>
        <v/>
      </c>
      <c r="AI1136" s="11">
        <f>IF($A1136="","",IFERROR(INDEX('2_IMPORTAR_EJECUCION'!$F$9:$F$1208,MATCH($AQ1136,'2_IMPORTAR_EJECUCION'!$J$9:$J$1208,0)),0))</f>
        <v/>
      </c>
      <c r="AJ1136" s="11">
        <f>IF($A1136="","",MAX(0,IFERROR(INDEX('2_IMPORTAR_EJECUCION'!$H$9:$H$1208,MATCH($AQ1136,'2_IMPORTAR_EJECUCION'!$J$9:$J$1208,0)),0)-$AI1136))</f>
        <v/>
      </c>
      <c r="AK1136" s="11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IF($H1137="","",IFERROR(INDEX('CAT_ACTIVIDADES'!$B$4:$B$8,MATCH($H1137,'CAT_ACTIVIDADES'!$A$4:$A$8,0)),"(sin catálogo)"))</f>
        <v/>
      </c>
      <c r="AA1137" s="13">
        <f>IF($J1137="","",TODAY()-$J1137)</f>
        <v/>
      </c>
      <c r="AB1137" s="13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J$4:$J$451,MATCH($O1137&amp;"|"&amp;$R1137&amp;"|"&amp;$AE1137,'ASIGNACIONES'!$N$4:$N$451,0)),""))=0,"",IFERROR(INDEX('ASIGNACIONES'!$J$4:$J$451,MATCH($O1137&amp;"|"&amp;$R1137&amp;"|"&amp;$AE1137,'ASIGNACIONES'!$N$4:$N$451,0)),"")))</f>
        <v/>
      </c>
      <c r="AG1137" s="14">
        <f>IF($AE1137="","",SUMIFS('ORDENES'!$M$4:$M$1203,'ORDENES'!$AE$4:$AE$1203,$AE1137,'ORDENES'!$O$4:$O$1203,$O1137,'ORDENES'!$R$4:$R$1203,$R1137))</f>
        <v/>
      </c>
      <c r="AH1137" s="14">
        <f>IF($AG1137="","",p_factor_productividad*IFERROR(INDEX('ASIGNACIONES'!$M$4:$M$451,MATCH($O1137&amp;"|"&amp;$R1137&amp;"|"&amp;$AE1137,'ASIGNACIONES'!$N$4:$N$451,0)),0)-$AG1137)</f>
        <v/>
      </c>
      <c r="AI1137" s="11">
        <f>IF($A1137="","",IFERROR(INDEX('2_IMPORTAR_EJECUCION'!$F$9:$F$1208,MATCH($AQ1137,'2_IMPORTAR_EJECUCION'!$J$9:$J$1208,0)),0))</f>
        <v/>
      </c>
      <c r="AJ1137" s="11">
        <f>IF($A1137="","",MAX(0,IFERROR(INDEX('2_IMPORTAR_EJECUCION'!$H$9:$H$1208,MATCH($AQ1137,'2_IMPORTAR_EJECUCION'!$J$9:$J$1208,0)),0)-$AI1137))</f>
        <v/>
      </c>
      <c r="AK1137" s="11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IF($H1138="","",IFERROR(INDEX('CAT_ACTIVIDADES'!$B$4:$B$8,MATCH($H1138,'CAT_ACTIVIDADES'!$A$4:$A$8,0)),"(sin catálogo)"))</f>
        <v/>
      </c>
      <c r="AA1138" s="13">
        <f>IF($J1138="","",TODAY()-$J1138)</f>
        <v/>
      </c>
      <c r="AB1138" s="13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J$4:$J$451,MATCH($O1138&amp;"|"&amp;$R1138&amp;"|"&amp;$AE1138,'ASIGNACIONES'!$N$4:$N$451,0)),""))=0,"",IFERROR(INDEX('ASIGNACIONES'!$J$4:$J$451,MATCH($O1138&amp;"|"&amp;$R1138&amp;"|"&amp;$AE1138,'ASIGNACIONES'!$N$4:$N$451,0)),"")))</f>
        <v/>
      </c>
      <c r="AG1138" s="14">
        <f>IF($AE1138="","",SUMIFS('ORDENES'!$M$4:$M$1203,'ORDENES'!$AE$4:$AE$1203,$AE1138,'ORDENES'!$O$4:$O$1203,$O1138,'ORDENES'!$R$4:$R$1203,$R1138))</f>
        <v/>
      </c>
      <c r="AH1138" s="14">
        <f>IF($AG1138="","",p_factor_productividad*IFERROR(INDEX('ASIGNACIONES'!$M$4:$M$451,MATCH($O1138&amp;"|"&amp;$R1138&amp;"|"&amp;$AE1138,'ASIGNACIONES'!$N$4:$N$451,0)),0)-$AG1138)</f>
        <v/>
      </c>
      <c r="AI1138" s="11">
        <f>IF($A1138="","",IFERROR(INDEX('2_IMPORTAR_EJECUCION'!$F$9:$F$1208,MATCH($AQ1138,'2_IMPORTAR_EJECUCION'!$J$9:$J$1208,0)),0))</f>
        <v/>
      </c>
      <c r="AJ1138" s="11">
        <f>IF($A1138="","",MAX(0,IFERROR(INDEX('2_IMPORTAR_EJECUCION'!$H$9:$H$1208,MATCH($AQ1138,'2_IMPORTAR_EJECUCION'!$J$9:$J$1208,0)),0)-$AI1138))</f>
        <v/>
      </c>
      <c r="AK1138" s="11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IF($H1139="","",IFERROR(INDEX('CAT_ACTIVIDADES'!$B$4:$B$8,MATCH($H1139,'CAT_ACTIVIDADES'!$A$4:$A$8,0)),"(sin catálogo)"))</f>
        <v/>
      </c>
      <c r="AA1139" s="13">
        <f>IF($J1139="","",TODAY()-$J1139)</f>
        <v/>
      </c>
      <c r="AB1139" s="13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J$4:$J$451,MATCH($O1139&amp;"|"&amp;$R1139&amp;"|"&amp;$AE1139,'ASIGNACIONES'!$N$4:$N$451,0)),""))=0,"",IFERROR(INDEX('ASIGNACIONES'!$J$4:$J$451,MATCH($O1139&amp;"|"&amp;$R1139&amp;"|"&amp;$AE1139,'ASIGNACIONES'!$N$4:$N$451,0)),"")))</f>
        <v/>
      </c>
      <c r="AG1139" s="14">
        <f>IF($AE1139="","",SUMIFS('ORDENES'!$M$4:$M$1203,'ORDENES'!$AE$4:$AE$1203,$AE1139,'ORDENES'!$O$4:$O$1203,$O1139,'ORDENES'!$R$4:$R$1203,$R1139))</f>
        <v/>
      </c>
      <c r="AH1139" s="14">
        <f>IF($AG1139="","",p_factor_productividad*IFERROR(INDEX('ASIGNACIONES'!$M$4:$M$451,MATCH($O1139&amp;"|"&amp;$R1139&amp;"|"&amp;$AE1139,'ASIGNACIONES'!$N$4:$N$451,0)),0)-$AG1139)</f>
        <v/>
      </c>
      <c r="AI1139" s="11">
        <f>IF($A1139="","",IFERROR(INDEX('2_IMPORTAR_EJECUCION'!$F$9:$F$1208,MATCH($AQ1139,'2_IMPORTAR_EJECUCION'!$J$9:$J$1208,0)),0))</f>
        <v/>
      </c>
      <c r="AJ1139" s="11">
        <f>IF($A1139="","",MAX(0,IFERROR(INDEX('2_IMPORTAR_EJECUCION'!$H$9:$H$1208,MATCH($AQ1139,'2_IMPORTAR_EJECUCION'!$J$9:$J$1208,0)),0)-$AI1139))</f>
        <v/>
      </c>
      <c r="AK1139" s="11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IF($H1140="","",IFERROR(INDEX('CAT_ACTIVIDADES'!$B$4:$B$8,MATCH($H1140,'CAT_ACTIVIDADES'!$A$4:$A$8,0)),"(sin catálogo)"))</f>
        <v/>
      </c>
      <c r="AA1140" s="13">
        <f>IF($J1140="","",TODAY()-$J1140)</f>
        <v/>
      </c>
      <c r="AB1140" s="13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J$4:$J$451,MATCH($O1140&amp;"|"&amp;$R1140&amp;"|"&amp;$AE1140,'ASIGNACIONES'!$N$4:$N$451,0)),""))=0,"",IFERROR(INDEX('ASIGNACIONES'!$J$4:$J$451,MATCH($O1140&amp;"|"&amp;$R1140&amp;"|"&amp;$AE1140,'ASIGNACIONES'!$N$4:$N$451,0)),"")))</f>
        <v/>
      </c>
      <c r="AG1140" s="14">
        <f>IF($AE1140="","",SUMIFS('ORDENES'!$M$4:$M$1203,'ORDENES'!$AE$4:$AE$1203,$AE1140,'ORDENES'!$O$4:$O$1203,$O1140,'ORDENES'!$R$4:$R$1203,$R1140))</f>
        <v/>
      </c>
      <c r="AH1140" s="14">
        <f>IF($AG1140="","",p_factor_productividad*IFERROR(INDEX('ASIGNACIONES'!$M$4:$M$451,MATCH($O1140&amp;"|"&amp;$R1140&amp;"|"&amp;$AE1140,'ASIGNACIONES'!$N$4:$N$451,0)),0)-$AG1140)</f>
        <v/>
      </c>
      <c r="AI1140" s="11">
        <f>IF($A1140="","",IFERROR(INDEX('2_IMPORTAR_EJECUCION'!$F$9:$F$1208,MATCH($AQ1140,'2_IMPORTAR_EJECUCION'!$J$9:$J$1208,0)),0))</f>
        <v/>
      </c>
      <c r="AJ1140" s="11">
        <f>IF($A1140="","",MAX(0,IFERROR(INDEX('2_IMPORTAR_EJECUCION'!$H$9:$H$1208,MATCH($AQ1140,'2_IMPORTAR_EJECUCION'!$J$9:$J$1208,0)),0)-$AI1140))</f>
        <v/>
      </c>
      <c r="AK1140" s="11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IF($H1141="","",IFERROR(INDEX('CAT_ACTIVIDADES'!$B$4:$B$8,MATCH($H1141,'CAT_ACTIVIDADES'!$A$4:$A$8,0)),"(sin catálogo)"))</f>
        <v/>
      </c>
      <c r="AA1141" s="13">
        <f>IF($J1141="","",TODAY()-$J1141)</f>
        <v/>
      </c>
      <c r="AB1141" s="13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J$4:$J$451,MATCH($O1141&amp;"|"&amp;$R1141&amp;"|"&amp;$AE1141,'ASIGNACIONES'!$N$4:$N$451,0)),""))=0,"",IFERROR(INDEX('ASIGNACIONES'!$J$4:$J$451,MATCH($O1141&amp;"|"&amp;$R1141&amp;"|"&amp;$AE1141,'ASIGNACIONES'!$N$4:$N$451,0)),"")))</f>
        <v/>
      </c>
      <c r="AG1141" s="14">
        <f>IF($AE1141="","",SUMIFS('ORDENES'!$M$4:$M$1203,'ORDENES'!$AE$4:$AE$1203,$AE1141,'ORDENES'!$O$4:$O$1203,$O1141,'ORDENES'!$R$4:$R$1203,$R1141))</f>
        <v/>
      </c>
      <c r="AH1141" s="14">
        <f>IF($AG1141="","",p_factor_productividad*IFERROR(INDEX('ASIGNACIONES'!$M$4:$M$451,MATCH($O1141&amp;"|"&amp;$R1141&amp;"|"&amp;$AE1141,'ASIGNACIONES'!$N$4:$N$451,0)),0)-$AG1141)</f>
        <v/>
      </c>
      <c r="AI1141" s="11">
        <f>IF($A1141="","",IFERROR(INDEX('2_IMPORTAR_EJECUCION'!$F$9:$F$1208,MATCH($AQ1141,'2_IMPORTAR_EJECUCION'!$J$9:$J$1208,0)),0))</f>
        <v/>
      </c>
      <c r="AJ1141" s="11">
        <f>IF($A1141="","",MAX(0,IFERROR(INDEX('2_IMPORTAR_EJECUCION'!$H$9:$H$1208,MATCH($AQ1141,'2_IMPORTAR_EJECUCION'!$J$9:$J$1208,0)),0)-$AI1141))</f>
        <v/>
      </c>
      <c r="AK1141" s="11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IF($H1142="","",IFERROR(INDEX('CAT_ACTIVIDADES'!$B$4:$B$8,MATCH($H1142,'CAT_ACTIVIDADES'!$A$4:$A$8,0)),"(sin catálogo)"))</f>
        <v/>
      </c>
      <c r="AA1142" s="13">
        <f>IF($J1142="","",TODAY()-$J1142)</f>
        <v/>
      </c>
      <c r="AB1142" s="13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J$4:$J$451,MATCH($O1142&amp;"|"&amp;$R1142&amp;"|"&amp;$AE1142,'ASIGNACIONES'!$N$4:$N$451,0)),""))=0,"",IFERROR(INDEX('ASIGNACIONES'!$J$4:$J$451,MATCH($O1142&amp;"|"&amp;$R1142&amp;"|"&amp;$AE1142,'ASIGNACIONES'!$N$4:$N$451,0)),"")))</f>
        <v/>
      </c>
      <c r="AG1142" s="14">
        <f>IF($AE1142="","",SUMIFS('ORDENES'!$M$4:$M$1203,'ORDENES'!$AE$4:$AE$1203,$AE1142,'ORDENES'!$O$4:$O$1203,$O1142,'ORDENES'!$R$4:$R$1203,$R1142))</f>
        <v/>
      </c>
      <c r="AH1142" s="14">
        <f>IF($AG1142="","",p_factor_productividad*IFERROR(INDEX('ASIGNACIONES'!$M$4:$M$451,MATCH($O1142&amp;"|"&amp;$R1142&amp;"|"&amp;$AE1142,'ASIGNACIONES'!$N$4:$N$451,0)),0)-$AG1142)</f>
        <v/>
      </c>
      <c r="AI1142" s="11">
        <f>IF($A1142="","",IFERROR(INDEX('2_IMPORTAR_EJECUCION'!$F$9:$F$1208,MATCH($AQ1142,'2_IMPORTAR_EJECUCION'!$J$9:$J$1208,0)),0))</f>
        <v/>
      </c>
      <c r="AJ1142" s="11">
        <f>IF($A1142="","",MAX(0,IFERROR(INDEX('2_IMPORTAR_EJECUCION'!$H$9:$H$1208,MATCH($AQ1142,'2_IMPORTAR_EJECUCION'!$J$9:$J$1208,0)),0)-$AI1142))</f>
        <v/>
      </c>
      <c r="AK1142" s="11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IF($H1143="","",IFERROR(INDEX('CAT_ACTIVIDADES'!$B$4:$B$8,MATCH($H1143,'CAT_ACTIVIDADES'!$A$4:$A$8,0)),"(sin catálogo)"))</f>
        <v/>
      </c>
      <c r="AA1143" s="13">
        <f>IF($J1143="","",TODAY()-$J1143)</f>
        <v/>
      </c>
      <c r="AB1143" s="13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J$4:$J$451,MATCH($O1143&amp;"|"&amp;$R1143&amp;"|"&amp;$AE1143,'ASIGNACIONES'!$N$4:$N$451,0)),""))=0,"",IFERROR(INDEX('ASIGNACIONES'!$J$4:$J$451,MATCH($O1143&amp;"|"&amp;$R1143&amp;"|"&amp;$AE1143,'ASIGNACIONES'!$N$4:$N$451,0)),"")))</f>
        <v/>
      </c>
      <c r="AG1143" s="14">
        <f>IF($AE1143="","",SUMIFS('ORDENES'!$M$4:$M$1203,'ORDENES'!$AE$4:$AE$1203,$AE1143,'ORDENES'!$O$4:$O$1203,$O1143,'ORDENES'!$R$4:$R$1203,$R1143))</f>
        <v/>
      </c>
      <c r="AH1143" s="14">
        <f>IF($AG1143="","",p_factor_productividad*IFERROR(INDEX('ASIGNACIONES'!$M$4:$M$451,MATCH($O1143&amp;"|"&amp;$R1143&amp;"|"&amp;$AE1143,'ASIGNACIONES'!$N$4:$N$451,0)),0)-$AG1143)</f>
        <v/>
      </c>
      <c r="AI1143" s="11">
        <f>IF($A1143="","",IFERROR(INDEX('2_IMPORTAR_EJECUCION'!$F$9:$F$1208,MATCH($AQ1143,'2_IMPORTAR_EJECUCION'!$J$9:$J$1208,0)),0))</f>
        <v/>
      </c>
      <c r="AJ1143" s="11">
        <f>IF($A1143="","",MAX(0,IFERROR(INDEX('2_IMPORTAR_EJECUCION'!$H$9:$H$1208,MATCH($AQ1143,'2_IMPORTAR_EJECUCION'!$J$9:$J$1208,0)),0)-$AI1143))</f>
        <v/>
      </c>
      <c r="AK1143" s="11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IF($H1144="","",IFERROR(INDEX('CAT_ACTIVIDADES'!$B$4:$B$8,MATCH($H1144,'CAT_ACTIVIDADES'!$A$4:$A$8,0)),"(sin catálogo)"))</f>
        <v/>
      </c>
      <c r="AA1144" s="13">
        <f>IF($J1144="","",TODAY()-$J1144)</f>
        <v/>
      </c>
      <c r="AB1144" s="13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J$4:$J$451,MATCH($O1144&amp;"|"&amp;$R1144&amp;"|"&amp;$AE1144,'ASIGNACIONES'!$N$4:$N$451,0)),""))=0,"",IFERROR(INDEX('ASIGNACIONES'!$J$4:$J$451,MATCH($O1144&amp;"|"&amp;$R1144&amp;"|"&amp;$AE1144,'ASIGNACIONES'!$N$4:$N$451,0)),"")))</f>
        <v/>
      </c>
      <c r="AG1144" s="14">
        <f>IF($AE1144="","",SUMIFS('ORDENES'!$M$4:$M$1203,'ORDENES'!$AE$4:$AE$1203,$AE1144,'ORDENES'!$O$4:$O$1203,$O1144,'ORDENES'!$R$4:$R$1203,$R1144))</f>
        <v/>
      </c>
      <c r="AH1144" s="14">
        <f>IF($AG1144="","",p_factor_productividad*IFERROR(INDEX('ASIGNACIONES'!$M$4:$M$451,MATCH($O1144&amp;"|"&amp;$R1144&amp;"|"&amp;$AE1144,'ASIGNACIONES'!$N$4:$N$451,0)),0)-$AG1144)</f>
        <v/>
      </c>
      <c r="AI1144" s="11">
        <f>IF($A1144="","",IFERROR(INDEX('2_IMPORTAR_EJECUCION'!$F$9:$F$1208,MATCH($AQ1144,'2_IMPORTAR_EJECUCION'!$J$9:$J$1208,0)),0))</f>
        <v/>
      </c>
      <c r="AJ1144" s="11">
        <f>IF($A1144="","",MAX(0,IFERROR(INDEX('2_IMPORTAR_EJECUCION'!$H$9:$H$1208,MATCH($AQ1144,'2_IMPORTAR_EJECUCION'!$J$9:$J$1208,0)),0)-$AI1144))</f>
        <v/>
      </c>
      <c r="AK1144" s="11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IF($H1145="","",IFERROR(INDEX('CAT_ACTIVIDADES'!$B$4:$B$8,MATCH($H1145,'CAT_ACTIVIDADES'!$A$4:$A$8,0)),"(sin catálogo)"))</f>
        <v/>
      </c>
      <c r="AA1145" s="13">
        <f>IF($J1145="","",TODAY()-$J1145)</f>
        <v/>
      </c>
      <c r="AB1145" s="13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J$4:$J$451,MATCH($O1145&amp;"|"&amp;$R1145&amp;"|"&amp;$AE1145,'ASIGNACIONES'!$N$4:$N$451,0)),""))=0,"",IFERROR(INDEX('ASIGNACIONES'!$J$4:$J$451,MATCH($O1145&amp;"|"&amp;$R1145&amp;"|"&amp;$AE1145,'ASIGNACIONES'!$N$4:$N$451,0)),"")))</f>
        <v/>
      </c>
      <c r="AG1145" s="14">
        <f>IF($AE1145="","",SUMIFS('ORDENES'!$M$4:$M$1203,'ORDENES'!$AE$4:$AE$1203,$AE1145,'ORDENES'!$O$4:$O$1203,$O1145,'ORDENES'!$R$4:$R$1203,$R1145))</f>
        <v/>
      </c>
      <c r="AH1145" s="14">
        <f>IF($AG1145="","",p_factor_productividad*IFERROR(INDEX('ASIGNACIONES'!$M$4:$M$451,MATCH($O1145&amp;"|"&amp;$R1145&amp;"|"&amp;$AE1145,'ASIGNACIONES'!$N$4:$N$451,0)),0)-$AG1145)</f>
        <v/>
      </c>
      <c r="AI1145" s="11">
        <f>IF($A1145="","",IFERROR(INDEX('2_IMPORTAR_EJECUCION'!$F$9:$F$1208,MATCH($AQ1145,'2_IMPORTAR_EJECUCION'!$J$9:$J$1208,0)),0))</f>
        <v/>
      </c>
      <c r="AJ1145" s="11">
        <f>IF($A1145="","",MAX(0,IFERROR(INDEX('2_IMPORTAR_EJECUCION'!$H$9:$H$1208,MATCH($AQ1145,'2_IMPORTAR_EJECUCION'!$J$9:$J$1208,0)),0)-$AI1145))</f>
        <v/>
      </c>
      <c r="AK1145" s="11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IF($H1146="","",IFERROR(INDEX('CAT_ACTIVIDADES'!$B$4:$B$8,MATCH($H1146,'CAT_ACTIVIDADES'!$A$4:$A$8,0)),"(sin catálogo)"))</f>
        <v/>
      </c>
      <c r="AA1146" s="13">
        <f>IF($J1146="","",TODAY()-$J1146)</f>
        <v/>
      </c>
      <c r="AB1146" s="13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J$4:$J$451,MATCH($O1146&amp;"|"&amp;$R1146&amp;"|"&amp;$AE1146,'ASIGNACIONES'!$N$4:$N$451,0)),""))=0,"",IFERROR(INDEX('ASIGNACIONES'!$J$4:$J$451,MATCH($O1146&amp;"|"&amp;$R1146&amp;"|"&amp;$AE1146,'ASIGNACIONES'!$N$4:$N$451,0)),"")))</f>
        <v/>
      </c>
      <c r="AG1146" s="14">
        <f>IF($AE1146="","",SUMIFS('ORDENES'!$M$4:$M$1203,'ORDENES'!$AE$4:$AE$1203,$AE1146,'ORDENES'!$O$4:$O$1203,$O1146,'ORDENES'!$R$4:$R$1203,$R1146))</f>
        <v/>
      </c>
      <c r="AH1146" s="14">
        <f>IF($AG1146="","",p_factor_productividad*IFERROR(INDEX('ASIGNACIONES'!$M$4:$M$451,MATCH($O1146&amp;"|"&amp;$R1146&amp;"|"&amp;$AE1146,'ASIGNACIONES'!$N$4:$N$451,0)),0)-$AG1146)</f>
        <v/>
      </c>
      <c r="AI1146" s="11">
        <f>IF($A1146="","",IFERROR(INDEX('2_IMPORTAR_EJECUCION'!$F$9:$F$1208,MATCH($AQ1146,'2_IMPORTAR_EJECUCION'!$J$9:$J$1208,0)),0))</f>
        <v/>
      </c>
      <c r="AJ1146" s="11">
        <f>IF($A1146="","",MAX(0,IFERROR(INDEX('2_IMPORTAR_EJECUCION'!$H$9:$H$1208,MATCH($AQ1146,'2_IMPORTAR_EJECUCION'!$J$9:$J$1208,0)),0)-$AI1146))</f>
        <v/>
      </c>
      <c r="AK1146" s="11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IF($H1147="","",IFERROR(INDEX('CAT_ACTIVIDADES'!$B$4:$B$8,MATCH($H1147,'CAT_ACTIVIDADES'!$A$4:$A$8,0)),"(sin catálogo)"))</f>
        <v/>
      </c>
      <c r="AA1147" s="13">
        <f>IF($J1147="","",TODAY()-$J1147)</f>
        <v/>
      </c>
      <c r="AB1147" s="13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J$4:$J$451,MATCH($O1147&amp;"|"&amp;$R1147&amp;"|"&amp;$AE1147,'ASIGNACIONES'!$N$4:$N$451,0)),""))=0,"",IFERROR(INDEX('ASIGNACIONES'!$J$4:$J$451,MATCH($O1147&amp;"|"&amp;$R1147&amp;"|"&amp;$AE1147,'ASIGNACIONES'!$N$4:$N$451,0)),"")))</f>
        <v/>
      </c>
      <c r="AG1147" s="14">
        <f>IF($AE1147="","",SUMIFS('ORDENES'!$M$4:$M$1203,'ORDENES'!$AE$4:$AE$1203,$AE1147,'ORDENES'!$O$4:$O$1203,$O1147,'ORDENES'!$R$4:$R$1203,$R1147))</f>
        <v/>
      </c>
      <c r="AH1147" s="14">
        <f>IF($AG1147="","",p_factor_productividad*IFERROR(INDEX('ASIGNACIONES'!$M$4:$M$451,MATCH($O1147&amp;"|"&amp;$R1147&amp;"|"&amp;$AE1147,'ASIGNACIONES'!$N$4:$N$451,0)),0)-$AG1147)</f>
        <v/>
      </c>
      <c r="AI1147" s="11">
        <f>IF($A1147="","",IFERROR(INDEX('2_IMPORTAR_EJECUCION'!$F$9:$F$1208,MATCH($AQ1147,'2_IMPORTAR_EJECUCION'!$J$9:$J$1208,0)),0))</f>
        <v/>
      </c>
      <c r="AJ1147" s="11">
        <f>IF($A1147="","",MAX(0,IFERROR(INDEX('2_IMPORTAR_EJECUCION'!$H$9:$H$1208,MATCH($AQ1147,'2_IMPORTAR_EJECUCION'!$J$9:$J$1208,0)),0)-$AI1147))</f>
        <v/>
      </c>
      <c r="AK1147" s="11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IF($H1148="","",IFERROR(INDEX('CAT_ACTIVIDADES'!$B$4:$B$8,MATCH($H1148,'CAT_ACTIVIDADES'!$A$4:$A$8,0)),"(sin catálogo)"))</f>
        <v/>
      </c>
      <c r="AA1148" s="13">
        <f>IF($J1148="","",TODAY()-$J1148)</f>
        <v/>
      </c>
      <c r="AB1148" s="13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J$4:$J$451,MATCH($O1148&amp;"|"&amp;$R1148&amp;"|"&amp;$AE1148,'ASIGNACIONES'!$N$4:$N$451,0)),""))=0,"",IFERROR(INDEX('ASIGNACIONES'!$J$4:$J$451,MATCH($O1148&amp;"|"&amp;$R1148&amp;"|"&amp;$AE1148,'ASIGNACIONES'!$N$4:$N$451,0)),"")))</f>
        <v/>
      </c>
      <c r="AG1148" s="14">
        <f>IF($AE1148="","",SUMIFS('ORDENES'!$M$4:$M$1203,'ORDENES'!$AE$4:$AE$1203,$AE1148,'ORDENES'!$O$4:$O$1203,$O1148,'ORDENES'!$R$4:$R$1203,$R1148))</f>
        <v/>
      </c>
      <c r="AH1148" s="14">
        <f>IF($AG1148="","",p_factor_productividad*IFERROR(INDEX('ASIGNACIONES'!$M$4:$M$451,MATCH($O1148&amp;"|"&amp;$R1148&amp;"|"&amp;$AE1148,'ASIGNACIONES'!$N$4:$N$451,0)),0)-$AG1148)</f>
        <v/>
      </c>
      <c r="AI1148" s="11">
        <f>IF($A1148="","",IFERROR(INDEX('2_IMPORTAR_EJECUCION'!$F$9:$F$1208,MATCH($AQ1148,'2_IMPORTAR_EJECUCION'!$J$9:$J$1208,0)),0))</f>
        <v/>
      </c>
      <c r="AJ1148" s="11">
        <f>IF($A1148="","",MAX(0,IFERROR(INDEX('2_IMPORTAR_EJECUCION'!$H$9:$H$1208,MATCH($AQ1148,'2_IMPORTAR_EJECUCION'!$J$9:$J$1208,0)),0)-$AI1148))</f>
        <v/>
      </c>
      <c r="AK1148" s="11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IF($H1149="","",IFERROR(INDEX('CAT_ACTIVIDADES'!$B$4:$B$8,MATCH($H1149,'CAT_ACTIVIDADES'!$A$4:$A$8,0)),"(sin catálogo)"))</f>
        <v/>
      </c>
      <c r="AA1149" s="13">
        <f>IF($J1149="","",TODAY()-$J1149)</f>
        <v/>
      </c>
      <c r="AB1149" s="13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J$4:$J$451,MATCH($O1149&amp;"|"&amp;$R1149&amp;"|"&amp;$AE1149,'ASIGNACIONES'!$N$4:$N$451,0)),""))=0,"",IFERROR(INDEX('ASIGNACIONES'!$J$4:$J$451,MATCH($O1149&amp;"|"&amp;$R1149&amp;"|"&amp;$AE1149,'ASIGNACIONES'!$N$4:$N$451,0)),"")))</f>
        <v/>
      </c>
      <c r="AG1149" s="14">
        <f>IF($AE1149="","",SUMIFS('ORDENES'!$M$4:$M$1203,'ORDENES'!$AE$4:$AE$1203,$AE1149,'ORDENES'!$O$4:$O$1203,$O1149,'ORDENES'!$R$4:$R$1203,$R1149))</f>
        <v/>
      </c>
      <c r="AH1149" s="14">
        <f>IF($AG1149="","",p_factor_productividad*IFERROR(INDEX('ASIGNACIONES'!$M$4:$M$451,MATCH($O1149&amp;"|"&amp;$R1149&amp;"|"&amp;$AE1149,'ASIGNACIONES'!$N$4:$N$451,0)),0)-$AG1149)</f>
        <v/>
      </c>
      <c r="AI1149" s="11">
        <f>IF($A1149="","",IFERROR(INDEX('2_IMPORTAR_EJECUCION'!$F$9:$F$1208,MATCH($AQ1149,'2_IMPORTAR_EJECUCION'!$J$9:$J$1208,0)),0))</f>
        <v/>
      </c>
      <c r="AJ1149" s="11">
        <f>IF($A1149="","",MAX(0,IFERROR(INDEX('2_IMPORTAR_EJECUCION'!$H$9:$H$1208,MATCH($AQ1149,'2_IMPORTAR_EJECUCION'!$J$9:$J$1208,0)),0)-$AI1149))</f>
        <v/>
      </c>
      <c r="AK1149" s="11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IF($H1150="","",IFERROR(INDEX('CAT_ACTIVIDADES'!$B$4:$B$8,MATCH($H1150,'CAT_ACTIVIDADES'!$A$4:$A$8,0)),"(sin catálogo)"))</f>
        <v/>
      </c>
      <c r="AA1150" s="13">
        <f>IF($J1150="","",TODAY()-$J1150)</f>
        <v/>
      </c>
      <c r="AB1150" s="13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J$4:$J$451,MATCH($O1150&amp;"|"&amp;$R1150&amp;"|"&amp;$AE1150,'ASIGNACIONES'!$N$4:$N$451,0)),""))=0,"",IFERROR(INDEX('ASIGNACIONES'!$J$4:$J$451,MATCH($O1150&amp;"|"&amp;$R1150&amp;"|"&amp;$AE1150,'ASIGNACIONES'!$N$4:$N$451,0)),"")))</f>
        <v/>
      </c>
      <c r="AG1150" s="14">
        <f>IF($AE1150="","",SUMIFS('ORDENES'!$M$4:$M$1203,'ORDENES'!$AE$4:$AE$1203,$AE1150,'ORDENES'!$O$4:$O$1203,$O1150,'ORDENES'!$R$4:$R$1203,$R1150))</f>
        <v/>
      </c>
      <c r="AH1150" s="14">
        <f>IF($AG1150="","",p_factor_productividad*IFERROR(INDEX('ASIGNACIONES'!$M$4:$M$451,MATCH($O1150&amp;"|"&amp;$R1150&amp;"|"&amp;$AE1150,'ASIGNACIONES'!$N$4:$N$451,0)),0)-$AG1150)</f>
        <v/>
      </c>
      <c r="AI1150" s="11">
        <f>IF($A1150="","",IFERROR(INDEX('2_IMPORTAR_EJECUCION'!$F$9:$F$1208,MATCH($AQ1150,'2_IMPORTAR_EJECUCION'!$J$9:$J$1208,0)),0))</f>
        <v/>
      </c>
      <c r="AJ1150" s="11">
        <f>IF($A1150="","",MAX(0,IFERROR(INDEX('2_IMPORTAR_EJECUCION'!$H$9:$H$1208,MATCH($AQ1150,'2_IMPORTAR_EJECUCION'!$J$9:$J$1208,0)),0)-$AI1150))</f>
        <v/>
      </c>
      <c r="AK1150" s="11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IF($H1151="","",IFERROR(INDEX('CAT_ACTIVIDADES'!$B$4:$B$8,MATCH($H1151,'CAT_ACTIVIDADES'!$A$4:$A$8,0)),"(sin catálogo)"))</f>
        <v/>
      </c>
      <c r="AA1151" s="13">
        <f>IF($J1151="","",TODAY()-$J1151)</f>
        <v/>
      </c>
      <c r="AB1151" s="13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J$4:$J$451,MATCH($O1151&amp;"|"&amp;$R1151&amp;"|"&amp;$AE1151,'ASIGNACIONES'!$N$4:$N$451,0)),""))=0,"",IFERROR(INDEX('ASIGNACIONES'!$J$4:$J$451,MATCH($O1151&amp;"|"&amp;$R1151&amp;"|"&amp;$AE1151,'ASIGNACIONES'!$N$4:$N$451,0)),"")))</f>
        <v/>
      </c>
      <c r="AG1151" s="14">
        <f>IF($AE1151="","",SUMIFS('ORDENES'!$M$4:$M$1203,'ORDENES'!$AE$4:$AE$1203,$AE1151,'ORDENES'!$O$4:$O$1203,$O1151,'ORDENES'!$R$4:$R$1203,$R1151))</f>
        <v/>
      </c>
      <c r="AH1151" s="14">
        <f>IF($AG1151="","",p_factor_productividad*IFERROR(INDEX('ASIGNACIONES'!$M$4:$M$451,MATCH($O1151&amp;"|"&amp;$R1151&amp;"|"&amp;$AE1151,'ASIGNACIONES'!$N$4:$N$451,0)),0)-$AG1151)</f>
        <v/>
      </c>
      <c r="AI1151" s="11">
        <f>IF($A1151="","",IFERROR(INDEX('2_IMPORTAR_EJECUCION'!$F$9:$F$1208,MATCH($AQ1151,'2_IMPORTAR_EJECUCION'!$J$9:$J$1208,0)),0))</f>
        <v/>
      </c>
      <c r="AJ1151" s="11">
        <f>IF($A1151="","",MAX(0,IFERROR(INDEX('2_IMPORTAR_EJECUCION'!$H$9:$H$1208,MATCH($AQ1151,'2_IMPORTAR_EJECUCION'!$J$9:$J$1208,0)),0)-$AI1151))</f>
        <v/>
      </c>
      <c r="AK1151" s="11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IF($H1152="","",IFERROR(INDEX('CAT_ACTIVIDADES'!$B$4:$B$8,MATCH($H1152,'CAT_ACTIVIDADES'!$A$4:$A$8,0)),"(sin catálogo)"))</f>
        <v/>
      </c>
      <c r="AA1152" s="13">
        <f>IF($J1152="","",TODAY()-$J1152)</f>
        <v/>
      </c>
      <c r="AB1152" s="13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J$4:$J$451,MATCH($O1152&amp;"|"&amp;$R1152&amp;"|"&amp;$AE1152,'ASIGNACIONES'!$N$4:$N$451,0)),""))=0,"",IFERROR(INDEX('ASIGNACIONES'!$J$4:$J$451,MATCH($O1152&amp;"|"&amp;$R1152&amp;"|"&amp;$AE1152,'ASIGNACIONES'!$N$4:$N$451,0)),"")))</f>
        <v/>
      </c>
      <c r="AG1152" s="14">
        <f>IF($AE1152="","",SUMIFS('ORDENES'!$M$4:$M$1203,'ORDENES'!$AE$4:$AE$1203,$AE1152,'ORDENES'!$O$4:$O$1203,$O1152,'ORDENES'!$R$4:$R$1203,$R1152))</f>
        <v/>
      </c>
      <c r="AH1152" s="14">
        <f>IF($AG1152="","",p_factor_productividad*IFERROR(INDEX('ASIGNACIONES'!$M$4:$M$451,MATCH($O1152&amp;"|"&amp;$R1152&amp;"|"&amp;$AE1152,'ASIGNACIONES'!$N$4:$N$451,0)),0)-$AG1152)</f>
        <v/>
      </c>
      <c r="AI1152" s="11">
        <f>IF($A1152="","",IFERROR(INDEX('2_IMPORTAR_EJECUCION'!$F$9:$F$1208,MATCH($AQ1152,'2_IMPORTAR_EJECUCION'!$J$9:$J$1208,0)),0))</f>
        <v/>
      </c>
      <c r="AJ1152" s="11">
        <f>IF($A1152="","",MAX(0,IFERROR(INDEX('2_IMPORTAR_EJECUCION'!$H$9:$H$1208,MATCH($AQ1152,'2_IMPORTAR_EJECUCION'!$J$9:$J$1208,0)),0)-$AI1152))</f>
        <v/>
      </c>
      <c r="AK1152" s="11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IF($H1153="","",IFERROR(INDEX('CAT_ACTIVIDADES'!$B$4:$B$8,MATCH($H1153,'CAT_ACTIVIDADES'!$A$4:$A$8,0)),"(sin catálogo)"))</f>
        <v/>
      </c>
      <c r="AA1153" s="13">
        <f>IF($J1153="","",TODAY()-$J1153)</f>
        <v/>
      </c>
      <c r="AB1153" s="13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J$4:$J$451,MATCH($O1153&amp;"|"&amp;$R1153&amp;"|"&amp;$AE1153,'ASIGNACIONES'!$N$4:$N$451,0)),""))=0,"",IFERROR(INDEX('ASIGNACIONES'!$J$4:$J$451,MATCH($O1153&amp;"|"&amp;$R1153&amp;"|"&amp;$AE1153,'ASIGNACIONES'!$N$4:$N$451,0)),"")))</f>
        <v/>
      </c>
      <c r="AG1153" s="14">
        <f>IF($AE1153="","",SUMIFS('ORDENES'!$M$4:$M$1203,'ORDENES'!$AE$4:$AE$1203,$AE1153,'ORDENES'!$O$4:$O$1203,$O1153,'ORDENES'!$R$4:$R$1203,$R1153))</f>
        <v/>
      </c>
      <c r="AH1153" s="14">
        <f>IF($AG1153="","",p_factor_productividad*IFERROR(INDEX('ASIGNACIONES'!$M$4:$M$451,MATCH($O1153&amp;"|"&amp;$R1153&amp;"|"&amp;$AE1153,'ASIGNACIONES'!$N$4:$N$451,0)),0)-$AG1153)</f>
        <v/>
      </c>
      <c r="AI1153" s="11">
        <f>IF($A1153="","",IFERROR(INDEX('2_IMPORTAR_EJECUCION'!$F$9:$F$1208,MATCH($AQ1153,'2_IMPORTAR_EJECUCION'!$J$9:$J$1208,0)),0))</f>
        <v/>
      </c>
      <c r="AJ1153" s="11">
        <f>IF($A1153="","",MAX(0,IFERROR(INDEX('2_IMPORTAR_EJECUCION'!$H$9:$H$1208,MATCH($AQ1153,'2_IMPORTAR_EJECUCION'!$J$9:$J$1208,0)),0)-$AI1153))</f>
        <v/>
      </c>
      <c r="AK1153" s="11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IF($H1154="","",IFERROR(INDEX('CAT_ACTIVIDADES'!$B$4:$B$8,MATCH($H1154,'CAT_ACTIVIDADES'!$A$4:$A$8,0)),"(sin catálogo)"))</f>
        <v/>
      </c>
      <c r="AA1154" s="13">
        <f>IF($J1154="","",TODAY()-$J1154)</f>
        <v/>
      </c>
      <c r="AB1154" s="13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J$4:$J$451,MATCH($O1154&amp;"|"&amp;$R1154&amp;"|"&amp;$AE1154,'ASIGNACIONES'!$N$4:$N$451,0)),""))=0,"",IFERROR(INDEX('ASIGNACIONES'!$J$4:$J$451,MATCH($O1154&amp;"|"&amp;$R1154&amp;"|"&amp;$AE1154,'ASIGNACIONES'!$N$4:$N$451,0)),"")))</f>
        <v/>
      </c>
      <c r="AG1154" s="14">
        <f>IF($AE1154="","",SUMIFS('ORDENES'!$M$4:$M$1203,'ORDENES'!$AE$4:$AE$1203,$AE1154,'ORDENES'!$O$4:$O$1203,$O1154,'ORDENES'!$R$4:$R$1203,$R1154))</f>
        <v/>
      </c>
      <c r="AH1154" s="14">
        <f>IF($AG1154="","",p_factor_productividad*IFERROR(INDEX('ASIGNACIONES'!$M$4:$M$451,MATCH($O1154&amp;"|"&amp;$R1154&amp;"|"&amp;$AE1154,'ASIGNACIONES'!$N$4:$N$451,0)),0)-$AG1154)</f>
        <v/>
      </c>
      <c r="AI1154" s="11">
        <f>IF($A1154="","",IFERROR(INDEX('2_IMPORTAR_EJECUCION'!$F$9:$F$1208,MATCH($AQ1154,'2_IMPORTAR_EJECUCION'!$J$9:$J$1208,0)),0))</f>
        <v/>
      </c>
      <c r="AJ1154" s="11">
        <f>IF($A1154="","",MAX(0,IFERROR(INDEX('2_IMPORTAR_EJECUCION'!$H$9:$H$1208,MATCH($AQ1154,'2_IMPORTAR_EJECUCION'!$J$9:$J$1208,0)),0)-$AI1154))</f>
        <v/>
      </c>
      <c r="AK1154" s="11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IF($H1155="","",IFERROR(INDEX('CAT_ACTIVIDADES'!$B$4:$B$8,MATCH($H1155,'CAT_ACTIVIDADES'!$A$4:$A$8,0)),"(sin catálogo)"))</f>
        <v/>
      </c>
      <c r="AA1155" s="13">
        <f>IF($J1155="","",TODAY()-$J1155)</f>
        <v/>
      </c>
      <c r="AB1155" s="13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J$4:$J$451,MATCH($O1155&amp;"|"&amp;$R1155&amp;"|"&amp;$AE1155,'ASIGNACIONES'!$N$4:$N$451,0)),""))=0,"",IFERROR(INDEX('ASIGNACIONES'!$J$4:$J$451,MATCH($O1155&amp;"|"&amp;$R1155&amp;"|"&amp;$AE1155,'ASIGNACIONES'!$N$4:$N$451,0)),"")))</f>
        <v/>
      </c>
      <c r="AG1155" s="14">
        <f>IF($AE1155="","",SUMIFS('ORDENES'!$M$4:$M$1203,'ORDENES'!$AE$4:$AE$1203,$AE1155,'ORDENES'!$O$4:$O$1203,$O1155,'ORDENES'!$R$4:$R$1203,$R1155))</f>
        <v/>
      </c>
      <c r="AH1155" s="14">
        <f>IF($AG1155="","",p_factor_productividad*IFERROR(INDEX('ASIGNACIONES'!$M$4:$M$451,MATCH($O1155&amp;"|"&amp;$R1155&amp;"|"&amp;$AE1155,'ASIGNACIONES'!$N$4:$N$451,0)),0)-$AG1155)</f>
        <v/>
      </c>
      <c r="AI1155" s="11">
        <f>IF($A1155="","",IFERROR(INDEX('2_IMPORTAR_EJECUCION'!$F$9:$F$1208,MATCH($AQ1155,'2_IMPORTAR_EJECUCION'!$J$9:$J$1208,0)),0))</f>
        <v/>
      </c>
      <c r="AJ1155" s="11">
        <f>IF($A1155="","",MAX(0,IFERROR(INDEX('2_IMPORTAR_EJECUCION'!$H$9:$H$1208,MATCH($AQ1155,'2_IMPORTAR_EJECUCION'!$J$9:$J$1208,0)),0)-$AI1155))</f>
        <v/>
      </c>
      <c r="AK1155" s="11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IF($H1156="","",IFERROR(INDEX('CAT_ACTIVIDADES'!$B$4:$B$8,MATCH($H1156,'CAT_ACTIVIDADES'!$A$4:$A$8,0)),"(sin catálogo)"))</f>
        <v/>
      </c>
      <c r="AA1156" s="13">
        <f>IF($J1156="","",TODAY()-$J1156)</f>
        <v/>
      </c>
      <c r="AB1156" s="13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J$4:$J$451,MATCH($O1156&amp;"|"&amp;$R1156&amp;"|"&amp;$AE1156,'ASIGNACIONES'!$N$4:$N$451,0)),""))=0,"",IFERROR(INDEX('ASIGNACIONES'!$J$4:$J$451,MATCH($O1156&amp;"|"&amp;$R1156&amp;"|"&amp;$AE1156,'ASIGNACIONES'!$N$4:$N$451,0)),"")))</f>
        <v/>
      </c>
      <c r="AG1156" s="14">
        <f>IF($AE1156="","",SUMIFS('ORDENES'!$M$4:$M$1203,'ORDENES'!$AE$4:$AE$1203,$AE1156,'ORDENES'!$O$4:$O$1203,$O1156,'ORDENES'!$R$4:$R$1203,$R1156))</f>
        <v/>
      </c>
      <c r="AH1156" s="14">
        <f>IF($AG1156="","",p_factor_productividad*IFERROR(INDEX('ASIGNACIONES'!$M$4:$M$451,MATCH($O1156&amp;"|"&amp;$R1156&amp;"|"&amp;$AE1156,'ASIGNACIONES'!$N$4:$N$451,0)),0)-$AG1156)</f>
        <v/>
      </c>
      <c r="AI1156" s="11">
        <f>IF($A1156="","",IFERROR(INDEX('2_IMPORTAR_EJECUCION'!$F$9:$F$1208,MATCH($AQ1156,'2_IMPORTAR_EJECUCION'!$J$9:$J$1208,0)),0))</f>
        <v/>
      </c>
      <c r="AJ1156" s="11">
        <f>IF($A1156="","",MAX(0,IFERROR(INDEX('2_IMPORTAR_EJECUCION'!$H$9:$H$1208,MATCH($AQ1156,'2_IMPORTAR_EJECUCION'!$J$9:$J$1208,0)),0)-$AI1156))</f>
        <v/>
      </c>
      <c r="AK1156" s="11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IF($H1157="","",IFERROR(INDEX('CAT_ACTIVIDADES'!$B$4:$B$8,MATCH($H1157,'CAT_ACTIVIDADES'!$A$4:$A$8,0)),"(sin catálogo)"))</f>
        <v/>
      </c>
      <c r="AA1157" s="13">
        <f>IF($J1157="","",TODAY()-$J1157)</f>
        <v/>
      </c>
      <c r="AB1157" s="13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J$4:$J$451,MATCH($O1157&amp;"|"&amp;$R1157&amp;"|"&amp;$AE1157,'ASIGNACIONES'!$N$4:$N$451,0)),""))=0,"",IFERROR(INDEX('ASIGNACIONES'!$J$4:$J$451,MATCH($O1157&amp;"|"&amp;$R1157&amp;"|"&amp;$AE1157,'ASIGNACIONES'!$N$4:$N$451,0)),"")))</f>
        <v/>
      </c>
      <c r="AG1157" s="14">
        <f>IF($AE1157="","",SUMIFS('ORDENES'!$M$4:$M$1203,'ORDENES'!$AE$4:$AE$1203,$AE1157,'ORDENES'!$O$4:$O$1203,$O1157,'ORDENES'!$R$4:$R$1203,$R1157))</f>
        <v/>
      </c>
      <c r="AH1157" s="14">
        <f>IF($AG1157="","",p_factor_productividad*IFERROR(INDEX('ASIGNACIONES'!$M$4:$M$451,MATCH($O1157&amp;"|"&amp;$R1157&amp;"|"&amp;$AE1157,'ASIGNACIONES'!$N$4:$N$451,0)),0)-$AG1157)</f>
        <v/>
      </c>
      <c r="AI1157" s="11">
        <f>IF($A1157="","",IFERROR(INDEX('2_IMPORTAR_EJECUCION'!$F$9:$F$1208,MATCH($AQ1157,'2_IMPORTAR_EJECUCION'!$J$9:$J$1208,0)),0))</f>
        <v/>
      </c>
      <c r="AJ1157" s="11">
        <f>IF($A1157="","",MAX(0,IFERROR(INDEX('2_IMPORTAR_EJECUCION'!$H$9:$H$1208,MATCH($AQ1157,'2_IMPORTAR_EJECUCION'!$J$9:$J$1208,0)),0)-$AI1157))</f>
        <v/>
      </c>
      <c r="AK1157" s="11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IF($H1158="","",IFERROR(INDEX('CAT_ACTIVIDADES'!$B$4:$B$8,MATCH($H1158,'CAT_ACTIVIDADES'!$A$4:$A$8,0)),"(sin catálogo)"))</f>
        <v/>
      </c>
      <c r="AA1158" s="13">
        <f>IF($J1158="","",TODAY()-$J1158)</f>
        <v/>
      </c>
      <c r="AB1158" s="13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J$4:$J$451,MATCH($O1158&amp;"|"&amp;$R1158&amp;"|"&amp;$AE1158,'ASIGNACIONES'!$N$4:$N$451,0)),""))=0,"",IFERROR(INDEX('ASIGNACIONES'!$J$4:$J$451,MATCH($O1158&amp;"|"&amp;$R1158&amp;"|"&amp;$AE1158,'ASIGNACIONES'!$N$4:$N$451,0)),"")))</f>
        <v/>
      </c>
      <c r="AG1158" s="14">
        <f>IF($AE1158="","",SUMIFS('ORDENES'!$M$4:$M$1203,'ORDENES'!$AE$4:$AE$1203,$AE1158,'ORDENES'!$O$4:$O$1203,$O1158,'ORDENES'!$R$4:$R$1203,$R1158))</f>
        <v/>
      </c>
      <c r="AH1158" s="14">
        <f>IF($AG1158="","",p_factor_productividad*IFERROR(INDEX('ASIGNACIONES'!$M$4:$M$451,MATCH($O1158&amp;"|"&amp;$R1158&amp;"|"&amp;$AE1158,'ASIGNACIONES'!$N$4:$N$451,0)),0)-$AG1158)</f>
        <v/>
      </c>
      <c r="AI1158" s="11">
        <f>IF($A1158="","",IFERROR(INDEX('2_IMPORTAR_EJECUCION'!$F$9:$F$1208,MATCH($AQ1158,'2_IMPORTAR_EJECUCION'!$J$9:$J$1208,0)),0))</f>
        <v/>
      </c>
      <c r="AJ1158" s="11">
        <f>IF($A1158="","",MAX(0,IFERROR(INDEX('2_IMPORTAR_EJECUCION'!$H$9:$H$1208,MATCH($AQ1158,'2_IMPORTAR_EJECUCION'!$J$9:$J$1208,0)),0)-$AI1158))</f>
        <v/>
      </c>
      <c r="AK1158" s="11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IF($H1159="","",IFERROR(INDEX('CAT_ACTIVIDADES'!$B$4:$B$8,MATCH($H1159,'CAT_ACTIVIDADES'!$A$4:$A$8,0)),"(sin catálogo)"))</f>
        <v/>
      </c>
      <c r="AA1159" s="13">
        <f>IF($J1159="","",TODAY()-$J1159)</f>
        <v/>
      </c>
      <c r="AB1159" s="13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J$4:$J$451,MATCH($O1159&amp;"|"&amp;$R1159&amp;"|"&amp;$AE1159,'ASIGNACIONES'!$N$4:$N$451,0)),""))=0,"",IFERROR(INDEX('ASIGNACIONES'!$J$4:$J$451,MATCH($O1159&amp;"|"&amp;$R1159&amp;"|"&amp;$AE1159,'ASIGNACIONES'!$N$4:$N$451,0)),"")))</f>
        <v/>
      </c>
      <c r="AG1159" s="14">
        <f>IF($AE1159="","",SUMIFS('ORDENES'!$M$4:$M$1203,'ORDENES'!$AE$4:$AE$1203,$AE1159,'ORDENES'!$O$4:$O$1203,$O1159,'ORDENES'!$R$4:$R$1203,$R1159))</f>
        <v/>
      </c>
      <c r="AH1159" s="14">
        <f>IF($AG1159="","",p_factor_productividad*IFERROR(INDEX('ASIGNACIONES'!$M$4:$M$451,MATCH($O1159&amp;"|"&amp;$R1159&amp;"|"&amp;$AE1159,'ASIGNACIONES'!$N$4:$N$451,0)),0)-$AG1159)</f>
        <v/>
      </c>
      <c r="AI1159" s="11">
        <f>IF($A1159="","",IFERROR(INDEX('2_IMPORTAR_EJECUCION'!$F$9:$F$1208,MATCH($AQ1159,'2_IMPORTAR_EJECUCION'!$J$9:$J$1208,0)),0))</f>
        <v/>
      </c>
      <c r="AJ1159" s="11">
        <f>IF($A1159="","",MAX(0,IFERROR(INDEX('2_IMPORTAR_EJECUCION'!$H$9:$H$1208,MATCH($AQ1159,'2_IMPORTAR_EJECUCION'!$J$9:$J$1208,0)),0)-$AI1159))</f>
        <v/>
      </c>
      <c r="AK1159" s="11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IF($H1160="","",IFERROR(INDEX('CAT_ACTIVIDADES'!$B$4:$B$8,MATCH($H1160,'CAT_ACTIVIDADES'!$A$4:$A$8,0)),"(sin catálogo)"))</f>
        <v/>
      </c>
      <c r="AA1160" s="13">
        <f>IF($J1160="","",TODAY()-$J1160)</f>
        <v/>
      </c>
      <c r="AB1160" s="13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J$4:$J$451,MATCH($O1160&amp;"|"&amp;$R1160&amp;"|"&amp;$AE1160,'ASIGNACIONES'!$N$4:$N$451,0)),""))=0,"",IFERROR(INDEX('ASIGNACIONES'!$J$4:$J$451,MATCH($O1160&amp;"|"&amp;$R1160&amp;"|"&amp;$AE1160,'ASIGNACIONES'!$N$4:$N$451,0)),"")))</f>
        <v/>
      </c>
      <c r="AG1160" s="14">
        <f>IF($AE1160="","",SUMIFS('ORDENES'!$M$4:$M$1203,'ORDENES'!$AE$4:$AE$1203,$AE1160,'ORDENES'!$O$4:$O$1203,$O1160,'ORDENES'!$R$4:$R$1203,$R1160))</f>
        <v/>
      </c>
      <c r="AH1160" s="14">
        <f>IF($AG1160="","",p_factor_productividad*IFERROR(INDEX('ASIGNACIONES'!$M$4:$M$451,MATCH($O1160&amp;"|"&amp;$R1160&amp;"|"&amp;$AE1160,'ASIGNACIONES'!$N$4:$N$451,0)),0)-$AG1160)</f>
        <v/>
      </c>
      <c r="AI1160" s="11">
        <f>IF($A1160="","",IFERROR(INDEX('2_IMPORTAR_EJECUCION'!$F$9:$F$1208,MATCH($AQ1160,'2_IMPORTAR_EJECUCION'!$J$9:$J$1208,0)),0))</f>
        <v/>
      </c>
      <c r="AJ1160" s="11">
        <f>IF($A1160="","",MAX(0,IFERROR(INDEX('2_IMPORTAR_EJECUCION'!$H$9:$H$1208,MATCH($AQ1160,'2_IMPORTAR_EJECUCION'!$J$9:$J$1208,0)),0)-$AI1160))</f>
        <v/>
      </c>
      <c r="AK1160" s="11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IF($H1161="","",IFERROR(INDEX('CAT_ACTIVIDADES'!$B$4:$B$8,MATCH($H1161,'CAT_ACTIVIDADES'!$A$4:$A$8,0)),"(sin catálogo)"))</f>
        <v/>
      </c>
      <c r="AA1161" s="13">
        <f>IF($J1161="","",TODAY()-$J1161)</f>
        <v/>
      </c>
      <c r="AB1161" s="13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J$4:$J$451,MATCH($O1161&amp;"|"&amp;$R1161&amp;"|"&amp;$AE1161,'ASIGNACIONES'!$N$4:$N$451,0)),""))=0,"",IFERROR(INDEX('ASIGNACIONES'!$J$4:$J$451,MATCH($O1161&amp;"|"&amp;$R1161&amp;"|"&amp;$AE1161,'ASIGNACIONES'!$N$4:$N$451,0)),"")))</f>
        <v/>
      </c>
      <c r="AG1161" s="14">
        <f>IF($AE1161="","",SUMIFS('ORDENES'!$M$4:$M$1203,'ORDENES'!$AE$4:$AE$1203,$AE1161,'ORDENES'!$O$4:$O$1203,$O1161,'ORDENES'!$R$4:$R$1203,$R1161))</f>
        <v/>
      </c>
      <c r="AH1161" s="14">
        <f>IF($AG1161="","",p_factor_productividad*IFERROR(INDEX('ASIGNACIONES'!$M$4:$M$451,MATCH($O1161&amp;"|"&amp;$R1161&amp;"|"&amp;$AE1161,'ASIGNACIONES'!$N$4:$N$451,0)),0)-$AG1161)</f>
        <v/>
      </c>
      <c r="AI1161" s="11">
        <f>IF($A1161="","",IFERROR(INDEX('2_IMPORTAR_EJECUCION'!$F$9:$F$1208,MATCH($AQ1161,'2_IMPORTAR_EJECUCION'!$J$9:$J$1208,0)),0))</f>
        <v/>
      </c>
      <c r="AJ1161" s="11">
        <f>IF($A1161="","",MAX(0,IFERROR(INDEX('2_IMPORTAR_EJECUCION'!$H$9:$H$1208,MATCH($AQ1161,'2_IMPORTAR_EJECUCION'!$J$9:$J$1208,0)),0)-$AI1161))</f>
        <v/>
      </c>
      <c r="AK1161" s="11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IF($H1162="","",IFERROR(INDEX('CAT_ACTIVIDADES'!$B$4:$B$8,MATCH($H1162,'CAT_ACTIVIDADES'!$A$4:$A$8,0)),"(sin catálogo)"))</f>
        <v/>
      </c>
      <c r="AA1162" s="13">
        <f>IF($J1162="","",TODAY()-$J1162)</f>
        <v/>
      </c>
      <c r="AB1162" s="13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J$4:$J$451,MATCH($O1162&amp;"|"&amp;$R1162&amp;"|"&amp;$AE1162,'ASIGNACIONES'!$N$4:$N$451,0)),""))=0,"",IFERROR(INDEX('ASIGNACIONES'!$J$4:$J$451,MATCH($O1162&amp;"|"&amp;$R1162&amp;"|"&amp;$AE1162,'ASIGNACIONES'!$N$4:$N$451,0)),"")))</f>
        <v/>
      </c>
      <c r="AG1162" s="14">
        <f>IF($AE1162="","",SUMIFS('ORDENES'!$M$4:$M$1203,'ORDENES'!$AE$4:$AE$1203,$AE1162,'ORDENES'!$O$4:$O$1203,$O1162,'ORDENES'!$R$4:$R$1203,$R1162))</f>
        <v/>
      </c>
      <c r="AH1162" s="14">
        <f>IF($AG1162="","",p_factor_productividad*IFERROR(INDEX('ASIGNACIONES'!$M$4:$M$451,MATCH($O1162&amp;"|"&amp;$R1162&amp;"|"&amp;$AE1162,'ASIGNACIONES'!$N$4:$N$451,0)),0)-$AG1162)</f>
        <v/>
      </c>
      <c r="AI1162" s="11">
        <f>IF($A1162="","",IFERROR(INDEX('2_IMPORTAR_EJECUCION'!$F$9:$F$1208,MATCH($AQ1162,'2_IMPORTAR_EJECUCION'!$J$9:$J$1208,0)),0))</f>
        <v/>
      </c>
      <c r="AJ1162" s="11">
        <f>IF($A1162="","",MAX(0,IFERROR(INDEX('2_IMPORTAR_EJECUCION'!$H$9:$H$1208,MATCH($AQ1162,'2_IMPORTAR_EJECUCION'!$J$9:$J$1208,0)),0)-$AI1162))</f>
        <v/>
      </c>
      <c r="AK1162" s="11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IF($H1163="","",IFERROR(INDEX('CAT_ACTIVIDADES'!$B$4:$B$8,MATCH($H1163,'CAT_ACTIVIDADES'!$A$4:$A$8,0)),"(sin catálogo)"))</f>
        <v/>
      </c>
      <c r="AA1163" s="13">
        <f>IF($J1163="","",TODAY()-$J1163)</f>
        <v/>
      </c>
      <c r="AB1163" s="13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J$4:$J$451,MATCH($O1163&amp;"|"&amp;$R1163&amp;"|"&amp;$AE1163,'ASIGNACIONES'!$N$4:$N$451,0)),""))=0,"",IFERROR(INDEX('ASIGNACIONES'!$J$4:$J$451,MATCH($O1163&amp;"|"&amp;$R1163&amp;"|"&amp;$AE1163,'ASIGNACIONES'!$N$4:$N$451,0)),"")))</f>
        <v/>
      </c>
      <c r="AG1163" s="14">
        <f>IF($AE1163="","",SUMIFS('ORDENES'!$M$4:$M$1203,'ORDENES'!$AE$4:$AE$1203,$AE1163,'ORDENES'!$O$4:$O$1203,$O1163,'ORDENES'!$R$4:$R$1203,$R1163))</f>
        <v/>
      </c>
      <c r="AH1163" s="14">
        <f>IF($AG1163="","",p_factor_productividad*IFERROR(INDEX('ASIGNACIONES'!$M$4:$M$451,MATCH($O1163&amp;"|"&amp;$R1163&amp;"|"&amp;$AE1163,'ASIGNACIONES'!$N$4:$N$451,0)),0)-$AG1163)</f>
        <v/>
      </c>
      <c r="AI1163" s="11">
        <f>IF($A1163="","",IFERROR(INDEX('2_IMPORTAR_EJECUCION'!$F$9:$F$1208,MATCH($AQ1163,'2_IMPORTAR_EJECUCION'!$J$9:$J$1208,0)),0))</f>
        <v/>
      </c>
      <c r="AJ1163" s="11">
        <f>IF($A1163="","",MAX(0,IFERROR(INDEX('2_IMPORTAR_EJECUCION'!$H$9:$H$1208,MATCH($AQ1163,'2_IMPORTAR_EJECUCION'!$J$9:$J$1208,0)),0)-$AI1163))</f>
        <v/>
      </c>
      <c r="AK1163" s="11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IF($H1164="","",IFERROR(INDEX('CAT_ACTIVIDADES'!$B$4:$B$8,MATCH($H1164,'CAT_ACTIVIDADES'!$A$4:$A$8,0)),"(sin catálogo)"))</f>
        <v/>
      </c>
      <c r="AA1164" s="13">
        <f>IF($J1164="","",TODAY()-$J1164)</f>
        <v/>
      </c>
      <c r="AB1164" s="13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J$4:$J$451,MATCH($O1164&amp;"|"&amp;$R1164&amp;"|"&amp;$AE1164,'ASIGNACIONES'!$N$4:$N$451,0)),""))=0,"",IFERROR(INDEX('ASIGNACIONES'!$J$4:$J$451,MATCH($O1164&amp;"|"&amp;$R1164&amp;"|"&amp;$AE1164,'ASIGNACIONES'!$N$4:$N$451,0)),"")))</f>
        <v/>
      </c>
      <c r="AG1164" s="14">
        <f>IF($AE1164="","",SUMIFS('ORDENES'!$M$4:$M$1203,'ORDENES'!$AE$4:$AE$1203,$AE1164,'ORDENES'!$O$4:$O$1203,$O1164,'ORDENES'!$R$4:$R$1203,$R1164))</f>
        <v/>
      </c>
      <c r="AH1164" s="14">
        <f>IF($AG1164="","",p_factor_productividad*IFERROR(INDEX('ASIGNACIONES'!$M$4:$M$451,MATCH($O1164&amp;"|"&amp;$R1164&amp;"|"&amp;$AE1164,'ASIGNACIONES'!$N$4:$N$451,0)),0)-$AG1164)</f>
        <v/>
      </c>
      <c r="AI1164" s="11">
        <f>IF($A1164="","",IFERROR(INDEX('2_IMPORTAR_EJECUCION'!$F$9:$F$1208,MATCH($AQ1164,'2_IMPORTAR_EJECUCION'!$J$9:$J$1208,0)),0))</f>
        <v/>
      </c>
      <c r="AJ1164" s="11">
        <f>IF($A1164="","",MAX(0,IFERROR(INDEX('2_IMPORTAR_EJECUCION'!$H$9:$H$1208,MATCH($AQ1164,'2_IMPORTAR_EJECUCION'!$J$9:$J$1208,0)),0)-$AI1164))</f>
        <v/>
      </c>
      <c r="AK1164" s="11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IF($H1165="","",IFERROR(INDEX('CAT_ACTIVIDADES'!$B$4:$B$8,MATCH($H1165,'CAT_ACTIVIDADES'!$A$4:$A$8,0)),"(sin catálogo)"))</f>
        <v/>
      </c>
      <c r="AA1165" s="13">
        <f>IF($J1165="","",TODAY()-$J1165)</f>
        <v/>
      </c>
      <c r="AB1165" s="13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J$4:$J$451,MATCH($O1165&amp;"|"&amp;$R1165&amp;"|"&amp;$AE1165,'ASIGNACIONES'!$N$4:$N$451,0)),""))=0,"",IFERROR(INDEX('ASIGNACIONES'!$J$4:$J$451,MATCH($O1165&amp;"|"&amp;$R1165&amp;"|"&amp;$AE1165,'ASIGNACIONES'!$N$4:$N$451,0)),"")))</f>
        <v/>
      </c>
      <c r="AG1165" s="14">
        <f>IF($AE1165="","",SUMIFS('ORDENES'!$M$4:$M$1203,'ORDENES'!$AE$4:$AE$1203,$AE1165,'ORDENES'!$O$4:$O$1203,$O1165,'ORDENES'!$R$4:$R$1203,$R1165))</f>
        <v/>
      </c>
      <c r="AH1165" s="14">
        <f>IF($AG1165="","",p_factor_productividad*IFERROR(INDEX('ASIGNACIONES'!$M$4:$M$451,MATCH($O1165&amp;"|"&amp;$R1165&amp;"|"&amp;$AE1165,'ASIGNACIONES'!$N$4:$N$451,0)),0)-$AG1165)</f>
        <v/>
      </c>
      <c r="AI1165" s="11">
        <f>IF($A1165="","",IFERROR(INDEX('2_IMPORTAR_EJECUCION'!$F$9:$F$1208,MATCH($AQ1165,'2_IMPORTAR_EJECUCION'!$J$9:$J$1208,0)),0))</f>
        <v/>
      </c>
      <c r="AJ1165" s="11">
        <f>IF($A1165="","",MAX(0,IFERROR(INDEX('2_IMPORTAR_EJECUCION'!$H$9:$H$1208,MATCH($AQ1165,'2_IMPORTAR_EJECUCION'!$J$9:$J$1208,0)),0)-$AI1165))</f>
        <v/>
      </c>
      <c r="AK1165" s="11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IF($H1166="","",IFERROR(INDEX('CAT_ACTIVIDADES'!$B$4:$B$8,MATCH($H1166,'CAT_ACTIVIDADES'!$A$4:$A$8,0)),"(sin catálogo)"))</f>
        <v/>
      </c>
      <c r="AA1166" s="13">
        <f>IF($J1166="","",TODAY()-$J1166)</f>
        <v/>
      </c>
      <c r="AB1166" s="13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J$4:$J$451,MATCH($O1166&amp;"|"&amp;$R1166&amp;"|"&amp;$AE1166,'ASIGNACIONES'!$N$4:$N$451,0)),""))=0,"",IFERROR(INDEX('ASIGNACIONES'!$J$4:$J$451,MATCH($O1166&amp;"|"&amp;$R1166&amp;"|"&amp;$AE1166,'ASIGNACIONES'!$N$4:$N$451,0)),"")))</f>
        <v/>
      </c>
      <c r="AG1166" s="14">
        <f>IF($AE1166="","",SUMIFS('ORDENES'!$M$4:$M$1203,'ORDENES'!$AE$4:$AE$1203,$AE1166,'ORDENES'!$O$4:$O$1203,$O1166,'ORDENES'!$R$4:$R$1203,$R1166))</f>
        <v/>
      </c>
      <c r="AH1166" s="14">
        <f>IF($AG1166="","",p_factor_productividad*IFERROR(INDEX('ASIGNACIONES'!$M$4:$M$451,MATCH($O1166&amp;"|"&amp;$R1166&amp;"|"&amp;$AE1166,'ASIGNACIONES'!$N$4:$N$451,0)),0)-$AG1166)</f>
        <v/>
      </c>
      <c r="AI1166" s="11">
        <f>IF($A1166="","",IFERROR(INDEX('2_IMPORTAR_EJECUCION'!$F$9:$F$1208,MATCH($AQ1166,'2_IMPORTAR_EJECUCION'!$J$9:$J$1208,0)),0))</f>
        <v/>
      </c>
      <c r="AJ1166" s="11">
        <f>IF($A1166="","",MAX(0,IFERROR(INDEX('2_IMPORTAR_EJECUCION'!$H$9:$H$1208,MATCH($AQ1166,'2_IMPORTAR_EJECUCION'!$J$9:$J$1208,0)),0)-$AI1166))</f>
        <v/>
      </c>
      <c r="AK1166" s="11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IF($H1167="","",IFERROR(INDEX('CAT_ACTIVIDADES'!$B$4:$B$8,MATCH($H1167,'CAT_ACTIVIDADES'!$A$4:$A$8,0)),"(sin catálogo)"))</f>
        <v/>
      </c>
      <c r="AA1167" s="13">
        <f>IF($J1167="","",TODAY()-$J1167)</f>
        <v/>
      </c>
      <c r="AB1167" s="13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J$4:$J$451,MATCH($O1167&amp;"|"&amp;$R1167&amp;"|"&amp;$AE1167,'ASIGNACIONES'!$N$4:$N$451,0)),""))=0,"",IFERROR(INDEX('ASIGNACIONES'!$J$4:$J$451,MATCH($O1167&amp;"|"&amp;$R1167&amp;"|"&amp;$AE1167,'ASIGNACIONES'!$N$4:$N$451,0)),"")))</f>
        <v/>
      </c>
      <c r="AG1167" s="14">
        <f>IF($AE1167="","",SUMIFS('ORDENES'!$M$4:$M$1203,'ORDENES'!$AE$4:$AE$1203,$AE1167,'ORDENES'!$O$4:$O$1203,$O1167,'ORDENES'!$R$4:$R$1203,$R1167))</f>
        <v/>
      </c>
      <c r="AH1167" s="14">
        <f>IF($AG1167="","",p_factor_productividad*IFERROR(INDEX('ASIGNACIONES'!$M$4:$M$451,MATCH($O1167&amp;"|"&amp;$R1167&amp;"|"&amp;$AE1167,'ASIGNACIONES'!$N$4:$N$451,0)),0)-$AG1167)</f>
        <v/>
      </c>
      <c r="AI1167" s="11">
        <f>IF($A1167="","",IFERROR(INDEX('2_IMPORTAR_EJECUCION'!$F$9:$F$1208,MATCH($AQ1167,'2_IMPORTAR_EJECUCION'!$J$9:$J$1208,0)),0))</f>
        <v/>
      </c>
      <c r="AJ1167" s="11">
        <f>IF($A1167="","",MAX(0,IFERROR(INDEX('2_IMPORTAR_EJECUCION'!$H$9:$H$1208,MATCH($AQ1167,'2_IMPORTAR_EJECUCION'!$J$9:$J$1208,0)),0)-$AI1167))</f>
        <v/>
      </c>
      <c r="AK1167" s="11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IF($H1168="","",IFERROR(INDEX('CAT_ACTIVIDADES'!$B$4:$B$8,MATCH($H1168,'CAT_ACTIVIDADES'!$A$4:$A$8,0)),"(sin catálogo)"))</f>
        <v/>
      </c>
      <c r="AA1168" s="13">
        <f>IF($J1168="","",TODAY()-$J1168)</f>
        <v/>
      </c>
      <c r="AB1168" s="13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J$4:$J$451,MATCH($O1168&amp;"|"&amp;$R1168&amp;"|"&amp;$AE1168,'ASIGNACIONES'!$N$4:$N$451,0)),""))=0,"",IFERROR(INDEX('ASIGNACIONES'!$J$4:$J$451,MATCH($O1168&amp;"|"&amp;$R1168&amp;"|"&amp;$AE1168,'ASIGNACIONES'!$N$4:$N$451,0)),"")))</f>
        <v/>
      </c>
      <c r="AG1168" s="14">
        <f>IF($AE1168="","",SUMIFS('ORDENES'!$M$4:$M$1203,'ORDENES'!$AE$4:$AE$1203,$AE1168,'ORDENES'!$O$4:$O$1203,$O1168,'ORDENES'!$R$4:$R$1203,$R1168))</f>
        <v/>
      </c>
      <c r="AH1168" s="14">
        <f>IF($AG1168="","",p_factor_productividad*IFERROR(INDEX('ASIGNACIONES'!$M$4:$M$451,MATCH($O1168&amp;"|"&amp;$R1168&amp;"|"&amp;$AE1168,'ASIGNACIONES'!$N$4:$N$451,0)),0)-$AG1168)</f>
        <v/>
      </c>
      <c r="AI1168" s="11">
        <f>IF($A1168="","",IFERROR(INDEX('2_IMPORTAR_EJECUCION'!$F$9:$F$1208,MATCH($AQ1168,'2_IMPORTAR_EJECUCION'!$J$9:$J$1208,0)),0))</f>
        <v/>
      </c>
      <c r="AJ1168" s="11">
        <f>IF($A1168="","",MAX(0,IFERROR(INDEX('2_IMPORTAR_EJECUCION'!$H$9:$H$1208,MATCH($AQ1168,'2_IMPORTAR_EJECUCION'!$J$9:$J$1208,0)),0)-$AI1168))</f>
        <v/>
      </c>
      <c r="AK1168" s="11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IF($H1169="","",IFERROR(INDEX('CAT_ACTIVIDADES'!$B$4:$B$8,MATCH($H1169,'CAT_ACTIVIDADES'!$A$4:$A$8,0)),"(sin catálogo)"))</f>
        <v/>
      </c>
      <c r="AA1169" s="13">
        <f>IF($J1169="","",TODAY()-$J1169)</f>
        <v/>
      </c>
      <c r="AB1169" s="13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J$4:$J$451,MATCH($O1169&amp;"|"&amp;$R1169&amp;"|"&amp;$AE1169,'ASIGNACIONES'!$N$4:$N$451,0)),""))=0,"",IFERROR(INDEX('ASIGNACIONES'!$J$4:$J$451,MATCH($O1169&amp;"|"&amp;$R1169&amp;"|"&amp;$AE1169,'ASIGNACIONES'!$N$4:$N$451,0)),"")))</f>
        <v/>
      </c>
      <c r="AG1169" s="14">
        <f>IF($AE1169="","",SUMIFS('ORDENES'!$M$4:$M$1203,'ORDENES'!$AE$4:$AE$1203,$AE1169,'ORDENES'!$O$4:$O$1203,$O1169,'ORDENES'!$R$4:$R$1203,$R1169))</f>
        <v/>
      </c>
      <c r="AH1169" s="14">
        <f>IF($AG1169="","",p_factor_productividad*IFERROR(INDEX('ASIGNACIONES'!$M$4:$M$451,MATCH($O1169&amp;"|"&amp;$R1169&amp;"|"&amp;$AE1169,'ASIGNACIONES'!$N$4:$N$451,0)),0)-$AG1169)</f>
        <v/>
      </c>
      <c r="AI1169" s="11">
        <f>IF($A1169="","",IFERROR(INDEX('2_IMPORTAR_EJECUCION'!$F$9:$F$1208,MATCH($AQ1169,'2_IMPORTAR_EJECUCION'!$J$9:$J$1208,0)),0))</f>
        <v/>
      </c>
      <c r="AJ1169" s="11">
        <f>IF($A1169="","",MAX(0,IFERROR(INDEX('2_IMPORTAR_EJECUCION'!$H$9:$H$1208,MATCH($AQ1169,'2_IMPORTAR_EJECUCION'!$J$9:$J$1208,0)),0)-$AI1169))</f>
        <v/>
      </c>
      <c r="AK1169" s="11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IF($H1170="","",IFERROR(INDEX('CAT_ACTIVIDADES'!$B$4:$B$8,MATCH($H1170,'CAT_ACTIVIDADES'!$A$4:$A$8,0)),"(sin catálogo)"))</f>
        <v/>
      </c>
      <c r="AA1170" s="13">
        <f>IF($J1170="","",TODAY()-$J1170)</f>
        <v/>
      </c>
      <c r="AB1170" s="13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J$4:$J$451,MATCH($O1170&amp;"|"&amp;$R1170&amp;"|"&amp;$AE1170,'ASIGNACIONES'!$N$4:$N$451,0)),""))=0,"",IFERROR(INDEX('ASIGNACIONES'!$J$4:$J$451,MATCH($O1170&amp;"|"&amp;$R1170&amp;"|"&amp;$AE1170,'ASIGNACIONES'!$N$4:$N$451,0)),"")))</f>
        <v/>
      </c>
      <c r="AG1170" s="14">
        <f>IF($AE1170="","",SUMIFS('ORDENES'!$M$4:$M$1203,'ORDENES'!$AE$4:$AE$1203,$AE1170,'ORDENES'!$O$4:$O$1203,$O1170,'ORDENES'!$R$4:$R$1203,$R1170))</f>
        <v/>
      </c>
      <c r="AH1170" s="14">
        <f>IF($AG1170="","",p_factor_productividad*IFERROR(INDEX('ASIGNACIONES'!$M$4:$M$451,MATCH($O1170&amp;"|"&amp;$R1170&amp;"|"&amp;$AE1170,'ASIGNACIONES'!$N$4:$N$451,0)),0)-$AG1170)</f>
        <v/>
      </c>
      <c r="AI1170" s="11">
        <f>IF($A1170="","",IFERROR(INDEX('2_IMPORTAR_EJECUCION'!$F$9:$F$1208,MATCH($AQ1170,'2_IMPORTAR_EJECUCION'!$J$9:$J$1208,0)),0))</f>
        <v/>
      </c>
      <c r="AJ1170" s="11">
        <f>IF($A1170="","",MAX(0,IFERROR(INDEX('2_IMPORTAR_EJECUCION'!$H$9:$H$1208,MATCH($AQ1170,'2_IMPORTAR_EJECUCION'!$J$9:$J$1208,0)),0)-$AI1170))</f>
        <v/>
      </c>
      <c r="AK1170" s="11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IF($H1171="","",IFERROR(INDEX('CAT_ACTIVIDADES'!$B$4:$B$8,MATCH($H1171,'CAT_ACTIVIDADES'!$A$4:$A$8,0)),"(sin catálogo)"))</f>
        <v/>
      </c>
      <c r="AA1171" s="13">
        <f>IF($J1171="","",TODAY()-$J1171)</f>
        <v/>
      </c>
      <c r="AB1171" s="13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J$4:$J$451,MATCH($O1171&amp;"|"&amp;$R1171&amp;"|"&amp;$AE1171,'ASIGNACIONES'!$N$4:$N$451,0)),""))=0,"",IFERROR(INDEX('ASIGNACIONES'!$J$4:$J$451,MATCH($O1171&amp;"|"&amp;$R1171&amp;"|"&amp;$AE1171,'ASIGNACIONES'!$N$4:$N$451,0)),"")))</f>
        <v/>
      </c>
      <c r="AG1171" s="14">
        <f>IF($AE1171="","",SUMIFS('ORDENES'!$M$4:$M$1203,'ORDENES'!$AE$4:$AE$1203,$AE1171,'ORDENES'!$O$4:$O$1203,$O1171,'ORDENES'!$R$4:$R$1203,$R1171))</f>
        <v/>
      </c>
      <c r="AH1171" s="14">
        <f>IF($AG1171="","",p_factor_productividad*IFERROR(INDEX('ASIGNACIONES'!$M$4:$M$451,MATCH($O1171&amp;"|"&amp;$R1171&amp;"|"&amp;$AE1171,'ASIGNACIONES'!$N$4:$N$451,0)),0)-$AG1171)</f>
        <v/>
      </c>
      <c r="AI1171" s="11">
        <f>IF($A1171="","",IFERROR(INDEX('2_IMPORTAR_EJECUCION'!$F$9:$F$1208,MATCH($AQ1171,'2_IMPORTAR_EJECUCION'!$J$9:$J$1208,0)),0))</f>
        <v/>
      </c>
      <c r="AJ1171" s="11">
        <f>IF($A1171="","",MAX(0,IFERROR(INDEX('2_IMPORTAR_EJECUCION'!$H$9:$H$1208,MATCH($AQ1171,'2_IMPORTAR_EJECUCION'!$J$9:$J$1208,0)),0)-$AI1171))</f>
        <v/>
      </c>
      <c r="AK1171" s="11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IF($H1172="","",IFERROR(INDEX('CAT_ACTIVIDADES'!$B$4:$B$8,MATCH($H1172,'CAT_ACTIVIDADES'!$A$4:$A$8,0)),"(sin catálogo)"))</f>
        <v/>
      </c>
      <c r="AA1172" s="13">
        <f>IF($J1172="","",TODAY()-$J1172)</f>
        <v/>
      </c>
      <c r="AB1172" s="13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J$4:$J$451,MATCH($O1172&amp;"|"&amp;$R1172&amp;"|"&amp;$AE1172,'ASIGNACIONES'!$N$4:$N$451,0)),""))=0,"",IFERROR(INDEX('ASIGNACIONES'!$J$4:$J$451,MATCH($O1172&amp;"|"&amp;$R1172&amp;"|"&amp;$AE1172,'ASIGNACIONES'!$N$4:$N$451,0)),"")))</f>
        <v/>
      </c>
      <c r="AG1172" s="14">
        <f>IF($AE1172="","",SUMIFS('ORDENES'!$M$4:$M$1203,'ORDENES'!$AE$4:$AE$1203,$AE1172,'ORDENES'!$O$4:$O$1203,$O1172,'ORDENES'!$R$4:$R$1203,$R1172))</f>
        <v/>
      </c>
      <c r="AH1172" s="14">
        <f>IF($AG1172="","",p_factor_productividad*IFERROR(INDEX('ASIGNACIONES'!$M$4:$M$451,MATCH($O1172&amp;"|"&amp;$R1172&amp;"|"&amp;$AE1172,'ASIGNACIONES'!$N$4:$N$451,0)),0)-$AG1172)</f>
        <v/>
      </c>
      <c r="AI1172" s="11">
        <f>IF($A1172="","",IFERROR(INDEX('2_IMPORTAR_EJECUCION'!$F$9:$F$1208,MATCH($AQ1172,'2_IMPORTAR_EJECUCION'!$J$9:$J$1208,0)),0))</f>
        <v/>
      </c>
      <c r="AJ1172" s="11">
        <f>IF($A1172="","",MAX(0,IFERROR(INDEX('2_IMPORTAR_EJECUCION'!$H$9:$H$1208,MATCH($AQ1172,'2_IMPORTAR_EJECUCION'!$J$9:$J$1208,0)),0)-$AI1172))</f>
        <v/>
      </c>
      <c r="AK1172" s="11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IF($H1173="","",IFERROR(INDEX('CAT_ACTIVIDADES'!$B$4:$B$8,MATCH($H1173,'CAT_ACTIVIDADES'!$A$4:$A$8,0)),"(sin catálogo)"))</f>
        <v/>
      </c>
      <c r="AA1173" s="13">
        <f>IF($J1173="","",TODAY()-$J1173)</f>
        <v/>
      </c>
      <c r="AB1173" s="13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J$4:$J$451,MATCH($O1173&amp;"|"&amp;$R1173&amp;"|"&amp;$AE1173,'ASIGNACIONES'!$N$4:$N$451,0)),""))=0,"",IFERROR(INDEX('ASIGNACIONES'!$J$4:$J$451,MATCH($O1173&amp;"|"&amp;$R1173&amp;"|"&amp;$AE1173,'ASIGNACIONES'!$N$4:$N$451,0)),"")))</f>
        <v/>
      </c>
      <c r="AG1173" s="14">
        <f>IF($AE1173="","",SUMIFS('ORDENES'!$M$4:$M$1203,'ORDENES'!$AE$4:$AE$1203,$AE1173,'ORDENES'!$O$4:$O$1203,$O1173,'ORDENES'!$R$4:$R$1203,$R1173))</f>
        <v/>
      </c>
      <c r="AH1173" s="14">
        <f>IF($AG1173="","",p_factor_productividad*IFERROR(INDEX('ASIGNACIONES'!$M$4:$M$451,MATCH($O1173&amp;"|"&amp;$R1173&amp;"|"&amp;$AE1173,'ASIGNACIONES'!$N$4:$N$451,0)),0)-$AG1173)</f>
        <v/>
      </c>
      <c r="AI1173" s="11">
        <f>IF($A1173="","",IFERROR(INDEX('2_IMPORTAR_EJECUCION'!$F$9:$F$1208,MATCH($AQ1173,'2_IMPORTAR_EJECUCION'!$J$9:$J$1208,0)),0))</f>
        <v/>
      </c>
      <c r="AJ1173" s="11">
        <f>IF($A1173="","",MAX(0,IFERROR(INDEX('2_IMPORTAR_EJECUCION'!$H$9:$H$1208,MATCH($AQ1173,'2_IMPORTAR_EJECUCION'!$J$9:$J$1208,0)),0)-$AI1173))</f>
        <v/>
      </c>
      <c r="AK1173" s="11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IF($H1174="","",IFERROR(INDEX('CAT_ACTIVIDADES'!$B$4:$B$8,MATCH($H1174,'CAT_ACTIVIDADES'!$A$4:$A$8,0)),"(sin catálogo)"))</f>
        <v/>
      </c>
      <c r="AA1174" s="13">
        <f>IF($J1174="","",TODAY()-$J1174)</f>
        <v/>
      </c>
      <c r="AB1174" s="13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J$4:$J$451,MATCH($O1174&amp;"|"&amp;$R1174&amp;"|"&amp;$AE1174,'ASIGNACIONES'!$N$4:$N$451,0)),""))=0,"",IFERROR(INDEX('ASIGNACIONES'!$J$4:$J$451,MATCH($O1174&amp;"|"&amp;$R1174&amp;"|"&amp;$AE1174,'ASIGNACIONES'!$N$4:$N$451,0)),"")))</f>
        <v/>
      </c>
      <c r="AG1174" s="14">
        <f>IF($AE1174="","",SUMIFS('ORDENES'!$M$4:$M$1203,'ORDENES'!$AE$4:$AE$1203,$AE1174,'ORDENES'!$O$4:$O$1203,$O1174,'ORDENES'!$R$4:$R$1203,$R1174))</f>
        <v/>
      </c>
      <c r="AH1174" s="14">
        <f>IF($AG1174="","",p_factor_productividad*IFERROR(INDEX('ASIGNACIONES'!$M$4:$M$451,MATCH($O1174&amp;"|"&amp;$R1174&amp;"|"&amp;$AE1174,'ASIGNACIONES'!$N$4:$N$451,0)),0)-$AG1174)</f>
        <v/>
      </c>
      <c r="AI1174" s="11">
        <f>IF($A1174="","",IFERROR(INDEX('2_IMPORTAR_EJECUCION'!$F$9:$F$1208,MATCH($AQ1174,'2_IMPORTAR_EJECUCION'!$J$9:$J$1208,0)),0))</f>
        <v/>
      </c>
      <c r="AJ1174" s="11">
        <f>IF($A1174="","",MAX(0,IFERROR(INDEX('2_IMPORTAR_EJECUCION'!$H$9:$H$1208,MATCH($AQ1174,'2_IMPORTAR_EJECUCION'!$J$9:$J$1208,0)),0)-$AI1174))</f>
        <v/>
      </c>
      <c r="AK1174" s="11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IF($H1175="","",IFERROR(INDEX('CAT_ACTIVIDADES'!$B$4:$B$8,MATCH($H1175,'CAT_ACTIVIDADES'!$A$4:$A$8,0)),"(sin catálogo)"))</f>
        <v/>
      </c>
      <c r="AA1175" s="13">
        <f>IF($J1175="","",TODAY()-$J1175)</f>
        <v/>
      </c>
      <c r="AB1175" s="13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J$4:$J$451,MATCH($O1175&amp;"|"&amp;$R1175&amp;"|"&amp;$AE1175,'ASIGNACIONES'!$N$4:$N$451,0)),""))=0,"",IFERROR(INDEX('ASIGNACIONES'!$J$4:$J$451,MATCH($O1175&amp;"|"&amp;$R1175&amp;"|"&amp;$AE1175,'ASIGNACIONES'!$N$4:$N$451,0)),"")))</f>
        <v/>
      </c>
      <c r="AG1175" s="14">
        <f>IF($AE1175="","",SUMIFS('ORDENES'!$M$4:$M$1203,'ORDENES'!$AE$4:$AE$1203,$AE1175,'ORDENES'!$O$4:$O$1203,$O1175,'ORDENES'!$R$4:$R$1203,$R1175))</f>
        <v/>
      </c>
      <c r="AH1175" s="14">
        <f>IF($AG1175="","",p_factor_productividad*IFERROR(INDEX('ASIGNACIONES'!$M$4:$M$451,MATCH($O1175&amp;"|"&amp;$R1175&amp;"|"&amp;$AE1175,'ASIGNACIONES'!$N$4:$N$451,0)),0)-$AG1175)</f>
        <v/>
      </c>
      <c r="AI1175" s="11">
        <f>IF($A1175="","",IFERROR(INDEX('2_IMPORTAR_EJECUCION'!$F$9:$F$1208,MATCH($AQ1175,'2_IMPORTAR_EJECUCION'!$J$9:$J$1208,0)),0))</f>
        <v/>
      </c>
      <c r="AJ1175" s="11">
        <f>IF($A1175="","",MAX(0,IFERROR(INDEX('2_IMPORTAR_EJECUCION'!$H$9:$H$1208,MATCH($AQ1175,'2_IMPORTAR_EJECUCION'!$J$9:$J$1208,0)),0)-$AI1175))</f>
        <v/>
      </c>
      <c r="AK1175" s="11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IF($H1176="","",IFERROR(INDEX('CAT_ACTIVIDADES'!$B$4:$B$8,MATCH($H1176,'CAT_ACTIVIDADES'!$A$4:$A$8,0)),"(sin catálogo)"))</f>
        <v/>
      </c>
      <c r="AA1176" s="13">
        <f>IF($J1176="","",TODAY()-$J1176)</f>
        <v/>
      </c>
      <c r="AB1176" s="13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J$4:$J$451,MATCH($O1176&amp;"|"&amp;$R1176&amp;"|"&amp;$AE1176,'ASIGNACIONES'!$N$4:$N$451,0)),""))=0,"",IFERROR(INDEX('ASIGNACIONES'!$J$4:$J$451,MATCH($O1176&amp;"|"&amp;$R1176&amp;"|"&amp;$AE1176,'ASIGNACIONES'!$N$4:$N$451,0)),"")))</f>
        <v/>
      </c>
      <c r="AG1176" s="14">
        <f>IF($AE1176="","",SUMIFS('ORDENES'!$M$4:$M$1203,'ORDENES'!$AE$4:$AE$1203,$AE1176,'ORDENES'!$O$4:$O$1203,$O1176,'ORDENES'!$R$4:$R$1203,$R1176))</f>
        <v/>
      </c>
      <c r="AH1176" s="14">
        <f>IF($AG1176="","",p_factor_productividad*IFERROR(INDEX('ASIGNACIONES'!$M$4:$M$451,MATCH($O1176&amp;"|"&amp;$R1176&amp;"|"&amp;$AE1176,'ASIGNACIONES'!$N$4:$N$451,0)),0)-$AG1176)</f>
        <v/>
      </c>
      <c r="AI1176" s="11">
        <f>IF($A1176="","",IFERROR(INDEX('2_IMPORTAR_EJECUCION'!$F$9:$F$1208,MATCH($AQ1176,'2_IMPORTAR_EJECUCION'!$J$9:$J$1208,0)),0))</f>
        <v/>
      </c>
      <c r="AJ1176" s="11">
        <f>IF($A1176="","",MAX(0,IFERROR(INDEX('2_IMPORTAR_EJECUCION'!$H$9:$H$1208,MATCH($AQ1176,'2_IMPORTAR_EJECUCION'!$J$9:$J$1208,0)),0)-$AI1176))</f>
        <v/>
      </c>
      <c r="AK1176" s="11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IF($H1177="","",IFERROR(INDEX('CAT_ACTIVIDADES'!$B$4:$B$8,MATCH($H1177,'CAT_ACTIVIDADES'!$A$4:$A$8,0)),"(sin catálogo)"))</f>
        <v/>
      </c>
      <c r="AA1177" s="13">
        <f>IF($J1177="","",TODAY()-$J1177)</f>
        <v/>
      </c>
      <c r="AB1177" s="13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J$4:$J$451,MATCH($O1177&amp;"|"&amp;$R1177&amp;"|"&amp;$AE1177,'ASIGNACIONES'!$N$4:$N$451,0)),""))=0,"",IFERROR(INDEX('ASIGNACIONES'!$J$4:$J$451,MATCH($O1177&amp;"|"&amp;$R1177&amp;"|"&amp;$AE1177,'ASIGNACIONES'!$N$4:$N$451,0)),"")))</f>
        <v/>
      </c>
      <c r="AG1177" s="14">
        <f>IF($AE1177="","",SUMIFS('ORDENES'!$M$4:$M$1203,'ORDENES'!$AE$4:$AE$1203,$AE1177,'ORDENES'!$O$4:$O$1203,$O1177,'ORDENES'!$R$4:$R$1203,$R1177))</f>
        <v/>
      </c>
      <c r="AH1177" s="14">
        <f>IF($AG1177="","",p_factor_productividad*IFERROR(INDEX('ASIGNACIONES'!$M$4:$M$451,MATCH($O1177&amp;"|"&amp;$R1177&amp;"|"&amp;$AE1177,'ASIGNACIONES'!$N$4:$N$451,0)),0)-$AG1177)</f>
        <v/>
      </c>
      <c r="AI1177" s="11">
        <f>IF($A1177="","",IFERROR(INDEX('2_IMPORTAR_EJECUCION'!$F$9:$F$1208,MATCH($AQ1177,'2_IMPORTAR_EJECUCION'!$J$9:$J$1208,0)),0))</f>
        <v/>
      </c>
      <c r="AJ1177" s="11">
        <f>IF($A1177="","",MAX(0,IFERROR(INDEX('2_IMPORTAR_EJECUCION'!$H$9:$H$1208,MATCH($AQ1177,'2_IMPORTAR_EJECUCION'!$J$9:$J$1208,0)),0)-$AI1177))</f>
        <v/>
      </c>
      <c r="AK1177" s="11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IF($H1178="","",IFERROR(INDEX('CAT_ACTIVIDADES'!$B$4:$B$8,MATCH($H1178,'CAT_ACTIVIDADES'!$A$4:$A$8,0)),"(sin catálogo)"))</f>
        <v/>
      </c>
      <c r="AA1178" s="13">
        <f>IF($J1178="","",TODAY()-$J1178)</f>
        <v/>
      </c>
      <c r="AB1178" s="13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J$4:$J$451,MATCH($O1178&amp;"|"&amp;$R1178&amp;"|"&amp;$AE1178,'ASIGNACIONES'!$N$4:$N$451,0)),""))=0,"",IFERROR(INDEX('ASIGNACIONES'!$J$4:$J$451,MATCH($O1178&amp;"|"&amp;$R1178&amp;"|"&amp;$AE1178,'ASIGNACIONES'!$N$4:$N$451,0)),"")))</f>
        <v/>
      </c>
      <c r="AG1178" s="14">
        <f>IF($AE1178="","",SUMIFS('ORDENES'!$M$4:$M$1203,'ORDENES'!$AE$4:$AE$1203,$AE1178,'ORDENES'!$O$4:$O$1203,$O1178,'ORDENES'!$R$4:$R$1203,$R1178))</f>
        <v/>
      </c>
      <c r="AH1178" s="14">
        <f>IF($AG1178="","",p_factor_productividad*IFERROR(INDEX('ASIGNACIONES'!$M$4:$M$451,MATCH($O1178&amp;"|"&amp;$R1178&amp;"|"&amp;$AE1178,'ASIGNACIONES'!$N$4:$N$451,0)),0)-$AG1178)</f>
        <v/>
      </c>
      <c r="AI1178" s="11">
        <f>IF($A1178="","",IFERROR(INDEX('2_IMPORTAR_EJECUCION'!$F$9:$F$1208,MATCH($AQ1178,'2_IMPORTAR_EJECUCION'!$J$9:$J$1208,0)),0))</f>
        <v/>
      </c>
      <c r="AJ1178" s="11">
        <f>IF($A1178="","",MAX(0,IFERROR(INDEX('2_IMPORTAR_EJECUCION'!$H$9:$H$1208,MATCH($AQ1178,'2_IMPORTAR_EJECUCION'!$J$9:$J$1208,0)),0)-$AI1178))</f>
        <v/>
      </c>
      <c r="AK1178" s="11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IF($H1179="","",IFERROR(INDEX('CAT_ACTIVIDADES'!$B$4:$B$8,MATCH($H1179,'CAT_ACTIVIDADES'!$A$4:$A$8,0)),"(sin catálogo)"))</f>
        <v/>
      </c>
      <c r="AA1179" s="13">
        <f>IF($J1179="","",TODAY()-$J1179)</f>
        <v/>
      </c>
      <c r="AB1179" s="13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J$4:$J$451,MATCH($O1179&amp;"|"&amp;$R1179&amp;"|"&amp;$AE1179,'ASIGNACIONES'!$N$4:$N$451,0)),""))=0,"",IFERROR(INDEX('ASIGNACIONES'!$J$4:$J$451,MATCH($O1179&amp;"|"&amp;$R1179&amp;"|"&amp;$AE1179,'ASIGNACIONES'!$N$4:$N$451,0)),"")))</f>
        <v/>
      </c>
      <c r="AG1179" s="14">
        <f>IF($AE1179="","",SUMIFS('ORDENES'!$M$4:$M$1203,'ORDENES'!$AE$4:$AE$1203,$AE1179,'ORDENES'!$O$4:$O$1203,$O1179,'ORDENES'!$R$4:$R$1203,$R1179))</f>
        <v/>
      </c>
      <c r="AH1179" s="14">
        <f>IF($AG1179="","",p_factor_productividad*IFERROR(INDEX('ASIGNACIONES'!$M$4:$M$451,MATCH($O1179&amp;"|"&amp;$R1179&amp;"|"&amp;$AE1179,'ASIGNACIONES'!$N$4:$N$451,0)),0)-$AG1179)</f>
        <v/>
      </c>
      <c r="AI1179" s="11">
        <f>IF($A1179="","",IFERROR(INDEX('2_IMPORTAR_EJECUCION'!$F$9:$F$1208,MATCH($AQ1179,'2_IMPORTAR_EJECUCION'!$J$9:$J$1208,0)),0))</f>
        <v/>
      </c>
      <c r="AJ1179" s="11">
        <f>IF($A1179="","",MAX(0,IFERROR(INDEX('2_IMPORTAR_EJECUCION'!$H$9:$H$1208,MATCH($AQ1179,'2_IMPORTAR_EJECUCION'!$J$9:$J$1208,0)),0)-$AI1179))</f>
        <v/>
      </c>
      <c r="AK1179" s="11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IF($H1180="","",IFERROR(INDEX('CAT_ACTIVIDADES'!$B$4:$B$8,MATCH($H1180,'CAT_ACTIVIDADES'!$A$4:$A$8,0)),"(sin catálogo)"))</f>
        <v/>
      </c>
      <c r="AA1180" s="13">
        <f>IF($J1180="","",TODAY()-$J1180)</f>
        <v/>
      </c>
      <c r="AB1180" s="13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J$4:$J$451,MATCH($O1180&amp;"|"&amp;$R1180&amp;"|"&amp;$AE1180,'ASIGNACIONES'!$N$4:$N$451,0)),""))=0,"",IFERROR(INDEX('ASIGNACIONES'!$J$4:$J$451,MATCH($O1180&amp;"|"&amp;$R1180&amp;"|"&amp;$AE1180,'ASIGNACIONES'!$N$4:$N$451,0)),"")))</f>
        <v/>
      </c>
      <c r="AG1180" s="14">
        <f>IF($AE1180="","",SUMIFS('ORDENES'!$M$4:$M$1203,'ORDENES'!$AE$4:$AE$1203,$AE1180,'ORDENES'!$O$4:$O$1203,$O1180,'ORDENES'!$R$4:$R$1203,$R1180))</f>
        <v/>
      </c>
      <c r="AH1180" s="14">
        <f>IF($AG1180="","",p_factor_productividad*IFERROR(INDEX('ASIGNACIONES'!$M$4:$M$451,MATCH($O1180&amp;"|"&amp;$R1180&amp;"|"&amp;$AE1180,'ASIGNACIONES'!$N$4:$N$451,0)),0)-$AG1180)</f>
        <v/>
      </c>
      <c r="AI1180" s="11">
        <f>IF($A1180="","",IFERROR(INDEX('2_IMPORTAR_EJECUCION'!$F$9:$F$1208,MATCH($AQ1180,'2_IMPORTAR_EJECUCION'!$J$9:$J$1208,0)),0))</f>
        <v/>
      </c>
      <c r="AJ1180" s="11">
        <f>IF($A1180="","",MAX(0,IFERROR(INDEX('2_IMPORTAR_EJECUCION'!$H$9:$H$1208,MATCH($AQ1180,'2_IMPORTAR_EJECUCION'!$J$9:$J$1208,0)),0)-$AI1180))</f>
        <v/>
      </c>
      <c r="AK1180" s="11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IF($H1181="","",IFERROR(INDEX('CAT_ACTIVIDADES'!$B$4:$B$8,MATCH($H1181,'CAT_ACTIVIDADES'!$A$4:$A$8,0)),"(sin catálogo)"))</f>
        <v/>
      </c>
      <c r="AA1181" s="13">
        <f>IF($J1181="","",TODAY()-$J1181)</f>
        <v/>
      </c>
      <c r="AB1181" s="13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J$4:$J$451,MATCH($O1181&amp;"|"&amp;$R1181&amp;"|"&amp;$AE1181,'ASIGNACIONES'!$N$4:$N$451,0)),""))=0,"",IFERROR(INDEX('ASIGNACIONES'!$J$4:$J$451,MATCH($O1181&amp;"|"&amp;$R1181&amp;"|"&amp;$AE1181,'ASIGNACIONES'!$N$4:$N$451,0)),"")))</f>
        <v/>
      </c>
      <c r="AG1181" s="14">
        <f>IF($AE1181="","",SUMIFS('ORDENES'!$M$4:$M$1203,'ORDENES'!$AE$4:$AE$1203,$AE1181,'ORDENES'!$O$4:$O$1203,$O1181,'ORDENES'!$R$4:$R$1203,$R1181))</f>
        <v/>
      </c>
      <c r="AH1181" s="14">
        <f>IF($AG1181="","",p_factor_productividad*IFERROR(INDEX('ASIGNACIONES'!$M$4:$M$451,MATCH($O1181&amp;"|"&amp;$R1181&amp;"|"&amp;$AE1181,'ASIGNACIONES'!$N$4:$N$451,0)),0)-$AG1181)</f>
        <v/>
      </c>
      <c r="AI1181" s="11">
        <f>IF($A1181="","",IFERROR(INDEX('2_IMPORTAR_EJECUCION'!$F$9:$F$1208,MATCH($AQ1181,'2_IMPORTAR_EJECUCION'!$J$9:$J$1208,0)),0))</f>
        <v/>
      </c>
      <c r="AJ1181" s="11">
        <f>IF($A1181="","",MAX(0,IFERROR(INDEX('2_IMPORTAR_EJECUCION'!$H$9:$H$1208,MATCH($AQ1181,'2_IMPORTAR_EJECUCION'!$J$9:$J$1208,0)),0)-$AI1181))</f>
        <v/>
      </c>
      <c r="AK1181" s="11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IF($H1182="","",IFERROR(INDEX('CAT_ACTIVIDADES'!$B$4:$B$8,MATCH($H1182,'CAT_ACTIVIDADES'!$A$4:$A$8,0)),"(sin catálogo)"))</f>
        <v/>
      </c>
      <c r="AA1182" s="13">
        <f>IF($J1182="","",TODAY()-$J1182)</f>
        <v/>
      </c>
      <c r="AB1182" s="13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J$4:$J$451,MATCH($O1182&amp;"|"&amp;$R1182&amp;"|"&amp;$AE1182,'ASIGNACIONES'!$N$4:$N$451,0)),""))=0,"",IFERROR(INDEX('ASIGNACIONES'!$J$4:$J$451,MATCH($O1182&amp;"|"&amp;$R1182&amp;"|"&amp;$AE1182,'ASIGNACIONES'!$N$4:$N$451,0)),"")))</f>
        <v/>
      </c>
      <c r="AG1182" s="14">
        <f>IF($AE1182="","",SUMIFS('ORDENES'!$M$4:$M$1203,'ORDENES'!$AE$4:$AE$1203,$AE1182,'ORDENES'!$O$4:$O$1203,$O1182,'ORDENES'!$R$4:$R$1203,$R1182))</f>
        <v/>
      </c>
      <c r="AH1182" s="14">
        <f>IF($AG1182="","",p_factor_productividad*IFERROR(INDEX('ASIGNACIONES'!$M$4:$M$451,MATCH($O1182&amp;"|"&amp;$R1182&amp;"|"&amp;$AE1182,'ASIGNACIONES'!$N$4:$N$451,0)),0)-$AG1182)</f>
        <v/>
      </c>
      <c r="AI1182" s="11">
        <f>IF($A1182="","",IFERROR(INDEX('2_IMPORTAR_EJECUCION'!$F$9:$F$1208,MATCH($AQ1182,'2_IMPORTAR_EJECUCION'!$J$9:$J$1208,0)),0))</f>
        <v/>
      </c>
      <c r="AJ1182" s="11">
        <f>IF($A1182="","",MAX(0,IFERROR(INDEX('2_IMPORTAR_EJECUCION'!$H$9:$H$1208,MATCH($AQ1182,'2_IMPORTAR_EJECUCION'!$J$9:$J$1208,0)),0)-$AI1182))</f>
        <v/>
      </c>
      <c r="AK1182" s="11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IF($H1183="","",IFERROR(INDEX('CAT_ACTIVIDADES'!$B$4:$B$8,MATCH($H1183,'CAT_ACTIVIDADES'!$A$4:$A$8,0)),"(sin catálogo)"))</f>
        <v/>
      </c>
      <c r="AA1183" s="13">
        <f>IF($J1183="","",TODAY()-$J1183)</f>
        <v/>
      </c>
      <c r="AB1183" s="13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J$4:$J$451,MATCH($O1183&amp;"|"&amp;$R1183&amp;"|"&amp;$AE1183,'ASIGNACIONES'!$N$4:$N$451,0)),""))=0,"",IFERROR(INDEX('ASIGNACIONES'!$J$4:$J$451,MATCH($O1183&amp;"|"&amp;$R1183&amp;"|"&amp;$AE1183,'ASIGNACIONES'!$N$4:$N$451,0)),"")))</f>
        <v/>
      </c>
      <c r="AG1183" s="14">
        <f>IF($AE1183="","",SUMIFS('ORDENES'!$M$4:$M$1203,'ORDENES'!$AE$4:$AE$1203,$AE1183,'ORDENES'!$O$4:$O$1203,$O1183,'ORDENES'!$R$4:$R$1203,$R1183))</f>
        <v/>
      </c>
      <c r="AH1183" s="14">
        <f>IF($AG1183="","",p_factor_productividad*IFERROR(INDEX('ASIGNACIONES'!$M$4:$M$451,MATCH($O1183&amp;"|"&amp;$R1183&amp;"|"&amp;$AE1183,'ASIGNACIONES'!$N$4:$N$451,0)),0)-$AG1183)</f>
        <v/>
      </c>
      <c r="AI1183" s="11">
        <f>IF($A1183="","",IFERROR(INDEX('2_IMPORTAR_EJECUCION'!$F$9:$F$1208,MATCH($AQ1183,'2_IMPORTAR_EJECUCION'!$J$9:$J$1208,0)),0))</f>
        <v/>
      </c>
      <c r="AJ1183" s="11">
        <f>IF($A1183="","",MAX(0,IFERROR(INDEX('2_IMPORTAR_EJECUCION'!$H$9:$H$1208,MATCH($AQ1183,'2_IMPORTAR_EJECUCION'!$J$9:$J$1208,0)),0)-$AI1183))</f>
        <v/>
      </c>
      <c r="AK1183" s="11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IF($H1184="","",IFERROR(INDEX('CAT_ACTIVIDADES'!$B$4:$B$8,MATCH($H1184,'CAT_ACTIVIDADES'!$A$4:$A$8,0)),"(sin catálogo)"))</f>
        <v/>
      </c>
      <c r="AA1184" s="13">
        <f>IF($J1184="","",TODAY()-$J1184)</f>
        <v/>
      </c>
      <c r="AB1184" s="13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J$4:$J$451,MATCH($O1184&amp;"|"&amp;$R1184&amp;"|"&amp;$AE1184,'ASIGNACIONES'!$N$4:$N$451,0)),""))=0,"",IFERROR(INDEX('ASIGNACIONES'!$J$4:$J$451,MATCH($O1184&amp;"|"&amp;$R1184&amp;"|"&amp;$AE1184,'ASIGNACIONES'!$N$4:$N$451,0)),"")))</f>
        <v/>
      </c>
      <c r="AG1184" s="14">
        <f>IF($AE1184="","",SUMIFS('ORDENES'!$M$4:$M$1203,'ORDENES'!$AE$4:$AE$1203,$AE1184,'ORDENES'!$O$4:$O$1203,$O1184,'ORDENES'!$R$4:$R$1203,$R1184))</f>
        <v/>
      </c>
      <c r="AH1184" s="14">
        <f>IF($AG1184="","",p_factor_productividad*IFERROR(INDEX('ASIGNACIONES'!$M$4:$M$451,MATCH($O1184&amp;"|"&amp;$R1184&amp;"|"&amp;$AE1184,'ASIGNACIONES'!$N$4:$N$451,0)),0)-$AG1184)</f>
        <v/>
      </c>
      <c r="AI1184" s="11">
        <f>IF($A1184="","",IFERROR(INDEX('2_IMPORTAR_EJECUCION'!$F$9:$F$1208,MATCH($AQ1184,'2_IMPORTAR_EJECUCION'!$J$9:$J$1208,0)),0))</f>
        <v/>
      </c>
      <c r="AJ1184" s="11">
        <f>IF($A1184="","",MAX(0,IFERROR(INDEX('2_IMPORTAR_EJECUCION'!$H$9:$H$1208,MATCH($AQ1184,'2_IMPORTAR_EJECUCION'!$J$9:$J$1208,0)),0)-$AI1184))</f>
        <v/>
      </c>
      <c r="AK1184" s="11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IF($H1185="","",IFERROR(INDEX('CAT_ACTIVIDADES'!$B$4:$B$8,MATCH($H1185,'CAT_ACTIVIDADES'!$A$4:$A$8,0)),"(sin catálogo)"))</f>
        <v/>
      </c>
      <c r="AA1185" s="13">
        <f>IF($J1185="","",TODAY()-$J1185)</f>
        <v/>
      </c>
      <c r="AB1185" s="13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J$4:$J$451,MATCH($O1185&amp;"|"&amp;$R1185&amp;"|"&amp;$AE1185,'ASIGNACIONES'!$N$4:$N$451,0)),""))=0,"",IFERROR(INDEX('ASIGNACIONES'!$J$4:$J$451,MATCH($O1185&amp;"|"&amp;$R1185&amp;"|"&amp;$AE1185,'ASIGNACIONES'!$N$4:$N$451,0)),"")))</f>
        <v/>
      </c>
      <c r="AG1185" s="14">
        <f>IF($AE1185="","",SUMIFS('ORDENES'!$M$4:$M$1203,'ORDENES'!$AE$4:$AE$1203,$AE1185,'ORDENES'!$O$4:$O$1203,$O1185,'ORDENES'!$R$4:$R$1203,$R1185))</f>
        <v/>
      </c>
      <c r="AH1185" s="14">
        <f>IF($AG1185="","",p_factor_productividad*IFERROR(INDEX('ASIGNACIONES'!$M$4:$M$451,MATCH($O1185&amp;"|"&amp;$R1185&amp;"|"&amp;$AE1185,'ASIGNACIONES'!$N$4:$N$451,0)),0)-$AG1185)</f>
        <v/>
      </c>
      <c r="AI1185" s="11">
        <f>IF($A1185="","",IFERROR(INDEX('2_IMPORTAR_EJECUCION'!$F$9:$F$1208,MATCH($AQ1185,'2_IMPORTAR_EJECUCION'!$J$9:$J$1208,0)),0))</f>
        <v/>
      </c>
      <c r="AJ1185" s="11">
        <f>IF($A1185="","",MAX(0,IFERROR(INDEX('2_IMPORTAR_EJECUCION'!$H$9:$H$1208,MATCH($AQ1185,'2_IMPORTAR_EJECUCION'!$J$9:$J$1208,0)),0)-$AI1185))</f>
        <v/>
      </c>
      <c r="AK1185" s="11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IF($H1186="","",IFERROR(INDEX('CAT_ACTIVIDADES'!$B$4:$B$8,MATCH($H1186,'CAT_ACTIVIDADES'!$A$4:$A$8,0)),"(sin catálogo)"))</f>
        <v/>
      </c>
      <c r="AA1186" s="13">
        <f>IF($J1186="","",TODAY()-$J1186)</f>
        <v/>
      </c>
      <c r="AB1186" s="13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J$4:$J$451,MATCH($O1186&amp;"|"&amp;$R1186&amp;"|"&amp;$AE1186,'ASIGNACIONES'!$N$4:$N$451,0)),""))=0,"",IFERROR(INDEX('ASIGNACIONES'!$J$4:$J$451,MATCH($O1186&amp;"|"&amp;$R1186&amp;"|"&amp;$AE1186,'ASIGNACIONES'!$N$4:$N$451,0)),"")))</f>
        <v/>
      </c>
      <c r="AG1186" s="14">
        <f>IF($AE1186="","",SUMIFS('ORDENES'!$M$4:$M$1203,'ORDENES'!$AE$4:$AE$1203,$AE1186,'ORDENES'!$O$4:$O$1203,$O1186,'ORDENES'!$R$4:$R$1203,$R1186))</f>
        <v/>
      </c>
      <c r="AH1186" s="14">
        <f>IF($AG1186="","",p_factor_productividad*IFERROR(INDEX('ASIGNACIONES'!$M$4:$M$451,MATCH($O1186&amp;"|"&amp;$R1186&amp;"|"&amp;$AE1186,'ASIGNACIONES'!$N$4:$N$451,0)),0)-$AG1186)</f>
        <v/>
      </c>
      <c r="AI1186" s="11">
        <f>IF($A1186="","",IFERROR(INDEX('2_IMPORTAR_EJECUCION'!$F$9:$F$1208,MATCH($AQ1186,'2_IMPORTAR_EJECUCION'!$J$9:$J$1208,0)),0))</f>
        <v/>
      </c>
      <c r="AJ1186" s="11">
        <f>IF($A1186="","",MAX(0,IFERROR(INDEX('2_IMPORTAR_EJECUCION'!$H$9:$H$1208,MATCH($AQ1186,'2_IMPORTAR_EJECUCION'!$J$9:$J$1208,0)),0)-$AI1186))</f>
        <v/>
      </c>
      <c r="AK1186" s="11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IF($H1187="","",IFERROR(INDEX('CAT_ACTIVIDADES'!$B$4:$B$8,MATCH($H1187,'CAT_ACTIVIDADES'!$A$4:$A$8,0)),"(sin catálogo)"))</f>
        <v/>
      </c>
      <c r="AA1187" s="13">
        <f>IF($J1187="","",TODAY()-$J1187)</f>
        <v/>
      </c>
      <c r="AB1187" s="13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J$4:$J$451,MATCH($O1187&amp;"|"&amp;$R1187&amp;"|"&amp;$AE1187,'ASIGNACIONES'!$N$4:$N$451,0)),""))=0,"",IFERROR(INDEX('ASIGNACIONES'!$J$4:$J$451,MATCH($O1187&amp;"|"&amp;$R1187&amp;"|"&amp;$AE1187,'ASIGNACIONES'!$N$4:$N$451,0)),"")))</f>
        <v/>
      </c>
      <c r="AG1187" s="14">
        <f>IF($AE1187="","",SUMIFS('ORDENES'!$M$4:$M$1203,'ORDENES'!$AE$4:$AE$1203,$AE1187,'ORDENES'!$O$4:$O$1203,$O1187,'ORDENES'!$R$4:$R$1203,$R1187))</f>
        <v/>
      </c>
      <c r="AH1187" s="14">
        <f>IF($AG1187="","",p_factor_productividad*IFERROR(INDEX('ASIGNACIONES'!$M$4:$M$451,MATCH($O1187&amp;"|"&amp;$R1187&amp;"|"&amp;$AE1187,'ASIGNACIONES'!$N$4:$N$451,0)),0)-$AG1187)</f>
        <v/>
      </c>
      <c r="AI1187" s="11">
        <f>IF($A1187="","",IFERROR(INDEX('2_IMPORTAR_EJECUCION'!$F$9:$F$1208,MATCH($AQ1187,'2_IMPORTAR_EJECUCION'!$J$9:$J$1208,0)),0))</f>
        <v/>
      </c>
      <c r="AJ1187" s="11">
        <f>IF($A1187="","",MAX(0,IFERROR(INDEX('2_IMPORTAR_EJECUCION'!$H$9:$H$1208,MATCH($AQ1187,'2_IMPORTAR_EJECUCION'!$J$9:$J$1208,0)),0)-$AI1187))</f>
        <v/>
      </c>
      <c r="AK1187" s="11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IF($H1188="","",IFERROR(INDEX('CAT_ACTIVIDADES'!$B$4:$B$8,MATCH($H1188,'CAT_ACTIVIDADES'!$A$4:$A$8,0)),"(sin catálogo)"))</f>
        <v/>
      </c>
      <c r="AA1188" s="13">
        <f>IF($J1188="","",TODAY()-$J1188)</f>
        <v/>
      </c>
      <c r="AB1188" s="13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J$4:$J$451,MATCH($O1188&amp;"|"&amp;$R1188&amp;"|"&amp;$AE1188,'ASIGNACIONES'!$N$4:$N$451,0)),""))=0,"",IFERROR(INDEX('ASIGNACIONES'!$J$4:$J$451,MATCH($O1188&amp;"|"&amp;$R1188&amp;"|"&amp;$AE1188,'ASIGNACIONES'!$N$4:$N$451,0)),"")))</f>
        <v/>
      </c>
      <c r="AG1188" s="14">
        <f>IF($AE1188="","",SUMIFS('ORDENES'!$M$4:$M$1203,'ORDENES'!$AE$4:$AE$1203,$AE1188,'ORDENES'!$O$4:$O$1203,$O1188,'ORDENES'!$R$4:$R$1203,$R1188))</f>
        <v/>
      </c>
      <c r="AH1188" s="14">
        <f>IF($AG1188="","",p_factor_productividad*IFERROR(INDEX('ASIGNACIONES'!$M$4:$M$451,MATCH($O1188&amp;"|"&amp;$R1188&amp;"|"&amp;$AE1188,'ASIGNACIONES'!$N$4:$N$451,0)),0)-$AG1188)</f>
        <v/>
      </c>
      <c r="AI1188" s="11">
        <f>IF($A1188="","",IFERROR(INDEX('2_IMPORTAR_EJECUCION'!$F$9:$F$1208,MATCH($AQ1188,'2_IMPORTAR_EJECUCION'!$J$9:$J$1208,0)),0))</f>
        <v/>
      </c>
      <c r="AJ1188" s="11">
        <f>IF($A1188="","",MAX(0,IFERROR(INDEX('2_IMPORTAR_EJECUCION'!$H$9:$H$1208,MATCH($AQ1188,'2_IMPORTAR_EJECUCION'!$J$9:$J$1208,0)),0)-$AI1188))</f>
        <v/>
      </c>
      <c r="AK1188" s="11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IF($H1189="","",IFERROR(INDEX('CAT_ACTIVIDADES'!$B$4:$B$8,MATCH($H1189,'CAT_ACTIVIDADES'!$A$4:$A$8,0)),"(sin catálogo)"))</f>
        <v/>
      </c>
      <c r="AA1189" s="13">
        <f>IF($J1189="","",TODAY()-$J1189)</f>
        <v/>
      </c>
      <c r="AB1189" s="13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J$4:$J$451,MATCH($O1189&amp;"|"&amp;$R1189&amp;"|"&amp;$AE1189,'ASIGNACIONES'!$N$4:$N$451,0)),""))=0,"",IFERROR(INDEX('ASIGNACIONES'!$J$4:$J$451,MATCH($O1189&amp;"|"&amp;$R1189&amp;"|"&amp;$AE1189,'ASIGNACIONES'!$N$4:$N$451,0)),"")))</f>
        <v/>
      </c>
      <c r="AG1189" s="14">
        <f>IF($AE1189="","",SUMIFS('ORDENES'!$M$4:$M$1203,'ORDENES'!$AE$4:$AE$1203,$AE1189,'ORDENES'!$O$4:$O$1203,$O1189,'ORDENES'!$R$4:$R$1203,$R1189))</f>
        <v/>
      </c>
      <c r="AH1189" s="14">
        <f>IF($AG1189="","",p_factor_productividad*IFERROR(INDEX('ASIGNACIONES'!$M$4:$M$451,MATCH($O1189&amp;"|"&amp;$R1189&amp;"|"&amp;$AE1189,'ASIGNACIONES'!$N$4:$N$451,0)),0)-$AG1189)</f>
        <v/>
      </c>
      <c r="AI1189" s="11">
        <f>IF($A1189="","",IFERROR(INDEX('2_IMPORTAR_EJECUCION'!$F$9:$F$1208,MATCH($AQ1189,'2_IMPORTAR_EJECUCION'!$J$9:$J$1208,0)),0))</f>
        <v/>
      </c>
      <c r="AJ1189" s="11">
        <f>IF($A1189="","",MAX(0,IFERROR(INDEX('2_IMPORTAR_EJECUCION'!$H$9:$H$1208,MATCH($AQ1189,'2_IMPORTAR_EJECUCION'!$J$9:$J$1208,0)),0)-$AI1189))</f>
        <v/>
      </c>
      <c r="AK1189" s="11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IF($H1190="","",IFERROR(INDEX('CAT_ACTIVIDADES'!$B$4:$B$8,MATCH($H1190,'CAT_ACTIVIDADES'!$A$4:$A$8,0)),"(sin catálogo)"))</f>
        <v/>
      </c>
      <c r="AA1190" s="13">
        <f>IF($J1190="","",TODAY()-$J1190)</f>
        <v/>
      </c>
      <c r="AB1190" s="13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J$4:$J$451,MATCH($O1190&amp;"|"&amp;$R1190&amp;"|"&amp;$AE1190,'ASIGNACIONES'!$N$4:$N$451,0)),""))=0,"",IFERROR(INDEX('ASIGNACIONES'!$J$4:$J$451,MATCH($O1190&amp;"|"&amp;$R1190&amp;"|"&amp;$AE1190,'ASIGNACIONES'!$N$4:$N$451,0)),"")))</f>
        <v/>
      </c>
      <c r="AG1190" s="14">
        <f>IF($AE1190="","",SUMIFS('ORDENES'!$M$4:$M$1203,'ORDENES'!$AE$4:$AE$1203,$AE1190,'ORDENES'!$O$4:$O$1203,$O1190,'ORDENES'!$R$4:$R$1203,$R1190))</f>
        <v/>
      </c>
      <c r="AH1190" s="14">
        <f>IF($AG1190="","",p_factor_productividad*IFERROR(INDEX('ASIGNACIONES'!$M$4:$M$451,MATCH($O1190&amp;"|"&amp;$R1190&amp;"|"&amp;$AE1190,'ASIGNACIONES'!$N$4:$N$451,0)),0)-$AG1190)</f>
        <v/>
      </c>
      <c r="AI1190" s="11">
        <f>IF($A1190="","",IFERROR(INDEX('2_IMPORTAR_EJECUCION'!$F$9:$F$1208,MATCH($AQ1190,'2_IMPORTAR_EJECUCION'!$J$9:$J$1208,0)),0))</f>
        <v/>
      </c>
      <c r="AJ1190" s="11">
        <f>IF($A1190="","",MAX(0,IFERROR(INDEX('2_IMPORTAR_EJECUCION'!$H$9:$H$1208,MATCH($AQ1190,'2_IMPORTAR_EJECUCION'!$J$9:$J$1208,0)),0)-$AI1190))</f>
        <v/>
      </c>
      <c r="AK1190" s="11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IF($H1191="","",IFERROR(INDEX('CAT_ACTIVIDADES'!$B$4:$B$8,MATCH($H1191,'CAT_ACTIVIDADES'!$A$4:$A$8,0)),"(sin catálogo)"))</f>
        <v/>
      </c>
      <c r="AA1191" s="13">
        <f>IF($J1191="","",TODAY()-$J1191)</f>
        <v/>
      </c>
      <c r="AB1191" s="13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J$4:$J$451,MATCH($O1191&amp;"|"&amp;$R1191&amp;"|"&amp;$AE1191,'ASIGNACIONES'!$N$4:$N$451,0)),""))=0,"",IFERROR(INDEX('ASIGNACIONES'!$J$4:$J$451,MATCH($O1191&amp;"|"&amp;$R1191&amp;"|"&amp;$AE1191,'ASIGNACIONES'!$N$4:$N$451,0)),"")))</f>
        <v/>
      </c>
      <c r="AG1191" s="14">
        <f>IF($AE1191="","",SUMIFS('ORDENES'!$M$4:$M$1203,'ORDENES'!$AE$4:$AE$1203,$AE1191,'ORDENES'!$O$4:$O$1203,$O1191,'ORDENES'!$R$4:$R$1203,$R1191))</f>
        <v/>
      </c>
      <c r="AH1191" s="14">
        <f>IF($AG1191="","",p_factor_productividad*IFERROR(INDEX('ASIGNACIONES'!$M$4:$M$451,MATCH($O1191&amp;"|"&amp;$R1191&amp;"|"&amp;$AE1191,'ASIGNACIONES'!$N$4:$N$451,0)),0)-$AG1191)</f>
        <v/>
      </c>
      <c r="AI1191" s="11">
        <f>IF($A1191="","",IFERROR(INDEX('2_IMPORTAR_EJECUCION'!$F$9:$F$1208,MATCH($AQ1191,'2_IMPORTAR_EJECUCION'!$J$9:$J$1208,0)),0))</f>
        <v/>
      </c>
      <c r="AJ1191" s="11">
        <f>IF($A1191="","",MAX(0,IFERROR(INDEX('2_IMPORTAR_EJECUCION'!$H$9:$H$1208,MATCH($AQ1191,'2_IMPORTAR_EJECUCION'!$J$9:$J$1208,0)),0)-$AI1191))</f>
        <v/>
      </c>
      <c r="AK1191" s="11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IF($H1192="","",IFERROR(INDEX('CAT_ACTIVIDADES'!$B$4:$B$8,MATCH($H1192,'CAT_ACTIVIDADES'!$A$4:$A$8,0)),"(sin catálogo)"))</f>
        <v/>
      </c>
      <c r="AA1192" s="13">
        <f>IF($J1192="","",TODAY()-$J1192)</f>
        <v/>
      </c>
      <c r="AB1192" s="13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J$4:$J$451,MATCH($O1192&amp;"|"&amp;$R1192&amp;"|"&amp;$AE1192,'ASIGNACIONES'!$N$4:$N$451,0)),""))=0,"",IFERROR(INDEX('ASIGNACIONES'!$J$4:$J$451,MATCH($O1192&amp;"|"&amp;$R1192&amp;"|"&amp;$AE1192,'ASIGNACIONES'!$N$4:$N$451,0)),"")))</f>
        <v/>
      </c>
      <c r="AG1192" s="14">
        <f>IF($AE1192="","",SUMIFS('ORDENES'!$M$4:$M$1203,'ORDENES'!$AE$4:$AE$1203,$AE1192,'ORDENES'!$O$4:$O$1203,$O1192,'ORDENES'!$R$4:$R$1203,$R1192))</f>
        <v/>
      </c>
      <c r="AH1192" s="14">
        <f>IF($AG1192="","",p_factor_productividad*IFERROR(INDEX('ASIGNACIONES'!$M$4:$M$451,MATCH($O1192&amp;"|"&amp;$R1192&amp;"|"&amp;$AE1192,'ASIGNACIONES'!$N$4:$N$451,0)),0)-$AG1192)</f>
        <v/>
      </c>
      <c r="AI1192" s="11">
        <f>IF($A1192="","",IFERROR(INDEX('2_IMPORTAR_EJECUCION'!$F$9:$F$1208,MATCH($AQ1192,'2_IMPORTAR_EJECUCION'!$J$9:$J$1208,0)),0))</f>
        <v/>
      </c>
      <c r="AJ1192" s="11">
        <f>IF($A1192="","",MAX(0,IFERROR(INDEX('2_IMPORTAR_EJECUCION'!$H$9:$H$1208,MATCH($AQ1192,'2_IMPORTAR_EJECUCION'!$J$9:$J$1208,0)),0)-$AI1192))</f>
        <v/>
      </c>
      <c r="AK1192" s="11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IF($H1193="","",IFERROR(INDEX('CAT_ACTIVIDADES'!$B$4:$B$8,MATCH($H1193,'CAT_ACTIVIDADES'!$A$4:$A$8,0)),"(sin catálogo)"))</f>
        <v/>
      </c>
      <c r="AA1193" s="13">
        <f>IF($J1193="","",TODAY()-$J1193)</f>
        <v/>
      </c>
      <c r="AB1193" s="13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J$4:$J$451,MATCH($O1193&amp;"|"&amp;$R1193&amp;"|"&amp;$AE1193,'ASIGNACIONES'!$N$4:$N$451,0)),""))=0,"",IFERROR(INDEX('ASIGNACIONES'!$J$4:$J$451,MATCH($O1193&amp;"|"&amp;$R1193&amp;"|"&amp;$AE1193,'ASIGNACIONES'!$N$4:$N$451,0)),"")))</f>
        <v/>
      </c>
      <c r="AG1193" s="14">
        <f>IF($AE1193="","",SUMIFS('ORDENES'!$M$4:$M$1203,'ORDENES'!$AE$4:$AE$1203,$AE1193,'ORDENES'!$O$4:$O$1203,$O1193,'ORDENES'!$R$4:$R$1203,$R1193))</f>
        <v/>
      </c>
      <c r="AH1193" s="14">
        <f>IF($AG1193="","",p_factor_productividad*IFERROR(INDEX('ASIGNACIONES'!$M$4:$M$451,MATCH($O1193&amp;"|"&amp;$R1193&amp;"|"&amp;$AE1193,'ASIGNACIONES'!$N$4:$N$451,0)),0)-$AG1193)</f>
        <v/>
      </c>
      <c r="AI1193" s="11">
        <f>IF($A1193="","",IFERROR(INDEX('2_IMPORTAR_EJECUCION'!$F$9:$F$1208,MATCH($AQ1193,'2_IMPORTAR_EJECUCION'!$J$9:$J$1208,0)),0))</f>
        <v/>
      </c>
      <c r="AJ1193" s="11">
        <f>IF($A1193="","",MAX(0,IFERROR(INDEX('2_IMPORTAR_EJECUCION'!$H$9:$H$1208,MATCH($AQ1193,'2_IMPORTAR_EJECUCION'!$J$9:$J$1208,0)),0)-$AI1193))</f>
        <v/>
      </c>
      <c r="AK1193" s="11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IF($H1194="","",IFERROR(INDEX('CAT_ACTIVIDADES'!$B$4:$B$8,MATCH($H1194,'CAT_ACTIVIDADES'!$A$4:$A$8,0)),"(sin catálogo)"))</f>
        <v/>
      </c>
      <c r="AA1194" s="13">
        <f>IF($J1194="","",TODAY()-$J1194)</f>
        <v/>
      </c>
      <c r="AB1194" s="13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J$4:$J$451,MATCH($O1194&amp;"|"&amp;$R1194&amp;"|"&amp;$AE1194,'ASIGNACIONES'!$N$4:$N$451,0)),""))=0,"",IFERROR(INDEX('ASIGNACIONES'!$J$4:$J$451,MATCH($O1194&amp;"|"&amp;$R1194&amp;"|"&amp;$AE1194,'ASIGNACIONES'!$N$4:$N$451,0)),"")))</f>
        <v/>
      </c>
      <c r="AG1194" s="14">
        <f>IF($AE1194="","",SUMIFS('ORDENES'!$M$4:$M$1203,'ORDENES'!$AE$4:$AE$1203,$AE1194,'ORDENES'!$O$4:$O$1203,$O1194,'ORDENES'!$R$4:$R$1203,$R1194))</f>
        <v/>
      </c>
      <c r="AH1194" s="14">
        <f>IF($AG1194="","",p_factor_productividad*IFERROR(INDEX('ASIGNACIONES'!$M$4:$M$451,MATCH($O1194&amp;"|"&amp;$R1194&amp;"|"&amp;$AE1194,'ASIGNACIONES'!$N$4:$N$451,0)),0)-$AG1194)</f>
        <v/>
      </c>
      <c r="AI1194" s="11">
        <f>IF($A1194="","",IFERROR(INDEX('2_IMPORTAR_EJECUCION'!$F$9:$F$1208,MATCH($AQ1194,'2_IMPORTAR_EJECUCION'!$J$9:$J$1208,0)),0))</f>
        <v/>
      </c>
      <c r="AJ1194" s="11">
        <f>IF($A1194="","",MAX(0,IFERROR(INDEX('2_IMPORTAR_EJECUCION'!$H$9:$H$1208,MATCH($AQ1194,'2_IMPORTAR_EJECUCION'!$J$9:$J$1208,0)),0)-$AI1194))</f>
        <v/>
      </c>
      <c r="AK1194" s="11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IF($H1195="","",IFERROR(INDEX('CAT_ACTIVIDADES'!$B$4:$B$8,MATCH($H1195,'CAT_ACTIVIDADES'!$A$4:$A$8,0)),"(sin catálogo)"))</f>
        <v/>
      </c>
      <c r="AA1195" s="13">
        <f>IF($J1195="","",TODAY()-$J1195)</f>
        <v/>
      </c>
      <c r="AB1195" s="13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J$4:$J$451,MATCH($O1195&amp;"|"&amp;$R1195&amp;"|"&amp;$AE1195,'ASIGNACIONES'!$N$4:$N$451,0)),""))=0,"",IFERROR(INDEX('ASIGNACIONES'!$J$4:$J$451,MATCH($O1195&amp;"|"&amp;$R1195&amp;"|"&amp;$AE1195,'ASIGNACIONES'!$N$4:$N$451,0)),"")))</f>
        <v/>
      </c>
      <c r="AG1195" s="14">
        <f>IF($AE1195="","",SUMIFS('ORDENES'!$M$4:$M$1203,'ORDENES'!$AE$4:$AE$1203,$AE1195,'ORDENES'!$O$4:$O$1203,$O1195,'ORDENES'!$R$4:$R$1203,$R1195))</f>
        <v/>
      </c>
      <c r="AH1195" s="14">
        <f>IF($AG1195="","",p_factor_productividad*IFERROR(INDEX('ASIGNACIONES'!$M$4:$M$451,MATCH($O1195&amp;"|"&amp;$R1195&amp;"|"&amp;$AE1195,'ASIGNACIONES'!$N$4:$N$451,0)),0)-$AG1195)</f>
        <v/>
      </c>
      <c r="AI1195" s="11">
        <f>IF($A1195="","",IFERROR(INDEX('2_IMPORTAR_EJECUCION'!$F$9:$F$1208,MATCH($AQ1195,'2_IMPORTAR_EJECUCION'!$J$9:$J$1208,0)),0))</f>
        <v/>
      </c>
      <c r="AJ1195" s="11">
        <f>IF($A1195="","",MAX(0,IFERROR(INDEX('2_IMPORTAR_EJECUCION'!$H$9:$H$1208,MATCH($AQ1195,'2_IMPORTAR_EJECUCION'!$J$9:$J$1208,0)),0)-$AI1195))</f>
        <v/>
      </c>
      <c r="AK1195" s="11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IF($H1196="","",IFERROR(INDEX('CAT_ACTIVIDADES'!$B$4:$B$8,MATCH($H1196,'CAT_ACTIVIDADES'!$A$4:$A$8,0)),"(sin catálogo)"))</f>
        <v/>
      </c>
      <c r="AA1196" s="13">
        <f>IF($J1196="","",TODAY()-$J1196)</f>
        <v/>
      </c>
      <c r="AB1196" s="13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J$4:$J$451,MATCH($O1196&amp;"|"&amp;$R1196&amp;"|"&amp;$AE1196,'ASIGNACIONES'!$N$4:$N$451,0)),""))=0,"",IFERROR(INDEX('ASIGNACIONES'!$J$4:$J$451,MATCH($O1196&amp;"|"&amp;$R1196&amp;"|"&amp;$AE1196,'ASIGNACIONES'!$N$4:$N$451,0)),"")))</f>
        <v/>
      </c>
      <c r="AG1196" s="14">
        <f>IF($AE1196="","",SUMIFS('ORDENES'!$M$4:$M$1203,'ORDENES'!$AE$4:$AE$1203,$AE1196,'ORDENES'!$O$4:$O$1203,$O1196,'ORDENES'!$R$4:$R$1203,$R1196))</f>
        <v/>
      </c>
      <c r="AH1196" s="14">
        <f>IF($AG1196="","",p_factor_productividad*IFERROR(INDEX('ASIGNACIONES'!$M$4:$M$451,MATCH($O1196&amp;"|"&amp;$R1196&amp;"|"&amp;$AE1196,'ASIGNACIONES'!$N$4:$N$451,0)),0)-$AG1196)</f>
        <v/>
      </c>
      <c r="AI1196" s="11">
        <f>IF($A1196="","",IFERROR(INDEX('2_IMPORTAR_EJECUCION'!$F$9:$F$1208,MATCH($AQ1196,'2_IMPORTAR_EJECUCION'!$J$9:$J$1208,0)),0))</f>
        <v/>
      </c>
      <c r="AJ1196" s="11">
        <f>IF($A1196="","",MAX(0,IFERROR(INDEX('2_IMPORTAR_EJECUCION'!$H$9:$H$1208,MATCH($AQ1196,'2_IMPORTAR_EJECUCION'!$J$9:$J$1208,0)),0)-$AI1196))</f>
        <v/>
      </c>
      <c r="AK1196" s="11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IF($H1197="","",IFERROR(INDEX('CAT_ACTIVIDADES'!$B$4:$B$8,MATCH($H1197,'CAT_ACTIVIDADES'!$A$4:$A$8,0)),"(sin catálogo)"))</f>
        <v/>
      </c>
      <c r="AA1197" s="13">
        <f>IF($J1197="","",TODAY()-$J1197)</f>
        <v/>
      </c>
      <c r="AB1197" s="13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J$4:$J$451,MATCH($O1197&amp;"|"&amp;$R1197&amp;"|"&amp;$AE1197,'ASIGNACIONES'!$N$4:$N$451,0)),""))=0,"",IFERROR(INDEX('ASIGNACIONES'!$J$4:$J$451,MATCH($O1197&amp;"|"&amp;$R1197&amp;"|"&amp;$AE1197,'ASIGNACIONES'!$N$4:$N$451,0)),"")))</f>
        <v/>
      </c>
      <c r="AG1197" s="14">
        <f>IF($AE1197="","",SUMIFS('ORDENES'!$M$4:$M$1203,'ORDENES'!$AE$4:$AE$1203,$AE1197,'ORDENES'!$O$4:$O$1203,$O1197,'ORDENES'!$R$4:$R$1203,$R1197))</f>
        <v/>
      </c>
      <c r="AH1197" s="14">
        <f>IF($AG1197="","",p_factor_productividad*IFERROR(INDEX('ASIGNACIONES'!$M$4:$M$451,MATCH($O1197&amp;"|"&amp;$R1197&amp;"|"&amp;$AE1197,'ASIGNACIONES'!$N$4:$N$451,0)),0)-$AG1197)</f>
        <v/>
      </c>
      <c r="AI1197" s="11">
        <f>IF($A1197="","",IFERROR(INDEX('2_IMPORTAR_EJECUCION'!$F$9:$F$1208,MATCH($AQ1197,'2_IMPORTAR_EJECUCION'!$J$9:$J$1208,0)),0))</f>
        <v/>
      </c>
      <c r="AJ1197" s="11">
        <f>IF($A1197="","",MAX(0,IFERROR(INDEX('2_IMPORTAR_EJECUCION'!$H$9:$H$1208,MATCH($AQ1197,'2_IMPORTAR_EJECUCION'!$J$9:$J$1208,0)),0)-$AI1197))</f>
        <v/>
      </c>
      <c r="AK1197" s="11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IF($H1198="","",IFERROR(INDEX('CAT_ACTIVIDADES'!$B$4:$B$8,MATCH($H1198,'CAT_ACTIVIDADES'!$A$4:$A$8,0)),"(sin catálogo)"))</f>
        <v/>
      </c>
      <c r="AA1198" s="13">
        <f>IF($J1198="","",TODAY()-$J1198)</f>
        <v/>
      </c>
      <c r="AB1198" s="13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J$4:$J$451,MATCH($O1198&amp;"|"&amp;$R1198&amp;"|"&amp;$AE1198,'ASIGNACIONES'!$N$4:$N$451,0)),""))=0,"",IFERROR(INDEX('ASIGNACIONES'!$J$4:$J$451,MATCH($O1198&amp;"|"&amp;$R1198&amp;"|"&amp;$AE1198,'ASIGNACIONES'!$N$4:$N$451,0)),"")))</f>
        <v/>
      </c>
      <c r="AG1198" s="14">
        <f>IF($AE1198="","",SUMIFS('ORDENES'!$M$4:$M$1203,'ORDENES'!$AE$4:$AE$1203,$AE1198,'ORDENES'!$O$4:$O$1203,$O1198,'ORDENES'!$R$4:$R$1203,$R1198))</f>
        <v/>
      </c>
      <c r="AH1198" s="14">
        <f>IF($AG1198="","",p_factor_productividad*IFERROR(INDEX('ASIGNACIONES'!$M$4:$M$451,MATCH($O1198&amp;"|"&amp;$R1198&amp;"|"&amp;$AE1198,'ASIGNACIONES'!$N$4:$N$451,0)),0)-$AG1198)</f>
        <v/>
      </c>
      <c r="AI1198" s="11">
        <f>IF($A1198="","",IFERROR(INDEX('2_IMPORTAR_EJECUCION'!$F$9:$F$1208,MATCH($AQ1198,'2_IMPORTAR_EJECUCION'!$J$9:$J$1208,0)),0))</f>
        <v/>
      </c>
      <c r="AJ1198" s="11">
        <f>IF($A1198="","",MAX(0,IFERROR(INDEX('2_IMPORTAR_EJECUCION'!$H$9:$H$1208,MATCH($AQ1198,'2_IMPORTAR_EJECUCION'!$J$9:$J$1208,0)),0)-$AI1198))</f>
        <v/>
      </c>
      <c r="AK1198" s="11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IF($H1199="","",IFERROR(INDEX('CAT_ACTIVIDADES'!$B$4:$B$8,MATCH($H1199,'CAT_ACTIVIDADES'!$A$4:$A$8,0)),"(sin catálogo)"))</f>
        <v/>
      </c>
      <c r="AA1199" s="13">
        <f>IF($J1199="","",TODAY()-$J1199)</f>
        <v/>
      </c>
      <c r="AB1199" s="13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J$4:$J$451,MATCH($O1199&amp;"|"&amp;$R1199&amp;"|"&amp;$AE1199,'ASIGNACIONES'!$N$4:$N$451,0)),""))=0,"",IFERROR(INDEX('ASIGNACIONES'!$J$4:$J$451,MATCH($O1199&amp;"|"&amp;$R1199&amp;"|"&amp;$AE1199,'ASIGNACIONES'!$N$4:$N$451,0)),"")))</f>
        <v/>
      </c>
      <c r="AG1199" s="14">
        <f>IF($AE1199="","",SUMIFS('ORDENES'!$M$4:$M$1203,'ORDENES'!$AE$4:$AE$1203,$AE1199,'ORDENES'!$O$4:$O$1203,$O1199,'ORDENES'!$R$4:$R$1203,$R1199))</f>
        <v/>
      </c>
      <c r="AH1199" s="14">
        <f>IF($AG1199="","",p_factor_productividad*IFERROR(INDEX('ASIGNACIONES'!$M$4:$M$451,MATCH($O1199&amp;"|"&amp;$R1199&amp;"|"&amp;$AE1199,'ASIGNACIONES'!$N$4:$N$451,0)),0)-$AG1199)</f>
        <v/>
      </c>
      <c r="AI1199" s="11">
        <f>IF($A1199="","",IFERROR(INDEX('2_IMPORTAR_EJECUCION'!$F$9:$F$1208,MATCH($AQ1199,'2_IMPORTAR_EJECUCION'!$J$9:$J$1208,0)),0))</f>
        <v/>
      </c>
      <c r="AJ1199" s="11">
        <f>IF($A1199="","",MAX(0,IFERROR(INDEX('2_IMPORTAR_EJECUCION'!$H$9:$H$1208,MATCH($AQ1199,'2_IMPORTAR_EJECUCION'!$J$9:$J$1208,0)),0)-$AI1199))</f>
        <v/>
      </c>
      <c r="AK1199" s="11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IF($H1200="","",IFERROR(INDEX('CAT_ACTIVIDADES'!$B$4:$B$8,MATCH($H1200,'CAT_ACTIVIDADES'!$A$4:$A$8,0)),"(sin catálogo)"))</f>
        <v/>
      </c>
      <c r="AA1200" s="13">
        <f>IF($J1200="","",TODAY()-$J1200)</f>
        <v/>
      </c>
      <c r="AB1200" s="13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J$4:$J$451,MATCH($O1200&amp;"|"&amp;$R1200&amp;"|"&amp;$AE1200,'ASIGNACIONES'!$N$4:$N$451,0)),""))=0,"",IFERROR(INDEX('ASIGNACIONES'!$J$4:$J$451,MATCH($O1200&amp;"|"&amp;$R1200&amp;"|"&amp;$AE1200,'ASIGNACIONES'!$N$4:$N$451,0)),"")))</f>
        <v/>
      </c>
      <c r="AG1200" s="14">
        <f>IF($AE1200="","",SUMIFS('ORDENES'!$M$4:$M$1203,'ORDENES'!$AE$4:$AE$1203,$AE1200,'ORDENES'!$O$4:$O$1203,$O1200,'ORDENES'!$R$4:$R$1203,$R1200))</f>
        <v/>
      </c>
      <c r="AH1200" s="14">
        <f>IF($AG1200="","",p_factor_productividad*IFERROR(INDEX('ASIGNACIONES'!$M$4:$M$451,MATCH($O1200&amp;"|"&amp;$R1200&amp;"|"&amp;$AE1200,'ASIGNACIONES'!$N$4:$N$451,0)),0)-$AG1200)</f>
        <v/>
      </c>
      <c r="AI1200" s="11">
        <f>IF($A1200="","",IFERROR(INDEX('2_IMPORTAR_EJECUCION'!$F$9:$F$1208,MATCH($AQ1200,'2_IMPORTAR_EJECUCION'!$J$9:$J$1208,0)),0))</f>
        <v/>
      </c>
      <c r="AJ1200" s="11">
        <f>IF($A1200="","",MAX(0,IFERROR(INDEX('2_IMPORTAR_EJECUCION'!$H$9:$H$1208,MATCH($AQ1200,'2_IMPORTAR_EJECUCION'!$J$9:$J$1208,0)),0)-$AI1200))</f>
        <v/>
      </c>
      <c r="AK1200" s="11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IF($H1201="","",IFERROR(INDEX('CAT_ACTIVIDADES'!$B$4:$B$8,MATCH($H1201,'CAT_ACTIVIDADES'!$A$4:$A$8,0)),"(sin catálogo)"))</f>
        <v/>
      </c>
      <c r="AA1201" s="13">
        <f>IF($J1201="","",TODAY()-$J1201)</f>
        <v/>
      </c>
      <c r="AB1201" s="13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J$4:$J$451,MATCH($O1201&amp;"|"&amp;$R1201&amp;"|"&amp;$AE1201,'ASIGNACIONES'!$N$4:$N$451,0)),""))=0,"",IFERROR(INDEX('ASIGNACIONES'!$J$4:$J$451,MATCH($O1201&amp;"|"&amp;$R1201&amp;"|"&amp;$AE1201,'ASIGNACIONES'!$N$4:$N$451,0)),"")))</f>
        <v/>
      </c>
      <c r="AG1201" s="14">
        <f>IF($AE1201="","",SUMIFS('ORDENES'!$M$4:$M$1203,'ORDENES'!$AE$4:$AE$1203,$AE1201,'ORDENES'!$O$4:$O$1203,$O1201,'ORDENES'!$R$4:$R$1203,$R1201))</f>
        <v/>
      </c>
      <c r="AH1201" s="14">
        <f>IF($AG1201="","",p_factor_productividad*IFERROR(INDEX('ASIGNACIONES'!$M$4:$M$451,MATCH($O1201&amp;"|"&amp;$R1201&amp;"|"&amp;$AE1201,'ASIGNACIONES'!$N$4:$N$451,0)),0)-$AG1201)</f>
        <v/>
      </c>
      <c r="AI1201" s="11">
        <f>IF($A1201="","",IFERROR(INDEX('2_IMPORTAR_EJECUCION'!$F$9:$F$1208,MATCH($AQ1201,'2_IMPORTAR_EJECUCION'!$J$9:$J$1208,0)),0))</f>
        <v/>
      </c>
      <c r="AJ1201" s="11">
        <f>IF($A1201="","",MAX(0,IFERROR(INDEX('2_IMPORTAR_EJECUCION'!$H$9:$H$1208,MATCH($AQ1201,'2_IMPORTAR_EJECUCION'!$J$9:$J$1208,0)),0)-$AI1201))</f>
        <v/>
      </c>
      <c r="AK1201" s="11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IF($H1202="","",IFERROR(INDEX('CAT_ACTIVIDADES'!$B$4:$B$8,MATCH($H1202,'CAT_ACTIVIDADES'!$A$4:$A$8,0)),"(sin catálogo)"))</f>
        <v/>
      </c>
      <c r="AA1202" s="13">
        <f>IF($J1202="","",TODAY()-$J1202)</f>
        <v/>
      </c>
      <c r="AB1202" s="13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J$4:$J$451,MATCH($O1202&amp;"|"&amp;$R1202&amp;"|"&amp;$AE1202,'ASIGNACIONES'!$N$4:$N$451,0)),""))=0,"",IFERROR(INDEX('ASIGNACIONES'!$J$4:$J$451,MATCH($O1202&amp;"|"&amp;$R1202&amp;"|"&amp;$AE1202,'ASIGNACIONES'!$N$4:$N$451,0)),"")))</f>
        <v/>
      </c>
      <c r="AG1202" s="14">
        <f>IF($AE1202="","",SUMIFS('ORDENES'!$M$4:$M$1203,'ORDENES'!$AE$4:$AE$1203,$AE1202,'ORDENES'!$O$4:$O$1203,$O1202,'ORDENES'!$R$4:$R$1203,$R1202))</f>
        <v/>
      </c>
      <c r="AH1202" s="14">
        <f>IF($AG1202="","",p_factor_productividad*IFERROR(INDEX('ASIGNACIONES'!$M$4:$M$451,MATCH($O1202&amp;"|"&amp;$R1202&amp;"|"&amp;$AE1202,'ASIGNACIONES'!$N$4:$N$451,0)),0)-$AG1202)</f>
        <v/>
      </c>
      <c r="AI1202" s="11">
        <f>IF($A1202="","",IFERROR(INDEX('2_IMPORTAR_EJECUCION'!$F$9:$F$1208,MATCH($AQ1202,'2_IMPORTAR_EJECUCION'!$J$9:$J$1208,0)),0))</f>
        <v/>
      </c>
      <c r="AJ1202" s="11">
        <f>IF($A1202="","",MAX(0,IFERROR(INDEX('2_IMPORTAR_EJECUCION'!$H$9:$H$1208,MATCH($AQ1202,'2_IMPORTAR_EJECUCION'!$J$9:$J$1208,0)),0)-$AI1202))</f>
        <v/>
      </c>
      <c r="AK1202" s="11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IF($H1203="","",IFERROR(INDEX('CAT_ACTIVIDADES'!$B$4:$B$8,MATCH($H1203,'CAT_ACTIVIDADES'!$A$4:$A$8,0)),"(sin catálogo)"))</f>
        <v/>
      </c>
      <c r="AA1203" s="13">
        <f>IF($J1203="","",TODAY()-$J1203)</f>
        <v/>
      </c>
      <c r="AB1203" s="13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J$4:$J$451,MATCH($O1203&amp;"|"&amp;$R1203&amp;"|"&amp;$AE1203,'ASIGNACIONES'!$N$4:$N$451,0)),""))=0,"",IFERROR(INDEX('ASIGNACIONES'!$J$4:$J$451,MATCH($O1203&amp;"|"&amp;$R1203&amp;"|"&amp;$AE1203,'ASIGNACIONES'!$N$4:$N$451,0)),"")))</f>
        <v/>
      </c>
      <c r="AG1203" s="14">
        <f>IF($AE1203="","",SUMIFS('ORDENES'!$M$4:$M$1203,'ORDENES'!$AE$4:$AE$1203,$AE1203,'ORDENES'!$O$4:$O$1203,$O1203,'ORDENES'!$R$4:$R$1203,$R1203))</f>
        <v/>
      </c>
      <c r="AH1203" s="14">
        <f>IF($AG1203="","",p_factor_productividad*IFERROR(INDEX('ASIGNACIONES'!$M$4:$M$451,MATCH($O1203&amp;"|"&amp;$R1203&amp;"|"&amp;$AE1203,'ASIGNACIONES'!$N$4:$N$451,0)),0)-$AG1203)</f>
        <v/>
      </c>
      <c r="AI1203" s="11">
        <f>IF($A1203="","",IFERROR(INDEX('2_IMPORTAR_EJECUCION'!$F$9:$F$1208,MATCH($AQ1203,'2_IMPORTAR_EJECUCION'!$J$9:$J$1208,0)),0))</f>
        <v/>
      </c>
      <c r="AJ1203" s="11">
        <f>IF($A1203="","",MAX(0,IFERROR(INDEX('2_IMPORTAR_EJECUCION'!$H$9:$H$1208,MATCH($AQ1203,'2_IMPORTAR_EJECUCION'!$J$9:$J$1208,0)),0)-$AI1203))</f>
        <v/>
      </c>
      <c r="AK1203" s="11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supervisor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Supervisor Mecánico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Supervisor Mecánico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Supervisor Mecánico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Supervisor Mecánico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Supervisor Mecánico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Supervisor Mecánico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Supervisor Mecánico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Supervisor Eléctrico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Supervisor Eléctrico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Supervisor Eléctrico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Supervisor Eléctrico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Supervisor Eléctrico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Supervisor Eléctrico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Supervisor Eléctrico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Jefe de Automatización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Jefe de Automatización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4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en_vacaciones</t>
        </is>
      </c>
      <c r="I3" s="5" t="inlineStr">
        <is>
          <t>turno_manual</t>
        </is>
      </c>
      <c r="J3" s="5" t="inlineStr">
        <is>
          <t>turno</t>
        </is>
      </c>
      <c r="K3" s="5" t="inlineStr">
        <is>
          <t>supervisor</t>
        </is>
      </c>
      <c r="L3" s="5" t="inlineStr">
        <is>
          <t>fecha</t>
        </is>
      </c>
      <c r="M3" s="5" t="inlineStr">
        <is>
          <t>horas_disponibles</t>
        </is>
      </c>
      <c r="N3" s="5" t="inlineStr">
        <is>
          <t>clave</t>
        </is>
      </c>
      <c r="O3" s="5" t="inlineStr">
        <is>
          <t>hora_inicio</t>
        </is>
      </c>
      <c r="P3" s="5" t="inlineStr">
        <is>
          <t>hora_fin</t>
        </is>
      </c>
      <c r="Q3" s="5" t="inlineStr">
        <is>
          <t>trabaja_domingo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IFERROR(INDEX('TECNICOS'!$D$4:$D$19,MATCH($C4,'TECNICOS'!$B$4:$B$19,0)),"")</f>
        <v/>
      </c>
      <c r="E4" s="3">
        <f>IFERROR(INDEX('TECNICOS'!$C$4:$C$19,MATCH($C4,'TECNICOS'!$B$4:$B$19,0)),"")</f>
        <v/>
      </c>
      <c r="F4" s="3">
        <f>COUNTIFS('TECNICOS'!$F$4:$F$19,"SI",'TECNICOS'!$C$4:$C$19,$E4,'TECNICOS'!$D$4:$D$19,$D4)</f>
        <v/>
      </c>
      <c r="G4" s="3">
        <f>IF(OR($C4="",$A4="",$B4="domingo"),"",IF(IFERROR(INDEX('TECNICOS'!$F$4:$F$19,MATCH($C4,'TECNICOS'!$B$4:$B$19,0)),"NO")&lt;&gt;"SI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3">
        <f>IF(COUNTIFS('PLAN_VACACIONES'!$A$4:$A$103,$C4,'PLAN_VACACIONES'!$B$4:$B$103,"&lt;="&amp;$L4,'PLAN_VACACIONES'!$C$4:$C$103,"&gt;="&amp;$L4)&gt;0,"sí","no")</f>
        <v/>
      </c>
      <c r="I4" s="6" t="n"/>
      <c r="J4" s="3">
        <f>IF($I4&lt;&gt;"",$I4,IF($G4="","",IF($H4="sí","VAC",IF(LEFT($G4,1)="B","B",$G4))))</f>
        <v/>
      </c>
      <c r="K4" s="3">
        <f>IFERROR(INDEX('TECNICOS'!$E$4:$E$19,MATCH($C4,'TECNICOS'!$B$4:$B$19,0)),"")</f>
        <v/>
      </c>
      <c r="L4" s="12">
        <f>IF($A4="","",DATE(VALUE(LEFT($A4,4)),1,4)-WEEKDAY(DATE(VALUE(LEFT($A4,4)),1,4),2)+1+(VALUE(MID($A4,7,2))-1)*7+MATCH($B4,lista_dias,0)-1)</f>
        <v/>
      </c>
      <c r="M4" s="3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3">
        <f>$A4&amp;"|"&amp;$B4&amp;"|"&amp;$C4</f>
        <v/>
      </c>
      <c r="O4" s="3">
        <f>IFERROR(INDEX('CAT_TURNOS'!$C$4:$C$7,MATCH($J4,'CAT_TURNOS'!$A$4:$A$7,0)),"")</f>
        <v/>
      </c>
      <c r="P4" s="3">
        <f>IFERROR(INDEX('CAT_TURNOS'!$D$4:$D$7,MATCH($J4,'CAT_TURNOS'!$A$4:$A$7,0)),"")</f>
        <v/>
      </c>
      <c r="Q4" s="3">
        <f>IF(AND(LEFT($G4,1)="T",$H4="no"),"sí","no")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IFERROR(INDEX('TECNICOS'!$D$4:$D$19,MATCH($C5,'TECNICOS'!$B$4:$B$19,0)),"")</f>
        <v/>
      </c>
      <c r="E5" s="3">
        <f>IFERROR(INDEX('TECNICOS'!$C$4:$C$19,MATCH($C5,'TECNICOS'!$B$4:$B$19,0)),"")</f>
        <v/>
      </c>
      <c r="F5" s="3">
        <f>COUNTIFS('TECNICOS'!$F$4:$F$19,"SI",'TECNICOS'!$C$4:$C$19,$E5,'TECNICOS'!$D$4:$D$19,$D5)</f>
        <v/>
      </c>
      <c r="G5" s="3">
        <f>IF(OR($C5="",$A5="",$B5="domingo"),"",IF(IFERROR(INDEX('TECNICOS'!$F$4:$F$19,MATCH($C5,'TECNICOS'!$B$4:$B$19,0)),"NO")&lt;&gt;"SI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3">
        <f>IF(COUNTIFS('PLAN_VACACIONES'!$A$4:$A$103,$C5,'PLAN_VACACIONES'!$B$4:$B$103,"&lt;="&amp;$L5,'PLAN_VACACIONES'!$C$4:$C$103,"&gt;="&amp;$L5)&gt;0,"sí","no")</f>
        <v/>
      </c>
      <c r="I5" s="6" t="n"/>
      <c r="J5" s="3">
        <f>IF($I5&lt;&gt;"",$I5,IF($G5="","",IF($H5="sí","VAC",IF(LEFT($G5,1)="B","B",$G5))))</f>
        <v/>
      </c>
      <c r="K5" s="3">
        <f>IFERROR(INDEX('TECNICOS'!$E$4:$E$19,MATCH($C5,'TECNICOS'!$B$4:$B$19,0)),"")</f>
        <v/>
      </c>
      <c r="L5" s="12">
        <f>IF($A5="","",DATE(VALUE(LEFT($A5,4)),1,4)-WEEKDAY(DATE(VALUE(LEFT($A5,4)),1,4),2)+1+(VALUE(MID($A5,7,2))-1)*7+MATCH($B5,lista_dias,0)-1)</f>
        <v/>
      </c>
      <c r="M5" s="3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3">
        <f>$A5&amp;"|"&amp;$B5&amp;"|"&amp;$C5</f>
        <v/>
      </c>
      <c r="O5" s="3">
        <f>IFERROR(INDEX('CAT_TURNOS'!$C$4:$C$7,MATCH($J5,'CAT_TURNOS'!$A$4:$A$7,0)),"")</f>
        <v/>
      </c>
      <c r="P5" s="3">
        <f>IFERROR(INDEX('CAT_TURNOS'!$D$4:$D$7,MATCH($J5,'CAT_TURNOS'!$A$4:$A$7,0)),"")</f>
        <v/>
      </c>
      <c r="Q5" s="3">
        <f>IF(AND(LEFT($G5,1)="T",$H5="no"),"sí","no")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IFERROR(INDEX('TECNICOS'!$D$4:$D$19,MATCH($C6,'TECNICOS'!$B$4:$B$19,0)),"")</f>
        <v/>
      </c>
      <c r="E6" s="3">
        <f>IFERROR(INDEX('TECNICOS'!$C$4:$C$19,MATCH($C6,'TECNICOS'!$B$4:$B$19,0)),"")</f>
        <v/>
      </c>
      <c r="F6" s="3">
        <f>COUNTIFS('TECNICOS'!$F$4:$F$19,"SI",'TECNICOS'!$C$4:$C$19,$E6,'TECNICOS'!$D$4:$D$19,$D6)</f>
        <v/>
      </c>
      <c r="G6" s="3">
        <f>IF(OR($C6="",$A6="",$B6="domingo"),"",IF(IFERROR(INDEX('TECNICOS'!$F$4:$F$19,MATCH($C6,'TECNICOS'!$B$4:$B$19,0)),"NO")&lt;&gt;"SI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3">
        <f>IF(COUNTIFS('PLAN_VACACIONES'!$A$4:$A$103,$C6,'PLAN_VACACIONES'!$B$4:$B$103,"&lt;="&amp;$L6,'PLAN_VACACIONES'!$C$4:$C$103,"&gt;="&amp;$L6)&gt;0,"sí","no")</f>
        <v/>
      </c>
      <c r="I6" s="6" t="n"/>
      <c r="J6" s="3">
        <f>IF($I6&lt;&gt;"",$I6,IF($G6="","",IF($H6="sí","VAC",IF(LEFT($G6,1)="B","B",$G6))))</f>
        <v/>
      </c>
      <c r="K6" s="3">
        <f>IFERROR(INDEX('TECNICOS'!$E$4:$E$19,MATCH($C6,'TECNICOS'!$B$4:$B$19,0)),"")</f>
        <v/>
      </c>
      <c r="L6" s="12">
        <f>IF($A6="","",DATE(VALUE(LEFT($A6,4)),1,4)-WEEKDAY(DATE(VALUE(LEFT($A6,4)),1,4),2)+1+(VALUE(MID($A6,7,2))-1)*7+MATCH($B6,lista_dias,0)-1)</f>
        <v/>
      </c>
      <c r="M6" s="3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3">
        <f>$A6&amp;"|"&amp;$B6&amp;"|"&amp;$C6</f>
        <v/>
      </c>
      <c r="O6" s="3">
        <f>IFERROR(INDEX('CAT_TURNOS'!$C$4:$C$7,MATCH($J6,'CAT_TURNOS'!$A$4:$A$7,0)),"")</f>
        <v/>
      </c>
      <c r="P6" s="3">
        <f>IFERROR(INDEX('CAT_TURNOS'!$D$4:$D$7,MATCH($J6,'CAT_TURNOS'!$A$4:$A$7,0)),"")</f>
        <v/>
      </c>
      <c r="Q6" s="3">
        <f>IF(AND(LEFT($G6,1)="T",$H6="no"),"sí","no")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IFERROR(INDEX('TECNICOS'!$D$4:$D$19,MATCH($C7,'TECNICOS'!$B$4:$B$19,0)),"")</f>
        <v/>
      </c>
      <c r="E7" s="3">
        <f>IFERROR(INDEX('TECNICOS'!$C$4:$C$19,MATCH($C7,'TECNICOS'!$B$4:$B$19,0)),"")</f>
        <v/>
      </c>
      <c r="F7" s="3">
        <f>COUNTIFS('TECNICOS'!$F$4:$F$19,"SI",'TECNICOS'!$C$4:$C$19,$E7,'TECNICOS'!$D$4:$D$19,$D7)</f>
        <v/>
      </c>
      <c r="G7" s="3">
        <f>IF(OR($C7="",$A7="",$B7="domingo"),"",IF(IFERROR(INDEX('TECNICOS'!$F$4:$F$19,MATCH($C7,'TECNICOS'!$B$4:$B$19,0)),"NO")&lt;&gt;"SI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3">
        <f>IF(COUNTIFS('PLAN_VACACIONES'!$A$4:$A$103,$C7,'PLAN_VACACIONES'!$B$4:$B$103,"&lt;="&amp;$L7,'PLAN_VACACIONES'!$C$4:$C$103,"&gt;="&amp;$L7)&gt;0,"sí","no")</f>
        <v/>
      </c>
      <c r="I7" s="6" t="n"/>
      <c r="J7" s="3">
        <f>IF($I7&lt;&gt;"",$I7,IF($G7="","",IF($H7="sí","VAC",IF(LEFT($G7,1)="B","B",$G7))))</f>
        <v/>
      </c>
      <c r="K7" s="3">
        <f>IFERROR(INDEX('TECNICOS'!$E$4:$E$19,MATCH($C7,'TECNICOS'!$B$4:$B$19,0)),"")</f>
        <v/>
      </c>
      <c r="L7" s="12">
        <f>IF($A7="","",DATE(VALUE(LEFT($A7,4)),1,4)-WEEKDAY(DATE(VALUE(LEFT($A7,4)),1,4),2)+1+(VALUE(MID($A7,7,2))-1)*7+MATCH($B7,lista_dias,0)-1)</f>
        <v/>
      </c>
      <c r="M7" s="3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3">
        <f>$A7&amp;"|"&amp;$B7&amp;"|"&amp;$C7</f>
        <v/>
      </c>
      <c r="O7" s="3">
        <f>IFERROR(INDEX('CAT_TURNOS'!$C$4:$C$7,MATCH($J7,'CAT_TURNOS'!$A$4:$A$7,0)),"")</f>
        <v/>
      </c>
      <c r="P7" s="3">
        <f>IFERROR(INDEX('CAT_TURNOS'!$D$4:$D$7,MATCH($J7,'CAT_TURNOS'!$A$4:$A$7,0)),"")</f>
        <v/>
      </c>
      <c r="Q7" s="3">
        <f>IF(AND(LEFT($G7,1)="T",$H7="no"),"sí","no")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IFERROR(INDEX('TECNICOS'!$D$4:$D$19,MATCH($C8,'TECNICOS'!$B$4:$B$19,0)),"")</f>
        <v/>
      </c>
      <c r="E8" s="3">
        <f>IFERROR(INDEX('TECNICOS'!$C$4:$C$19,MATCH($C8,'TECNICOS'!$B$4:$B$19,0)),"")</f>
        <v/>
      </c>
      <c r="F8" s="3">
        <f>COUNTIFS('TECNICOS'!$F$4:$F$19,"SI",'TECNICOS'!$C$4:$C$19,$E8,'TECNICOS'!$D$4:$D$19,$D8)</f>
        <v/>
      </c>
      <c r="G8" s="3">
        <f>IF(OR($C8="",$A8="",$B8="domingo"),"",IF(IFERROR(INDEX('TECNICOS'!$F$4:$F$19,MATCH($C8,'TECNICOS'!$B$4:$B$19,0)),"NO")&lt;&gt;"SI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3">
        <f>IF(COUNTIFS('PLAN_VACACIONES'!$A$4:$A$103,$C8,'PLAN_VACACIONES'!$B$4:$B$103,"&lt;="&amp;$L8,'PLAN_VACACIONES'!$C$4:$C$103,"&gt;="&amp;$L8)&gt;0,"sí","no")</f>
        <v/>
      </c>
      <c r="I8" s="6" t="n"/>
      <c r="J8" s="3">
        <f>IF($I8&lt;&gt;"",$I8,IF($G8="","",IF($H8="sí","VAC",IF(LEFT($G8,1)="B","B",$G8))))</f>
        <v/>
      </c>
      <c r="K8" s="3">
        <f>IFERROR(INDEX('TECNICOS'!$E$4:$E$19,MATCH($C8,'TECNICOS'!$B$4:$B$19,0)),"")</f>
        <v/>
      </c>
      <c r="L8" s="12">
        <f>IF($A8="","",DATE(VALUE(LEFT($A8,4)),1,4)-WEEKDAY(DATE(VALUE(LEFT($A8,4)),1,4),2)+1+(VALUE(MID($A8,7,2))-1)*7+MATCH($B8,lista_dias,0)-1)</f>
        <v/>
      </c>
      <c r="M8" s="3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3">
        <f>$A8&amp;"|"&amp;$B8&amp;"|"&amp;$C8</f>
        <v/>
      </c>
      <c r="O8" s="3">
        <f>IFERROR(INDEX('CAT_TURNOS'!$C$4:$C$7,MATCH($J8,'CAT_TURNOS'!$A$4:$A$7,0)),"")</f>
        <v/>
      </c>
      <c r="P8" s="3">
        <f>IFERROR(INDEX('CAT_TURNOS'!$D$4:$D$7,MATCH($J8,'CAT_TURNOS'!$A$4:$A$7,0)),"")</f>
        <v/>
      </c>
      <c r="Q8" s="3">
        <f>IF(AND(LEFT($G8,1)="T",$H8="no"),"sí","no")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IFERROR(INDEX('TECNICOS'!$D$4:$D$19,MATCH($C9,'TECNICOS'!$B$4:$B$19,0)),"")</f>
        <v/>
      </c>
      <c r="E9" s="3">
        <f>IFERROR(INDEX('TECNICOS'!$C$4:$C$19,MATCH($C9,'TECNICOS'!$B$4:$B$19,0)),"")</f>
        <v/>
      </c>
      <c r="F9" s="3">
        <f>COUNTIFS('TECNICOS'!$F$4:$F$19,"SI",'TECNICOS'!$C$4:$C$19,$E9,'TECNICOS'!$D$4:$D$19,$D9)</f>
        <v/>
      </c>
      <c r="G9" s="3">
        <f>IF(OR($C9="",$A9="",$B9="domingo"),"",IF(IFERROR(INDEX('TECNICOS'!$F$4:$F$19,MATCH($C9,'TECNICOS'!$B$4:$B$19,0)),"NO")&lt;&gt;"SI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3">
        <f>IF(COUNTIFS('PLAN_VACACIONES'!$A$4:$A$103,$C9,'PLAN_VACACIONES'!$B$4:$B$103,"&lt;="&amp;$L9,'PLAN_VACACIONES'!$C$4:$C$103,"&gt;="&amp;$L9)&gt;0,"sí","no")</f>
        <v/>
      </c>
      <c r="I9" s="6" t="n"/>
      <c r="J9" s="3">
        <f>IF($I9&lt;&gt;"",$I9,IF($G9="","",IF($H9="sí","VAC",IF(LEFT($G9,1)="B","B",$G9))))</f>
        <v/>
      </c>
      <c r="K9" s="3">
        <f>IFERROR(INDEX('TECNICOS'!$E$4:$E$19,MATCH($C9,'TECNICOS'!$B$4:$B$19,0)),"")</f>
        <v/>
      </c>
      <c r="L9" s="12">
        <f>IF($A9="","",DATE(VALUE(LEFT($A9,4)),1,4)-WEEKDAY(DATE(VALUE(LEFT($A9,4)),1,4),2)+1+(VALUE(MID($A9,7,2))-1)*7+MATCH($B9,lista_dias,0)-1)</f>
        <v/>
      </c>
      <c r="M9" s="3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3">
        <f>$A9&amp;"|"&amp;$B9&amp;"|"&amp;$C9</f>
        <v/>
      </c>
      <c r="O9" s="3">
        <f>IFERROR(INDEX('CAT_TURNOS'!$C$4:$C$7,MATCH($J9,'CAT_TURNOS'!$A$4:$A$7,0)),"")</f>
        <v/>
      </c>
      <c r="P9" s="3">
        <f>IFERROR(INDEX('CAT_TURNOS'!$D$4:$D$7,MATCH($J9,'CAT_TURNOS'!$A$4:$A$7,0)),"")</f>
        <v/>
      </c>
      <c r="Q9" s="3">
        <f>IF(AND(LEFT($G9,1)="T",$H9="no"),"sí","no")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IFERROR(INDEX('TECNICOS'!$D$4:$D$19,MATCH($C10,'TECNICOS'!$B$4:$B$19,0)),"")</f>
        <v/>
      </c>
      <c r="E10" s="3">
        <f>IFERROR(INDEX('TECNICOS'!$C$4:$C$19,MATCH($C10,'TECNICOS'!$B$4:$B$19,0)),"")</f>
        <v/>
      </c>
      <c r="F10" s="3">
        <f>COUNTIFS('TECNICOS'!$F$4:$F$19,"SI",'TECNICOS'!$C$4:$C$19,$E10,'TECNICOS'!$D$4:$D$19,$D10)</f>
        <v/>
      </c>
      <c r="G10" s="3">
        <f>IF(OR($C10="",$A10="",$B10="domingo"),"",IF(IFERROR(INDEX('TECNICOS'!$F$4:$F$19,MATCH($C10,'TECNICOS'!$B$4:$B$19,0)),"NO")&lt;&gt;"SI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3">
        <f>IF(COUNTIFS('PLAN_VACACIONES'!$A$4:$A$103,$C10,'PLAN_VACACIONES'!$B$4:$B$103,"&lt;="&amp;$L10,'PLAN_VACACIONES'!$C$4:$C$103,"&gt;="&amp;$L10)&gt;0,"sí","no")</f>
        <v/>
      </c>
      <c r="I10" s="6" t="n"/>
      <c r="J10" s="3">
        <f>IF($I10&lt;&gt;"",$I10,IF($G10="","",IF($H10="sí","VAC",IF(LEFT($G10,1)="B","B",$G10))))</f>
        <v/>
      </c>
      <c r="K10" s="3">
        <f>IFERROR(INDEX('TECNICOS'!$E$4:$E$19,MATCH($C10,'TECNICOS'!$B$4:$B$19,0)),"")</f>
        <v/>
      </c>
      <c r="L10" s="12">
        <f>IF($A10="","",DATE(VALUE(LEFT($A10,4)),1,4)-WEEKDAY(DATE(VALUE(LEFT($A10,4)),1,4),2)+1+(VALUE(MID($A10,7,2))-1)*7+MATCH($B10,lista_dias,0)-1)</f>
        <v/>
      </c>
      <c r="M10" s="3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3">
        <f>$A10&amp;"|"&amp;$B10&amp;"|"&amp;$C10</f>
        <v/>
      </c>
      <c r="O10" s="3">
        <f>IFERROR(INDEX('CAT_TURNOS'!$C$4:$C$7,MATCH($J10,'CAT_TURNOS'!$A$4:$A$7,0)),"")</f>
        <v/>
      </c>
      <c r="P10" s="3">
        <f>IFERROR(INDEX('CAT_TURNOS'!$D$4:$D$7,MATCH($J10,'CAT_TURNOS'!$A$4:$A$7,0)),"")</f>
        <v/>
      </c>
      <c r="Q10" s="3">
        <f>IF(AND(LEFT($G10,1)="T",$H10="no"),"sí","no")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IFERROR(INDEX('TECNICOS'!$D$4:$D$19,MATCH($C11,'TECNICOS'!$B$4:$B$19,0)),"")</f>
        <v/>
      </c>
      <c r="E11" s="3">
        <f>IFERROR(INDEX('TECNICOS'!$C$4:$C$19,MATCH($C11,'TECNICOS'!$B$4:$B$19,0)),"")</f>
        <v/>
      </c>
      <c r="F11" s="3">
        <f>COUNTIFS('TECNICOS'!$F$4:$F$19,"SI",'TECNICOS'!$C$4:$C$19,$E11,'TECNICOS'!$D$4:$D$19,$D11)</f>
        <v/>
      </c>
      <c r="G11" s="3">
        <f>IF(OR($C11="",$A11="",$B11="domingo"),"",IF(IFERROR(INDEX('TECNICOS'!$F$4:$F$19,MATCH($C11,'TECNICOS'!$B$4:$B$19,0)),"NO")&lt;&gt;"SI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3">
        <f>IF(COUNTIFS('PLAN_VACACIONES'!$A$4:$A$103,$C11,'PLAN_VACACIONES'!$B$4:$B$103,"&lt;="&amp;$L11,'PLAN_VACACIONES'!$C$4:$C$103,"&gt;="&amp;$L11)&gt;0,"sí","no")</f>
        <v/>
      </c>
      <c r="I11" s="6" t="n"/>
      <c r="J11" s="3">
        <f>IF($I11&lt;&gt;"",$I11,IF($G11="","",IF($H11="sí","VAC",IF(LEFT($G11,1)="B","B",$G11))))</f>
        <v/>
      </c>
      <c r="K11" s="3">
        <f>IFERROR(INDEX('TECNICOS'!$E$4:$E$19,MATCH($C11,'TECNICOS'!$B$4:$B$19,0)),"")</f>
        <v/>
      </c>
      <c r="L11" s="12">
        <f>IF($A11="","",DATE(VALUE(LEFT($A11,4)),1,4)-WEEKDAY(DATE(VALUE(LEFT($A11,4)),1,4),2)+1+(VALUE(MID($A11,7,2))-1)*7+MATCH($B11,lista_dias,0)-1)</f>
        <v/>
      </c>
      <c r="M11" s="3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3">
        <f>$A11&amp;"|"&amp;$B11&amp;"|"&amp;$C11</f>
        <v/>
      </c>
      <c r="O11" s="3">
        <f>IFERROR(INDEX('CAT_TURNOS'!$C$4:$C$7,MATCH($J11,'CAT_TURNOS'!$A$4:$A$7,0)),"")</f>
        <v/>
      </c>
      <c r="P11" s="3">
        <f>IFERROR(INDEX('CAT_TURNOS'!$D$4:$D$7,MATCH($J11,'CAT_TURNOS'!$A$4:$A$7,0)),"")</f>
        <v/>
      </c>
      <c r="Q11" s="3">
        <f>IF(AND(LEFT($G11,1)="T",$H11="no"),"sí","no")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IFERROR(INDEX('TECNICOS'!$D$4:$D$19,MATCH($C12,'TECNICOS'!$B$4:$B$19,0)),"")</f>
        <v/>
      </c>
      <c r="E12" s="3">
        <f>IFERROR(INDEX('TECNICOS'!$C$4:$C$19,MATCH($C12,'TECNICOS'!$B$4:$B$19,0)),"")</f>
        <v/>
      </c>
      <c r="F12" s="3">
        <f>COUNTIFS('TECNICOS'!$F$4:$F$19,"SI",'TECNICOS'!$C$4:$C$19,$E12,'TECNICOS'!$D$4:$D$19,$D12)</f>
        <v/>
      </c>
      <c r="G12" s="3">
        <f>IF(OR($C12="",$A12="",$B12="domingo"),"",IF(IFERROR(INDEX('TECNICOS'!$F$4:$F$19,MATCH($C12,'TECNICOS'!$B$4:$B$19,0)),"NO")&lt;&gt;"SI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3">
        <f>IF(COUNTIFS('PLAN_VACACIONES'!$A$4:$A$103,$C12,'PLAN_VACACIONES'!$B$4:$B$103,"&lt;="&amp;$L12,'PLAN_VACACIONES'!$C$4:$C$103,"&gt;="&amp;$L12)&gt;0,"sí","no")</f>
        <v/>
      </c>
      <c r="I12" s="6" t="n"/>
      <c r="J12" s="3">
        <f>IF($I12&lt;&gt;"",$I12,IF($G12="","",IF($H12="sí","VAC",IF(LEFT($G12,1)="B","B",$G12))))</f>
        <v/>
      </c>
      <c r="K12" s="3">
        <f>IFERROR(INDEX('TECNICOS'!$E$4:$E$19,MATCH($C12,'TECNICOS'!$B$4:$B$19,0)),"")</f>
        <v/>
      </c>
      <c r="L12" s="12">
        <f>IF($A12="","",DATE(VALUE(LEFT($A12,4)),1,4)-WEEKDAY(DATE(VALUE(LEFT($A12,4)),1,4),2)+1+(VALUE(MID($A12,7,2))-1)*7+MATCH($B12,lista_dias,0)-1)</f>
        <v/>
      </c>
      <c r="M12" s="3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3">
        <f>$A12&amp;"|"&amp;$B12&amp;"|"&amp;$C12</f>
        <v/>
      </c>
      <c r="O12" s="3">
        <f>IFERROR(INDEX('CAT_TURNOS'!$C$4:$C$7,MATCH($J12,'CAT_TURNOS'!$A$4:$A$7,0)),"")</f>
        <v/>
      </c>
      <c r="P12" s="3">
        <f>IFERROR(INDEX('CAT_TURNOS'!$D$4:$D$7,MATCH($J12,'CAT_TURNOS'!$A$4:$A$7,0)),"")</f>
        <v/>
      </c>
      <c r="Q12" s="3">
        <f>IF(AND(LEFT($G12,1)="T",$H12="no"),"sí","no")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IFERROR(INDEX('TECNICOS'!$D$4:$D$19,MATCH($C13,'TECNICOS'!$B$4:$B$19,0)),"")</f>
        <v/>
      </c>
      <c r="E13" s="3">
        <f>IFERROR(INDEX('TECNICOS'!$C$4:$C$19,MATCH($C13,'TECNICOS'!$B$4:$B$19,0)),"")</f>
        <v/>
      </c>
      <c r="F13" s="3">
        <f>COUNTIFS('TECNICOS'!$F$4:$F$19,"SI",'TECNICOS'!$C$4:$C$19,$E13,'TECNICOS'!$D$4:$D$19,$D13)</f>
        <v/>
      </c>
      <c r="G13" s="3">
        <f>IF(OR($C13="",$A13="",$B13="domingo"),"",IF(IFERROR(INDEX('TECNICOS'!$F$4:$F$19,MATCH($C13,'TECNICOS'!$B$4:$B$19,0)),"NO")&lt;&gt;"SI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3">
        <f>IF(COUNTIFS('PLAN_VACACIONES'!$A$4:$A$103,$C13,'PLAN_VACACIONES'!$B$4:$B$103,"&lt;="&amp;$L13,'PLAN_VACACIONES'!$C$4:$C$103,"&gt;="&amp;$L13)&gt;0,"sí","no")</f>
        <v/>
      </c>
      <c r="I13" s="6" t="n"/>
      <c r="J13" s="3">
        <f>IF($I13&lt;&gt;"",$I13,IF($G13="","",IF($H13="sí","VAC",IF(LEFT($G13,1)="B","B",$G13))))</f>
        <v/>
      </c>
      <c r="K13" s="3">
        <f>IFERROR(INDEX('TECNICOS'!$E$4:$E$19,MATCH($C13,'TECNICOS'!$B$4:$B$19,0)),"")</f>
        <v/>
      </c>
      <c r="L13" s="12">
        <f>IF($A13="","",DATE(VALUE(LEFT($A13,4)),1,4)-WEEKDAY(DATE(VALUE(LEFT($A13,4)),1,4),2)+1+(VALUE(MID($A13,7,2))-1)*7+MATCH($B13,lista_dias,0)-1)</f>
        <v/>
      </c>
      <c r="M13" s="3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3">
        <f>$A13&amp;"|"&amp;$B13&amp;"|"&amp;$C13</f>
        <v/>
      </c>
      <c r="O13" s="3">
        <f>IFERROR(INDEX('CAT_TURNOS'!$C$4:$C$7,MATCH($J13,'CAT_TURNOS'!$A$4:$A$7,0)),"")</f>
        <v/>
      </c>
      <c r="P13" s="3">
        <f>IFERROR(INDEX('CAT_TURNOS'!$D$4:$D$7,MATCH($J13,'CAT_TURNOS'!$A$4:$A$7,0)),"")</f>
        <v/>
      </c>
      <c r="Q13" s="3">
        <f>IF(AND(LEFT($G13,1)="T",$H13="no"),"sí","no")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IFERROR(INDEX('TECNICOS'!$D$4:$D$19,MATCH($C14,'TECNICOS'!$B$4:$B$19,0)),"")</f>
        <v/>
      </c>
      <c r="E14" s="3">
        <f>IFERROR(INDEX('TECNICOS'!$C$4:$C$19,MATCH($C14,'TECNICOS'!$B$4:$B$19,0)),"")</f>
        <v/>
      </c>
      <c r="F14" s="3">
        <f>COUNTIFS('TECNICOS'!$F$4:$F$19,"SI",'TECNICOS'!$C$4:$C$19,$E14,'TECNICOS'!$D$4:$D$19,$D14)</f>
        <v/>
      </c>
      <c r="G14" s="3">
        <f>IF(OR($C14="",$A14="",$B14="domingo"),"",IF(IFERROR(INDEX('TECNICOS'!$F$4:$F$19,MATCH($C14,'TECNICOS'!$B$4:$B$19,0)),"NO")&lt;&gt;"SI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3">
        <f>IF(COUNTIFS('PLAN_VACACIONES'!$A$4:$A$103,$C14,'PLAN_VACACIONES'!$B$4:$B$103,"&lt;="&amp;$L14,'PLAN_VACACIONES'!$C$4:$C$103,"&gt;="&amp;$L14)&gt;0,"sí","no")</f>
        <v/>
      </c>
      <c r="I14" s="6" t="n"/>
      <c r="J14" s="3">
        <f>IF($I14&lt;&gt;"",$I14,IF($G14="","",IF($H14="sí","VAC",IF(LEFT($G14,1)="B","B",$G14))))</f>
        <v/>
      </c>
      <c r="K14" s="3">
        <f>IFERROR(INDEX('TECNICOS'!$E$4:$E$19,MATCH($C14,'TECNICOS'!$B$4:$B$19,0)),"")</f>
        <v/>
      </c>
      <c r="L14" s="12">
        <f>IF($A14="","",DATE(VALUE(LEFT($A14,4)),1,4)-WEEKDAY(DATE(VALUE(LEFT($A14,4)),1,4),2)+1+(VALUE(MID($A14,7,2))-1)*7+MATCH($B14,lista_dias,0)-1)</f>
        <v/>
      </c>
      <c r="M14" s="3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3">
        <f>$A14&amp;"|"&amp;$B14&amp;"|"&amp;$C14</f>
        <v/>
      </c>
      <c r="O14" s="3">
        <f>IFERROR(INDEX('CAT_TURNOS'!$C$4:$C$7,MATCH($J14,'CAT_TURNOS'!$A$4:$A$7,0)),"")</f>
        <v/>
      </c>
      <c r="P14" s="3">
        <f>IFERROR(INDEX('CAT_TURNOS'!$D$4:$D$7,MATCH($J14,'CAT_TURNOS'!$A$4:$A$7,0)),"")</f>
        <v/>
      </c>
      <c r="Q14" s="3">
        <f>IF(AND(LEFT($G14,1)="T",$H14="no"),"sí","no")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IFERROR(INDEX('TECNICOS'!$D$4:$D$19,MATCH($C15,'TECNICOS'!$B$4:$B$19,0)),"")</f>
        <v/>
      </c>
      <c r="E15" s="3">
        <f>IFERROR(INDEX('TECNICOS'!$C$4:$C$19,MATCH($C15,'TECNICOS'!$B$4:$B$19,0)),"")</f>
        <v/>
      </c>
      <c r="F15" s="3">
        <f>COUNTIFS('TECNICOS'!$F$4:$F$19,"SI",'TECNICOS'!$C$4:$C$19,$E15,'TECNICOS'!$D$4:$D$19,$D15)</f>
        <v/>
      </c>
      <c r="G15" s="3">
        <f>IF(OR($C15="",$A15="",$B15="domingo"),"",IF(IFERROR(INDEX('TECNICOS'!$F$4:$F$19,MATCH($C15,'TECNICOS'!$B$4:$B$19,0)),"NO")&lt;&gt;"SI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3">
        <f>IF(COUNTIFS('PLAN_VACACIONES'!$A$4:$A$103,$C15,'PLAN_VACACIONES'!$B$4:$B$103,"&lt;="&amp;$L15,'PLAN_VACACIONES'!$C$4:$C$103,"&gt;="&amp;$L15)&gt;0,"sí","no")</f>
        <v/>
      </c>
      <c r="I15" s="6" t="n"/>
      <c r="J15" s="3">
        <f>IF($I15&lt;&gt;"",$I15,IF($G15="","",IF($H15="sí","VAC",IF(LEFT($G15,1)="B","B",$G15))))</f>
        <v/>
      </c>
      <c r="K15" s="3">
        <f>IFERROR(INDEX('TECNICOS'!$E$4:$E$19,MATCH($C15,'TECNICOS'!$B$4:$B$19,0)),"")</f>
        <v/>
      </c>
      <c r="L15" s="12">
        <f>IF($A15="","",DATE(VALUE(LEFT($A15,4)),1,4)-WEEKDAY(DATE(VALUE(LEFT($A15,4)),1,4),2)+1+(VALUE(MID($A15,7,2))-1)*7+MATCH($B15,lista_dias,0)-1)</f>
        <v/>
      </c>
      <c r="M15" s="3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3">
        <f>$A15&amp;"|"&amp;$B15&amp;"|"&amp;$C15</f>
        <v/>
      </c>
      <c r="O15" s="3">
        <f>IFERROR(INDEX('CAT_TURNOS'!$C$4:$C$7,MATCH($J15,'CAT_TURNOS'!$A$4:$A$7,0)),"")</f>
        <v/>
      </c>
      <c r="P15" s="3">
        <f>IFERROR(INDEX('CAT_TURNOS'!$D$4:$D$7,MATCH($J15,'CAT_TURNOS'!$A$4:$A$7,0)),"")</f>
        <v/>
      </c>
      <c r="Q15" s="3">
        <f>IF(AND(LEFT($G15,1)="T",$H15="no"),"sí","no")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IFERROR(INDEX('TECNICOS'!$D$4:$D$19,MATCH($C16,'TECNICOS'!$B$4:$B$19,0)),"")</f>
        <v/>
      </c>
      <c r="E16" s="3">
        <f>IFERROR(INDEX('TECNICOS'!$C$4:$C$19,MATCH($C16,'TECNICOS'!$B$4:$B$19,0)),"")</f>
        <v/>
      </c>
      <c r="F16" s="3">
        <f>COUNTIFS('TECNICOS'!$F$4:$F$19,"SI",'TECNICOS'!$C$4:$C$19,$E16,'TECNICOS'!$D$4:$D$19,$D16)</f>
        <v/>
      </c>
      <c r="G16" s="3">
        <f>IF(OR($C16="",$A16="",$B16="domingo"),"",IF(IFERROR(INDEX('TECNICOS'!$F$4:$F$19,MATCH($C16,'TECNICOS'!$B$4:$B$19,0)),"NO")&lt;&gt;"SI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3">
        <f>IF(COUNTIFS('PLAN_VACACIONES'!$A$4:$A$103,$C16,'PLAN_VACACIONES'!$B$4:$B$103,"&lt;="&amp;$L16,'PLAN_VACACIONES'!$C$4:$C$103,"&gt;="&amp;$L16)&gt;0,"sí","no")</f>
        <v/>
      </c>
      <c r="I16" s="6" t="n"/>
      <c r="J16" s="3">
        <f>IF($I16&lt;&gt;"",$I16,IF($G16="","",IF($H16="sí","VAC",IF(LEFT($G16,1)="B","B",$G16))))</f>
        <v/>
      </c>
      <c r="K16" s="3">
        <f>IFERROR(INDEX('TECNICOS'!$E$4:$E$19,MATCH($C16,'TECNICOS'!$B$4:$B$19,0)),"")</f>
        <v/>
      </c>
      <c r="L16" s="12">
        <f>IF($A16="","",DATE(VALUE(LEFT($A16,4)),1,4)-WEEKDAY(DATE(VALUE(LEFT($A16,4)),1,4),2)+1+(VALUE(MID($A16,7,2))-1)*7+MATCH($B16,lista_dias,0)-1)</f>
        <v/>
      </c>
      <c r="M16" s="3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3">
        <f>$A16&amp;"|"&amp;$B16&amp;"|"&amp;$C16</f>
        <v/>
      </c>
      <c r="O16" s="3">
        <f>IFERROR(INDEX('CAT_TURNOS'!$C$4:$C$7,MATCH($J16,'CAT_TURNOS'!$A$4:$A$7,0)),"")</f>
        <v/>
      </c>
      <c r="P16" s="3">
        <f>IFERROR(INDEX('CAT_TURNOS'!$D$4:$D$7,MATCH($J16,'CAT_TURNOS'!$A$4:$A$7,0)),"")</f>
        <v/>
      </c>
      <c r="Q16" s="3">
        <f>IF(AND(LEFT($G16,1)="T",$H16="no"),"sí","no")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IFERROR(INDEX('TECNICOS'!$D$4:$D$19,MATCH($C17,'TECNICOS'!$B$4:$B$19,0)),"")</f>
        <v/>
      </c>
      <c r="E17" s="3">
        <f>IFERROR(INDEX('TECNICOS'!$C$4:$C$19,MATCH($C17,'TECNICOS'!$B$4:$B$19,0)),"")</f>
        <v/>
      </c>
      <c r="F17" s="3">
        <f>COUNTIFS('TECNICOS'!$F$4:$F$19,"SI",'TECNICOS'!$C$4:$C$19,$E17,'TECNICOS'!$D$4:$D$19,$D17)</f>
        <v/>
      </c>
      <c r="G17" s="3">
        <f>IF(OR($C17="",$A17="",$B17="domingo"),"",IF(IFERROR(INDEX('TECNICOS'!$F$4:$F$19,MATCH($C17,'TECNICOS'!$B$4:$B$19,0)),"NO")&lt;&gt;"SI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3">
        <f>IF(COUNTIFS('PLAN_VACACIONES'!$A$4:$A$103,$C17,'PLAN_VACACIONES'!$B$4:$B$103,"&lt;="&amp;$L17,'PLAN_VACACIONES'!$C$4:$C$103,"&gt;="&amp;$L17)&gt;0,"sí","no")</f>
        <v/>
      </c>
      <c r="I17" s="6" t="n"/>
      <c r="J17" s="3">
        <f>IF($I17&lt;&gt;"",$I17,IF($G17="","",IF($H17="sí","VAC",IF(LEFT($G17,1)="B","B",$G17))))</f>
        <v/>
      </c>
      <c r="K17" s="3">
        <f>IFERROR(INDEX('TECNICOS'!$E$4:$E$19,MATCH($C17,'TECNICOS'!$B$4:$B$19,0)),"")</f>
        <v/>
      </c>
      <c r="L17" s="12">
        <f>IF($A17="","",DATE(VALUE(LEFT($A17,4)),1,4)-WEEKDAY(DATE(VALUE(LEFT($A17,4)),1,4),2)+1+(VALUE(MID($A17,7,2))-1)*7+MATCH($B17,lista_dias,0)-1)</f>
        <v/>
      </c>
      <c r="M17" s="3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3">
        <f>$A17&amp;"|"&amp;$B17&amp;"|"&amp;$C17</f>
        <v/>
      </c>
      <c r="O17" s="3">
        <f>IFERROR(INDEX('CAT_TURNOS'!$C$4:$C$7,MATCH($J17,'CAT_TURNOS'!$A$4:$A$7,0)),"")</f>
        <v/>
      </c>
      <c r="P17" s="3">
        <f>IFERROR(INDEX('CAT_TURNOS'!$D$4:$D$7,MATCH($J17,'CAT_TURNOS'!$A$4:$A$7,0)),"")</f>
        <v/>
      </c>
      <c r="Q17" s="3">
        <f>IF(AND(LEFT($G17,1)="T",$H17="no"),"sí","no")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IFERROR(INDEX('TECNICOS'!$D$4:$D$19,MATCH($C18,'TECNICOS'!$B$4:$B$19,0)),"")</f>
        <v/>
      </c>
      <c r="E18" s="3">
        <f>IFERROR(INDEX('TECNICOS'!$C$4:$C$19,MATCH($C18,'TECNICOS'!$B$4:$B$19,0)),"")</f>
        <v/>
      </c>
      <c r="F18" s="3">
        <f>COUNTIFS('TECNICOS'!$F$4:$F$19,"SI",'TECNICOS'!$C$4:$C$19,$E18,'TECNICOS'!$D$4:$D$19,$D18)</f>
        <v/>
      </c>
      <c r="G18" s="3">
        <f>IF(OR($C18="",$A18="",$B18="domingo"),"",IF(IFERROR(INDEX('TECNICOS'!$F$4:$F$19,MATCH($C18,'TECNICOS'!$B$4:$B$19,0)),"NO")&lt;&gt;"SI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3">
        <f>IF(COUNTIFS('PLAN_VACACIONES'!$A$4:$A$103,$C18,'PLAN_VACACIONES'!$B$4:$B$103,"&lt;="&amp;$L18,'PLAN_VACACIONES'!$C$4:$C$103,"&gt;="&amp;$L18)&gt;0,"sí","no")</f>
        <v/>
      </c>
      <c r="I18" s="6" t="n"/>
      <c r="J18" s="3">
        <f>IF($I18&lt;&gt;"",$I18,IF($G18="","",IF($H18="sí","VAC",IF(LEFT($G18,1)="B","B",$G18))))</f>
        <v/>
      </c>
      <c r="K18" s="3">
        <f>IFERROR(INDEX('TECNICOS'!$E$4:$E$19,MATCH($C18,'TECNICOS'!$B$4:$B$19,0)),"")</f>
        <v/>
      </c>
      <c r="L18" s="12">
        <f>IF($A18="","",DATE(VALUE(LEFT($A18,4)),1,4)-WEEKDAY(DATE(VALUE(LEFT($A18,4)),1,4),2)+1+(VALUE(MID($A18,7,2))-1)*7+MATCH($B18,lista_dias,0)-1)</f>
        <v/>
      </c>
      <c r="M18" s="3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3">
        <f>$A18&amp;"|"&amp;$B18&amp;"|"&amp;$C18</f>
        <v/>
      </c>
      <c r="O18" s="3">
        <f>IFERROR(INDEX('CAT_TURNOS'!$C$4:$C$7,MATCH($J18,'CAT_TURNOS'!$A$4:$A$7,0)),"")</f>
        <v/>
      </c>
      <c r="P18" s="3">
        <f>IFERROR(INDEX('CAT_TURNOS'!$D$4:$D$7,MATCH($J18,'CAT_TURNOS'!$A$4:$A$7,0)),"")</f>
        <v/>
      </c>
      <c r="Q18" s="3">
        <f>IF(AND(LEFT($G18,1)="T",$H18="no"),"sí","no")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IFERROR(INDEX('TECNICOS'!$D$4:$D$19,MATCH($C19,'TECNICOS'!$B$4:$B$19,0)),"")</f>
        <v/>
      </c>
      <c r="E19" s="3">
        <f>IFERROR(INDEX('TECNICOS'!$C$4:$C$19,MATCH($C19,'TECNICOS'!$B$4:$B$19,0)),"")</f>
        <v/>
      </c>
      <c r="F19" s="3">
        <f>COUNTIFS('TECNICOS'!$F$4:$F$19,"SI",'TECNICOS'!$C$4:$C$19,$E19,'TECNICOS'!$D$4:$D$19,$D19)</f>
        <v/>
      </c>
      <c r="G19" s="3">
        <f>IF(OR($C19="",$A19="",$B19="domingo"),"",IF(IFERROR(INDEX('TECNICOS'!$F$4:$F$19,MATCH($C19,'TECNICOS'!$B$4:$B$19,0)),"NO")&lt;&gt;"SI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3">
        <f>IF(COUNTIFS('PLAN_VACACIONES'!$A$4:$A$103,$C19,'PLAN_VACACIONES'!$B$4:$B$103,"&lt;="&amp;$L19,'PLAN_VACACIONES'!$C$4:$C$103,"&gt;="&amp;$L19)&gt;0,"sí","no")</f>
        <v/>
      </c>
      <c r="I19" s="6" t="n"/>
      <c r="J19" s="3">
        <f>IF($I19&lt;&gt;"",$I19,IF($G19="","",IF($H19="sí","VAC",IF(LEFT($G19,1)="B","B",$G19))))</f>
        <v/>
      </c>
      <c r="K19" s="3">
        <f>IFERROR(INDEX('TECNICOS'!$E$4:$E$19,MATCH($C19,'TECNICOS'!$B$4:$B$19,0)),"")</f>
        <v/>
      </c>
      <c r="L19" s="12">
        <f>IF($A19="","",DATE(VALUE(LEFT($A19,4)),1,4)-WEEKDAY(DATE(VALUE(LEFT($A19,4)),1,4),2)+1+(VALUE(MID($A19,7,2))-1)*7+MATCH($B19,lista_dias,0)-1)</f>
        <v/>
      </c>
      <c r="M19" s="3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3">
        <f>$A19&amp;"|"&amp;$B19&amp;"|"&amp;$C19</f>
        <v/>
      </c>
      <c r="O19" s="3">
        <f>IFERROR(INDEX('CAT_TURNOS'!$C$4:$C$7,MATCH($J19,'CAT_TURNOS'!$A$4:$A$7,0)),"")</f>
        <v/>
      </c>
      <c r="P19" s="3">
        <f>IFERROR(INDEX('CAT_TURNOS'!$D$4:$D$7,MATCH($J19,'CAT_TURNOS'!$A$4:$A$7,0)),"")</f>
        <v/>
      </c>
      <c r="Q19" s="3">
        <f>IF(AND(LEFT($G19,1)="T",$H19="no"),"sí","no")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IFERROR(INDEX('TECNICOS'!$D$4:$D$19,MATCH($C20,'TECNICOS'!$B$4:$B$19,0)),"")</f>
        <v/>
      </c>
      <c r="E20" s="3">
        <f>IFERROR(INDEX('TECNICOS'!$C$4:$C$19,MATCH($C20,'TECNICOS'!$B$4:$B$19,0)),"")</f>
        <v/>
      </c>
      <c r="F20" s="3">
        <f>COUNTIFS('TECNICOS'!$F$4:$F$19,"SI",'TECNICOS'!$C$4:$C$19,$E20,'TECNICOS'!$D$4:$D$19,$D20)</f>
        <v/>
      </c>
      <c r="G20" s="3">
        <f>IF(OR($C20="",$A20="",$B20="domingo"),"",IF(IFERROR(INDEX('TECNICOS'!$F$4:$F$19,MATCH($C20,'TECNICOS'!$B$4:$B$19,0)),"NO")&lt;&gt;"SI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3">
        <f>IF(COUNTIFS('PLAN_VACACIONES'!$A$4:$A$103,$C20,'PLAN_VACACIONES'!$B$4:$B$103,"&lt;="&amp;$L20,'PLAN_VACACIONES'!$C$4:$C$103,"&gt;="&amp;$L20)&gt;0,"sí","no")</f>
        <v/>
      </c>
      <c r="I20" s="6" t="n"/>
      <c r="J20" s="3">
        <f>IF($I20&lt;&gt;"",$I20,IF($G20="","",IF($H20="sí","VAC",IF(LEFT($G20,1)="B","B",$G20))))</f>
        <v/>
      </c>
      <c r="K20" s="3">
        <f>IFERROR(INDEX('TECNICOS'!$E$4:$E$19,MATCH($C20,'TECNICOS'!$B$4:$B$19,0)),"")</f>
        <v/>
      </c>
      <c r="L20" s="12">
        <f>IF($A20="","",DATE(VALUE(LEFT($A20,4)),1,4)-WEEKDAY(DATE(VALUE(LEFT($A20,4)),1,4),2)+1+(VALUE(MID($A20,7,2))-1)*7+MATCH($B20,lista_dias,0)-1)</f>
        <v/>
      </c>
      <c r="M20" s="3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3">
        <f>$A20&amp;"|"&amp;$B20&amp;"|"&amp;$C20</f>
        <v/>
      </c>
      <c r="O20" s="3">
        <f>IFERROR(INDEX('CAT_TURNOS'!$C$4:$C$7,MATCH($J20,'CAT_TURNOS'!$A$4:$A$7,0)),"")</f>
        <v/>
      </c>
      <c r="P20" s="3">
        <f>IFERROR(INDEX('CAT_TURNOS'!$D$4:$D$7,MATCH($J20,'CAT_TURNOS'!$A$4:$A$7,0)),"")</f>
        <v/>
      </c>
      <c r="Q20" s="3">
        <f>IF(AND(LEFT($G20,1)="T",$H20="no"),"sí","no")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IFERROR(INDEX('TECNICOS'!$D$4:$D$19,MATCH($C21,'TECNICOS'!$B$4:$B$19,0)),"")</f>
        <v/>
      </c>
      <c r="E21" s="3">
        <f>IFERROR(INDEX('TECNICOS'!$C$4:$C$19,MATCH($C21,'TECNICOS'!$B$4:$B$19,0)),"")</f>
        <v/>
      </c>
      <c r="F21" s="3">
        <f>COUNTIFS('TECNICOS'!$F$4:$F$19,"SI",'TECNICOS'!$C$4:$C$19,$E21,'TECNICOS'!$D$4:$D$19,$D21)</f>
        <v/>
      </c>
      <c r="G21" s="3">
        <f>IF(OR($C21="",$A21="",$B21="domingo"),"",IF(IFERROR(INDEX('TECNICOS'!$F$4:$F$19,MATCH($C21,'TECNICOS'!$B$4:$B$19,0)),"NO")&lt;&gt;"SI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3">
        <f>IF(COUNTIFS('PLAN_VACACIONES'!$A$4:$A$103,$C21,'PLAN_VACACIONES'!$B$4:$B$103,"&lt;="&amp;$L21,'PLAN_VACACIONES'!$C$4:$C$103,"&gt;="&amp;$L21)&gt;0,"sí","no")</f>
        <v/>
      </c>
      <c r="I21" s="6" t="n"/>
      <c r="J21" s="3">
        <f>IF($I21&lt;&gt;"",$I21,IF($G21="","",IF($H21="sí","VAC",IF(LEFT($G21,1)="B","B",$G21))))</f>
        <v/>
      </c>
      <c r="K21" s="3">
        <f>IFERROR(INDEX('TECNICOS'!$E$4:$E$19,MATCH($C21,'TECNICOS'!$B$4:$B$19,0)),"")</f>
        <v/>
      </c>
      <c r="L21" s="12">
        <f>IF($A21="","",DATE(VALUE(LEFT($A21,4)),1,4)-WEEKDAY(DATE(VALUE(LEFT($A21,4)),1,4),2)+1+(VALUE(MID($A21,7,2))-1)*7+MATCH($B21,lista_dias,0)-1)</f>
        <v/>
      </c>
      <c r="M21" s="3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3">
        <f>$A21&amp;"|"&amp;$B21&amp;"|"&amp;$C21</f>
        <v/>
      </c>
      <c r="O21" s="3">
        <f>IFERROR(INDEX('CAT_TURNOS'!$C$4:$C$7,MATCH($J21,'CAT_TURNOS'!$A$4:$A$7,0)),"")</f>
        <v/>
      </c>
      <c r="P21" s="3">
        <f>IFERROR(INDEX('CAT_TURNOS'!$D$4:$D$7,MATCH($J21,'CAT_TURNOS'!$A$4:$A$7,0)),"")</f>
        <v/>
      </c>
      <c r="Q21" s="3">
        <f>IF(AND(LEFT($G21,1)="T",$H21="no"),"sí","no")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IFERROR(INDEX('TECNICOS'!$D$4:$D$19,MATCH($C22,'TECNICOS'!$B$4:$B$19,0)),"")</f>
        <v/>
      </c>
      <c r="E22" s="3">
        <f>IFERROR(INDEX('TECNICOS'!$C$4:$C$19,MATCH($C22,'TECNICOS'!$B$4:$B$19,0)),"")</f>
        <v/>
      </c>
      <c r="F22" s="3">
        <f>COUNTIFS('TECNICOS'!$F$4:$F$19,"SI",'TECNICOS'!$C$4:$C$19,$E22,'TECNICOS'!$D$4:$D$19,$D22)</f>
        <v/>
      </c>
      <c r="G22" s="3">
        <f>IF(OR($C22="",$A22="",$B22="domingo"),"",IF(IFERROR(INDEX('TECNICOS'!$F$4:$F$19,MATCH($C22,'TECNICOS'!$B$4:$B$19,0)),"NO")&lt;&gt;"SI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3">
        <f>IF(COUNTIFS('PLAN_VACACIONES'!$A$4:$A$103,$C22,'PLAN_VACACIONES'!$B$4:$B$103,"&lt;="&amp;$L22,'PLAN_VACACIONES'!$C$4:$C$103,"&gt;="&amp;$L22)&gt;0,"sí","no")</f>
        <v/>
      </c>
      <c r="I22" s="6" t="n"/>
      <c r="J22" s="3">
        <f>IF($I22&lt;&gt;"",$I22,IF($G22="","",IF($H22="sí","VAC",IF(LEFT($G22,1)="B","B",$G22))))</f>
        <v/>
      </c>
      <c r="K22" s="3">
        <f>IFERROR(INDEX('TECNICOS'!$E$4:$E$19,MATCH($C22,'TECNICOS'!$B$4:$B$19,0)),"")</f>
        <v/>
      </c>
      <c r="L22" s="12">
        <f>IF($A22="","",DATE(VALUE(LEFT($A22,4)),1,4)-WEEKDAY(DATE(VALUE(LEFT($A22,4)),1,4),2)+1+(VALUE(MID($A22,7,2))-1)*7+MATCH($B22,lista_dias,0)-1)</f>
        <v/>
      </c>
      <c r="M22" s="3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3">
        <f>$A22&amp;"|"&amp;$B22&amp;"|"&amp;$C22</f>
        <v/>
      </c>
      <c r="O22" s="3">
        <f>IFERROR(INDEX('CAT_TURNOS'!$C$4:$C$7,MATCH($J22,'CAT_TURNOS'!$A$4:$A$7,0)),"")</f>
        <v/>
      </c>
      <c r="P22" s="3">
        <f>IFERROR(INDEX('CAT_TURNOS'!$D$4:$D$7,MATCH($J22,'CAT_TURNOS'!$A$4:$A$7,0)),"")</f>
        <v/>
      </c>
      <c r="Q22" s="3">
        <f>IF(AND(LEFT($G22,1)="T",$H22="no"),"sí","no")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IFERROR(INDEX('TECNICOS'!$D$4:$D$19,MATCH($C23,'TECNICOS'!$B$4:$B$19,0)),"")</f>
        <v/>
      </c>
      <c r="E23" s="3">
        <f>IFERROR(INDEX('TECNICOS'!$C$4:$C$19,MATCH($C23,'TECNICOS'!$B$4:$B$19,0)),"")</f>
        <v/>
      </c>
      <c r="F23" s="3">
        <f>COUNTIFS('TECNICOS'!$F$4:$F$19,"SI",'TECNICOS'!$C$4:$C$19,$E23,'TECNICOS'!$D$4:$D$19,$D23)</f>
        <v/>
      </c>
      <c r="G23" s="3">
        <f>IF(OR($C23="",$A23="",$B23="domingo"),"",IF(IFERROR(INDEX('TECNICOS'!$F$4:$F$19,MATCH($C23,'TECNICOS'!$B$4:$B$19,0)),"NO")&lt;&gt;"SI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3">
        <f>IF(COUNTIFS('PLAN_VACACIONES'!$A$4:$A$103,$C23,'PLAN_VACACIONES'!$B$4:$B$103,"&lt;="&amp;$L23,'PLAN_VACACIONES'!$C$4:$C$103,"&gt;="&amp;$L23)&gt;0,"sí","no")</f>
        <v/>
      </c>
      <c r="I23" s="6" t="n"/>
      <c r="J23" s="3">
        <f>IF($I23&lt;&gt;"",$I23,IF($G23="","",IF($H23="sí","VAC",IF(LEFT($G23,1)="B","B",$G23))))</f>
        <v/>
      </c>
      <c r="K23" s="3">
        <f>IFERROR(INDEX('TECNICOS'!$E$4:$E$19,MATCH($C23,'TECNICOS'!$B$4:$B$19,0)),"")</f>
        <v/>
      </c>
      <c r="L23" s="12">
        <f>IF($A23="","",DATE(VALUE(LEFT($A23,4)),1,4)-WEEKDAY(DATE(VALUE(LEFT($A23,4)),1,4),2)+1+(VALUE(MID($A23,7,2))-1)*7+MATCH($B23,lista_dias,0)-1)</f>
        <v/>
      </c>
      <c r="M23" s="3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3">
        <f>$A23&amp;"|"&amp;$B23&amp;"|"&amp;$C23</f>
        <v/>
      </c>
      <c r="O23" s="3">
        <f>IFERROR(INDEX('CAT_TURNOS'!$C$4:$C$7,MATCH($J23,'CAT_TURNOS'!$A$4:$A$7,0)),"")</f>
        <v/>
      </c>
      <c r="P23" s="3">
        <f>IFERROR(INDEX('CAT_TURNOS'!$D$4:$D$7,MATCH($J23,'CAT_TURNOS'!$A$4:$A$7,0)),"")</f>
        <v/>
      </c>
      <c r="Q23" s="3">
        <f>IF(AND(LEFT($G23,1)="T",$H23="no"),"sí","no")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IFERROR(INDEX('TECNICOS'!$D$4:$D$19,MATCH($C24,'TECNICOS'!$B$4:$B$19,0)),"")</f>
        <v/>
      </c>
      <c r="E24" s="3">
        <f>IFERROR(INDEX('TECNICOS'!$C$4:$C$19,MATCH($C24,'TECNICOS'!$B$4:$B$19,0)),"")</f>
        <v/>
      </c>
      <c r="F24" s="3">
        <f>COUNTIFS('TECNICOS'!$F$4:$F$19,"SI",'TECNICOS'!$C$4:$C$19,$E24,'TECNICOS'!$D$4:$D$19,$D24)</f>
        <v/>
      </c>
      <c r="G24" s="3">
        <f>IF(OR($C24="",$A24="",$B24="domingo"),"",IF(IFERROR(INDEX('TECNICOS'!$F$4:$F$19,MATCH($C24,'TECNICOS'!$B$4:$B$19,0)),"NO")&lt;&gt;"SI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3">
        <f>IF(COUNTIFS('PLAN_VACACIONES'!$A$4:$A$103,$C24,'PLAN_VACACIONES'!$B$4:$B$103,"&lt;="&amp;$L24,'PLAN_VACACIONES'!$C$4:$C$103,"&gt;="&amp;$L24)&gt;0,"sí","no")</f>
        <v/>
      </c>
      <c r="I24" s="6" t="n"/>
      <c r="J24" s="3">
        <f>IF($I24&lt;&gt;"",$I24,IF($G24="","",IF($H24="sí","VAC",IF(LEFT($G24,1)="B","B",$G24))))</f>
        <v/>
      </c>
      <c r="K24" s="3">
        <f>IFERROR(INDEX('TECNICOS'!$E$4:$E$19,MATCH($C24,'TECNICOS'!$B$4:$B$19,0)),"")</f>
        <v/>
      </c>
      <c r="L24" s="12">
        <f>IF($A24="","",DATE(VALUE(LEFT($A24,4)),1,4)-WEEKDAY(DATE(VALUE(LEFT($A24,4)),1,4),2)+1+(VALUE(MID($A24,7,2))-1)*7+MATCH($B24,lista_dias,0)-1)</f>
        <v/>
      </c>
      <c r="M24" s="3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3">
        <f>$A24&amp;"|"&amp;$B24&amp;"|"&amp;$C24</f>
        <v/>
      </c>
      <c r="O24" s="3">
        <f>IFERROR(INDEX('CAT_TURNOS'!$C$4:$C$7,MATCH($J24,'CAT_TURNOS'!$A$4:$A$7,0)),"")</f>
        <v/>
      </c>
      <c r="P24" s="3">
        <f>IFERROR(INDEX('CAT_TURNOS'!$D$4:$D$7,MATCH($J24,'CAT_TURNOS'!$A$4:$A$7,0)),"")</f>
        <v/>
      </c>
      <c r="Q24" s="3">
        <f>IF(AND(LEFT($G24,1)="T",$H24="no"),"sí","no")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IFERROR(INDEX('TECNICOS'!$D$4:$D$19,MATCH($C25,'TECNICOS'!$B$4:$B$19,0)),"")</f>
        <v/>
      </c>
      <c r="E25" s="3">
        <f>IFERROR(INDEX('TECNICOS'!$C$4:$C$19,MATCH($C25,'TECNICOS'!$B$4:$B$19,0)),"")</f>
        <v/>
      </c>
      <c r="F25" s="3">
        <f>COUNTIFS('TECNICOS'!$F$4:$F$19,"SI",'TECNICOS'!$C$4:$C$19,$E25,'TECNICOS'!$D$4:$D$19,$D25)</f>
        <v/>
      </c>
      <c r="G25" s="3">
        <f>IF(OR($C25="",$A25="",$B25="domingo"),"",IF(IFERROR(INDEX('TECNICOS'!$F$4:$F$19,MATCH($C25,'TECNICOS'!$B$4:$B$19,0)),"NO")&lt;&gt;"SI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3">
        <f>IF(COUNTIFS('PLAN_VACACIONES'!$A$4:$A$103,$C25,'PLAN_VACACIONES'!$B$4:$B$103,"&lt;="&amp;$L25,'PLAN_VACACIONES'!$C$4:$C$103,"&gt;="&amp;$L25)&gt;0,"sí","no")</f>
        <v/>
      </c>
      <c r="I25" s="6" t="n"/>
      <c r="J25" s="3">
        <f>IF($I25&lt;&gt;"",$I25,IF($G25="","",IF($H25="sí","VAC",IF(LEFT($G25,1)="B","B",$G25))))</f>
        <v/>
      </c>
      <c r="K25" s="3">
        <f>IFERROR(INDEX('TECNICOS'!$E$4:$E$19,MATCH($C25,'TECNICOS'!$B$4:$B$19,0)),"")</f>
        <v/>
      </c>
      <c r="L25" s="12">
        <f>IF($A25="","",DATE(VALUE(LEFT($A25,4)),1,4)-WEEKDAY(DATE(VALUE(LEFT($A25,4)),1,4),2)+1+(VALUE(MID($A25,7,2))-1)*7+MATCH($B25,lista_dias,0)-1)</f>
        <v/>
      </c>
      <c r="M25" s="3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3">
        <f>$A25&amp;"|"&amp;$B25&amp;"|"&amp;$C25</f>
        <v/>
      </c>
      <c r="O25" s="3">
        <f>IFERROR(INDEX('CAT_TURNOS'!$C$4:$C$7,MATCH($J25,'CAT_TURNOS'!$A$4:$A$7,0)),"")</f>
        <v/>
      </c>
      <c r="P25" s="3">
        <f>IFERROR(INDEX('CAT_TURNOS'!$D$4:$D$7,MATCH($J25,'CAT_TURNOS'!$A$4:$A$7,0)),"")</f>
        <v/>
      </c>
      <c r="Q25" s="3">
        <f>IF(AND(LEFT($G25,1)="T",$H25="no"),"sí","no")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IFERROR(INDEX('TECNICOS'!$D$4:$D$19,MATCH($C26,'TECNICOS'!$B$4:$B$19,0)),"")</f>
        <v/>
      </c>
      <c r="E26" s="3">
        <f>IFERROR(INDEX('TECNICOS'!$C$4:$C$19,MATCH($C26,'TECNICOS'!$B$4:$B$19,0)),"")</f>
        <v/>
      </c>
      <c r="F26" s="3">
        <f>COUNTIFS('TECNICOS'!$F$4:$F$19,"SI",'TECNICOS'!$C$4:$C$19,$E26,'TECNICOS'!$D$4:$D$19,$D26)</f>
        <v/>
      </c>
      <c r="G26" s="3">
        <f>IF(OR($C26="",$A26="",$B26="domingo"),"",IF(IFERROR(INDEX('TECNICOS'!$F$4:$F$19,MATCH($C26,'TECNICOS'!$B$4:$B$19,0)),"NO")&lt;&gt;"SI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3">
        <f>IF(COUNTIFS('PLAN_VACACIONES'!$A$4:$A$103,$C26,'PLAN_VACACIONES'!$B$4:$B$103,"&lt;="&amp;$L26,'PLAN_VACACIONES'!$C$4:$C$103,"&gt;="&amp;$L26)&gt;0,"sí","no")</f>
        <v/>
      </c>
      <c r="I26" s="6" t="n"/>
      <c r="J26" s="3">
        <f>IF($I26&lt;&gt;"",$I26,IF($G26="","",IF($H26="sí","VAC",IF(LEFT($G26,1)="B","B",$G26))))</f>
        <v/>
      </c>
      <c r="K26" s="3">
        <f>IFERROR(INDEX('TECNICOS'!$E$4:$E$19,MATCH($C26,'TECNICOS'!$B$4:$B$19,0)),"")</f>
        <v/>
      </c>
      <c r="L26" s="12">
        <f>IF($A26="","",DATE(VALUE(LEFT($A26,4)),1,4)-WEEKDAY(DATE(VALUE(LEFT($A26,4)),1,4),2)+1+(VALUE(MID($A26,7,2))-1)*7+MATCH($B26,lista_dias,0)-1)</f>
        <v/>
      </c>
      <c r="M26" s="3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3">
        <f>$A26&amp;"|"&amp;$B26&amp;"|"&amp;$C26</f>
        <v/>
      </c>
      <c r="O26" s="3">
        <f>IFERROR(INDEX('CAT_TURNOS'!$C$4:$C$7,MATCH($J26,'CAT_TURNOS'!$A$4:$A$7,0)),"")</f>
        <v/>
      </c>
      <c r="P26" s="3">
        <f>IFERROR(INDEX('CAT_TURNOS'!$D$4:$D$7,MATCH($J26,'CAT_TURNOS'!$A$4:$A$7,0)),"")</f>
        <v/>
      </c>
      <c r="Q26" s="3">
        <f>IF(AND(LEFT($G26,1)="T",$H26="no"),"sí","no")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IFERROR(INDEX('TECNICOS'!$D$4:$D$19,MATCH($C27,'TECNICOS'!$B$4:$B$19,0)),"")</f>
        <v/>
      </c>
      <c r="E27" s="3">
        <f>IFERROR(INDEX('TECNICOS'!$C$4:$C$19,MATCH($C27,'TECNICOS'!$B$4:$B$19,0)),"")</f>
        <v/>
      </c>
      <c r="F27" s="3">
        <f>COUNTIFS('TECNICOS'!$F$4:$F$19,"SI",'TECNICOS'!$C$4:$C$19,$E27,'TECNICOS'!$D$4:$D$19,$D27)</f>
        <v/>
      </c>
      <c r="G27" s="3">
        <f>IF(OR($C27="",$A27="",$B27="domingo"),"",IF(IFERROR(INDEX('TECNICOS'!$F$4:$F$19,MATCH($C27,'TECNICOS'!$B$4:$B$19,0)),"NO")&lt;&gt;"SI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3">
        <f>IF(COUNTIFS('PLAN_VACACIONES'!$A$4:$A$103,$C27,'PLAN_VACACIONES'!$B$4:$B$103,"&lt;="&amp;$L27,'PLAN_VACACIONES'!$C$4:$C$103,"&gt;="&amp;$L27)&gt;0,"sí","no")</f>
        <v/>
      </c>
      <c r="I27" s="6" t="n"/>
      <c r="J27" s="3">
        <f>IF($I27&lt;&gt;"",$I27,IF($G27="","",IF($H27="sí","VAC",IF(LEFT($G27,1)="B","B",$G27))))</f>
        <v/>
      </c>
      <c r="K27" s="3">
        <f>IFERROR(INDEX('TECNICOS'!$E$4:$E$19,MATCH($C27,'TECNICOS'!$B$4:$B$19,0)),"")</f>
        <v/>
      </c>
      <c r="L27" s="12">
        <f>IF($A27="","",DATE(VALUE(LEFT($A27,4)),1,4)-WEEKDAY(DATE(VALUE(LEFT($A27,4)),1,4),2)+1+(VALUE(MID($A27,7,2))-1)*7+MATCH($B27,lista_dias,0)-1)</f>
        <v/>
      </c>
      <c r="M27" s="3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3">
        <f>$A27&amp;"|"&amp;$B27&amp;"|"&amp;$C27</f>
        <v/>
      </c>
      <c r="O27" s="3">
        <f>IFERROR(INDEX('CAT_TURNOS'!$C$4:$C$7,MATCH($J27,'CAT_TURNOS'!$A$4:$A$7,0)),"")</f>
        <v/>
      </c>
      <c r="P27" s="3">
        <f>IFERROR(INDEX('CAT_TURNOS'!$D$4:$D$7,MATCH($J27,'CAT_TURNOS'!$A$4:$A$7,0)),"")</f>
        <v/>
      </c>
      <c r="Q27" s="3">
        <f>IF(AND(LEFT($G27,1)="T",$H27="no"),"sí","no")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IFERROR(INDEX('TECNICOS'!$D$4:$D$19,MATCH($C28,'TECNICOS'!$B$4:$B$19,0)),"")</f>
        <v/>
      </c>
      <c r="E28" s="3">
        <f>IFERROR(INDEX('TECNICOS'!$C$4:$C$19,MATCH($C28,'TECNICOS'!$B$4:$B$19,0)),"")</f>
        <v/>
      </c>
      <c r="F28" s="3">
        <f>COUNTIFS('TECNICOS'!$F$4:$F$19,"SI",'TECNICOS'!$C$4:$C$19,$E28,'TECNICOS'!$D$4:$D$19,$D28)</f>
        <v/>
      </c>
      <c r="G28" s="3">
        <f>IF(OR($C28="",$A28="",$B28="domingo"),"",IF(IFERROR(INDEX('TECNICOS'!$F$4:$F$19,MATCH($C28,'TECNICOS'!$B$4:$B$19,0)),"NO")&lt;&gt;"SI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3">
        <f>IF(COUNTIFS('PLAN_VACACIONES'!$A$4:$A$103,$C28,'PLAN_VACACIONES'!$B$4:$B$103,"&lt;="&amp;$L28,'PLAN_VACACIONES'!$C$4:$C$103,"&gt;="&amp;$L28)&gt;0,"sí","no")</f>
        <v/>
      </c>
      <c r="I28" s="6" t="n"/>
      <c r="J28" s="3">
        <f>IF($I28&lt;&gt;"",$I28,IF($G28="","",IF($H28="sí","VAC",IF(LEFT($G28,1)="B","B",$G28))))</f>
        <v/>
      </c>
      <c r="K28" s="3">
        <f>IFERROR(INDEX('TECNICOS'!$E$4:$E$19,MATCH($C28,'TECNICOS'!$B$4:$B$19,0)),"")</f>
        <v/>
      </c>
      <c r="L28" s="12">
        <f>IF($A28="","",DATE(VALUE(LEFT($A28,4)),1,4)-WEEKDAY(DATE(VALUE(LEFT($A28,4)),1,4),2)+1+(VALUE(MID($A28,7,2))-1)*7+MATCH($B28,lista_dias,0)-1)</f>
        <v/>
      </c>
      <c r="M28" s="3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3">
        <f>$A28&amp;"|"&amp;$B28&amp;"|"&amp;$C28</f>
        <v/>
      </c>
      <c r="O28" s="3">
        <f>IFERROR(INDEX('CAT_TURNOS'!$C$4:$C$7,MATCH($J28,'CAT_TURNOS'!$A$4:$A$7,0)),"")</f>
        <v/>
      </c>
      <c r="P28" s="3">
        <f>IFERROR(INDEX('CAT_TURNOS'!$D$4:$D$7,MATCH($J28,'CAT_TURNOS'!$A$4:$A$7,0)),"")</f>
        <v/>
      </c>
      <c r="Q28" s="3">
        <f>IF(AND(LEFT($G28,1)="T",$H28="no"),"sí","no")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IFERROR(INDEX('TECNICOS'!$D$4:$D$19,MATCH($C29,'TECNICOS'!$B$4:$B$19,0)),"")</f>
        <v/>
      </c>
      <c r="E29" s="3">
        <f>IFERROR(INDEX('TECNICOS'!$C$4:$C$19,MATCH($C29,'TECNICOS'!$B$4:$B$19,0)),"")</f>
        <v/>
      </c>
      <c r="F29" s="3">
        <f>COUNTIFS('TECNICOS'!$F$4:$F$19,"SI",'TECNICOS'!$C$4:$C$19,$E29,'TECNICOS'!$D$4:$D$19,$D29)</f>
        <v/>
      </c>
      <c r="G29" s="3">
        <f>IF(OR($C29="",$A29="",$B29="domingo"),"",IF(IFERROR(INDEX('TECNICOS'!$F$4:$F$19,MATCH($C29,'TECNICOS'!$B$4:$B$19,0)),"NO")&lt;&gt;"SI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3">
        <f>IF(COUNTIFS('PLAN_VACACIONES'!$A$4:$A$103,$C29,'PLAN_VACACIONES'!$B$4:$B$103,"&lt;="&amp;$L29,'PLAN_VACACIONES'!$C$4:$C$103,"&gt;="&amp;$L29)&gt;0,"sí","no")</f>
        <v/>
      </c>
      <c r="I29" s="6" t="n"/>
      <c r="J29" s="3">
        <f>IF($I29&lt;&gt;"",$I29,IF($G29="","",IF($H29="sí","VAC",IF(LEFT($G29,1)="B","B",$G29))))</f>
        <v/>
      </c>
      <c r="K29" s="3">
        <f>IFERROR(INDEX('TECNICOS'!$E$4:$E$19,MATCH($C29,'TECNICOS'!$B$4:$B$19,0)),"")</f>
        <v/>
      </c>
      <c r="L29" s="12">
        <f>IF($A29="","",DATE(VALUE(LEFT($A29,4)),1,4)-WEEKDAY(DATE(VALUE(LEFT($A29,4)),1,4),2)+1+(VALUE(MID($A29,7,2))-1)*7+MATCH($B29,lista_dias,0)-1)</f>
        <v/>
      </c>
      <c r="M29" s="3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3">
        <f>$A29&amp;"|"&amp;$B29&amp;"|"&amp;$C29</f>
        <v/>
      </c>
      <c r="O29" s="3">
        <f>IFERROR(INDEX('CAT_TURNOS'!$C$4:$C$7,MATCH($J29,'CAT_TURNOS'!$A$4:$A$7,0)),"")</f>
        <v/>
      </c>
      <c r="P29" s="3">
        <f>IFERROR(INDEX('CAT_TURNOS'!$D$4:$D$7,MATCH($J29,'CAT_TURNOS'!$A$4:$A$7,0)),"")</f>
        <v/>
      </c>
      <c r="Q29" s="3">
        <f>IF(AND(LEFT($G29,1)="T",$H29="no"),"sí","no")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IFERROR(INDEX('TECNICOS'!$D$4:$D$19,MATCH($C30,'TECNICOS'!$B$4:$B$19,0)),"")</f>
        <v/>
      </c>
      <c r="E30" s="3">
        <f>IFERROR(INDEX('TECNICOS'!$C$4:$C$19,MATCH($C30,'TECNICOS'!$B$4:$B$19,0)),"")</f>
        <v/>
      </c>
      <c r="F30" s="3">
        <f>COUNTIFS('TECNICOS'!$F$4:$F$19,"SI",'TECNICOS'!$C$4:$C$19,$E30,'TECNICOS'!$D$4:$D$19,$D30)</f>
        <v/>
      </c>
      <c r="G30" s="3">
        <f>IF(OR($C30="",$A30="",$B30="domingo"),"",IF(IFERROR(INDEX('TECNICOS'!$F$4:$F$19,MATCH($C30,'TECNICOS'!$B$4:$B$19,0)),"NO")&lt;&gt;"SI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3">
        <f>IF(COUNTIFS('PLAN_VACACIONES'!$A$4:$A$103,$C30,'PLAN_VACACIONES'!$B$4:$B$103,"&lt;="&amp;$L30,'PLAN_VACACIONES'!$C$4:$C$103,"&gt;="&amp;$L30)&gt;0,"sí","no")</f>
        <v/>
      </c>
      <c r="I30" s="6" t="n"/>
      <c r="J30" s="3">
        <f>IF($I30&lt;&gt;"",$I30,IF($G30="","",IF($H30="sí","VAC",IF(LEFT($G30,1)="B","B",$G30))))</f>
        <v/>
      </c>
      <c r="K30" s="3">
        <f>IFERROR(INDEX('TECNICOS'!$E$4:$E$19,MATCH($C30,'TECNICOS'!$B$4:$B$19,0)),"")</f>
        <v/>
      </c>
      <c r="L30" s="12">
        <f>IF($A30="","",DATE(VALUE(LEFT($A30,4)),1,4)-WEEKDAY(DATE(VALUE(LEFT($A30,4)),1,4),2)+1+(VALUE(MID($A30,7,2))-1)*7+MATCH($B30,lista_dias,0)-1)</f>
        <v/>
      </c>
      <c r="M30" s="3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3">
        <f>$A30&amp;"|"&amp;$B30&amp;"|"&amp;$C30</f>
        <v/>
      </c>
      <c r="O30" s="3">
        <f>IFERROR(INDEX('CAT_TURNOS'!$C$4:$C$7,MATCH($J30,'CAT_TURNOS'!$A$4:$A$7,0)),"")</f>
        <v/>
      </c>
      <c r="P30" s="3">
        <f>IFERROR(INDEX('CAT_TURNOS'!$D$4:$D$7,MATCH($J30,'CAT_TURNOS'!$A$4:$A$7,0)),"")</f>
        <v/>
      </c>
      <c r="Q30" s="3">
        <f>IF(AND(LEFT($G30,1)="T",$H30="no"),"sí","no")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IFERROR(INDEX('TECNICOS'!$D$4:$D$19,MATCH($C31,'TECNICOS'!$B$4:$B$19,0)),"")</f>
        <v/>
      </c>
      <c r="E31" s="3">
        <f>IFERROR(INDEX('TECNICOS'!$C$4:$C$19,MATCH($C31,'TECNICOS'!$B$4:$B$19,0)),"")</f>
        <v/>
      </c>
      <c r="F31" s="3">
        <f>COUNTIFS('TECNICOS'!$F$4:$F$19,"SI",'TECNICOS'!$C$4:$C$19,$E31,'TECNICOS'!$D$4:$D$19,$D31)</f>
        <v/>
      </c>
      <c r="G31" s="3">
        <f>IF(OR($C31="",$A31="",$B31="domingo"),"",IF(IFERROR(INDEX('TECNICOS'!$F$4:$F$19,MATCH($C31,'TECNICOS'!$B$4:$B$19,0)),"NO")&lt;&gt;"SI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3">
        <f>IF(COUNTIFS('PLAN_VACACIONES'!$A$4:$A$103,$C31,'PLAN_VACACIONES'!$B$4:$B$103,"&lt;="&amp;$L31,'PLAN_VACACIONES'!$C$4:$C$103,"&gt;="&amp;$L31)&gt;0,"sí","no")</f>
        <v/>
      </c>
      <c r="I31" s="6" t="n"/>
      <c r="J31" s="3">
        <f>IF($I31&lt;&gt;"",$I31,IF($G31="","",IF($H31="sí","VAC",IF(LEFT($G31,1)="B","B",$G31))))</f>
        <v/>
      </c>
      <c r="K31" s="3">
        <f>IFERROR(INDEX('TECNICOS'!$E$4:$E$19,MATCH($C31,'TECNICOS'!$B$4:$B$19,0)),"")</f>
        <v/>
      </c>
      <c r="L31" s="12">
        <f>IF($A31="","",DATE(VALUE(LEFT($A31,4)),1,4)-WEEKDAY(DATE(VALUE(LEFT($A31,4)),1,4),2)+1+(VALUE(MID($A31,7,2))-1)*7+MATCH($B31,lista_dias,0)-1)</f>
        <v/>
      </c>
      <c r="M31" s="3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3">
        <f>$A31&amp;"|"&amp;$B31&amp;"|"&amp;$C31</f>
        <v/>
      </c>
      <c r="O31" s="3">
        <f>IFERROR(INDEX('CAT_TURNOS'!$C$4:$C$7,MATCH($J31,'CAT_TURNOS'!$A$4:$A$7,0)),"")</f>
        <v/>
      </c>
      <c r="P31" s="3">
        <f>IFERROR(INDEX('CAT_TURNOS'!$D$4:$D$7,MATCH($J31,'CAT_TURNOS'!$A$4:$A$7,0)),"")</f>
        <v/>
      </c>
      <c r="Q31" s="3">
        <f>IF(AND(LEFT($G31,1)="T",$H31="no"),"sí","no")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IFERROR(INDEX('TECNICOS'!$D$4:$D$19,MATCH($C32,'TECNICOS'!$B$4:$B$19,0)),"")</f>
        <v/>
      </c>
      <c r="E32" s="3">
        <f>IFERROR(INDEX('TECNICOS'!$C$4:$C$19,MATCH($C32,'TECNICOS'!$B$4:$B$19,0)),"")</f>
        <v/>
      </c>
      <c r="F32" s="3">
        <f>COUNTIFS('TECNICOS'!$F$4:$F$19,"SI",'TECNICOS'!$C$4:$C$19,$E32,'TECNICOS'!$D$4:$D$19,$D32)</f>
        <v/>
      </c>
      <c r="G32" s="3">
        <f>IF(OR($C32="",$A32="",$B32="domingo"),"",IF(IFERROR(INDEX('TECNICOS'!$F$4:$F$19,MATCH($C32,'TECNICOS'!$B$4:$B$19,0)),"NO")&lt;&gt;"SI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3">
        <f>IF(COUNTIFS('PLAN_VACACIONES'!$A$4:$A$103,$C32,'PLAN_VACACIONES'!$B$4:$B$103,"&lt;="&amp;$L32,'PLAN_VACACIONES'!$C$4:$C$103,"&gt;="&amp;$L32)&gt;0,"sí","no")</f>
        <v/>
      </c>
      <c r="I32" s="6" t="n"/>
      <c r="J32" s="3">
        <f>IF($I32&lt;&gt;"",$I32,IF($G32="","",IF($H32="sí","VAC",IF(LEFT($G32,1)="B","B",$G32))))</f>
        <v/>
      </c>
      <c r="K32" s="3">
        <f>IFERROR(INDEX('TECNICOS'!$E$4:$E$19,MATCH($C32,'TECNICOS'!$B$4:$B$19,0)),"")</f>
        <v/>
      </c>
      <c r="L32" s="12">
        <f>IF($A32="","",DATE(VALUE(LEFT($A32,4)),1,4)-WEEKDAY(DATE(VALUE(LEFT($A32,4)),1,4),2)+1+(VALUE(MID($A32,7,2))-1)*7+MATCH($B32,lista_dias,0)-1)</f>
        <v/>
      </c>
      <c r="M32" s="3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3">
        <f>$A32&amp;"|"&amp;$B32&amp;"|"&amp;$C32</f>
        <v/>
      </c>
      <c r="O32" s="3">
        <f>IFERROR(INDEX('CAT_TURNOS'!$C$4:$C$7,MATCH($J32,'CAT_TURNOS'!$A$4:$A$7,0)),"")</f>
        <v/>
      </c>
      <c r="P32" s="3">
        <f>IFERROR(INDEX('CAT_TURNOS'!$D$4:$D$7,MATCH($J32,'CAT_TURNOS'!$A$4:$A$7,0)),"")</f>
        <v/>
      </c>
      <c r="Q32" s="3">
        <f>IF(AND(LEFT($G32,1)="T",$H32="no"),"sí","no")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IFERROR(INDEX('TECNICOS'!$D$4:$D$19,MATCH($C33,'TECNICOS'!$B$4:$B$19,0)),"")</f>
        <v/>
      </c>
      <c r="E33" s="3">
        <f>IFERROR(INDEX('TECNICOS'!$C$4:$C$19,MATCH($C33,'TECNICOS'!$B$4:$B$19,0)),"")</f>
        <v/>
      </c>
      <c r="F33" s="3">
        <f>COUNTIFS('TECNICOS'!$F$4:$F$19,"SI",'TECNICOS'!$C$4:$C$19,$E33,'TECNICOS'!$D$4:$D$19,$D33)</f>
        <v/>
      </c>
      <c r="G33" s="3">
        <f>IF(OR($C33="",$A33="",$B33="domingo"),"",IF(IFERROR(INDEX('TECNICOS'!$F$4:$F$19,MATCH($C33,'TECNICOS'!$B$4:$B$19,0)),"NO")&lt;&gt;"SI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3">
        <f>IF(COUNTIFS('PLAN_VACACIONES'!$A$4:$A$103,$C33,'PLAN_VACACIONES'!$B$4:$B$103,"&lt;="&amp;$L33,'PLAN_VACACIONES'!$C$4:$C$103,"&gt;="&amp;$L33)&gt;0,"sí","no")</f>
        <v/>
      </c>
      <c r="I33" s="6" t="n"/>
      <c r="J33" s="3">
        <f>IF($I33&lt;&gt;"",$I33,IF($G33="","",IF($H33="sí","VAC",IF(LEFT($G33,1)="B","B",$G33))))</f>
        <v/>
      </c>
      <c r="K33" s="3">
        <f>IFERROR(INDEX('TECNICOS'!$E$4:$E$19,MATCH($C33,'TECNICOS'!$B$4:$B$19,0)),"")</f>
        <v/>
      </c>
      <c r="L33" s="12">
        <f>IF($A33="","",DATE(VALUE(LEFT($A33,4)),1,4)-WEEKDAY(DATE(VALUE(LEFT($A33,4)),1,4),2)+1+(VALUE(MID($A33,7,2))-1)*7+MATCH($B33,lista_dias,0)-1)</f>
        <v/>
      </c>
      <c r="M33" s="3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3">
        <f>$A33&amp;"|"&amp;$B33&amp;"|"&amp;$C33</f>
        <v/>
      </c>
      <c r="O33" s="3">
        <f>IFERROR(INDEX('CAT_TURNOS'!$C$4:$C$7,MATCH($J33,'CAT_TURNOS'!$A$4:$A$7,0)),"")</f>
        <v/>
      </c>
      <c r="P33" s="3">
        <f>IFERROR(INDEX('CAT_TURNOS'!$D$4:$D$7,MATCH($J33,'CAT_TURNOS'!$A$4:$A$7,0)),"")</f>
        <v/>
      </c>
      <c r="Q33" s="3">
        <f>IF(AND(LEFT($G33,1)="T",$H33="no"),"sí","no")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IFERROR(INDEX('TECNICOS'!$D$4:$D$19,MATCH($C34,'TECNICOS'!$B$4:$B$19,0)),"")</f>
        <v/>
      </c>
      <c r="E34" s="3">
        <f>IFERROR(INDEX('TECNICOS'!$C$4:$C$19,MATCH($C34,'TECNICOS'!$B$4:$B$19,0)),"")</f>
        <v/>
      </c>
      <c r="F34" s="3">
        <f>COUNTIFS('TECNICOS'!$F$4:$F$19,"SI",'TECNICOS'!$C$4:$C$19,$E34,'TECNICOS'!$D$4:$D$19,$D34)</f>
        <v/>
      </c>
      <c r="G34" s="3">
        <f>IF(OR($C34="",$A34="",$B34="domingo"),"",IF(IFERROR(INDEX('TECNICOS'!$F$4:$F$19,MATCH($C34,'TECNICOS'!$B$4:$B$19,0)),"NO")&lt;&gt;"SI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3">
        <f>IF(COUNTIFS('PLAN_VACACIONES'!$A$4:$A$103,$C34,'PLAN_VACACIONES'!$B$4:$B$103,"&lt;="&amp;$L34,'PLAN_VACACIONES'!$C$4:$C$103,"&gt;="&amp;$L34)&gt;0,"sí","no")</f>
        <v/>
      </c>
      <c r="I34" s="6" t="n"/>
      <c r="J34" s="3">
        <f>IF($I34&lt;&gt;"",$I34,IF($G34="","",IF($H34="sí","VAC",IF(LEFT($G34,1)="B","B",$G34))))</f>
        <v/>
      </c>
      <c r="K34" s="3">
        <f>IFERROR(INDEX('TECNICOS'!$E$4:$E$19,MATCH($C34,'TECNICOS'!$B$4:$B$19,0)),"")</f>
        <v/>
      </c>
      <c r="L34" s="12">
        <f>IF($A34="","",DATE(VALUE(LEFT($A34,4)),1,4)-WEEKDAY(DATE(VALUE(LEFT($A34,4)),1,4),2)+1+(VALUE(MID($A34,7,2))-1)*7+MATCH($B34,lista_dias,0)-1)</f>
        <v/>
      </c>
      <c r="M34" s="3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3">
        <f>$A34&amp;"|"&amp;$B34&amp;"|"&amp;$C34</f>
        <v/>
      </c>
      <c r="O34" s="3">
        <f>IFERROR(INDEX('CAT_TURNOS'!$C$4:$C$7,MATCH($J34,'CAT_TURNOS'!$A$4:$A$7,0)),"")</f>
        <v/>
      </c>
      <c r="P34" s="3">
        <f>IFERROR(INDEX('CAT_TURNOS'!$D$4:$D$7,MATCH($J34,'CAT_TURNOS'!$A$4:$A$7,0)),"")</f>
        <v/>
      </c>
      <c r="Q34" s="3">
        <f>IF(AND(LEFT($G34,1)="T",$H34="no"),"sí","no")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IFERROR(INDEX('TECNICOS'!$D$4:$D$19,MATCH($C35,'TECNICOS'!$B$4:$B$19,0)),"")</f>
        <v/>
      </c>
      <c r="E35" s="3">
        <f>IFERROR(INDEX('TECNICOS'!$C$4:$C$19,MATCH($C35,'TECNICOS'!$B$4:$B$19,0)),"")</f>
        <v/>
      </c>
      <c r="F35" s="3">
        <f>COUNTIFS('TECNICOS'!$F$4:$F$19,"SI",'TECNICOS'!$C$4:$C$19,$E35,'TECNICOS'!$D$4:$D$19,$D35)</f>
        <v/>
      </c>
      <c r="G35" s="3">
        <f>IF(OR($C35="",$A35="",$B35="domingo"),"",IF(IFERROR(INDEX('TECNICOS'!$F$4:$F$19,MATCH($C35,'TECNICOS'!$B$4:$B$19,0)),"NO")&lt;&gt;"SI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3">
        <f>IF(COUNTIFS('PLAN_VACACIONES'!$A$4:$A$103,$C35,'PLAN_VACACIONES'!$B$4:$B$103,"&lt;="&amp;$L35,'PLAN_VACACIONES'!$C$4:$C$103,"&gt;="&amp;$L35)&gt;0,"sí","no")</f>
        <v/>
      </c>
      <c r="I35" s="6" t="n"/>
      <c r="J35" s="3">
        <f>IF($I35&lt;&gt;"",$I35,IF($G35="","",IF($H35="sí","VAC",IF(LEFT($G35,1)="B","B",$G35))))</f>
        <v/>
      </c>
      <c r="K35" s="3">
        <f>IFERROR(INDEX('TECNICOS'!$E$4:$E$19,MATCH($C35,'TECNICOS'!$B$4:$B$19,0)),"")</f>
        <v/>
      </c>
      <c r="L35" s="12">
        <f>IF($A35="","",DATE(VALUE(LEFT($A35,4)),1,4)-WEEKDAY(DATE(VALUE(LEFT($A35,4)),1,4),2)+1+(VALUE(MID($A35,7,2))-1)*7+MATCH($B35,lista_dias,0)-1)</f>
        <v/>
      </c>
      <c r="M35" s="3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3">
        <f>$A35&amp;"|"&amp;$B35&amp;"|"&amp;$C35</f>
        <v/>
      </c>
      <c r="O35" s="3">
        <f>IFERROR(INDEX('CAT_TURNOS'!$C$4:$C$7,MATCH($J35,'CAT_TURNOS'!$A$4:$A$7,0)),"")</f>
        <v/>
      </c>
      <c r="P35" s="3">
        <f>IFERROR(INDEX('CAT_TURNOS'!$D$4:$D$7,MATCH($J35,'CAT_TURNOS'!$A$4:$A$7,0)),"")</f>
        <v/>
      </c>
      <c r="Q35" s="3">
        <f>IF(AND(LEFT($G35,1)="T",$H35="no"),"sí","no")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IFERROR(INDEX('TECNICOS'!$D$4:$D$19,MATCH($C36,'TECNICOS'!$B$4:$B$19,0)),"")</f>
        <v/>
      </c>
      <c r="E36" s="3">
        <f>IFERROR(INDEX('TECNICOS'!$C$4:$C$19,MATCH($C36,'TECNICOS'!$B$4:$B$19,0)),"")</f>
        <v/>
      </c>
      <c r="F36" s="3">
        <f>COUNTIFS('TECNICOS'!$F$4:$F$19,"SI",'TECNICOS'!$C$4:$C$19,$E36,'TECNICOS'!$D$4:$D$19,$D36)</f>
        <v/>
      </c>
      <c r="G36" s="3">
        <f>IF(OR($C36="",$A36="",$B36="domingo"),"",IF(IFERROR(INDEX('TECNICOS'!$F$4:$F$19,MATCH($C36,'TECNICOS'!$B$4:$B$19,0)),"NO")&lt;&gt;"SI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3">
        <f>IF(COUNTIFS('PLAN_VACACIONES'!$A$4:$A$103,$C36,'PLAN_VACACIONES'!$B$4:$B$103,"&lt;="&amp;$L36,'PLAN_VACACIONES'!$C$4:$C$103,"&gt;="&amp;$L36)&gt;0,"sí","no")</f>
        <v/>
      </c>
      <c r="I36" s="6" t="n"/>
      <c r="J36" s="3">
        <f>IF($I36&lt;&gt;"",$I36,IF($G36="","",IF($H36="sí","VAC",IF(LEFT($G36,1)="B","B",$G36))))</f>
        <v/>
      </c>
      <c r="K36" s="3">
        <f>IFERROR(INDEX('TECNICOS'!$E$4:$E$19,MATCH($C36,'TECNICOS'!$B$4:$B$19,0)),"")</f>
        <v/>
      </c>
      <c r="L36" s="12">
        <f>IF($A36="","",DATE(VALUE(LEFT($A36,4)),1,4)-WEEKDAY(DATE(VALUE(LEFT($A36,4)),1,4),2)+1+(VALUE(MID($A36,7,2))-1)*7+MATCH($B36,lista_dias,0)-1)</f>
        <v/>
      </c>
      <c r="M36" s="3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3">
        <f>$A36&amp;"|"&amp;$B36&amp;"|"&amp;$C36</f>
        <v/>
      </c>
      <c r="O36" s="3">
        <f>IFERROR(INDEX('CAT_TURNOS'!$C$4:$C$7,MATCH($J36,'CAT_TURNOS'!$A$4:$A$7,0)),"")</f>
        <v/>
      </c>
      <c r="P36" s="3">
        <f>IFERROR(INDEX('CAT_TURNOS'!$D$4:$D$7,MATCH($J36,'CAT_TURNOS'!$A$4:$A$7,0)),"")</f>
        <v/>
      </c>
      <c r="Q36" s="3">
        <f>IF(AND(LEFT($G36,1)="T",$H36="no"),"sí","no")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IFERROR(INDEX('TECNICOS'!$D$4:$D$19,MATCH($C37,'TECNICOS'!$B$4:$B$19,0)),"")</f>
        <v/>
      </c>
      <c r="E37" s="3">
        <f>IFERROR(INDEX('TECNICOS'!$C$4:$C$19,MATCH($C37,'TECNICOS'!$B$4:$B$19,0)),"")</f>
        <v/>
      </c>
      <c r="F37" s="3">
        <f>COUNTIFS('TECNICOS'!$F$4:$F$19,"SI",'TECNICOS'!$C$4:$C$19,$E37,'TECNICOS'!$D$4:$D$19,$D37)</f>
        <v/>
      </c>
      <c r="G37" s="3">
        <f>IF(OR($C37="",$A37="",$B37="domingo"),"",IF(IFERROR(INDEX('TECNICOS'!$F$4:$F$19,MATCH($C37,'TECNICOS'!$B$4:$B$19,0)),"NO")&lt;&gt;"SI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3">
        <f>IF(COUNTIFS('PLAN_VACACIONES'!$A$4:$A$103,$C37,'PLAN_VACACIONES'!$B$4:$B$103,"&lt;="&amp;$L37,'PLAN_VACACIONES'!$C$4:$C$103,"&gt;="&amp;$L37)&gt;0,"sí","no")</f>
        <v/>
      </c>
      <c r="I37" s="6" t="n"/>
      <c r="J37" s="3">
        <f>IF($I37&lt;&gt;"",$I37,IF($G37="","",IF($H37="sí","VAC",IF(LEFT($G37,1)="B","B",$G37))))</f>
        <v/>
      </c>
      <c r="K37" s="3">
        <f>IFERROR(INDEX('TECNICOS'!$E$4:$E$19,MATCH($C37,'TECNICOS'!$B$4:$B$19,0)),"")</f>
        <v/>
      </c>
      <c r="L37" s="12">
        <f>IF($A37="","",DATE(VALUE(LEFT($A37,4)),1,4)-WEEKDAY(DATE(VALUE(LEFT($A37,4)),1,4),2)+1+(VALUE(MID($A37,7,2))-1)*7+MATCH($B37,lista_dias,0)-1)</f>
        <v/>
      </c>
      <c r="M37" s="3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3">
        <f>$A37&amp;"|"&amp;$B37&amp;"|"&amp;$C37</f>
        <v/>
      </c>
      <c r="O37" s="3">
        <f>IFERROR(INDEX('CAT_TURNOS'!$C$4:$C$7,MATCH($J37,'CAT_TURNOS'!$A$4:$A$7,0)),"")</f>
        <v/>
      </c>
      <c r="P37" s="3">
        <f>IFERROR(INDEX('CAT_TURNOS'!$D$4:$D$7,MATCH($J37,'CAT_TURNOS'!$A$4:$A$7,0)),"")</f>
        <v/>
      </c>
      <c r="Q37" s="3">
        <f>IF(AND(LEFT($G37,1)="T",$H37="no"),"sí","no")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IFERROR(INDEX('TECNICOS'!$D$4:$D$19,MATCH($C38,'TECNICOS'!$B$4:$B$19,0)),"")</f>
        <v/>
      </c>
      <c r="E38" s="3">
        <f>IFERROR(INDEX('TECNICOS'!$C$4:$C$19,MATCH($C38,'TECNICOS'!$B$4:$B$19,0)),"")</f>
        <v/>
      </c>
      <c r="F38" s="3">
        <f>COUNTIFS('TECNICOS'!$F$4:$F$19,"SI",'TECNICOS'!$C$4:$C$19,$E38,'TECNICOS'!$D$4:$D$19,$D38)</f>
        <v/>
      </c>
      <c r="G38" s="3">
        <f>IF(OR($C38="",$A38="",$B38="domingo"),"",IF(IFERROR(INDEX('TECNICOS'!$F$4:$F$19,MATCH($C38,'TECNICOS'!$B$4:$B$19,0)),"NO")&lt;&gt;"SI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3">
        <f>IF(COUNTIFS('PLAN_VACACIONES'!$A$4:$A$103,$C38,'PLAN_VACACIONES'!$B$4:$B$103,"&lt;="&amp;$L38,'PLAN_VACACIONES'!$C$4:$C$103,"&gt;="&amp;$L38)&gt;0,"sí","no")</f>
        <v/>
      </c>
      <c r="I38" s="6" t="n"/>
      <c r="J38" s="3">
        <f>IF($I38&lt;&gt;"",$I38,IF($G38="","",IF($H38="sí","VAC",IF(LEFT($G38,1)="B","B",$G38))))</f>
        <v/>
      </c>
      <c r="K38" s="3">
        <f>IFERROR(INDEX('TECNICOS'!$E$4:$E$19,MATCH($C38,'TECNICOS'!$B$4:$B$19,0)),"")</f>
        <v/>
      </c>
      <c r="L38" s="12">
        <f>IF($A38="","",DATE(VALUE(LEFT($A38,4)),1,4)-WEEKDAY(DATE(VALUE(LEFT($A38,4)),1,4),2)+1+(VALUE(MID($A38,7,2))-1)*7+MATCH($B38,lista_dias,0)-1)</f>
        <v/>
      </c>
      <c r="M38" s="3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3">
        <f>$A38&amp;"|"&amp;$B38&amp;"|"&amp;$C38</f>
        <v/>
      </c>
      <c r="O38" s="3">
        <f>IFERROR(INDEX('CAT_TURNOS'!$C$4:$C$7,MATCH($J38,'CAT_TURNOS'!$A$4:$A$7,0)),"")</f>
        <v/>
      </c>
      <c r="P38" s="3">
        <f>IFERROR(INDEX('CAT_TURNOS'!$D$4:$D$7,MATCH($J38,'CAT_TURNOS'!$A$4:$A$7,0)),"")</f>
        <v/>
      </c>
      <c r="Q38" s="3">
        <f>IF(AND(LEFT($G38,1)="T",$H38="no"),"sí","no")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IFERROR(INDEX('TECNICOS'!$D$4:$D$19,MATCH($C39,'TECNICOS'!$B$4:$B$19,0)),"")</f>
        <v/>
      </c>
      <c r="E39" s="3">
        <f>IFERROR(INDEX('TECNICOS'!$C$4:$C$19,MATCH($C39,'TECNICOS'!$B$4:$B$19,0)),"")</f>
        <v/>
      </c>
      <c r="F39" s="3">
        <f>COUNTIFS('TECNICOS'!$F$4:$F$19,"SI",'TECNICOS'!$C$4:$C$19,$E39,'TECNICOS'!$D$4:$D$19,$D39)</f>
        <v/>
      </c>
      <c r="G39" s="3">
        <f>IF(OR($C39="",$A39="",$B39="domingo"),"",IF(IFERROR(INDEX('TECNICOS'!$F$4:$F$19,MATCH($C39,'TECNICOS'!$B$4:$B$19,0)),"NO")&lt;&gt;"SI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3">
        <f>IF(COUNTIFS('PLAN_VACACIONES'!$A$4:$A$103,$C39,'PLAN_VACACIONES'!$B$4:$B$103,"&lt;="&amp;$L39,'PLAN_VACACIONES'!$C$4:$C$103,"&gt;="&amp;$L39)&gt;0,"sí","no")</f>
        <v/>
      </c>
      <c r="I39" s="6" t="n"/>
      <c r="J39" s="3">
        <f>IF($I39&lt;&gt;"",$I39,IF($G39="","",IF($H39="sí","VAC",IF(LEFT($G39,1)="B","B",$G39))))</f>
        <v/>
      </c>
      <c r="K39" s="3">
        <f>IFERROR(INDEX('TECNICOS'!$E$4:$E$19,MATCH($C39,'TECNICOS'!$B$4:$B$19,0)),"")</f>
        <v/>
      </c>
      <c r="L39" s="12">
        <f>IF($A39="","",DATE(VALUE(LEFT($A39,4)),1,4)-WEEKDAY(DATE(VALUE(LEFT($A39,4)),1,4),2)+1+(VALUE(MID($A39,7,2))-1)*7+MATCH($B39,lista_dias,0)-1)</f>
        <v/>
      </c>
      <c r="M39" s="3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3">
        <f>$A39&amp;"|"&amp;$B39&amp;"|"&amp;$C39</f>
        <v/>
      </c>
      <c r="O39" s="3">
        <f>IFERROR(INDEX('CAT_TURNOS'!$C$4:$C$7,MATCH($J39,'CAT_TURNOS'!$A$4:$A$7,0)),"")</f>
        <v/>
      </c>
      <c r="P39" s="3">
        <f>IFERROR(INDEX('CAT_TURNOS'!$D$4:$D$7,MATCH($J39,'CAT_TURNOS'!$A$4:$A$7,0)),"")</f>
        <v/>
      </c>
      <c r="Q39" s="3">
        <f>IF(AND(LEFT($G39,1)="T",$H39="no"),"sí","no")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IFERROR(INDEX('TECNICOS'!$D$4:$D$19,MATCH($C40,'TECNICOS'!$B$4:$B$19,0)),"")</f>
        <v/>
      </c>
      <c r="E40" s="3">
        <f>IFERROR(INDEX('TECNICOS'!$C$4:$C$19,MATCH($C40,'TECNICOS'!$B$4:$B$19,0)),"")</f>
        <v/>
      </c>
      <c r="F40" s="3">
        <f>COUNTIFS('TECNICOS'!$F$4:$F$19,"SI",'TECNICOS'!$C$4:$C$19,$E40,'TECNICOS'!$D$4:$D$19,$D40)</f>
        <v/>
      </c>
      <c r="G40" s="3">
        <f>IF(OR($C40="",$A40="",$B40="domingo"),"",IF(IFERROR(INDEX('TECNICOS'!$F$4:$F$19,MATCH($C40,'TECNICOS'!$B$4:$B$19,0)),"NO")&lt;&gt;"SI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3">
        <f>IF(COUNTIFS('PLAN_VACACIONES'!$A$4:$A$103,$C40,'PLAN_VACACIONES'!$B$4:$B$103,"&lt;="&amp;$L40,'PLAN_VACACIONES'!$C$4:$C$103,"&gt;="&amp;$L40)&gt;0,"sí","no")</f>
        <v/>
      </c>
      <c r="I40" s="6" t="n"/>
      <c r="J40" s="3">
        <f>IF($I40&lt;&gt;"",$I40,IF($G40="","",IF($H40="sí","VAC",IF(LEFT($G40,1)="B","B",$G40))))</f>
        <v/>
      </c>
      <c r="K40" s="3">
        <f>IFERROR(INDEX('TECNICOS'!$E$4:$E$19,MATCH($C40,'TECNICOS'!$B$4:$B$19,0)),"")</f>
        <v/>
      </c>
      <c r="L40" s="12">
        <f>IF($A40="","",DATE(VALUE(LEFT($A40,4)),1,4)-WEEKDAY(DATE(VALUE(LEFT($A40,4)),1,4),2)+1+(VALUE(MID($A40,7,2))-1)*7+MATCH($B40,lista_dias,0)-1)</f>
        <v/>
      </c>
      <c r="M40" s="3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3">
        <f>$A40&amp;"|"&amp;$B40&amp;"|"&amp;$C40</f>
        <v/>
      </c>
      <c r="O40" s="3">
        <f>IFERROR(INDEX('CAT_TURNOS'!$C$4:$C$7,MATCH($J40,'CAT_TURNOS'!$A$4:$A$7,0)),"")</f>
        <v/>
      </c>
      <c r="P40" s="3">
        <f>IFERROR(INDEX('CAT_TURNOS'!$D$4:$D$7,MATCH($J40,'CAT_TURNOS'!$A$4:$A$7,0)),"")</f>
        <v/>
      </c>
      <c r="Q40" s="3">
        <f>IF(AND(LEFT($G40,1)="T",$H40="no"),"sí","no")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IFERROR(INDEX('TECNICOS'!$D$4:$D$19,MATCH($C41,'TECNICOS'!$B$4:$B$19,0)),"")</f>
        <v/>
      </c>
      <c r="E41" s="3">
        <f>IFERROR(INDEX('TECNICOS'!$C$4:$C$19,MATCH($C41,'TECNICOS'!$B$4:$B$19,0)),"")</f>
        <v/>
      </c>
      <c r="F41" s="3">
        <f>COUNTIFS('TECNICOS'!$F$4:$F$19,"SI",'TECNICOS'!$C$4:$C$19,$E41,'TECNICOS'!$D$4:$D$19,$D41)</f>
        <v/>
      </c>
      <c r="G41" s="3">
        <f>IF(OR($C41="",$A41="",$B41="domingo"),"",IF(IFERROR(INDEX('TECNICOS'!$F$4:$F$19,MATCH($C41,'TECNICOS'!$B$4:$B$19,0)),"NO")&lt;&gt;"SI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3">
        <f>IF(COUNTIFS('PLAN_VACACIONES'!$A$4:$A$103,$C41,'PLAN_VACACIONES'!$B$4:$B$103,"&lt;="&amp;$L41,'PLAN_VACACIONES'!$C$4:$C$103,"&gt;="&amp;$L41)&gt;0,"sí","no")</f>
        <v/>
      </c>
      <c r="I41" s="6" t="n"/>
      <c r="J41" s="3">
        <f>IF($I41&lt;&gt;"",$I41,IF($G41="","",IF($H41="sí","VAC",IF(LEFT($G41,1)="B","B",$G41))))</f>
        <v/>
      </c>
      <c r="K41" s="3">
        <f>IFERROR(INDEX('TECNICOS'!$E$4:$E$19,MATCH($C41,'TECNICOS'!$B$4:$B$19,0)),"")</f>
        <v/>
      </c>
      <c r="L41" s="12">
        <f>IF($A41="","",DATE(VALUE(LEFT($A41,4)),1,4)-WEEKDAY(DATE(VALUE(LEFT($A41,4)),1,4),2)+1+(VALUE(MID($A41,7,2))-1)*7+MATCH($B41,lista_dias,0)-1)</f>
        <v/>
      </c>
      <c r="M41" s="3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3">
        <f>$A41&amp;"|"&amp;$B41&amp;"|"&amp;$C41</f>
        <v/>
      </c>
      <c r="O41" s="3">
        <f>IFERROR(INDEX('CAT_TURNOS'!$C$4:$C$7,MATCH($J41,'CAT_TURNOS'!$A$4:$A$7,0)),"")</f>
        <v/>
      </c>
      <c r="P41" s="3">
        <f>IFERROR(INDEX('CAT_TURNOS'!$D$4:$D$7,MATCH($J41,'CAT_TURNOS'!$A$4:$A$7,0)),"")</f>
        <v/>
      </c>
      <c r="Q41" s="3">
        <f>IF(AND(LEFT($G41,1)="T",$H41="no"),"sí","no")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IFERROR(INDEX('TECNICOS'!$D$4:$D$19,MATCH($C42,'TECNICOS'!$B$4:$B$19,0)),"")</f>
        <v/>
      </c>
      <c r="E42" s="3">
        <f>IFERROR(INDEX('TECNICOS'!$C$4:$C$19,MATCH($C42,'TECNICOS'!$B$4:$B$19,0)),"")</f>
        <v/>
      </c>
      <c r="F42" s="3">
        <f>COUNTIFS('TECNICOS'!$F$4:$F$19,"SI",'TECNICOS'!$C$4:$C$19,$E42,'TECNICOS'!$D$4:$D$19,$D42)</f>
        <v/>
      </c>
      <c r="G42" s="3">
        <f>IF(OR($C42="",$A42="",$B42="domingo"),"",IF(IFERROR(INDEX('TECNICOS'!$F$4:$F$19,MATCH($C42,'TECNICOS'!$B$4:$B$19,0)),"NO")&lt;&gt;"SI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3">
        <f>IF(COUNTIFS('PLAN_VACACIONES'!$A$4:$A$103,$C42,'PLAN_VACACIONES'!$B$4:$B$103,"&lt;="&amp;$L42,'PLAN_VACACIONES'!$C$4:$C$103,"&gt;="&amp;$L42)&gt;0,"sí","no")</f>
        <v/>
      </c>
      <c r="I42" s="6" t="n"/>
      <c r="J42" s="3">
        <f>IF($I42&lt;&gt;"",$I42,IF($G42="","",IF($H42="sí","VAC",IF(LEFT($G42,1)="B","B",$G42))))</f>
        <v/>
      </c>
      <c r="K42" s="3">
        <f>IFERROR(INDEX('TECNICOS'!$E$4:$E$19,MATCH($C42,'TECNICOS'!$B$4:$B$19,0)),"")</f>
        <v/>
      </c>
      <c r="L42" s="12">
        <f>IF($A42="","",DATE(VALUE(LEFT($A42,4)),1,4)-WEEKDAY(DATE(VALUE(LEFT($A42,4)),1,4),2)+1+(VALUE(MID($A42,7,2))-1)*7+MATCH($B42,lista_dias,0)-1)</f>
        <v/>
      </c>
      <c r="M42" s="3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3">
        <f>$A42&amp;"|"&amp;$B42&amp;"|"&amp;$C42</f>
        <v/>
      </c>
      <c r="O42" s="3">
        <f>IFERROR(INDEX('CAT_TURNOS'!$C$4:$C$7,MATCH($J42,'CAT_TURNOS'!$A$4:$A$7,0)),"")</f>
        <v/>
      </c>
      <c r="P42" s="3">
        <f>IFERROR(INDEX('CAT_TURNOS'!$D$4:$D$7,MATCH($J42,'CAT_TURNOS'!$A$4:$A$7,0)),"")</f>
        <v/>
      </c>
      <c r="Q42" s="3">
        <f>IF(AND(LEFT($G42,1)="T",$H42="no"),"sí","no")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IFERROR(INDEX('TECNICOS'!$D$4:$D$19,MATCH($C43,'TECNICOS'!$B$4:$B$19,0)),"")</f>
        <v/>
      </c>
      <c r="E43" s="3">
        <f>IFERROR(INDEX('TECNICOS'!$C$4:$C$19,MATCH($C43,'TECNICOS'!$B$4:$B$19,0)),"")</f>
        <v/>
      </c>
      <c r="F43" s="3">
        <f>COUNTIFS('TECNICOS'!$F$4:$F$19,"SI",'TECNICOS'!$C$4:$C$19,$E43,'TECNICOS'!$D$4:$D$19,$D43)</f>
        <v/>
      </c>
      <c r="G43" s="3">
        <f>IF(OR($C43="",$A43="",$B43="domingo"),"",IF(IFERROR(INDEX('TECNICOS'!$F$4:$F$19,MATCH($C43,'TECNICOS'!$B$4:$B$19,0)),"NO")&lt;&gt;"SI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3">
        <f>IF(COUNTIFS('PLAN_VACACIONES'!$A$4:$A$103,$C43,'PLAN_VACACIONES'!$B$4:$B$103,"&lt;="&amp;$L43,'PLAN_VACACIONES'!$C$4:$C$103,"&gt;="&amp;$L43)&gt;0,"sí","no")</f>
        <v/>
      </c>
      <c r="I43" s="6" t="n"/>
      <c r="J43" s="3">
        <f>IF($I43&lt;&gt;"",$I43,IF($G43="","",IF($H43="sí","VAC",IF(LEFT($G43,1)="B","B",$G43))))</f>
        <v/>
      </c>
      <c r="K43" s="3">
        <f>IFERROR(INDEX('TECNICOS'!$E$4:$E$19,MATCH($C43,'TECNICOS'!$B$4:$B$19,0)),"")</f>
        <v/>
      </c>
      <c r="L43" s="12">
        <f>IF($A43="","",DATE(VALUE(LEFT($A43,4)),1,4)-WEEKDAY(DATE(VALUE(LEFT($A43,4)),1,4),2)+1+(VALUE(MID($A43,7,2))-1)*7+MATCH($B43,lista_dias,0)-1)</f>
        <v/>
      </c>
      <c r="M43" s="3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3">
        <f>$A43&amp;"|"&amp;$B43&amp;"|"&amp;$C43</f>
        <v/>
      </c>
      <c r="O43" s="3">
        <f>IFERROR(INDEX('CAT_TURNOS'!$C$4:$C$7,MATCH($J43,'CAT_TURNOS'!$A$4:$A$7,0)),"")</f>
        <v/>
      </c>
      <c r="P43" s="3">
        <f>IFERROR(INDEX('CAT_TURNOS'!$D$4:$D$7,MATCH($J43,'CAT_TURNOS'!$A$4:$A$7,0)),"")</f>
        <v/>
      </c>
      <c r="Q43" s="3">
        <f>IF(AND(LEFT($G43,1)="T",$H43="no"),"sí","no")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IFERROR(INDEX('TECNICOS'!$D$4:$D$19,MATCH($C44,'TECNICOS'!$B$4:$B$19,0)),"")</f>
        <v/>
      </c>
      <c r="E44" s="3">
        <f>IFERROR(INDEX('TECNICOS'!$C$4:$C$19,MATCH($C44,'TECNICOS'!$B$4:$B$19,0)),"")</f>
        <v/>
      </c>
      <c r="F44" s="3">
        <f>COUNTIFS('TECNICOS'!$F$4:$F$19,"SI",'TECNICOS'!$C$4:$C$19,$E44,'TECNICOS'!$D$4:$D$19,$D44)</f>
        <v/>
      </c>
      <c r="G44" s="3">
        <f>IF(OR($C44="",$A44="",$B44="domingo"),"",IF(IFERROR(INDEX('TECNICOS'!$F$4:$F$19,MATCH($C44,'TECNICOS'!$B$4:$B$19,0)),"NO")&lt;&gt;"SI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3">
        <f>IF(COUNTIFS('PLAN_VACACIONES'!$A$4:$A$103,$C44,'PLAN_VACACIONES'!$B$4:$B$103,"&lt;="&amp;$L44,'PLAN_VACACIONES'!$C$4:$C$103,"&gt;="&amp;$L44)&gt;0,"sí","no")</f>
        <v/>
      </c>
      <c r="I44" s="6" t="n"/>
      <c r="J44" s="3">
        <f>IF($I44&lt;&gt;"",$I44,IF($G44="","",IF($H44="sí","VAC",IF(LEFT($G44,1)="B","B",$G44))))</f>
        <v/>
      </c>
      <c r="K44" s="3">
        <f>IFERROR(INDEX('TECNICOS'!$E$4:$E$19,MATCH($C44,'TECNICOS'!$B$4:$B$19,0)),"")</f>
        <v/>
      </c>
      <c r="L44" s="12">
        <f>IF($A44="","",DATE(VALUE(LEFT($A44,4)),1,4)-WEEKDAY(DATE(VALUE(LEFT($A44,4)),1,4),2)+1+(VALUE(MID($A44,7,2))-1)*7+MATCH($B44,lista_dias,0)-1)</f>
        <v/>
      </c>
      <c r="M44" s="3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3">
        <f>$A44&amp;"|"&amp;$B44&amp;"|"&amp;$C44</f>
        <v/>
      </c>
      <c r="O44" s="3">
        <f>IFERROR(INDEX('CAT_TURNOS'!$C$4:$C$7,MATCH($J44,'CAT_TURNOS'!$A$4:$A$7,0)),"")</f>
        <v/>
      </c>
      <c r="P44" s="3">
        <f>IFERROR(INDEX('CAT_TURNOS'!$D$4:$D$7,MATCH($J44,'CAT_TURNOS'!$A$4:$A$7,0)),"")</f>
        <v/>
      </c>
      <c r="Q44" s="3">
        <f>IF(AND(LEFT($G44,1)="T",$H44="no"),"sí","no")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IFERROR(INDEX('TECNICOS'!$D$4:$D$19,MATCH($C45,'TECNICOS'!$B$4:$B$19,0)),"")</f>
        <v/>
      </c>
      <c r="E45" s="3">
        <f>IFERROR(INDEX('TECNICOS'!$C$4:$C$19,MATCH($C45,'TECNICOS'!$B$4:$B$19,0)),"")</f>
        <v/>
      </c>
      <c r="F45" s="3">
        <f>COUNTIFS('TECNICOS'!$F$4:$F$19,"SI",'TECNICOS'!$C$4:$C$19,$E45,'TECNICOS'!$D$4:$D$19,$D45)</f>
        <v/>
      </c>
      <c r="G45" s="3">
        <f>IF(OR($C45="",$A45="",$B45="domingo"),"",IF(IFERROR(INDEX('TECNICOS'!$F$4:$F$19,MATCH($C45,'TECNICOS'!$B$4:$B$19,0)),"NO")&lt;&gt;"SI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3">
        <f>IF(COUNTIFS('PLAN_VACACIONES'!$A$4:$A$103,$C45,'PLAN_VACACIONES'!$B$4:$B$103,"&lt;="&amp;$L45,'PLAN_VACACIONES'!$C$4:$C$103,"&gt;="&amp;$L45)&gt;0,"sí","no")</f>
        <v/>
      </c>
      <c r="I45" s="6" t="n"/>
      <c r="J45" s="3">
        <f>IF($I45&lt;&gt;"",$I45,IF($G45="","",IF($H45="sí","VAC",IF(LEFT($G45,1)="B","B",$G45))))</f>
        <v/>
      </c>
      <c r="K45" s="3">
        <f>IFERROR(INDEX('TECNICOS'!$E$4:$E$19,MATCH($C45,'TECNICOS'!$B$4:$B$19,0)),"")</f>
        <v/>
      </c>
      <c r="L45" s="12">
        <f>IF($A45="","",DATE(VALUE(LEFT($A45,4)),1,4)-WEEKDAY(DATE(VALUE(LEFT($A45,4)),1,4),2)+1+(VALUE(MID($A45,7,2))-1)*7+MATCH($B45,lista_dias,0)-1)</f>
        <v/>
      </c>
      <c r="M45" s="3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3">
        <f>$A45&amp;"|"&amp;$B45&amp;"|"&amp;$C45</f>
        <v/>
      </c>
      <c r="O45" s="3">
        <f>IFERROR(INDEX('CAT_TURNOS'!$C$4:$C$7,MATCH($J45,'CAT_TURNOS'!$A$4:$A$7,0)),"")</f>
        <v/>
      </c>
      <c r="P45" s="3">
        <f>IFERROR(INDEX('CAT_TURNOS'!$D$4:$D$7,MATCH($J45,'CAT_TURNOS'!$A$4:$A$7,0)),"")</f>
        <v/>
      </c>
      <c r="Q45" s="3">
        <f>IF(AND(LEFT($G45,1)="T",$H45="no"),"sí","no")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IFERROR(INDEX('TECNICOS'!$D$4:$D$19,MATCH($C46,'TECNICOS'!$B$4:$B$19,0)),"")</f>
        <v/>
      </c>
      <c r="E46" s="3">
        <f>IFERROR(INDEX('TECNICOS'!$C$4:$C$19,MATCH($C46,'TECNICOS'!$B$4:$B$19,0)),"")</f>
        <v/>
      </c>
      <c r="F46" s="3">
        <f>COUNTIFS('TECNICOS'!$F$4:$F$19,"SI",'TECNICOS'!$C$4:$C$19,$E46,'TECNICOS'!$D$4:$D$19,$D46)</f>
        <v/>
      </c>
      <c r="G46" s="3">
        <f>IF(OR($C46="",$A46="",$B46="domingo"),"",IF(IFERROR(INDEX('TECNICOS'!$F$4:$F$19,MATCH($C46,'TECNICOS'!$B$4:$B$19,0)),"NO")&lt;&gt;"SI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3">
        <f>IF(COUNTIFS('PLAN_VACACIONES'!$A$4:$A$103,$C46,'PLAN_VACACIONES'!$B$4:$B$103,"&lt;="&amp;$L46,'PLAN_VACACIONES'!$C$4:$C$103,"&gt;="&amp;$L46)&gt;0,"sí","no")</f>
        <v/>
      </c>
      <c r="I46" s="6" t="n"/>
      <c r="J46" s="3">
        <f>IF($I46&lt;&gt;"",$I46,IF($G46="","",IF($H46="sí","VAC",IF(LEFT($G46,1)="B","B",$G46))))</f>
        <v/>
      </c>
      <c r="K46" s="3">
        <f>IFERROR(INDEX('TECNICOS'!$E$4:$E$19,MATCH($C46,'TECNICOS'!$B$4:$B$19,0)),"")</f>
        <v/>
      </c>
      <c r="L46" s="12">
        <f>IF($A46="","",DATE(VALUE(LEFT($A46,4)),1,4)-WEEKDAY(DATE(VALUE(LEFT($A46,4)),1,4),2)+1+(VALUE(MID($A46,7,2))-1)*7+MATCH($B46,lista_dias,0)-1)</f>
        <v/>
      </c>
      <c r="M46" s="3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3">
        <f>$A46&amp;"|"&amp;$B46&amp;"|"&amp;$C46</f>
        <v/>
      </c>
      <c r="O46" s="3">
        <f>IFERROR(INDEX('CAT_TURNOS'!$C$4:$C$7,MATCH($J46,'CAT_TURNOS'!$A$4:$A$7,0)),"")</f>
        <v/>
      </c>
      <c r="P46" s="3">
        <f>IFERROR(INDEX('CAT_TURNOS'!$D$4:$D$7,MATCH($J46,'CAT_TURNOS'!$A$4:$A$7,0)),"")</f>
        <v/>
      </c>
      <c r="Q46" s="3">
        <f>IF(AND(LEFT($G46,1)="T",$H46="no"),"sí","no")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IFERROR(INDEX('TECNICOS'!$D$4:$D$19,MATCH($C47,'TECNICOS'!$B$4:$B$19,0)),"")</f>
        <v/>
      </c>
      <c r="E47" s="3">
        <f>IFERROR(INDEX('TECNICOS'!$C$4:$C$19,MATCH($C47,'TECNICOS'!$B$4:$B$19,0)),"")</f>
        <v/>
      </c>
      <c r="F47" s="3">
        <f>COUNTIFS('TECNICOS'!$F$4:$F$19,"SI",'TECNICOS'!$C$4:$C$19,$E47,'TECNICOS'!$D$4:$D$19,$D47)</f>
        <v/>
      </c>
      <c r="G47" s="3">
        <f>IF(OR($C47="",$A47="",$B47="domingo"),"",IF(IFERROR(INDEX('TECNICOS'!$F$4:$F$19,MATCH($C47,'TECNICOS'!$B$4:$B$19,0)),"NO")&lt;&gt;"SI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3">
        <f>IF(COUNTIFS('PLAN_VACACIONES'!$A$4:$A$103,$C47,'PLAN_VACACIONES'!$B$4:$B$103,"&lt;="&amp;$L47,'PLAN_VACACIONES'!$C$4:$C$103,"&gt;="&amp;$L47)&gt;0,"sí","no")</f>
        <v/>
      </c>
      <c r="I47" s="6" t="n"/>
      <c r="J47" s="3">
        <f>IF($I47&lt;&gt;"",$I47,IF($G47="","",IF($H47="sí","VAC",IF(LEFT($G47,1)="B","B",$G47))))</f>
        <v/>
      </c>
      <c r="K47" s="3">
        <f>IFERROR(INDEX('TECNICOS'!$E$4:$E$19,MATCH($C47,'TECNICOS'!$B$4:$B$19,0)),"")</f>
        <v/>
      </c>
      <c r="L47" s="12">
        <f>IF($A47="","",DATE(VALUE(LEFT($A47,4)),1,4)-WEEKDAY(DATE(VALUE(LEFT($A47,4)),1,4),2)+1+(VALUE(MID($A47,7,2))-1)*7+MATCH($B47,lista_dias,0)-1)</f>
        <v/>
      </c>
      <c r="M47" s="3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3">
        <f>$A47&amp;"|"&amp;$B47&amp;"|"&amp;$C47</f>
        <v/>
      </c>
      <c r="O47" s="3">
        <f>IFERROR(INDEX('CAT_TURNOS'!$C$4:$C$7,MATCH($J47,'CAT_TURNOS'!$A$4:$A$7,0)),"")</f>
        <v/>
      </c>
      <c r="P47" s="3">
        <f>IFERROR(INDEX('CAT_TURNOS'!$D$4:$D$7,MATCH($J47,'CAT_TURNOS'!$A$4:$A$7,0)),"")</f>
        <v/>
      </c>
      <c r="Q47" s="3">
        <f>IF(AND(LEFT($G47,1)="T",$H47="no"),"sí","no")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IFERROR(INDEX('TECNICOS'!$D$4:$D$19,MATCH($C48,'TECNICOS'!$B$4:$B$19,0)),"")</f>
        <v/>
      </c>
      <c r="E48" s="3">
        <f>IFERROR(INDEX('TECNICOS'!$C$4:$C$19,MATCH($C48,'TECNICOS'!$B$4:$B$19,0)),"")</f>
        <v/>
      </c>
      <c r="F48" s="3">
        <f>COUNTIFS('TECNICOS'!$F$4:$F$19,"SI",'TECNICOS'!$C$4:$C$19,$E48,'TECNICOS'!$D$4:$D$19,$D48)</f>
        <v/>
      </c>
      <c r="G48" s="3">
        <f>IF(OR($C48="",$A48="",$B48="domingo"),"",IF(IFERROR(INDEX('TECNICOS'!$F$4:$F$19,MATCH($C48,'TECNICOS'!$B$4:$B$19,0)),"NO")&lt;&gt;"SI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3">
        <f>IF(COUNTIFS('PLAN_VACACIONES'!$A$4:$A$103,$C48,'PLAN_VACACIONES'!$B$4:$B$103,"&lt;="&amp;$L48,'PLAN_VACACIONES'!$C$4:$C$103,"&gt;="&amp;$L48)&gt;0,"sí","no")</f>
        <v/>
      </c>
      <c r="I48" s="6" t="n"/>
      <c r="J48" s="3">
        <f>IF($I48&lt;&gt;"",$I48,IF($G48="","",IF($H48="sí","VAC",IF(LEFT($G48,1)="B","B",$G48))))</f>
        <v/>
      </c>
      <c r="K48" s="3">
        <f>IFERROR(INDEX('TECNICOS'!$E$4:$E$19,MATCH($C48,'TECNICOS'!$B$4:$B$19,0)),"")</f>
        <v/>
      </c>
      <c r="L48" s="12">
        <f>IF($A48="","",DATE(VALUE(LEFT($A48,4)),1,4)-WEEKDAY(DATE(VALUE(LEFT($A48,4)),1,4),2)+1+(VALUE(MID($A48,7,2))-1)*7+MATCH($B48,lista_dias,0)-1)</f>
        <v/>
      </c>
      <c r="M48" s="3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3">
        <f>$A48&amp;"|"&amp;$B48&amp;"|"&amp;$C48</f>
        <v/>
      </c>
      <c r="O48" s="3">
        <f>IFERROR(INDEX('CAT_TURNOS'!$C$4:$C$7,MATCH($J48,'CAT_TURNOS'!$A$4:$A$7,0)),"")</f>
        <v/>
      </c>
      <c r="P48" s="3">
        <f>IFERROR(INDEX('CAT_TURNOS'!$D$4:$D$7,MATCH($J48,'CAT_TURNOS'!$A$4:$A$7,0)),"")</f>
        <v/>
      </c>
      <c r="Q48" s="3">
        <f>IF(AND(LEFT($G48,1)="T",$H48="no"),"sí","no")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IFERROR(INDEX('TECNICOS'!$D$4:$D$19,MATCH($C49,'TECNICOS'!$B$4:$B$19,0)),"")</f>
        <v/>
      </c>
      <c r="E49" s="3">
        <f>IFERROR(INDEX('TECNICOS'!$C$4:$C$19,MATCH($C49,'TECNICOS'!$B$4:$B$19,0)),"")</f>
        <v/>
      </c>
      <c r="F49" s="3">
        <f>COUNTIFS('TECNICOS'!$F$4:$F$19,"SI",'TECNICOS'!$C$4:$C$19,$E49,'TECNICOS'!$D$4:$D$19,$D49)</f>
        <v/>
      </c>
      <c r="G49" s="3">
        <f>IF(OR($C49="",$A49="",$B49="domingo"),"",IF(IFERROR(INDEX('TECNICOS'!$F$4:$F$19,MATCH($C49,'TECNICOS'!$B$4:$B$19,0)),"NO")&lt;&gt;"SI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3">
        <f>IF(COUNTIFS('PLAN_VACACIONES'!$A$4:$A$103,$C49,'PLAN_VACACIONES'!$B$4:$B$103,"&lt;="&amp;$L49,'PLAN_VACACIONES'!$C$4:$C$103,"&gt;="&amp;$L49)&gt;0,"sí","no")</f>
        <v/>
      </c>
      <c r="I49" s="6" t="n"/>
      <c r="J49" s="3">
        <f>IF($I49&lt;&gt;"",$I49,IF($G49="","",IF($H49="sí","VAC",IF(LEFT($G49,1)="B","B",$G49))))</f>
        <v/>
      </c>
      <c r="K49" s="3">
        <f>IFERROR(INDEX('TECNICOS'!$E$4:$E$19,MATCH($C49,'TECNICOS'!$B$4:$B$19,0)),"")</f>
        <v/>
      </c>
      <c r="L49" s="12">
        <f>IF($A49="","",DATE(VALUE(LEFT($A49,4)),1,4)-WEEKDAY(DATE(VALUE(LEFT($A49,4)),1,4),2)+1+(VALUE(MID($A49,7,2))-1)*7+MATCH($B49,lista_dias,0)-1)</f>
        <v/>
      </c>
      <c r="M49" s="3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3">
        <f>$A49&amp;"|"&amp;$B49&amp;"|"&amp;$C49</f>
        <v/>
      </c>
      <c r="O49" s="3">
        <f>IFERROR(INDEX('CAT_TURNOS'!$C$4:$C$7,MATCH($J49,'CAT_TURNOS'!$A$4:$A$7,0)),"")</f>
        <v/>
      </c>
      <c r="P49" s="3">
        <f>IFERROR(INDEX('CAT_TURNOS'!$D$4:$D$7,MATCH($J49,'CAT_TURNOS'!$A$4:$A$7,0)),"")</f>
        <v/>
      </c>
      <c r="Q49" s="3">
        <f>IF(AND(LEFT($G49,1)="T",$H49="no"),"sí","no")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IFERROR(INDEX('TECNICOS'!$D$4:$D$19,MATCH($C50,'TECNICOS'!$B$4:$B$19,0)),"")</f>
        <v/>
      </c>
      <c r="E50" s="3">
        <f>IFERROR(INDEX('TECNICOS'!$C$4:$C$19,MATCH($C50,'TECNICOS'!$B$4:$B$19,0)),"")</f>
        <v/>
      </c>
      <c r="F50" s="3">
        <f>COUNTIFS('TECNICOS'!$F$4:$F$19,"SI",'TECNICOS'!$C$4:$C$19,$E50,'TECNICOS'!$D$4:$D$19,$D50)</f>
        <v/>
      </c>
      <c r="G50" s="3">
        <f>IF(OR($C50="",$A50="",$B50="domingo"),"",IF(IFERROR(INDEX('TECNICOS'!$F$4:$F$19,MATCH($C50,'TECNICOS'!$B$4:$B$19,0)),"NO")&lt;&gt;"SI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3">
        <f>IF(COUNTIFS('PLAN_VACACIONES'!$A$4:$A$103,$C50,'PLAN_VACACIONES'!$B$4:$B$103,"&lt;="&amp;$L50,'PLAN_VACACIONES'!$C$4:$C$103,"&gt;="&amp;$L50)&gt;0,"sí","no")</f>
        <v/>
      </c>
      <c r="I50" s="6" t="n"/>
      <c r="J50" s="3">
        <f>IF($I50&lt;&gt;"",$I50,IF($G50="","",IF($H50="sí","VAC",IF(LEFT($G50,1)="B","B",$G50))))</f>
        <v/>
      </c>
      <c r="K50" s="3">
        <f>IFERROR(INDEX('TECNICOS'!$E$4:$E$19,MATCH($C50,'TECNICOS'!$B$4:$B$19,0)),"")</f>
        <v/>
      </c>
      <c r="L50" s="12">
        <f>IF($A50="","",DATE(VALUE(LEFT($A50,4)),1,4)-WEEKDAY(DATE(VALUE(LEFT($A50,4)),1,4),2)+1+(VALUE(MID($A50,7,2))-1)*7+MATCH($B50,lista_dias,0)-1)</f>
        <v/>
      </c>
      <c r="M50" s="3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3">
        <f>$A50&amp;"|"&amp;$B50&amp;"|"&amp;$C50</f>
        <v/>
      </c>
      <c r="O50" s="3">
        <f>IFERROR(INDEX('CAT_TURNOS'!$C$4:$C$7,MATCH($J50,'CAT_TURNOS'!$A$4:$A$7,0)),"")</f>
        <v/>
      </c>
      <c r="P50" s="3">
        <f>IFERROR(INDEX('CAT_TURNOS'!$D$4:$D$7,MATCH($J50,'CAT_TURNOS'!$A$4:$A$7,0)),"")</f>
        <v/>
      </c>
      <c r="Q50" s="3">
        <f>IF(AND(LEFT($G50,1)="T",$H50="no"),"sí","no")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IFERROR(INDEX('TECNICOS'!$D$4:$D$19,MATCH($C51,'TECNICOS'!$B$4:$B$19,0)),"")</f>
        <v/>
      </c>
      <c r="E51" s="3">
        <f>IFERROR(INDEX('TECNICOS'!$C$4:$C$19,MATCH($C51,'TECNICOS'!$B$4:$B$19,0)),"")</f>
        <v/>
      </c>
      <c r="F51" s="3">
        <f>COUNTIFS('TECNICOS'!$F$4:$F$19,"SI",'TECNICOS'!$C$4:$C$19,$E51,'TECNICOS'!$D$4:$D$19,$D51)</f>
        <v/>
      </c>
      <c r="G51" s="3">
        <f>IF(OR($C51="",$A51="",$B51="domingo"),"",IF(IFERROR(INDEX('TECNICOS'!$F$4:$F$19,MATCH($C51,'TECNICOS'!$B$4:$B$19,0)),"NO")&lt;&gt;"SI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3">
        <f>IF(COUNTIFS('PLAN_VACACIONES'!$A$4:$A$103,$C51,'PLAN_VACACIONES'!$B$4:$B$103,"&lt;="&amp;$L51,'PLAN_VACACIONES'!$C$4:$C$103,"&gt;="&amp;$L51)&gt;0,"sí","no")</f>
        <v/>
      </c>
      <c r="I51" s="6" t="n"/>
      <c r="J51" s="3">
        <f>IF($I51&lt;&gt;"",$I51,IF($G51="","",IF($H51="sí","VAC",IF(LEFT($G51,1)="B","B",$G51))))</f>
        <v/>
      </c>
      <c r="K51" s="3">
        <f>IFERROR(INDEX('TECNICOS'!$E$4:$E$19,MATCH($C51,'TECNICOS'!$B$4:$B$19,0)),"")</f>
        <v/>
      </c>
      <c r="L51" s="12">
        <f>IF($A51="","",DATE(VALUE(LEFT($A51,4)),1,4)-WEEKDAY(DATE(VALUE(LEFT($A51,4)),1,4),2)+1+(VALUE(MID($A51,7,2))-1)*7+MATCH($B51,lista_dias,0)-1)</f>
        <v/>
      </c>
      <c r="M51" s="3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3">
        <f>$A51&amp;"|"&amp;$B51&amp;"|"&amp;$C51</f>
        <v/>
      </c>
      <c r="O51" s="3">
        <f>IFERROR(INDEX('CAT_TURNOS'!$C$4:$C$7,MATCH($J51,'CAT_TURNOS'!$A$4:$A$7,0)),"")</f>
        <v/>
      </c>
      <c r="P51" s="3">
        <f>IFERROR(INDEX('CAT_TURNOS'!$D$4:$D$7,MATCH($J51,'CAT_TURNOS'!$A$4:$A$7,0)),"")</f>
        <v/>
      </c>
      <c r="Q51" s="3">
        <f>IF(AND(LEFT($G51,1)="T",$H51="no"),"sí","no")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IFERROR(INDEX('TECNICOS'!$D$4:$D$19,MATCH($C52,'TECNICOS'!$B$4:$B$19,0)),"")</f>
        <v/>
      </c>
      <c r="E52" s="3">
        <f>IFERROR(INDEX('TECNICOS'!$C$4:$C$19,MATCH($C52,'TECNICOS'!$B$4:$B$19,0)),"")</f>
        <v/>
      </c>
      <c r="F52" s="3">
        <f>COUNTIFS('TECNICOS'!$F$4:$F$19,"SI",'TECNICOS'!$C$4:$C$19,$E52,'TECNICOS'!$D$4:$D$19,$D52)</f>
        <v/>
      </c>
      <c r="G52" s="3">
        <f>IF(OR($C52="",$A52="",$B52="domingo"),"",IF(IFERROR(INDEX('TECNICOS'!$F$4:$F$19,MATCH($C52,'TECNICOS'!$B$4:$B$19,0)),"NO")&lt;&gt;"SI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3">
        <f>IF(COUNTIFS('PLAN_VACACIONES'!$A$4:$A$103,$C52,'PLAN_VACACIONES'!$B$4:$B$103,"&lt;="&amp;$L52,'PLAN_VACACIONES'!$C$4:$C$103,"&gt;="&amp;$L52)&gt;0,"sí","no")</f>
        <v/>
      </c>
      <c r="I52" s="6" t="n"/>
      <c r="J52" s="3">
        <f>IF($I52&lt;&gt;"",$I52,IF($G52="","",IF($H52="sí","VAC",IF(LEFT($G52,1)="B","B",$G52))))</f>
        <v/>
      </c>
      <c r="K52" s="3">
        <f>IFERROR(INDEX('TECNICOS'!$E$4:$E$19,MATCH($C52,'TECNICOS'!$B$4:$B$19,0)),"")</f>
        <v/>
      </c>
      <c r="L52" s="12">
        <f>IF($A52="","",DATE(VALUE(LEFT($A52,4)),1,4)-WEEKDAY(DATE(VALUE(LEFT($A52,4)),1,4),2)+1+(VALUE(MID($A52,7,2))-1)*7+MATCH($B52,lista_dias,0)-1)</f>
        <v/>
      </c>
      <c r="M52" s="3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3">
        <f>$A52&amp;"|"&amp;$B52&amp;"|"&amp;$C52</f>
        <v/>
      </c>
      <c r="O52" s="3">
        <f>IFERROR(INDEX('CAT_TURNOS'!$C$4:$C$7,MATCH($J52,'CAT_TURNOS'!$A$4:$A$7,0)),"")</f>
        <v/>
      </c>
      <c r="P52" s="3">
        <f>IFERROR(INDEX('CAT_TURNOS'!$D$4:$D$7,MATCH($J52,'CAT_TURNOS'!$A$4:$A$7,0)),"")</f>
        <v/>
      </c>
      <c r="Q52" s="3">
        <f>IF(AND(LEFT($G52,1)="T",$H52="no"),"sí","no")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IFERROR(INDEX('TECNICOS'!$D$4:$D$19,MATCH($C53,'TECNICOS'!$B$4:$B$19,0)),"")</f>
        <v/>
      </c>
      <c r="E53" s="3">
        <f>IFERROR(INDEX('TECNICOS'!$C$4:$C$19,MATCH($C53,'TECNICOS'!$B$4:$B$19,0)),"")</f>
        <v/>
      </c>
      <c r="F53" s="3">
        <f>COUNTIFS('TECNICOS'!$F$4:$F$19,"SI",'TECNICOS'!$C$4:$C$19,$E53,'TECNICOS'!$D$4:$D$19,$D53)</f>
        <v/>
      </c>
      <c r="G53" s="3">
        <f>IF(OR($C53="",$A53="",$B53="domingo"),"",IF(IFERROR(INDEX('TECNICOS'!$F$4:$F$19,MATCH($C53,'TECNICOS'!$B$4:$B$19,0)),"NO")&lt;&gt;"SI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3">
        <f>IF(COUNTIFS('PLAN_VACACIONES'!$A$4:$A$103,$C53,'PLAN_VACACIONES'!$B$4:$B$103,"&lt;="&amp;$L53,'PLAN_VACACIONES'!$C$4:$C$103,"&gt;="&amp;$L53)&gt;0,"sí","no")</f>
        <v/>
      </c>
      <c r="I53" s="6" t="n"/>
      <c r="J53" s="3">
        <f>IF($I53&lt;&gt;"",$I53,IF($G53="","",IF($H53="sí","VAC",IF(LEFT($G53,1)="B","B",$G53))))</f>
        <v/>
      </c>
      <c r="K53" s="3">
        <f>IFERROR(INDEX('TECNICOS'!$E$4:$E$19,MATCH($C53,'TECNICOS'!$B$4:$B$19,0)),"")</f>
        <v/>
      </c>
      <c r="L53" s="12">
        <f>IF($A53="","",DATE(VALUE(LEFT($A53,4)),1,4)-WEEKDAY(DATE(VALUE(LEFT($A53,4)),1,4),2)+1+(VALUE(MID($A53,7,2))-1)*7+MATCH($B53,lista_dias,0)-1)</f>
        <v/>
      </c>
      <c r="M53" s="3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3">
        <f>$A53&amp;"|"&amp;$B53&amp;"|"&amp;$C53</f>
        <v/>
      </c>
      <c r="O53" s="3">
        <f>IFERROR(INDEX('CAT_TURNOS'!$C$4:$C$7,MATCH($J53,'CAT_TURNOS'!$A$4:$A$7,0)),"")</f>
        <v/>
      </c>
      <c r="P53" s="3">
        <f>IFERROR(INDEX('CAT_TURNOS'!$D$4:$D$7,MATCH($J53,'CAT_TURNOS'!$A$4:$A$7,0)),"")</f>
        <v/>
      </c>
      <c r="Q53" s="3">
        <f>IF(AND(LEFT($G53,1)="T",$H53="no"),"sí","no")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IFERROR(INDEX('TECNICOS'!$D$4:$D$19,MATCH($C54,'TECNICOS'!$B$4:$B$19,0)),"")</f>
        <v/>
      </c>
      <c r="E54" s="3">
        <f>IFERROR(INDEX('TECNICOS'!$C$4:$C$19,MATCH($C54,'TECNICOS'!$B$4:$B$19,0)),"")</f>
        <v/>
      </c>
      <c r="F54" s="3">
        <f>COUNTIFS('TECNICOS'!$F$4:$F$19,"SI",'TECNICOS'!$C$4:$C$19,$E54,'TECNICOS'!$D$4:$D$19,$D54)</f>
        <v/>
      </c>
      <c r="G54" s="3">
        <f>IF(OR($C54="",$A54="",$B54="domingo"),"",IF(IFERROR(INDEX('TECNICOS'!$F$4:$F$19,MATCH($C54,'TECNICOS'!$B$4:$B$19,0)),"NO")&lt;&gt;"SI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3">
        <f>IF(COUNTIFS('PLAN_VACACIONES'!$A$4:$A$103,$C54,'PLAN_VACACIONES'!$B$4:$B$103,"&lt;="&amp;$L54,'PLAN_VACACIONES'!$C$4:$C$103,"&gt;="&amp;$L54)&gt;0,"sí","no")</f>
        <v/>
      </c>
      <c r="I54" s="6" t="n"/>
      <c r="J54" s="3">
        <f>IF($I54&lt;&gt;"",$I54,IF($G54="","",IF($H54="sí","VAC",IF(LEFT($G54,1)="B","B",$G54))))</f>
        <v/>
      </c>
      <c r="K54" s="3">
        <f>IFERROR(INDEX('TECNICOS'!$E$4:$E$19,MATCH($C54,'TECNICOS'!$B$4:$B$19,0)),"")</f>
        <v/>
      </c>
      <c r="L54" s="12">
        <f>IF($A54="","",DATE(VALUE(LEFT($A54,4)),1,4)-WEEKDAY(DATE(VALUE(LEFT($A54,4)),1,4),2)+1+(VALUE(MID($A54,7,2))-1)*7+MATCH($B54,lista_dias,0)-1)</f>
        <v/>
      </c>
      <c r="M54" s="3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3">
        <f>$A54&amp;"|"&amp;$B54&amp;"|"&amp;$C54</f>
        <v/>
      </c>
      <c r="O54" s="3">
        <f>IFERROR(INDEX('CAT_TURNOS'!$C$4:$C$7,MATCH($J54,'CAT_TURNOS'!$A$4:$A$7,0)),"")</f>
        <v/>
      </c>
      <c r="P54" s="3">
        <f>IFERROR(INDEX('CAT_TURNOS'!$D$4:$D$7,MATCH($J54,'CAT_TURNOS'!$A$4:$A$7,0)),"")</f>
        <v/>
      </c>
      <c r="Q54" s="3">
        <f>IF(AND(LEFT($G54,1)="T",$H54="no"),"sí","no")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IFERROR(INDEX('TECNICOS'!$D$4:$D$19,MATCH($C55,'TECNICOS'!$B$4:$B$19,0)),"")</f>
        <v/>
      </c>
      <c r="E55" s="3">
        <f>IFERROR(INDEX('TECNICOS'!$C$4:$C$19,MATCH($C55,'TECNICOS'!$B$4:$B$19,0)),"")</f>
        <v/>
      </c>
      <c r="F55" s="3">
        <f>COUNTIFS('TECNICOS'!$F$4:$F$19,"SI",'TECNICOS'!$C$4:$C$19,$E55,'TECNICOS'!$D$4:$D$19,$D55)</f>
        <v/>
      </c>
      <c r="G55" s="3">
        <f>IF(OR($C55="",$A55="",$B55="domingo"),"",IF(IFERROR(INDEX('TECNICOS'!$F$4:$F$19,MATCH($C55,'TECNICOS'!$B$4:$B$19,0)),"NO")&lt;&gt;"SI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3">
        <f>IF(COUNTIFS('PLAN_VACACIONES'!$A$4:$A$103,$C55,'PLAN_VACACIONES'!$B$4:$B$103,"&lt;="&amp;$L55,'PLAN_VACACIONES'!$C$4:$C$103,"&gt;="&amp;$L55)&gt;0,"sí","no")</f>
        <v/>
      </c>
      <c r="I55" s="6" t="n"/>
      <c r="J55" s="3">
        <f>IF($I55&lt;&gt;"",$I55,IF($G55="","",IF($H55="sí","VAC",IF(LEFT($G55,1)="B","B",$G55))))</f>
        <v/>
      </c>
      <c r="K55" s="3">
        <f>IFERROR(INDEX('TECNICOS'!$E$4:$E$19,MATCH($C55,'TECNICOS'!$B$4:$B$19,0)),"")</f>
        <v/>
      </c>
      <c r="L55" s="12">
        <f>IF($A55="","",DATE(VALUE(LEFT($A55,4)),1,4)-WEEKDAY(DATE(VALUE(LEFT($A55,4)),1,4),2)+1+(VALUE(MID($A55,7,2))-1)*7+MATCH($B55,lista_dias,0)-1)</f>
        <v/>
      </c>
      <c r="M55" s="3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3">
        <f>$A55&amp;"|"&amp;$B55&amp;"|"&amp;$C55</f>
        <v/>
      </c>
      <c r="O55" s="3">
        <f>IFERROR(INDEX('CAT_TURNOS'!$C$4:$C$7,MATCH($J55,'CAT_TURNOS'!$A$4:$A$7,0)),"")</f>
        <v/>
      </c>
      <c r="P55" s="3">
        <f>IFERROR(INDEX('CAT_TURNOS'!$D$4:$D$7,MATCH($J55,'CAT_TURNOS'!$A$4:$A$7,0)),"")</f>
        <v/>
      </c>
      <c r="Q55" s="3">
        <f>IF(AND(LEFT($G55,1)="T",$H55="no"),"sí","no")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IFERROR(INDEX('TECNICOS'!$D$4:$D$19,MATCH($C56,'TECNICOS'!$B$4:$B$19,0)),"")</f>
        <v/>
      </c>
      <c r="E56" s="3">
        <f>IFERROR(INDEX('TECNICOS'!$C$4:$C$19,MATCH($C56,'TECNICOS'!$B$4:$B$19,0)),"")</f>
        <v/>
      </c>
      <c r="F56" s="3">
        <f>COUNTIFS('TECNICOS'!$F$4:$F$19,"SI",'TECNICOS'!$C$4:$C$19,$E56,'TECNICOS'!$D$4:$D$19,$D56)</f>
        <v/>
      </c>
      <c r="G56" s="3">
        <f>IF(OR($C56="",$A56="",$B56="domingo"),"",IF(IFERROR(INDEX('TECNICOS'!$F$4:$F$19,MATCH($C56,'TECNICOS'!$B$4:$B$19,0)),"NO")&lt;&gt;"SI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3">
        <f>IF(COUNTIFS('PLAN_VACACIONES'!$A$4:$A$103,$C56,'PLAN_VACACIONES'!$B$4:$B$103,"&lt;="&amp;$L56,'PLAN_VACACIONES'!$C$4:$C$103,"&gt;="&amp;$L56)&gt;0,"sí","no")</f>
        <v/>
      </c>
      <c r="I56" s="6" t="n"/>
      <c r="J56" s="3">
        <f>IF($I56&lt;&gt;"",$I56,IF($G56="","",IF($H56="sí","VAC",IF(LEFT($G56,1)="B","B",$G56))))</f>
        <v/>
      </c>
      <c r="K56" s="3">
        <f>IFERROR(INDEX('TECNICOS'!$E$4:$E$19,MATCH($C56,'TECNICOS'!$B$4:$B$19,0)),"")</f>
        <v/>
      </c>
      <c r="L56" s="12">
        <f>IF($A56="","",DATE(VALUE(LEFT($A56,4)),1,4)-WEEKDAY(DATE(VALUE(LEFT($A56,4)),1,4),2)+1+(VALUE(MID($A56,7,2))-1)*7+MATCH($B56,lista_dias,0)-1)</f>
        <v/>
      </c>
      <c r="M56" s="3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3">
        <f>$A56&amp;"|"&amp;$B56&amp;"|"&amp;$C56</f>
        <v/>
      </c>
      <c r="O56" s="3">
        <f>IFERROR(INDEX('CAT_TURNOS'!$C$4:$C$7,MATCH($J56,'CAT_TURNOS'!$A$4:$A$7,0)),"")</f>
        <v/>
      </c>
      <c r="P56" s="3">
        <f>IFERROR(INDEX('CAT_TURNOS'!$D$4:$D$7,MATCH($J56,'CAT_TURNOS'!$A$4:$A$7,0)),"")</f>
        <v/>
      </c>
      <c r="Q56" s="3">
        <f>IF(AND(LEFT($G56,1)="T",$H56="no"),"sí","no")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IFERROR(INDEX('TECNICOS'!$D$4:$D$19,MATCH($C57,'TECNICOS'!$B$4:$B$19,0)),"")</f>
        <v/>
      </c>
      <c r="E57" s="3">
        <f>IFERROR(INDEX('TECNICOS'!$C$4:$C$19,MATCH($C57,'TECNICOS'!$B$4:$B$19,0)),"")</f>
        <v/>
      </c>
      <c r="F57" s="3">
        <f>COUNTIFS('TECNICOS'!$F$4:$F$19,"SI",'TECNICOS'!$C$4:$C$19,$E57,'TECNICOS'!$D$4:$D$19,$D57)</f>
        <v/>
      </c>
      <c r="G57" s="3">
        <f>IF(OR($C57="",$A57="",$B57="domingo"),"",IF(IFERROR(INDEX('TECNICOS'!$F$4:$F$19,MATCH($C57,'TECNICOS'!$B$4:$B$19,0)),"NO")&lt;&gt;"SI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3">
        <f>IF(COUNTIFS('PLAN_VACACIONES'!$A$4:$A$103,$C57,'PLAN_VACACIONES'!$B$4:$B$103,"&lt;="&amp;$L57,'PLAN_VACACIONES'!$C$4:$C$103,"&gt;="&amp;$L57)&gt;0,"sí","no")</f>
        <v/>
      </c>
      <c r="I57" s="6" t="n"/>
      <c r="J57" s="3">
        <f>IF($I57&lt;&gt;"",$I57,IF($G57="","",IF($H57="sí","VAC",IF(LEFT($G57,1)="B","B",$G57))))</f>
        <v/>
      </c>
      <c r="K57" s="3">
        <f>IFERROR(INDEX('TECNICOS'!$E$4:$E$19,MATCH($C57,'TECNICOS'!$B$4:$B$19,0)),"")</f>
        <v/>
      </c>
      <c r="L57" s="12">
        <f>IF($A57="","",DATE(VALUE(LEFT($A57,4)),1,4)-WEEKDAY(DATE(VALUE(LEFT($A57,4)),1,4),2)+1+(VALUE(MID($A57,7,2))-1)*7+MATCH($B57,lista_dias,0)-1)</f>
        <v/>
      </c>
      <c r="M57" s="3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3">
        <f>$A57&amp;"|"&amp;$B57&amp;"|"&amp;$C57</f>
        <v/>
      </c>
      <c r="O57" s="3">
        <f>IFERROR(INDEX('CAT_TURNOS'!$C$4:$C$7,MATCH($J57,'CAT_TURNOS'!$A$4:$A$7,0)),"")</f>
        <v/>
      </c>
      <c r="P57" s="3">
        <f>IFERROR(INDEX('CAT_TURNOS'!$D$4:$D$7,MATCH($J57,'CAT_TURNOS'!$A$4:$A$7,0)),"")</f>
        <v/>
      </c>
      <c r="Q57" s="3">
        <f>IF(AND(LEFT($G57,1)="T",$H57="no"),"sí","no")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IFERROR(INDEX('TECNICOS'!$D$4:$D$19,MATCH($C58,'TECNICOS'!$B$4:$B$19,0)),"")</f>
        <v/>
      </c>
      <c r="E58" s="3">
        <f>IFERROR(INDEX('TECNICOS'!$C$4:$C$19,MATCH($C58,'TECNICOS'!$B$4:$B$19,0)),"")</f>
        <v/>
      </c>
      <c r="F58" s="3">
        <f>COUNTIFS('TECNICOS'!$F$4:$F$19,"SI",'TECNICOS'!$C$4:$C$19,$E58,'TECNICOS'!$D$4:$D$19,$D58)</f>
        <v/>
      </c>
      <c r="G58" s="3">
        <f>IF(OR($C58="",$A58="",$B58="domingo"),"",IF(IFERROR(INDEX('TECNICOS'!$F$4:$F$19,MATCH($C58,'TECNICOS'!$B$4:$B$19,0)),"NO")&lt;&gt;"SI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3">
        <f>IF(COUNTIFS('PLAN_VACACIONES'!$A$4:$A$103,$C58,'PLAN_VACACIONES'!$B$4:$B$103,"&lt;="&amp;$L58,'PLAN_VACACIONES'!$C$4:$C$103,"&gt;="&amp;$L58)&gt;0,"sí","no")</f>
        <v/>
      </c>
      <c r="I58" s="6" t="n"/>
      <c r="J58" s="3">
        <f>IF($I58&lt;&gt;"",$I58,IF($G58="","",IF($H58="sí","VAC",IF(LEFT($G58,1)="B","B",$G58))))</f>
        <v/>
      </c>
      <c r="K58" s="3">
        <f>IFERROR(INDEX('TECNICOS'!$E$4:$E$19,MATCH($C58,'TECNICOS'!$B$4:$B$19,0)),"")</f>
        <v/>
      </c>
      <c r="L58" s="12">
        <f>IF($A58="","",DATE(VALUE(LEFT($A58,4)),1,4)-WEEKDAY(DATE(VALUE(LEFT($A58,4)),1,4),2)+1+(VALUE(MID($A58,7,2))-1)*7+MATCH($B58,lista_dias,0)-1)</f>
        <v/>
      </c>
      <c r="M58" s="3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3">
        <f>$A58&amp;"|"&amp;$B58&amp;"|"&amp;$C58</f>
        <v/>
      </c>
      <c r="O58" s="3">
        <f>IFERROR(INDEX('CAT_TURNOS'!$C$4:$C$7,MATCH($J58,'CAT_TURNOS'!$A$4:$A$7,0)),"")</f>
        <v/>
      </c>
      <c r="P58" s="3">
        <f>IFERROR(INDEX('CAT_TURNOS'!$D$4:$D$7,MATCH($J58,'CAT_TURNOS'!$A$4:$A$7,0)),"")</f>
        <v/>
      </c>
      <c r="Q58" s="3">
        <f>IF(AND(LEFT($G58,1)="T",$H58="no"),"sí","no")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IFERROR(INDEX('TECNICOS'!$D$4:$D$19,MATCH($C59,'TECNICOS'!$B$4:$B$19,0)),"")</f>
        <v/>
      </c>
      <c r="E59" s="3">
        <f>IFERROR(INDEX('TECNICOS'!$C$4:$C$19,MATCH($C59,'TECNICOS'!$B$4:$B$19,0)),"")</f>
        <v/>
      </c>
      <c r="F59" s="3">
        <f>COUNTIFS('TECNICOS'!$F$4:$F$19,"SI",'TECNICOS'!$C$4:$C$19,$E59,'TECNICOS'!$D$4:$D$19,$D59)</f>
        <v/>
      </c>
      <c r="G59" s="3">
        <f>IF(OR($C59="",$A59="",$B59="domingo"),"",IF(IFERROR(INDEX('TECNICOS'!$F$4:$F$19,MATCH($C59,'TECNICOS'!$B$4:$B$19,0)),"NO")&lt;&gt;"SI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3">
        <f>IF(COUNTIFS('PLAN_VACACIONES'!$A$4:$A$103,$C59,'PLAN_VACACIONES'!$B$4:$B$103,"&lt;="&amp;$L59,'PLAN_VACACIONES'!$C$4:$C$103,"&gt;="&amp;$L59)&gt;0,"sí","no")</f>
        <v/>
      </c>
      <c r="I59" s="6" t="n"/>
      <c r="J59" s="3">
        <f>IF($I59&lt;&gt;"",$I59,IF($G59="","",IF($H59="sí","VAC",IF(LEFT($G59,1)="B","B",$G59))))</f>
        <v/>
      </c>
      <c r="K59" s="3">
        <f>IFERROR(INDEX('TECNICOS'!$E$4:$E$19,MATCH($C59,'TECNICOS'!$B$4:$B$19,0)),"")</f>
        <v/>
      </c>
      <c r="L59" s="12">
        <f>IF($A59="","",DATE(VALUE(LEFT($A59,4)),1,4)-WEEKDAY(DATE(VALUE(LEFT($A59,4)),1,4),2)+1+(VALUE(MID($A59,7,2))-1)*7+MATCH($B59,lista_dias,0)-1)</f>
        <v/>
      </c>
      <c r="M59" s="3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3">
        <f>$A59&amp;"|"&amp;$B59&amp;"|"&amp;$C59</f>
        <v/>
      </c>
      <c r="O59" s="3">
        <f>IFERROR(INDEX('CAT_TURNOS'!$C$4:$C$7,MATCH($J59,'CAT_TURNOS'!$A$4:$A$7,0)),"")</f>
        <v/>
      </c>
      <c r="P59" s="3">
        <f>IFERROR(INDEX('CAT_TURNOS'!$D$4:$D$7,MATCH($J59,'CAT_TURNOS'!$A$4:$A$7,0)),"")</f>
        <v/>
      </c>
      <c r="Q59" s="3">
        <f>IF(AND(LEFT($G59,1)="T",$H59="no"),"sí","no")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IFERROR(INDEX('TECNICOS'!$D$4:$D$19,MATCH($C60,'TECNICOS'!$B$4:$B$19,0)),"")</f>
        <v/>
      </c>
      <c r="E60" s="3">
        <f>IFERROR(INDEX('TECNICOS'!$C$4:$C$19,MATCH($C60,'TECNICOS'!$B$4:$B$19,0)),"")</f>
        <v/>
      </c>
      <c r="F60" s="3">
        <f>COUNTIFS('TECNICOS'!$F$4:$F$19,"SI",'TECNICOS'!$C$4:$C$19,$E60,'TECNICOS'!$D$4:$D$19,$D60)</f>
        <v/>
      </c>
      <c r="G60" s="3">
        <f>IF(OR($C60="",$A60="",$B60="domingo"),"",IF(IFERROR(INDEX('TECNICOS'!$F$4:$F$19,MATCH($C60,'TECNICOS'!$B$4:$B$19,0)),"NO")&lt;&gt;"SI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3">
        <f>IF(COUNTIFS('PLAN_VACACIONES'!$A$4:$A$103,$C60,'PLAN_VACACIONES'!$B$4:$B$103,"&lt;="&amp;$L60,'PLAN_VACACIONES'!$C$4:$C$103,"&gt;="&amp;$L60)&gt;0,"sí","no")</f>
        <v/>
      </c>
      <c r="I60" s="6" t="n"/>
      <c r="J60" s="3">
        <f>IF($I60&lt;&gt;"",$I60,IF($G60="","",IF($H60="sí","VAC",IF(LEFT($G60,1)="B","B",$G60))))</f>
        <v/>
      </c>
      <c r="K60" s="3">
        <f>IFERROR(INDEX('TECNICOS'!$E$4:$E$19,MATCH($C60,'TECNICOS'!$B$4:$B$19,0)),"")</f>
        <v/>
      </c>
      <c r="L60" s="12">
        <f>IF($A60="","",DATE(VALUE(LEFT($A60,4)),1,4)-WEEKDAY(DATE(VALUE(LEFT($A60,4)),1,4),2)+1+(VALUE(MID($A60,7,2))-1)*7+MATCH($B60,lista_dias,0)-1)</f>
        <v/>
      </c>
      <c r="M60" s="3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3">
        <f>$A60&amp;"|"&amp;$B60&amp;"|"&amp;$C60</f>
        <v/>
      </c>
      <c r="O60" s="3">
        <f>IFERROR(INDEX('CAT_TURNOS'!$C$4:$C$7,MATCH($J60,'CAT_TURNOS'!$A$4:$A$7,0)),"")</f>
        <v/>
      </c>
      <c r="P60" s="3">
        <f>IFERROR(INDEX('CAT_TURNOS'!$D$4:$D$7,MATCH($J60,'CAT_TURNOS'!$A$4:$A$7,0)),"")</f>
        <v/>
      </c>
      <c r="Q60" s="3">
        <f>IF(AND(LEFT($G60,1)="T",$H60="no"),"sí","no")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IFERROR(INDEX('TECNICOS'!$D$4:$D$19,MATCH($C61,'TECNICOS'!$B$4:$B$19,0)),"")</f>
        <v/>
      </c>
      <c r="E61" s="3">
        <f>IFERROR(INDEX('TECNICOS'!$C$4:$C$19,MATCH($C61,'TECNICOS'!$B$4:$B$19,0)),"")</f>
        <v/>
      </c>
      <c r="F61" s="3">
        <f>COUNTIFS('TECNICOS'!$F$4:$F$19,"SI",'TECNICOS'!$C$4:$C$19,$E61,'TECNICOS'!$D$4:$D$19,$D61)</f>
        <v/>
      </c>
      <c r="G61" s="3">
        <f>IF(OR($C61="",$A61="",$B61="domingo"),"",IF(IFERROR(INDEX('TECNICOS'!$F$4:$F$19,MATCH($C61,'TECNICOS'!$B$4:$B$19,0)),"NO")&lt;&gt;"SI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3">
        <f>IF(COUNTIFS('PLAN_VACACIONES'!$A$4:$A$103,$C61,'PLAN_VACACIONES'!$B$4:$B$103,"&lt;="&amp;$L61,'PLAN_VACACIONES'!$C$4:$C$103,"&gt;="&amp;$L61)&gt;0,"sí","no")</f>
        <v/>
      </c>
      <c r="I61" s="6" t="n"/>
      <c r="J61" s="3">
        <f>IF($I61&lt;&gt;"",$I61,IF($G61="","",IF($H61="sí","VAC",IF(LEFT($G61,1)="B","B",$G61))))</f>
        <v/>
      </c>
      <c r="K61" s="3">
        <f>IFERROR(INDEX('TECNICOS'!$E$4:$E$19,MATCH($C61,'TECNICOS'!$B$4:$B$19,0)),"")</f>
        <v/>
      </c>
      <c r="L61" s="12">
        <f>IF($A61="","",DATE(VALUE(LEFT($A61,4)),1,4)-WEEKDAY(DATE(VALUE(LEFT($A61,4)),1,4),2)+1+(VALUE(MID($A61,7,2))-1)*7+MATCH($B61,lista_dias,0)-1)</f>
        <v/>
      </c>
      <c r="M61" s="3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3">
        <f>$A61&amp;"|"&amp;$B61&amp;"|"&amp;$C61</f>
        <v/>
      </c>
      <c r="O61" s="3">
        <f>IFERROR(INDEX('CAT_TURNOS'!$C$4:$C$7,MATCH($J61,'CAT_TURNOS'!$A$4:$A$7,0)),"")</f>
        <v/>
      </c>
      <c r="P61" s="3">
        <f>IFERROR(INDEX('CAT_TURNOS'!$D$4:$D$7,MATCH($J61,'CAT_TURNOS'!$A$4:$A$7,0)),"")</f>
        <v/>
      </c>
      <c r="Q61" s="3">
        <f>IF(AND(LEFT($G61,1)="T",$H61="no"),"sí","no")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IFERROR(INDEX('TECNICOS'!$D$4:$D$19,MATCH($C62,'TECNICOS'!$B$4:$B$19,0)),"")</f>
        <v/>
      </c>
      <c r="E62" s="3">
        <f>IFERROR(INDEX('TECNICOS'!$C$4:$C$19,MATCH($C62,'TECNICOS'!$B$4:$B$19,0)),"")</f>
        <v/>
      </c>
      <c r="F62" s="3">
        <f>COUNTIFS('TECNICOS'!$F$4:$F$19,"SI",'TECNICOS'!$C$4:$C$19,$E62,'TECNICOS'!$D$4:$D$19,$D62)</f>
        <v/>
      </c>
      <c r="G62" s="3">
        <f>IF(OR($C62="",$A62="",$B62="domingo"),"",IF(IFERROR(INDEX('TECNICOS'!$F$4:$F$19,MATCH($C62,'TECNICOS'!$B$4:$B$19,0)),"NO")&lt;&gt;"SI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3">
        <f>IF(COUNTIFS('PLAN_VACACIONES'!$A$4:$A$103,$C62,'PLAN_VACACIONES'!$B$4:$B$103,"&lt;="&amp;$L62,'PLAN_VACACIONES'!$C$4:$C$103,"&gt;="&amp;$L62)&gt;0,"sí","no")</f>
        <v/>
      </c>
      <c r="I62" s="6" t="n"/>
      <c r="J62" s="3">
        <f>IF($I62&lt;&gt;"",$I62,IF($G62="","",IF($H62="sí","VAC",IF(LEFT($G62,1)="B","B",$G62))))</f>
        <v/>
      </c>
      <c r="K62" s="3">
        <f>IFERROR(INDEX('TECNICOS'!$E$4:$E$19,MATCH($C62,'TECNICOS'!$B$4:$B$19,0)),"")</f>
        <v/>
      </c>
      <c r="L62" s="12">
        <f>IF($A62="","",DATE(VALUE(LEFT($A62,4)),1,4)-WEEKDAY(DATE(VALUE(LEFT($A62,4)),1,4),2)+1+(VALUE(MID($A62,7,2))-1)*7+MATCH($B62,lista_dias,0)-1)</f>
        <v/>
      </c>
      <c r="M62" s="3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3">
        <f>$A62&amp;"|"&amp;$B62&amp;"|"&amp;$C62</f>
        <v/>
      </c>
      <c r="O62" s="3">
        <f>IFERROR(INDEX('CAT_TURNOS'!$C$4:$C$7,MATCH($J62,'CAT_TURNOS'!$A$4:$A$7,0)),"")</f>
        <v/>
      </c>
      <c r="P62" s="3">
        <f>IFERROR(INDEX('CAT_TURNOS'!$D$4:$D$7,MATCH($J62,'CAT_TURNOS'!$A$4:$A$7,0)),"")</f>
        <v/>
      </c>
      <c r="Q62" s="3">
        <f>IF(AND(LEFT($G62,1)="T",$H62="no"),"sí","no")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IFERROR(INDEX('TECNICOS'!$D$4:$D$19,MATCH($C63,'TECNICOS'!$B$4:$B$19,0)),"")</f>
        <v/>
      </c>
      <c r="E63" s="3">
        <f>IFERROR(INDEX('TECNICOS'!$C$4:$C$19,MATCH($C63,'TECNICOS'!$B$4:$B$19,0)),"")</f>
        <v/>
      </c>
      <c r="F63" s="3">
        <f>COUNTIFS('TECNICOS'!$F$4:$F$19,"SI",'TECNICOS'!$C$4:$C$19,$E63,'TECNICOS'!$D$4:$D$19,$D63)</f>
        <v/>
      </c>
      <c r="G63" s="3">
        <f>IF(OR($C63="",$A63="",$B63="domingo"),"",IF(IFERROR(INDEX('TECNICOS'!$F$4:$F$19,MATCH($C63,'TECNICOS'!$B$4:$B$19,0)),"NO")&lt;&gt;"SI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3">
        <f>IF(COUNTIFS('PLAN_VACACIONES'!$A$4:$A$103,$C63,'PLAN_VACACIONES'!$B$4:$B$103,"&lt;="&amp;$L63,'PLAN_VACACIONES'!$C$4:$C$103,"&gt;="&amp;$L63)&gt;0,"sí","no")</f>
        <v/>
      </c>
      <c r="I63" s="6" t="n"/>
      <c r="J63" s="3">
        <f>IF($I63&lt;&gt;"",$I63,IF($G63="","",IF($H63="sí","VAC",IF(LEFT($G63,1)="B","B",$G63))))</f>
        <v/>
      </c>
      <c r="K63" s="3">
        <f>IFERROR(INDEX('TECNICOS'!$E$4:$E$19,MATCH($C63,'TECNICOS'!$B$4:$B$19,0)),"")</f>
        <v/>
      </c>
      <c r="L63" s="12">
        <f>IF($A63="","",DATE(VALUE(LEFT($A63,4)),1,4)-WEEKDAY(DATE(VALUE(LEFT($A63,4)),1,4),2)+1+(VALUE(MID($A63,7,2))-1)*7+MATCH($B63,lista_dias,0)-1)</f>
        <v/>
      </c>
      <c r="M63" s="3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3">
        <f>$A63&amp;"|"&amp;$B63&amp;"|"&amp;$C63</f>
        <v/>
      </c>
      <c r="O63" s="3">
        <f>IFERROR(INDEX('CAT_TURNOS'!$C$4:$C$7,MATCH($J63,'CAT_TURNOS'!$A$4:$A$7,0)),"")</f>
        <v/>
      </c>
      <c r="P63" s="3">
        <f>IFERROR(INDEX('CAT_TURNOS'!$D$4:$D$7,MATCH($J63,'CAT_TURNOS'!$A$4:$A$7,0)),"")</f>
        <v/>
      </c>
      <c r="Q63" s="3">
        <f>IF(AND(LEFT($G63,1)="T",$H63="no"),"sí","no")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IFERROR(INDEX('TECNICOS'!$D$4:$D$19,MATCH($C64,'TECNICOS'!$B$4:$B$19,0)),"")</f>
        <v/>
      </c>
      <c r="E64" s="3">
        <f>IFERROR(INDEX('TECNICOS'!$C$4:$C$19,MATCH($C64,'TECNICOS'!$B$4:$B$19,0)),"")</f>
        <v/>
      </c>
      <c r="F64" s="3">
        <f>COUNTIFS('TECNICOS'!$F$4:$F$19,"SI",'TECNICOS'!$C$4:$C$19,$E64,'TECNICOS'!$D$4:$D$19,$D64)</f>
        <v/>
      </c>
      <c r="G64" s="3">
        <f>IF(OR($C64="",$A64="",$B64="domingo"),"",IF(IFERROR(INDEX('TECNICOS'!$F$4:$F$19,MATCH($C64,'TECNICOS'!$B$4:$B$19,0)),"NO")&lt;&gt;"SI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3">
        <f>IF(COUNTIFS('PLAN_VACACIONES'!$A$4:$A$103,$C64,'PLAN_VACACIONES'!$B$4:$B$103,"&lt;="&amp;$L64,'PLAN_VACACIONES'!$C$4:$C$103,"&gt;="&amp;$L64)&gt;0,"sí","no")</f>
        <v/>
      </c>
      <c r="I64" s="6" t="n"/>
      <c r="J64" s="3">
        <f>IF($I64&lt;&gt;"",$I64,IF($G64="","",IF($H64="sí","VAC",IF(LEFT($G64,1)="B","B",$G64))))</f>
        <v/>
      </c>
      <c r="K64" s="3">
        <f>IFERROR(INDEX('TECNICOS'!$E$4:$E$19,MATCH($C64,'TECNICOS'!$B$4:$B$19,0)),"")</f>
        <v/>
      </c>
      <c r="L64" s="12">
        <f>IF($A64="","",DATE(VALUE(LEFT($A64,4)),1,4)-WEEKDAY(DATE(VALUE(LEFT($A64,4)),1,4),2)+1+(VALUE(MID($A64,7,2))-1)*7+MATCH($B64,lista_dias,0)-1)</f>
        <v/>
      </c>
      <c r="M64" s="3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3">
        <f>$A64&amp;"|"&amp;$B64&amp;"|"&amp;$C64</f>
        <v/>
      </c>
      <c r="O64" s="3">
        <f>IFERROR(INDEX('CAT_TURNOS'!$C$4:$C$7,MATCH($J64,'CAT_TURNOS'!$A$4:$A$7,0)),"")</f>
        <v/>
      </c>
      <c r="P64" s="3">
        <f>IFERROR(INDEX('CAT_TURNOS'!$D$4:$D$7,MATCH($J64,'CAT_TURNOS'!$A$4:$A$7,0)),"")</f>
        <v/>
      </c>
      <c r="Q64" s="3">
        <f>IF(AND(LEFT($G64,1)="T",$H64="no"),"sí","no")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IFERROR(INDEX('TECNICOS'!$D$4:$D$19,MATCH($C65,'TECNICOS'!$B$4:$B$19,0)),"")</f>
        <v/>
      </c>
      <c r="E65" s="3">
        <f>IFERROR(INDEX('TECNICOS'!$C$4:$C$19,MATCH($C65,'TECNICOS'!$B$4:$B$19,0)),"")</f>
        <v/>
      </c>
      <c r="F65" s="3">
        <f>COUNTIFS('TECNICOS'!$F$4:$F$19,"SI",'TECNICOS'!$C$4:$C$19,$E65,'TECNICOS'!$D$4:$D$19,$D65)</f>
        <v/>
      </c>
      <c r="G65" s="3">
        <f>IF(OR($C65="",$A65="",$B65="domingo"),"",IF(IFERROR(INDEX('TECNICOS'!$F$4:$F$19,MATCH($C65,'TECNICOS'!$B$4:$B$19,0)),"NO")&lt;&gt;"SI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3">
        <f>IF(COUNTIFS('PLAN_VACACIONES'!$A$4:$A$103,$C65,'PLAN_VACACIONES'!$B$4:$B$103,"&lt;="&amp;$L65,'PLAN_VACACIONES'!$C$4:$C$103,"&gt;="&amp;$L65)&gt;0,"sí","no")</f>
        <v/>
      </c>
      <c r="I65" s="6" t="n"/>
      <c r="J65" s="3">
        <f>IF($I65&lt;&gt;"",$I65,IF($G65="","",IF($H65="sí","VAC",IF(LEFT($G65,1)="B","B",$G65))))</f>
        <v/>
      </c>
      <c r="K65" s="3">
        <f>IFERROR(INDEX('TECNICOS'!$E$4:$E$19,MATCH($C65,'TECNICOS'!$B$4:$B$19,0)),"")</f>
        <v/>
      </c>
      <c r="L65" s="12">
        <f>IF($A65="","",DATE(VALUE(LEFT($A65,4)),1,4)-WEEKDAY(DATE(VALUE(LEFT($A65,4)),1,4),2)+1+(VALUE(MID($A65,7,2))-1)*7+MATCH($B65,lista_dias,0)-1)</f>
        <v/>
      </c>
      <c r="M65" s="3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3">
        <f>$A65&amp;"|"&amp;$B65&amp;"|"&amp;$C65</f>
        <v/>
      </c>
      <c r="O65" s="3">
        <f>IFERROR(INDEX('CAT_TURNOS'!$C$4:$C$7,MATCH($J65,'CAT_TURNOS'!$A$4:$A$7,0)),"")</f>
        <v/>
      </c>
      <c r="P65" s="3">
        <f>IFERROR(INDEX('CAT_TURNOS'!$D$4:$D$7,MATCH($J65,'CAT_TURNOS'!$A$4:$A$7,0)),"")</f>
        <v/>
      </c>
      <c r="Q65" s="3">
        <f>IF(AND(LEFT($G65,1)="T",$H65="no"),"sí","no")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IFERROR(INDEX('TECNICOS'!$D$4:$D$19,MATCH($C66,'TECNICOS'!$B$4:$B$19,0)),"")</f>
        <v/>
      </c>
      <c r="E66" s="3">
        <f>IFERROR(INDEX('TECNICOS'!$C$4:$C$19,MATCH($C66,'TECNICOS'!$B$4:$B$19,0)),"")</f>
        <v/>
      </c>
      <c r="F66" s="3">
        <f>COUNTIFS('TECNICOS'!$F$4:$F$19,"SI",'TECNICOS'!$C$4:$C$19,$E66,'TECNICOS'!$D$4:$D$19,$D66)</f>
        <v/>
      </c>
      <c r="G66" s="3">
        <f>IF(OR($C66="",$A66="",$B66="domingo"),"",IF(IFERROR(INDEX('TECNICOS'!$F$4:$F$19,MATCH($C66,'TECNICOS'!$B$4:$B$19,0)),"NO")&lt;&gt;"SI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3">
        <f>IF(COUNTIFS('PLAN_VACACIONES'!$A$4:$A$103,$C66,'PLAN_VACACIONES'!$B$4:$B$103,"&lt;="&amp;$L66,'PLAN_VACACIONES'!$C$4:$C$103,"&gt;="&amp;$L66)&gt;0,"sí","no")</f>
        <v/>
      </c>
      <c r="I66" s="6" t="n"/>
      <c r="J66" s="3">
        <f>IF($I66&lt;&gt;"",$I66,IF($G66="","",IF($H66="sí","VAC",IF(LEFT($G66,1)="B","B",$G66))))</f>
        <v/>
      </c>
      <c r="K66" s="3">
        <f>IFERROR(INDEX('TECNICOS'!$E$4:$E$19,MATCH($C66,'TECNICOS'!$B$4:$B$19,0)),"")</f>
        <v/>
      </c>
      <c r="L66" s="12">
        <f>IF($A66="","",DATE(VALUE(LEFT($A66,4)),1,4)-WEEKDAY(DATE(VALUE(LEFT($A66,4)),1,4),2)+1+(VALUE(MID($A66,7,2))-1)*7+MATCH($B66,lista_dias,0)-1)</f>
        <v/>
      </c>
      <c r="M66" s="3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3">
        <f>$A66&amp;"|"&amp;$B66&amp;"|"&amp;$C66</f>
        <v/>
      </c>
      <c r="O66" s="3">
        <f>IFERROR(INDEX('CAT_TURNOS'!$C$4:$C$7,MATCH($J66,'CAT_TURNOS'!$A$4:$A$7,0)),"")</f>
        <v/>
      </c>
      <c r="P66" s="3">
        <f>IFERROR(INDEX('CAT_TURNOS'!$D$4:$D$7,MATCH($J66,'CAT_TURNOS'!$A$4:$A$7,0)),"")</f>
        <v/>
      </c>
      <c r="Q66" s="3">
        <f>IF(AND(LEFT($G66,1)="T",$H66="no"),"sí","no")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IFERROR(INDEX('TECNICOS'!$D$4:$D$19,MATCH($C67,'TECNICOS'!$B$4:$B$19,0)),"")</f>
        <v/>
      </c>
      <c r="E67" s="3">
        <f>IFERROR(INDEX('TECNICOS'!$C$4:$C$19,MATCH($C67,'TECNICOS'!$B$4:$B$19,0)),"")</f>
        <v/>
      </c>
      <c r="F67" s="3">
        <f>COUNTIFS('TECNICOS'!$F$4:$F$19,"SI",'TECNICOS'!$C$4:$C$19,$E67,'TECNICOS'!$D$4:$D$19,$D67)</f>
        <v/>
      </c>
      <c r="G67" s="3">
        <f>IF(OR($C67="",$A67="",$B67="domingo"),"",IF(IFERROR(INDEX('TECNICOS'!$F$4:$F$19,MATCH($C67,'TECNICOS'!$B$4:$B$19,0)),"NO")&lt;&gt;"SI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3">
        <f>IF(COUNTIFS('PLAN_VACACIONES'!$A$4:$A$103,$C67,'PLAN_VACACIONES'!$B$4:$B$103,"&lt;="&amp;$L67,'PLAN_VACACIONES'!$C$4:$C$103,"&gt;="&amp;$L67)&gt;0,"sí","no")</f>
        <v/>
      </c>
      <c r="I67" s="6" t="n"/>
      <c r="J67" s="3">
        <f>IF($I67&lt;&gt;"",$I67,IF($G67="","",IF($H67="sí","VAC",IF(LEFT($G67,1)="B","B",$G67))))</f>
        <v/>
      </c>
      <c r="K67" s="3">
        <f>IFERROR(INDEX('TECNICOS'!$E$4:$E$19,MATCH($C67,'TECNICOS'!$B$4:$B$19,0)),"")</f>
        <v/>
      </c>
      <c r="L67" s="12">
        <f>IF($A67="","",DATE(VALUE(LEFT($A67,4)),1,4)-WEEKDAY(DATE(VALUE(LEFT($A67,4)),1,4),2)+1+(VALUE(MID($A67,7,2))-1)*7+MATCH($B67,lista_dias,0)-1)</f>
        <v/>
      </c>
      <c r="M67" s="3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3">
        <f>$A67&amp;"|"&amp;$B67&amp;"|"&amp;$C67</f>
        <v/>
      </c>
      <c r="O67" s="3">
        <f>IFERROR(INDEX('CAT_TURNOS'!$C$4:$C$7,MATCH($J67,'CAT_TURNOS'!$A$4:$A$7,0)),"")</f>
        <v/>
      </c>
      <c r="P67" s="3">
        <f>IFERROR(INDEX('CAT_TURNOS'!$D$4:$D$7,MATCH($J67,'CAT_TURNOS'!$A$4:$A$7,0)),"")</f>
        <v/>
      </c>
      <c r="Q67" s="3">
        <f>IF(AND(LEFT($G67,1)="T",$H67="no"),"sí","no")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IFERROR(INDEX('TECNICOS'!$D$4:$D$19,MATCH($C68,'TECNICOS'!$B$4:$B$19,0)),"")</f>
        <v/>
      </c>
      <c r="E68" s="3">
        <f>IFERROR(INDEX('TECNICOS'!$C$4:$C$19,MATCH($C68,'TECNICOS'!$B$4:$B$19,0)),"")</f>
        <v/>
      </c>
      <c r="F68" s="3">
        <f>COUNTIFS('TECNICOS'!$F$4:$F$19,"SI",'TECNICOS'!$C$4:$C$19,$E68,'TECNICOS'!$D$4:$D$19,$D68)</f>
        <v/>
      </c>
      <c r="G68" s="3">
        <f>IF(OR($C68="",$A68="",$B68="domingo"),"",IF(IFERROR(INDEX('TECNICOS'!$F$4:$F$19,MATCH($C68,'TECNICOS'!$B$4:$B$19,0)),"NO")&lt;&gt;"SI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3">
        <f>IF(COUNTIFS('PLAN_VACACIONES'!$A$4:$A$103,$C68,'PLAN_VACACIONES'!$B$4:$B$103,"&lt;="&amp;$L68,'PLAN_VACACIONES'!$C$4:$C$103,"&gt;="&amp;$L68)&gt;0,"sí","no")</f>
        <v/>
      </c>
      <c r="I68" s="6" t="n"/>
      <c r="J68" s="3">
        <f>IF($I68&lt;&gt;"",$I68,IF($G68="","",IF($H68="sí","VAC",IF(LEFT($G68,1)="B","B",$G68))))</f>
        <v/>
      </c>
      <c r="K68" s="3">
        <f>IFERROR(INDEX('TECNICOS'!$E$4:$E$19,MATCH($C68,'TECNICOS'!$B$4:$B$19,0)),"")</f>
        <v/>
      </c>
      <c r="L68" s="12">
        <f>IF($A68="","",DATE(VALUE(LEFT($A68,4)),1,4)-WEEKDAY(DATE(VALUE(LEFT($A68,4)),1,4),2)+1+(VALUE(MID($A68,7,2))-1)*7+MATCH($B68,lista_dias,0)-1)</f>
        <v/>
      </c>
      <c r="M68" s="3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3">
        <f>$A68&amp;"|"&amp;$B68&amp;"|"&amp;$C68</f>
        <v/>
      </c>
      <c r="O68" s="3">
        <f>IFERROR(INDEX('CAT_TURNOS'!$C$4:$C$7,MATCH($J68,'CAT_TURNOS'!$A$4:$A$7,0)),"")</f>
        <v/>
      </c>
      <c r="P68" s="3">
        <f>IFERROR(INDEX('CAT_TURNOS'!$D$4:$D$7,MATCH($J68,'CAT_TURNOS'!$A$4:$A$7,0)),"")</f>
        <v/>
      </c>
      <c r="Q68" s="3">
        <f>IF(AND(LEFT($G68,1)="T",$H68="no"),"sí","no")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IFERROR(INDEX('TECNICOS'!$D$4:$D$19,MATCH($C69,'TECNICOS'!$B$4:$B$19,0)),"")</f>
        <v/>
      </c>
      <c r="E69" s="3">
        <f>IFERROR(INDEX('TECNICOS'!$C$4:$C$19,MATCH($C69,'TECNICOS'!$B$4:$B$19,0)),"")</f>
        <v/>
      </c>
      <c r="F69" s="3">
        <f>COUNTIFS('TECNICOS'!$F$4:$F$19,"SI",'TECNICOS'!$C$4:$C$19,$E69,'TECNICOS'!$D$4:$D$19,$D69)</f>
        <v/>
      </c>
      <c r="G69" s="3">
        <f>IF(OR($C69="",$A69="",$B69="domingo"),"",IF(IFERROR(INDEX('TECNICOS'!$F$4:$F$19,MATCH($C69,'TECNICOS'!$B$4:$B$19,0)),"NO")&lt;&gt;"SI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3">
        <f>IF(COUNTIFS('PLAN_VACACIONES'!$A$4:$A$103,$C69,'PLAN_VACACIONES'!$B$4:$B$103,"&lt;="&amp;$L69,'PLAN_VACACIONES'!$C$4:$C$103,"&gt;="&amp;$L69)&gt;0,"sí","no")</f>
        <v/>
      </c>
      <c r="I69" s="6" t="n"/>
      <c r="J69" s="3">
        <f>IF($I69&lt;&gt;"",$I69,IF($G69="","",IF($H69="sí","VAC",IF(LEFT($G69,1)="B","B",$G69))))</f>
        <v/>
      </c>
      <c r="K69" s="3">
        <f>IFERROR(INDEX('TECNICOS'!$E$4:$E$19,MATCH($C69,'TECNICOS'!$B$4:$B$19,0)),"")</f>
        <v/>
      </c>
      <c r="L69" s="12">
        <f>IF($A69="","",DATE(VALUE(LEFT($A69,4)),1,4)-WEEKDAY(DATE(VALUE(LEFT($A69,4)),1,4),2)+1+(VALUE(MID($A69,7,2))-1)*7+MATCH($B69,lista_dias,0)-1)</f>
        <v/>
      </c>
      <c r="M69" s="3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3">
        <f>$A69&amp;"|"&amp;$B69&amp;"|"&amp;$C69</f>
        <v/>
      </c>
      <c r="O69" s="3">
        <f>IFERROR(INDEX('CAT_TURNOS'!$C$4:$C$7,MATCH($J69,'CAT_TURNOS'!$A$4:$A$7,0)),"")</f>
        <v/>
      </c>
      <c r="P69" s="3">
        <f>IFERROR(INDEX('CAT_TURNOS'!$D$4:$D$7,MATCH($J69,'CAT_TURNOS'!$A$4:$A$7,0)),"")</f>
        <v/>
      </c>
      <c r="Q69" s="3">
        <f>IF(AND(LEFT($G69,1)="T",$H69="no"),"sí","no")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IFERROR(INDEX('TECNICOS'!$D$4:$D$19,MATCH($C70,'TECNICOS'!$B$4:$B$19,0)),"")</f>
        <v/>
      </c>
      <c r="E70" s="3">
        <f>IFERROR(INDEX('TECNICOS'!$C$4:$C$19,MATCH($C70,'TECNICOS'!$B$4:$B$19,0)),"")</f>
        <v/>
      </c>
      <c r="F70" s="3">
        <f>COUNTIFS('TECNICOS'!$F$4:$F$19,"SI",'TECNICOS'!$C$4:$C$19,$E70,'TECNICOS'!$D$4:$D$19,$D70)</f>
        <v/>
      </c>
      <c r="G70" s="3">
        <f>IF(OR($C70="",$A70="",$B70="domingo"),"",IF(IFERROR(INDEX('TECNICOS'!$F$4:$F$19,MATCH($C70,'TECNICOS'!$B$4:$B$19,0)),"NO")&lt;&gt;"SI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3">
        <f>IF(COUNTIFS('PLAN_VACACIONES'!$A$4:$A$103,$C70,'PLAN_VACACIONES'!$B$4:$B$103,"&lt;="&amp;$L70,'PLAN_VACACIONES'!$C$4:$C$103,"&gt;="&amp;$L70)&gt;0,"sí","no")</f>
        <v/>
      </c>
      <c r="I70" s="6" t="n"/>
      <c r="J70" s="3">
        <f>IF($I70&lt;&gt;"",$I70,IF($G70="","",IF($H70="sí","VAC",IF(LEFT($G70,1)="B","B",$G70))))</f>
        <v/>
      </c>
      <c r="K70" s="3">
        <f>IFERROR(INDEX('TECNICOS'!$E$4:$E$19,MATCH($C70,'TECNICOS'!$B$4:$B$19,0)),"")</f>
        <v/>
      </c>
      <c r="L70" s="12">
        <f>IF($A70="","",DATE(VALUE(LEFT($A70,4)),1,4)-WEEKDAY(DATE(VALUE(LEFT($A70,4)),1,4),2)+1+(VALUE(MID($A70,7,2))-1)*7+MATCH($B70,lista_dias,0)-1)</f>
        <v/>
      </c>
      <c r="M70" s="3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3">
        <f>$A70&amp;"|"&amp;$B70&amp;"|"&amp;$C70</f>
        <v/>
      </c>
      <c r="O70" s="3">
        <f>IFERROR(INDEX('CAT_TURNOS'!$C$4:$C$7,MATCH($J70,'CAT_TURNOS'!$A$4:$A$7,0)),"")</f>
        <v/>
      </c>
      <c r="P70" s="3">
        <f>IFERROR(INDEX('CAT_TURNOS'!$D$4:$D$7,MATCH($J70,'CAT_TURNOS'!$A$4:$A$7,0)),"")</f>
        <v/>
      </c>
      <c r="Q70" s="3">
        <f>IF(AND(LEFT($G70,1)="T",$H70="no"),"sí","no")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IFERROR(INDEX('TECNICOS'!$D$4:$D$19,MATCH($C71,'TECNICOS'!$B$4:$B$19,0)),"")</f>
        <v/>
      </c>
      <c r="E71" s="3">
        <f>IFERROR(INDEX('TECNICOS'!$C$4:$C$19,MATCH($C71,'TECNICOS'!$B$4:$B$19,0)),"")</f>
        <v/>
      </c>
      <c r="F71" s="3">
        <f>COUNTIFS('TECNICOS'!$F$4:$F$19,"SI",'TECNICOS'!$C$4:$C$19,$E71,'TECNICOS'!$D$4:$D$19,$D71)</f>
        <v/>
      </c>
      <c r="G71" s="3">
        <f>IF(OR($C71="",$A71="",$B71="domingo"),"",IF(IFERROR(INDEX('TECNICOS'!$F$4:$F$19,MATCH($C71,'TECNICOS'!$B$4:$B$19,0)),"NO")&lt;&gt;"SI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3">
        <f>IF(COUNTIFS('PLAN_VACACIONES'!$A$4:$A$103,$C71,'PLAN_VACACIONES'!$B$4:$B$103,"&lt;="&amp;$L71,'PLAN_VACACIONES'!$C$4:$C$103,"&gt;="&amp;$L71)&gt;0,"sí","no")</f>
        <v/>
      </c>
      <c r="I71" s="6" t="n"/>
      <c r="J71" s="3">
        <f>IF($I71&lt;&gt;"",$I71,IF($G71="","",IF($H71="sí","VAC",IF(LEFT($G71,1)="B","B",$G71))))</f>
        <v/>
      </c>
      <c r="K71" s="3">
        <f>IFERROR(INDEX('TECNICOS'!$E$4:$E$19,MATCH($C71,'TECNICOS'!$B$4:$B$19,0)),"")</f>
        <v/>
      </c>
      <c r="L71" s="12">
        <f>IF($A71="","",DATE(VALUE(LEFT($A71,4)),1,4)-WEEKDAY(DATE(VALUE(LEFT($A71,4)),1,4),2)+1+(VALUE(MID($A71,7,2))-1)*7+MATCH($B71,lista_dias,0)-1)</f>
        <v/>
      </c>
      <c r="M71" s="3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3">
        <f>$A71&amp;"|"&amp;$B71&amp;"|"&amp;$C71</f>
        <v/>
      </c>
      <c r="O71" s="3">
        <f>IFERROR(INDEX('CAT_TURNOS'!$C$4:$C$7,MATCH($J71,'CAT_TURNOS'!$A$4:$A$7,0)),"")</f>
        <v/>
      </c>
      <c r="P71" s="3">
        <f>IFERROR(INDEX('CAT_TURNOS'!$D$4:$D$7,MATCH($J71,'CAT_TURNOS'!$A$4:$A$7,0)),"")</f>
        <v/>
      </c>
      <c r="Q71" s="3">
        <f>IF(AND(LEFT($G71,1)="T",$H71="no"),"sí","no")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IFERROR(INDEX('TECNICOS'!$D$4:$D$19,MATCH($C72,'TECNICOS'!$B$4:$B$19,0)),"")</f>
        <v/>
      </c>
      <c r="E72" s="3">
        <f>IFERROR(INDEX('TECNICOS'!$C$4:$C$19,MATCH($C72,'TECNICOS'!$B$4:$B$19,0)),"")</f>
        <v/>
      </c>
      <c r="F72" s="3">
        <f>COUNTIFS('TECNICOS'!$F$4:$F$19,"SI",'TECNICOS'!$C$4:$C$19,$E72,'TECNICOS'!$D$4:$D$19,$D72)</f>
        <v/>
      </c>
      <c r="G72" s="3">
        <f>IF(OR($C72="",$A72="",$B72="domingo"),"",IF(IFERROR(INDEX('TECNICOS'!$F$4:$F$19,MATCH($C72,'TECNICOS'!$B$4:$B$19,0)),"NO")&lt;&gt;"SI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3">
        <f>IF(COUNTIFS('PLAN_VACACIONES'!$A$4:$A$103,$C72,'PLAN_VACACIONES'!$B$4:$B$103,"&lt;="&amp;$L72,'PLAN_VACACIONES'!$C$4:$C$103,"&gt;="&amp;$L72)&gt;0,"sí","no")</f>
        <v/>
      </c>
      <c r="I72" s="6" t="n"/>
      <c r="J72" s="3">
        <f>IF($I72&lt;&gt;"",$I72,IF($G72="","",IF($H72="sí","VAC",IF(LEFT($G72,1)="B","B",$G72))))</f>
        <v/>
      </c>
      <c r="K72" s="3">
        <f>IFERROR(INDEX('TECNICOS'!$E$4:$E$19,MATCH($C72,'TECNICOS'!$B$4:$B$19,0)),"")</f>
        <v/>
      </c>
      <c r="L72" s="12">
        <f>IF($A72="","",DATE(VALUE(LEFT($A72,4)),1,4)-WEEKDAY(DATE(VALUE(LEFT($A72,4)),1,4),2)+1+(VALUE(MID($A72,7,2))-1)*7+MATCH($B72,lista_dias,0)-1)</f>
        <v/>
      </c>
      <c r="M72" s="3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3">
        <f>$A72&amp;"|"&amp;$B72&amp;"|"&amp;$C72</f>
        <v/>
      </c>
      <c r="O72" s="3">
        <f>IFERROR(INDEX('CAT_TURNOS'!$C$4:$C$7,MATCH($J72,'CAT_TURNOS'!$A$4:$A$7,0)),"")</f>
        <v/>
      </c>
      <c r="P72" s="3">
        <f>IFERROR(INDEX('CAT_TURNOS'!$D$4:$D$7,MATCH($J72,'CAT_TURNOS'!$A$4:$A$7,0)),"")</f>
        <v/>
      </c>
      <c r="Q72" s="3">
        <f>IF(AND(LEFT($G72,1)="T",$H72="no"),"sí","no")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IFERROR(INDEX('TECNICOS'!$D$4:$D$19,MATCH($C73,'TECNICOS'!$B$4:$B$19,0)),"")</f>
        <v/>
      </c>
      <c r="E73" s="3">
        <f>IFERROR(INDEX('TECNICOS'!$C$4:$C$19,MATCH($C73,'TECNICOS'!$B$4:$B$19,0)),"")</f>
        <v/>
      </c>
      <c r="F73" s="3">
        <f>COUNTIFS('TECNICOS'!$F$4:$F$19,"SI",'TECNICOS'!$C$4:$C$19,$E73,'TECNICOS'!$D$4:$D$19,$D73)</f>
        <v/>
      </c>
      <c r="G73" s="3">
        <f>IF(OR($C73="",$A73="",$B73="domingo"),"",IF(IFERROR(INDEX('TECNICOS'!$F$4:$F$19,MATCH($C73,'TECNICOS'!$B$4:$B$19,0)),"NO")&lt;&gt;"SI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3">
        <f>IF(COUNTIFS('PLAN_VACACIONES'!$A$4:$A$103,$C73,'PLAN_VACACIONES'!$B$4:$B$103,"&lt;="&amp;$L73,'PLAN_VACACIONES'!$C$4:$C$103,"&gt;="&amp;$L73)&gt;0,"sí","no")</f>
        <v/>
      </c>
      <c r="I73" s="6" t="n"/>
      <c r="J73" s="3">
        <f>IF($I73&lt;&gt;"",$I73,IF($G73="","",IF($H73="sí","VAC",IF(LEFT($G73,1)="B","B",$G73))))</f>
        <v/>
      </c>
      <c r="K73" s="3">
        <f>IFERROR(INDEX('TECNICOS'!$E$4:$E$19,MATCH($C73,'TECNICOS'!$B$4:$B$19,0)),"")</f>
        <v/>
      </c>
      <c r="L73" s="12">
        <f>IF($A73="","",DATE(VALUE(LEFT($A73,4)),1,4)-WEEKDAY(DATE(VALUE(LEFT($A73,4)),1,4),2)+1+(VALUE(MID($A73,7,2))-1)*7+MATCH($B73,lista_dias,0)-1)</f>
        <v/>
      </c>
      <c r="M73" s="3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3">
        <f>$A73&amp;"|"&amp;$B73&amp;"|"&amp;$C73</f>
        <v/>
      </c>
      <c r="O73" s="3">
        <f>IFERROR(INDEX('CAT_TURNOS'!$C$4:$C$7,MATCH($J73,'CAT_TURNOS'!$A$4:$A$7,0)),"")</f>
        <v/>
      </c>
      <c r="P73" s="3">
        <f>IFERROR(INDEX('CAT_TURNOS'!$D$4:$D$7,MATCH($J73,'CAT_TURNOS'!$A$4:$A$7,0)),"")</f>
        <v/>
      </c>
      <c r="Q73" s="3">
        <f>IF(AND(LEFT($G73,1)="T",$H73="no"),"sí","no")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IFERROR(INDEX('TECNICOS'!$D$4:$D$19,MATCH($C74,'TECNICOS'!$B$4:$B$19,0)),"")</f>
        <v/>
      </c>
      <c r="E74" s="3">
        <f>IFERROR(INDEX('TECNICOS'!$C$4:$C$19,MATCH($C74,'TECNICOS'!$B$4:$B$19,0)),"")</f>
        <v/>
      </c>
      <c r="F74" s="3">
        <f>COUNTIFS('TECNICOS'!$F$4:$F$19,"SI",'TECNICOS'!$C$4:$C$19,$E74,'TECNICOS'!$D$4:$D$19,$D74)</f>
        <v/>
      </c>
      <c r="G74" s="3">
        <f>IF(OR($C74="",$A74="",$B74="domingo"),"",IF(IFERROR(INDEX('TECNICOS'!$F$4:$F$19,MATCH($C74,'TECNICOS'!$B$4:$B$19,0)),"NO")&lt;&gt;"SI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3">
        <f>IF(COUNTIFS('PLAN_VACACIONES'!$A$4:$A$103,$C74,'PLAN_VACACIONES'!$B$4:$B$103,"&lt;="&amp;$L74,'PLAN_VACACIONES'!$C$4:$C$103,"&gt;="&amp;$L74)&gt;0,"sí","no")</f>
        <v/>
      </c>
      <c r="I74" s="6" t="n"/>
      <c r="J74" s="3">
        <f>IF($I74&lt;&gt;"",$I74,IF($G74="","",IF($H74="sí","VAC",IF(LEFT($G74,1)="B","B",$G74))))</f>
        <v/>
      </c>
      <c r="K74" s="3">
        <f>IFERROR(INDEX('TECNICOS'!$E$4:$E$19,MATCH($C74,'TECNICOS'!$B$4:$B$19,0)),"")</f>
        <v/>
      </c>
      <c r="L74" s="12">
        <f>IF($A74="","",DATE(VALUE(LEFT($A74,4)),1,4)-WEEKDAY(DATE(VALUE(LEFT($A74,4)),1,4),2)+1+(VALUE(MID($A74,7,2))-1)*7+MATCH($B74,lista_dias,0)-1)</f>
        <v/>
      </c>
      <c r="M74" s="3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3">
        <f>$A74&amp;"|"&amp;$B74&amp;"|"&amp;$C74</f>
        <v/>
      </c>
      <c r="O74" s="3">
        <f>IFERROR(INDEX('CAT_TURNOS'!$C$4:$C$7,MATCH($J74,'CAT_TURNOS'!$A$4:$A$7,0)),"")</f>
        <v/>
      </c>
      <c r="P74" s="3">
        <f>IFERROR(INDEX('CAT_TURNOS'!$D$4:$D$7,MATCH($J74,'CAT_TURNOS'!$A$4:$A$7,0)),"")</f>
        <v/>
      </c>
      <c r="Q74" s="3">
        <f>IF(AND(LEFT($G74,1)="T",$H74="no"),"sí","no")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IFERROR(INDEX('TECNICOS'!$D$4:$D$19,MATCH($C75,'TECNICOS'!$B$4:$B$19,0)),"")</f>
        <v/>
      </c>
      <c r="E75" s="3">
        <f>IFERROR(INDEX('TECNICOS'!$C$4:$C$19,MATCH($C75,'TECNICOS'!$B$4:$B$19,0)),"")</f>
        <v/>
      </c>
      <c r="F75" s="3">
        <f>COUNTIFS('TECNICOS'!$F$4:$F$19,"SI",'TECNICOS'!$C$4:$C$19,$E75,'TECNICOS'!$D$4:$D$19,$D75)</f>
        <v/>
      </c>
      <c r="G75" s="3">
        <f>IF(OR($C75="",$A75="",$B75="domingo"),"",IF(IFERROR(INDEX('TECNICOS'!$F$4:$F$19,MATCH($C75,'TECNICOS'!$B$4:$B$19,0)),"NO")&lt;&gt;"SI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3">
        <f>IF(COUNTIFS('PLAN_VACACIONES'!$A$4:$A$103,$C75,'PLAN_VACACIONES'!$B$4:$B$103,"&lt;="&amp;$L75,'PLAN_VACACIONES'!$C$4:$C$103,"&gt;="&amp;$L75)&gt;0,"sí","no")</f>
        <v/>
      </c>
      <c r="I75" s="6" t="n"/>
      <c r="J75" s="3">
        <f>IF($I75&lt;&gt;"",$I75,IF($G75="","",IF($H75="sí","VAC",IF(LEFT($G75,1)="B","B",$G75))))</f>
        <v/>
      </c>
      <c r="K75" s="3">
        <f>IFERROR(INDEX('TECNICOS'!$E$4:$E$19,MATCH($C75,'TECNICOS'!$B$4:$B$19,0)),"")</f>
        <v/>
      </c>
      <c r="L75" s="12">
        <f>IF($A75="","",DATE(VALUE(LEFT($A75,4)),1,4)-WEEKDAY(DATE(VALUE(LEFT($A75,4)),1,4),2)+1+(VALUE(MID($A75,7,2))-1)*7+MATCH($B75,lista_dias,0)-1)</f>
        <v/>
      </c>
      <c r="M75" s="3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3">
        <f>$A75&amp;"|"&amp;$B75&amp;"|"&amp;$C75</f>
        <v/>
      </c>
      <c r="O75" s="3">
        <f>IFERROR(INDEX('CAT_TURNOS'!$C$4:$C$7,MATCH($J75,'CAT_TURNOS'!$A$4:$A$7,0)),"")</f>
        <v/>
      </c>
      <c r="P75" s="3">
        <f>IFERROR(INDEX('CAT_TURNOS'!$D$4:$D$7,MATCH($J75,'CAT_TURNOS'!$A$4:$A$7,0)),"")</f>
        <v/>
      </c>
      <c r="Q75" s="3">
        <f>IF(AND(LEFT($G75,1)="T",$H75="no"),"sí","no")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IFERROR(INDEX('TECNICOS'!$D$4:$D$19,MATCH($C76,'TECNICOS'!$B$4:$B$19,0)),"")</f>
        <v/>
      </c>
      <c r="E76" s="3">
        <f>IFERROR(INDEX('TECNICOS'!$C$4:$C$19,MATCH($C76,'TECNICOS'!$B$4:$B$19,0)),"")</f>
        <v/>
      </c>
      <c r="F76" s="3">
        <f>COUNTIFS('TECNICOS'!$F$4:$F$19,"SI",'TECNICOS'!$C$4:$C$19,$E76,'TECNICOS'!$D$4:$D$19,$D76)</f>
        <v/>
      </c>
      <c r="G76" s="3">
        <f>IF(OR($C76="",$A76="",$B76="domingo"),"",IF(IFERROR(INDEX('TECNICOS'!$F$4:$F$19,MATCH($C76,'TECNICOS'!$B$4:$B$19,0)),"NO")&lt;&gt;"SI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3">
        <f>IF(COUNTIFS('PLAN_VACACIONES'!$A$4:$A$103,$C76,'PLAN_VACACIONES'!$B$4:$B$103,"&lt;="&amp;$L76,'PLAN_VACACIONES'!$C$4:$C$103,"&gt;="&amp;$L76)&gt;0,"sí","no")</f>
        <v/>
      </c>
      <c r="I76" s="6" t="n"/>
      <c r="J76" s="3">
        <f>IF($I76&lt;&gt;"",$I76,IF($G76="","",IF($H76="sí","VAC",IF(LEFT($G76,1)="B","B",$G76))))</f>
        <v/>
      </c>
      <c r="K76" s="3">
        <f>IFERROR(INDEX('TECNICOS'!$E$4:$E$19,MATCH($C76,'TECNICOS'!$B$4:$B$19,0)),"")</f>
        <v/>
      </c>
      <c r="L76" s="12">
        <f>IF($A76="","",DATE(VALUE(LEFT($A76,4)),1,4)-WEEKDAY(DATE(VALUE(LEFT($A76,4)),1,4),2)+1+(VALUE(MID($A76,7,2))-1)*7+MATCH($B76,lista_dias,0)-1)</f>
        <v/>
      </c>
      <c r="M76" s="3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3">
        <f>$A76&amp;"|"&amp;$B76&amp;"|"&amp;$C76</f>
        <v/>
      </c>
      <c r="O76" s="3">
        <f>IFERROR(INDEX('CAT_TURNOS'!$C$4:$C$7,MATCH($J76,'CAT_TURNOS'!$A$4:$A$7,0)),"")</f>
        <v/>
      </c>
      <c r="P76" s="3">
        <f>IFERROR(INDEX('CAT_TURNOS'!$D$4:$D$7,MATCH($J76,'CAT_TURNOS'!$A$4:$A$7,0)),"")</f>
        <v/>
      </c>
      <c r="Q76" s="3">
        <f>IF(AND(LEFT($G76,1)="T",$H76="no"),"sí","no")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IFERROR(INDEX('TECNICOS'!$D$4:$D$19,MATCH($C77,'TECNICOS'!$B$4:$B$19,0)),"")</f>
        <v/>
      </c>
      <c r="E77" s="3">
        <f>IFERROR(INDEX('TECNICOS'!$C$4:$C$19,MATCH($C77,'TECNICOS'!$B$4:$B$19,0)),"")</f>
        <v/>
      </c>
      <c r="F77" s="3">
        <f>COUNTIFS('TECNICOS'!$F$4:$F$19,"SI",'TECNICOS'!$C$4:$C$19,$E77,'TECNICOS'!$D$4:$D$19,$D77)</f>
        <v/>
      </c>
      <c r="G77" s="3">
        <f>IF(OR($C77="",$A77="",$B77="domingo"),"",IF(IFERROR(INDEX('TECNICOS'!$F$4:$F$19,MATCH($C77,'TECNICOS'!$B$4:$B$19,0)),"NO")&lt;&gt;"SI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3">
        <f>IF(COUNTIFS('PLAN_VACACIONES'!$A$4:$A$103,$C77,'PLAN_VACACIONES'!$B$4:$B$103,"&lt;="&amp;$L77,'PLAN_VACACIONES'!$C$4:$C$103,"&gt;="&amp;$L77)&gt;0,"sí","no")</f>
        <v/>
      </c>
      <c r="I77" s="6" t="n"/>
      <c r="J77" s="3">
        <f>IF($I77&lt;&gt;"",$I77,IF($G77="","",IF($H77="sí","VAC",IF(LEFT($G77,1)="B","B",$G77))))</f>
        <v/>
      </c>
      <c r="K77" s="3">
        <f>IFERROR(INDEX('TECNICOS'!$E$4:$E$19,MATCH($C77,'TECNICOS'!$B$4:$B$19,0)),"")</f>
        <v/>
      </c>
      <c r="L77" s="12">
        <f>IF($A77="","",DATE(VALUE(LEFT($A77,4)),1,4)-WEEKDAY(DATE(VALUE(LEFT($A77,4)),1,4),2)+1+(VALUE(MID($A77,7,2))-1)*7+MATCH($B77,lista_dias,0)-1)</f>
        <v/>
      </c>
      <c r="M77" s="3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3">
        <f>$A77&amp;"|"&amp;$B77&amp;"|"&amp;$C77</f>
        <v/>
      </c>
      <c r="O77" s="3">
        <f>IFERROR(INDEX('CAT_TURNOS'!$C$4:$C$7,MATCH($J77,'CAT_TURNOS'!$A$4:$A$7,0)),"")</f>
        <v/>
      </c>
      <c r="P77" s="3">
        <f>IFERROR(INDEX('CAT_TURNOS'!$D$4:$D$7,MATCH($J77,'CAT_TURNOS'!$A$4:$A$7,0)),"")</f>
        <v/>
      </c>
      <c r="Q77" s="3">
        <f>IF(AND(LEFT($G77,1)="T",$H77="no"),"sí","no")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IFERROR(INDEX('TECNICOS'!$D$4:$D$19,MATCH($C78,'TECNICOS'!$B$4:$B$19,0)),"")</f>
        <v/>
      </c>
      <c r="E78" s="3">
        <f>IFERROR(INDEX('TECNICOS'!$C$4:$C$19,MATCH($C78,'TECNICOS'!$B$4:$B$19,0)),"")</f>
        <v/>
      </c>
      <c r="F78" s="3">
        <f>COUNTIFS('TECNICOS'!$F$4:$F$19,"SI",'TECNICOS'!$C$4:$C$19,$E78,'TECNICOS'!$D$4:$D$19,$D78)</f>
        <v/>
      </c>
      <c r="G78" s="3">
        <f>IF(OR($C78="",$A78="",$B78="domingo"),"",IF(IFERROR(INDEX('TECNICOS'!$F$4:$F$19,MATCH($C78,'TECNICOS'!$B$4:$B$19,0)),"NO")&lt;&gt;"SI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3">
        <f>IF(COUNTIFS('PLAN_VACACIONES'!$A$4:$A$103,$C78,'PLAN_VACACIONES'!$B$4:$B$103,"&lt;="&amp;$L78,'PLAN_VACACIONES'!$C$4:$C$103,"&gt;="&amp;$L78)&gt;0,"sí","no")</f>
        <v/>
      </c>
      <c r="I78" s="6" t="n"/>
      <c r="J78" s="3">
        <f>IF($I78&lt;&gt;"",$I78,IF($G78="","",IF($H78="sí","VAC",IF(LEFT($G78,1)="B","B",$G78))))</f>
        <v/>
      </c>
      <c r="K78" s="3">
        <f>IFERROR(INDEX('TECNICOS'!$E$4:$E$19,MATCH($C78,'TECNICOS'!$B$4:$B$19,0)),"")</f>
        <v/>
      </c>
      <c r="L78" s="12">
        <f>IF($A78="","",DATE(VALUE(LEFT($A78,4)),1,4)-WEEKDAY(DATE(VALUE(LEFT($A78,4)),1,4),2)+1+(VALUE(MID($A78,7,2))-1)*7+MATCH($B78,lista_dias,0)-1)</f>
        <v/>
      </c>
      <c r="M78" s="3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3">
        <f>$A78&amp;"|"&amp;$B78&amp;"|"&amp;$C78</f>
        <v/>
      </c>
      <c r="O78" s="3">
        <f>IFERROR(INDEX('CAT_TURNOS'!$C$4:$C$7,MATCH($J78,'CAT_TURNOS'!$A$4:$A$7,0)),"")</f>
        <v/>
      </c>
      <c r="P78" s="3">
        <f>IFERROR(INDEX('CAT_TURNOS'!$D$4:$D$7,MATCH($J78,'CAT_TURNOS'!$A$4:$A$7,0)),"")</f>
        <v/>
      </c>
      <c r="Q78" s="3">
        <f>IF(AND(LEFT($G78,1)="T",$H78="no"),"sí","no")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IFERROR(INDEX('TECNICOS'!$D$4:$D$19,MATCH($C79,'TECNICOS'!$B$4:$B$19,0)),"")</f>
        <v/>
      </c>
      <c r="E79" s="3">
        <f>IFERROR(INDEX('TECNICOS'!$C$4:$C$19,MATCH($C79,'TECNICOS'!$B$4:$B$19,0)),"")</f>
        <v/>
      </c>
      <c r="F79" s="3">
        <f>COUNTIFS('TECNICOS'!$F$4:$F$19,"SI",'TECNICOS'!$C$4:$C$19,$E79,'TECNICOS'!$D$4:$D$19,$D79)</f>
        <v/>
      </c>
      <c r="G79" s="3">
        <f>IF(OR($C79="",$A79="",$B79="domingo"),"",IF(IFERROR(INDEX('TECNICOS'!$F$4:$F$19,MATCH($C79,'TECNICOS'!$B$4:$B$19,0)),"NO")&lt;&gt;"SI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3">
        <f>IF(COUNTIFS('PLAN_VACACIONES'!$A$4:$A$103,$C79,'PLAN_VACACIONES'!$B$4:$B$103,"&lt;="&amp;$L79,'PLAN_VACACIONES'!$C$4:$C$103,"&gt;="&amp;$L79)&gt;0,"sí","no")</f>
        <v/>
      </c>
      <c r="I79" s="6" t="n"/>
      <c r="J79" s="3">
        <f>IF($I79&lt;&gt;"",$I79,IF($G79="","",IF($H79="sí","VAC",IF(LEFT($G79,1)="B","B",$G79))))</f>
        <v/>
      </c>
      <c r="K79" s="3">
        <f>IFERROR(INDEX('TECNICOS'!$E$4:$E$19,MATCH($C79,'TECNICOS'!$B$4:$B$19,0)),"")</f>
        <v/>
      </c>
      <c r="L79" s="12">
        <f>IF($A79="","",DATE(VALUE(LEFT($A79,4)),1,4)-WEEKDAY(DATE(VALUE(LEFT($A79,4)),1,4),2)+1+(VALUE(MID($A79,7,2))-1)*7+MATCH($B79,lista_dias,0)-1)</f>
        <v/>
      </c>
      <c r="M79" s="3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3">
        <f>$A79&amp;"|"&amp;$B79&amp;"|"&amp;$C79</f>
        <v/>
      </c>
      <c r="O79" s="3">
        <f>IFERROR(INDEX('CAT_TURNOS'!$C$4:$C$7,MATCH($J79,'CAT_TURNOS'!$A$4:$A$7,0)),"")</f>
        <v/>
      </c>
      <c r="P79" s="3">
        <f>IFERROR(INDEX('CAT_TURNOS'!$D$4:$D$7,MATCH($J79,'CAT_TURNOS'!$A$4:$A$7,0)),"")</f>
        <v/>
      </c>
      <c r="Q79" s="3">
        <f>IF(AND(LEFT($G79,1)="T",$H79="no"),"sí","no")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IFERROR(INDEX('TECNICOS'!$D$4:$D$19,MATCH($C80,'TECNICOS'!$B$4:$B$19,0)),"")</f>
        <v/>
      </c>
      <c r="E80" s="3">
        <f>IFERROR(INDEX('TECNICOS'!$C$4:$C$19,MATCH($C80,'TECNICOS'!$B$4:$B$19,0)),"")</f>
        <v/>
      </c>
      <c r="F80" s="3">
        <f>COUNTIFS('TECNICOS'!$F$4:$F$19,"SI",'TECNICOS'!$C$4:$C$19,$E80,'TECNICOS'!$D$4:$D$19,$D80)</f>
        <v/>
      </c>
      <c r="G80" s="3">
        <f>IF(OR($C80="",$A80="",$B80="domingo"),"",IF(IFERROR(INDEX('TECNICOS'!$F$4:$F$19,MATCH($C80,'TECNICOS'!$B$4:$B$19,0)),"NO")&lt;&gt;"SI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3">
        <f>IF(COUNTIFS('PLAN_VACACIONES'!$A$4:$A$103,$C80,'PLAN_VACACIONES'!$B$4:$B$103,"&lt;="&amp;$L80,'PLAN_VACACIONES'!$C$4:$C$103,"&gt;="&amp;$L80)&gt;0,"sí","no")</f>
        <v/>
      </c>
      <c r="I80" s="6" t="n"/>
      <c r="J80" s="3">
        <f>IF($I80&lt;&gt;"",$I80,IF($G80="","",IF($H80="sí","VAC",IF(LEFT($G80,1)="B","B",$G80))))</f>
        <v/>
      </c>
      <c r="K80" s="3">
        <f>IFERROR(INDEX('TECNICOS'!$E$4:$E$19,MATCH($C80,'TECNICOS'!$B$4:$B$19,0)),"")</f>
        <v/>
      </c>
      <c r="L80" s="12">
        <f>IF($A80="","",DATE(VALUE(LEFT($A80,4)),1,4)-WEEKDAY(DATE(VALUE(LEFT($A80,4)),1,4),2)+1+(VALUE(MID($A80,7,2))-1)*7+MATCH($B80,lista_dias,0)-1)</f>
        <v/>
      </c>
      <c r="M80" s="3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3">
        <f>$A80&amp;"|"&amp;$B80&amp;"|"&amp;$C80</f>
        <v/>
      </c>
      <c r="O80" s="3">
        <f>IFERROR(INDEX('CAT_TURNOS'!$C$4:$C$7,MATCH($J80,'CAT_TURNOS'!$A$4:$A$7,0)),"")</f>
        <v/>
      </c>
      <c r="P80" s="3">
        <f>IFERROR(INDEX('CAT_TURNOS'!$D$4:$D$7,MATCH($J80,'CAT_TURNOS'!$A$4:$A$7,0)),"")</f>
        <v/>
      </c>
      <c r="Q80" s="3">
        <f>IF(AND(LEFT($G80,1)="T",$H80="no"),"sí","no")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IFERROR(INDEX('TECNICOS'!$D$4:$D$19,MATCH($C81,'TECNICOS'!$B$4:$B$19,0)),"")</f>
        <v/>
      </c>
      <c r="E81" s="3">
        <f>IFERROR(INDEX('TECNICOS'!$C$4:$C$19,MATCH($C81,'TECNICOS'!$B$4:$B$19,0)),"")</f>
        <v/>
      </c>
      <c r="F81" s="3">
        <f>COUNTIFS('TECNICOS'!$F$4:$F$19,"SI",'TECNICOS'!$C$4:$C$19,$E81,'TECNICOS'!$D$4:$D$19,$D81)</f>
        <v/>
      </c>
      <c r="G81" s="3">
        <f>IF(OR($C81="",$A81="",$B81="domingo"),"",IF(IFERROR(INDEX('TECNICOS'!$F$4:$F$19,MATCH($C81,'TECNICOS'!$B$4:$B$19,0)),"NO")&lt;&gt;"SI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3">
        <f>IF(COUNTIFS('PLAN_VACACIONES'!$A$4:$A$103,$C81,'PLAN_VACACIONES'!$B$4:$B$103,"&lt;="&amp;$L81,'PLAN_VACACIONES'!$C$4:$C$103,"&gt;="&amp;$L81)&gt;0,"sí","no")</f>
        <v/>
      </c>
      <c r="I81" s="6" t="n"/>
      <c r="J81" s="3">
        <f>IF($I81&lt;&gt;"",$I81,IF($G81="","",IF($H81="sí","VAC",IF(LEFT($G81,1)="B","B",$G81))))</f>
        <v/>
      </c>
      <c r="K81" s="3">
        <f>IFERROR(INDEX('TECNICOS'!$E$4:$E$19,MATCH($C81,'TECNICOS'!$B$4:$B$19,0)),"")</f>
        <v/>
      </c>
      <c r="L81" s="12">
        <f>IF($A81="","",DATE(VALUE(LEFT($A81,4)),1,4)-WEEKDAY(DATE(VALUE(LEFT($A81,4)),1,4),2)+1+(VALUE(MID($A81,7,2))-1)*7+MATCH($B81,lista_dias,0)-1)</f>
        <v/>
      </c>
      <c r="M81" s="3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3">
        <f>$A81&amp;"|"&amp;$B81&amp;"|"&amp;$C81</f>
        <v/>
      </c>
      <c r="O81" s="3">
        <f>IFERROR(INDEX('CAT_TURNOS'!$C$4:$C$7,MATCH($J81,'CAT_TURNOS'!$A$4:$A$7,0)),"")</f>
        <v/>
      </c>
      <c r="P81" s="3">
        <f>IFERROR(INDEX('CAT_TURNOS'!$D$4:$D$7,MATCH($J81,'CAT_TURNOS'!$A$4:$A$7,0)),"")</f>
        <v/>
      </c>
      <c r="Q81" s="3">
        <f>IF(AND(LEFT($G81,1)="T",$H81="no"),"sí","no")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IFERROR(INDEX('TECNICOS'!$D$4:$D$19,MATCH($C82,'TECNICOS'!$B$4:$B$19,0)),"")</f>
        <v/>
      </c>
      <c r="E82" s="3">
        <f>IFERROR(INDEX('TECNICOS'!$C$4:$C$19,MATCH($C82,'TECNICOS'!$B$4:$B$19,0)),"")</f>
        <v/>
      </c>
      <c r="F82" s="3">
        <f>COUNTIFS('TECNICOS'!$F$4:$F$19,"SI",'TECNICOS'!$C$4:$C$19,$E82,'TECNICOS'!$D$4:$D$19,$D82)</f>
        <v/>
      </c>
      <c r="G82" s="3">
        <f>IF(OR($C82="",$A82="",$B82="domingo"),"",IF(IFERROR(INDEX('TECNICOS'!$F$4:$F$19,MATCH($C82,'TECNICOS'!$B$4:$B$19,0)),"NO")&lt;&gt;"SI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3">
        <f>IF(COUNTIFS('PLAN_VACACIONES'!$A$4:$A$103,$C82,'PLAN_VACACIONES'!$B$4:$B$103,"&lt;="&amp;$L82,'PLAN_VACACIONES'!$C$4:$C$103,"&gt;="&amp;$L82)&gt;0,"sí","no")</f>
        <v/>
      </c>
      <c r="I82" s="6" t="n"/>
      <c r="J82" s="3">
        <f>IF($I82&lt;&gt;"",$I82,IF($G82="","",IF($H82="sí","VAC",IF(LEFT($G82,1)="B","B",$G82))))</f>
        <v/>
      </c>
      <c r="K82" s="3">
        <f>IFERROR(INDEX('TECNICOS'!$E$4:$E$19,MATCH($C82,'TECNICOS'!$B$4:$B$19,0)),"")</f>
        <v/>
      </c>
      <c r="L82" s="12">
        <f>IF($A82="","",DATE(VALUE(LEFT($A82,4)),1,4)-WEEKDAY(DATE(VALUE(LEFT($A82,4)),1,4),2)+1+(VALUE(MID($A82,7,2))-1)*7+MATCH($B82,lista_dias,0)-1)</f>
        <v/>
      </c>
      <c r="M82" s="3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3">
        <f>$A82&amp;"|"&amp;$B82&amp;"|"&amp;$C82</f>
        <v/>
      </c>
      <c r="O82" s="3">
        <f>IFERROR(INDEX('CAT_TURNOS'!$C$4:$C$7,MATCH($J82,'CAT_TURNOS'!$A$4:$A$7,0)),"")</f>
        <v/>
      </c>
      <c r="P82" s="3">
        <f>IFERROR(INDEX('CAT_TURNOS'!$D$4:$D$7,MATCH($J82,'CAT_TURNOS'!$A$4:$A$7,0)),"")</f>
        <v/>
      </c>
      <c r="Q82" s="3">
        <f>IF(AND(LEFT($G82,1)="T",$H82="no"),"sí","no")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IFERROR(INDEX('TECNICOS'!$D$4:$D$19,MATCH($C83,'TECNICOS'!$B$4:$B$19,0)),"")</f>
        <v/>
      </c>
      <c r="E83" s="3">
        <f>IFERROR(INDEX('TECNICOS'!$C$4:$C$19,MATCH($C83,'TECNICOS'!$B$4:$B$19,0)),"")</f>
        <v/>
      </c>
      <c r="F83" s="3">
        <f>COUNTIFS('TECNICOS'!$F$4:$F$19,"SI",'TECNICOS'!$C$4:$C$19,$E83,'TECNICOS'!$D$4:$D$19,$D83)</f>
        <v/>
      </c>
      <c r="G83" s="3">
        <f>IF(OR($C83="",$A83="",$B83="domingo"),"",IF(IFERROR(INDEX('TECNICOS'!$F$4:$F$19,MATCH($C83,'TECNICOS'!$B$4:$B$19,0)),"NO")&lt;&gt;"SI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3">
        <f>IF(COUNTIFS('PLAN_VACACIONES'!$A$4:$A$103,$C83,'PLAN_VACACIONES'!$B$4:$B$103,"&lt;="&amp;$L83,'PLAN_VACACIONES'!$C$4:$C$103,"&gt;="&amp;$L83)&gt;0,"sí","no")</f>
        <v/>
      </c>
      <c r="I83" s="6" t="n"/>
      <c r="J83" s="3">
        <f>IF($I83&lt;&gt;"",$I83,IF($G83="","",IF($H83="sí","VAC",IF(LEFT($G83,1)="B","B",$G83))))</f>
        <v/>
      </c>
      <c r="K83" s="3">
        <f>IFERROR(INDEX('TECNICOS'!$E$4:$E$19,MATCH($C83,'TECNICOS'!$B$4:$B$19,0)),"")</f>
        <v/>
      </c>
      <c r="L83" s="12">
        <f>IF($A83="","",DATE(VALUE(LEFT($A83,4)),1,4)-WEEKDAY(DATE(VALUE(LEFT($A83,4)),1,4),2)+1+(VALUE(MID($A83,7,2))-1)*7+MATCH($B83,lista_dias,0)-1)</f>
        <v/>
      </c>
      <c r="M83" s="3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3">
        <f>$A83&amp;"|"&amp;$B83&amp;"|"&amp;$C83</f>
        <v/>
      </c>
      <c r="O83" s="3">
        <f>IFERROR(INDEX('CAT_TURNOS'!$C$4:$C$7,MATCH($J83,'CAT_TURNOS'!$A$4:$A$7,0)),"")</f>
        <v/>
      </c>
      <c r="P83" s="3">
        <f>IFERROR(INDEX('CAT_TURNOS'!$D$4:$D$7,MATCH($J83,'CAT_TURNOS'!$A$4:$A$7,0)),"")</f>
        <v/>
      </c>
      <c r="Q83" s="3">
        <f>IF(AND(LEFT($G83,1)="T",$H83="no"),"sí","no")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IFERROR(INDEX('TECNICOS'!$D$4:$D$19,MATCH($C84,'TECNICOS'!$B$4:$B$19,0)),"")</f>
        <v/>
      </c>
      <c r="E84" s="3">
        <f>IFERROR(INDEX('TECNICOS'!$C$4:$C$19,MATCH($C84,'TECNICOS'!$B$4:$B$19,0)),"")</f>
        <v/>
      </c>
      <c r="F84" s="3">
        <f>COUNTIFS('TECNICOS'!$F$4:$F$19,"SI",'TECNICOS'!$C$4:$C$19,$E84,'TECNICOS'!$D$4:$D$19,$D84)</f>
        <v/>
      </c>
      <c r="G84" s="3">
        <f>IF(OR($C84="",$A84="",$B84="domingo"),"",IF(IFERROR(INDEX('TECNICOS'!$F$4:$F$19,MATCH($C84,'TECNICOS'!$B$4:$B$19,0)),"NO")&lt;&gt;"SI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3">
        <f>IF(COUNTIFS('PLAN_VACACIONES'!$A$4:$A$103,$C84,'PLAN_VACACIONES'!$B$4:$B$103,"&lt;="&amp;$L84,'PLAN_VACACIONES'!$C$4:$C$103,"&gt;="&amp;$L84)&gt;0,"sí","no")</f>
        <v/>
      </c>
      <c r="I84" s="6" t="n"/>
      <c r="J84" s="3">
        <f>IF($I84&lt;&gt;"",$I84,IF($G84="","",IF($H84="sí","VAC",IF(LEFT($G84,1)="B","B",$G84))))</f>
        <v/>
      </c>
      <c r="K84" s="3">
        <f>IFERROR(INDEX('TECNICOS'!$E$4:$E$19,MATCH($C84,'TECNICOS'!$B$4:$B$19,0)),"")</f>
        <v/>
      </c>
      <c r="L84" s="12">
        <f>IF($A84="","",DATE(VALUE(LEFT($A84,4)),1,4)-WEEKDAY(DATE(VALUE(LEFT($A84,4)),1,4),2)+1+(VALUE(MID($A84,7,2))-1)*7+MATCH($B84,lista_dias,0)-1)</f>
        <v/>
      </c>
      <c r="M84" s="3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3">
        <f>$A84&amp;"|"&amp;$B84&amp;"|"&amp;$C84</f>
        <v/>
      </c>
      <c r="O84" s="3">
        <f>IFERROR(INDEX('CAT_TURNOS'!$C$4:$C$7,MATCH($J84,'CAT_TURNOS'!$A$4:$A$7,0)),"")</f>
        <v/>
      </c>
      <c r="P84" s="3">
        <f>IFERROR(INDEX('CAT_TURNOS'!$D$4:$D$7,MATCH($J84,'CAT_TURNOS'!$A$4:$A$7,0)),"")</f>
        <v/>
      </c>
      <c r="Q84" s="3">
        <f>IF(AND(LEFT($G84,1)="T",$H84="no"),"sí","no")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IFERROR(INDEX('TECNICOS'!$D$4:$D$19,MATCH($C85,'TECNICOS'!$B$4:$B$19,0)),"")</f>
        <v/>
      </c>
      <c r="E85" s="3">
        <f>IFERROR(INDEX('TECNICOS'!$C$4:$C$19,MATCH($C85,'TECNICOS'!$B$4:$B$19,0)),"")</f>
        <v/>
      </c>
      <c r="F85" s="3">
        <f>COUNTIFS('TECNICOS'!$F$4:$F$19,"SI",'TECNICOS'!$C$4:$C$19,$E85,'TECNICOS'!$D$4:$D$19,$D85)</f>
        <v/>
      </c>
      <c r="G85" s="3">
        <f>IF(OR($C85="",$A85="",$B85="domingo"),"",IF(IFERROR(INDEX('TECNICOS'!$F$4:$F$19,MATCH($C85,'TECNICOS'!$B$4:$B$19,0)),"NO")&lt;&gt;"SI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3">
        <f>IF(COUNTIFS('PLAN_VACACIONES'!$A$4:$A$103,$C85,'PLAN_VACACIONES'!$B$4:$B$103,"&lt;="&amp;$L85,'PLAN_VACACIONES'!$C$4:$C$103,"&gt;="&amp;$L85)&gt;0,"sí","no")</f>
        <v/>
      </c>
      <c r="I85" s="6" t="n"/>
      <c r="J85" s="3">
        <f>IF($I85&lt;&gt;"",$I85,IF($G85="","",IF($H85="sí","VAC",IF(LEFT($G85,1)="B","B",$G85))))</f>
        <v/>
      </c>
      <c r="K85" s="3">
        <f>IFERROR(INDEX('TECNICOS'!$E$4:$E$19,MATCH($C85,'TECNICOS'!$B$4:$B$19,0)),"")</f>
        <v/>
      </c>
      <c r="L85" s="12">
        <f>IF($A85="","",DATE(VALUE(LEFT($A85,4)),1,4)-WEEKDAY(DATE(VALUE(LEFT($A85,4)),1,4),2)+1+(VALUE(MID($A85,7,2))-1)*7+MATCH($B85,lista_dias,0)-1)</f>
        <v/>
      </c>
      <c r="M85" s="3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3">
        <f>$A85&amp;"|"&amp;$B85&amp;"|"&amp;$C85</f>
        <v/>
      </c>
      <c r="O85" s="3">
        <f>IFERROR(INDEX('CAT_TURNOS'!$C$4:$C$7,MATCH($J85,'CAT_TURNOS'!$A$4:$A$7,0)),"")</f>
        <v/>
      </c>
      <c r="P85" s="3">
        <f>IFERROR(INDEX('CAT_TURNOS'!$D$4:$D$7,MATCH($J85,'CAT_TURNOS'!$A$4:$A$7,0)),"")</f>
        <v/>
      </c>
      <c r="Q85" s="3">
        <f>IF(AND(LEFT($G85,1)="T",$H85="no"),"sí","no")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IFERROR(INDEX('TECNICOS'!$D$4:$D$19,MATCH($C86,'TECNICOS'!$B$4:$B$19,0)),"")</f>
        <v/>
      </c>
      <c r="E86" s="3">
        <f>IFERROR(INDEX('TECNICOS'!$C$4:$C$19,MATCH($C86,'TECNICOS'!$B$4:$B$19,0)),"")</f>
        <v/>
      </c>
      <c r="F86" s="3">
        <f>COUNTIFS('TECNICOS'!$F$4:$F$19,"SI",'TECNICOS'!$C$4:$C$19,$E86,'TECNICOS'!$D$4:$D$19,$D86)</f>
        <v/>
      </c>
      <c r="G86" s="3">
        <f>IF(OR($C86="",$A86="",$B86="domingo"),"",IF(IFERROR(INDEX('TECNICOS'!$F$4:$F$19,MATCH($C86,'TECNICOS'!$B$4:$B$19,0)),"NO")&lt;&gt;"SI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3">
        <f>IF(COUNTIFS('PLAN_VACACIONES'!$A$4:$A$103,$C86,'PLAN_VACACIONES'!$B$4:$B$103,"&lt;="&amp;$L86,'PLAN_VACACIONES'!$C$4:$C$103,"&gt;="&amp;$L86)&gt;0,"sí","no")</f>
        <v/>
      </c>
      <c r="I86" s="6" t="n"/>
      <c r="J86" s="3">
        <f>IF($I86&lt;&gt;"",$I86,IF($G86="","",IF($H86="sí","VAC",IF(LEFT($G86,1)="B","B",$G86))))</f>
        <v/>
      </c>
      <c r="K86" s="3">
        <f>IFERROR(INDEX('TECNICOS'!$E$4:$E$19,MATCH($C86,'TECNICOS'!$B$4:$B$19,0)),"")</f>
        <v/>
      </c>
      <c r="L86" s="12">
        <f>IF($A86="","",DATE(VALUE(LEFT($A86,4)),1,4)-WEEKDAY(DATE(VALUE(LEFT($A86,4)),1,4),2)+1+(VALUE(MID($A86,7,2))-1)*7+MATCH($B86,lista_dias,0)-1)</f>
        <v/>
      </c>
      <c r="M86" s="3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3">
        <f>$A86&amp;"|"&amp;$B86&amp;"|"&amp;$C86</f>
        <v/>
      </c>
      <c r="O86" s="3">
        <f>IFERROR(INDEX('CAT_TURNOS'!$C$4:$C$7,MATCH($J86,'CAT_TURNOS'!$A$4:$A$7,0)),"")</f>
        <v/>
      </c>
      <c r="P86" s="3">
        <f>IFERROR(INDEX('CAT_TURNOS'!$D$4:$D$7,MATCH($J86,'CAT_TURNOS'!$A$4:$A$7,0)),"")</f>
        <v/>
      </c>
      <c r="Q86" s="3">
        <f>IF(AND(LEFT($G86,1)="T",$H86="no"),"sí","no")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IFERROR(INDEX('TECNICOS'!$D$4:$D$19,MATCH($C87,'TECNICOS'!$B$4:$B$19,0)),"")</f>
        <v/>
      </c>
      <c r="E87" s="3">
        <f>IFERROR(INDEX('TECNICOS'!$C$4:$C$19,MATCH($C87,'TECNICOS'!$B$4:$B$19,0)),"")</f>
        <v/>
      </c>
      <c r="F87" s="3">
        <f>COUNTIFS('TECNICOS'!$F$4:$F$19,"SI",'TECNICOS'!$C$4:$C$19,$E87,'TECNICOS'!$D$4:$D$19,$D87)</f>
        <v/>
      </c>
      <c r="G87" s="3">
        <f>IF(OR($C87="",$A87="",$B87="domingo"),"",IF(IFERROR(INDEX('TECNICOS'!$F$4:$F$19,MATCH($C87,'TECNICOS'!$B$4:$B$19,0)),"NO")&lt;&gt;"SI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3">
        <f>IF(COUNTIFS('PLAN_VACACIONES'!$A$4:$A$103,$C87,'PLAN_VACACIONES'!$B$4:$B$103,"&lt;="&amp;$L87,'PLAN_VACACIONES'!$C$4:$C$103,"&gt;="&amp;$L87)&gt;0,"sí","no")</f>
        <v/>
      </c>
      <c r="I87" s="6" t="n"/>
      <c r="J87" s="3">
        <f>IF($I87&lt;&gt;"",$I87,IF($G87="","",IF($H87="sí","VAC",IF(LEFT($G87,1)="B","B",$G87))))</f>
        <v/>
      </c>
      <c r="K87" s="3">
        <f>IFERROR(INDEX('TECNICOS'!$E$4:$E$19,MATCH($C87,'TECNICOS'!$B$4:$B$19,0)),"")</f>
        <v/>
      </c>
      <c r="L87" s="12">
        <f>IF($A87="","",DATE(VALUE(LEFT($A87,4)),1,4)-WEEKDAY(DATE(VALUE(LEFT($A87,4)),1,4),2)+1+(VALUE(MID($A87,7,2))-1)*7+MATCH($B87,lista_dias,0)-1)</f>
        <v/>
      </c>
      <c r="M87" s="3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3">
        <f>$A87&amp;"|"&amp;$B87&amp;"|"&amp;$C87</f>
        <v/>
      </c>
      <c r="O87" s="3">
        <f>IFERROR(INDEX('CAT_TURNOS'!$C$4:$C$7,MATCH($J87,'CAT_TURNOS'!$A$4:$A$7,0)),"")</f>
        <v/>
      </c>
      <c r="P87" s="3">
        <f>IFERROR(INDEX('CAT_TURNOS'!$D$4:$D$7,MATCH($J87,'CAT_TURNOS'!$A$4:$A$7,0)),"")</f>
        <v/>
      </c>
      <c r="Q87" s="3">
        <f>IF(AND(LEFT($G87,1)="T",$H87="no"),"sí","no")</f>
        <v/>
      </c>
    </row>
    <row r="88">
      <c r="A88" s="3" t="inlineStr">
        <is>
          <t>2026-S29</t>
        </is>
      </c>
      <c r="B88" s="3" t="inlineStr">
        <is>
          <t>lunes</t>
        </is>
      </c>
      <c r="C88" s="3" t="inlineStr">
        <is>
          <t>Técnico 13</t>
        </is>
      </c>
      <c r="D88" s="3">
        <f>IFERROR(INDEX('TECNICOS'!$D$4:$D$19,MATCH($C88,'TECNICOS'!$B$4:$B$19,0)),"")</f>
        <v/>
      </c>
      <c r="E88" s="3">
        <f>IFERROR(INDEX('TECNICOS'!$C$4:$C$19,MATCH($C88,'TECNICOS'!$B$4:$B$19,0)),"")</f>
        <v/>
      </c>
      <c r="F88" s="3">
        <f>COUNTIFS('TECNICOS'!$F$4:$F$19,"SI",'TECNICOS'!$C$4:$C$19,$E88,'TECNICOS'!$D$4:$D$19,$D88)</f>
        <v/>
      </c>
      <c r="G88" s="3">
        <f>IF(OR($C88="",$A88="",$B88="domingo"),"",IF(IFERROR(INDEX('TECNICOS'!$F$4:$F$19,MATCH($C88,'TECNICOS'!$B$4:$B$19,0)),"NO")&lt;&gt;"SI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3">
        <f>IF(COUNTIFS('PLAN_VACACIONES'!$A$4:$A$103,$C88,'PLAN_VACACIONES'!$B$4:$B$103,"&lt;="&amp;$L88,'PLAN_VACACIONES'!$C$4:$C$103,"&gt;="&amp;$L88)&gt;0,"sí","no")</f>
        <v/>
      </c>
      <c r="I88" s="6" t="n"/>
      <c r="J88" s="3">
        <f>IF($I88&lt;&gt;"",$I88,IF($G88="","",IF($H88="sí","VAC",IF(LEFT($G88,1)="B","B",$G88))))</f>
        <v/>
      </c>
      <c r="K88" s="3">
        <f>IFERROR(INDEX('TECNICOS'!$E$4:$E$19,MATCH($C88,'TECNICOS'!$B$4:$B$19,0)),"")</f>
        <v/>
      </c>
      <c r="L88" s="12">
        <f>IF($A88="","",DATE(VALUE(LEFT($A88,4)),1,4)-WEEKDAY(DATE(VALUE(LEFT($A88,4)),1,4),2)+1+(VALUE(MID($A88,7,2))-1)*7+MATCH($B88,lista_dias,0)-1)</f>
        <v/>
      </c>
      <c r="M88" s="3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3">
        <f>$A88&amp;"|"&amp;$B88&amp;"|"&amp;$C88</f>
        <v/>
      </c>
      <c r="O88" s="3">
        <f>IFERROR(INDEX('CAT_TURNOS'!$C$4:$C$7,MATCH($J88,'CAT_TURNOS'!$A$4:$A$7,0)),"")</f>
        <v/>
      </c>
      <c r="P88" s="3">
        <f>IFERROR(INDEX('CAT_TURNOS'!$D$4:$D$7,MATCH($J88,'CAT_TURNOS'!$A$4:$A$7,0)),"")</f>
        <v/>
      </c>
      <c r="Q88" s="3">
        <f>IF(AND(LEFT($G88,1)="T",$H88="no"),"sí","no")</f>
        <v/>
      </c>
    </row>
    <row r="89">
      <c r="A89" s="3" t="inlineStr">
        <is>
          <t>2026-S29</t>
        </is>
      </c>
      <c r="B89" s="3" t="inlineStr">
        <is>
          <t>martes</t>
        </is>
      </c>
      <c r="C89" s="3" t="inlineStr">
        <is>
          <t>Técnico 13</t>
        </is>
      </c>
      <c r="D89" s="3">
        <f>IFERROR(INDEX('TECNICOS'!$D$4:$D$19,MATCH($C89,'TECNICOS'!$B$4:$B$19,0)),"")</f>
        <v/>
      </c>
      <c r="E89" s="3">
        <f>IFERROR(INDEX('TECNICOS'!$C$4:$C$19,MATCH($C89,'TECNICOS'!$B$4:$B$19,0)),"")</f>
        <v/>
      </c>
      <c r="F89" s="3">
        <f>COUNTIFS('TECNICOS'!$F$4:$F$19,"SI",'TECNICOS'!$C$4:$C$19,$E89,'TECNICOS'!$D$4:$D$19,$D89)</f>
        <v/>
      </c>
      <c r="G89" s="3">
        <f>IF(OR($C89="",$A89="",$B89="domingo"),"",IF(IFERROR(INDEX('TECNICOS'!$F$4:$F$19,MATCH($C89,'TECNICOS'!$B$4:$B$19,0)),"NO")&lt;&gt;"SI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3">
        <f>IF(COUNTIFS('PLAN_VACACIONES'!$A$4:$A$103,$C89,'PLAN_VACACIONES'!$B$4:$B$103,"&lt;="&amp;$L89,'PLAN_VACACIONES'!$C$4:$C$103,"&gt;="&amp;$L89)&gt;0,"sí","no")</f>
        <v/>
      </c>
      <c r="I89" s="6" t="n"/>
      <c r="J89" s="3">
        <f>IF($I89&lt;&gt;"",$I89,IF($G89="","",IF($H89="sí","VAC",IF(LEFT($G89,1)="B","B",$G89))))</f>
        <v/>
      </c>
      <c r="K89" s="3">
        <f>IFERROR(INDEX('TECNICOS'!$E$4:$E$19,MATCH($C89,'TECNICOS'!$B$4:$B$19,0)),"")</f>
        <v/>
      </c>
      <c r="L89" s="12">
        <f>IF($A89="","",DATE(VALUE(LEFT($A89,4)),1,4)-WEEKDAY(DATE(VALUE(LEFT($A89,4)),1,4),2)+1+(VALUE(MID($A89,7,2))-1)*7+MATCH($B89,lista_dias,0)-1)</f>
        <v/>
      </c>
      <c r="M89" s="3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3">
        <f>$A89&amp;"|"&amp;$B89&amp;"|"&amp;$C89</f>
        <v/>
      </c>
      <c r="O89" s="3">
        <f>IFERROR(INDEX('CAT_TURNOS'!$C$4:$C$7,MATCH($J89,'CAT_TURNOS'!$A$4:$A$7,0)),"")</f>
        <v/>
      </c>
      <c r="P89" s="3">
        <f>IFERROR(INDEX('CAT_TURNOS'!$D$4:$D$7,MATCH($J89,'CAT_TURNOS'!$A$4:$A$7,0)),"")</f>
        <v/>
      </c>
      <c r="Q89" s="3">
        <f>IF(AND(LEFT($G89,1)="T",$H89="no"),"sí","no")</f>
        <v/>
      </c>
    </row>
    <row r="90">
      <c r="A90" s="3" t="inlineStr">
        <is>
          <t>2026-S29</t>
        </is>
      </c>
      <c r="B90" s="3" t="inlineStr">
        <is>
          <t>miércoles</t>
        </is>
      </c>
      <c r="C90" s="3" t="inlineStr">
        <is>
          <t>Técnico 13</t>
        </is>
      </c>
      <c r="D90" s="3">
        <f>IFERROR(INDEX('TECNICOS'!$D$4:$D$19,MATCH($C90,'TECNICOS'!$B$4:$B$19,0)),"")</f>
        <v/>
      </c>
      <c r="E90" s="3">
        <f>IFERROR(INDEX('TECNICOS'!$C$4:$C$19,MATCH($C90,'TECNICOS'!$B$4:$B$19,0)),"")</f>
        <v/>
      </c>
      <c r="F90" s="3">
        <f>COUNTIFS('TECNICOS'!$F$4:$F$19,"SI",'TECNICOS'!$C$4:$C$19,$E90,'TECNICOS'!$D$4:$D$19,$D90)</f>
        <v/>
      </c>
      <c r="G90" s="3">
        <f>IF(OR($C90="",$A90="",$B90="domingo"),"",IF(IFERROR(INDEX('TECNICOS'!$F$4:$F$19,MATCH($C90,'TECNICOS'!$B$4:$B$19,0)),"NO")&lt;&gt;"SI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3">
        <f>IF(COUNTIFS('PLAN_VACACIONES'!$A$4:$A$103,$C90,'PLAN_VACACIONES'!$B$4:$B$103,"&lt;="&amp;$L90,'PLAN_VACACIONES'!$C$4:$C$103,"&gt;="&amp;$L90)&gt;0,"sí","no")</f>
        <v/>
      </c>
      <c r="I90" s="6" t="n"/>
      <c r="J90" s="3">
        <f>IF($I90&lt;&gt;"",$I90,IF($G90="","",IF($H90="sí","VAC",IF(LEFT($G90,1)="B","B",$G90))))</f>
        <v/>
      </c>
      <c r="K90" s="3">
        <f>IFERROR(INDEX('TECNICOS'!$E$4:$E$19,MATCH($C90,'TECNICOS'!$B$4:$B$19,0)),"")</f>
        <v/>
      </c>
      <c r="L90" s="12">
        <f>IF($A90="","",DATE(VALUE(LEFT($A90,4)),1,4)-WEEKDAY(DATE(VALUE(LEFT($A90,4)),1,4),2)+1+(VALUE(MID($A90,7,2))-1)*7+MATCH($B90,lista_dias,0)-1)</f>
        <v/>
      </c>
      <c r="M90" s="3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3">
        <f>$A90&amp;"|"&amp;$B90&amp;"|"&amp;$C90</f>
        <v/>
      </c>
      <c r="O90" s="3">
        <f>IFERROR(INDEX('CAT_TURNOS'!$C$4:$C$7,MATCH($J90,'CAT_TURNOS'!$A$4:$A$7,0)),"")</f>
        <v/>
      </c>
      <c r="P90" s="3">
        <f>IFERROR(INDEX('CAT_TURNOS'!$D$4:$D$7,MATCH($J90,'CAT_TURNOS'!$A$4:$A$7,0)),"")</f>
        <v/>
      </c>
      <c r="Q90" s="3">
        <f>IF(AND(LEFT($G90,1)="T",$H90="no"),"sí","no")</f>
        <v/>
      </c>
    </row>
    <row r="91">
      <c r="A91" s="3" t="inlineStr">
        <is>
          <t>2026-S29</t>
        </is>
      </c>
      <c r="B91" s="3" t="inlineStr">
        <is>
          <t>jueves</t>
        </is>
      </c>
      <c r="C91" s="3" t="inlineStr">
        <is>
          <t>Técnico 13</t>
        </is>
      </c>
      <c r="D91" s="3">
        <f>IFERROR(INDEX('TECNICOS'!$D$4:$D$19,MATCH($C91,'TECNICOS'!$B$4:$B$19,0)),"")</f>
        <v/>
      </c>
      <c r="E91" s="3">
        <f>IFERROR(INDEX('TECNICOS'!$C$4:$C$19,MATCH($C91,'TECNICOS'!$B$4:$B$19,0)),"")</f>
        <v/>
      </c>
      <c r="F91" s="3">
        <f>COUNTIFS('TECNICOS'!$F$4:$F$19,"SI",'TECNICOS'!$C$4:$C$19,$E91,'TECNICOS'!$D$4:$D$19,$D91)</f>
        <v/>
      </c>
      <c r="G91" s="3">
        <f>IF(OR($C91="",$A91="",$B91="domingo"),"",IF(IFERROR(INDEX('TECNICOS'!$F$4:$F$19,MATCH($C91,'TECNICOS'!$B$4:$B$19,0)),"NO")&lt;&gt;"SI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3">
        <f>IF(COUNTIFS('PLAN_VACACIONES'!$A$4:$A$103,$C91,'PLAN_VACACIONES'!$B$4:$B$103,"&lt;="&amp;$L91,'PLAN_VACACIONES'!$C$4:$C$103,"&gt;="&amp;$L91)&gt;0,"sí","no")</f>
        <v/>
      </c>
      <c r="I91" s="6" t="n"/>
      <c r="J91" s="3">
        <f>IF($I91&lt;&gt;"",$I91,IF($G91="","",IF($H91="sí","VAC",IF(LEFT($G91,1)="B","B",$G91))))</f>
        <v/>
      </c>
      <c r="K91" s="3">
        <f>IFERROR(INDEX('TECNICOS'!$E$4:$E$19,MATCH($C91,'TECNICOS'!$B$4:$B$19,0)),"")</f>
        <v/>
      </c>
      <c r="L91" s="12">
        <f>IF($A91="","",DATE(VALUE(LEFT($A91,4)),1,4)-WEEKDAY(DATE(VALUE(LEFT($A91,4)),1,4),2)+1+(VALUE(MID($A91,7,2))-1)*7+MATCH($B91,lista_dias,0)-1)</f>
        <v/>
      </c>
      <c r="M91" s="3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3">
        <f>$A91&amp;"|"&amp;$B91&amp;"|"&amp;$C91</f>
        <v/>
      </c>
      <c r="O91" s="3">
        <f>IFERROR(INDEX('CAT_TURNOS'!$C$4:$C$7,MATCH($J91,'CAT_TURNOS'!$A$4:$A$7,0)),"")</f>
        <v/>
      </c>
      <c r="P91" s="3">
        <f>IFERROR(INDEX('CAT_TURNOS'!$D$4:$D$7,MATCH($J91,'CAT_TURNOS'!$A$4:$A$7,0)),"")</f>
        <v/>
      </c>
      <c r="Q91" s="3">
        <f>IF(AND(LEFT($G91,1)="T",$H91="no"),"sí","no")</f>
        <v/>
      </c>
    </row>
    <row r="92">
      <c r="A92" s="3" t="inlineStr">
        <is>
          <t>2026-S29</t>
        </is>
      </c>
      <c r="B92" s="3" t="inlineStr">
        <is>
          <t>viernes</t>
        </is>
      </c>
      <c r="C92" s="3" t="inlineStr">
        <is>
          <t>Técnico 13</t>
        </is>
      </c>
      <c r="D92" s="3">
        <f>IFERROR(INDEX('TECNICOS'!$D$4:$D$19,MATCH($C92,'TECNICOS'!$B$4:$B$19,0)),"")</f>
        <v/>
      </c>
      <c r="E92" s="3">
        <f>IFERROR(INDEX('TECNICOS'!$C$4:$C$19,MATCH($C92,'TECNICOS'!$B$4:$B$19,0)),"")</f>
        <v/>
      </c>
      <c r="F92" s="3">
        <f>COUNTIFS('TECNICOS'!$F$4:$F$19,"SI",'TECNICOS'!$C$4:$C$19,$E92,'TECNICOS'!$D$4:$D$19,$D92)</f>
        <v/>
      </c>
      <c r="G92" s="3">
        <f>IF(OR($C92="",$A92="",$B92="domingo"),"",IF(IFERROR(INDEX('TECNICOS'!$F$4:$F$19,MATCH($C92,'TECNICOS'!$B$4:$B$19,0)),"NO")&lt;&gt;"SI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3">
        <f>IF(COUNTIFS('PLAN_VACACIONES'!$A$4:$A$103,$C92,'PLAN_VACACIONES'!$B$4:$B$103,"&lt;="&amp;$L92,'PLAN_VACACIONES'!$C$4:$C$103,"&gt;="&amp;$L92)&gt;0,"sí","no")</f>
        <v/>
      </c>
      <c r="I92" s="6" t="n"/>
      <c r="J92" s="3">
        <f>IF($I92&lt;&gt;"",$I92,IF($G92="","",IF($H92="sí","VAC",IF(LEFT($G92,1)="B","B",$G92))))</f>
        <v/>
      </c>
      <c r="K92" s="3">
        <f>IFERROR(INDEX('TECNICOS'!$E$4:$E$19,MATCH($C92,'TECNICOS'!$B$4:$B$19,0)),"")</f>
        <v/>
      </c>
      <c r="L92" s="12">
        <f>IF($A92="","",DATE(VALUE(LEFT($A92,4)),1,4)-WEEKDAY(DATE(VALUE(LEFT($A92,4)),1,4),2)+1+(VALUE(MID($A92,7,2))-1)*7+MATCH($B92,lista_dias,0)-1)</f>
        <v/>
      </c>
      <c r="M92" s="3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3">
        <f>$A92&amp;"|"&amp;$B92&amp;"|"&amp;$C92</f>
        <v/>
      </c>
      <c r="O92" s="3">
        <f>IFERROR(INDEX('CAT_TURNOS'!$C$4:$C$7,MATCH($J92,'CAT_TURNOS'!$A$4:$A$7,0)),"")</f>
        <v/>
      </c>
      <c r="P92" s="3">
        <f>IFERROR(INDEX('CAT_TURNOS'!$D$4:$D$7,MATCH($J92,'CAT_TURNOS'!$A$4:$A$7,0)),"")</f>
        <v/>
      </c>
      <c r="Q92" s="3">
        <f>IF(AND(LEFT($G92,1)="T",$H92="no"),"sí","no")</f>
        <v/>
      </c>
    </row>
    <row r="93">
      <c r="A93" s="3" t="inlineStr">
        <is>
          <t>2026-S29</t>
        </is>
      </c>
      <c r="B93" s="3" t="inlineStr">
        <is>
          <t>sábado</t>
        </is>
      </c>
      <c r="C93" s="3" t="inlineStr">
        <is>
          <t>Técnico 13</t>
        </is>
      </c>
      <c r="D93" s="3">
        <f>IFERROR(INDEX('TECNICOS'!$D$4:$D$19,MATCH($C93,'TECNICOS'!$B$4:$B$19,0)),"")</f>
        <v/>
      </c>
      <c r="E93" s="3">
        <f>IFERROR(INDEX('TECNICOS'!$C$4:$C$19,MATCH($C93,'TECNICOS'!$B$4:$B$19,0)),"")</f>
        <v/>
      </c>
      <c r="F93" s="3">
        <f>COUNTIFS('TECNICOS'!$F$4:$F$19,"SI",'TECNICOS'!$C$4:$C$19,$E93,'TECNICOS'!$D$4:$D$19,$D93)</f>
        <v/>
      </c>
      <c r="G93" s="3">
        <f>IF(OR($C93="",$A93="",$B93="domingo"),"",IF(IFERROR(INDEX('TECNICOS'!$F$4:$F$19,MATCH($C93,'TECNICOS'!$B$4:$B$19,0)),"NO")&lt;&gt;"SI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3">
        <f>IF(COUNTIFS('PLAN_VACACIONES'!$A$4:$A$103,$C93,'PLAN_VACACIONES'!$B$4:$B$103,"&lt;="&amp;$L93,'PLAN_VACACIONES'!$C$4:$C$103,"&gt;="&amp;$L93)&gt;0,"sí","no")</f>
        <v/>
      </c>
      <c r="I93" s="6" t="n"/>
      <c r="J93" s="3">
        <f>IF($I93&lt;&gt;"",$I93,IF($G93="","",IF($H93="sí","VAC",IF(LEFT($G93,1)="B","B",$G93))))</f>
        <v/>
      </c>
      <c r="K93" s="3">
        <f>IFERROR(INDEX('TECNICOS'!$E$4:$E$19,MATCH($C93,'TECNICOS'!$B$4:$B$19,0)),"")</f>
        <v/>
      </c>
      <c r="L93" s="12">
        <f>IF($A93="","",DATE(VALUE(LEFT($A93,4)),1,4)-WEEKDAY(DATE(VALUE(LEFT($A93,4)),1,4),2)+1+(VALUE(MID($A93,7,2))-1)*7+MATCH($B93,lista_dias,0)-1)</f>
        <v/>
      </c>
      <c r="M93" s="3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3">
        <f>$A93&amp;"|"&amp;$B93&amp;"|"&amp;$C93</f>
        <v/>
      </c>
      <c r="O93" s="3">
        <f>IFERROR(INDEX('CAT_TURNOS'!$C$4:$C$7,MATCH($J93,'CAT_TURNOS'!$A$4:$A$7,0)),"")</f>
        <v/>
      </c>
      <c r="P93" s="3">
        <f>IFERROR(INDEX('CAT_TURNOS'!$D$4:$D$7,MATCH($J93,'CAT_TURNOS'!$A$4:$A$7,0)),"")</f>
        <v/>
      </c>
      <c r="Q93" s="3">
        <f>IF(AND(LEFT($G93,1)="T",$H93="no"),"sí","no")</f>
        <v/>
      </c>
    </row>
    <row r="94">
      <c r="A94" s="3" t="inlineStr">
        <is>
          <t>2026-S29</t>
        </is>
      </c>
      <c r="B94" s="3" t="inlineStr">
        <is>
          <t>domingo</t>
        </is>
      </c>
      <c r="C94" s="3" t="inlineStr">
        <is>
          <t>Técnico 13</t>
        </is>
      </c>
      <c r="D94" s="3">
        <f>IFERROR(INDEX('TECNICOS'!$D$4:$D$19,MATCH($C94,'TECNICOS'!$B$4:$B$19,0)),"")</f>
        <v/>
      </c>
      <c r="E94" s="3">
        <f>IFERROR(INDEX('TECNICOS'!$C$4:$C$19,MATCH($C94,'TECNICOS'!$B$4:$B$19,0)),"")</f>
        <v/>
      </c>
      <c r="F94" s="3">
        <f>COUNTIFS('TECNICOS'!$F$4:$F$19,"SI",'TECNICOS'!$C$4:$C$19,$E94,'TECNICOS'!$D$4:$D$19,$D94)</f>
        <v/>
      </c>
      <c r="G94" s="3">
        <f>IF(OR($C94="",$A94="",$B94="domingo"),"",IF(IFERROR(INDEX('TECNICOS'!$F$4:$F$19,MATCH($C94,'TECNICOS'!$B$4:$B$19,0)),"NO")&lt;&gt;"SI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3">
        <f>IF(COUNTIFS('PLAN_VACACIONES'!$A$4:$A$103,$C94,'PLAN_VACACIONES'!$B$4:$B$103,"&lt;="&amp;$L94,'PLAN_VACACIONES'!$C$4:$C$103,"&gt;="&amp;$L94)&gt;0,"sí","no")</f>
        <v/>
      </c>
      <c r="I94" s="6" t="n"/>
      <c r="J94" s="3">
        <f>IF($I94&lt;&gt;"",$I94,IF($G94="","",IF($H94="sí","VAC",IF(LEFT($G94,1)="B","B",$G94))))</f>
        <v/>
      </c>
      <c r="K94" s="3">
        <f>IFERROR(INDEX('TECNICOS'!$E$4:$E$19,MATCH($C94,'TECNICOS'!$B$4:$B$19,0)),"")</f>
        <v/>
      </c>
      <c r="L94" s="12">
        <f>IF($A94="","",DATE(VALUE(LEFT($A94,4)),1,4)-WEEKDAY(DATE(VALUE(LEFT($A94,4)),1,4),2)+1+(VALUE(MID($A94,7,2))-1)*7+MATCH($B94,lista_dias,0)-1)</f>
        <v/>
      </c>
      <c r="M94" s="3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3">
        <f>$A94&amp;"|"&amp;$B94&amp;"|"&amp;$C94</f>
        <v/>
      </c>
      <c r="O94" s="3">
        <f>IFERROR(INDEX('CAT_TURNOS'!$C$4:$C$7,MATCH($J94,'CAT_TURNOS'!$A$4:$A$7,0)),"")</f>
        <v/>
      </c>
      <c r="P94" s="3">
        <f>IFERROR(INDEX('CAT_TURNOS'!$D$4:$D$7,MATCH($J94,'CAT_TURNOS'!$A$4:$A$7,0)),"")</f>
        <v/>
      </c>
      <c r="Q94" s="3">
        <f>IF(AND(LEFT($G94,1)="T",$H94="no"),"sí","no")</f>
        <v/>
      </c>
    </row>
    <row r="95">
      <c r="A95" s="3" t="inlineStr">
        <is>
          <t>2026-S29</t>
        </is>
      </c>
      <c r="B95" s="3" t="inlineStr">
        <is>
          <t>lunes</t>
        </is>
      </c>
      <c r="C95" s="3" t="inlineStr">
        <is>
          <t>Técnico 14</t>
        </is>
      </c>
      <c r="D95" s="3">
        <f>IFERROR(INDEX('TECNICOS'!$D$4:$D$19,MATCH($C95,'TECNICOS'!$B$4:$B$19,0)),"")</f>
        <v/>
      </c>
      <c r="E95" s="3">
        <f>IFERROR(INDEX('TECNICOS'!$C$4:$C$19,MATCH($C95,'TECNICOS'!$B$4:$B$19,0)),"")</f>
        <v/>
      </c>
      <c r="F95" s="3">
        <f>COUNTIFS('TECNICOS'!$F$4:$F$19,"SI",'TECNICOS'!$C$4:$C$19,$E95,'TECNICOS'!$D$4:$D$19,$D95)</f>
        <v/>
      </c>
      <c r="G95" s="3">
        <f>IF(OR($C95="",$A95="",$B95="domingo"),"",IF(IFERROR(INDEX('TECNICOS'!$F$4:$F$19,MATCH($C95,'TECNICOS'!$B$4:$B$19,0)),"NO")&lt;&gt;"SI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3">
        <f>IF(COUNTIFS('PLAN_VACACIONES'!$A$4:$A$103,$C95,'PLAN_VACACIONES'!$B$4:$B$103,"&lt;="&amp;$L95,'PLAN_VACACIONES'!$C$4:$C$103,"&gt;="&amp;$L95)&gt;0,"sí","no")</f>
        <v/>
      </c>
      <c r="I95" s="6" t="n"/>
      <c r="J95" s="3">
        <f>IF($I95&lt;&gt;"",$I95,IF($G95="","",IF($H95="sí","VAC",IF(LEFT($G95,1)="B","B",$G95))))</f>
        <v/>
      </c>
      <c r="K95" s="3">
        <f>IFERROR(INDEX('TECNICOS'!$E$4:$E$19,MATCH($C95,'TECNICOS'!$B$4:$B$19,0)),"")</f>
        <v/>
      </c>
      <c r="L95" s="12">
        <f>IF($A95="","",DATE(VALUE(LEFT($A95,4)),1,4)-WEEKDAY(DATE(VALUE(LEFT($A95,4)),1,4),2)+1+(VALUE(MID($A95,7,2))-1)*7+MATCH($B95,lista_dias,0)-1)</f>
        <v/>
      </c>
      <c r="M95" s="3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3">
        <f>$A95&amp;"|"&amp;$B95&amp;"|"&amp;$C95</f>
        <v/>
      </c>
      <c r="O95" s="3">
        <f>IFERROR(INDEX('CAT_TURNOS'!$C$4:$C$7,MATCH($J95,'CAT_TURNOS'!$A$4:$A$7,0)),"")</f>
        <v/>
      </c>
      <c r="P95" s="3">
        <f>IFERROR(INDEX('CAT_TURNOS'!$D$4:$D$7,MATCH($J95,'CAT_TURNOS'!$A$4:$A$7,0)),"")</f>
        <v/>
      </c>
      <c r="Q95" s="3">
        <f>IF(AND(LEFT($G95,1)="T",$H95="no"),"sí","no")</f>
        <v/>
      </c>
    </row>
    <row r="96">
      <c r="A96" s="3" t="inlineStr">
        <is>
          <t>2026-S29</t>
        </is>
      </c>
      <c r="B96" s="3" t="inlineStr">
        <is>
          <t>martes</t>
        </is>
      </c>
      <c r="C96" s="3" t="inlineStr">
        <is>
          <t>Técnico 14</t>
        </is>
      </c>
      <c r="D96" s="3">
        <f>IFERROR(INDEX('TECNICOS'!$D$4:$D$19,MATCH($C96,'TECNICOS'!$B$4:$B$19,0)),"")</f>
        <v/>
      </c>
      <c r="E96" s="3">
        <f>IFERROR(INDEX('TECNICOS'!$C$4:$C$19,MATCH($C96,'TECNICOS'!$B$4:$B$19,0)),"")</f>
        <v/>
      </c>
      <c r="F96" s="3">
        <f>COUNTIFS('TECNICOS'!$F$4:$F$19,"SI",'TECNICOS'!$C$4:$C$19,$E96,'TECNICOS'!$D$4:$D$19,$D96)</f>
        <v/>
      </c>
      <c r="G96" s="3">
        <f>IF(OR($C96="",$A96="",$B96="domingo"),"",IF(IFERROR(INDEX('TECNICOS'!$F$4:$F$19,MATCH($C96,'TECNICOS'!$B$4:$B$19,0)),"NO")&lt;&gt;"SI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3">
        <f>IF(COUNTIFS('PLAN_VACACIONES'!$A$4:$A$103,$C96,'PLAN_VACACIONES'!$B$4:$B$103,"&lt;="&amp;$L96,'PLAN_VACACIONES'!$C$4:$C$103,"&gt;="&amp;$L96)&gt;0,"sí","no")</f>
        <v/>
      </c>
      <c r="I96" s="6" t="n"/>
      <c r="J96" s="3">
        <f>IF($I96&lt;&gt;"",$I96,IF($G96="","",IF($H96="sí","VAC",IF(LEFT($G96,1)="B","B",$G96))))</f>
        <v/>
      </c>
      <c r="K96" s="3">
        <f>IFERROR(INDEX('TECNICOS'!$E$4:$E$19,MATCH($C96,'TECNICOS'!$B$4:$B$19,0)),"")</f>
        <v/>
      </c>
      <c r="L96" s="12">
        <f>IF($A96="","",DATE(VALUE(LEFT($A96,4)),1,4)-WEEKDAY(DATE(VALUE(LEFT($A96,4)),1,4),2)+1+(VALUE(MID($A96,7,2))-1)*7+MATCH($B96,lista_dias,0)-1)</f>
        <v/>
      </c>
      <c r="M96" s="3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3">
        <f>$A96&amp;"|"&amp;$B96&amp;"|"&amp;$C96</f>
        <v/>
      </c>
      <c r="O96" s="3">
        <f>IFERROR(INDEX('CAT_TURNOS'!$C$4:$C$7,MATCH($J96,'CAT_TURNOS'!$A$4:$A$7,0)),"")</f>
        <v/>
      </c>
      <c r="P96" s="3">
        <f>IFERROR(INDEX('CAT_TURNOS'!$D$4:$D$7,MATCH($J96,'CAT_TURNOS'!$A$4:$A$7,0)),"")</f>
        <v/>
      </c>
      <c r="Q96" s="3">
        <f>IF(AND(LEFT($G96,1)="T",$H96="no"),"sí","no")</f>
        <v/>
      </c>
    </row>
    <row r="97">
      <c r="A97" s="3" t="inlineStr">
        <is>
          <t>2026-S29</t>
        </is>
      </c>
      <c r="B97" s="3" t="inlineStr">
        <is>
          <t>miércoles</t>
        </is>
      </c>
      <c r="C97" s="3" t="inlineStr">
        <is>
          <t>Técnico 14</t>
        </is>
      </c>
      <c r="D97" s="3">
        <f>IFERROR(INDEX('TECNICOS'!$D$4:$D$19,MATCH($C97,'TECNICOS'!$B$4:$B$19,0)),"")</f>
        <v/>
      </c>
      <c r="E97" s="3">
        <f>IFERROR(INDEX('TECNICOS'!$C$4:$C$19,MATCH($C97,'TECNICOS'!$B$4:$B$19,0)),"")</f>
        <v/>
      </c>
      <c r="F97" s="3">
        <f>COUNTIFS('TECNICOS'!$F$4:$F$19,"SI",'TECNICOS'!$C$4:$C$19,$E97,'TECNICOS'!$D$4:$D$19,$D97)</f>
        <v/>
      </c>
      <c r="G97" s="3">
        <f>IF(OR($C97="",$A97="",$B97="domingo"),"",IF(IFERROR(INDEX('TECNICOS'!$F$4:$F$19,MATCH($C97,'TECNICOS'!$B$4:$B$19,0)),"NO")&lt;&gt;"SI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3">
        <f>IF(COUNTIFS('PLAN_VACACIONES'!$A$4:$A$103,$C97,'PLAN_VACACIONES'!$B$4:$B$103,"&lt;="&amp;$L97,'PLAN_VACACIONES'!$C$4:$C$103,"&gt;="&amp;$L97)&gt;0,"sí","no")</f>
        <v/>
      </c>
      <c r="I97" s="6" t="n"/>
      <c r="J97" s="3">
        <f>IF($I97&lt;&gt;"",$I97,IF($G97="","",IF($H97="sí","VAC",IF(LEFT($G97,1)="B","B",$G97))))</f>
        <v/>
      </c>
      <c r="K97" s="3">
        <f>IFERROR(INDEX('TECNICOS'!$E$4:$E$19,MATCH($C97,'TECNICOS'!$B$4:$B$19,0)),"")</f>
        <v/>
      </c>
      <c r="L97" s="12">
        <f>IF($A97="","",DATE(VALUE(LEFT($A97,4)),1,4)-WEEKDAY(DATE(VALUE(LEFT($A97,4)),1,4),2)+1+(VALUE(MID($A97,7,2))-1)*7+MATCH($B97,lista_dias,0)-1)</f>
        <v/>
      </c>
      <c r="M97" s="3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3">
        <f>$A97&amp;"|"&amp;$B97&amp;"|"&amp;$C97</f>
        <v/>
      </c>
      <c r="O97" s="3">
        <f>IFERROR(INDEX('CAT_TURNOS'!$C$4:$C$7,MATCH($J97,'CAT_TURNOS'!$A$4:$A$7,0)),"")</f>
        <v/>
      </c>
      <c r="P97" s="3">
        <f>IFERROR(INDEX('CAT_TURNOS'!$D$4:$D$7,MATCH($J97,'CAT_TURNOS'!$A$4:$A$7,0)),"")</f>
        <v/>
      </c>
      <c r="Q97" s="3">
        <f>IF(AND(LEFT($G97,1)="T",$H97="no"),"sí","no")</f>
        <v/>
      </c>
    </row>
    <row r="98">
      <c r="A98" s="3" t="inlineStr">
        <is>
          <t>2026-S29</t>
        </is>
      </c>
      <c r="B98" s="3" t="inlineStr">
        <is>
          <t>jueves</t>
        </is>
      </c>
      <c r="C98" s="3" t="inlineStr">
        <is>
          <t>Técnico 14</t>
        </is>
      </c>
      <c r="D98" s="3">
        <f>IFERROR(INDEX('TECNICOS'!$D$4:$D$19,MATCH($C98,'TECNICOS'!$B$4:$B$19,0)),"")</f>
        <v/>
      </c>
      <c r="E98" s="3">
        <f>IFERROR(INDEX('TECNICOS'!$C$4:$C$19,MATCH($C98,'TECNICOS'!$B$4:$B$19,0)),"")</f>
        <v/>
      </c>
      <c r="F98" s="3">
        <f>COUNTIFS('TECNICOS'!$F$4:$F$19,"SI",'TECNICOS'!$C$4:$C$19,$E98,'TECNICOS'!$D$4:$D$19,$D98)</f>
        <v/>
      </c>
      <c r="G98" s="3">
        <f>IF(OR($C98="",$A98="",$B98="domingo"),"",IF(IFERROR(INDEX('TECNICOS'!$F$4:$F$19,MATCH($C98,'TECNICOS'!$B$4:$B$19,0)),"NO")&lt;&gt;"SI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3">
        <f>IF(COUNTIFS('PLAN_VACACIONES'!$A$4:$A$103,$C98,'PLAN_VACACIONES'!$B$4:$B$103,"&lt;="&amp;$L98,'PLAN_VACACIONES'!$C$4:$C$103,"&gt;="&amp;$L98)&gt;0,"sí","no")</f>
        <v/>
      </c>
      <c r="I98" s="6" t="n"/>
      <c r="J98" s="3">
        <f>IF($I98&lt;&gt;"",$I98,IF($G98="","",IF($H98="sí","VAC",IF(LEFT($G98,1)="B","B",$G98))))</f>
        <v/>
      </c>
      <c r="K98" s="3">
        <f>IFERROR(INDEX('TECNICOS'!$E$4:$E$19,MATCH($C98,'TECNICOS'!$B$4:$B$19,0)),"")</f>
        <v/>
      </c>
      <c r="L98" s="12">
        <f>IF($A98="","",DATE(VALUE(LEFT($A98,4)),1,4)-WEEKDAY(DATE(VALUE(LEFT($A98,4)),1,4),2)+1+(VALUE(MID($A98,7,2))-1)*7+MATCH($B98,lista_dias,0)-1)</f>
        <v/>
      </c>
      <c r="M98" s="3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3">
        <f>$A98&amp;"|"&amp;$B98&amp;"|"&amp;$C98</f>
        <v/>
      </c>
      <c r="O98" s="3">
        <f>IFERROR(INDEX('CAT_TURNOS'!$C$4:$C$7,MATCH($J98,'CAT_TURNOS'!$A$4:$A$7,0)),"")</f>
        <v/>
      </c>
      <c r="P98" s="3">
        <f>IFERROR(INDEX('CAT_TURNOS'!$D$4:$D$7,MATCH($J98,'CAT_TURNOS'!$A$4:$A$7,0)),"")</f>
        <v/>
      </c>
      <c r="Q98" s="3">
        <f>IF(AND(LEFT($G98,1)="T",$H98="no"),"sí","no")</f>
        <v/>
      </c>
    </row>
    <row r="99">
      <c r="A99" s="3" t="inlineStr">
        <is>
          <t>2026-S29</t>
        </is>
      </c>
      <c r="B99" s="3" t="inlineStr">
        <is>
          <t>viernes</t>
        </is>
      </c>
      <c r="C99" s="3" t="inlineStr">
        <is>
          <t>Técnico 14</t>
        </is>
      </c>
      <c r="D99" s="3">
        <f>IFERROR(INDEX('TECNICOS'!$D$4:$D$19,MATCH($C99,'TECNICOS'!$B$4:$B$19,0)),"")</f>
        <v/>
      </c>
      <c r="E99" s="3">
        <f>IFERROR(INDEX('TECNICOS'!$C$4:$C$19,MATCH($C99,'TECNICOS'!$B$4:$B$19,0)),"")</f>
        <v/>
      </c>
      <c r="F99" s="3">
        <f>COUNTIFS('TECNICOS'!$F$4:$F$19,"SI",'TECNICOS'!$C$4:$C$19,$E99,'TECNICOS'!$D$4:$D$19,$D99)</f>
        <v/>
      </c>
      <c r="G99" s="3">
        <f>IF(OR($C99="",$A99="",$B99="domingo"),"",IF(IFERROR(INDEX('TECNICOS'!$F$4:$F$19,MATCH($C99,'TECNICOS'!$B$4:$B$19,0)),"NO")&lt;&gt;"SI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3">
        <f>IF(COUNTIFS('PLAN_VACACIONES'!$A$4:$A$103,$C99,'PLAN_VACACIONES'!$B$4:$B$103,"&lt;="&amp;$L99,'PLAN_VACACIONES'!$C$4:$C$103,"&gt;="&amp;$L99)&gt;0,"sí","no")</f>
        <v/>
      </c>
      <c r="I99" s="6" t="n"/>
      <c r="J99" s="3">
        <f>IF($I99&lt;&gt;"",$I99,IF($G99="","",IF($H99="sí","VAC",IF(LEFT($G99,1)="B","B",$G99))))</f>
        <v/>
      </c>
      <c r="K99" s="3">
        <f>IFERROR(INDEX('TECNICOS'!$E$4:$E$19,MATCH($C99,'TECNICOS'!$B$4:$B$19,0)),"")</f>
        <v/>
      </c>
      <c r="L99" s="12">
        <f>IF($A99="","",DATE(VALUE(LEFT($A99,4)),1,4)-WEEKDAY(DATE(VALUE(LEFT($A99,4)),1,4),2)+1+(VALUE(MID($A99,7,2))-1)*7+MATCH($B99,lista_dias,0)-1)</f>
        <v/>
      </c>
      <c r="M99" s="3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3">
        <f>$A99&amp;"|"&amp;$B99&amp;"|"&amp;$C99</f>
        <v/>
      </c>
      <c r="O99" s="3">
        <f>IFERROR(INDEX('CAT_TURNOS'!$C$4:$C$7,MATCH($J99,'CAT_TURNOS'!$A$4:$A$7,0)),"")</f>
        <v/>
      </c>
      <c r="P99" s="3">
        <f>IFERROR(INDEX('CAT_TURNOS'!$D$4:$D$7,MATCH($J99,'CAT_TURNOS'!$A$4:$A$7,0)),"")</f>
        <v/>
      </c>
      <c r="Q99" s="3">
        <f>IF(AND(LEFT($G99,1)="T",$H99="no"),"sí","no")</f>
        <v/>
      </c>
    </row>
    <row r="100">
      <c r="A100" s="3" t="inlineStr">
        <is>
          <t>2026-S29</t>
        </is>
      </c>
      <c r="B100" s="3" t="inlineStr">
        <is>
          <t>sábado</t>
        </is>
      </c>
      <c r="C100" s="3" t="inlineStr">
        <is>
          <t>Técnico 14</t>
        </is>
      </c>
      <c r="D100" s="3">
        <f>IFERROR(INDEX('TECNICOS'!$D$4:$D$19,MATCH($C100,'TECNICOS'!$B$4:$B$19,0)),"")</f>
        <v/>
      </c>
      <c r="E100" s="3">
        <f>IFERROR(INDEX('TECNICOS'!$C$4:$C$19,MATCH($C100,'TECNICOS'!$B$4:$B$19,0)),"")</f>
        <v/>
      </c>
      <c r="F100" s="3">
        <f>COUNTIFS('TECNICOS'!$F$4:$F$19,"SI",'TECNICOS'!$C$4:$C$19,$E100,'TECNICOS'!$D$4:$D$19,$D100)</f>
        <v/>
      </c>
      <c r="G100" s="3">
        <f>IF(OR($C100="",$A100="",$B100="domingo"),"",IF(IFERROR(INDEX('TECNICOS'!$F$4:$F$19,MATCH($C100,'TECNICOS'!$B$4:$B$19,0)),"NO")&lt;&gt;"SI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3">
        <f>IF(COUNTIFS('PLAN_VACACIONES'!$A$4:$A$103,$C100,'PLAN_VACACIONES'!$B$4:$B$103,"&lt;="&amp;$L100,'PLAN_VACACIONES'!$C$4:$C$103,"&gt;="&amp;$L100)&gt;0,"sí","no")</f>
        <v/>
      </c>
      <c r="I100" s="6" t="n"/>
      <c r="J100" s="3">
        <f>IF($I100&lt;&gt;"",$I100,IF($G100="","",IF($H100="sí","VAC",IF(LEFT($G100,1)="B","B",$G100))))</f>
        <v/>
      </c>
      <c r="K100" s="3">
        <f>IFERROR(INDEX('TECNICOS'!$E$4:$E$19,MATCH($C100,'TECNICOS'!$B$4:$B$19,0)),"")</f>
        <v/>
      </c>
      <c r="L100" s="12">
        <f>IF($A100="","",DATE(VALUE(LEFT($A100,4)),1,4)-WEEKDAY(DATE(VALUE(LEFT($A100,4)),1,4),2)+1+(VALUE(MID($A100,7,2))-1)*7+MATCH($B100,lista_dias,0)-1)</f>
        <v/>
      </c>
      <c r="M100" s="3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3">
        <f>$A100&amp;"|"&amp;$B100&amp;"|"&amp;$C100</f>
        <v/>
      </c>
      <c r="O100" s="3">
        <f>IFERROR(INDEX('CAT_TURNOS'!$C$4:$C$7,MATCH($J100,'CAT_TURNOS'!$A$4:$A$7,0)),"")</f>
        <v/>
      </c>
      <c r="P100" s="3">
        <f>IFERROR(INDEX('CAT_TURNOS'!$D$4:$D$7,MATCH($J100,'CAT_TURNOS'!$A$4:$A$7,0)),"")</f>
        <v/>
      </c>
      <c r="Q100" s="3">
        <f>IF(AND(LEFT($G100,1)="T",$H100="no"),"sí","no")</f>
        <v/>
      </c>
    </row>
    <row r="101">
      <c r="A101" s="3" t="inlineStr">
        <is>
          <t>2026-S29</t>
        </is>
      </c>
      <c r="B101" s="3" t="inlineStr">
        <is>
          <t>domingo</t>
        </is>
      </c>
      <c r="C101" s="3" t="inlineStr">
        <is>
          <t>Técnico 14</t>
        </is>
      </c>
      <c r="D101" s="3">
        <f>IFERROR(INDEX('TECNICOS'!$D$4:$D$19,MATCH($C101,'TECNICOS'!$B$4:$B$19,0)),"")</f>
        <v/>
      </c>
      <c r="E101" s="3">
        <f>IFERROR(INDEX('TECNICOS'!$C$4:$C$19,MATCH($C101,'TECNICOS'!$B$4:$B$19,0)),"")</f>
        <v/>
      </c>
      <c r="F101" s="3">
        <f>COUNTIFS('TECNICOS'!$F$4:$F$19,"SI",'TECNICOS'!$C$4:$C$19,$E101,'TECNICOS'!$D$4:$D$19,$D101)</f>
        <v/>
      </c>
      <c r="G101" s="3">
        <f>IF(OR($C101="",$A101="",$B101="domingo"),"",IF(IFERROR(INDEX('TECNICOS'!$F$4:$F$19,MATCH($C101,'TECNICOS'!$B$4:$B$19,0)),"NO")&lt;&gt;"SI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3">
        <f>IF(COUNTIFS('PLAN_VACACIONES'!$A$4:$A$103,$C101,'PLAN_VACACIONES'!$B$4:$B$103,"&lt;="&amp;$L101,'PLAN_VACACIONES'!$C$4:$C$103,"&gt;="&amp;$L101)&gt;0,"sí","no")</f>
        <v/>
      </c>
      <c r="I101" s="6" t="n"/>
      <c r="J101" s="3">
        <f>IF($I101&lt;&gt;"",$I101,IF($G101="","",IF($H101="sí","VAC",IF(LEFT($G101,1)="B","B",$G101))))</f>
        <v/>
      </c>
      <c r="K101" s="3">
        <f>IFERROR(INDEX('TECNICOS'!$E$4:$E$19,MATCH($C101,'TECNICOS'!$B$4:$B$19,0)),"")</f>
        <v/>
      </c>
      <c r="L101" s="12">
        <f>IF($A101="","",DATE(VALUE(LEFT($A101,4)),1,4)-WEEKDAY(DATE(VALUE(LEFT($A101,4)),1,4),2)+1+(VALUE(MID($A101,7,2))-1)*7+MATCH($B101,lista_dias,0)-1)</f>
        <v/>
      </c>
      <c r="M101" s="3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3">
        <f>$A101&amp;"|"&amp;$B101&amp;"|"&amp;$C101</f>
        <v/>
      </c>
      <c r="O101" s="3">
        <f>IFERROR(INDEX('CAT_TURNOS'!$C$4:$C$7,MATCH($J101,'CAT_TURNOS'!$A$4:$A$7,0)),"")</f>
        <v/>
      </c>
      <c r="P101" s="3">
        <f>IFERROR(INDEX('CAT_TURNOS'!$D$4:$D$7,MATCH($J101,'CAT_TURNOS'!$A$4:$A$7,0)),"")</f>
        <v/>
      </c>
      <c r="Q101" s="3">
        <f>IF(AND(LEFT($G101,1)="T",$H101="no"),"sí","no")</f>
        <v/>
      </c>
    </row>
    <row r="102">
      <c r="A102" s="3" t="inlineStr">
        <is>
          <t>2026-S29</t>
        </is>
      </c>
      <c r="B102" s="3" t="inlineStr">
        <is>
          <t>lunes</t>
        </is>
      </c>
      <c r="C102" s="3" t="inlineStr">
        <is>
          <t>Técnico 15</t>
        </is>
      </c>
      <c r="D102" s="3">
        <f>IFERROR(INDEX('TECNICOS'!$D$4:$D$19,MATCH($C102,'TECNICOS'!$B$4:$B$19,0)),"")</f>
        <v/>
      </c>
      <c r="E102" s="3">
        <f>IFERROR(INDEX('TECNICOS'!$C$4:$C$19,MATCH($C102,'TECNICOS'!$B$4:$B$19,0)),"")</f>
        <v/>
      </c>
      <c r="F102" s="3">
        <f>COUNTIFS('TECNICOS'!$F$4:$F$19,"SI",'TECNICOS'!$C$4:$C$19,$E102,'TECNICOS'!$D$4:$D$19,$D102)</f>
        <v/>
      </c>
      <c r="G102" s="3">
        <f>IF(OR($C102="",$A102="",$B102="domingo"),"",IF(IFERROR(INDEX('TECNICOS'!$F$4:$F$19,MATCH($C102,'TECNICOS'!$B$4:$B$19,0)),"NO")&lt;&gt;"SI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3">
        <f>IF(COUNTIFS('PLAN_VACACIONES'!$A$4:$A$103,$C102,'PLAN_VACACIONES'!$B$4:$B$103,"&lt;="&amp;$L102,'PLAN_VACACIONES'!$C$4:$C$103,"&gt;="&amp;$L102)&gt;0,"sí","no")</f>
        <v/>
      </c>
      <c r="I102" s="6" t="n"/>
      <c r="J102" s="3">
        <f>IF($I102&lt;&gt;"",$I102,IF($G102="","",IF($H102="sí","VAC",IF(LEFT($G102,1)="B","B",$G102))))</f>
        <v/>
      </c>
      <c r="K102" s="3">
        <f>IFERROR(INDEX('TECNICOS'!$E$4:$E$19,MATCH($C102,'TECNICOS'!$B$4:$B$19,0)),"")</f>
        <v/>
      </c>
      <c r="L102" s="12">
        <f>IF($A102="","",DATE(VALUE(LEFT($A102,4)),1,4)-WEEKDAY(DATE(VALUE(LEFT($A102,4)),1,4),2)+1+(VALUE(MID($A102,7,2))-1)*7+MATCH($B102,lista_dias,0)-1)</f>
        <v/>
      </c>
      <c r="M102" s="3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3">
        <f>$A102&amp;"|"&amp;$B102&amp;"|"&amp;$C102</f>
        <v/>
      </c>
      <c r="O102" s="3">
        <f>IFERROR(INDEX('CAT_TURNOS'!$C$4:$C$7,MATCH($J102,'CAT_TURNOS'!$A$4:$A$7,0)),"")</f>
        <v/>
      </c>
      <c r="P102" s="3">
        <f>IFERROR(INDEX('CAT_TURNOS'!$D$4:$D$7,MATCH($J102,'CAT_TURNOS'!$A$4:$A$7,0)),"")</f>
        <v/>
      </c>
      <c r="Q102" s="3">
        <f>IF(AND(LEFT($G102,1)="T",$H102="no"),"sí","no")</f>
        <v/>
      </c>
    </row>
    <row r="103">
      <c r="A103" s="3" t="inlineStr">
        <is>
          <t>2026-S29</t>
        </is>
      </c>
      <c r="B103" s="3" t="inlineStr">
        <is>
          <t>martes</t>
        </is>
      </c>
      <c r="C103" s="3" t="inlineStr">
        <is>
          <t>Técnico 15</t>
        </is>
      </c>
      <c r="D103" s="3">
        <f>IFERROR(INDEX('TECNICOS'!$D$4:$D$19,MATCH($C103,'TECNICOS'!$B$4:$B$19,0)),"")</f>
        <v/>
      </c>
      <c r="E103" s="3">
        <f>IFERROR(INDEX('TECNICOS'!$C$4:$C$19,MATCH($C103,'TECNICOS'!$B$4:$B$19,0)),"")</f>
        <v/>
      </c>
      <c r="F103" s="3">
        <f>COUNTIFS('TECNICOS'!$F$4:$F$19,"SI",'TECNICOS'!$C$4:$C$19,$E103,'TECNICOS'!$D$4:$D$19,$D103)</f>
        <v/>
      </c>
      <c r="G103" s="3">
        <f>IF(OR($C103="",$A103="",$B103="domingo"),"",IF(IFERROR(INDEX('TECNICOS'!$F$4:$F$19,MATCH($C103,'TECNICOS'!$B$4:$B$19,0)),"NO")&lt;&gt;"SI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3">
        <f>IF(COUNTIFS('PLAN_VACACIONES'!$A$4:$A$103,$C103,'PLAN_VACACIONES'!$B$4:$B$103,"&lt;="&amp;$L103,'PLAN_VACACIONES'!$C$4:$C$103,"&gt;="&amp;$L103)&gt;0,"sí","no")</f>
        <v/>
      </c>
      <c r="I103" s="6" t="n"/>
      <c r="J103" s="3">
        <f>IF($I103&lt;&gt;"",$I103,IF($G103="","",IF($H103="sí","VAC",IF(LEFT($G103,1)="B","B",$G103))))</f>
        <v/>
      </c>
      <c r="K103" s="3">
        <f>IFERROR(INDEX('TECNICOS'!$E$4:$E$19,MATCH($C103,'TECNICOS'!$B$4:$B$19,0)),"")</f>
        <v/>
      </c>
      <c r="L103" s="12">
        <f>IF($A103="","",DATE(VALUE(LEFT($A103,4)),1,4)-WEEKDAY(DATE(VALUE(LEFT($A103,4)),1,4),2)+1+(VALUE(MID($A103,7,2))-1)*7+MATCH($B103,lista_dias,0)-1)</f>
        <v/>
      </c>
      <c r="M103" s="3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3">
        <f>$A103&amp;"|"&amp;$B103&amp;"|"&amp;$C103</f>
        <v/>
      </c>
      <c r="O103" s="3">
        <f>IFERROR(INDEX('CAT_TURNOS'!$C$4:$C$7,MATCH($J103,'CAT_TURNOS'!$A$4:$A$7,0)),"")</f>
        <v/>
      </c>
      <c r="P103" s="3">
        <f>IFERROR(INDEX('CAT_TURNOS'!$D$4:$D$7,MATCH($J103,'CAT_TURNOS'!$A$4:$A$7,0)),"")</f>
        <v/>
      </c>
      <c r="Q103" s="3">
        <f>IF(AND(LEFT($G103,1)="T",$H103="no"),"sí","no")</f>
        <v/>
      </c>
    </row>
    <row r="104">
      <c r="A104" s="3" t="inlineStr">
        <is>
          <t>2026-S29</t>
        </is>
      </c>
      <c r="B104" s="3" t="inlineStr">
        <is>
          <t>miércoles</t>
        </is>
      </c>
      <c r="C104" s="3" t="inlineStr">
        <is>
          <t>Técnico 15</t>
        </is>
      </c>
      <c r="D104" s="3">
        <f>IFERROR(INDEX('TECNICOS'!$D$4:$D$19,MATCH($C104,'TECNICOS'!$B$4:$B$19,0)),"")</f>
        <v/>
      </c>
      <c r="E104" s="3">
        <f>IFERROR(INDEX('TECNICOS'!$C$4:$C$19,MATCH($C104,'TECNICOS'!$B$4:$B$19,0)),"")</f>
        <v/>
      </c>
      <c r="F104" s="3">
        <f>COUNTIFS('TECNICOS'!$F$4:$F$19,"SI",'TECNICOS'!$C$4:$C$19,$E104,'TECNICOS'!$D$4:$D$19,$D104)</f>
        <v/>
      </c>
      <c r="G104" s="3">
        <f>IF(OR($C104="",$A104="",$B104="domingo"),"",IF(IFERROR(INDEX('TECNICOS'!$F$4:$F$19,MATCH($C104,'TECNICOS'!$B$4:$B$19,0)),"NO")&lt;&gt;"SI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3">
        <f>IF(COUNTIFS('PLAN_VACACIONES'!$A$4:$A$103,$C104,'PLAN_VACACIONES'!$B$4:$B$103,"&lt;="&amp;$L104,'PLAN_VACACIONES'!$C$4:$C$103,"&gt;="&amp;$L104)&gt;0,"sí","no")</f>
        <v/>
      </c>
      <c r="I104" s="6" t="n"/>
      <c r="J104" s="3">
        <f>IF($I104&lt;&gt;"",$I104,IF($G104="","",IF($H104="sí","VAC",IF(LEFT($G104,1)="B","B",$G104))))</f>
        <v/>
      </c>
      <c r="K104" s="3">
        <f>IFERROR(INDEX('TECNICOS'!$E$4:$E$19,MATCH($C104,'TECNICOS'!$B$4:$B$19,0)),"")</f>
        <v/>
      </c>
      <c r="L104" s="12">
        <f>IF($A104="","",DATE(VALUE(LEFT($A104,4)),1,4)-WEEKDAY(DATE(VALUE(LEFT($A104,4)),1,4),2)+1+(VALUE(MID($A104,7,2))-1)*7+MATCH($B104,lista_dias,0)-1)</f>
        <v/>
      </c>
      <c r="M104" s="3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3">
        <f>$A104&amp;"|"&amp;$B104&amp;"|"&amp;$C104</f>
        <v/>
      </c>
      <c r="O104" s="3">
        <f>IFERROR(INDEX('CAT_TURNOS'!$C$4:$C$7,MATCH($J104,'CAT_TURNOS'!$A$4:$A$7,0)),"")</f>
        <v/>
      </c>
      <c r="P104" s="3">
        <f>IFERROR(INDEX('CAT_TURNOS'!$D$4:$D$7,MATCH($J104,'CAT_TURNOS'!$A$4:$A$7,0)),"")</f>
        <v/>
      </c>
      <c r="Q104" s="3">
        <f>IF(AND(LEFT($G104,1)="T",$H104="no"),"sí","no")</f>
        <v/>
      </c>
    </row>
    <row r="105">
      <c r="A105" s="3" t="inlineStr">
        <is>
          <t>2026-S29</t>
        </is>
      </c>
      <c r="B105" s="3" t="inlineStr">
        <is>
          <t>jueves</t>
        </is>
      </c>
      <c r="C105" s="3" t="inlineStr">
        <is>
          <t>Técnico 15</t>
        </is>
      </c>
      <c r="D105" s="3">
        <f>IFERROR(INDEX('TECNICOS'!$D$4:$D$19,MATCH($C105,'TECNICOS'!$B$4:$B$19,0)),"")</f>
        <v/>
      </c>
      <c r="E105" s="3">
        <f>IFERROR(INDEX('TECNICOS'!$C$4:$C$19,MATCH($C105,'TECNICOS'!$B$4:$B$19,0)),"")</f>
        <v/>
      </c>
      <c r="F105" s="3">
        <f>COUNTIFS('TECNICOS'!$F$4:$F$19,"SI",'TECNICOS'!$C$4:$C$19,$E105,'TECNICOS'!$D$4:$D$19,$D105)</f>
        <v/>
      </c>
      <c r="G105" s="3">
        <f>IF(OR($C105="",$A105="",$B105="domingo"),"",IF(IFERROR(INDEX('TECNICOS'!$F$4:$F$19,MATCH($C105,'TECNICOS'!$B$4:$B$19,0)),"NO")&lt;&gt;"SI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3">
        <f>IF(COUNTIFS('PLAN_VACACIONES'!$A$4:$A$103,$C105,'PLAN_VACACIONES'!$B$4:$B$103,"&lt;="&amp;$L105,'PLAN_VACACIONES'!$C$4:$C$103,"&gt;="&amp;$L105)&gt;0,"sí","no")</f>
        <v/>
      </c>
      <c r="I105" s="6" t="n"/>
      <c r="J105" s="3">
        <f>IF($I105&lt;&gt;"",$I105,IF($G105="","",IF($H105="sí","VAC",IF(LEFT($G105,1)="B","B",$G105))))</f>
        <v/>
      </c>
      <c r="K105" s="3">
        <f>IFERROR(INDEX('TECNICOS'!$E$4:$E$19,MATCH($C105,'TECNICOS'!$B$4:$B$19,0)),"")</f>
        <v/>
      </c>
      <c r="L105" s="12">
        <f>IF($A105="","",DATE(VALUE(LEFT($A105,4)),1,4)-WEEKDAY(DATE(VALUE(LEFT($A105,4)),1,4),2)+1+(VALUE(MID($A105,7,2))-1)*7+MATCH($B105,lista_dias,0)-1)</f>
        <v/>
      </c>
      <c r="M105" s="3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3">
        <f>$A105&amp;"|"&amp;$B105&amp;"|"&amp;$C105</f>
        <v/>
      </c>
      <c r="O105" s="3">
        <f>IFERROR(INDEX('CAT_TURNOS'!$C$4:$C$7,MATCH($J105,'CAT_TURNOS'!$A$4:$A$7,0)),"")</f>
        <v/>
      </c>
      <c r="P105" s="3">
        <f>IFERROR(INDEX('CAT_TURNOS'!$D$4:$D$7,MATCH($J105,'CAT_TURNOS'!$A$4:$A$7,0)),"")</f>
        <v/>
      </c>
      <c r="Q105" s="3">
        <f>IF(AND(LEFT($G105,1)="T",$H105="no"),"sí","no")</f>
        <v/>
      </c>
    </row>
    <row r="106">
      <c r="A106" s="3" t="inlineStr">
        <is>
          <t>2026-S29</t>
        </is>
      </c>
      <c r="B106" s="3" t="inlineStr">
        <is>
          <t>viernes</t>
        </is>
      </c>
      <c r="C106" s="3" t="inlineStr">
        <is>
          <t>Técnico 15</t>
        </is>
      </c>
      <c r="D106" s="3">
        <f>IFERROR(INDEX('TECNICOS'!$D$4:$D$19,MATCH($C106,'TECNICOS'!$B$4:$B$19,0)),"")</f>
        <v/>
      </c>
      <c r="E106" s="3">
        <f>IFERROR(INDEX('TECNICOS'!$C$4:$C$19,MATCH($C106,'TECNICOS'!$B$4:$B$19,0)),"")</f>
        <v/>
      </c>
      <c r="F106" s="3">
        <f>COUNTIFS('TECNICOS'!$F$4:$F$19,"SI",'TECNICOS'!$C$4:$C$19,$E106,'TECNICOS'!$D$4:$D$19,$D106)</f>
        <v/>
      </c>
      <c r="G106" s="3">
        <f>IF(OR($C106="",$A106="",$B106="domingo"),"",IF(IFERROR(INDEX('TECNICOS'!$F$4:$F$19,MATCH($C106,'TECNICOS'!$B$4:$B$19,0)),"NO")&lt;&gt;"SI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3">
        <f>IF(COUNTIFS('PLAN_VACACIONES'!$A$4:$A$103,$C106,'PLAN_VACACIONES'!$B$4:$B$103,"&lt;="&amp;$L106,'PLAN_VACACIONES'!$C$4:$C$103,"&gt;="&amp;$L106)&gt;0,"sí","no")</f>
        <v/>
      </c>
      <c r="I106" s="6" t="n"/>
      <c r="J106" s="3">
        <f>IF($I106&lt;&gt;"",$I106,IF($G106="","",IF($H106="sí","VAC",IF(LEFT($G106,1)="B","B",$G106))))</f>
        <v/>
      </c>
      <c r="K106" s="3">
        <f>IFERROR(INDEX('TECNICOS'!$E$4:$E$19,MATCH($C106,'TECNICOS'!$B$4:$B$19,0)),"")</f>
        <v/>
      </c>
      <c r="L106" s="12">
        <f>IF($A106="","",DATE(VALUE(LEFT($A106,4)),1,4)-WEEKDAY(DATE(VALUE(LEFT($A106,4)),1,4),2)+1+(VALUE(MID($A106,7,2))-1)*7+MATCH($B106,lista_dias,0)-1)</f>
        <v/>
      </c>
      <c r="M106" s="3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3">
        <f>$A106&amp;"|"&amp;$B106&amp;"|"&amp;$C106</f>
        <v/>
      </c>
      <c r="O106" s="3">
        <f>IFERROR(INDEX('CAT_TURNOS'!$C$4:$C$7,MATCH($J106,'CAT_TURNOS'!$A$4:$A$7,0)),"")</f>
        <v/>
      </c>
      <c r="P106" s="3">
        <f>IFERROR(INDEX('CAT_TURNOS'!$D$4:$D$7,MATCH($J106,'CAT_TURNOS'!$A$4:$A$7,0)),"")</f>
        <v/>
      </c>
      <c r="Q106" s="3">
        <f>IF(AND(LEFT($G106,1)="T",$H106="no"),"sí","no")</f>
        <v/>
      </c>
    </row>
    <row r="107">
      <c r="A107" s="3" t="inlineStr">
        <is>
          <t>2026-S29</t>
        </is>
      </c>
      <c r="B107" s="3" t="inlineStr">
        <is>
          <t>sábado</t>
        </is>
      </c>
      <c r="C107" s="3" t="inlineStr">
        <is>
          <t>Técnico 15</t>
        </is>
      </c>
      <c r="D107" s="3">
        <f>IFERROR(INDEX('TECNICOS'!$D$4:$D$19,MATCH($C107,'TECNICOS'!$B$4:$B$19,0)),"")</f>
        <v/>
      </c>
      <c r="E107" s="3">
        <f>IFERROR(INDEX('TECNICOS'!$C$4:$C$19,MATCH($C107,'TECNICOS'!$B$4:$B$19,0)),"")</f>
        <v/>
      </c>
      <c r="F107" s="3">
        <f>COUNTIFS('TECNICOS'!$F$4:$F$19,"SI",'TECNICOS'!$C$4:$C$19,$E107,'TECNICOS'!$D$4:$D$19,$D107)</f>
        <v/>
      </c>
      <c r="G107" s="3">
        <f>IF(OR($C107="",$A107="",$B107="domingo"),"",IF(IFERROR(INDEX('TECNICOS'!$F$4:$F$19,MATCH($C107,'TECNICOS'!$B$4:$B$19,0)),"NO")&lt;&gt;"SI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3">
        <f>IF(COUNTIFS('PLAN_VACACIONES'!$A$4:$A$103,$C107,'PLAN_VACACIONES'!$B$4:$B$103,"&lt;="&amp;$L107,'PLAN_VACACIONES'!$C$4:$C$103,"&gt;="&amp;$L107)&gt;0,"sí","no")</f>
        <v/>
      </c>
      <c r="I107" s="6" t="n"/>
      <c r="J107" s="3">
        <f>IF($I107&lt;&gt;"",$I107,IF($G107="","",IF($H107="sí","VAC",IF(LEFT($G107,1)="B","B",$G107))))</f>
        <v/>
      </c>
      <c r="K107" s="3">
        <f>IFERROR(INDEX('TECNICOS'!$E$4:$E$19,MATCH($C107,'TECNICOS'!$B$4:$B$19,0)),"")</f>
        <v/>
      </c>
      <c r="L107" s="12">
        <f>IF($A107="","",DATE(VALUE(LEFT($A107,4)),1,4)-WEEKDAY(DATE(VALUE(LEFT($A107,4)),1,4),2)+1+(VALUE(MID($A107,7,2))-1)*7+MATCH($B107,lista_dias,0)-1)</f>
        <v/>
      </c>
      <c r="M107" s="3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3">
        <f>$A107&amp;"|"&amp;$B107&amp;"|"&amp;$C107</f>
        <v/>
      </c>
      <c r="O107" s="3">
        <f>IFERROR(INDEX('CAT_TURNOS'!$C$4:$C$7,MATCH($J107,'CAT_TURNOS'!$A$4:$A$7,0)),"")</f>
        <v/>
      </c>
      <c r="P107" s="3">
        <f>IFERROR(INDEX('CAT_TURNOS'!$D$4:$D$7,MATCH($J107,'CAT_TURNOS'!$A$4:$A$7,0)),"")</f>
        <v/>
      </c>
      <c r="Q107" s="3">
        <f>IF(AND(LEFT($G107,1)="T",$H107="no"),"sí","no")</f>
        <v/>
      </c>
    </row>
    <row r="108">
      <c r="A108" s="3" t="inlineStr">
        <is>
          <t>2026-S29</t>
        </is>
      </c>
      <c r="B108" s="3" t="inlineStr">
        <is>
          <t>domingo</t>
        </is>
      </c>
      <c r="C108" s="3" t="inlineStr">
        <is>
          <t>Técnico 15</t>
        </is>
      </c>
      <c r="D108" s="3">
        <f>IFERROR(INDEX('TECNICOS'!$D$4:$D$19,MATCH($C108,'TECNICOS'!$B$4:$B$19,0)),"")</f>
        <v/>
      </c>
      <c r="E108" s="3">
        <f>IFERROR(INDEX('TECNICOS'!$C$4:$C$19,MATCH($C108,'TECNICOS'!$B$4:$B$19,0)),"")</f>
        <v/>
      </c>
      <c r="F108" s="3">
        <f>COUNTIFS('TECNICOS'!$F$4:$F$19,"SI",'TECNICOS'!$C$4:$C$19,$E108,'TECNICOS'!$D$4:$D$19,$D108)</f>
        <v/>
      </c>
      <c r="G108" s="3">
        <f>IF(OR($C108="",$A108="",$B108="domingo"),"",IF(IFERROR(INDEX('TECNICOS'!$F$4:$F$19,MATCH($C108,'TECNICOS'!$B$4:$B$19,0)),"NO")&lt;&gt;"SI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3">
        <f>IF(COUNTIFS('PLAN_VACACIONES'!$A$4:$A$103,$C108,'PLAN_VACACIONES'!$B$4:$B$103,"&lt;="&amp;$L108,'PLAN_VACACIONES'!$C$4:$C$103,"&gt;="&amp;$L108)&gt;0,"sí","no")</f>
        <v/>
      </c>
      <c r="I108" s="6" t="n"/>
      <c r="J108" s="3">
        <f>IF($I108&lt;&gt;"",$I108,IF($G108="","",IF($H108="sí","VAC",IF(LEFT($G108,1)="B","B",$G108))))</f>
        <v/>
      </c>
      <c r="K108" s="3">
        <f>IFERROR(INDEX('TECNICOS'!$E$4:$E$19,MATCH($C108,'TECNICOS'!$B$4:$B$19,0)),"")</f>
        <v/>
      </c>
      <c r="L108" s="12">
        <f>IF($A108="","",DATE(VALUE(LEFT($A108,4)),1,4)-WEEKDAY(DATE(VALUE(LEFT($A108,4)),1,4),2)+1+(VALUE(MID($A108,7,2))-1)*7+MATCH($B108,lista_dias,0)-1)</f>
        <v/>
      </c>
      <c r="M108" s="3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3">
        <f>$A108&amp;"|"&amp;$B108&amp;"|"&amp;$C108</f>
        <v/>
      </c>
      <c r="O108" s="3">
        <f>IFERROR(INDEX('CAT_TURNOS'!$C$4:$C$7,MATCH($J108,'CAT_TURNOS'!$A$4:$A$7,0)),"")</f>
        <v/>
      </c>
      <c r="P108" s="3">
        <f>IFERROR(INDEX('CAT_TURNOS'!$D$4:$D$7,MATCH($J108,'CAT_TURNOS'!$A$4:$A$7,0)),"")</f>
        <v/>
      </c>
      <c r="Q108" s="3">
        <f>IF(AND(LEFT($G108,1)="T",$H108="no"),"sí","no")</f>
        <v/>
      </c>
    </row>
    <row r="109">
      <c r="A109" s="3" t="inlineStr">
        <is>
          <t>2026-S29</t>
        </is>
      </c>
      <c r="B109" s="3" t="inlineStr">
        <is>
          <t>lunes</t>
        </is>
      </c>
      <c r="C109" s="3" t="inlineStr">
        <is>
          <t>Técnico 16</t>
        </is>
      </c>
      <c r="D109" s="3">
        <f>IFERROR(INDEX('TECNICOS'!$D$4:$D$19,MATCH($C109,'TECNICOS'!$B$4:$B$19,0)),"")</f>
        <v/>
      </c>
      <c r="E109" s="3">
        <f>IFERROR(INDEX('TECNICOS'!$C$4:$C$19,MATCH($C109,'TECNICOS'!$B$4:$B$19,0)),"")</f>
        <v/>
      </c>
      <c r="F109" s="3">
        <f>COUNTIFS('TECNICOS'!$F$4:$F$19,"SI",'TECNICOS'!$C$4:$C$19,$E109,'TECNICOS'!$D$4:$D$19,$D109)</f>
        <v/>
      </c>
      <c r="G109" s="3">
        <f>IF(OR($C109="",$A109="",$B109="domingo"),"",IF(IFERROR(INDEX('TECNICOS'!$F$4:$F$19,MATCH($C109,'TECNICOS'!$B$4:$B$19,0)),"NO")&lt;&gt;"SI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3">
        <f>IF(COUNTIFS('PLAN_VACACIONES'!$A$4:$A$103,$C109,'PLAN_VACACIONES'!$B$4:$B$103,"&lt;="&amp;$L109,'PLAN_VACACIONES'!$C$4:$C$103,"&gt;="&amp;$L109)&gt;0,"sí","no")</f>
        <v/>
      </c>
      <c r="I109" s="6" t="n"/>
      <c r="J109" s="3">
        <f>IF($I109&lt;&gt;"",$I109,IF($G109="","",IF($H109="sí","VAC",IF(LEFT($G109,1)="B","B",$G109))))</f>
        <v/>
      </c>
      <c r="K109" s="3">
        <f>IFERROR(INDEX('TECNICOS'!$E$4:$E$19,MATCH($C109,'TECNICOS'!$B$4:$B$19,0)),"")</f>
        <v/>
      </c>
      <c r="L109" s="12">
        <f>IF($A109="","",DATE(VALUE(LEFT($A109,4)),1,4)-WEEKDAY(DATE(VALUE(LEFT($A109,4)),1,4),2)+1+(VALUE(MID($A109,7,2))-1)*7+MATCH($B109,lista_dias,0)-1)</f>
        <v/>
      </c>
      <c r="M109" s="3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3">
        <f>$A109&amp;"|"&amp;$B109&amp;"|"&amp;$C109</f>
        <v/>
      </c>
      <c r="O109" s="3">
        <f>IFERROR(INDEX('CAT_TURNOS'!$C$4:$C$7,MATCH($J109,'CAT_TURNOS'!$A$4:$A$7,0)),"")</f>
        <v/>
      </c>
      <c r="P109" s="3">
        <f>IFERROR(INDEX('CAT_TURNOS'!$D$4:$D$7,MATCH($J109,'CAT_TURNOS'!$A$4:$A$7,0)),"")</f>
        <v/>
      </c>
      <c r="Q109" s="3">
        <f>IF(AND(LEFT($G109,1)="T",$H109="no"),"sí","no")</f>
        <v/>
      </c>
    </row>
    <row r="110">
      <c r="A110" s="3" t="inlineStr">
        <is>
          <t>2026-S29</t>
        </is>
      </c>
      <c r="B110" s="3" t="inlineStr">
        <is>
          <t>martes</t>
        </is>
      </c>
      <c r="C110" s="3" t="inlineStr">
        <is>
          <t>Técnico 16</t>
        </is>
      </c>
      <c r="D110" s="3">
        <f>IFERROR(INDEX('TECNICOS'!$D$4:$D$19,MATCH($C110,'TECNICOS'!$B$4:$B$19,0)),"")</f>
        <v/>
      </c>
      <c r="E110" s="3">
        <f>IFERROR(INDEX('TECNICOS'!$C$4:$C$19,MATCH($C110,'TECNICOS'!$B$4:$B$19,0)),"")</f>
        <v/>
      </c>
      <c r="F110" s="3">
        <f>COUNTIFS('TECNICOS'!$F$4:$F$19,"SI",'TECNICOS'!$C$4:$C$19,$E110,'TECNICOS'!$D$4:$D$19,$D110)</f>
        <v/>
      </c>
      <c r="G110" s="3">
        <f>IF(OR($C110="",$A110="",$B110="domingo"),"",IF(IFERROR(INDEX('TECNICOS'!$F$4:$F$19,MATCH($C110,'TECNICOS'!$B$4:$B$19,0)),"NO")&lt;&gt;"SI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3">
        <f>IF(COUNTIFS('PLAN_VACACIONES'!$A$4:$A$103,$C110,'PLAN_VACACIONES'!$B$4:$B$103,"&lt;="&amp;$L110,'PLAN_VACACIONES'!$C$4:$C$103,"&gt;="&amp;$L110)&gt;0,"sí","no")</f>
        <v/>
      </c>
      <c r="I110" s="6" t="n"/>
      <c r="J110" s="3">
        <f>IF($I110&lt;&gt;"",$I110,IF($G110="","",IF($H110="sí","VAC",IF(LEFT($G110,1)="B","B",$G110))))</f>
        <v/>
      </c>
      <c r="K110" s="3">
        <f>IFERROR(INDEX('TECNICOS'!$E$4:$E$19,MATCH($C110,'TECNICOS'!$B$4:$B$19,0)),"")</f>
        <v/>
      </c>
      <c r="L110" s="12">
        <f>IF($A110="","",DATE(VALUE(LEFT($A110,4)),1,4)-WEEKDAY(DATE(VALUE(LEFT($A110,4)),1,4),2)+1+(VALUE(MID($A110,7,2))-1)*7+MATCH($B110,lista_dias,0)-1)</f>
        <v/>
      </c>
      <c r="M110" s="3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3">
        <f>$A110&amp;"|"&amp;$B110&amp;"|"&amp;$C110</f>
        <v/>
      </c>
      <c r="O110" s="3">
        <f>IFERROR(INDEX('CAT_TURNOS'!$C$4:$C$7,MATCH($J110,'CAT_TURNOS'!$A$4:$A$7,0)),"")</f>
        <v/>
      </c>
      <c r="P110" s="3">
        <f>IFERROR(INDEX('CAT_TURNOS'!$D$4:$D$7,MATCH($J110,'CAT_TURNOS'!$A$4:$A$7,0)),"")</f>
        <v/>
      </c>
      <c r="Q110" s="3">
        <f>IF(AND(LEFT($G110,1)="T",$H110="no"),"sí","no")</f>
        <v/>
      </c>
    </row>
    <row r="111">
      <c r="A111" s="3" t="inlineStr">
        <is>
          <t>2026-S29</t>
        </is>
      </c>
      <c r="B111" s="3" t="inlineStr">
        <is>
          <t>miércoles</t>
        </is>
      </c>
      <c r="C111" s="3" t="inlineStr">
        <is>
          <t>Técnico 16</t>
        </is>
      </c>
      <c r="D111" s="3">
        <f>IFERROR(INDEX('TECNICOS'!$D$4:$D$19,MATCH($C111,'TECNICOS'!$B$4:$B$19,0)),"")</f>
        <v/>
      </c>
      <c r="E111" s="3">
        <f>IFERROR(INDEX('TECNICOS'!$C$4:$C$19,MATCH($C111,'TECNICOS'!$B$4:$B$19,0)),"")</f>
        <v/>
      </c>
      <c r="F111" s="3">
        <f>COUNTIFS('TECNICOS'!$F$4:$F$19,"SI",'TECNICOS'!$C$4:$C$19,$E111,'TECNICOS'!$D$4:$D$19,$D111)</f>
        <v/>
      </c>
      <c r="G111" s="3">
        <f>IF(OR($C111="",$A111="",$B111="domingo"),"",IF(IFERROR(INDEX('TECNICOS'!$F$4:$F$19,MATCH($C111,'TECNICOS'!$B$4:$B$19,0)),"NO")&lt;&gt;"SI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3">
        <f>IF(COUNTIFS('PLAN_VACACIONES'!$A$4:$A$103,$C111,'PLAN_VACACIONES'!$B$4:$B$103,"&lt;="&amp;$L111,'PLAN_VACACIONES'!$C$4:$C$103,"&gt;="&amp;$L111)&gt;0,"sí","no")</f>
        <v/>
      </c>
      <c r="I111" s="6" t="n"/>
      <c r="J111" s="3">
        <f>IF($I111&lt;&gt;"",$I111,IF($G111="","",IF($H111="sí","VAC",IF(LEFT($G111,1)="B","B",$G111))))</f>
        <v/>
      </c>
      <c r="K111" s="3">
        <f>IFERROR(INDEX('TECNICOS'!$E$4:$E$19,MATCH($C111,'TECNICOS'!$B$4:$B$19,0)),"")</f>
        <v/>
      </c>
      <c r="L111" s="12">
        <f>IF($A111="","",DATE(VALUE(LEFT($A111,4)),1,4)-WEEKDAY(DATE(VALUE(LEFT($A111,4)),1,4),2)+1+(VALUE(MID($A111,7,2))-1)*7+MATCH($B111,lista_dias,0)-1)</f>
        <v/>
      </c>
      <c r="M111" s="3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3">
        <f>$A111&amp;"|"&amp;$B111&amp;"|"&amp;$C111</f>
        <v/>
      </c>
      <c r="O111" s="3">
        <f>IFERROR(INDEX('CAT_TURNOS'!$C$4:$C$7,MATCH($J111,'CAT_TURNOS'!$A$4:$A$7,0)),"")</f>
        <v/>
      </c>
      <c r="P111" s="3">
        <f>IFERROR(INDEX('CAT_TURNOS'!$D$4:$D$7,MATCH($J111,'CAT_TURNOS'!$A$4:$A$7,0)),"")</f>
        <v/>
      </c>
      <c r="Q111" s="3">
        <f>IF(AND(LEFT($G111,1)="T",$H111="no"),"sí","no")</f>
        <v/>
      </c>
    </row>
    <row r="112">
      <c r="A112" s="3" t="inlineStr">
        <is>
          <t>2026-S29</t>
        </is>
      </c>
      <c r="B112" s="3" t="inlineStr">
        <is>
          <t>jueves</t>
        </is>
      </c>
      <c r="C112" s="3" t="inlineStr">
        <is>
          <t>Técnico 16</t>
        </is>
      </c>
      <c r="D112" s="3">
        <f>IFERROR(INDEX('TECNICOS'!$D$4:$D$19,MATCH($C112,'TECNICOS'!$B$4:$B$19,0)),"")</f>
        <v/>
      </c>
      <c r="E112" s="3">
        <f>IFERROR(INDEX('TECNICOS'!$C$4:$C$19,MATCH($C112,'TECNICOS'!$B$4:$B$19,0)),"")</f>
        <v/>
      </c>
      <c r="F112" s="3">
        <f>COUNTIFS('TECNICOS'!$F$4:$F$19,"SI",'TECNICOS'!$C$4:$C$19,$E112,'TECNICOS'!$D$4:$D$19,$D112)</f>
        <v/>
      </c>
      <c r="G112" s="3">
        <f>IF(OR($C112="",$A112="",$B112="domingo"),"",IF(IFERROR(INDEX('TECNICOS'!$F$4:$F$19,MATCH($C112,'TECNICOS'!$B$4:$B$19,0)),"NO")&lt;&gt;"SI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3">
        <f>IF(COUNTIFS('PLAN_VACACIONES'!$A$4:$A$103,$C112,'PLAN_VACACIONES'!$B$4:$B$103,"&lt;="&amp;$L112,'PLAN_VACACIONES'!$C$4:$C$103,"&gt;="&amp;$L112)&gt;0,"sí","no")</f>
        <v/>
      </c>
      <c r="I112" s="6" t="n"/>
      <c r="J112" s="3">
        <f>IF($I112&lt;&gt;"",$I112,IF($G112="","",IF($H112="sí","VAC",IF(LEFT($G112,1)="B","B",$G112))))</f>
        <v/>
      </c>
      <c r="K112" s="3">
        <f>IFERROR(INDEX('TECNICOS'!$E$4:$E$19,MATCH($C112,'TECNICOS'!$B$4:$B$19,0)),"")</f>
        <v/>
      </c>
      <c r="L112" s="12">
        <f>IF($A112="","",DATE(VALUE(LEFT($A112,4)),1,4)-WEEKDAY(DATE(VALUE(LEFT($A112,4)),1,4),2)+1+(VALUE(MID($A112,7,2))-1)*7+MATCH($B112,lista_dias,0)-1)</f>
        <v/>
      </c>
      <c r="M112" s="3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3">
        <f>$A112&amp;"|"&amp;$B112&amp;"|"&amp;$C112</f>
        <v/>
      </c>
      <c r="O112" s="3">
        <f>IFERROR(INDEX('CAT_TURNOS'!$C$4:$C$7,MATCH($J112,'CAT_TURNOS'!$A$4:$A$7,0)),"")</f>
        <v/>
      </c>
      <c r="P112" s="3">
        <f>IFERROR(INDEX('CAT_TURNOS'!$D$4:$D$7,MATCH($J112,'CAT_TURNOS'!$A$4:$A$7,0)),"")</f>
        <v/>
      </c>
      <c r="Q112" s="3">
        <f>IF(AND(LEFT($G112,1)="T",$H112="no"),"sí","no")</f>
        <v/>
      </c>
    </row>
    <row r="113">
      <c r="A113" s="3" t="inlineStr">
        <is>
          <t>2026-S29</t>
        </is>
      </c>
      <c r="B113" s="3" t="inlineStr">
        <is>
          <t>viernes</t>
        </is>
      </c>
      <c r="C113" s="3" t="inlineStr">
        <is>
          <t>Técnico 16</t>
        </is>
      </c>
      <c r="D113" s="3">
        <f>IFERROR(INDEX('TECNICOS'!$D$4:$D$19,MATCH($C113,'TECNICOS'!$B$4:$B$19,0)),"")</f>
        <v/>
      </c>
      <c r="E113" s="3">
        <f>IFERROR(INDEX('TECNICOS'!$C$4:$C$19,MATCH($C113,'TECNICOS'!$B$4:$B$19,0)),"")</f>
        <v/>
      </c>
      <c r="F113" s="3">
        <f>COUNTIFS('TECNICOS'!$F$4:$F$19,"SI",'TECNICOS'!$C$4:$C$19,$E113,'TECNICOS'!$D$4:$D$19,$D113)</f>
        <v/>
      </c>
      <c r="G113" s="3">
        <f>IF(OR($C113="",$A113="",$B113="domingo"),"",IF(IFERROR(INDEX('TECNICOS'!$F$4:$F$19,MATCH($C113,'TECNICOS'!$B$4:$B$19,0)),"NO")&lt;&gt;"SI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3">
        <f>IF(COUNTIFS('PLAN_VACACIONES'!$A$4:$A$103,$C113,'PLAN_VACACIONES'!$B$4:$B$103,"&lt;="&amp;$L113,'PLAN_VACACIONES'!$C$4:$C$103,"&gt;="&amp;$L113)&gt;0,"sí","no")</f>
        <v/>
      </c>
      <c r="I113" s="6" t="n"/>
      <c r="J113" s="3">
        <f>IF($I113&lt;&gt;"",$I113,IF($G113="","",IF($H113="sí","VAC",IF(LEFT($G113,1)="B","B",$G113))))</f>
        <v/>
      </c>
      <c r="K113" s="3">
        <f>IFERROR(INDEX('TECNICOS'!$E$4:$E$19,MATCH($C113,'TECNICOS'!$B$4:$B$19,0)),"")</f>
        <v/>
      </c>
      <c r="L113" s="12">
        <f>IF($A113="","",DATE(VALUE(LEFT($A113,4)),1,4)-WEEKDAY(DATE(VALUE(LEFT($A113,4)),1,4),2)+1+(VALUE(MID($A113,7,2))-1)*7+MATCH($B113,lista_dias,0)-1)</f>
        <v/>
      </c>
      <c r="M113" s="3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3">
        <f>$A113&amp;"|"&amp;$B113&amp;"|"&amp;$C113</f>
        <v/>
      </c>
      <c r="O113" s="3">
        <f>IFERROR(INDEX('CAT_TURNOS'!$C$4:$C$7,MATCH($J113,'CAT_TURNOS'!$A$4:$A$7,0)),"")</f>
        <v/>
      </c>
      <c r="P113" s="3">
        <f>IFERROR(INDEX('CAT_TURNOS'!$D$4:$D$7,MATCH($J113,'CAT_TURNOS'!$A$4:$A$7,0)),"")</f>
        <v/>
      </c>
      <c r="Q113" s="3">
        <f>IF(AND(LEFT($G113,1)="T",$H113="no"),"sí","no")</f>
        <v/>
      </c>
    </row>
    <row r="114">
      <c r="A114" s="3" t="inlineStr">
        <is>
          <t>2026-S29</t>
        </is>
      </c>
      <c r="B114" s="3" t="inlineStr">
        <is>
          <t>sábado</t>
        </is>
      </c>
      <c r="C114" s="3" t="inlineStr">
        <is>
          <t>Técnico 16</t>
        </is>
      </c>
      <c r="D114" s="3">
        <f>IFERROR(INDEX('TECNICOS'!$D$4:$D$19,MATCH($C114,'TECNICOS'!$B$4:$B$19,0)),"")</f>
        <v/>
      </c>
      <c r="E114" s="3">
        <f>IFERROR(INDEX('TECNICOS'!$C$4:$C$19,MATCH($C114,'TECNICOS'!$B$4:$B$19,0)),"")</f>
        <v/>
      </c>
      <c r="F114" s="3">
        <f>COUNTIFS('TECNICOS'!$F$4:$F$19,"SI",'TECNICOS'!$C$4:$C$19,$E114,'TECNICOS'!$D$4:$D$19,$D114)</f>
        <v/>
      </c>
      <c r="G114" s="3">
        <f>IF(OR($C114="",$A114="",$B114="domingo"),"",IF(IFERROR(INDEX('TECNICOS'!$F$4:$F$19,MATCH($C114,'TECNICOS'!$B$4:$B$19,0)),"NO")&lt;&gt;"SI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3">
        <f>IF(COUNTIFS('PLAN_VACACIONES'!$A$4:$A$103,$C114,'PLAN_VACACIONES'!$B$4:$B$103,"&lt;="&amp;$L114,'PLAN_VACACIONES'!$C$4:$C$103,"&gt;="&amp;$L114)&gt;0,"sí","no")</f>
        <v/>
      </c>
      <c r="I114" s="6" t="n"/>
      <c r="J114" s="3">
        <f>IF($I114&lt;&gt;"",$I114,IF($G114="","",IF($H114="sí","VAC",IF(LEFT($G114,1)="B","B",$G114))))</f>
        <v/>
      </c>
      <c r="K114" s="3">
        <f>IFERROR(INDEX('TECNICOS'!$E$4:$E$19,MATCH($C114,'TECNICOS'!$B$4:$B$19,0)),"")</f>
        <v/>
      </c>
      <c r="L114" s="12">
        <f>IF($A114="","",DATE(VALUE(LEFT($A114,4)),1,4)-WEEKDAY(DATE(VALUE(LEFT($A114,4)),1,4),2)+1+(VALUE(MID($A114,7,2))-1)*7+MATCH($B114,lista_dias,0)-1)</f>
        <v/>
      </c>
      <c r="M114" s="3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3">
        <f>$A114&amp;"|"&amp;$B114&amp;"|"&amp;$C114</f>
        <v/>
      </c>
      <c r="O114" s="3">
        <f>IFERROR(INDEX('CAT_TURNOS'!$C$4:$C$7,MATCH($J114,'CAT_TURNOS'!$A$4:$A$7,0)),"")</f>
        <v/>
      </c>
      <c r="P114" s="3">
        <f>IFERROR(INDEX('CAT_TURNOS'!$D$4:$D$7,MATCH($J114,'CAT_TURNOS'!$A$4:$A$7,0)),"")</f>
        <v/>
      </c>
      <c r="Q114" s="3">
        <f>IF(AND(LEFT($G114,1)="T",$H114="no"),"sí","no")</f>
        <v/>
      </c>
    </row>
    <row r="115">
      <c r="A115" s="3" t="inlineStr">
        <is>
          <t>2026-S29</t>
        </is>
      </c>
      <c r="B115" s="3" t="inlineStr">
        <is>
          <t>domingo</t>
        </is>
      </c>
      <c r="C115" s="3" t="inlineStr">
        <is>
          <t>Técnico 16</t>
        </is>
      </c>
      <c r="D115" s="3">
        <f>IFERROR(INDEX('TECNICOS'!$D$4:$D$19,MATCH($C115,'TECNICOS'!$B$4:$B$19,0)),"")</f>
        <v/>
      </c>
      <c r="E115" s="3">
        <f>IFERROR(INDEX('TECNICOS'!$C$4:$C$19,MATCH($C115,'TECNICOS'!$B$4:$B$19,0)),"")</f>
        <v/>
      </c>
      <c r="F115" s="3">
        <f>COUNTIFS('TECNICOS'!$F$4:$F$19,"SI",'TECNICOS'!$C$4:$C$19,$E115,'TECNICOS'!$D$4:$D$19,$D115)</f>
        <v/>
      </c>
      <c r="G115" s="3">
        <f>IF(OR($C115="",$A115="",$B115="domingo"),"",IF(IFERROR(INDEX('TECNICOS'!$F$4:$F$19,MATCH($C115,'TECNICOS'!$B$4:$B$19,0)),"NO")&lt;&gt;"SI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3">
        <f>IF(COUNTIFS('PLAN_VACACIONES'!$A$4:$A$103,$C115,'PLAN_VACACIONES'!$B$4:$B$103,"&lt;="&amp;$L115,'PLAN_VACACIONES'!$C$4:$C$103,"&gt;="&amp;$L115)&gt;0,"sí","no")</f>
        <v/>
      </c>
      <c r="I115" s="6" t="n"/>
      <c r="J115" s="3">
        <f>IF($I115&lt;&gt;"",$I115,IF($G115="","",IF($H115="sí","VAC",IF(LEFT($G115,1)="B","B",$G115))))</f>
        <v/>
      </c>
      <c r="K115" s="3">
        <f>IFERROR(INDEX('TECNICOS'!$E$4:$E$19,MATCH($C115,'TECNICOS'!$B$4:$B$19,0)),"")</f>
        <v/>
      </c>
      <c r="L115" s="12">
        <f>IF($A115="","",DATE(VALUE(LEFT($A115,4)),1,4)-WEEKDAY(DATE(VALUE(LEFT($A115,4)),1,4),2)+1+(VALUE(MID($A115,7,2))-1)*7+MATCH($B115,lista_dias,0)-1)</f>
        <v/>
      </c>
      <c r="M115" s="3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3">
        <f>$A115&amp;"|"&amp;$B115&amp;"|"&amp;$C115</f>
        <v/>
      </c>
      <c r="O115" s="3">
        <f>IFERROR(INDEX('CAT_TURNOS'!$C$4:$C$7,MATCH($J115,'CAT_TURNOS'!$A$4:$A$7,0)),"")</f>
        <v/>
      </c>
      <c r="P115" s="3">
        <f>IFERROR(INDEX('CAT_TURNOS'!$D$4:$D$7,MATCH($J115,'CAT_TURNOS'!$A$4:$A$7,0)),"")</f>
        <v/>
      </c>
      <c r="Q115" s="3">
        <f>IF(AND(LEFT($G115,1)="T",$H115="no"),"sí","no")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01</t>
        </is>
      </c>
      <c r="D116" s="3">
        <f>IFERROR(INDEX('TECNICOS'!$D$4:$D$19,MATCH($C116,'TECNICOS'!$B$4:$B$19,0)),"")</f>
        <v/>
      </c>
      <c r="E116" s="3">
        <f>IFERROR(INDEX('TECNICOS'!$C$4:$C$19,MATCH($C116,'TECNICOS'!$B$4:$B$19,0)),"")</f>
        <v/>
      </c>
      <c r="F116" s="3">
        <f>COUNTIFS('TECNICOS'!$F$4:$F$19,"SI",'TECNICOS'!$C$4:$C$19,$E116,'TECNICOS'!$D$4:$D$19,$D116)</f>
        <v/>
      </c>
      <c r="G116" s="3">
        <f>IF(OR($C116="",$A116="",$B116="domingo"),"",IF(IFERROR(INDEX('TECNICOS'!$F$4:$F$19,MATCH($C116,'TECNICOS'!$B$4:$B$19,0)),"NO")&lt;&gt;"SI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3">
        <f>IF(COUNTIFS('PLAN_VACACIONES'!$A$4:$A$103,$C116,'PLAN_VACACIONES'!$B$4:$B$103,"&lt;="&amp;$L116,'PLAN_VACACIONES'!$C$4:$C$103,"&gt;="&amp;$L116)&gt;0,"sí","no")</f>
        <v/>
      </c>
      <c r="I116" s="6" t="n"/>
      <c r="J116" s="3">
        <f>IF($I116&lt;&gt;"",$I116,IF($G116="","",IF($H116="sí","VAC",IF(LEFT($G116,1)="B","B",$G116))))</f>
        <v/>
      </c>
      <c r="K116" s="3">
        <f>IFERROR(INDEX('TECNICOS'!$E$4:$E$19,MATCH($C116,'TECNICOS'!$B$4:$B$19,0)),"")</f>
        <v/>
      </c>
      <c r="L116" s="12">
        <f>IF($A116="","",DATE(VALUE(LEFT($A116,4)),1,4)-WEEKDAY(DATE(VALUE(LEFT($A116,4)),1,4),2)+1+(VALUE(MID($A116,7,2))-1)*7+MATCH($B116,lista_dias,0)-1)</f>
        <v/>
      </c>
      <c r="M116" s="3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3">
        <f>$A116&amp;"|"&amp;$B116&amp;"|"&amp;$C116</f>
        <v/>
      </c>
      <c r="O116" s="3">
        <f>IFERROR(INDEX('CAT_TURNOS'!$C$4:$C$7,MATCH($J116,'CAT_TURNOS'!$A$4:$A$7,0)),"")</f>
        <v/>
      </c>
      <c r="P116" s="3">
        <f>IFERROR(INDEX('CAT_TURNOS'!$D$4:$D$7,MATCH($J116,'CAT_TURNOS'!$A$4:$A$7,0)),"")</f>
        <v/>
      </c>
      <c r="Q116" s="3">
        <f>IF(AND(LEFT($G116,1)="T",$H116="no"),"sí","no")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01</t>
        </is>
      </c>
      <c r="D117" s="3">
        <f>IFERROR(INDEX('TECNICOS'!$D$4:$D$19,MATCH($C117,'TECNICOS'!$B$4:$B$19,0)),"")</f>
        <v/>
      </c>
      <c r="E117" s="3">
        <f>IFERROR(INDEX('TECNICOS'!$C$4:$C$19,MATCH($C117,'TECNICOS'!$B$4:$B$19,0)),"")</f>
        <v/>
      </c>
      <c r="F117" s="3">
        <f>COUNTIFS('TECNICOS'!$F$4:$F$19,"SI",'TECNICOS'!$C$4:$C$19,$E117,'TECNICOS'!$D$4:$D$19,$D117)</f>
        <v/>
      </c>
      <c r="G117" s="3">
        <f>IF(OR($C117="",$A117="",$B117="domingo"),"",IF(IFERROR(INDEX('TECNICOS'!$F$4:$F$19,MATCH($C117,'TECNICOS'!$B$4:$B$19,0)),"NO")&lt;&gt;"SI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3">
        <f>IF(COUNTIFS('PLAN_VACACIONES'!$A$4:$A$103,$C117,'PLAN_VACACIONES'!$B$4:$B$103,"&lt;="&amp;$L117,'PLAN_VACACIONES'!$C$4:$C$103,"&gt;="&amp;$L117)&gt;0,"sí","no")</f>
        <v/>
      </c>
      <c r="I117" s="6" t="n"/>
      <c r="J117" s="3">
        <f>IF($I117&lt;&gt;"",$I117,IF($G117="","",IF($H117="sí","VAC",IF(LEFT($G117,1)="B","B",$G117))))</f>
        <v/>
      </c>
      <c r="K117" s="3">
        <f>IFERROR(INDEX('TECNICOS'!$E$4:$E$19,MATCH($C117,'TECNICOS'!$B$4:$B$19,0)),"")</f>
        <v/>
      </c>
      <c r="L117" s="12">
        <f>IF($A117="","",DATE(VALUE(LEFT($A117,4)),1,4)-WEEKDAY(DATE(VALUE(LEFT($A117,4)),1,4),2)+1+(VALUE(MID($A117,7,2))-1)*7+MATCH($B117,lista_dias,0)-1)</f>
        <v/>
      </c>
      <c r="M117" s="3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3">
        <f>$A117&amp;"|"&amp;$B117&amp;"|"&amp;$C117</f>
        <v/>
      </c>
      <c r="O117" s="3">
        <f>IFERROR(INDEX('CAT_TURNOS'!$C$4:$C$7,MATCH($J117,'CAT_TURNOS'!$A$4:$A$7,0)),"")</f>
        <v/>
      </c>
      <c r="P117" s="3">
        <f>IFERROR(INDEX('CAT_TURNOS'!$D$4:$D$7,MATCH($J117,'CAT_TURNOS'!$A$4:$A$7,0)),"")</f>
        <v/>
      </c>
      <c r="Q117" s="3">
        <f>IF(AND(LEFT($G117,1)="T",$H117="no"),"sí","no")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01</t>
        </is>
      </c>
      <c r="D118" s="3">
        <f>IFERROR(INDEX('TECNICOS'!$D$4:$D$19,MATCH($C118,'TECNICOS'!$B$4:$B$19,0)),"")</f>
        <v/>
      </c>
      <c r="E118" s="3">
        <f>IFERROR(INDEX('TECNICOS'!$C$4:$C$19,MATCH($C118,'TECNICOS'!$B$4:$B$19,0)),"")</f>
        <v/>
      </c>
      <c r="F118" s="3">
        <f>COUNTIFS('TECNICOS'!$F$4:$F$19,"SI",'TECNICOS'!$C$4:$C$19,$E118,'TECNICOS'!$D$4:$D$19,$D118)</f>
        <v/>
      </c>
      <c r="G118" s="3">
        <f>IF(OR($C118="",$A118="",$B118="domingo"),"",IF(IFERROR(INDEX('TECNICOS'!$F$4:$F$19,MATCH($C118,'TECNICOS'!$B$4:$B$19,0)),"NO")&lt;&gt;"SI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3">
        <f>IF(COUNTIFS('PLAN_VACACIONES'!$A$4:$A$103,$C118,'PLAN_VACACIONES'!$B$4:$B$103,"&lt;="&amp;$L118,'PLAN_VACACIONES'!$C$4:$C$103,"&gt;="&amp;$L118)&gt;0,"sí","no")</f>
        <v/>
      </c>
      <c r="I118" s="6" t="n"/>
      <c r="J118" s="3">
        <f>IF($I118&lt;&gt;"",$I118,IF($G118="","",IF($H118="sí","VAC",IF(LEFT($G118,1)="B","B",$G118))))</f>
        <v/>
      </c>
      <c r="K118" s="3">
        <f>IFERROR(INDEX('TECNICOS'!$E$4:$E$19,MATCH($C118,'TECNICOS'!$B$4:$B$19,0)),"")</f>
        <v/>
      </c>
      <c r="L118" s="12">
        <f>IF($A118="","",DATE(VALUE(LEFT($A118,4)),1,4)-WEEKDAY(DATE(VALUE(LEFT($A118,4)),1,4),2)+1+(VALUE(MID($A118,7,2))-1)*7+MATCH($B118,lista_dias,0)-1)</f>
        <v/>
      </c>
      <c r="M118" s="3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3">
        <f>$A118&amp;"|"&amp;$B118&amp;"|"&amp;$C118</f>
        <v/>
      </c>
      <c r="O118" s="3">
        <f>IFERROR(INDEX('CAT_TURNOS'!$C$4:$C$7,MATCH($J118,'CAT_TURNOS'!$A$4:$A$7,0)),"")</f>
        <v/>
      </c>
      <c r="P118" s="3">
        <f>IFERROR(INDEX('CAT_TURNOS'!$D$4:$D$7,MATCH($J118,'CAT_TURNOS'!$A$4:$A$7,0)),"")</f>
        <v/>
      </c>
      <c r="Q118" s="3">
        <f>IF(AND(LEFT($G118,1)="T",$H118="no"),"sí","no")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01</t>
        </is>
      </c>
      <c r="D119" s="3">
        <f>IFERROR(INDEX('TECNICOS'!$D$4:$D$19,MATCH($C119,'TECNICOS'!$B$4:$B$19,0)),"")</f>
        <v/>
      </c>
      <c r="E119" s="3">
        <f>IFERROR(INDEX('TECNICOS'!$C$4:$C$19,MATCH($C119,'TECNICOS'!$B$4:$B$19,0)),"")</f>
        <v/>
      </c>
      <c r="F119" s="3">
        <f>COUNTIFS('TECNICOS'!$F$4:$F$19,"SI",'TECNICOS'!$C$4:$C$19,$E119,'TECNICOS'!$D$4:$D$19,$D119)</f>
        <v/>
      </c>
      <c r="G119" s="3">
        <f>IF(OR($C119="",$A119="",$B119="domingo"),"",IF(IFERROR(INDEX('TECNICOS'!$F$4:$F$19,MATCH($C119,'TECNICOS'!$B$4:$B$19,0)),"NO")&lt;&gt;"SI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3">
        <f>IF(COUNTIFS('PLAN_VACACIONES'!$A$4:$A$103,$C119,'PLAN_VACACIONES'!$B$4:$B$103,"&lt;="&amp;$L119,'PLAN_VACACIONES'!$C$4:$C$103,"&gt;="&amp;$L119)&gt;0,"sí","no")</f>
        <v/>
      </c>
      <c r="I119" s="6" t="n"/>
      <c r="J119" s="3">
        <f>IF($I119&lt;&gt;"",$I119,IF($G119="","",IF($H119="sí","VAC",IF(LEFT($G119,1)="B","B",$G119))))</f>
        <v/>
      </c>
      <c r="K119" s="3">
        <f>IFERROR(INDEX('TECNICOS'!$E$4:$E$19,MATCH($C119,'TECNICOS'!$B$4:$B$19,0)),"")</f>
        <v/>
      </c>
      <c r="L119" s="12">
        <f>IF($A119="","",DATE(VALUE(LEFT($A119,4)),1,4)-WEEKDAY(DATE(VALUE(LEFT($A119,4)),1,4),2)+1+(VALUE(MID($A119,7,2))-1)*7+MATCH($B119,lista_dias,0)-1)</f>
        <v/>
      </c>
      <c r="M119" s="3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3">
        <f>$A119&amp;"|"&amp;$B119&amp;"|"&amp;$C119</f>
        <v/>
      </c>
      <c r="O119" s="3">
        <f>IFERROR(INDEX('CAT_TURNOS'!$C$4:$C$7,MATCH($J119,'CAT_TURNOS'!$A$4:$A$7,0)),"")</f>
        <v/>
      </c>
      <c r="P119" s="3">
        <f>IFERROR(INDEX('CAT_TURNOS'!$D$4:$D$7,MATCH($J119,'CAT_TURNOS'!$A$4:$A$7,0)),"")</f>
        <v/>
      </c>
      <c r="Q119" s="3">
        <f>IF(AND(LEFT($G119,1)="T",$H119="no"),"sí","no")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01</t>
        </is>
      </c>
      <c r="D120" s="3">
        <f>IFERROR(INDEX('TECNICOS'!$D$4:$D$19,MATCH($C120,'TECNICOS'!$B$4:$B$19,0)),"")</f>
        <v/>
      </c>
      <c r="E120" s="3">
        <f>IFERROR(INDEX('TECNICOS'!$C$4:$C$19,MATCH($C120,'TECNICOS'!$B$4:$B$19,0)),"")</f>
        <v/>
      </c>
      <c r="F120" s="3">
        <f>COUNTIFS('TECNICOS'!$F$4:$F$19,"SI",'TECNICOS'!$C$4:$C$19,$E120,'TECNICOS'!$D$4:$D$19,$D120)</f>
        <v/>
      </c>
      <c r="G120" s="3">
        <f>IF(OR($C120="",$A120="",$B120="domingo"),"",IF(IFERROR(INDEX('TECNICOS'!$F$4:$F$19,MATCH($C120,'TECNICOS'!$B$4:$B$19,0)),"NO")&lt;&gt;"SI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3">
        <f>IF(COUNTIFS('PLAN_VACACIONES'!$A$4:$A$103,$C120,'PLAN_VACACIONES'!$B$4:$B$103,"&lt;="&amp;$L120,'PLAN_VACACIONES'!$C$4:$C$103,"&gt;="&amp;$L120)&gt;0,"sí","no")</f>
        <v/>
      </c>
      <c r="I120" s="6" t="n"/>
      <c r="J120" s="3">
        <f>IF($I120&lt;&gt;"",$I120,IF($G120="","",IF($H120="sí","VAC",IF(LEFT($G120,1)="B","B",$G120))))</f>
        <v/>
      </c>
      <c r="K120" s="3">
        <f>IFERROR(INDEX('TECNICOS'!$E$4:$E$19,MATCH($C120,'TECNICOS'!$B$4:$B$19,0)),"")</f>
        <v/>
      </c>
      <c r="L120" s="12">
        <f>IF($A120="","",DATE(VALUE(LEFT($A120,4)),1,4)-WEEKDAY(DATE(VALUE(LEFT($A120,4)),1,4),2)+1+(VALUE(MID($A120,7,2))-1)*7+MATCH($B120,lista_dias,0)-1)</f>
        <v/>
      </c>
      <c r="M120" s="3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3">
        <f>$A120&amp;"|"&amp;$B120&amp;"|"&amp;$C120</f>
        <v/>
      </c>
      <c r="O120" s="3">
        <f>IFERROR(INDEX('CAT_TURNOS'!$C$4:$C$7,MATCH($J120,'CAT_TURNOS'!$A$4:$A$7,0)),"")</f>
        <v/>
      </c>
      <c r="P120" s="3">
        <f>IFERROR(INDEX('CAT_TURNOS'!$D$4:$D$7,MATCH($J120,'CAT_TURNOS'!$A$4:$A$7,0)),"")</f>
        <v/>
      </c>
      <c r="Q120" s="3">
        <f>IF(AND(LEFT($G120,1)="T",$H120="no"),"sí","no")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01</t>
        </is>
      </c>
      <c r="D121" s="3">
        <f>IFERROR(INDEX('TECNICOS'!$D$4:$D$19,MATCH($C121,'TECNICOS'!$B$4:$B$19,0)),"")</f>
        <v/>
      </c>
      <c r="E121" s="3">
        <f>IFERROR(INDEX('TECNICOS'!$C$4:$C$19,MATCH($C121,'TECNICOS'!$B$4:$B$19,0)),"")</f>
        <v/>
      </c>
      <c r="F121" s="3">
        <f>COUNTIFS('TECNICOS'!$F$4:$F$19,"SI",'TECNICOS'!$C$4:$C$19,$E121,'TECNICOS'!$D$4:$D$19,$D121)</f>
        <v/>
      </c>
      <c r="G121" s="3">
        <f>IF(OR($C121="",$A121="",$B121="domingo"),"",IF(IFERROR(INDEX('TECNICOS'!$F$4:$F$19,MATCH($C121,'TECNICOS'!$B$4:$B$19,0)),"NO")&lt;&gt;"SI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3">
        <f>IF(COUNTIFS('PLAN_VACACIONES'!$A$4:$A$103,$C121,'PLAN_VACACIONES'!$B$4:$B$103,"&lt;="&amp;$L121,'PLAN_VACACIONES'!$C$4:$C$103,"&gt;="&amp;$L121)&gt;0,"sí","no")</f>
        <v/>
      </c>
      <c r="I121" s="6" t="n"/>
      <c r="J121" s="3">
        <f>IF($I121&lt;&gt;"",$I121,IF($G121="","",IF($H121="sí","VAC",IF(LEFT($G121,1)="B","B",$G121))))</f>
        <v/>
      </c>
      <c r="K121" s="3">
        <f>IFERROR(INDEX('TECNICOS'!$E$4:$E$19,MATCH($C121,'TECNICOS'!$B$4:$B$19,0)),"")</f>
        <v/>
      </c>
      <c r="L121" s="12">
        <f>IF($A121="","",DATE(VALUE(LEFT($A121,4)),1,4)-WEEKDAY(DATE(VALUE(LEFT($A121,4)),1,4),2)+1+(VALUE(MID($A121,7,2))-1)*7+MATCH($B121,lista_dias,0)-1)</f>
        <v/>
      </c>
      <c r="M121" s="3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3">
        <f>$A121&amp;"|"&amp;$B121&amp;"|"&amp;$C121</f>
        <v/>
      </c>
      <c r="O121" s="3">
        <f>IFERROR(INDEX('CAT_TURNOS'!$C$4:$C$7,MATCH($J121,'CAT_TURNOS'!$A$4:$A$7,0)),"")</f>
        <v/>
      </c>
      <c r="P121" s="3">
        <f>IFERROR(INDEX('CAT_TURNOS'!$D$4:$D$7,MATCH($J121,'CAT_TURNOS'!$A$4:$A$7,0)),"")</f>
        <v/>
      </c>
      <c r="Q121" s="3">
        <f>IF(AND(LEFT($G121,1)="T",$H121="no"),"sí","no")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01</t>
        </is>
      </c>
      <c r="D122" s="3">
        <f>IFERROR(INDEX('TECNICOS'!$D$4:$D$19,MATCH($C122,'TECNICOS'!$B$4:$B$19,0)),"")</f>
        <v/>
      </c>
      <c r="E122" s="3">
        <f>IFERROR(INDEX('TECNICOS'!$C$4:$C$19,MATCH($C122,'TECNICOS'!$B$4:$B$19,0)),"")</f>
        <v/>
      </c>
      <c r="F122" s="3">
        <f>COUNTIFS('TECNICOS'!$F$4:$F$19,"SI",'TECNICOS'!$C$4:$C$19,$E122,'TECNICOS'!$D$4:$D$19,$D122)</f>
        <v/>
      </c>
      <c r="G122" s="3">
        <f>IF(OR($C122="",$A122="",$B122="domingo"),"",IF(IFERROR(INDEX('TECNICOS'!$F$4:$F$19,MATCH($C122,'TECNICOS'!$B$4:$B$19,0)),"NO")&lt;&gt;"SI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3">
        <f>IF(COUNTIFS('PLAN_VACACIONES'!$A$4:$A$103,$C122,'PLAN_VACACIONES'!$B$4:$B$103,"&lt;="&amp;$L122,'PLAN_VACACIONES'!$C$4:$C$103,"&gt;="&amp;$L122)&gt;0,"sí","no")</f>
        <v/>
      </c>
      <c r="I122" s="6" t="n"/>
      <c r="J122" s="3">
        <f>IF($I122&lt;&gt;"",$I122,IF($G122="","",IF($H122="sí","VAC",IF(LEFT($G122,1)="B","B",$G122))))</f>
        <v/>
      </c>
      <c r="K122" s="3">
        <f>IFERROR(INDEX('TECNICOS'!$E$4:$E$19,MATCH($C122,'TECNICOS'!$B$4:$B$19,0)),"")</f>
        <v/>
      </c>
      <c r="L122" s="12">
        <f>IF($A122="","",DATE(VALUE(LEFT($A122,4)),1,4)-WEEKDAY(DATE(VALUE(LEFT($A122,4)),1,4),2)+1+(VALUE(MID($A122,7,2))-1)*7+MATCH($B122,lista_dias,0)-1)</f>
        <v/>
      </c>
      <c r="M122" s="3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3">
        <f>$A122&amp;"|"&amp;$B122&amp;"|"&amp;$C122</f>
        <v/>
      </c>
      <c r="O122" s="3">
        <f>IFERROR(INDEX('CAT_TURNOS'!$C$4:$C$7,MATCH($J122,'CAT_TURNOS'!$A$4:$A$7,0)),"")</f>
        <v/>
      </c>
      <c r="P122" s="3">
        <f>IFERROR(INDEX('CAT_TURNOS'!$D$4:$D$7,MATCH($J122,'CAT_TURNOS'!$A$4:$A$7,0)),"")</f>
        <v/>
      </c>
      <c r="Q122" s="3">
        <f>IF(AND(LEFT($G122,1)="T",$H122="no"),"sí","no")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02</t>
        </is>
      </c>
      <c r="D123" s="3">
        <f>IFERROR(INDEX('TECNICOS'!$D$4:$D$19,MATCH($C123,'TECNICOS'!$B$4:$B$19,0)),"")</f>
        <v/>
      </c>
      <c r="E123" s="3">
        <f>IFERROR(INDEX('TECNICOS'!$C$4:$C$19,MATCH($C123,'TECNICOS'!$B$4:$B$19,0)),"")</f>
        <v/>
      </c>
      <c r="F123" s="3">
        <f>COUNTIFS('TECNICOS'!$F$4:$F$19,"SI",'TECNICOS'!$C$4:$C$19,$E123,'TECNICOS'!$D$4:$D$19,$D123)</f>
        <v/>
      </c>
      <c r="G123" s="3">
        <f>IF(OR($C123="",$A123="",$B123="domingo"),"",IF(IFERROR(INDEX('TECNICOS'!$F$4:$F$19,MATCH($C123,'TECNICOS'!$B$4:$B$19,0)),"NO")&lt;&gt;"SI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3">
        <f>IF(COUNTIFS('PLAN_VACACIONES'!$A$4:$A$103,$C123,'PLAN_VACACIONES'!$B$4:$B$103,"&lt;="&amp;$L123,'PLAN_VACACIONES'!$C$4:$C$103,"&gt;="&amp;$L123)&gt;0,"sí","no")</f>
        <v/>
      </c>
      <c r="I123" s="6" t="n"/>
      <c r="J123" s="3">
        <f>IF($I123&lt;&gt;"",$I123,IF($G123="","",IF($H123="sí","VAC",IF(LEFT($G123,1)="B","B",$G123))))</f>
        <v/>
      </c>
      <c r="K123" s="3">
        <f>IFERROR(INDEX('TECNICOS'!$E$4:$E$19,MATCH($C123,'TECNICOS'!$B$4:$B$19,0)),"")</f>
        <v/>
      </c>
      <c r="L123" s="12">
        <f>IF($A123="","",DATE(VALUE(LEFT($A123,4)),1,4)-WEEKDAY(DATE(VALUE(LEFT($A123,4)),1,4),2)+1+(VALUE(MID($A123,7,2))-1)*7+MATCH($B123,lista_dias,0)-1)</f>
        <v/>
      </c>
      <c r="M123" s="3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3">
        <f>$A123&amp;"|"&amp;$B123&amp;"|"&amp;$C123</f>
        <v/>
      </c>
      <c r="O123" s="3">
        <f>IFERROR(INDEX('CAT_TURNOS'!$C$4:$C$7,MATCH($J123,'CAT_TURNOS'!$A$4:$A$7,0)),"")</f>
        <v/>
      </c>
      <c r="P123" s="3">
        <f>IFERROR(INDEX('CAT_TURNOS'!$D$4:$D$7,MATCH($J123,'CAT_TURNOS'!$A$4:$A$7,0)),"")</f>
        <v/>
      </c>
      <c r="Q123" s="3">
        <f>IF(AND(LEFT($G123,1)="T",$H123="no"),"sí","no")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02</t>
        </is>
      </c>
      <c r="D124" s="3">
        <f>IFERROR(INDEX('TECNICOS'!$D$4:$D$19,MATCH($C124,'TECNICOS'!$B$4:$B$19,0)),"")</f>
        <v/>
      </c>
      <c r="E124" s="3">
        <f>IFERROR(INDEX('TECNICOS'!$C$4:$C$19,MATCH($C124,'TECNICOS'!$B$4:$B$19,0)),"")</f>
        <v/>
      </c>
      <c r="F124" s="3">
        <f>COUNTIFS('TECNICOS'!$F$4:$F$19,"SI",'TECNICOS'!$C$4:$C$19,$E124,'TECNICOS'!$D$4:$D$19,$D124)</f>
        <v/>
      </c>
      <c r="G124" s="3">
        <f>IF(OR($C124="",$A124="",$B124="domingo"),"",IF(IFERROR(INDEX('TECNICOS'!$F$4:$F$19,MATCH($C124,'TECNICOS'!$B$4:$B$19,0)),"NO")&lt;&gt;"SI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3">
        <f>IF(COUNTIFS('PLAN_VACACIONES'!$A$4:$A$103,$C124,'PLAN_VACACIONES'!$B$4:$B$103,"&lt;="&amp;$L124,'PLAN_VACACIONES'!$C$4:$C$103,"&gt;="&amp;$L124)&gt;0,"sí","no")</f>
        <v/>
      </c>
      <c r="I124" s="6" t="n"/>
      <c r="J124" s="3">
        <f>IF($I124&lt;&gt;"",$I124,IF($G124="","",IF($H124="sí","VAC",IF(LEFT($G124,1)="B","B",$G124))))</f>
        <v/>
      </c>
      <c r="K124" s="3">
        <f>IFERROR(INDEX('TECNICOS'!$E$4:$E$19,MATCH($C124,'TECNICOS'!$B$4:$B$19,0)),"")</f>
        <v/>
      </c>
      <c r="L124" s="12">
        <f>IF($A124="","",DATE(VALUE(LEFT($A124,4)),1,4)-WEEKDAY(DATE(VALUE(LEFT($A124,4)),1,4),2)+1+(VALUE(MID($A124,7,2))-1)*7+MATCH($B124,lista_dias,0)-1)</f>
        <v/>
      </c>
      <c r="M124" s="3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3">
        <f>$A124&amp;"|"&amp;$B124&amp;"|"&amp;$C124</f>
        <v/>
      </c>
      <c r="O124" s="3">
        <f>IFERROR(INDEX('CAT_TURNOS'!$C$4:$C$7,MATCH($J124,'CAT_TURNOS'!$A$4:$A$7,0)),"")</f>
        <v/>
      </c>
      <c r="P124" s="3">
        <f>IFERROR(INDEX('CAT_TURNOS'!$D$4:$D$7,MATCH($J124,'CAT_TURNOS'!$A$4:$A$7,0)),"")</f>
        <v/>
      </c>
      <c r="Q124" s="3">
        <f>IF(AND(LEFT($G124,1)="T",$H124="no"),"sí","no")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02</t>
        </is>
      </c>
      <c r="D125" s="3">
        <f>IFERROR(INDEX('TECNICOS'!$D$4:$D$19,MATCH($C125,'TECNICOS'!$B$4:$B$19,0)),"")</f>
        <v/>
      </c>
      <c r="E125" s="3">
        <f>IFERROR(INDEX('TECNICOS'!$C$4:$C$19,MATCH($C125,'TECNICOS'!$B$4:$B$19,0)),"")</f>
        <v/>
      </c>
      <c r="F125" s="3">
        <f>COUNTIFS('TECNICOS'!$F$4:$F$19,"SI",'TECNICOS'!$C$4:$C$19,$E125,'TECNICOS'!$D$4:$D$19,$D125)</f>
        <v/>
      </c>
      <c r="G125" s="3">
        <f>IF(OR($C125="",$A125="",$B125="domingo"),"",IF(IFERROR(INDEX('TECNICOS'!$F$4:$F$19,MATCH($C125,'TECNICOS'!$B$4:$B$19,0)),"NO")&lt;&gt;"SI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3">
        <f>IF(COUNTIFS('PLAN_VACACIONES'!$A$4:$A$103,$C125,'PLAN_VACACIONES'!$B$4:$B$103,"&lt;="&amp;$L125,'PLAN_VACACIONES'!$C$4:$C$103,"&gt;="&amp;$L125)&gt;0,"sí","no")</f>
        <v/>
      </c>
      <c r="I125" s="6" t="n"/>
      <c r="J125" s="3">
        <f>IF($I125&lt;&gt;"",$I125,IF($G125="","",IF($H125="sí","VAC",IF(LEFT($G125,1)="B","B",$G125))))</f>
        <v/>
      </c>
      <c r="K125" s="3">
        <f>IFERROR(INDEX('TECNICOS'!$E$4:$E$19,MATCH($C125,'TECNICOS'!$B$4:$B$19,0)),"")</f>
        <v/>
      </c>
      <c r="L125" s="12">
        <f>IF($A125="","",DATE(VALUE(LEFT($A125,4)),1,4)-WEEKDAY(DATE(VALUE(LEFT($A125,4)),1,4),2)+1+(VALUE(MID($A125,7,2))-1)*7+MATCH($B125,lista_dias,0)-1)</f>
        <v/>
      </c>
      <c r="M125" s="3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3">
        <f>$A125&amp;"|"&amp;$B125&amp;"|"&amp;$C125</f>
        <v/>
      </c>
      <c r="O125" s="3">
        <f>IFERROR(INDEX('CAT_TURNOS'!$C$4:$C$7,MATCH($J125,'CAT_TURNOS'!$A$4:$A$7,0)),"")</f>
        <v/>
      </c>
      <c r="P125" s="3">
        <f>IFERROR(INDEX('CAT_TURNOS'!$D$4:$D$7,MATCH($J125,'CAT_TURNOS'!$A$4:$A$7,0)),"")</f>
        <v/>
      </c>
      <c r="Q125" s="3">
        <f>IF(AND(LEFT($G125,1)="T",$H125="no"),"sí","no")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02</t>
        </is>
      </c>
      <c r="D126" s="3">
        <f>IFERROR(INDEX('TECNICOS'!$D$4:$D$19,MATCH($C126,'TECNICOS'!$B$4:$B$19,0)),"")</f>
        <v/>
      </c>
      <c r="E126" s="3">
        <f>IFERROR(INDEX('TECNICOS'!$C$4:$C$19,MATCH($C126,'TECNICOS'!$B$4:$B$19,0)),"")</f>
        <v/>
      </c>
      <c r="F126" s="3">
        <f>COUNTIFS('TECNICOS'!$F$4:$F$19,"SI",'TECNICOS'!$C$4:$C$19,$E126,'TECNICOS'!$D$4:$D$19,$D126)</f>
        <v/>
      </c>
      <c r="G126" s="3">
        <f>IF(OR($C126="",$A126="",$B126="domingo"),"",IF(IFERROR(INDEX('TECNICOS'!$F$4:$F$19,MATCH($C126,'TECNICOS'!$B$4:$B$19,0)),"NO")&lt;&gt;"SI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3">
        <f>IF(COUNTIFS('PLAN_VACACIONES'!$A$4:$A$103,$C126,'PLAN_VACACIONES'!$B$4:$B$103,"&lt;="&amp;$L126,'PLAN_VACACIONES'!$C$4:$C$103,"&gt;="&amp;$L126)&gt;0,"sí","no")</f>
        <v/>
      </c>
      <c r="I126" s="6" t="n"/>
      <c r="J126" s="3">
        <f>IF($I126&lt;&gt;"",$I126,IF($G126="","",IF($H126="sí","VAC",IF(LEFT($G126,1)="B","B",$G126))))</f>
        <v/>
      </c>
      <c r="K126" s="3">
        <f>IFERROR(INDEX('TECNICOS'!$E$4:$E$19,MATCH($C126,'TECNICOS'!$B$4:$B$19,0)),"")</f>
        <v/>
      </c>
      <c r="L126" s="12">
        <f>IF($A126="","",DATE(VALUE(LEFT($A126,4)),1,4)-WEEKDAY(DATE(VALUE(LEFT($A126,4)),1,4),2)+1+(VALUE(MID($A126,7,2))-1)*7+MATCH($B126,lista_dias,0)-1)</f>
        <v/>
      </c>
      <c r="M126" s="3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3">
        <f>$A126&amp;"|"&amp;$B126&amp;"|"&amp;$C126</f>
        <v/>
      </c>
      <c r="O126" s="3">
        <f>IFERROR(INDEX('CAT_TURNOS'!$C$4:$C$7,MATCH($J126,'CAT_TURNOS'!$A$4:$A$7,0)),"")</f>
        <v/>
      </c>
      <c r="P126" s="3">
        <f>IFERROR(INDEX('CAT_TURNOS'!$D$4:$D$7,MATCH($J126,'CAT_TURNOS'!$A$4:$A$7,0)),"")</f>
        <v/>
      </c>
      <c r="Q126" s="3">
        <f>IF(AND(LEFT($G126,1)="T",$H126="no"),"sí","no")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02</t>
        </is>
      </c>
      <c r="D127" s="3">
        <f>IFERROR(INDEX('TECNICOS'!$D$4:$D$19,MATCH($C127,'TECNICOS'!$B$4:$B$19,0)),"")</f>
        <v/>
      </c>
      <c r="E127" s="3">
        <f>IFERROR(INDEX('TECNICOS'!$C$4:$C$19,MATCH($C127,'TECNICOS'!$B$4:$B$19,0)),"")</f>
        <v/>
      </c>
      <c r="F127" s="3">
        <f>COUNTIFS('TECNICOS'!$F$4:$F$19,"SI",'TECNICOS'!$C$4:$C$19,$E127,'TECNICOS'!$D$4:$D$19,$D127)</f>
        <v/>
      </c>
      <c r="G127" s="3">
        <f>IF(OR($C127="",$A127="",$B127="domingo"),"",IF(IFERROR(INDEX('TECNICOS'!$F$4:$F$19,MATCH($C127,'TECNICOS'!$B$4:$B$19,0)),"NO")&lt;&gt;"SI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3">
        <f>IF(COUNTIFS('PLAN_VACACIONES'!$A$4:$A$103,$C127,'PLAN_VACACIONES'!$B$4:$B$103,"&lt;="&amp;$L127,'PLAN_VACACIONES'!$C$4:$C$103,"&gt;="&amp;$L127)&gt;0,"sí","no")</f>
        <v/>
      </c>
      <c r="I127" s="6" t="n"/>
      <c r="J127" s="3">
        <f>IF($I127&lt;&gt;"",$I127,IF($G127="","",IF($H127="sí","VAC",IF(LEFT($G127,1)="B","B",$G127))))</f>
        <v/>
      </c>
      <c r="K127" s="3">
        <f>IFERROR(INDEX('TECNICOS'!$E$4:$E$19,MATCH($C127,'TECNICOS'!$B$4:$B$19,0)),"")</f>
        <v/>
      </c>
      <c r="L127" s="12">
        <f>IF($A127="","",DATE(VALUE(LEFT($A127,4)),1,4)-WEEKDAY(DATE(VALUE(LEFT($A127,4)),1,4),2)+1+(VALUE(MID($A127,7,2))-1)*7+MATCH($B127,lista_dias,0)-1)</f>
        <v/>
      </c>
      <c r="M127" s="3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3">
        <f>$A127&amp;"|"&amp;$B127&amp;"|"&amp;$C127</f>
        <v/>
      </c>
      <c r="O127" s="3">
        <f>IFERROR(INDEX('CAT_TURNOS'!$C$4:$C$7,MATCH($J127,'CAT_TURNOS'!$A$4:$A$7,0)),"")</f>
        <v/>
      </c>
      <c r="P127" s="3">
        <f>IFERROR(INDEX('CAT_TURNOS'!$D$4:$D$7,MATCH($J127,'CAT_TURNOS'!$A$4:$A$7,0)),"")</f>
        <v/>
      </c>
      <c r="Q127" s="3">
        <f>IF(AND(LEFT($G127,1)="T",$H127="no"),"sí","no")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02</t>
        </is>
      </c>
      <c r="D128" s="3">
        <f>IFERROR(INDEX('TECNICOS'!$D$4:$D$19,MATCH($C128,'TECNICOS'!$B$4:$B$19,0)),"")</f>
        <v/>
      </c>
      <c r="E128" s="3">
        <f>IFERROR(INDEX('TECNICOS'!$C$4:$C$19,MATCH($C128,'TECNICOS'!$B$4:$B$19,0)),"")</f>
        <v/>
      </c>
      <c r="F128" s="3">
        <f>COUNTIFS('TECNICOS'!$F$4:$F$19,"SI",'TECNICOS'!$C$4:$C$19,$E128,'TECNICOS'!$D$4:$D$19,$D128)</f>
        <v/>
      </c>
      <c r="G128" s="3">
        <f>IF(OR($C128="",$A128="",$B128="domingo"),"",IF(IFERROR(INDEX('TECNICOS'!$F$4:$F$19,MATCH($C128,'TECNICOS'!$B$4:$B$19,0)),"NO")&lt;&gt;"SI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3">
        <f>IF(COUNTIFS('PLAN_VACACIONES'!$A$4:$A$103,$C128,'PLAN_VACACIONES'!$B$4:$B$103,"&lt;="&amp;$L128,'PLAN_VACACIONES'!$C$4:$C$103,"&gt;="&amp;$L128)&gt;0,"sí","no")</f>
        <v/>
      </c>
      <c r="I128" s="6" t="n"/>
      <c r="J128" s="3">
        <f>IF($I128&lt;&gt;"",$I128,IF($G128="","",IF($H128="sí","VAC",IF(LEFT($G128,1)="B","B",$G128))))</f>
        <v/>
      </c>
      <c r="K128" s="3">
        <f>IFERROR(INDEX('TECNICOS'!$E$4:$E$19,MATCH($C128,'TECNICOS'!$B$4:$B$19,0)),"")</f>
        <v/>
      </c>
      <c r="L128" s="12">
        <f>IF($A128="","",DATE(VALUE(LEFT($A128,4)),1,4)-WEEKDAY(DATE(VALUE(LEFT($A128,4)),1,4),2)+1+(VALUE(MID($A128,7,2))-1)*7+MATCH($B128,lista_dias,0)-1)</f>
        <v/>
      </c>
      <c r="M128" s="3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3">
        <f>$A128&amp;"|"&amp;$B128&amp;"|"&amp;$C128</f>
        <v/>
      </c>
      <c r="O128" s="3">
        <f>IFERROR(INDEX('CAT_TURNOS'!$C$4:$C$7,MATCH($J128,'CAT_TURNOS'!$A$4:$A$7,0)),"")</f>
        <v/>
      </c>
      <c r="P128" s="3">
        <f>IFERROR(INDEX('CAT_TURNOS'!$D$4:$D$7,MATCH($J128,'CAT_TURNOS'!$A$4:$A$7,0)),"")</f>
        <v/>
      </c>
      <c r="Q128" s="3">
        <f>IF(AND(LEFT($G128,1)="T",$H128="no"),"sí","no")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02</t>
        </is>
      </c>
      <c r="D129" s="3">
        <f>IFERROR(INDEX('TECNICOS'!$D$4:$D$19,MATCH($C129,'TECNICOS'!$B$4:$B$19,0)),"")</f>
        <v/>
      </c>
      <c r="E129" s="3">
        <f>IFERROR(INDEX('TECNICOS'!$C$4:$C$19,MATCH($C129,'TECNICOS'!$B$4:$B$19,0)),"")</f>
        <v/>
      </c>
      <c r="F129" s="3">
        <f>COUNTIFS('TECNICOS'!$F$4:$F$19,"SI",'TECNICOS'!$C$4:$C$19,$E129,'TECNICOS'!$D$4:$D$19,$D129)</f>
        <v/>
      </c>
      <c r="G129" s="3">
        <f>IF(OR($C129="",$A129="",$B129="domingo"),"",IF(IFERROR(INDEX('TECNICOS'!$F$4:$F$19,MATCH($C129,'TECNICOS'!$B$4:$B$19,0)),"NO")&lt;&gt;"SI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3">
        <f>IF(COUNTIFS('PLAN_VACACIONES'!$A$4:$A$103,$C129,'PLAN_VACACIONES'!$B$4:$B$103,"&lt;="&amp;$L129,'PLAN_VACACIONES'!$C$4:$C$103,"&gt;="&amp;$L129)&gt;0,"sí","no")</f>
        <v/>
      </c>
      <c r="I129" s="6" t="n"/>
      <c r="J129" s="3">
        <f>IF($I129&lt;&gt;"",$I129,IF($G129="","",IF($H129="sí","VAC",IF(LEFT($G129,1)="B","B",$G129))))</f>
        <v/>
      </c>
      <c r="K129" s="3">
        <f>IFERROR(INDEX('TECNICOS'!$E$4:$E$19,MATCH($C129,'TECNICOS'!$B$4:$B$19,0)),"")</f>
        <v/>
      </c>
      <c r="L129" s="12">
        <f>IF($A129="","",DATE(VALUE(LEFT($A129,4)),1,4)-WEEKDAY(DATE(VALUE(LEFT($A129,4)),1,4),2)+1+(VALUE(MID($A129,7,2))-1)*7+MATCH($B129,lista_dias,0)-1)</f>
        <v/>
      </c>
      <c r="M129" s="3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3">
        <f>$A129&amp;"|"&amp;$B129&amp;"|"&amp;$C129</f>
        <v/>
      </c>
      <c r="O129" s="3">
        <f>IFERROR(INDEX('CAT_TURNOS'!$C$4:$C$7,MATCH($J129,'CAT_TURNOS'!$A$4:$A$7,0)),"")</f>
        <v/>
      </c>
      <c r="P129" s="3">
        <f>IFERROR(INDEX('CAT_TURNOS'!$D$4:$D$7,MATCH($J129,'CAT_TURNOS'!$A$4:$A$7,0)),"")</f>
        <v/>
      </c>
      <c r="Q129" s="3">
        <f>IF(AND(LEFT($G129,1)="T",$H129="no"),"sí","no")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03</t>
        </is>
      </c>
      <c r="D130" s="3">
        <f>IFERROR(INDEX('TECNICOS'!$D$4:$D$19,MATCH($C130,'TECNICOS'!$B$4:$B$19,0)),"")</f>
        <v/>
      </c>
      <c r="E130" s="3">
        <f>IFERROR(INDEX('TECNICOS'!$C$4:$C$19,MATCH($C130,'TECNICOS'!$B$4:$B$19,0)),"")</f>
        <v/>
      </c>
      <c r="F130" s="3">
        <f>COUNTIFS('TECNICOS'!$F$4:$F$19,"SI",'TECNICOS'!$C$4:$C$19,$E130,'TECNICOS'!$D$4:$D$19,$D130)</f>
        <v/>
      </c>
      <c r="G130" s="3">
        <f>IF(OR($C130="",$A130="",$B130="domingo"),"",IF(IFERROR(INDEX('TECNICOS'!$F$4:$F$19,MATCH($C130,'TECNICOS'!$B$4:$B$19,0)),"NO")&lt;&gt;"SI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3">
        <f>IF(COUNTIFS('PLAN_VACACIONES'!$A$4:$A$103,$C130,'PLAN_VACACIONES'!$B$4:$B$103,"&lt;="&amp;$L130,'PLAN_VACACIONES'!$C$4:$C$103,"&gt;="&amp;$L130)&gt;0,"sí","no")</f>
        <v/>
      </c>
      <c r="I130" s="6" t="n"/>
      <c r="J130" s="3">
        <f>IF($I130&lt;&gt;"",$I130,IF($G130="","",IF($H130="sí","VAC",IF(LEFT($G130,1)="B","B",$G130))))</f>
        <v/>
      </c>
      <c r="K130" s="3">
        <f>IFERROR(INDEX('TECNICOS'!$E$4:$E$19,MATCH($C130,'TECNICOS'!$B$4:$B$19,0)),"")</f>
        <v/>
      </c>
      <c r="L130" s="12">
        <f>IF($A130="","",DATE(VALUE(LEFT($A130,4)),1,4)-WEEKDAY(DATE(VALUE(LEFT($A130,4)),1,4),2)+1+(VALUE(MID($A130,7,2))-1)*7+MATCH($B130,lista_dias,0)-1)</f>
        <v/>
      </c>
      <c r="M130" s="3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3">
        <f>$A130&amp;"|"&amp;$B130&amp;"|"&amp;$C130</f>
        <v/>
      </c>
      <c r="O130" s="3">
        <f>IFERROR(INDEX('CAT_TURNOS'!$C$4:$C$7,MATCH($J130,'CAT_TURNOS'!$A$4:$A$7,0)),"")</f>
        <v/>
      </c>
      <c r="P130" s="3">
        <f>IFERROR(INDEX('CAT_TURNOS'!$D$4:$D$7,MATCH($J130,'CAT_TURNOS'!$A$4:$A$7,0)),"")</f>
        <v/>
      </c>
      <c r="Q130" s="3">
        <f>IF(AND(LEFT($G130,1)="T",$H130="no"),"sí","no")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03</t>
        </is>
      </c>
      <c r="D131" s="3">
        <f>IFERROR(INDEX('TECNICOS'!$D$4:$D$19,MATCH($C131,'TECNICOS'!$B$4:$B$19,0)),"")</f>
        <v/>
      </c>
      <c r="E131" s="3">
        <f>IFERROR(INDEX('TECNICOS'!$C$4:$C$19,MATCH($C131,'TECNICOS'!$B$4:$B$19,0)),"")</f>
        <v/>
      </c>
      <c r="F131" s="3">
        <f>COUNTIFS('TECNICOS'!$F$4:$F$19,"SI",'TECNICOS'!$C$4:$C$19,$E131,'TECNICOS'!$D$4:$D$19,$D131)</f>
        <v/>
      </c>
      <c r="G131" s="3">
        <f>IF(OR($C131="",$A131="",$B131="domingo"),"",IF(IFERROR(INDEX('TECNICOS'!$F$4:$F$19,MATCH($C131,'TECNICOS'!$B$4:$B$19,0)),"NO")&lt;&gt;"SI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3">
        <f>IF(COUNTIFS('PLAN_VACACIONES'!$A$4:$A$103,$C131,'PLAN_VACACIONES'!$B$4:$B$103,"&lt;="&amp;$L131,'PLAN_VACACIONES'!$C$4:$C$103,"&gt;="&amp;$L131)&gt;0,"sí","no")</f>
        <v/>
      </c>
      <c r="I131" s="6" t="n"/>
      <c r="J131" s="3">
        <f>IF($I131&lt;&gt;"",$I131,IF($G131="","",IF($H131="sí","VAC",IF(LEFT($G131,1)="B","B",$G131))))</f>
        <v/>
      </c>
      <c r="K131" s="3">
        <f>IFERROR(INDEX('TECNICOS'!$E$4:$E$19,MATCH($C131,'TECNICOS'!$B$4:$B$19,0)),"")</f>
        <v/>
      </c>
      <c r="L131" s="12">
        <f>IF($A131="","",DATE(VALUE(LEFT($A131,4)),1,4)-WEEKDAY(DATE(VALUE(LEFT($A131,4)),1,4),2)+1+(VALUE(MID($A131,7,2))-1)*7+MATCH($B131,lista_dias,0)-1)</f>
        <v/>
      </c>
      <c r="M131" s="3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3">
        <f>$A131&amp;"|"&amp;$B131&amp;"|"&amp;$C131</f>
        <v/>
      </c>
      <c r="O131" s="3">
        <f>IFERROR(INDEX('CAT_TURNOS'!$C$4:$C$7,MATCH($J131,'CAT_TURNOS'!$A$4:$A$7,0)),"")</f>
        <v/>
      </c>
      <c r="P131" s="3">
        <f>IFERROR(INDEX('CAT_TURNOS'!$D$4:$D$7,MATCH($J131,'CAT_TURNOS'!$A$4:$A$7,0)),"")</f>
        <v/>
      </c>
      <c r="Q131" s="3">
        <f>IF(AND(LEFT($G131,1)="T",$H131="no"),"sí","no")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03</t>
        </is>
      </c>
      <c r="D132" s="3">
        <f>IFERROR(INDEX('TECNICOS'!$D$4:$D$19,MATCH($C132,'TECNICOS'!$B$4:$B$19,0)),"")</f>
        <v/>
      </c>
      <c r="E132" s="3">
        <f>IFERROR(INDEX('TECNICOS'!$C$4:$C$19,MATCH($C132,'TECNICOS'!$B$4:$B$19,0)),"")</f>
        <v/>
      </c>
      <c r="F132" s="3">
        <f>COUNTIFS('TECNICOS'!$F$4:$F$19,"SI",'TECNICOS'!$C$4:$C$19,$E132,'TECNICOS'!$D$4:$D$19,$D132)</f>
        <v/>
      </c>
      <c r="G132" s="3">
        <f>IF(OR($C132="",$A132="",$B132="domingo"),"",IF(IFERROR(INDEX('TECNICOS'!$F$4:$F$19,MATCH($C132,'TECNICOS'!$B$4:$B$19,0)),"NO")&lt;&gt;"SI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3">
        <f>IF(COUNTIFS('PLAN_VACACIONES'!$A$4:$A$103,$C132,'PLAN_VACACIONES'!$B$4:$B$103,"&lt;="&amp;$L132,'PLAN_VACACIONES'!$C$4:$C$103,"&gt;="&amp;$L132)&gt;0,"sí","no")</f>
        <v/>
      </c>
      <c r="I132" s="6" t="n"/>
      <c r="J132" s="3">
        <f>IF($I132&lt;&gt;"",$I132,IF($G132="","",IF($H132="sí","VAC",IF(LEFT($G132,1)="B","B",$G132))))</f>
        <v/>
      </c>
      <c r="K132" s="3">
        <f>IFERROR(INDEX('TECNICOS'!$E$4:$E$19,MATCH($C132,'TECNICOS'!$B$4:$B$19,0)),"")</f>
        <v/>
      </c>
      <c r="L132" s="12">
        <f>IF($A132="","",DATE(VALUE(LEFT($A132,4)),1,4)-WEEKDAY(DATE(VALUE(LEFT($A132,4)),1,4),2)+1+(VALUE(MID($A132,7,2))-1)*7+MATCH($B132,lista_dias,0)-1)</f>
        <v/>
      </c>
      <c r="M132" s="3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3">
        <f>$A132&amp;"|"&amp;$B132&amp;"|"&amp;$C132</f>
        <v/>
      </c>
      <c r="O132" s="3">
        <f>IFERROR(INDEX('CAT_TURNOS'!$C$4:$C$7,MATCH($J132,'CAT_TURNOS'!$A$4:$A$7,0)),"")</f>
        <v/>
      </c>
      <c r="P132" s="3">
        <f>IFERROR(INDEX('CAT_TURNOS'!$D$4:$D$7,MATCH($J132,'CAT_TURNOS'!$A$4:$A$7,0)),"")</f>
        <v/>
      </c>
      <c r="Q132" s="3">
        <f>IF(AND(LEFT($G132,1)="T",$H132="no"),"sí","no")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03</t>
        </is>
      </c>
      <c r="D133" s="3">
        <f>IFERROR(INDEX('TECNICOS'!$D$4:$D$19,MATCH($C133,'TECNICOS'!$B$4:$B$19,0)),"")</f>
        <v/>
      </c>
      <c r="E133" s="3">
        <f>IFERROR(INDEX('TECNICOS'!$C$4:$C$19,MATCH($C133,'TECNICOS'!$B$4:$B$19,0)),"")</f>
        <v/>
      </c>
      <c r="F133" s="3">
        <f>COUNTIFS('TECNICOS'!$F$4:$F$19,"SI",'TECNICOS'!$C$4:$C$19,$E133,'TECNICOS'!$D$4:$D$19,$D133)</f>
        <v/>
      </c>
      <c r="G133" s="3">
        <f>IF(OR($C133="",$A133="",$B133="domingo"),"",IF(IFERROR(INDEX('TECNICOS'!$F$4:$F$19,MATCH($C133,'TECNICOS'!$B$4:$B$19,0)),"NO")&lt;&gt;"SI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3">
        <f>IF(COUNTIFS('PLAN_VACACIONES'!$A$4:$A$103,$C133,'PLAN_VACACIONES'!$B$4:$B$103,"&lt;="&amp;$L133,'PLAN_VACACIONES'!$C$4:$C$103,"&gt;="&amp;$L133)&gt;0,"sí","no")</f>
        <v/>
      </c>
      <c r="I133" s="6" t="n"/>
      <c r="J133" s="3">
        <f>IF($I133&lt;&gt;"",$I133,IF($G133="","",IF($H133="sí","VAC",IF(LEFT($G133,1)="B","B",$G133))))</f>
        <v/>
      </c>
      <c r="K133" s="3">
        <f>IFERROR(INDEX('TECNICOS'!$E$4:$E$19,MATCH($C133,'TECNICOS'!$B$4:$B$19,0)),"")</f>
        <v/>
      </c>
      <c r="L133" s="12">
        <f>IF($A133="","",DATE(VALUE(LEFT($A133,4)),1,4)-WEEKDAY(DATE(VALUE(LEFT($A133,4)),1,4),2)+1+(VALUE(MID($A133,7,2))-1)*7+MATCH($B133,lista_dias,0)-1)</f>
        <v/>
      </c>
      <c r="M133" s="3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3">
        <f>$A133&amp;"|"&amp;$B133&amp;"|"&amp;$C133</f>
        <v/>
      </c>
      <c r="O133" s="3">
        <f>IFERROR(INDEX('CAT_TURNOS'!$C$4:$C$7,MATCH($J133,'CAT_TURNOS'!$A$4:$A$7,0)),"")</f>
        <v/>
      </c>
      <c r="P133" s="3">
        <f>IFERROR(INDEX('CAT_TURNOS'!$D$4:$D$7,MATCH($J133,'CAT_TURNOS'!$A$4:$A$7,0)),"")</f>
        <v/>
      </c>
      <c r="Q133" s="3">
        <f>IF(AND(LEFT($G133,1)="T",$H133="no"),"sí","no")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03</t>
        </is>
      </c>
      <c r="D134" s="3">
        <f>IFERROR(INDEX('TECNICOS'!$D$4:$D$19,MATCH($C134,'TECNICOS'!$B$4:$B$19,0)),"")</f>
        <v/>
      </c>
      <c r="E134" s="3">
        <f>IFERROR(INDEX('TECNICOS'!$C$4:$C$19,MATCH($C134,'TECNICOS'!$B$4:$B$19,0)),"")</f>
        <v/>
      </c>
      <c r="F134" s="3">
        <f>COUNTIFS('TECNICOS'!$F$4:$F$19,"SI",'TECNICOS'!$C$4:$C$19,$E134,'TECNICOS'!$D$4:$D$19,$D134)</f>
        <v/>
      </c>
      <c r="G134" s="3">
        <f>IF(OR($C134="",$A134="",$B134="domingo"),"",IF(IFERROR(INDEX('TECNICOS'!$F$4:$F$19,MATCH($C134,'TECNICOS'!$B$4:$B$19,0)),"NO")&lt;&gt;"SI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3">
        <f>IF(COUNTIFS('PLAN_VACACIONES'!$A$4:$A$103,$C134,'PLAN_VACACIONES'!$B$4:$B$103,"&lt;="&amp;$L134,'PLAN_VACACIONES'!$C$4:$C$103,"&gt;="&amp;$L134)&gt;0,"sí","no")</f>
        <v/>
      </c>
      <c r="I134" s="6" t="n"/>
      <c r="J134" s="3">
        <f>IF($I134&lt;&gt;"",$I134,IF($G134="","",IF($H134="sí","VAC",IF(LEFT($G134,1)="B","B",$G134))))</f>
        <v/>
      </c>
      <c r="K134" s="3">
        <f>IFERROR(INDEX('TECNICOS'!$E$4:$E$19,MATCH($C134,'TECNICOS'!$B$4:$B$19,0)),"")</f>
        <v/>
      </c>
      <c r="L134" s="12">
        <f>IF($A134="","",DATE(VALUE(LEFT($A134,4)),1,4)-WEEKDAY(DATE(VALUE(LEFT($A134,4)),1,4),2)+1+(VALUE(MID($A134,7,2))-1)*7+MATCH($B134,lista_dias,0)-1)</f>
        <v/>
      </c>
      <c r="M134" s="3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3">
        <f>$A134&amp;"|"&amp;$B134&amp;"|"&amp;$C134</f>
        <v/>
      </c>
      <c r="O134" s="3">
        <f>IFERROR(INDEX('CAT_TURNOS'!$C$4:$C$7,MATCH($J134,'CAT_TURNOS'!$A$4:$A$7,0)),"")</f>
        <v/>
      </c>
      <c r="P134" s="3">
        <f>IFERROR(INDEX('CAT_TURNOS'!$D$4:$D$7,MATCH($J134,'CAT_TURNOS'!$A$4:$A$7,0)),"")</f>
        <v/>
      </c>
      <c r="Q134" s="3">
        <f>IF(AND(LEFT($G134,1)="T",$H134="no"),"sí","no")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03</t>
        </is>
      </c>
      <c r="D135" s="3">
        <f>IFERROR(INDEX('TECNICOS'!$D$4:$D$19,MATCH($C135,'TECNICOS'!$B$4:$B$19,0)),"")</f>
        <v/>
      </c>
      <c r="E135" s="3">
        <f>IFERROR(INDEX('TECNICOS'!$C$4:$C$19,MATCH($C135,'TECNICOS'!$B$4:$B$19,0)),"")</f>
        <v/>
      </c>
      <c r="F135" s="3">
        <f>COUNTIFS('TECNICOS'!$F$4:$F$19,"SI",'TECNICOS'!$C$4:$C$19,$E135,'TECNICOS'!$D$4:$D$19,$D135)</f>
        <v/>
      </c>
      <c r="G135" s="3">
        <f>IF(OR($C135="",$A135="",$B135="domingo"),"",IF(IFERROR(INDEX('TECNICOS'!$F$4:$F$19,MATCH($C135,'TECNICOS'!$B$4:$B$19,0)),"NO")&lt;&gt;"SI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3">
        <f>IF(COUNTIFS('PLAN_VACACIONES'!$A$4:$A$103,$C135,'PLAN_VACACIONES'!$B$4:$B$103,"&lt;="&amp;$L135,'PLAN_VACACIONES'!$C$4:$C$103,"&gt;="&amp;$L135)&gt;0,"sí","no")</f>
        <v/>
      </c>
      <c r="I135" s="6" t="n"/>
      <c r="J135" s="3">
        <f>IF($I135&lt;&gt;"",$I135,IF($G135="","",IF($H135="sí","VAC",IF(LEFT($G135,1)="B","B",$G135))))</f>
        <v/>
      </c>
      <c r="K135" s="3">
        <f>IFERROR(INDEX('TECNICOS'!$E$4:$E$19,MATCH($C135,'TECNICOS'!$B$4:$B$19,0)),"")</f>
        <v/>
      </c>
      <c r="L135" s="12">
        <f>IF($A135="","",DATE(VALUE(LEFT($A135,4)),1,4)-WEEKDAY(DATE(VALUE(LEFT($A135,4)),1,4),2)+1+(VALUE(MID($A135,7,2))-1)*7+MATCH($B135,lista_dias,0)-1)</f>
        <v/>
      </c>
      <c r="M135" s="3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3">
        <f>$A135&amp;"|"&amp;$B135&amp;"|"&amp;$C135</f>
        <v/>
      </c>
      <c r="O135" s="3">
        <f>IFERROR(INDEX('CAT_TURNOS'!$C$4:$C$7,MATCH($J135,'CAT_TURNOS'!$A$4:$A$7,0)),"")</f>
        <v/>
      </c>
      <c r="P135" s="3">
        <f>IFERROR(INDEX('CAT_TURNOS'!$D$4:$D$7,MATCH($J135,'CAT_TURNOS'!$A$4:$A$7,0)),"")</f>
        <v/>
      </c>
      <c r="Q135" s="3">
        <f>IF(AND(LEFT($G135,1)="T",$H135="no"),"sí","no")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03</t>
        </is>
      </c>
      <c r="D136" s="3">
        <f>IFERROR(INDEX('TECNICOS'!$D$4:$D$19,MATCH($C136,'TECNICOS'!$B$4:$B$19,0)),"")</f>
        <v/>
      </c>
      <c r="E136" s="3">
        <f>IFERROR(INDEX('TECNICOS'!$C$4:$C$19,MATCH($C136,'TECNICOS'!$B$4:$B$19,0)),"")</f>
        <v/>
      </c>
      <c r="F136" s="3">
        <f>COUNTIFS('TECNICOS'!$F$4:$F$19,"SI",'TECNICOS'!$C$4:$C$19,$E136,'TECNICOS'!$D$4:$D$19,$D136)</f>
        <v/>
      </c>
      <c r="G136" s="3">
        <f>IF(OR($C136="",$A136="",$B136="domingo"),"",IF(IFERROR(INDEX('TECNICOS'!$F$4:$F$19,MATCH($C136,'TECNICOS'!$B$4:$B$19,0)),"NO")&lt;&gt;"SI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3">
        <f>IF(COUNTIFS('PLAN_VACACIONES'!$A$4:$A$103,$C136,'PLAN_VACACIONES'!$B$4:$B$103,"&lt;="&amp;$L136,'PLAN_VACACIONES'!$C$4:$C$103,"&gt;="&amp;$L136)&gt;0,"sí","no")</f>
        <v/>
      </c>
      <c r="I136" s="6" t="n"/>
      <c r="J136" s="3">
        <f>IF($I136&lt;&gt;"",$I136,IF($G136="","",IF($H136="sí","VAC",IF(LEFT($G136,1)="B","B",$G136))))</f>
        <v/>
      </c>
      <c r="K136" s="3">
        <f>IFERROR(INDEX('TECNICOS'!$E$4:$E$19,MATCH($C136,'TECNICOS'!$B$4:$B$19,0)),"")</f>
        <v/>
      </c>
      <c r="L136" s="12">
        <f>IF($A136="","",DATE(VALUE(LEFT($A136,4)),1,4)-WEEKDAY(DATE(VALUE(LEFT($A136,4)),1,4),2)+1+(VALUE(MID($A136,7,2))-1)*7+MATCH($B136,lista_dias,0)-1)</f>
        <v/>
      </c>
      <c r="M136" s="3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3">
        <f>$A136&amp;"|"&amp;$B136&amp;"|"&amp;$C136</f>
        <v/>
      </c>
      <c r="O136" s="3">
        <f>IFERROR(INDEX('CAT_TURNOS'!$C$4:$C$7,MATCH($J136,'CAT_TURNOS'!$A$4:$A$7,0)),"")</f>
        <v/>
      </c>
      <c r="P136" s="3">
        <f>IFERROR(INDEX('CAT_TURNOS'!$D$4:$D$7,MATCH($J136,'CAT_TURNOS'!$A$4:$A$7,0)),"")</f>
        <v/>
      </c>
      <c r="Q136" s="3">
        <f>IF(AND(LEFT($G136,1)="T",$H136="no"),"sí","no")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04</t>
        </is>
      </c>
      <c r="D137" s="3">
        <f>IFERROR(INDEX('TECNICOS'!$D$4:$D$19,MATCH($C137,'TECNICOS'!$B$4:$B$19,0)),"")</f>
        <v/>
      </c>
      <c r="E137" s="3">
        <f>IFERROR(INDEX('TECNICOS'!$C$4:$C$19,MATCH($C137,'TECNICOS'!$B$4:$B$19,0)),"")</f>
        <v/>
      </c>
      <c r="F137" s="3">
        <f>COUNTIFS('TECNICOS'!$F$4:$F$19,"SI",'TECNICOS'!$C$4:$C$19,$E137,'TECNICOS'!$D$4:$D$19,$D137)</f>
        <v/>
      </c>
      <c r="G137" s="3">
        <f>IF(OR($C137="",$A137="",$B137="domingo"),"",IF(IFERROR(INDEX('TECNICOS'!$F$4:$F$19,MATCH($C137,'TECNICOS'!$B$4:$B$19,0)),"NO")&lt;&gt;"SI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3">
        <f>IF(COUNTIFS('PLAN_VACACIONES'!$A$4:$A$103,$C137,'PLAN_VACACIONES'!$B$4:$B$103,"&lt;="&amp;$L137,'PLAN_VACACIONES'!$C$4:$C$103,"&gt;="&amp;$L137)&gt;0,"sí","no")</f>
        <v/>
      </c>
      <c r="I137" s="6" t="n"/>
      <c r="J137" s="3">
        <f>IF($I137&lt;&gt;"",$I137,IF($G137="","",IF($H137="sí","VAC",IF(LEFT($G137,1)="B","B",$G137))))</f>
        <v/>
      </c>
      <c r="K137" s="3">
        <f>IFERROR(INDEX('TECNICOS'!$E$4:$E$19,MATCH($C137,'TECNICOS'!$B$4:$B$19,0)),"")</f>
        <v/>
      </c>
      <c r="L137" s="12">
        <f>IF($A137="","",DATE(VALUE(LEFT($A137,4)),1,4)-WEEKDAY(DATE(VALUE(LEFT($A137,4)),1,4),2)+1+(VALUE(MID($A137,7,2))-1)*7+MATCH($B137,lista_dias,0)-1)</f>
        <v/>
      </c>
      <c r="M137" s="3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3">
        <f>$A137&amp;"|"&amp;$B137&amp;"|"&amp;$C137</f>
        <v/>
      </c>
      <c r="O137" s="3">
        <f>IFERROR(INDEX('CAT_TURNOS'!$C$4:$C$7,MATCH($J137,'CAT_TURNOS'!$A$4:$A$7,0)),"")</f>
        <v/>
      </c>
      <c r="P137" s="3">
        <f>IFERROR(INDEX('CAT_TURNOS'!$D$4:$D$7,MATCH($J137,'CAT_TURNOS'!$A$4:$A$7,0)),"")</f>
        <v/>
      </c>
      <c r="Q137" s="3">
        <f>IF(AND(LEFT($G137,1)="T",$H137="no"),"sí","no")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04</t>
        </is>
      </c>
      <c r="D138" s="3">
        <f>IFERROR(INDEX('TECNICOS'!$D$4:$D$19,MATCH($C138,'TECNICOS'!$B$4:$B$19,0)),"")</f>
        <v/>
      </c>
      <c r="E138" s="3">
        <f>IFERROR(INDEX('TECNICOS'!$C$4:$C$19,MATCH($C138,'TECNICOS'!$B$4:$B$19,0)),"")</f>
        <v/>
      </c>
      <c r="F138" s="3">
        <f>COUNTIFS('TECNICOS'!$F$4:$F$19,"SI",'TECNICOS'!$C$4:$C$19,$E138,'TECNICOS'!$D$4:$D$19,$D138)</f>
        <v/>
      </c>
      <c r="G138" s="3">
        <f>IF(OR($C138="",$A138="",$B138="domingo"),"",IF(IFERROR(INDEX('TECNICOS'!$F$4:$F$19,MATCH($C138,'TECNICOS'!$B$4:$B$19,0)),"NO")&lt;&gt;"SI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3">
        <f>IF(COUNTIFS('PLAN_VACACIONES'!$A$4:$A$103,$C138,'PLAN_VACACIONES'!$B$4:$B$103,"&lt;="&amp;$L138,'PLAN_VACACIONES'!$C$4:$C$103,"&gt;="&amp;$L138)&gt;0,"sí","no")</f>
        <v/>
      </c>
      <c r="I138" s="6" t="n"/>
      <c r="J138" s="3">
        <f>IF($I138&lt;&gt;"",$I138,IF($G138="","",IF($H138="sí","VAC",IF(LEFT($G138,1)="B","B",$G138))))</f>
        <v/>
      </c>
      <c r="K138" s="3">
        <f>IFERROR(INDEX('TECNICOS'!$E$4:$E$19,MATCH($C138,'TECNICOS'!$B$4:$B$19,0)),"")</f>
        <v/>
      </c>
      <c r="L138" s="12">
        <f>IF($A138="","",DATE(VALUE(LEFT($A138,4)),1,4)-WEEKDAY(DATE(VALUE(LEFT($A138,4)),1,4),2)+1+(VALUE(MID($A138,7,2))-1)*7+MATCH($B138,lista_dias,0)-1)</f>
        <v/>
      </c>
      <c r="M138" s="3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3">
        <f>$A138&amp;"|"&amp;$B138&amp;"|"&amp;$C138</f>
        <v/>
      </c>
      <c r="O138" s="3">
        <f>IFERROR(INDEX('CAT_TURNOS'!$C$4:$C$7,MATCH($J138,'CAT_TURNOS'!$A$4:$A$7,0)),"")</f>
        <v/>
      </c>
      <c r="P138" s="3">
        <f>IFERROR(INDEX('CAT_TURNOS'!$D$4:$D$7,MATCH($J138,'CAT_TURNOS'!$A$4:$A$7,0)),"")</f>
        <v/>
      </c>
      <c r="Q138" s="3">
        <f>IF(AND(LEFT($G138,1)="T",$H138="no"),"sí","no")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04</t>
        </is>
      </c>
      <c r="D139" s="3">
        <f>IFERROR(INDEX('TECNICOS'!$D$4:$D$19,MATCH($C139,'TECNICOS'!$B$4:$B$19,0)),"")</f>
        <v/>
      </c>
      <c r="E139" s="3">
        <f>IFERROR(INDEX('TECNICOS'!$C$4:$C$19,MATCH($C139,'TECNICOS'!$B$4:$B$19,0)),"")</f>
        <v/>
      </c>
      <c r="F139" s="3">
        <f>COUNTIFS('TECNICOS'!$F$4:$F$19,"SI",'TECNICOS'!$C$4:$C$19,$E139,'TECNICOS'!$D$4:$D$19,$D139)</f>
        <v/>
      </c>
      <c r="G139" s="3">
        <f>IF(OR($C139="",$A139="",$B139="domingo"),"",IF(IFERROR(INDEX('TECNICOS'!$F$4:$F$19,MATCH($C139,'TECNICOS'!$B$4:$B$19,0)),"NO")&lt;&gt;"SI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3">
        <f>IF(COUNTIFS('PLAN_VACACIONES'!$A$4:$A$103,$C139,'PLAN_VACACIONES'!$B$4:$B$103,"&lt;="&amp;$L139,'PLAN_VACACIONES'!$C$4:$C$103,"&gt;="&amp;$L139)&gt;0,"sí","no")</f>
        <v/>
      </c>
      <c r="I139" s="6" t="n"/>
      <c r="J139" s="3">
        <f>IF($I139&lt;&gt;"",$I139,IF($G139="","",IF($H139="sí","VAC",IF(LEFT($G139,1)="B","B",$G139))))</f>
        <v/>
      </c>
      <c r="K139" s="3">
        <f>IFERROR(INDEX('TECNICOS'!$E$4:$E$19,MATCH($C139,'TECNICOS'!$B$4:$B$19,0)),"")</f>
        <v/>
      </c>
      <c r="L139" s="12">
        <f>IF($A139="","",DATE(VALUE(LEFT($A139,4)),1,4)-WEEKDAY(DATE(VALUE(LEFT($A139,4)),1,4),2)+1+(VALUE(MID($A139,7,2))-1)*7+MATCH($B139,lista_dias,0)-1)</f>
        <v/>
      </c>
      <c r="M139" s="3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3">
        <f>$A139&amp;"|"&amp;$B139&amp;"|"&amp;$C139</f>
        <v/>
      </c>
      <c r="O139" s="3">
        <f>IFERROR(INDEX('CAT_TURNOS'!$C$4:$C$7,MATCH($J139,'CAT_TURNOS'!$A$4:$A$7,0)),"")</f>
        <v/>
      </c>
      <c r="P139" s="3">
        <f>IFERROR(INDEX('CAT_TURNOS'!$D$4:$D$7,MATCH($J139,'CAT_TURNOS'!$A$4:$A$7,0)),"")</f>
        <v/>
      </c>
      <c r="Q139" s="3">
        <f>IF(AND(LEFT($G139,1)="T",$H139="no"),"sí","no")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04</t>
        </is>
      </c>
      <c r="D140" s="3">
        <f>IFERROR(INDEX('TECNICOS'!$D$4:$D$19,MATCH($C140,'TECNICOS'!$B$4:$B$19,0)),"")</f>
        <v/>
      </c>
      <c r="E140" s="3">
        <f>IFERROR(INDEX('TECNICOS'!$C$4:$C$19,MATCH($C140,'TECNICOS'!$B$4:$B$19,0)),"")</f>
        <v/>
      </c>
      <c r="F140" s="3">
        <f>COUNTIFS('TECNICOS'!$F$4:$F$19,"SI",'TECNICOS'!$C$4:$C$19,$E140,'TECNICOS'!$D$4:$D$19,$D140)</f>
        <v/>
      </c>
      <c r="G140" s="3">
        <f>IF(OR($C140="",$A140="",$B140="domingo"),"",IF(IFERROR(INDEX('TECNICOS'!$F$4:$F$19,MATCH($C140,'TECNICOS'!$B$4:$B$19,0)),"NO")&lt;&gt;"SI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3">
        <f>IF(COUNTIFS('PLAN_VACACIONES'!$A$4:$A$103,$C140,'PLAN_VACACIONES'!$B$4:$B$103,"&lt;="&amp;$L140,'PLAN_VACACIONES'!$C$4:$C$103,"&gt;="&amp;$L140)&gt;0,"sí","no")</f>
        <v/>
      </c>
      <c r="I140" s="6" t="n"/>
      <c r="J140" s="3">
        <f>IF($I140&lt;&gt;"",$I140,IF($G140="","",IF($H140="sí","VAC",IF(LEFT($G140,1)="B","B",$G140))))</f>
        <v/>
      </c>
      <c r="K140" s="3">
        <f>IFERROR(INDEX('TECNICOS'!$E$4:$E$19,MATCH($C140,'TECNICOS'!$B$4:$B$19,0)),"")</f>
        <v/>
      </c>
      <c r="L140" s="12">
        <f>IF($A140="","",DATE(VALUE(LEFT($A140,4)),1,4)-WEEKDAY(DATE(VALUE(LEFT($A140,4)),1,4),2)+1+(VALUE(MID($A140,7,2))-1)*7+MATCH($B140,lista_dias,0)-1)</f>
        <v/>
      </c>
      <c r="M140" s="3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3">
        <f>$A140&amp;"|"&amp;$B140&amp;"|"&amp;$C140</f>
        <v/>
      </c>
      <c r="O140" s="3">
        <f>IFERROR(INDEX('CAT_TURNOS'!$C$4:$C$7,MATCH($J140,'CAT_TURNOS'!$A$4:$A$7,0)),"")</f>
        <v/>
      </c>
      <c r="P140" s="3">
        <f>IFERROR(INDEX('CAT_TURNOS'!$D$4:$D$7,MATCH($J140,'CAT_TURNOS'!$A$4:$A$7,0)),"")</f>
        <v/>
      </c>
      <c r="Q140" s="3">
        <f>IF(AND(LEFT($G140,1)="T",$H140="no"),"sí","no")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04</t>
        </is>
      </c>
      <c r="D141" s="3">
        <f>IFERROR(INDEX('TECNICOS'!$D$4:$D$19,MATCH($C141,'TECNICOS'!$B$4:$B$19,0)),"")</f>
        <v/>
      </c>
      <c r="E141" s="3">
        <f>IFERROR(INDEX('TECNICOS'!$C$4:$C$19,MATCH($C141,'TECNICOS'!$B$4:$B$19,0)),"")</f>
        <v/>
      </c>
      <c r="F141" s="3">
        <f>COUNTIFS('TECNICOS'!$F$4:$F$19,"SI",'TECNICOS'!$C$4:$C$19,$E141,'TECNICOS'!$D$4:$D$19,$D141)</f>
        <v/>
      </c>
      <c r="G141" s="3">
        <f>IF(OR($C141="",$A141="",$B141="domingo"),"",IF(IFERROR(INDEX('TECNICOS'!$F$4:$F$19,MATCH($C141,'TECNICOS'!$B$4:$B$19,0)),"NO")&lt;&gt;"SI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3">
        <f>IF(COUNTIFS('PLAN_VACACIONES'!$A$4:$A$103,$C141,'PLAN_VACACIONES'!$B$4:$B$103,"&lt;="&amp;$L141,'PLAN_VACACIONES'!$C$4:$C$103,"&gt;="&amp;$L141)&gt;0,"sí","no")</f>
        <v/>
      </c>
      <c r="I141" s="6" t="n"/>
      <c r="J141" s="3">
        <f>IF($I141&lt;&gt;"",$I141,IF($G141="","",IF($H141="sí","VAC",IF(LEFT($G141,1)="B","B",$G141))))</f>
        <v/>
      </c>
      <c r="K141" s="3">
        <f>IFERROR(INDEX('TECNICOS'!$E$4:$E$19,MATCH($C141,'TECNICOS'!$B$4:$B$19,0)),"")</f>
        <v/>
      </c>
      <c r="L141" s="12">
        <f>IF($A141="","",DATE(VALUE(LEFT($A141,4)),1,4)-WEEKDAY(DATE(VALUE(LEFT($A141,4)),1,4),2)+1+(VALUE(MID($A141,7,2))-1)*7+MATCH($B141,lista_dias,0)-1)</f>
        <v/>
      </c>
      <c r="M141" s="3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3">
        <f>$A141&amp;"|"&amp;$B141&amp;"|"&amp;$C141</f>
        <v/>
      </c>
      <c r="O141" s="3">
        <f>IFERROR(INDEX('CAT_TURNOS'!$C$4:$C$7,MATCH($J141,'CAT_TURNOS'!$A$4:$A$7,0)),"")</f>
        <v/>
      </c>
      <c r="P141" s="3">
        <f>IFERROR(INDEX('CAT_TURNOS'!$D$4:$D$7,MATCH($J141,'CAT_TURNOS'!$A$4:$A$7,0)),"")</f>
        <v/>
      </c>
      <c r="Q141" s="3">
        <f>IF(AND(LEFT($G141,1)="T",$H141="no"),"sí","no")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04</t>
        </is>
      </c>
      <c r="D142" s="3">
        <f>IFERROR(INDEX('TECNICOS'!$D$4:$D$19,MATCH($C142,'TECNICOS'!$B$4:$B$19,0)),"")</f>
        <v/>
      </c>
      <c r="E142" s="3">
        <f>IFERROR(INDEX('TECNICOS'!$C$4:$C$19,MATCH($C142,'TECNICOS'!$B$4:$B$19,0)),"")</f>
        <v/>
      </c>
      <c r="F142" s="3">
        <f>COUNTIFS('TECNICOS'!$F$4:$F$19,"SI",'TECNICOS'!$C$4:$C$19,$E142,'TECNICOS'!$D$4:$D$19,$D142)</f>
        <v/>
      </c>
      <c r="G142" s="3">
        <f>IF(OR($C142="",$A142="",$B142="domingo"),"",IF(IFERROR(INDEX('TECNICOS'!$F$4:$F$19,MATCH($C142,'TECNICOS'!$B$4:$B$19,0)),"NO")&lt;&gt;"SI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3">
        <f>IF(COUNTIFS('PLAN_VACACIONES'!$A$4:$A$103,$C142,'PLAN_VACACIONES'!$B$4:$B$103,"&lt;="&amp;$L142,'PLAN_VACACIONES'!$C$4:$C$103,"&gt;="&amp;$L142)&gt;0,"sí","no")</f>
        <v/>
      </c>
      <c r="I142" s="6" t="n"/>
      <c r="J142" s="3">
        <f>IF($I142&lt;&gt;"",$I142,IF($G142="","",IF($H142="sí","VAC",IF(LEFT($G142,1)="B","B",$G142))))</f>
        <v/>
      </c>
      <c r="K142" s="3">
        <f>IFERROR(INDEX('TECNICOS'!$E$4:$E$19,MATCH($C142,'TECNICOS'!$B$4:$B$19,0)),"")</f>
        <v/>
      </c>
      <c r="L142" s="12">
        <f>IF($A142="","",DATE(VALUE(LEFT($A142,4)),1,4)-WEEKDAY(DATE(VALUE(LEFT($A142,4)),1,4),2)+1+(VALUE(MID($A142,7,2))-1)*7+MATCH($B142,lista_dias,0)-1)</f>
        <v/>
      </c>
      <c r="M142" s="3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3">
        <f>$A142&amp;"|"&amp;$B142&amp;"|"&amp;$C142</f>
        <v/>
      </c>
      <c r="O142" s="3">
        <f>IFERROR(INDEX('CAT_TURNOS'!$C$4:$C$7,MATCH($J142,'CAT_TURNOS'!$A$4:$A$7,0)),"")</f>
        <v/>
      </c>
      <c r="P142" s="3">
        <f>IFERROR(INDEX('CAT_TURNOS'!$D$4:$D$7,MATCH($J142,'CAT_TURNOS'!$A$4:$A$7,0)),"")</f>
        <v/>
      </c>
      <c r="Q142" s="3">
        <f>IF(AND(LEFT($G142,1)="T",$H142="no"),"sí","no")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04</t>
        </is>
      </c>
      <c r="D143" s="3">
        <f>IFERROR(INDEX('TECNICOS'!$D$4:$D$19,MATCH($C143,'TECNICOS'!$B$4:$B$19,0)),"")</f>
        <v/>
      </c>
      <c r="E143" s="3">
        <f>IFERROR(INDEX('TECNICOS'!$C$4:$C$19,MATCH($C143,'TECNICOS'!$B$4:$B$19,0)),"")</f>
        <v/>
      </c>
      <c r="F143" s="3">
        <f>COUNTIFS('TECNICOS'!$F$4:$F$19,"SI",'TECNICOS'!$C$4:$C$19,$E143,'TECNICOS'!$D$4:$D$19,$D143)</f>
        <v/>
      </c>
      <c r="G143" s="3">
        <f>IF(OR($C143="",$A143="",$B143="domingo"),"",IF(IFERROR(INDEX('TECNICOS'!$F$4:$F$19,MATCH($C143,'TECNICOS'!$B$4:$B$19,0)),"NO")&lt;&gt;"SI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3">
        <f>IF(COUNTIFS('PLAN_VACACIONES'!$A$4:$A$103,$C143,'PLAN_VACACIONES'!$B$4:$B$103,"&lt;="&amp;$L143,'PLAN_VACACIONES'!$C$4:$C$103,"&gt;="&amp;$L143)&gt;0,"sí","no")</f>
        <v/>
      </c>
      <c r="I143" s="6" t="n"/>
      <c r="J143" s="3">
        <f>IF($I143&lt;&gt;"",$I143,IF($G143="","",IF($H143="sí","VAC",IF(LEFT($G143,1)="B","B",$G143))))</f>
        <v/>
      </c>
      <c r="K143" s="3">
        <f>IFERROR(INDEX('TECNICOS'!$E$4:$E$19,MATCH($C143,'TECNICOS'!$B$4:$B$19,0)),"")</f>
        <v/>
      </c>
      <c r="L143" s="12">
        <f>IF($A143="","",DATE(VALUE(LEFT($A143,4)),1,4)-WEEKDAY(DATE(VALUE(LEFT($A143,4)),1,4),2)+1+(VALUE(MID($A143,7,2))-1)*7+MATCH($B143,lista_dias,0)-1)</f>
        <v/>
      </c>
      <c r="M143" s="3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3">
        <f>$A143&amp;"|"&amp;$B143&amp;"|"&amp;$C143</f>
        <v/>
      </c>
      <c r="O143" s="3">
        <f>IFERROR(INDEX('CAT_TURNOS'!$C$4:$C$7,MATCH($J143,'CAT_TURNOS'!$A$4:$A$7,0)),"")</f>
        <v/>
      </c>
      <c r="P143" s="3">
        <f>IFERROR(INDEX('CAT_TURNOS'!$D$4:$D$7,MATCH($J143,'CAT_TURNOS'!$A$4:$A$7,0)),"")</f>
        <v/>
      </c>
      <c r="Q143" s="3">
        <f>IF(AND(LEFT($G143,1)="T",$H143="no"),"sí","no")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05</t>
        </is>
      </c>
      <c r="D144" s="3">
        <f>IFERROR(INDEX('TECNICOS'!$D$4:$D$19,MATCH($C144,'TECNICOS'!$B$4:$B$19,0)),"")</f>
        <v/>
      </c>
      <c r="E144" s="3">
        <f>IFERROR(INDEX('TECNICOS'!$C$4:$C$19,MATCH($C144,'TECNICOS'!$B$4:$B$19,0)),"")</f>
        <v/>
      </c>
      <c r="F144" s="3">
        <f>COUNTIFS('TECNICOS'!$F$4:$F$19,"SI",'TECNICOS'!$C$4:$C$19,$E144,'TECNICOS'!$D$4:$D$19,$D144)</f>
        <v/>
      </c>
      <c r="G144" s="3">
        <f>IF(OR($C144="",$A144="",$B144="domingo"),"",IF(IFERROR(INDEX('TECNICOS'!$F$4:$F$19,MATCH($C144,'TECNICOS'!$B$4:$B$19,0)),"NO")&lt;&gt;"SI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3">
        <f>IF(COUNTIFS('PLAN_VACACIONES'!$A$4:$A$103,$C144,'PLAN_VACACIONES'!$B$4:$B$103,"&lt;="&amp;$L144,'PLAN_VACACIONES'!$C$4:$C$103,"&gt;="&amp;$L144)&gt;0,"sí","no")</f>
        <v/>
      </c>
      <c r="I144" s="6" t="n"/>
      <c r="J144" s="3">
        <f>IF($I144&lt;&gt;"",$I144,IF($G144="","",IF($H144="sí","VAC",IF(LEFT($G144,1)="B","B",$G144))))</f>
        <v/>
      </c>
      <c r="K144" s="3">
        <f>IFERROR(INDEX('TECNICOS'!$E$4:$E$19,MATCH($C144,'TECNICOS'!$B$4:$B$19,0)),"")</f>
        <v/>
      </c>
      <c r="L144" s="12">
        <f>IF($A144="","",DATE(VALUE(LEFT($A144,4)),1,4)-WEEKDAY(DATE(VALUE(LEFT($A144,4)),1,4),2)+1+(VALUE(MID($A144,7,2))-1)*7+MATCH($B144,lista_dias,0)-1)</f>
        <v/>
      </c>
      <c r="M144" s="3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3">
        <f>$A144&amp;"|"&amp;$B144&amp;"|"&amp;$C144</f>
        <v/>
      </c>
      <c r="O144" s="3">
        <f>IFERROR(INDEX('CAT_TURNOS'!$C$4:$C$7,MATCH($J144,'CAT_TURNOS'!$A$4:$A$7,0)),"")</f>
        <v/>
      </c>
      <c r="P144" s="3">
        <f>IFERROR(INDEX('CAT_TURNOS'!$D$4:$D$7,MATCH($J144,'CAT_TURNOS'!$A$4:$A$7,0)),"")</f>
        <v/>
      </c>
      <c r="Q144" s="3">
        <f>IF(AND(LEFT($G144,1)="T",$H144="no"),"sí","no")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05</t>
        </is>
      </c>
      <c r="D145" s="3">
        <f>IFERROR(INDEX('TECNICOS'!$D$4:$D$19,MATCH($C145,'TECNICOS'!$B$4:$B$19,0)),"")</f>
        <v/>
      </c>
      <c r="E145" s="3">
        <f>IFERROR(INDEX('TECNICOS'!$C$4:$C$19,MATCH($C145,'TECNICOS'!$B$4:$B$19,0)),"")</f>
        <v/>
      </c>
      <c r="F145" s="3">
        <f>COUNTIFS('TECNICOS'!$F$4:$F$19,"SI",'TECNICOS'!$C$4:$C$19,$E145,'TECNICOS'!$D$4:$D$19,$D145)</f>
        <v/>
      </c>
      <c r="G145" s="3">
        <f>IF(OR($C145="",$A145="",$B145="domingo"),"",IF(IFERROR(INDEX('TECNICOS'!$F$4:$F$19,MATCH($C145,'TECNICOS'!$B$4:$B$19,0)),"NO")&lt;&gt;"SI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3">
        <f>IF(COUNTIFS('PLAN_VACACIONES'!$A$4:$A$103,$C145,'PLAN_VACACIONES'!$B$4:$B$103,"&lt;="&amp;$L145,'PLAN_VACACIONES'!$C$4:$C$103,"&gt;="&amp;$L145)&gt;0,"sí","no")</f>
        <v/>
      </c>
      <c r="I145" s="6" t="n"/>
      <c r="J145" s="3">
        <f>IF($I145&lt;&gt;"",$I145,IF($G145="","",IF($H145="sí","VAC",IF(LEFT($G145,1)="B","B",$G145))))</f>
        <v/>
      </c>
      <c r="K145" s="3">
        <f>IFERROR(INDEX('TECNICOS'!$E$4:$E$19,MATCH($C145,'TECNICOS'!$B$4:$B$19,0)),"")</f>
        <v/>
      </c>
      <c r="L145" s="12">
        <f>IF($A145="","",DATE(VALUE(LEFT($A145,4)),1,4)-WEEKDAY(DATE(VALUE(LEFT($A145,4)),1,4),2)+1+(VALUE(MID($A145,7,2))-1)*7+MATCH($B145,lista_dias,0)-1)</f>
        <v/>
      </c>
      <c r="M145" s="3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3">
        <f>$A145&amp;"|"&amp;$B145&amp;"|"&amp;$C145</f>
        <v/>
      </c>
      <c r="O145" s="3">
        <f>IFERROR(INDEX('CAT_TURNOS'!$C$4:$C$7,MATCH($J145,'CAT_TURNOS'!$A$4:$A$7,0)),"")</f>
        <v/>
      </c>
      <c r="P145" s="3">
        <f>IFERROR(INDEX('CAT_TURNOS'!$D$4:$D$7,MATCH($J145,'CAT_TURNOS'!$A$4:$A$7,0)),"")</f>
        <v/>
      </c>
      <c r="Q145" s="3">
        <f>IF(AND(LEFT($G145,1)="T",$H145="no"),"sí","no")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05</t>
        </is>
      </c>
      <c r="D146" s="3">
        <f>IFERROR(INDEX('TECNICOS'!$D$4:$D$19,MATCH($C146,'TECNICOS'!$B$4:$B$19,0)),"")</f>
        <v/>
      </c>
      <c r="E146" s="3">
        <f>IFERROR(INDEX('TECNICOS'!$C$4:$C$19,MATCH($C146,'TECNICOS'!$B$4:$B$19,0)),"")</f>
        <v/>
      </c>
      <c r="F146" s="3">
        <f>COUNTIFS('TECNICOS'!$F$4:$F$19,"SI",'TECNICOS'!$C$4:$C$19,$E146,'TECNICOS'!$D$4:$D$19,$D146)</f>
        <v/>
      </c>
      <c r="G146" s="3">
        <f>IF(OR($C146="",$A146="",$B146="domingo"),"",IF(IFERROR(INDEX('TECNICOS'!$F$4:$F$19,MATCH($C146,'TECNICOS'!$B$4:$B$19,0)),"NO")&lt;&gt;"SI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3">
        <f>IF(COUNTIFS('PLAN_VACACIONES'!$A$4:$A$103,$C146,'PLAN_VACACIONES'!$B$4:$B$103,"&lt;="&amp;$L146,'PLAN_VACACIONES'!$C$4:$C$103,"&gt;="&amp;$L146)&gt;0,"sí","no")</f>
        <v/>
      </c>
      <c r="I146" s="6" t="n"/>
      <c r="J146" s="3">
        <f>IF($I146&lt;&gt;"",$I146,IF($G146="","",IF($H146="sí","VAC",IF(LEFT($G146,1)="B","B",$G146))))</f>
        <v/>
      </c>
      <c r="K146" s="3">
        <f>IFERROR(INDEX('TECNICOS'!$E$4:$E$19,MATCH($C146,'TECNICOS'!$B$4:$B$19,0)),"")</f>
        <v/>
      </c>
      <c r="L146" s="12">
        <f>IF($A146="","",DATE(VALUE(LEFT($A146,4)),1,4)-WEEKDAY(DATE(VALUE(LEFT($A146,4)),1,4),2)+1+(VALUE(MID($A146,7,2))-1)*7+MATCH($B146,lista_dias,0)-1)</f>
        <v/>
      </c>
      <c r="M146" s="3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3">
        <f>$A146&amp;"|"&amp;$B146&amp;"|"&amp;$C146</f>
        <v/>
      </c>
      <c r="O146" s="3">
        <f>IFERROR(INDEX('CAT_TURNOS'!$C$4:$C$7,MATCH($J146,'CAT_TURNOS'!$A$4:$A$7,0)),"")</f>
        <v/>
      </c>
      <c r="P146" s="3">
        <f>IFERROR(INDEX('CAT_TURNOS'!$D$4:$D$7,MATCH($J146,'CAT_TURNOS'!$A$4:$A$7,0)),"")</f>
        <v/>
      </c>
      <c r="Q146" s="3">
        <f>IF(AND(LEFT($G146,1)="T",$H146="no"),"sí","no")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05</t>
        </is>
      </c>
      <c r="D147" s="3">
        <f>IFERROR(INDEX('TECNICOS'!$D$4:$D$19,MATCH($C147,'TECNICOS'!$B$4:$B$19,0)),"")</f>
        <v/>
      </c>
      <c r="E147" s="3">
        <f>IFERROR(INDEX('TECNICOS'!$C$4:$C$19,MATCH($C147,'TECNICOS'!$B$4:$B$19,0)),"")</f>
        <v/>
      </c>
      <c r="F147" s="3">
        <f>COUNTIFS('TECNICOS'!$F$4:$F$19,"SI",'TECNICOS'!$C$4:$C$19,$E147,'TECNICOS'!$D$4:$D$19,$D147)</f>
        <v/>
      </c>
      <c r="G147" s="3">
        <f>IF(OR($C147="",$A147="",$B147="domingo"),"",IF(IFERROR(INDEX('TECNICOS'!$F$4:$F$19,MATCH($C147,'TECNICOS'!$B$4:$B$19,0)),"NO")&lt;&gt;"SI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3">
        <f>IF(COUNTIFS('PLAN_VACACIONES'!$A$4:$A$103,$C147,'PLAN_VACACIONES'!$B$4:$B$103,"&lt;="&amp;$L147,'PLAN_VACACIONES'!$C$4:$C$103,"&gt;="&amp;$L147)&gt;0,"sí","no")</f>
        <v/>
      </c>
      <c r="I147" s="6" t="n"/>
      <c r="J147" s="3">
        <f>IF($I147&lt;&gt;"",$I147,IF($G147="","",IF($H147="sí","VAC",IF(LEFT($G147,1)="B","B",$G147))))</f>
        <v/>
      </c>
      <c r="K147" s="3">
        <f>IFERROR(INDEX('TECNICOS'!$E$4:$E$19,MATCH($C147,'TECNICOS'!$B$4:$B$19,0)),"")</f>
        <v/>
      </c>
      <c r="L147" s="12">
        <f>IF($A147="","",DATE(VALUE(LEFT($A147,4)),1,4)-WEEKDAY(DATE(VALUE(LEFT($A147,4)),1,4),2)+1+(VALUE(MID($A147,7,2))-1)*7+MATCH($B147,lista_dias,0)-1)</f>
        <v/>
      </c>
      <c r="M147" s="3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3">
        <f>$A147&amp;"|"&amp;$B147&amp;"|"&amp;$C147</f>
        <v/>
      </c>
      <c r="O147" s="3">
        <f>IFERROR(INDEX('CAT_TURNOS'!$C$4:$C$7,MATCH($J147,'CAT_TURNOS'!$A$4:$A$7,0)),"")</f>
        <v/>
      </c>
      <c r="P147" s="3">
        <f>IFERROR(INDEX('CAT_TURNOS'!$D$4:$D$7,MATCH($J147,'CAT_TURNOS'!$A$4:$A$7,0)),"")</f>
        <v/>
      </c>
      <c r="Q147" s="3">
        <f>IF(AND(LEFT($G147,1)="T",$H147="no"),"sí","no")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05</t>
        </is>
      </c>
      <c r="D148" s="3">
        <f>IFERROR(INDEX('TECNICOS'!$D$4:$D$19,MATCH($C148,'TECNICOS'!$B$4:$B$19,0)),"")</f>
        <v/>
      </c>
      <c r="E148" s="3">
        <f>IFERROR(INDEX('TECNICOS'!$C$4:$C$19,MATCH($C148,'TECNICOS'!$B$4:$B$19,0)),"")</f>
        <v/>
      </c>
      <c r="F148" s="3">
        <f>COUNTIFS('TECNICOS'!$F$4:$F$19,"SI",'TECNICOS'!$C$4:$C$19,$E148,'TECNICOS'!$D$4:$D$19,$D148)</f>
        <v/>
      </c>
      <c r="G148" s="3">
        <f>IF(OR($C148="",$A148="",$B148="domingo"),"",IF(IFERROR(INDEX('TECNICOS'!$F$4:$F$19,MATCH($C148,'TECNICOS'!$B$4:$B$19,0)),"NO")&lt;&gt;"SI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3">
        <f>IF(COUNTIFS('PLAN_VACACIONES'!$A$4:$A$103,$C148,'PLAN_VACACIONES'!$B$4:$B$103,"&lt;="&amp;$L148,'PLAN_VACACIONES'!$C$4:$C$103,"&gt;="&amp;$L148)&gt;0,"sí","no")</f>
        <v/>
      </c>
      <c r="I148" s="6" t="n"/>
      <c r="J148" s="3">
        <f>IF($I148&lt;&gt;"",$I148,IF($G148="","",IF($H148="sí","VAC",IF(LEFT($G148,1)="B","B",$G148))))</f>
        <v/>
      </c>
      <c r="K148" s="3">
        <f>IFERROR(INDEX('TECNICOS'!$E$4:$E$19,MATCH($C148,'TECNICOS'!$B$4:$B$19,0)),"")</f>
        <v/>
      </c>
      <c r="L148" s="12">
        <f>IF($A148="","",DATE(VALUE(LEFT($A148,4)),1,4)-WEEKDAY(DATE(VALUE(LEFT($A148,4)),1,4),2)+1+(VALUE(MID($A148,7,2))-1)*7+MATCH($B148,lista_dias,0)-1)</f>
        <v/>
      </c>
      <c r="M148" s="3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3">
        <f>$A148&amp;"|"&amp;$B148&amp;"|"&amp;$C148</f>
        <v/>
      </c>
      <c r="O148" s="3">
        <f>IFERROR(INDEX('CAT_TURNOS'!$C$4:$C$7,MATCH($J148,'CAT_TURNOS'!$A$4:$A$7,0)),"")</f>
        <v/>
      </c>
      <c r="P148" s="3">
        <f>IFERROR(INDEX('CAT_TURNOS'!$D$4:$D$7,MATCH($J148,'CAT_TURNOS'!$A$4:$A$7,0)),"")</f>
        <v/>
      </c>
      <c r="Q148" s="3">
        <f>IF(AND(LEFT($G148,1)="T",$H148="no"),"sí","no")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05</t>
        </is>
      </c>
      <c r="D149" s="3">
        <f>IFERROR(INDEX('TECNICOS'!$D$4:$D$19,MATCH($C149,'TECNICOS'!$B$4:$B$19,0)),"")</f>
        <v/>
      </c>
      <c r="E149" s="3">
        <f>IFERROR(INDEX('TECNICOS'!$C$4:$C$19,MATCH($C149,'TECNICOS'!$B$4:$B$19,0)),"")</f>
        <v/>
      </c>
      <c r="F149" s="3">
        <f>COUNTIFS('TECNICOS'!$F$4:$F$19,"SI",'TECNICOS'!$C$4:$C$19,$E149,'TECNICOS'!$D$4:$D$19,$D149)</f>
        <v/>
      </c>
      <c r="G149" s="3">
        <f>IF(OR($C149="",$A149="",$B149="domingo"),"",IF(IFERROR(INDEX('TECNICOS'!$F$4:$F$19,MATCH($C149,'TECNICOS'!$B$4:$B$19,0)),"NO")&lt;&gt;"SI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3">
        <f>IF(COUNTIFS('PLAN_VACACIONES'!$A$4:$A$103,$C149,'PLAN_VACACIONES'!$B$4:$B$103,"&lt;="&amp;$L149,'PLAN_VACACIONES'!$C$4:$C$103,"&gt;="&amp;$L149)&gt;0,"sí","no")</f>
        <v/>
      </c>
      <c r="I149" s="6" t="n"/>
      <c r="J149" s="3">
        <f>IF($I149&lt;&gt;"",$I149,IF($G149="","",IF($H149="sí","VAC",IF(LEFT($G149,1)="B","B",$G149))))</f>
        <v/>
      </c>
      <c r="K149" s="3">
        <f>IFERROR(INDEX('TECNICOS'!$E$4:$E$19,MATCH($C149,'TECNICOS'!$B$4:$B$19,0)),"")</f>
        <v/>
      </c>
      <c r="L149" s="12">
        <f>IF($A149="","",DATE(VALUE(LEFT($A149,4)),1,4)-WEEKDAY(DATE(VALUE(LEFT($A149,4)),1,4),2)+1+(VALUE(MID($A149,7,2))-1)*7+MATCH($B149,lista_dias,0)-1)</f>
        <v/>
      </c>
      <c r="M149" s="3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3">
        <f>$A149&amp;"|"&amp;$B149&amp;"|"&amp;$C149</f>
        <v/>
      </c>
      <c r="O149" s="3">
        <f>IFERROR(INDEX('CAT_TURNOS'!$C$4:$C$7,MATCH($J149,'CAT_TURNOS'!$A$4:$A$7,0)),"")</f>
        <v/>
      </c>
      <c r="P149" s="3">
        <f>IFERROR(INDEX('CAT_TURNOS'!$D$4:$D$7,MATCH($J149,'CAT_TURNOS'!$A$4:$A$7,0)),"")</f>
        <v/>
      </c>
      <c r="Q149" s="3">
        <f>IF(AND(LEFT($G149,1)="T",$H149="no"),"sí","no")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05</t>
        </is>
      </c>
      <c r="D150" s="3">
        <f>IFERROR(INDEX('TECNICOS'!$D$4:$D$19,MATCH($C150,'TECNICOS'!$B$4:$B$19,0)),"")</f>
        <v/>
      </c>
      <c r="E150" s="3">
        <f>IFERROR(INDEX('TECNICOS'!$C$4:$C$19,MATCH($C150,'TECNICOS'!$B$4:$B$19,0)),"")</f>
        <v/>
      </c>
      <c r="F150" s="3">
        <f>COUNTIFS('TECNICOS'!$F$4:$F$19,"SI",'TECNICOS'!$C$4:$C$19,$E150,'TECNICOS'!$D$4:$D$19,$D150)</f>
        <v/>
      </c>
      <c r="G150" s="3">
        <f>IF(OR($C150="",$A150="",$B150="domingo"),"",IF(IFERROR(INDEX('TECNICOS'!$F$4:$F$19,MATCH($C150,'TECNICOS'!$B$4:$B$19,0)),"NO")&lt;&gt;"SI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3">
        <f>IF(COUNTIFS('PLAN_VACACIONES'!$A$4:$A$103,$C150,'PLAN_VACACIONES'!$B$4:$B$103,"&lt;="&amp;$L150,'PLAN_VACACIONES'!$C$4:$C$103,"&gt;="&amp;$L150)&gt;0,"sí","no")</f>
        <v/>
      </c>
      <c r="I150" s="6" t="n"/>
      <c r="J150" s="3">
        <f>IF($I150&lt;&gt;"",$I150,IF($G150="","",IF($H150="sí","VAC",IF(LEFT($G150,1)="B","B",$G150))))</f>
        <v/>
      </c>
      <c r="K150" s="3">
        <f>IFERROR(INDEX('TECNICOS'!$E$4:$E$19,MATCH($C150,'TECNICOS'!$B$4:$B$19,0)),"")</f>
        <v/>
      </c>
      <c r="L150" s="12">
        <f>IF($A150="","",DATE(VALUE(LEFT($A150,4)),1,4)-WEEKDAY(DATE(VALUE(LEFT($A150,4)),1,4),2)+1+(VALUE(MID($A150,7,2))-1)*7+MATCH($B150,lista_dias,0)-1)</f>
        <v/>
      </c>
      <c r="M150" s="3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3">
        <f>$A150&amp;"|"&amp;$B150&amp;"|"&amp;$C150</f>
        <v/>
      </c>
      <c r="O150" s="3">
        <f>IFERROR(INDEX('CAT_TURNOS'!$C$4:$C$7,MATCH($J150,'CAT_TURNOS'!$A$4:$A$7,0)),"")</f>
        <v/>
      </c>
      <c r="P150" s="3">
        <f>IFERROR(INDEX('CAT_TURNOS'!$D$4:$D$7,MATCH($J150,'CAT_TURNOS'!$A$4:$A$7,0)),"")</f>
        <v/>
      </c>
      <c r="Q150" s="3">
        <f>IF(AND(LEFT($G150,1)="T",$H150="no"),"sí","no")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06</t>
        </is>
      </c>
      <c r="D151" s="3">
        <f>IFERROR(INDEX('TECNICOS'!$D$4:$D$19,MATCH($C151,'TECNICOS'!$B$4:$B$19,0)),"")</f>
        <v/>
      </c>
      <c r="E151" s="3">
        <f>IFERROR(INDEX('TECNICOS'!$C$4:$C$19,MATCH($C151,'TECNICOS'!$B$4:$B$19,0)),"")</f>
        <v/>
      </c>
      <c r="F151" s="3">
        <f>COUNTIFS('TECNICOS'!$F$4:$F$19,"SI",'TECNICOS'!$C$4:$C$19,$E151,'TECNICOS'!$D$4:$D$19,$D151)</f>
        <v/>
      </c>
      <c r="G151" s="3">
        <f>IF(OR($C151="",$A151="",$B151="domingo"),"",IF(IFERROR(INDEX('TECNICOS'!$F$4:$F$19,MATCH($C151,'TECNICOS'!$B$4:$B$19,0)),"NO")&lt;&gt;"SI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3">
        <f>IF(COUNTIFS('PLAN_VACACIONES'!$A$4:$A$103,$C151,'PLAN_VACACIONES'!$B$4:$B$103,"&lt;="&amp;$L151,'PLAN_VACACIONES'!$C$4:$C$103,"&gt;="&amp;$L151)&gt;0,"sí","no")</f>
        <v/>
      </c>
      <c r="I151" s="6" t="n"/>
      <c r="J151" s="3">
        <f>IF($I151&lt;&gt;"",$I151,IF($G151="","",IF($H151="sí","VAC",IF(LEFT($G151,1)="B","B",$G151))))</f>
        <v/>
      </c>
      <c r="K151" s="3">
        <f>IFERROR(INDEX('TECNICOS'!$E$4:$E$19,MATCH($C151,'TECNICOS'!$B$4:$B$19,0)),"")</f>
        <v/>
      </c>
      <c r="L151" s="12">
        <f>IF($A151="","",DATE(VALUE(LEFT($A151,4)),1,4)-WEEKDAY(DATE(VALUE(LEFT($A151,4)),1,4),2)+1+(VALUE(MID($A151,7,2))-1)*7+MATCH($B151,lista_dias,0)-1)</f>
        <v/>
      </c>
      <c r="M151" s="3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3">
        <f>$A151&amp;"|"&amp;$B151&amp;"|"&amp;$C151</f>
        <v/>
      </c>
      <c r="O151" s="3">
        <f>IFERROR(INDEX('CAT_TURNOS'!$C$4:$C$7,MATCH($J151,'CAT_TURNOS'!$A$4:$A$7,0)),"")</f>
        <v/>
      </c>
      <c r="P151" s="3">
        <f>IFERROR(INDEX('CAT_TURNOS'!$D$4:$D$7,MATCH($J151,'CAT_TURNOS'!$A$4:$A$7,0)),"")</f>
        <v/>
      </c>
      <c r="Q151" s="3">
        <f>IF(AND(LEFT($G151,1)="T",$H151="no"),"sí","no")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06</t>
        </is>
      </c>
      <c r="D152" s="3">
        <f>IFERROR(INDEX('TECNICOS'!$D$4:$D$19,MATCH($C152,'TECNICOS'!$B$4:$B$19,0)),"")</f>
        <v/>
      </c>
      <c r="E152" s="3">
        <f>IFERROR(INDEX('TECNICOS'!$C$4:$C$19,MATCH($C152,'TECNICOS'!$B$4:$B$19,0)),"")</f>
        <v/>
      </c>
      <c r="F152" s="3">
        <f>COUNTIFS('TECNICOS'!$F$4:$F$19,"SI",'TECNICOS'!$C$4:$C$19,$E152,'TECNICOS'!$D$4:$D$19,$D152)</f>
        <v/>
      </c>
      <c r="G152" s="3">
        <f>IF(OR($C152="",$A152="",$B152="domingo"),"",IF(IFERROR(INDEX('TECNICOS'!$F$4:$F$19,MATCH($C152,'TECNICOS'!$B$4:$B$19,0)),"NO")&lt;&gt;"SI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3">
        <f>IF(COUNTIFS('PLAN_VACACIONES'!$A$4:$A$103,$C152,'PLAN_VACACIONES'!$B$4:$B$103,"&lt;="&amp;$L152,'PLAN_VACACIONES'!$C$4:$C$103,"&gt;="&amp;$L152)&gt;0,"sí","no")</f>
        <v/>
      </c>
      <c r="I152" s="6" t="n"/>
      <c r="J152" s="3">
        <f>IF($I152&lt;&gt;"",$I152,IF($G152="","",IF($H152="sí","VAC",IF(LEFT($G152,1)="B","B",$G152))))</f>
        <v/>
      </c>
      <c r="K152" s="3">
        <f>IFERROR(INDEX('TECNICOS'!$E$4:$E$19,MATCH($C152,'TECNICOS'!$B$4:$B$19,0)),"")</f>
        <v/>
      </c>
      <c r="L152" s="12">
        <f>IF($A152="","",DATE(VALUE(LEFT($A152,4)),1,4)-WEEKDAY(DATE(VALUE(LEFT($A152,4)),1,4),2)+1+(VALUE(MID($A152,7,2))-1)*7+MATCH($B152,lista_dias,0)-1)</f>
        <v/>
      </c>
      <c r="M152" s="3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3">
        <f>$A152&amp;"|"&amp;$B152&amp;"|"&amp;$C152</f>
        <v/>
      </c>
      <c r="O152" s="3">
        <f>IFERROR(INDEX('CAT_TURNOS'!$C$4:$C$7,MATCH($J152,'CAT_TURNOS'!$A$4:$A$7,0)),"")</f>
        <v/>
      </c>
      <c r="P152" s="3">
        <f>IFERROR(INDEX('CAT_TURNOS'!$D$4:$D$7,MATCH($J152,'CAT_TURNOS'!$A$4:$A$7,0)),"")</f>
        <v/>
      </c>
      <c r="Q152" s="3">
        <f>IF(AND(LEFT($G152,1)="T",$H152="no"),"sí","no")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06</t>
        </is>
      </c>
      <c r="D153" s="3">
        <f>IFERROR(INDEX('TECNICOS'!$D$4:$D$19,MATCH($C153,'TECNICOS'!$B$4:$B$19,0)),"")</f>
        <v/>
      </c>
      <c r="E153" s="3">
        <f>IFERROR(INDEX('TECNICOS'!$C$4:$C$19,MATCH($C153,'TECNICOS'!$B$4:$B$19,0)),"")</f>
        <v/>
      </c>
      <c r="F153" s="3">
        <f>COUNTIFS('TECNICOS'!$F$4:$F$19,"SI",'TECNICOS'!$C$4:$C$19,$E153,'TECNICOS'!$D$4:$D$19,$D153)</f>
        <v/>
      </c>
      <c r="G153" s="3">
        <f>IF(OR($C153="",$A153="",$B153="domingo"),"",IF(IFERROR(INDEX('TECNICOS'!$F$4:$F$19,MATCH($C153,'TECNICOS'!$B$4:$B$19,0)),"NO")&lt;&gt;"SI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3">
        <f>IF(COUNTIFS('PLAN_VACACIONES'!$A$4:$A$103,$C153,'PLAN_VACACIONES'!$B$4:$B$103,"&lt;="&amp;$L153,'PLAN_VACACIONES'!$C$4:$C$103,"&gt;="&amp;$L153)&gt;0,"sí","no")</f>
        <v/>
      </c>
      <c r="I153" s="6" t="n"/>
      <c r="J153" s="3">
        <f>IF($I153&lt;&gt;"",$I153,IF($G153="","",IF($H153="sí","VAC",IF(LEFT($G153,1)="B","B",$G153))))</f>
        <v/>
      </c>
      <c r="K153" s="3">
        <f>IFERROR(INDEX('TECNICOS'!$E$4:$E$19,MATCH($C153,'TECNICOS'!$B$4:$B$19,0)),"")</f>
        <v/>
      </c>
      <c r="L153" s="12">
        <f>IF($A153="","",DATE(VALUE(LEFT($A153,4)),1,4)-WEEKDAY(DATE(VALUE(LEFT($A153,4)),1,4),2)+1+(VALUE(MID($A153,7,2))-1)*7+MATCH($B153,lista_dias,0)-1)</f>
        <v/>
      </c>
      <c r="M153" s="3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3">
        <f>$A153&amp;"|"&amp;$B153&amp;"|"&amp;$C153</f>
        <v/>
      </c>
      <c r="O153" s="3">
        <f>IFERROR(INDEX('CAT_TURNOS'!$C$4:$C$7,MATCH($J153,'CAT_TURNOS'!$A$4:$A$7,0)),"")</f>
        <v/>
      </c>
      <c r="P153" s="3">
        <f>IFERROR(INDEX('CAT_TURNOS'!$D$4:$D$7,MATCH($J153,'CAT_TURNOS'!$A$4:$A$7,0)),"")</f>
        <v/>
      </c>
      <c r="Q153" s="3">
        <f>IF(AND(LEFT($G153,1)="T",$H153="no"),"sí","no")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06</t>
        </is>
      </c>
      <c r="D154" s="3">
        <f>IFERROR(INDEX('TECNICOS'!$D$4:$D$19,MATCH($C154,'TECNICOS'!$B$4:$B$19,0)),"")</f>
        <v/>
      </c>
      <c r="E154" s="3">
        <f>IFERROR(INDEX('TECNICOS'!$C$4:$C$19,MATCH($C154,'TECNICOS'!$B$4:$B$19,0)),"")</f>
        <v/>
      </c>
      <c r="F154" s="3">
        <f>COUNTIFS('TECNICOS'!$F$4:$F$19,"SI",'TECNICOS'!$C$4:$C$19,$E154,'TECNICOS'!$D$4:$D$19,$D154)</f>
        <v/>
      </c>
      <c r="G154" s="3">
        <f>IF(OR($C154="",$A154="",$B154="domingo"),"",IF(IFERROR(INDEX('TECNICOS'!$F$4:$F$19,MATCH($C154,'TECNICOS'!$B$4:$B$19,0)),"NO")&lt;&gt;"SI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3">
        <f>IF(COUNTIFS('PLAN_VACACIONES'!$A$4:$A$103,$C154,'PLAN_VACACIONES'!$B$4:$B$103,"&lt;="&amp;$L154,'PLAN_VACACIONES'!$C$4:$C$103,"&gt;="&amp;$L154)&gt;0,"sí","no")</f>
        <v/>
      </c>
      <c r="I154" s="6" t="n"/>
      <c r="J154" s="3">
        <f>IF($I154&lt;&gt;"",$I154,IF($G154="","",IF($H154="sí","VAC",IF(LEFT($G154,1)="B","B",$G154))))</f>
        <v/>
      </c>
      <c r="K154" s="3">
        <f>IFERROR(INDEX('TECNICOS'!$E$4:$E$19,MATCH($C154,'TECNICOS'!$B$4:$B$19,0)),"")</f>
        <v/>
      </c>
      <c r="L154" s="12">
        <f>IF($A154="","",DATE(VALUE(LEFT($A154,4)),1,4)-WEEKDAY(DATE(VALUE(LEFT($A154,4)),1,4),2)+1+(VALUE(MID($A154,7,2))-1)*7+MATCH($B154,lista_dias,0)-1)</f>
        <v/>
      </c>
      <c r="M154" s="3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3">
        <f>$A154&amp;"|"&amp;$B154&amp;"|"&amp;$C154</f>
        <v/>
      </c>
      <c r="O154" s="3">
        <f>IFERROR(INDEX('CAT_TURNOS'!$C$4:$C$7,MATCH($J154,'CAT_TURNOS'!$A$4:$A$7,0)),"")</f>
        <v/>
      </c>
      <c r="P154" s="3">
        <f>IFERROR(INDEX('CAT_TURNOS'!$D$4:$D$7,MATCH($J154,'CAT_TURNOS'!$A$4:$A$7,0)),"")</f>
        <v/>
      </c>
      <c r="Q154" s="3">
        <f>IF(AND(LEFT($G154,1)="T",$H154="no"),"sí","no")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06</t>
        </is>
      </c>
      <c r="D155" s="3">
        <f>IFERROR(INDEX('TECNICOS'!$D$4:$D$19,MATCH($C155,'TECNICOS'!$B$4:$B$19,0)),"")</f>
        <v/>
      </c>
      <c r="E155" s="3">
        <f>IFERROR(INDEX('TECNICOS'!$C$4:$C$19,MATCH($C155,'TECNICOS'!$B$4:$B$19,0)),"")</f>
        <v/>
      </c>
      <c r="F155" s="3">
        <f>COUNTIFS('TECNICOS'!$F$4:$F$19,"SI",'TECNICOS'!$C$4:$C$19,$E155,'TECNICOS'!$D$4:$D$19,$D155)</f>
        <v/>
      </c>
      <c r="G155" s="3">
        <f>IF(OR($C155="",$A155="",$B155="domingo"),"",IF(IFERROR(INDEX('TECNICOS'!$F$4:$F$19,MATCH($C155,'TECNICOS'!$B$4:$B$19,0)),"NO")&lt;&gt;"SI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3">
        <f>IF(COUNTIFS('PLAN_VACACIONES'!$A$4:$A$103,$C155,'PLAN_VACACIONES'!$B$4:$B$103,"&lt;="&amp;$L155,'PLAN_VACACIONES'!$C$4:$C$103,"&gt;="&amp;$L155)&gt;0,"sí","no")</f>
        <v/>
      </c>
      <c r="I155" s="6" t="n"/>
      <c r="J155" s="3">
        <f>IF($I155&lt;&gt;"",$I155,IF($G155="","",IF($H155="sí","VAC",IF(LEFT($G155,1)="B","B",$G155))))</f>
        <v/>
      </c>
      <c r="K155" s="3">
        <f>IFERROR(INDEX('TECNICOS'!$E$4:$E$19,MATCH($C155,'TECNICOS'!$B$4:$B$19,0)),"")</f>
        <v/>
      </c>
      <c r="L155" s="12">
        <f>IF($A155="","",DATE(VALUE(LEFT($A155,4)),1,4)-WEEKDAY(DATE(VALUE(LEFT($A155,4)),1,4),2)+1+(VALUE(MID($A155,7,2))-1)*7+MATCH($B155,lista_dias,0)-1)</f>
        <v/>
      </c>
      <c r="M155" s="3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3">
        <f>$A155&amp;"|"&amp;$B155&amp;"|"&amp;$C155</f>
        <v/>
      </c>
      <c r="O155" s="3">
        <f>IFERROR(INDEX('CAT_TURNOS'!$C$4:$C$7,MATCH($J155,'CAT_TURNOS'!$A$4:$A$7,0)),"")</f>
        <v/>
      </c>
      <c r="P155" s="3">
        <f>IFERROR(INDEX('CAT_TURNOS'!$D$4:$D$7,MATCH($J155,'CAT_TURNOS'!$A$4:$A$7,0)),"")</f>
        <v/>
      </c>
      <c r="Q155" s="3">
        <f>IF(AND(LEFT($G155,1)="T",$H155="no"),"sí","no")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06</t>
        </is>
      </c>
      <c r="D156" s="3">
        <f>IFERROR(INDEX('TECNICOS'!$D$4:$D$19,MATCH($C156,'TECNICOS'!$B$4:$B$19,0)),"")</f>
        <v/>
      </c>
      <c r="E156" s="3">
        <f>IFERROR(INDEX('TECNICOS'!$C$4:$C$19,MATCH($C156,'TECNICOS'!$B$4:$B$19,0)),"")</f>
        <v/>
      </c>
      <c r="F156" s="3">
        <f>COUNTIFS('TECNICOS'!$F$4:$F$19,"SI",'TECNICOS'!$C$4:$C$19,$E156,'TECNICOS'!$D$4:$D$19,$D156)</f>
        <v/>
      </c>
      <c r="G156" s="3">
        <f>IF(OR($C156="",$A156="",$B156="domingo"),"",IF(IFERROR(INDEX('TECNICOS'!$F$4:$F$19,MATCH($C156,'TECNICOS'!$B$4:$B$19,0)),"NO")&lt;&gt;"SI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3">
        <f>IF(COUNTIFS('PLAN_VACACIONES'!$A$4:$A$103,$C156,'PLAN_VACACIONES'!$B$4:$B$103,"&lt;="&amp;$L156,'PLAN_VACACIONES'!$C$4:$C$103,"&gt;="&amp;$L156)&gt;0,"sí","no")</f>
        <v/>
      </c>
      <c r="I156" s="6" t="n"/>
      <c r="J156" s="3">
        <f>IF($I156&lt;&gt;"",$I156,IF($G156="","",IF($H156="sí","VAC",IF(LEFT($G156,1)="B","B",$G156))))</f>
        <v/>
      </c>
      <c r="K156" s="3">
        <f>IFERROR(INDEX('TECNICOS'!$E$4:$E$19,MATCH($C156,'TECNICOS'!$B$4:$B$19,0)),"")</f>
        <v/>
      </c>
      <c r="L156" s="12">
        <f>IF($A156="","",DATE(VALUE(LEFT($A156,4)),1,4)-WEEKDAY(DATE(VALUE(LEFT($A156,4)),1,4),2)+1+(VALUE(MID($A156,7,2))-1)*7+MATCH($B156,lista_dias,0)-1)</f>
        <v/>
      </c>
      <c r="M156" s="3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3">
        <f>$A156&amp;"|"&amp;$B156&amp;"|"&amp;$C156</f>
        <v/>
      </c>
      <c r="O156" s="3">
        <f>IFERROR(INDEX('CAT_TURNOS'!$C$4:$C$7,MATCH($J156,'CAT_TURNOS'!$A$4:$A$7,0)),"")</f>
        <v/>
      </c>
      <c r="P156" s="3">
        <f>IFERROR(INDEX('CAT_TURNOS'!$D$4:$D$7,MATCH($J156,'CAT_TURNOS'!$A$4:$A$7,0)),"")</f>
        <v/>
      </c>
      <c r="Q156" s="3">
        <f>IF(AND(LEFT($G156,1)="T",$H156="no"),"sí","no")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06</t>
        </is>
      </c>
      <c r="D157" s="3">
        <f>IFERROR(INDEX('TECNICOS'!$D$4:$D$19,MATCH($C157,'TECNICOS'!$B$4:$B$19,0)),"")</f>
        <v/>
      </c>
      <c r="E157" s="3">
        <f>IFERROR(INDEX('TECNICOS'!$C$4:$C$19,MATCH($C157,'TECNICOS'!$B$4:$B$19,0)),"")</f>
        <v/>
      </c>
      <c r="F157" s="3">
        <f>COUNTIFS('TECNICOS'!$F$4:$F$19,"SI",'TECNICOS'!$C$4:$C$19,$E157,'TECNICOS'!$D$4:$D$19,$D157)</f>
        <v/>
      </c>
      <c r="G157" s="3">
        <f>IF(OR($C157="",$A157="",$B157="domingo"),"",IF(IFERROR(INDEX('TECNICOS'!$F$4:$F$19,MATCH($C157,'TECNICOS'!$B$4:$B$19,0)),"NO")&lt;&gt;"SI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3">
        <f>IF(COUNTIFS('PLAN_VACACIONES'!$A$4:$A$103,$C157,'PLAN_VACACIONES'!$B$4:$B$103,"&lt;="&amp;$L157,'PLAN_VACACIONES'!$C$4:$C$103,"&gt;="&amp;$L157)&gt;0,"sí","no")</f>
        <v/>
      </c>
      <c r="I157" s="6" t="n"/>
      <c r="J157" s="3">
        <f>IF($I157&lt;&gt;"",$I157,IF($G157="","",IF($H157="sí","VAC",IF(LEFT($G157,1)="B","B",$G157))))</f>
        <v/>
      </c>
      <c r="K157" s="3">
        <f>IFERROR(INDEX('TECNICOS'!$E$4:$E$19,MATCH($C157,'TECNICOS'!$B$4:$B$19,0)),"")</f>
        <v/>
      </c>
      <c r="L157" s="12">
        <f>IF($A157="","",DATE(VALUE(LEFT($A157,4)),1,4)-WEEKDAY(DATE(VALUE(LEFT($A157,4)),1,4),2)+1+(VALUE(MID($A157,7,2))-1)*7+MATCH($B157,lista_dias,0)-1)</f>
        <v/>
      </c>
      <c r="M157" s="3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3">
        <f>$A157&amp;"|"&amp;$B157&amp;"|"&amp;$C157</f>
        <v/>
      </c>
      <c r="O157" s="3">
        <f>IFERROR(INDEX('CAT_TURNOS'!$C$4:$C$7,MATCH($J157,'CAT_TURNOS'!$A$4:$A$7,0)),"")</f>
        <v/>
      </c>
      <c r="P157" s="3">
        <f>IFERROR(INDEX('CAT_TURNOS'!$D$4:$D$7,MATCH($J157,'CAT_TURNOS'!$A$4:$A$7,0)),"")</f>
        <v/>
      </c>
      <c r="Q157" s="3">
        <f>IF(AND(LEFT($G157,1)="T",$H157="no"),"sí","no")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07</t>
        </is>
      </c>
      <c r="D158" s="3">
        <f>IFERROR(INDEX('TECNICOS'!$D$4:$D$19,MATCH($C158,'TECNICOS'!$B$4:$B$19,0)),"")</f>
        <v/>
      </c>
      <c r="E158" s="3">
        <f>IFERROR(INDEX('TECNICOS'!$C$4:$C$19,MATCH($C158,'TECNICOS'!$B$4:$B$19,0)),"")</f>
        <v/>
      </c>
      <c r="F158" s="3">
        <f>COUNTIFS('TECNICOS'!$F$4:$F$19,"SI",'TECNICOS'!$C$4:$C$19,$E158,'TECNICOS'!$D$4:$D$19,$D158)</f>
        <v/>
      </c>
      <c r="G158" s="3">
        <f>IF(OR($C158="",$A158="",$B158="domingo"),"",IF(IFERROR(INDEX('TECNICOS'!$F$4:$F$19,MATCH($C158,'TECNICOS'!$B$4:$B$19,0)),"NO")&lt;&gt;"SI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3">
        <f>IF(COUNTIFS('PLAN_VACACIONES'!$A$4:$A$103,$C158,'PLAN_VACACIONES'!$B$4:$B$103,"&lt;="&amp;$L158,'PLAN_VACACIONES'!$C$4:$C$103,"&gt;="&amp;$L158)&gt;0,"sí","no")</f>
        <v/>
      </c>
      <c r="I158" s="6" t="n"/>
      <c r="J158" s="3">
        <f>IF($I158&lt;&gt;"",$I158,IF($G158="","",IF($H158="sí","VAC",IF(LEFT($G158,1)="B","B",$G158))))</f>
        <v/>
      </c>
      <c r="K158" s="3">
        <f>IFERROR(INDEX('TECNICOS'!$E$4:$E$19,MATCH($C158,'TECNICOS'!$B$4:$B$19,0)),"")</f>
        <v/>
      </c>
      <c r="L158" s="12">
        <f>IF($A158="","",DATE(VALUE(LEFT($A158,4)),1,4)-WEEKDAY(DATE(VALUE(LEFT($A158,4)),1,4),2)+1+(VALUE(MID($A158,7,2))-1)*7+MATCH($B158,lista_dias,0)-1)</f>
        <v/>
      </c>
      <c r="M158" s="3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3">
        <f>$A158&amp;"|"&amp;$B158&amp;"|"&amp;$C158</f>
        <v/>
      </c>
      <c r="O158" s="3">
        <f>IFERROR(INDEX('CAT_TURNOS'!$C$4:$C$7,MATCH($J158,'CAT_TURNOS'!$A$4:$A$7,0)),"")</f>
        <v/>
      </c>
      <c r="P158" s="3">
        <f>IFERROR(INDEX('CAT_TURNOS'!$D$4:$D$7,MATCH($J158,'CAT_TURNOS'!$A$4:$A$7,0)),"")</f>
        <v/>
      </c>
      <c r="Q158" s="3">
        <f>IF(AND(LEFT($G158,1)="T",$H158="no"),"sí","no")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07</t>
        </is>
      </c>
      <c r="D159" s="3">
        <f>IFERROR(INDEX('TECNICOS'!$D$4:$D$19,MATCH($C159,'TECNICOS'!$B$4:$B$19,0)),"")</f>
        <v/>
      </c>
      <c r="E159" s="3">
        <f>IFERROR(INDEX('TECNICOS'!$C$4:$C$19,MATCH($C159,'TECNICOS'!$B$4:$B$19,0)),"")</f>
        <v/>
      </c>
      <c r="F159" s="3">
        <f>COUNTIFS('TECNICOS'!$F$4:$F$19,"SI",'TECNICOS'!$C$4:$C$19,$E159,'TECNICOS'!$D$4:$D$19,$D159)</f>
        <v/>
      </c>
      <c r="G159" s="3">
        <f>IF(OR($C159="",$A159="",$B159="domingo"),"",IF(IFERROR(INDEX('TECNICOS'!$F$4:$F$19,MATCH($C159,'TECNICOS'!$B$4:$B$19,0)),"NO")&lt;&gt;"SI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3">
        <f>IF(COUNTIFS('PLAN_VACACIONES'!$A$4:$A$103,$C159,'PLAN_VACACIONES'!$B$4:$B$103,"&lt;="&amp;$L159,'PLAN_VACACIONES'!$C$4:$C$103,"&gt;="&amp;$L159)&gt;0,"sí","no")</f>
        <v/>
      </c>
      <c r="I159" s="6" t="n"/>
      <c r="J159" s="3">
        <f>IF($I159&lt;&gt;"",$I159,IF($G159="","",IF($H159="sí","VAC",IF(LEFT($G159,1)="B","B",$G159))))</f>
        <v/>
      </c>
      <c r="K159" s="3">
        <f>IFERROR(INDEX('TECNICOS'!$E$4:$E$19,MATCH($C159,'TECNICOS'!$B$4:$B$19,0)),"")</f>
        <v/>
      </c>
      <c r="L159" s="12">
        <f>IF($A159="","",DATE(VALUE(LEFT($A159,4)),1,4)-WEEKDAY(DATE(VALUE(LEFT($A159,4)),1,4),2)+1+(VALUE(MID($A159,7,2))-1)*7+MATCH($B159,lista_dias,0)-1)</f>
        <v/>
      </c>
      <c r="M159" s="3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3">
        <f>$A159&amp;"|"&amp;$B159&amp;"|"&amp;$C159</f>
        <v/>
      </c>
      <c r="O159" s="3">
        <f>IFERROR(INDEX('CAT_TURNOS'!$C$4:$C$7,MATCH($J159,'CAT_TURNOS'!$A$4:$A$7,0)),"")</f>
        <v/>
      </c>
      <c r="P159" s="3">
        <f>IFERROR(INDEX('CAT_TURNOS'!$D$4:$D$7,MATCH($J159,'CAT_TURNOS'!$A$4:$A$7,0)),"")</f>
        <v/>
      </c>
      <c r="Q159" s="3">
        <f>IF(AND(LEFT($G159,1)="T",$H159="no"),"sí","no")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07</t>
        </is>
      </c>
      <c r="D160" s="3">
        <f>IFERROR(INDEX('TECNICOS'!$D$4:$D$19,MATCH($C160,'TECNICOS'!$B$4:$B$19,0)),"")</f>
        <v/>
      </c>
      <c r="E160" s="3">
        <f>IFERROR(INDEX('TECNICOS'!$C$4:$C$19,MATCH($C160,'TECNICOS'!$B$4:$B$19,0)),"")</f>
        <v/>
      </c>
      <c r="F160" s="3">
        <f>COUNTIFS('TECNICOS'!$F$4:$F$19,"SI",'TECNICOS'!$C$4:$C$19,$E160,'TECNICOS'!$D$4:$D$19,$D160)</f>
        <v/>
      </c>
      <c r="G160" s="3">
        <f>IF(OR($C160="",$A160="",$B160="domingo"),"",IF(IFERROR(INDEX('TECNICOS'!$F$4:$F$19,MATCH($C160,'TECNICOS'!$B$4:$B$19,0)),"NO")&lt;&gt;"SI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3">
        <f>IF(COUNTIFS('PLAN_VACACIONES'!$A$4:$A$103,$C160,'PLAN_VACACIONES'!$B$4:$B$103,"&lt;="&amp;$L160,'PLAN_VACACIONES'!$C$4:$C$103,"&gt;="&amp;$L160)&gt;0,"sí","no")</f>
        <v/>
      </c>
      <c r="I160" s="6" t="n"/>
      <c r="J160" s="3">
        <f>IF($I160&lt;&gt;"",$I160,IF($G160="","",IF($H160="sí","VAC",IF(LEFT($G160,1)="B","B",$G160))))</f>
        <v/>
      </c>
      <c r="K160" s="3">
        <f>IFERROR(INDEX('TECNICOS'!$E$4:$E$19,MATCH($C160,'TECNICOS'!$B$4:$B$19,0)),"")</f>
        <v/>
      </c>
      <c r="L160" s="12">
        <f>IF($A160="","",DATE(VALUE(LEFT($A160,4)),1,4)-WEEKDAY(DATE(VALUE(LEFT($A160,4)),1,4),2)+1+(VALUE(MID($A160,7,2))-1)*7+MATCH($B160,lista_dias,0)-1)</f>
        <v/>
      </c>
      <c r="M160" s="3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3">
        <f>$A160&amp;"|"&amp;$B160&amp;"|"&amp;$C160</f>
        <v/>
      </c>
      <c r="O160" s="3">
        <f>IFERROR(INDEX('CAT_TURNOS'!$C$4:$C$7,MATCH($J160,'CAT_TURNOS'!$A$4:$A$7,0)),"")</f>
        <v/>
      </c>
      <c r="P160" s="3">
        <f>IFERROR(INDEX('CAT_TURNOS'!$D$4:$D$7,MATCH($J160,'CAT_TURNOS'!$A$4:$A$7,0)),"")</f>
        <v/>
      </c>
      <c r="Q160" s="3">
        <f>IF(AND(LEFT($G160,1)="T",$H160="no"),"sí","no")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07</t>
        </is>
      </c>
      <c r="D161" s="3">
        <f>IFERROR(INDEX('TECNICOS'!$D$4:$D$19,MATCH($C161,'TECNICOS'!$B$4:$B$19,0)),"")</f>
        <v/>
      </c>
      <c r="E161" s="3">
        <f>IFERROR(INDEX('TECNICOS'!$C$4:$C$19,MATCH($C161,'TECNICOS'!$B$4:$B$19,0)),"")</f>
        <v/>
      </c>
      <c r="F161" s="3">
        <f>COUNTIFS('TECNICOS'!$F$4:$F$19,"SI",'TECNICOS'!$C$4:$C$19,$E161,'TECNICOS'!$D$4:$D$19,$D161)</f>
        <v/>
      </c>
      <c r="G161" s="3">
        <f>IF(OR($C161="",$A161="",$B161="domingo"),"",IF(IFERROR(INDEX('TECNICOS'!$F$4:$F$19,MATCH($C161,'TECNICOS'!$B$4:$B$19,0)),"NO")&lt;&gt;"SI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3">
        <f>IF(COUNTIFS('PLAN_VACACIONES'!$A$4:$A$103,$C161,'PLAN_VACACIONES'!$B$4:$B$103,"&lt;="&amp;$L161,'PLAN_VACACIONES'!$C$4:$C$103,"&gt;="&amp;$L161)&gt;0,"sí","no")</f>
        <v/>
      </c>
      <c r="I161" s="6" t="n"/>
      <c r="J161" s="3">
        <f>IF($I161&lt;&gt;"",$I161,IF($G161="","",IF($H161="sí","VAC",IF(LEFT($G161,1)="B","B",$G161))))</f>
        <v/>
      </c>
      <c r="K161" s="3">
        <f>IFERROR(INDEX('TECNICOS'!$E$4:$E$19,MATCH($C161,'TECNICOS'!$B$4:$B$19,0)),"")</f>
        <v/>
      </c>
      <c r="L161" s="12">
        <f>IF($A161="","",DATE(VALUE(LEFT($A161,4)),1,4)-WEEKDAY(DATE(VALUE(LEFT($A161,4)),1,4),2)+1+(VALUE(MID($A161,7,2))-1)*7+MATCH($B161,lista_dias,0)-1)</f>
        <v/>
      </c>
      <c r="M161" s="3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3">
        <f>$A161&amp;"|"&amp;$B161&amp;"|"&amp;$C161</f>
        <v/>
      </c>
      <c r="O161" s="3">
        <f>IFERROR(INDEX('CAT_TURNOS'!$C$4:$C$7,MATCH($J161,'CAT_TURNOS'!$A$4:$A$7,0)),"")</f>
        <v/>
      </c>
      <c r="P161" s="3">
        <f>IFERROR(INDEX('CAT_TURNOS'!$D$4:$D$7,MATCH($J161,'CAT_TURNOS'!$A$4:$A$7,0)),"")</f>
        <v/>
      </c>
      <c r="Q161" s="3">
        <f>IF(AND(LEFT($G161,1)="T",$H161="no"),"sí","no")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07</t>
        </is>
      </c>
      <c r="D162" s="3">
        <f>IFERROR(INDEX('TECNICOS'!$D$4:$D$19,MATCH($C162,'TECNICOS'!$B$4:$B$19,0)),"")</f>
        <v/>
      </c>
      <c r="E162" s="3">
        <f>IFERROR(INDEX('TECNICOS'!$C$4:$C$19,MATCH($C162,'TECNICOS'!$B$4:$B$19,0)),"")</f>
        <v/>
      </c>
      <c r="F162" s="3">
        <f>COUNTIFS('TECNICOS'!$F$4:$F$19,"SI",'TECNICOS'!$C$4:$C$19,$E162,'TECNICOS'!$D$4:$D$19,$D162)</f>
        <v/>
      </c>
      <c r="G162" s="3">
        <f>IF(OR($C162="",$A162="",$B162="domingo"),"",IF(IFERROR(INDEX('TECNICOS'!$F$4:$F$19,MATCH($C162,'TECNICOS'!$B$4:$B$19,0)),"NO")&lt;&gt;"SI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3">
        <f>IF(COUNTIFS('PLAN_VACACIONES'!$A$4:$A$103,$C162,'PLAN_VACACIONES'!$B$4:$B$103,"&lt;="&amp;$L162,'PLAN_VACACIONES'!$C$4:$C$103,"&gt;="&amp;$L162)&gt;0,"sí","no")</f>
        <v/>
      </c>
      <c r="I162" s="6" t="n"/>
      <c r="J162" s="3">
        <f>IF($I162&lt;&gt;"",$I162,IF($G162="","",IF($H162="sí","VAC",IF(LEFT($G162,1)="B","B",$G162))))</f>
        <v/>
      </c>
      <c r="K162" s="3">
        <f>IFERROR(INDEX('TECNICOS'!$E$4:$E$19,MATCH($C162,'TECNICOS'!$B$4:$B$19,0)),"")</f>
        <v/>
      </c>
      <c r="L162" s="12">
        <f>IF($A162="","",DATE(VALUE(LEFT($A162,4)),1,4)-WEEKDAY(DATE(VALUE(LEFT($A162,4)),1,4),2)+1+(VALUE(MID($A162,7,2))-1)*7+MATCH($B162,lista_dias,0)-1)</f>
        <v/>
      </c>
      <c r="M162" s="3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3">
        <f>$A162&amp;"|"&amp;$B162&amp;"|"&amp;$C162</f>
        <v/>
      </c>
      <c r="O162" s="3">
        <f>IFERROR(INDEX('CAT_TURNOS'!$C$4:$C$7,MATCH($J162,'CAT_TURNOS'!$A$4:$A$7,0)),"")</f>
        <v/>
      </c>
      <c r="P162" s="3">
        <f>IFERROR(INDEX('CAT_TURNOS'!$D$4:$D$7,MATCH($J162,'CAT_TURNOS'!$A$4:$A$7,0)),"")</f>
        <v/>
      </c>
      <c r="Q162" s="3">
        <f>IF(AND(LEFT($G162,1)="T",$H162="no"),"sí","no")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07</t>
        </is>
      </c>
      <c r="D163" s="3">
        <f>IFERROR(INDEX('TECNICOS'!$D$4:$D$19,MATCH($C163,'TECNICOS'!$B$4:$B$19,0)),"")</f>
        <v/>
      </c>
      <c r="E163" s="3">
        <f>IFERROR(INDEX('TECNICOS'!$C$4:$C$19,MATCH($C163,'TECNICOS'!$B$4:$B$19,0)),"")</f>
        <v/>
      </c>
      <c r="F163" s="3">
        <f>COUNTIFS('TECNICOS'!$F$4:$F$19,"SI",'TECNICOS'!$C$4:$C$19,$E163,'TECNICOS'!$D$4:$D$19,$D163)</f>
        <v/>
      </c>
      <c r="G163" s="3">
        <f>IF(OR($C163="",$A163="",$B163="domingo"),"",IF(IFERROR(INDEX('TECNICOS'!$F$4:$F$19,MATCH($C163,'TECNICOS'!$B$4:$B$19,0)),"NO")&lt;&gt;"SI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3">
        <f>IF(COUNTIFS('PLAN_VACACIONES'!$A$4:$A$103,$C163,'PLAN_VACACIONES'!$B$4:$B$103,"&lt;="&amp;$L163,'PLAN_VACACIONES'!$C$4:$C$103,"&gt;="&amp;$L163)&gt;0,"sí","no")</f>
        <v/>
      </c>
      <c r="I163" s="6" t="n"/>
      <c r="J163" s="3">
        <f>IF($I163&lt;&gt;"",$I163,IF($G163="","",IF($H163="sí","VAC",IF(LEFT($G163,1)="B","B",$G163))))</f>
        <v/>
      </c>
      <c r="K163" s="3">
        <f>IFERROR(INDEX('TECNICOS'!$E$4:$E$19,MATCH($C163,'TECNICOS'!$B$4:$B$19,0)),"")</f>
        <v/>
      </c>
      <c r="L163" s="12">
        <f>IF($A163="","",DATE(VALUE(LEFT($A163,4)),1,4)-WEEKDAY(DATE(VALUE(LEFT($A163,4)),1,4),2)+1+(VALUE(MID($A163,7,2))-1)*7+MATCH($B163,lista_dias,0)-1)</f>
        <v/>
      </c>
      <c r="M163" s="3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3">
        <f>$A163&amp;"|"&amp;$B163&amp;"|"&amp;$C163</f>
        <v/>
      </c>
      <c r="O163" s="3">
        <f>IFERROR(INDEX('CAT_TURNOS'!$C$4:$C$7,MATCH($J163,'CAT_TURNOS'!$A$4:$A$7,0)),"")</f>
        <v/>
      </c>
      <c r="P163" s="3">
        <f>IFERROR(INDEX('CAT_TURNOS'!$D$4:$D$7,MATCH($J163,'CAT_TURNOS'!$A$4:$A$7,0)),"")</f>
        <v/>
      </c>
      <c r="Q163" s="3">
        <f>IF(AND(LEFT($G163,1)="T",$H163="no"),"sí","no")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07</t>
        </is>
      </c>
      <c r="D164" s="3">
        <f>IFERROR(INDEX('TECNICOS'!$D$4:$D$19,MATCH($C164,'TECNICOS'!$B$4:$B$19,0)),"")</f>
        <v/>
      </c>
      <c r="E164" s="3">
        <f>IFERROR(INDEX('TECNICOS'!$C$4:$C$19,MATCH($C164,'TECNICOS'!$B$4:$B$19,0)),"")</f>
        <v/>
      </c>
      <c r="F164" s="3">
        <f>COUNTIFS('TECNICOS'!$F$4:$F$19,"SI",'TECNICOS'!$C$4:$C$19,$E164,'TECNICOS'!$D$4:$D$19,$D164)</f>
        <v/>
      </c>
      <c r="G164" s="3">
        <f>IF(OR($C164="",$A164="",$B164="domingo"),"",IF(IFERROR(INDEX('TECNICOS'!$F$4:$F$19,MATCH($C164,'TECNICOS'!$B$4:$B$19,0)),"NO")&lt;&gt;"SI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3">
        <f>IF(COUNTIFS('PLAN_VACACIONES'!$A$4:$A$103,$C164,'PLAN_VACACIONES'!$B$4:$B$103,"&lt;="&amp;$L164,'PLAN_VACACIONES'!$C$4:$C$103,"&gt;="&amp;$L164)&gt;0,"sí","no")</f>
        <v/>
      </c>
      <c r="I164" s="6" t="n"/>
      <c r="J164" s="3">
        <f>IF($I164&lt;&gt;"",$I164,IF($G164="","",IF($H164="sí","VAC",IF(LEFT($G164,1)="B","B",$G164))))</f>
        <v/>
      </c>
      <c r="K164" s="3">
        <f>IFERROR(INDEX('TECNICOS'!$E$4:$E$19,MATCH($C164,'TECNICOS'!$B$4:$B$19,0)),"")</f>
        <v/>
      </c>
      <c r="L164" s="12">
        <f>IF($A164="","",DATE(VALUE(LEFT($A164,4)),1,4)-WEEKDAY(DATE(VALUE(LEFT($A164,4)),1,4),2)+1+(VALUE(MID($A164,7,2))-1)*7+MATCH($B164,lista_dias,0)-1)</f>
        <v/>
      </c>
      <c r="M164" s="3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3">
        <f>$A164&amp;"|"&amp;$B164&amp;"|"&amp;$C164</f>
        <v/>
      </c>
      <c r="O164" s="3">
        <f>IFERROR(INDEX('CAT_TURNOS'!$C$4:$C$7,MATCH($J164,'CAT_TURNOS'!$A$4:$A$7,0)),"")</f>
        <v/>
      </c>
      <c r="P164" s="3">
        <f>IFERROR(INDEX('CAT_TURNOS'!$D$4:$D$7,MATCH($J164,'CAT_TURNOS'!$A$4:$A$7,0)),"")</f>
        <v/>
      </c>
      <c r="Q164" s="3">
        <f>IF(AND(LEFT($G164,1)="T",$H164="no"),"sí","no")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08</t>
        </is>
      </c>
      <c r="D165" s="3">
        <f>IFERROR(INDEX('TECNICOS'!$D$4:$D$19,MATCH($C165,'TECNICOS'!$B$4:$B$19,0)),"")</f>
        <v/>
      </c>
      <c r="E165" s="3">
        <f>IFERROR(INDEX('TECNICOS'!$C$4:$C$19,MATCH($C165,'TECNICOS'!$B$4:$B$19,0)),"")</f>
        <v/>
      </c>
      <c r="F165" s="3">
        <f>COUNTIFS('TECNICOS'!$F$4:$F$19,"SI",'TECNICOS'!$C$4:$C$19,$E165,'TECNICOS'!$D$4:$D$19,$D165)</f>
        <v/>
      </c>
      <c r="G165" s="3">
        <f>IF(OR($C165="",$A165="",$B165="domingo"),"",IF(IFERROR(INDEX('TECNICOS'!$F$4:$F$19,MATCH($C165,'TECNICOS'!$B$4:$B$19,0)),"NO")&lt;&gt;"SI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3">
        <f>IF(COUNTIFS('PLAN_VACACIONES'!$A$4:$A$103,$C165,'PLAN_VACACIONES'!$B$4:$B$103,"&lt;="&amp;$L165,'PLAN_VACACIONES'!$C$4:$C$103,"&gt;="&amp;$L165)&gt;0,"sí","no")</f>
        <v/>
      </c>
      <c r="I165" s="6" t="n"/>
      <c r="J165" s="3">
        <f>IF($I165&lt;&gt;"",$I165,IF($G165="","",IF($H165="sí","VAC",IF(LEFT($G165,1)="B","B",$G165))))</f>
        <v/>
      </c>
      <c r="K165" s="3">
        <f>IFERROR(INDEX('TECNICOS'!$E$4:$E$19,MATCH($C165,'TECNICOS'!$B$4:$B$19,0)),"")</f>
        <v/>
      </c>
      <c r="L165" s="12">
        <f>IF($A165="","",DATE(VALUE(LEFT($A165,4)),1,4)-WEEKDAY(DATE(VALUE(LEFT($A165,4)),1,4),2)+1+(VALUE(MID($A165,7,2))-1)*7+MATCH($B165,lista_dias,0)-1)</f>
        <v/>
      </c>
      <c r="M165" s="3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3">
        <f>$A165&amp;"|"&amp;$B165&amp;"|"&amp;$C165</f>
        <v/>
      </c>
      <c r="O165" s="3">
        <f>IFERROR(INDEX('CAT_TURNOS'!$C$4:$C$7,MATCH($J165,'CAT_TURNOS'!$A$4:$A$7,0)),"")</f>
        <v/>
      </c>
      <c r="P165" s="3">
        <f>IFERROR(INDEX('CAT_TURNOS'!$D$4:$D$7,MATCH($J165,'CAT_TURNOS'!$A$4:$A$7,0)),"")</f>
        <v/>
      </c>
      <c r="Q165" s="3">
        <f>IF(AND(LEFT($G165,1)="T",$H165="no"),"sí","no")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08</t>
        </is>
      </c>
      <c r="D166" s="3">
        <f>IFERROR(INDEX('TECNICOS'!$D$4:$D$19,MATCH($C166,'TECNICOS'!$B$4:$B$19,0)),"")</f>
        <v/>
      </c>
      <c r="E166" s="3">
        <f>IFERROR(INDEX('TECNICOS'!$C$4:$C$19,MATCH($C166,'TECNICOS'!$B$4:$B$19,0)),"")</f>
        <v/>
      </c>
      <c r="F166" s="3">
        <f>COUNTIFS('TECNICOS'!$F$4:$F$19,"SI",'TECNICOS'!$C$4:$C$19,$E166,'TECNICOS'!$D$4:$D$19,$D166)</f>
        <v/>
      </c>
      <c r="G166" s="3">
        <f>IF(OR($C166="",$A166="",$B166="domingo"),"",IF(IFERROR(INDEX('TECNICOS'!$F$4:$F$19,MATCH($C166,'TECNICOS'!$B$4:$B$19,0)),"NO")&lt;&gt;"SI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3">
        <f>IF(COUNTIFS('PLAN_VACACIONES'!$A$4:$A$103,$C166,'PLAN_VACACIONES'!$B$4:$B$103,"&lt;="&amp;$L166,'PLAN_VACACIONES'!$C$4:$C$103,"&gt;="&amp;$L166)&gt;0,"sí","no")</f>
        <v/>
      </c>
      <c r="I166" s="6" t="n"/>
      <c r="J166" s="3">
        <f>IF($I166&lt;&gt;"",$I166,IF($G166="","",IF($H166="sí","VAC",IF(LEFT($G166,1)="B","B",$G166))))</f>
        <v/>
      </c>
      <c r="K166" s="3">
        <f>IFERROR(INDEX('TECNICOS'!$E$4:$E$19,MATCH($C166,'TECNICOS'!$B$4:$B$19,0)),"")</f>
        <v/>
      </c>
      <c r="L166" s="12">
        <f>IF($A166="","",DATE(VALUE(LEFT($A166,4)),1,4)-WEEKDAY(DATE(VALUE(LEFT($A166,4)),1,4),2)+1+(VALUE(MID($A166,7,2))-1)*7+MATCH($B166,lista_dias,0)-1)</f>
        <v/>
      </c>
      <c r="M166" s="3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3">
        <f>$A166&amp;"|"&amp;$B166&amp;"|"&amp;$C166</f>
        <v/>
      </c>
      <c r="O166" s="3">
        <f>IFERROR(INDEX('CAT_TURNOS'!$C$4:$C$7,MATCH($J166,'CAT_TURNOS'!$A$4:$A$7,0)),"")</f>
        <v/>
      </c>
      <c r="P166" s="3">
        <f>IFERROR(INDEX('CAT_TURNOS'!$D$4:$D$7,MATCH($J166,'CAT_TURNOS'!$A$4:$A$7,0)),"")</f>
        <v/>
      </c>
      <c r="Q166" s="3">
        <f>IF(AND(LEFT($G166,1)="T",$H166="no"),"sí","no")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08</t>
        </is>
      </c>
      <c r="D167" s="3">
        <f>IFERROR(INDEX('TECNICOS'!$D$4:$D$19,MATCH($C167,'TECNICOS'!$B$4:$B$19,0)),"")</f>
        <v/>
      </c>
      <c r="E167" s="3">
        <f>IFERROR(INDEX('TECNICOS'!$C$4:$C$19,MATCH($C167,'TECNICOS'!$B$4:$B$19,0)),"")</f>
        <v/>
      </c>
      <c r="F167" s="3">
        <f>COUNTIFS('TECNICOS'!$F$4:$F$19,"SI",'TECNICOS'!$C$4:$C$19,$E167,'TECNICOS'!$D$4:$D$19,$D167)</f>
        <v/>
      </c>
      <c r="G167" s="3">
        <f>IF(OR($C167="",$A167="",$B167="domingo"),"",IF(IFERROR(INDEX('TECNICOS'!$F$4:$F$19,MATCH($C167,'TECNICOS'!$B$4:$B$19,0)),"NO")&lt;&gt;"SI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3">
        <f>IF(COUNTIFS('PLAN_VACACIONES'!$A$4:$A$103,$C167,'PLAN_VACACIONES'!$B$4:$B$103,"&lt;="&amp;$L167,'PLAN_VACACIONES'!$C$4:$C$103,"&gt;="&amp;$L167)&gt;0,"sí","no")</f>
        <v/>
      </c>
      <c r="I167" s="6" t="n"/>
      <c r="J167" s="3">
        <f>IF($I167&lt;&gt;"",$I167,IF($G167="","",IF($H167="sí","VAC",IF(LEFT($G167,1)="B","B",$G167))))</f>
        <v/>
      </c>
      <c r="K167" s="3">
        <f>IFERROR(INDEX('TECNICOS'!$E$4:$E$19,MATCH($C167,'TECNICOS'!$B$4:$B$19,0)),"")</f>
        <v/>
      </c>
      <c r="L167" s="12">
        <f>IF($A167="","",DATE(VALUE(LEFT($A167,4)),1,4)-WEEKDAY(DATE(VALUE(LEFT($A167,4)),1,4),2)+1+(VALUE(MID($A167,7,2))-1)*7+MATCH($B167,lista_dias,0)-1)</f>
        <v/>
      </c>
      <c r="M167" s="3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3">
        <f>$A167&amp;"|"&amp;$B167&amp;"|"&amp;$C167</f>
        <v/>
      </c>
      <c r="O167" s="3">
        <f>IFERROR(INDEX('CAT_TURNOS'!$C$4:$C$7,MATCH($J167,'CAT_TURNOS'!$A$4:$A$7,0)),"")</f>
        <v/>
      </c>
      <c r="P167" s="3">
        <f>IFERROR(INDEX('CAT_TURNOS'!$D$4:$D$7,MATCH($J167,'CAT_TURNOS'!$A$4:$A$7,0)),"")</f>
        <v/>
      </c>
      <c r="Q167" s="3">
        <f>IF(AND(LEFT($G167,1)="T",$H167="no"),"sí","no")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08</t>
        </is>
      </c>
      <c r="D168" s="3">
        <f>IFERROR(INDEX('TECNICOS'!$D$4:$D$19,MATCH($C168,'TECNICOS'!$B$4:$B$19,0)),"")</f>
        <v/>
      </c>
      <c r="E168" s="3">
        <f>IFERROR(INDEX('TECNICOS'!$C$4:$C$19,MATCH($C168,'TECNICOS'!$B$4:$B$19,0)),"")</f>
        <v/>
      </c>
      <c r="F168" s="3">
        <f>COUNTIFS('TECNICOS'!$F$4:$F$19,"SI",'TECNICOS'!$C$4:$C$19,$E168,'TECNICOS'!$D$4:$D$19,$D168)</f>
        <v/>
      </c>
      <c r="G168" s="3">
        <f>IF(OR($C168="",$A168="",$B168="domingo"),"",IF(IFERROR(INDEX('TECNICOS'!$F$4:$F$19,MATCH($C168,'TECNICOS'!$B$4:$B$19,0)),"NO")&lt;&gt;"SI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3">
        <f>IF(COUNTIFS('PLAN_VACACIONES'!$A$4:$A$103,$C168,'PLAN_VACACIONES'!$B$4:$B$103,"&lt;="&amp;$L168,'PLAN_VACACIONES'!$C$4:$C$103,"&gt;="&amp;$L168)&gt;0,"sí","no")</f>
        <v/>
      </c>
      <c r="I168" s="6" t="n"/>
      <c r="J168" s="3">
        <f>IF($I168&lt;&gt;"",$I168,IF($G168="","",IF($H168="sí","VAC",IF(LEFT($G168,1)="B","B",$G168))))</f>
        <v/>
      </c>
      <c r="K168" s="3">
        <f>IFERROR(INDEX('TECNICOS'!$E$4:$E$19,MATCH($C168,'TECNICOS'!$B$4:$B$19,0)),"")</f>
        <v/>
      </c>
      <c r="L168" s="12">
        <f>IF($A168="","",DATE(VALUE(LEFT($A168,4)),1,4)-WEEKDAY(DATE(VALUE(LEFT($A168,4)),1,4),2)+1+(VALUE(MID($A168,7,2))-1)*7+MATCH($B168,lista_dias,0)-1)</f>
        <v/>
      </c>
      <c r="M168" s="3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3">
        <f>$A168&amp;"|"&amp;$B168&amp;"|"&amp;$C168</f>
        <v/>
      </c>
      <c r="O168" s="3">
        <f>IFERROR(INDEX('CAT_TURNOS'!$C$4:$C$7,MATCH($J168,'CAT_TURNOS'!$A$4:$A$7,0)),"")</f>
        <v/>
      </c>
      <c r="P168" s="3">
        <f>IFERROR(INDEX('CAT_TURNOS'!$D$4:$D$7,MATCH($J168,'CAT_TURNOS'!$A$4:$A$7,0)),"")</f>
        <v/>
      </c>
      <c r="Q168" s="3">
        <f>IF(AND(LEFT($G168,1)="T",$H168="no"),"sí","no")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08</t>
        </is>
      </c>
      <c r="D169" s="3">
        <f>IFERROR(INDEX('TECNICOS'!$D$4:$D$19,MATCH($C169,'TECNICOS'!$B$4:$B$19,0)),"")</f>
        <v/>
      </c>
      <c r="E169" s="3">
        <f>IFERROR(INDEX('TECNICOS'!$C$4:$C$19,MATCH($C169,'TECNICOS'!$B$4:$B$19,0)),"")</f>
        <v/>
      </c>
      <c r="F169" s="3">
        <f>COUNTIFS('TECNICOS'!$F$4:$F$19,"SI",'TECNICOS'!$C$4:$C$19,$E169,'TECNICOS'!$D$4:$D$19,$D169)</f>
        <v/>
      </c>
      <c r="G169" s="3">
        <f>IF(OR($C169="",$A169="",$B169="domingo"),"",IF(IFERROR(INDEX('TECNICOS'!$F$4:$F$19,MATCH($C169,'TECNICOS'!$B$4:$B$19,0)),"NO")&lt;&gt;"SI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3">
        <f>IF(COUNTIFS('PLAN_VACACIONES'!$A$4:$A$103,$C169,'PLAN_VACACIONES'!$B$4:$B$103,"&lt;="&amp;$L169,'PLAN_VACACIONES'!$C$4:$C$103,"&gt;="&amp;$L169)&gt;0,"sí","no")</f>
        <v/>
      </c>
      <c r="I169" s="6" t="n"/>
      <c r="J169" s="3">
        <f>IF($I169&lt;&gt;"",$I169,IF($G169="","",IF($H169="sí","VAC",IF(LEFT($G169,1)="B","B",$G169))))</f>
        <v/>
      </c>
      <c r="K169" s="3">
        <f>IFERROR(INDEX('TECNICOS'!$E$4:$E$19,MATCH($C169,'TECNICOS'!$B$4:$B$19,0)),"")</f>
        <v/>
      </c>
      <c r="L169" s="12">
        <f>IF($A169="","",DATE(VALUE(LEFT($A169,4)),1,4)-WEEKDAY(DATE(VALUE(LEFT($A169,4)),1,4),2)+1+(VALUE(MID($A169,7,2))-1)*7+MATCH($B169,lista_dias,0)-1)</f>
        <v/>
      </c>
      <c r="M169" s="3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3">
        <f>$A169&amp;"|"&amp;$B169&amp;"|"&amp;$C169</f>
        <v/>
      </c>
      <c r="O169" s="3">
        <f>IFERROR(INDEX('CAT_TURNOS'!$C$4:$C$7,MATCH($J169,'CAT_TURNOS'!$A$4:$A$7,0)),"")</f>
        <v/>
      </c>
      <c r="P169" s="3">
        <f>IFERROR(INDEX('CAT_TURNOS'!$D$4:$D$7,MATCH($J169,'CAT_TURNOS'!$A$4:$A$7,0)),"")</f>
        <v/>
      </c>
      <c r="Q169" s="3">
        <f>IF(AND(LEFT($G169,1)="T",$H169="no"),"sí","no")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08</t>
        </is>
      </c>
      <c r="D170" s="3">
        <f>IFERROR(INDEX('TECNICOS'!$D$4:$D$19,MATCH($C170,'TECNICOS'!$B$4:$B$19,0)),"")</f>
        <v/>
      </c>
      <c r="E170" s="3">
        <f>IFERROR(INDEX('TECNICOS'!$C$4:$C$19,MATCH($C170,'TECNICOS'!$B$4:$B$19,0)),"")</f>
        <v/>
      </c>
      <c r="F170" s="3">
        <f>COUNTIFS('TECNICOS'!$F$4:$F$19,"SI",'TECNICOS'!$C$4:$C$19,$E170,'TECNICOS'!$D$4:$D$19,$D170)</f>
        <v/>
      </c>
      <c r="G170" s="3">
        <f>IF(OR($C170="",$A170="",$B170="domingo"),"",IF(IFERROR(INDEX('TECNICOS'!$F$4:$F$19,MATCH($C170,'TECNICOS'!$B$4:$B$19,0)),"NO")&lt;&gt;"SI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3">
        <f>IF(COUNTIFS('PLAN_VACACIONES'!$A$4:$A$103,$C170,'PLAN_VACACIONES'!$B$4:$B$103,"&lt;="&amp;$L170,'PLAN_VACACIONES'!$C$4:$C$103,"&gt;="&amp;$L170)&gt;0,"sí","no")</f>
        <v/>
      </c>
      <c r="I170" s="6" t="n"/>
      <c r="J170" s="3">
        <f>IF($I170&lt;&gt;"",$I170,IF($G170="","",IF($H170="sí","VAC",IF(LEFT($G170,1)="B","B",$G170))))</f>
        <v/>
      </c>
      <c r="K170" s="3">
        <f>IFERROR(INDEX('TECNICOS'!$E$4:$E$19,MATCH($C170,'TECNICOS'!$B$4:$B$19,0)),"")</f>
        <v/>
      </c>
      <c r="L170" s="12">
        <f>IF($A170="","",DATE(VALUE(LEFT($A170,4)),1,4)-WEEKDAY(DATE(VALUE(LEFT($A170,4)),1,4),2)+1+(VALUE(MID($A170,7,2))-1)*7+MATCH($B170,lista_dias,0)-1)</f>
        <v/>
      </c>
      <c r="M170" s="3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3">
        <f>$A170&amp;"|"&amp;$B170&amp;"|"&amp;$C170</f>
        <v/>
      </c>
      <c r="O170" s="3">
        <f>IFERROR(INDEX('CAT_TURNOS'!$C$4:$C$7,MATCH($J170,'CAT_TURNOS'!$A$4:$A$7,0)),"")</f>
        <v/>
      </c>
      <c r="P170" s="3">
        <f>IFERROR(INDEX('CAT_TURNOS'!$D$4:$D$7,MATCH($J170,'CAT_TURNOS'!$A$4:$A$7,0)),"")</f>
        <v/>
      </c>
      <c r="Q170" s="3">
        <f>IF(AND(LEFT($G170,1)="T",$H170="no"),"sí","no")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08</t>
        </is>
      </c>
      <c r="D171" s="3">
        <f>IFERROR(INDEX('TECNICOS'!$D$4:$D$19,MATCH($C171,'TECNICOS'!$B$4:$B$19,0)),"")</f>
        <v/>
      </c>
      <c r="E171" s="3">
        <f>IFERROR(INDEX('TECNICOS'!$C$4:$C$19,MATCH($C171,'TECNICOS'!$B$4:$B$19,0)),"")</f>
        <v/>
      </c>
      <c r="F171" s="3">
        <f>COUNTIFS('TECNICOS'!$F$4:$F$19,"SI",'TECNICOS'!$C$4:$C$19,$E171,'TECNICOS'!$D$4:$D$19,$D171)</f>
        <v/>
      </c>
      <c r="G171" s="3">
        <f>IF(OR($C171="",$A171="",$B171="domingo"),"",IF(IFERROR(INDEX('TECNICOS'!$F$4:$F$19,MATCH($C171,'TECNICOS'!$B$4:$B$19,0)),"NO")&lt;&gt;"SI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3">
        <f>IF(COUNTIFS('PLAN_VACACIONES'!$A$4:$A$103,$C171,'PLAN_VACACIONES'!$B$4:$B$103,"&lt;="&amp;$L171,'PLAN_VACACIONES'!$C$4:$C$103,"&gt;="&amp;$L171)&gt;0,"sí","no")</f>
        <v/>
      </c>
      <c r="I171" s="6" t="n"/>
      <c r="J171" s="3">
        <f>IF($I171&lt;&gt;"",$I171,IF($G171="","",IF($H171="sí","VAC",IF(LEFT($G171,1)="B","B",$G171))))</f>
        <v/>
      </c>
      <c r="K171" s="3">
        <f>IFERROR(INDEX('TECNICOS'!$E$4:$E$19,MATCH($C171,'TECNICOS'!$B$4:$B$19,0)),"")</f>
        <v/>
      </c>
      <c r="L171" s="12">
        <f>IF($A171="","",DATE(VALUE(LEFT($A171,4)),1,4)-WEEKDAY(DATE(VALUE(LEFT($A171,4)),1,4),2)+1+(VALUE(MID($A171,7,2))-1)*7+MATCH($B171,lista_dias,0)-1)</f>
        <v/>
      </c>
      <c r="M171" s="3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3">
        <f>$A171&amp;"|"&amp;$B171&amp;"|"&amp;$C171</f>
        <v/>
      </c>
      <c r="O171" s="3">
        <f>IFERROR(INDEX('CAT_TURNOS'!$C$4:$C$7,MATCH($J171,'CAT_TURNOS'!$A$4:$A$7,0)),"")</f>
        <v/>
      </c>
      <c r="P171" s="3">
        <f>IFERROR(INDEX('CAT_TURNOS'!$D$4:$D$7,MATCH($J171,'CAT_TURNOS'!$A$4:$A$7,0)),"")</f>
        <v/>
      </c>
      <c r="Q171" s="3">
        <f>IF(AND(LEFT($G171,1)="T",$H171="no"),"sí","no")</f>
        <v/>
      </c>
    </row>
    <row r="172">
      <c r="A172" s="3" t="inlineStr">
        <is>
          <t>2026-S30</t>
        </is>
      </c>
      <c r="B172" s="3" t="inlineStr">
        <is>
          <t>lunes</t>
        </is>
      </c>
      <c r="C172" s="3" t="inlineStr">
        <is>
          <t>Técnico 09</t>
        </is>
      </c>
      <c r="D172" s="3">
        <f>IFERROR(INDEX('TECNICOS'!$D$4:$D$19,MATCH($C172,'TECNICOS'!$B$4:$B$19,0)),"")</f>
        <v/>
      </c>
      <c r="E172" s="3">
        <f>IFERROR(INDEX('TECNICOS'!$C$4:$C$19,MATCH($C172,'TECNICOS'!$B$4:$B$19,0)),"")</f>
        <v/>
      </c>
      <c r="F172" s="3">
        <f>COUNTIFS('TECNICOS'!$F$4:$F$19,"SI",'TECNICOS'!$C$4:$C$19,$E172,'TECNICOS'!$D$4:$D$19,$D172)</f>
        <v/>
      </c>
      <c r="G172" s="3">
        <f>IF(OR($C172="",$A172="",$B172="domingo"),"",IF(IFERROR(INDEX('TECNICOS'!$F$4:$F$19,MATCH($C172,'TECNICOS'!$B$4:$B$19,0)),"NO")&lt;&gt;"SI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3">
        <f>IF(COUNTIFS('PLAN_VACACIONES'!$A$4:$A$103,$C172,'PLAN_VACACIONES'!$B$4:$B$103,"&lt;="&amp;$L172,'PLAN_VACACIONES'!$C$4:$C$103,"&gt;="&amp;$L172)&gt;0,"sí","no")</f>
        <v/>
      </c>
      <c r="I172" s="6" t="n"/>
      <c r="J172" s="3">
        <f>IF($I172&lt;&gt;"",$I172,IF($G172="","",IF($H172="sí","VAC",IF(LEFT($G172,1)="B","B",$G172))))</f>
        <v/>
      </c>
      <c r="K172" s="3">
        <f>IFERROR(INDEX('TECNICOS'!$E$4:$E$19,MATCH($C172,'TECNICOS'!$B$4:$B$19,0)),"")</f>
        <v/>
      </c>
      <c r="L172" s="12">
        <f>IF($A172="","",DATE(VALUE(LEFT($A172,4)),1,4)-WEEKDAY(DATE(VALUE(LEFT($A172,4)),1,4),2)+1+(VALUE(MID($A172,7,2))-1)*7+MATCH($B172,lista_dias,0)-1)</f>
        <v/>
      </c>
      <c r="M172" s="3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3">
        <f>$A172&amp;"|"&amp;$B172&amp;"|"&amp;$C172</f>
        <v/>
      </c>
      <c r="O172" s="3">
        <f>IFERROR(INDEX('CAT_TURNOS'!$C$4:$C$7,MATCH($J172,'CAT_TURNOS'!$A$4:$A$7,0)),"")</f>
        <v/>
      </c>
      <c r="P172" s="3">
        <f>IFERROR(INDEX('CAT_TURNOS'!$D$4:$D$7,MATCH($J172,'CAT_TURNOS'!$A$4:$A$7,0)),"")</f>
        <v/>
      </c>
      <c r="Q172" s="3">
        <f>IF(AND(LEFT($G172,1)="T",$H172="no"),"sí","no")</f>
        <v/>
      </c>
    </row>
    <row r="173">
      <c r="A173" s="3" t="inlineStr">
        <is>
          <t>2026-S30</t>
        </is>
      </c>
      <c r="B173" s="3" t="inlineStr">
        <is>
          <t>martes</t>
        </is>
      </c>
      <c r="C173" s="3" t="inlineStr">
        <is>
          <t>Técnico 09</t>
        </is>
      </c>
      <c r="D173" s="3">
        <f>IFERROR(INDEX('TECNICOS'!$D$4:$D$19,MATCH($C173,'TECNICOS'!$B$4:$B$19,0)),"")</f>
        <v/>
      </c>
      <c r="E173" s="3">
        <f>IFERROR(INDEX('TECNICOS'!$C$4:$C$19,MATCH($C173,'TECNICOS'!$B$4:$B$19,0)),"")</f>
        <v/>
      </c>
      <c r="F173" s="3">
        <f>COUNTIFS('TECNICOS'!$F$4:$F$19,"SI",'TECNICOS'!$C$4:$C$19,$E173,'TECNICOS'!$D$4:$D$19,$D173)</f>
        <v/>
      </c>
      <c r="G173" s="3">
        <f>IF(OR($C173="",$A173="",$B173="domingo"),"",IF(IFERROR(INDEX('TECNICOS'!$F$4:$F$19,MATCH($C173,'TECNICOS'!$B$4:$B$19,0)),"NO")&lt;&gt;"SI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3">
        <f>IF(COUNTIFS('PLAN_VACACIONES'!$A$4:$A$103,$C173,'PLAN_VACACIONES'!$B$4:$B$103,"&lt;="&amp;$L173,'PLAN_VACACIONES'!$C$4:$C$103,"&gt;="&amp;$L173)&gt;0,"sí","no")</f>
        <v/>
      </c>
      <c r="I173" s="6" t="n"/>
      <c r="J173" s="3">
        <f>IF($I173&lt;&gt;"",$I173,IF($G173="","",IF($H173="sí","VAC",IF(LEFT($G173,1)="B","B",$G173))))</f>
        <v/>
      </c>
      <c r="K173" s="3">
        <f>IFERROR(INDEX('TECNICOS'!$E$4:$E$19,MATCH($C173,'TECNICOS'!$B$4:$B$19,0)),"")</f>
        <v/>
      </c>
      <c r="L173" s="12">
        <f>IF($A173="","",DATE(VALUE(LEFT($A173,4)),1,4)-WEEKDAY(DATE(VALUE(LEFT($A173,4)),1,4),2)+1+(VALUE(MID($A173,7,2))-1)*7+MATCH($B173,lista_dias,0)-1)</f>
        <v/>
      </c>
      <c r="M173" s="3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3">
        <f>$A173&amp;"|"&amp;$B173&amp;"|"&amp;$C173</f>
        <v/>
      </c>
      <c r="O173" s="3">
        <f>IFERROR(INDEX('CAT_TURNOS'!$C$4:$C$7,MATCH($J173,'CAT_TURNOS'!$A$4:$A$7,0)),"")</f>
        <v/>
      </c>
      <c r="P173" s="3">
        <f>IFERROR(INDEX('CAT_TURNOS'!$D$4:$D$7,MATCH($J173,'CAT_TURNOS'!$A$4:$A$7,0)),"")</f>
        <v/>
      </c>
      <c r="Q173" s="3">
        <f>IF(AND(LEFT($G173,1)="T",$H173="no"),"sí","no")</f>
        <v/>
      </c>
    </row>
    <row r="174">
      <c r="A174" s="3" t="inlineStr">
        <is>
          <t>2026-S30</t>
        </is>
      </c>
      <c r="B174" s="3" t="inlineStr">
        <is>
          <t>miércoles</t>
        </is>
      </c>
      <c r="C174" s="3" t="inlineStr">
        <is>
          <t>Técnico 09</t>
        </is>
      </c>
      <c r="D174" s="3">
        <f>IFERROR(INDEX('TECNICOS'!$D$4:$D$19,MATCH($C174,'TECNICOS'!$B$4:$B$19,0)),"")</f>
        <v/>
      </c>
      <c r="E174" s="3">
        <f>IFERROR(INDEX('TECNICOS'!$C$4:$C$19,MATCH($C174,'TECNICOS'!$B$4:$B$19,0)),"")</f>
        <v/>
      </c>
      <c r="F174" s="3">
        <f>COUNTIFS('TECNICOS'!$F$4:$F$19,"SI",'TECNICOS'!$C$4:$C$19,$E174,'TECNICOS'!$D$4:$D$19,$D174)</f>
        <v/>
      </c>
      <c r="G174" s="3">
        <f>IF(OR($C174="",$A174="",$B174="domingo"),"",IF(IFERROR(INDEX('TECNICOS'!$F$4:$F$19,MATCH($C174,'TECNICOS'!$B$4:$B$19,0)),"NO")&lt;&gt;"SI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3">
        <f>IF(COUNTIFS('PLAN_VACACIONES'!$A$4:$A$103,$C174,'PLAN_VACACIONES'!$B$4:$B$103,"&lt;="&amp;$L174,'PLAN_VACACIONES'!$C$4:$C$103,"&gt;="&amp;$L174)&gt;0,"sí","no")</f>
        <v/>
      </c>
      <c r="I174" s="6" t="n"/>
      <c r="J174" s="3">
        <f>IF($I174&lt;&gt;"",$I174,IF($G174="","",IF($H174="sí","VAC",IF(LEFT($G174,1)="B","B",$G174))))</f>
        <v/>
      </c>
      <c r="K174" s="3">
        <f>IFERROR(INDEX('TECNICOS'!$E$4:$E$19,MATCH($C174,'TECNICOS'!$B$4:$B$19,0)),"")</f>
        <v/>
      </c>
      <c r="L174" s="12">
        <f>IF($A174="","",DATE(VALUE(LEFT($A174,4)),1,4)-WEEKDAY(DATE(VALUE(LEFT($A174,4)),1,4),2)+1+(VALUE(MID($A174,7,2))-1)*7+MATCH($B174,lista_dias,0)-1)</f>
        <v/>
      </c>
      <c r="M174" s="3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3">
        <f>$A174&amp;"|"&amp;$B174&amp;"|"&amp;$C174</f>
        <v/>
      </c>
      <c r="O174" s="3">
        <f>IFERROR(INDEX('CAT_TURNOS'!$C$4:$C$7,MATCH($J174,'CAT_TURNOS'!$A$4:$A$7,0)),"")</f>
        <v/>
      </c>
      <c r="P174" s="3">
        <f>IFERROR(INDEX('CAT_TURNOS'!$D$4:$D$7,MATCH($J174,'CAT_TURNOS'!$A$4:$A$7,0)),"")</f>
        <v/>
      </c>
      <c r="Q174" s="3">
        <f>IF(AND(LEFT($G174,1)="T",$H174="no"),"sí","no")</f>
        <v/>
      </c>
    </row>
    <row r="175">
      <c r="A175" s="3" t="inlineStr">
        <is>
          <t>2026-S30</t>
        </is>
      </c>
      <c r="B175" s="3" t="inlineStr">
        <is>
          <t>jueves</t>
        </is>
      </c>
      <c r="C175" s="3" t="inlineStr">
        <is>
          <t>Técnico 09</t>
        </is>
      </c>
      <c r="D175" s="3">
        <f>IFERROR(INDEX('TECNICOS'!$D$4:$D$19,MATCH($C175,'TECNICOS'!$B$4:$B$19,0)),"")</f>
        <v/>
      </c>
      <c r="E175" s="3">
        <f>IFERROR(INDEX('TECNICOS'!$C$4:$C$19,MATCH($C175,'TECNICOS'!$B$4:$B$19,0)),"")</f>
        <v/>
      </c>
      <c r="F175" s="3">
        <f>COUNTIFS('TECNICOS'!$F$4:$F$19,"SI",'TECNICOS'!$C$4:$C$19,$E175,'TECNICOS'!$D$4:$D$19,$D175)</f>
        <v/>
      </c>
      <c r="G175" s="3">
        <f>IF(OR($C175="",$A175="",$B175="domingo"),"",IF(IFERROR(INDEX('TECNICOS'!$F$4:$F$19,MATCH($C175,'TECNICOS'!$B$4:$B$19,0)),"NO")&lt;&gt;"SI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3">
        <f>IF(COUNTIFS('PLAN_VACACIONES'!$A$4:$A$103,$C175,'PLAN_VACACIONES'!$B$4:$B$103,"&lt;="&amp;$L175,'PLAN_VACACIONES'!$C$4:$C$103,"&gt;="&amp;$L175)&gt;0,"sí","no")</f>
        <v/>
      </c>
      <c r="I175" s="6" t="n"/>
      <c r="J175" s="3">
        <f>IF($I175&lt;&gt;"",$I175,IF($G175="","",IF($H175="sí","VAC",IF(LEFT($G175,1)="B","B",$G175))))</f>
        <v/>
      </c>
      <c r="K175" s="3">
        <f>IFERROR(INDEX('TECNICOS'!$E$4:$E$19,MATCH($C175,'TECNICOS'!$B$4:$B$19,0)),"")</f>
        <v/>
      </c>
      <c r="L175" s="12">
        <f>IF($A175="","",DATE(VALUE(LEFT($A175,4)),1,4)-WEEKDAY(DATE(VALUE(LEFT($A175,4)),1,4),2)+1+(VALUE(MID($A175,7,2))-1)*7+MATCH($B175,lista_dias,0)-1)</f>
        <v/>
      </c>
      <c r="M175" s="3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3">
        <f>$A175&amp;"|"&amp;$B175&amp;"|"&amp;$C175</f>
        <v/>
      </c>
      <c r="O175" s="3">
        <f>IFERROR(INDEX('CAT_TURNOS'!$C$4:$C$7,MATCH($J175,'CAT_TURNOS'!$A$4:$A$7,0)),"")</f>
        <v/>
      </c>
      <c r="P175" s="3">
        <f>IFERROR(INDEX('CAT_TURNOS'!$D$4:$D$7,MATCH($J175,'CAT_TURNOS'!$A$4:$A$7,0)),"")</f>
        <v/>
      </c>
      <c r="Q175" s="3">
        <f>IF(AND(LEFT($G175,1)="T",$H175="no"),"sí","no")</f>
        <v/>
      </c>
    </row>
    <row r="176">
      <c r="A176" s="3" t="inlineStr">
        <is>
          <t>2026-S30</t>
        </is>
      </c>
      <c r="B176" s="3" t="inlineStr">
        <is>
          <t>viernes</t>
        </is>
      </c>
      <c r="C176" s="3" t="inlineStr">
        <is>
          <t>Técnico 09</t>
        </is>
      </c>
      <c r="D176" s="3">
        <f>IFERROR(INDEX('TECNICOS'!$D$4:$D$19,MATCH($C176,'TECNICOS'!$B$4:$B$19,0)),"")</f>
        <v/>
      </c>
      <c r="E176" s="3">
        <f>IFERROR(INDEX('TECNICOS'!$C$4:$C$19,MATCH($C176,'TECNICOS'!$B$4:$B$19,0)),"")</f>
        <v/>
      </c>
      <c r="F176" s="3">
        <f>COUNTIFS('TECNICOS'!$F$4:$F$19,"SI",'TECNICOS'!$C$4:$C$19,$E176,'TECNICOS'!$D$4:$D$19,$D176)</f>
        <v/>
      </c>
      <c r="G176" s="3">
        <f>IF(OR($C176="",$A176="",$B176="domingo"),"",IF(IFERROR(INDEX('TECNICOS'!$F$4:$F$19,MATCH($C176,'TECNICOS'!$B$4:$B$19,0)),"NO")&lt;&gt;"SI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3">
        <f>IF(COUNTIFS('PLAN_VACACIONES'!$A$4:$A$103,$C176,'PLAN_VACACIONES'!$B$4:$B$103,"&lt;="&amp;$L176,'PLAN_VACACIONES'!$C$4:$C$103,"&gt;="&amp;$L176)&gt;0,"sí","no")</f>
        <v/>
      </c>
      <c r="I176" s="6" t="n"/>
      <c r="J176" s="3">
        <f>IF($I176&lt;&gt;"",$I176,IF($G176="","",IF($H176="sí","VAC",IF(LEFT($G176,1)="B","B",$G176))))</f>
        <v/>
      </c>
      <c r="K176" s="3">
        <f>IFERROR(INDEX('TECNICOS'!$E$4:$E$19,MATCH($C176,'TECNICOS'!$B$4:$B$19,0)),"")</f>
        <v/>
      </c>
      <c r="L176" s="12">
        <f>IF($A176="","",DATE(VALUE(LEFT($A176,4)),1,4)-WEEKDAY(DATE(VALUE(LEFT($A176,4)),1,4),2)+1+(VALUE(MID($A176,7,2))-1)*7+MATCH($B176,lista_dias,0)-1)</f>
        <v/>
      </c>
      <c r="M176" s="3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3">
        <f>$A176&amp;"|"&amp;$B176&amp;"|"&amp;$C176</f>
        <v/>
      </c>
      <c r="O176" s="3">
        <f>IFERROR(INDEX('CAT_TURNOS'!$C$4:$C$7,MATCH($J176,'CAT_TURNOS'!$A$4:$A$7,0)),"")</f>
        <v/>
      </c>
      <c r="P176" s="3">
        <f>IFERROR(INDEX('CAT_TURNOS'!$D$4:$D$7,MATCH($J176,'CAT_TURNOS'!$A$4:$A$7,0)),"")</f>
        <v/>
      </c>
      <c r="Q176" s="3">
        <f>IF(AND(LEFT($G176,1)="T",$H176="no"),"sí","no")</f>
        <v/>
      </c>
    </row>
    <row r="177">
      <c r="A177" s="3" t="inlineStr">
        <is>
          <t>2026-S30</t>
        </is>
      </c>
      <c r="B177" s="3" t="inlineStr">
        <is>
          <t>sábado</t>
        </is>
      </c>
      <c r="C177" s="3" t="inlineStr">
        <is>
          <t>Técnico 09</t>
        </is>
      </c>
      <c r="D177" s="3">
        <f>IFERROR(INDEX('TECNICOS'!$D$4:$D$19,MATCH($C177,'TECNICOS'!$B$4:$B$19,0)),"")</f>
        <v/>
      </c>
      <c r="E177" s="3">
        <f>IFERROR(INDEX('TECNICOS'!$C$4:$C$19,MATCH($C177,'TECNICOS'!$B$4:$B$19,0)),"")</f>
        <v/>
      </c>
      <c r="F177" s="3">
        <f>COUNTIFS('TECNICOS'!$F$4:$F$19,"SI",'TECNICOS'!$C$4:$C$19,$E177,'TECNICOS'!$D$4:$D$19,$D177)</f>
        <v/>
      </c>
      <c r="G177" s="3">
        <f>IF(OR($C177="",$A177="",$B177="domingo"),"",IF(IFERROR(INDEX('TECNICOS'!$F$4:$F$19,MATCH($C177,'TECNICOS'!$B$4:$B$19,0)),"NO")&lt;&gt;"SI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3">
        <f>IF(COUNTIFS('PLAN_VACACIONES'!$A$4:$A$103,$C177,'PLAN_VACACIONES'!$B$4:$B$103,"&lt;="&amp;$L177,'PLAN_VACACIONES'!$C$4:$C$103,"&gt;="&amp;$L177)&gt;0,"sí","no")</f>
        <v/>
      </c>
      <c r="I177" s="6" t="n"/>
      <c r="J177" s="3">
        <f>IF($I177&lt;&gt;"",$I177,IF($G177="","",IF($H177="sí","VAC",IF(LEFT($G177,1)="B","B",$G177))))</f>
        <v/>
      </c>
      <c r="K177" s="3">
        <f>IFERROR(INDEX('TECNICOS'!$E$4:$E$19,MATCH($C177,'TECNICOS'!$B$4:$B$19,0)),"")</f>
        <v/>
      </c>
      <c r="L177" s="12">
        <f>IF($A177="","",DATE(VALUE(LEFT($A177,4)),1,4)-WEEKDAY(DATE(VALUE(LEFT($A177,4)),1,4),2)+1+(VALUE(MID($A177,7,2))-1)*7+MATCH($B177,lista_dias,0)-1)</f>
        <v/>
      </c>
      <c r="M177" s="3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3">
        <f>$A177&amp;"|"&amp;$B177&amp;"|"&amp;$C177</f>
        <v/>
      </c>
      <c r="O177" s="3">
        <f>IFERROR(INDEX('CAT_TURNOS'!$C$4:$C$7,MATCH($J177,'CAT_TURNOS'!$A$4:$A$7,0)),"")</f>
        <v/>
      </c>
      <c r="P177" s="3">
        <f>IFERROR(INDEX('CAT_TURNOS'!$D$4:$D$7,MATCH($J177,'CAT_TURNOS'!$A$4:$A$7,0)),"")</f>
        <v/>
      </c>
      <c r="Q177" s="3">
        <f>IF(AND(LEFT($G177,1)="T",$H177="no"),"sí","no")</f>
        <v/>
      </c>
    </row>
    <row r="178">
      <c r="A178" s="3" t="inlineStr">
        <is>
          <t>2026-S30</t>
        </is>
      </c>
      <c r="B178" s="3" t="inlineStr">
        <is>
          <t>domingo</t>
        </is>
      </c>
      <c r="C178" s="3" t="inlineStr">
        <is>
          <t>Técnico 09</t>
        </is>
      </c>
      <c r="D178" s="3">
        <f>IFERROR(INDEX('TECNICOS'!$D$4:$D$19,MATCH($C178,'TECNICOS'!$B$4:$B$19,0)),"")</f>
        <v/>
      </c>
      <c r="E178" s="3">
        <f>IFERROR(INDEX('TECNICOS'!$C$4:$C$19,MATCH($C178,'TECNICOS'!$B$4:$B$19,0)),"")</f>
        <v/>
      </c>
      <c r="F178" s="3">
        <f>COUNTIFS('TECNICOS'!$F$4:$F$19,"SI",'TECNICOS'!$C$4:$C$19,$E178,'TECNICOS'!$D$4:$D$19,$D178)</f>
        <v/>
      </c>
      <c r="G178" s="3">
        <f>IF(OR($C178="",$A178="",$B178="domingo"),"",IF(IFERROR(INDEX('TECNICOS'!$F$4:$F$19,MATCH($C178,'TECNICOS'!$B$4:$B$19,0)),"NO")&lt;&gt;"SI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3">
        <f>IF(COUNTIFS('PLAN_VACACIONES'!$A$4:$A$103,$C178,'PLAN_VACACIONES'!$B$4:$B$103,"&lt;="&amp;$L178,'PLAN_VACACIONES'!$C$4:$C$103,"&gt;="&amp;$L178)&gt;0,"sí","no")</f>
        <v/>
      </c>
      <c r="I178" s="6" t="n"/>
      <c r="J178" s="3">
        <f>IF($I178&lt;&gt;"",$I178,IF($G178="","",IF($H178="sí","VAC",IF(LEFT($G178,1)="B","B",$G178))))</f>
        <v/>
      </c>
      <c r="K178" s="3">
        <f>IFERROR(INDEX('TECNICOS'!$E$4:$E$19,MATCH($C178,'TECNICOS'!$B$4:$B$19,0)),"")</f>
        <v/>
      </c>
      <c r="L178" s="12">
        <f>IF($A178="","",DATE(VALUE(LEFT($A178,4)),1,4)-WEEKDAY(DATE(VALUE(LEFT($A178,4)),1,4),2)+1+(VALUE(MID($A178,7,2))-1)*7+MATCH($B178,lista_dias,0)-1)</f>
        <v/>
      </c>
      <c r="M178" s="3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3">
        <f>$A178&amp;"|"&amp;$B178&amp;"|"&amp;$C178</f>
        <v/>
      </c>
      <c r="O178" s="3">
        <f>IFERROR(INDEX('CAT_TURNOS'!$C$4:$C$7,MATCH($J178,'CAT_TURNOS'!$A$4:$A$7,0)),"")</f>
        <v/>
      </c>
      <c r="P178" s="3">
        <f>IFERROR(INDEX('CAT_TURNOS'!$D$4:$D$7,MATCH($J178,'CAT_TURNOS'!$A$4:$A$7,0)),"")</f>
        <v/>
      </c>
      <c r="Q178" s="3">
        <f>IF(AND(LEFT($G178,1)="T",$H178="no"),"sí","no")</f>
        <v/>
      </c>
    </row>
    <row r="179">
      <c r="A179" s="3" t="inlineStr">
        <is>
          <t>2026-S30</t>
        </is>
      </c>
      <c r="B179" s="3" t="inlineStr">
        <is>
          <t>lunes</t>
        </is>
      </c>
      <c r="C179" s="3" t="inlineStr">
        <is>
          <t>Técnico 10</t>
        </is>
      </c>
      <c r="D179" s="3">
        <f>IFERROR(INDEX('TECNICOS'!$D$4:$D$19,MATCH($C179,'TECNICOS'!$B$4:$B$19,0)),"")</f>
        <v/>
      </c>
      <c r="E179" s="3">
        <f>IFERROR(INDEX('TECNICOS'!$C$4:$C$19,MATCH($C179,'TECNICOS'!$B$4:$B$19,0)),"")</f>
        <v/>
      </c>
      <c r="F179" s="3">
        <f>COUNTIFS('TECNICOS'!$F$4:$F$19,"SI",'TECNICOS'!$C$4:$C$19,$E179,'TECNICOS'!$D$4:$D$19,$D179)</f>
        <v/>
      </c>
      <c r="G179" s="3">
        <f>IF(OR($C179="",$A179="",$B179="domingo"),"",IF(IFERROR(INDEX('TECNICOS'!$F$4:$F$19,MATCH($C179,'TECNICOS'!$B$4:$B$19,0)),"NO")&lt;&gt;"SI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3">
        <f>IF(COUNTIFS('PLAN_VACACIONES'!$A$4:$A$103,$C179,'PLAN_VACACIONES'!$B$4:$B$103,"&lt;="&amp;$L179,'PLAN_VACACIONES'!$C$4:$C$103,"&gt;="&amp;$L179)&gt;0,"sí","no")</f>
        <v/>
      </c>
      <c r="I179" s="6" t="n"/>
      <c r="J179" s="3">
        <f>IF($I179&lt;&gt;"",$I179,IF($G179="","",IF($H179="sí","VAC",IF(LEFT($G179,1)="B","B",$G179))))</f>
        <v/>
      </c>
      <c r="K179" s="3">
        <f>IFERROR(INDEX('TECNICOS'!$E$4:$E$19,MATCH($C179,'TECNICOS'!$B$4:$B$19,0)),"")</f>
        <v/>
      </c>
      <c r="L179" s="12">
        <f>IF($A179="","",DATE(VALUE(LEFT($A179,4)),1,4)-WEEKDAY(DATE(VALUE(LEFT($A179,4)),1,4),2)+1+(VALUE(MID($A179,7,2))-1)*7+MATCH($B179,lista_dias,0)-1)</f>
        <v/>
      </c>
      <c r="M179" s="3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3">
        <f>$A179&amp;"|"&amp;$B179&amp;"|"&amp;$C179</f>
        <v/>
      </c>
      <c r="O179" s="3">
        <f>IFERROR(INDEX('CAT_TURNOS'!$C$4:$C$7,MATCH($J179,'CAT_TURNOS'!$A$4:$A$7,0)),"")</f>
        <v/>
      </c>
      <c r="P179" s="3">
        <f>IFERROR(INDEX('CAT_TURNOS'!$D$4:$D$7,MATCH($J179,'CAT_TURNOS'!$A$4:$A$7,0)),"")</f>
        <v/>
      </c>
      <c r="Q179" s="3">
        <f>IF(AND(LEFT($G179,1)="T",$H179="no"),"sí","no")</f>
        <v/>
      </c>
    </row>
    <row r="180">
      <c r="A180" s="3" t="inlineStr">
        <is>
          <t>2026-S30</t>
        </is>
      </c>
      <c r="B180" s="3" t="inlineStr">
        <is>
          <t>martes</t>
        </is>
      </c>
      <c r="C180" s="3" t="inlineStr">
        <is>
          <t>Técnico 10</t>
        </is>
      </c>
      <c r="D180" s="3">
        <f>IFERROR(INDEX('TECNICOS'!$D$4:$D$19,MATCH($C180,'TECNICOS'!$B$4:$B$19,0)),"")</f>
        <v/>
      </c>
      <c r="E180" s="3">
        <f>IFERROR(INDEX('TECNICOS'!$C$4:$C$19,MATCH($C180,'TECNICOS'!$B$4:$B$19,0)),"")</f>
        <v/>
      </c>
      <c r="F180" s="3">
        <f>COUNTIFS('TECNICOS'!$F$4:$F$19,"SI",'TECNICOS'!$C$4:$C$19,$E180,'TECNICOS'!$D$4:$D$19,$D180)</f>
        <v/>
      </c>
      <c r="G180" s="3">
        <f>IF(OR($C180="",$A180="",$B180="domingo"),"",IF(IFERROR(INDEX('TECNICOS'!$F$4:$F$19,MATCH($C180,'TECNICOS'!$B$4:$B$19,0)),"NO")&lt;&gt;"SI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3">
        <f>IF(COUNTIFS('PLAN_VACACIONES'!$A$4:$A$103,$C180,'PLAN_VACACIONES'!$B$4:$B$103,"&lt;="&amp;$L180,'PLAN_VACACIONES'!$C$4:$C$103,"&gt;="&amp;$L180)&gt;0,"sí","no")</f>
        <v/>
      </c>
      <c r="I180" s="6" t="n"/>
      <c r="J180" s="3">
        <f>IF($I180&lt;&gt;"",$I180,IF($G180="","",IF($H180="sí","VAC",IF(LEFT($G180,1)="B","B",$G180))))</f>
        <v/>
      </c>
      <c r="K180" s="3">
        <f>IFERROR(INDEX('TECNICOS'!$E$4:$E$19,MATCH($C180,'TECNICOS'!$B$4:$B$19,0)),"")</f>
        <v/>
      </c>
      <c r="L180" s="12">
        <f>IF($A180="","",DATE(VALUE(LEFT($A180,4)),1,4)-WEEKDAY(DATE(VALUE(LEFT($A180,4)),1,4),2)+1+(VALUE(MID($A180,7,2))-1)*7+MATCH($B180,lista_dias,0)-1)</f>
        <v/>
      </c>
      <c r="M180" s="3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3">
        <f>$A180&amp;"|"&amp;$B180&amp;"|"&amp;$C180</f>
        <v/>
      </c>
      <c r="O180" s="3">
        <f>IFERROR(INDEX('CAT_TURNOS'!$C$4:$C$7,MATCH($J180,'CAT_TURNOS'!$A$4:$A$7,0)),"")</f>
        <v/>
      </c>
      <c r="P180" s="3">
        <f>IFERROR(INDEX('CAT_TURNOS'!$D$4:$D$7,MATCH($J180,'CAT_TURNOS'!$A$4:$A$7,0)),"")</f>
        <v/>
      </c>
      <c r="Q180" s="3">
        <f>IF(AND(LEFT($G180,1)="T",$H180="no"),"sí","no")</f>
        <v/>
      </c>
    </row>
    <row r="181">
      <c r="A181" s="3" t="inlineStr">
        <is>
          <t>2026-S30</t>
        </is>
      </c>
      <c r="B181" s="3" t="inlineStr">
        <is>
          <t>miércoles</t>
        </is>
      </c>
      <c r="C181" s="3" t="inlineStr">
        <is>
          <t>Técnico 10</t>
        </is>
      </c>
      <c r="D181" s="3">
        <f>IFERROR(INDEX('TECNICOS'!$D$4:$D$19,MATCH($C181,'TECNICOS'!$B$4:$B$19,0)),"")</f>
        <v/>
      </c>
      <c r="E181" s="3">
        <f>IFERROR(INDEX('TECNICOS'!$C$4:$C$19,MATCH($C181,'TECNICOS'!$B$4:$B$19,0)),"")</f>
        <v/>
      </c>
      <c r="F181" s="3">
        <f>COUNTIFS('TECNICOS'!$F$4:$F$19,"SI",'TECNICOS'!$C$4:$C$19,$E181,'TECNICOS'!$D$4:$D$19,$D181)</f>
        <v/>
      </c>
      <c r="G181" s="3">
        <f>IF(OR($C181="",$A181="",$B181="domingo"),"",IF(IFERROR(INDEX('TECNICOS'!$F$4:$F$19,MATCH($C181,'TECNICOS'!$B$4:$B$19,0)),"NO")&lt;&gt;"SI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3">
        <f>IF(COUNTIFS('PLAN_VACACIONES'!$A$4:$A$103,$C181,'PLAN_VACACIONES'!$B$4:$B$103,"&lt;="&amp;$L181,'PLAN_VACACIONES'!$C$4:$C$103,"&gt;="&amp;$L181)&gt;0,"sí","no")</f>
        <v/>
      </c>
      <c r="I181" s="6" t="n"/>
      <c r="J181" s="3">
        <f>IF($I181&lt;&gt;"",$I181,IF($G181="","",IF($H181="sí","VAC",IF(LEFT($G181,1)="B","B",$G181))))</f>
        <v/>
      </c>
      <c r="K181" s="3">
        <f>IFERROR(INDEX('TECNICOS'!$E$4:$E$19,MATCH($C181,'TECNICOS'!$B$4:$B$19,0)),"")</f>
        <v/>
      </c>
      <c r="L181" s="12">
        <f>IF($A181="","",DATE(VALUE(LEFT($A181,4)),1,4)-WEEKDAY(DATE(VALUE(LEFT($A181,4)),1,4),2)+1+(VALUE(MID($A181,7,2))-1)*7+MATCH($B181,lista_dias,0)-1)</f>
        <v/>
      </c>
      <c r="M181" s="3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3">
        <f>$A181&amp;"|"&amp;$B181&amp;"|"&amp;$C181</f>
        <v/>
      </c>
      <c r="O181" s="3">
        <f>IFERROR(INDEX('CAT_TURNOS'!$C$4:$C$7,MATCH($J181,'CAT_TURNOS'!$A$4:$A$7,0)),"")</f>
        <v/>
      </c>
      <c r="P181" s="3">
        <f>IFERROR(INDEX('CAT_TURNOS'!$D$4:$D$7,MATCH($J181,'CAT_TURNOS'!$A$4:$A$7,0)),"")</f>
        <v/>
      </c>
      <c r="Q181" s="3">
        <f>IF(AND(LEFT($G181,1)="T",$H181="no"),"sí","no")</f>
        <v/>
      </c>
    </row>
    <row r="182">
      <c r="A182" s="3" t="inlineStr">
        <is>
          <t>2026-S30</t>
        </is>
      </c>
      <c r="B182" s="3" t="inlineStr">
        <is>
          <t>jueves</t>
        </is>
      </c>
      <c r="C182" s="3" t="inlineStr">
        <is>
          <t>Técnico 10</t>
        </is>
      </c>
      <c r="D182" s="3">
        <f>IFERROR(INDEX('TECNICOS'!$D$4:$D$19,MATCH($C182,'TECNICOS'!$B$4:$B$19,0)),"")</f>
        <v/>
      </c>
      <c r="E182" s="3">
        <f>IFERROR(INDEX('TECNICOS'!$C$4:$C$19,MATCH($C182,'TECNICOS'!$B$4:$B$19,0)),"")</f>
        <v/>
      </c>
      <c r="F182" s="3">
        <f>COUNTIFS('TECNICOS'!$F$4:$F$19,"SI",'TECNICOS'!$C$4:$C$19,$E182,'TECNICOS'!$D$4:$D$19,$D182)</f>
        <v/>
      </c>
      <c r="G182" s="3">
        <f>IF(OR($C182="",$A182="",$B182="domingo"),"",IF(IFERROR(INDEX('TECNICOS'!$F$4:$F$19,MATCH($C182,'TECNICOS'!$B$4:$B$19,0)),"NO")&lt;&gt;"SI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3">
        <f>IF(COUNTIFS('PLAN_VACACIONES'!$A$4:$A$103,$C182,'PLAN_VACACIONES'!$B$4:$B$103,"&lt;="&amp;$L182,'PLAN_VACACIONES'!$C$4:$C$103,"&gt;="&amp;$L182)&gt;0,"sí","no")</f>
        <v/>
      </c>
      <c r="I182" s="6" t="n"/>
      <c r="J182" s="3">
        <f>IF($I182&lt;&gt;"",$I182,IF($G182="","",IF($H182="sí","VAC",IF(LEFT($G182,1)="B","B",$G182))))</f>
        <v/>
      </c>
      <c r="K182" s="3">
        <f>IFERROR(INDEX('TECNICOS'!$E$4:$E$19,MATCH($C182,'TECNICOS'!$B$4:$B$19,0)),"")</f>
        <v/>
      </c>
      <c r="L182" s="12">
        <f>IF($A182="","",DATE(VALUE(LEFT($A182,4)),1,4)-WEEKDAY(DATE(VALUE(LEFT($A182,4)),1,4),2)+1+(VALUE(MID($A182,7,2))-1)*7+MATCH($B182,lista_dias,0)-1)</f>
        <v/>
      </c>
      <c r="M182" s="3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3">
        <f>$A182&amp;"|"&amp;$B182&amp;"|"&amp;$C182</f>
        <v/>
      </c>
      <c r="O182" s="3">
        <f>IFERROR(INDEX('CAT_TURNOS'!$C$4:$C$7,MATCH($J182,'CAT_TURNOS'!$A$4:$A$7,0)),"")</f>
        <v/>
      </c>
      <c r="P182" s="3">
        <f>IFERROR(INDEX('CAT_TURNOS'!$D$4:$D$7,MATCH($J182,'CAT_TURNOS'!$A$4:$A$7,0)),"")</f>
        <v/>
      </c>
      <c r="Q182" s="3">
        <f>IF(AND(LEFT($G182,1)="T",$H182="no"),"sí","no")</f>
        <v/>
      </c>
    </row>
    <row r="183">
      <c r="A183" s="3" t="inlineStr">
        <is>
          <t>2026-S30</t>
        </is>
      </c>
      <c r="B183" s="3" t="inlineStr">
        <is>
          <t>viernes</t>
        </is>
      </c>
      <c r="C183" s="3" t="inlineStr">
        <is>
          <t>Técnico 10</t>
        </is>
      </c>
      <c r="D183" s="3">
        <f>IFERROR(INDEX('TECNICOS'!$D$4:$D$19,MATCH($C183,'TECNICOS'!$B$4:$B$19,0)),"")</f>
        <v/>
      </c>
      <c r="E183" s="3">
        <f>IFERROR(INDEX('TECNICOS'!$C$4:$C$19,MATCH($C183,'TECNICOS'!$B$4:$B$19,0)),"")</f>
        <v/>
      </c>
      <c r="F183" s="3">
        <f>COUNTIFS('TECNICOS'!$F$4:$F$19,"SI",'TECNICOS'!$C$4:$C$19,$E183,'TECNICOS'!$D$4:$D$19,$D183)</f>
        <v/>
      </c>
      <c r="G183" s="3">
        <f>IF(OR($C183="",$A183="",$B183="domingo"),"",IF(IFERROR(INDEX('TECNICOS'!$F$4:$F$19,MATCH($C183,'TECNICOS'!$B$4:$B$19,0)),"NO")&lt;&gt;"SI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3">
        <f>IF(COUNTIFS('PLAN_VACACIONES'!$A$4:$A$103,$C183,'PLAN_VACACIONES'!$B$4:$B$103,"&lt;="&amp;$L183,'PLAN_VACACIONES'!$C$4:$C$103,"&gt;="&amp;$L183)&gt;0,"sí","no")</f>
        <v/>
      </c>
      <c r="I183" s="6" t="n"/>
      <c r="J183" s="3">
        <f>IF($I183&lt;&gt;"",$I183,IF($G183="","",IF($H183="sí","VAC",IF(LEFT($G183,1)="B","B",$G183))))</f>
        <v/>
      </c>
      <c r="K183" s="3">
        <f>IFERROR(INDEX('TECNICOS'!$E$4:$E$19,MATCH($C183,'TECNICOS'!$B$4:$B$19,0)),"")</f>
        <v/>
      </c>
      <c r="L183" s="12">
        <f>IF($A183="","",DATE(VALUE(LEFT($A183,4)),1,4)-WEEKDAY(DATE(VALUE(LEFT($A183,4)),1,4),2)+1+(VALUE(MID($A183,7,2))-1)*7+MATCH($B183,lista_dias,0)-1)</f>
        <v/>
      </c>
      <c r="M183" s="3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3">
        <f>$A183&amp;"|"&amp;$B183&amp;"|"&amp;$C183</f>
        <v/>
      </c>
      <c r="O183" s="3">
        <f>IFERROR(INDEX('CAT_TURNOS'!$C$4:$C$7,MATCH($J183,'CAT_TURNOS'!$A$4:$A$7,0)),"")</f>
        <v/>
      </c>
      <c r="P183" s="3">
        <f>IFERROR(INDEX('CAT_TURNOS'!$D$4:$D$7,MATCH($J183,'CAT_TURNOS'!$A$4:$A$7,0)),"")</f>
        <v/>
      </c>
      <c r="Q183" s="3">
        <f>IF(AND(LEFT($G183,1)="T",$H183="no"),"sí","no")</f>
        <v/>
      </c>
    </row>
    <row r="184">
      <c r="A184" s="3" t="inlineStr">
        <is>
          <t>2026-S30</t>
        </is>
      </c>
      <c r="B184" s="3" t="inlineStr">
        <is>
          <t>sábado</t>
        </is>
      </c>
      <c r="C184" s="3" t="inlineStr">
        <is>
          <t>Técnico 10</t>
        </is>
      </c>
      <c r="D184" s="3">
        <f>IFERROR(INDEX('TECNICOS'!$D$4:$D$19,MATCH($C184,'TECNICOS'!$B$4:$B$19,0)),"")</f>
        <v/>
      </c>
      <c r="E184" s="3">
        <f>IFERROR(INDEX('TECNICOS'!$C$4:$C$19,MATCH($C184,'TECNICOS'!$B$4:$B$19,0)),"")</f>
        <v/>
      </c>
      <c r="F184" s="3">
        <f>COUNTIFS('TECNICOS'!$F$4:$F$19,"SI",'TECNICOS'!$C$4:$C$19,$E184,'TECNICOS'!$D$4:$D$19,$D184)</f>
        <v/>
      </c>
      <c r="G184" s="3">
        <f>IF(OR($C184="",$A184="",$B184="domingo"),"",IF(IFERROR(INDEX('TECNICOS'!$F$4:$F$19,MATCH($C184,'TECNICOS'!$B$4:$B$19,0)),"NO")&lt;&gt;"SI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3">
        <f>IF(COUNTIFS('PLAN_VACACIONES'!$A$4:$A$103,$C184,'PLAN_VACACIONES'!$B$4:$B$103,"&lt;="&amp;$L184,'PLAN_VACACIONES'!$C$4:$C$103,"&gt;="&amp;$L184)&gt;0,"sí","no")</f>
        <v/>
      </c>
      <c r="I184" s="6" t="n"/>
      <c r="J184" s="3">
        <f>IF($I184&lt;&gt;"",$I184,IF($G184="","",IF($H184="sí","VAC",IF(LEFT($G184,1)="B","B",$G184))))</f>
        <v/>
      </c>
      <c r="K184" s="3">
        <f>IFERROR(INDEX('TECNICOS'!$E$4:$E$19,MATCH($C184,'TECNICOS'!$B$4:$B$19,0)),"")</f>
        <v/>
      </c>
      <c r="L184" s="12">
        <f>IF($A184="","",DATE(VALUE(LEFT($A184,4)),1,4)-WEEKDAY(DATE(VALUE(LEFT($A184,4)),1,4),2)+1+(VALUE(MID($A184,7,2))-1)*7+MATCH($B184,lista_dias,0)-1)</f>
        <v/>
      </c>
      <c r="M184" s="3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3">
        <f>$A184&amp;"|"&amp;$B184&amp;"|"&amp;$C184</f>
        <v/>
      </c>
      <c r="O184" s="3">
        <f>IFERROR(INDEX('CAT_TURNOS'!$C$4:$C$7,MATCH($J184,'CAT_TURNOS'!$A$4:$A$7,0)),"")</f>
        <v/>
      </c>
      <c r="P184" s="3">
        <f>IFERROR(INDEX('CAT_TURNOS'!$D$4:$D$7,MATCH($J184,'CAT_TURNOS'!$A$4:$A$7,0)),"")</f>
        <v/>
      </c>
      <c r="Q184" s="3">
        <f>IF(AND(LEFT($G184,1)="T",$H184="no"),"sí","no")</f>
        <v/>
      </c>
    </row>
    <row r="185">
      <c r="A185" s="3" t="inlineStr">
        <is>
          <t>2026-S30</t>
        </is>
      </c>
      <c r="B185" s="3" t="inlineStr">
        <is>
          <t>domingo</t>
        </is>
      </c>
      <c r="C185" s="3" t="inlineStr">
        <is>
          <t>Técnico 10</t>
        </is>
      </c>
      <c r="D185" s="3">
        <f>IFERROR(INDEX('TECNICOS'!$D$4:$D$19,MATCH($C185,'TECNICOS'!$B$4:$B$19,0)),"")</f>
        <v/>
      </c>
      <c r="E185" s="3">
        <f>IFERROR(INDEX('TECNICOS'!$C$4:$C$19,MATCH($C185,'TECNICOS'!$B$4:$B$19,0)),"")</f>
        <v/>
      </c>
      <c r="F185" s="3">
        <f>COUNTIFS('TECNICOS'!$F$4:$F$19,"SI",'TECNICOS'!$C$4:$C$19,$E185,'TECNICOS'!$D$4:$D$19,$D185)</f>
        <v/>
      </c>
      <c r="G185" s="3">
        <f>IF(OR($C185="",$A185="",$B185="domingo"),"",IF(IFERROR(INDEX('TECNICOS'!$F$4:$F$19,MATCH($C185,'TECNICOS'!$B$4:$B$19,0)),"NO")&lt;&gt;"SI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3">
        <f>IF(COUNTIFS('PLAN_VACACIONES'!$A$4:$A$103,$C185,'PLAN_VACACIONES'!$B$4:$B$103,"&lt;="&amp;$L185,'PLAN_VACACIONES'!$C$4:$C$103,"&gt;="&amp;$L185)&gt;0,"sí","no")</f>
        <v/>
      </c>
      <c r="I185" s="6" t="n"/>
      <c r="J185" s="3">
        <f>IF($I185&lt;&gt;"",$I185,IF($G185="","",IF($H185="sí","VAC",IF(LEFT($G185,1)="B","B",$G185))))</f>
        <v/>
      </c>
      <c r="K185" s="3">
        <f>IFERROR(INDEX('TECNICOS'!$E$4:$E$19,MATCH($C185,'TECNICOS'!$B$4:$B$19,0)),"")</f>
        <v/>
      </c>
      <c r="L185" s="12">
        <f>IF($A185="","",DATE(VALUE(LEFT($A185,4)),1,4)-WEEKDAY(DATE(VALUE(LEFT($A185,4)),1,4),2)+1+(VALUE(MID($A185,7,2))-1)*7+MATCH($B185,lista_dias,0)-1)</f>
        <v/>
      </c>
      <c r="M185" s="3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3">
        <f>$A185&amp;"|"&amp;$B185&amp;"|"&amp;$C185</f>
        <v/>
      </c>
      <c r="O185" s="3">
        <f>IFERROR(INDEX('CAT_TURNOS'!$C$4:$C$7,MATCH($J185,'CAT_TURNOS'!$A$4:$A$7,0)),"")</f>
        <v/>
      </c>
      <c r="P185" s="3">
        <f>IFERROR(INDEX('CAT_TURNOS'!$D$4:$D$7,MATCH($J185,'CAT_TURNOS'!$A$4:$A$7,0)),"")</f>
        <v/>
      </c>
      <c r="Q185" s="3">
        <f>IF(AND(LEFT($G185,1)="T",$H185="no"),"sí","no")</f>
        <v/>
      </c>
    </row>
    <row r="186">
      <c r="A186" s="3" t="inlineStr">
        <is>
          <t>2026-S30</t>
        </is>
      </c>
      <c r="B186" s="3" t="inlineStr">
        <is>
          <t>lunes</t>
        </is>
      </c>
      <c r="C186" s="3" t="inlineStr">
        <is>
          <t>Técnico 11</t>
        </is>
      </c>
      <c r="D186" s="3">
        <f>IFERROR(INDEX('TECNICOS'!$D$4:$D$19,MATCH($C186,'TECNICOS'!$B$4:$B$19,0)),"")</f>
        <v/>
      </c>
      <c r="E186" s="3">
        <f>IFERROR(INDEX('TECNICOS'!$C$4:$C$19,MATCH($C186,'TECNICOS'!$B$4:$B$19,0)),"")</f>
        <v/>
      </c>
      <c r="F186" s="3">
        <f>COUNTIFS('TECNICOS'!$F$4:$F$19,"SI",'TECNICOS'!$C$4:$C$19,$E186,'TECNICOS'!$D$4:$D$19,$D186)</f>
        <v/>
      </c>
      <c r="G186" s="3">
        <f>IF(OR($C186="",$A186="",$B186="domingo"),"",IF(IFERROR(INDEX('TECNICOS'!$F$4:$F$19,MATCH($C186,'TECNICOS'!$B$4:$B$19,0)),"NO")&lt;&gt;"SI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3">
        <f>IF(COUNTIFS('PLAN_VACACIONES'!$A$4:$A$103,$C186,'PLAN_VACACIONES'!$B$4:$B$103,"&lt;="&amp;$L186,'PLAN_VACACIONES'!$C$4:$C$103,"&gt;="&amp;$L186)&gt;0,"sí","no")</f>
        <v/>
      </c>
      <c r="I186" s="6" t="n"/>
      <c r="J186" s="3">
        <f>IF($I186&lt;&gt;"",$I186,IF($G186="","",IF($H186="sí","VAC",IF(LEFT($G186,1)="B","B",$G186))))</f>
        <v/>
      </c>
      <c r="K186" s="3">
        <f>IFERROR(INDEX('TECNICOS'!$E$4:$E$19,MATCH($C186,'TECNICOS'!$B$4:$B$19,0)),"")</f>
        <v/>
      </c>
      <c r="L186" s="12">
        <f>IF($A186="","",DATE(VALUE(LEFT($A186,4)),1,4)-WEEKDAY(DATE(VALUE(LEFT($A186,4)),1,4),2)+1+(VALUE(MID($A186,7,2))-1)*7+MATCH($B186,lista_dias,0)-1)</f>
        <v/>
      </c>
      <c r="M186" s="3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3">
        <f>$A186&amp;"|"&amp;$B186&amp;"|"&amp;$C186</f>
        <v/>
      </c>
      <c r="O186" s="3">
        <f>IFERROR(INDEX('CAT_TURNOS'!$C$4:$C$7,MATCH($J186,'CAT_TURNOS'!$A$4:$A$7,0)),"")</f>
        <v/>
      </c>
      <c r="P186" s="3">
        <f>IFERROR(INDEX('CAT_TURNOS'!$D$4:$D$7,MATCH($J186,'CAT_TURNOS'!$A$4:$A$7,0)),"")</f>
        <v/>
      </c>
      <c r="Q186" s="3">
        <f>IF(AND(LEFT($G186,1)="T",$H186="no"),"sí","no")</f>
        <v/>
      </c>
    </row>
    <row r="187">
      <c r="A187" s="3" t="inlineStr">
        <is>
          <t>2026-S30</t>
        </is>
      </c>
      <c r="B187" s="3" t="inlineStr">
        <is>
          <t>martes</t>
        </is>
      </c>
      <c r="C187" s="3" t="inlineStr">
        <is>
          <t>Técnico 11</t>
        </is>
      </c>
      <c r="D187" s="3">
        <f>IFERROR(INDEX('TECNICOS'!$D$4:$D$19,MATCH($C187,'TECNICOS'!$B$4:$B$19,0)),"")</f>
        <v/>
      </c>
      <c r="E187" s="3">
        <f>IFERROR(INDEX('TECNICOS'!$C$4:$C$19,MATCH($C187,'TECNICOS'!$B$4:$B$19,0)),"")</f>
        <v/>
      </c>
      <c r="F187" s="3">
        <f>COUNTIFS('TECNICOS'!$F$4:$F$19,"SI",'TECNICOS'!$C$4:$C$19,$E187,'TECNICOS'!$D$4:$D$19,$D187)</f>
        <v/>
      </c>
      <c r="G187" s="3">
        <f>IF(OR($C187="",$A187="",$B187="domingo"),"",IF(IFERROR(INDEX('TECNICOS'!$F$4:$F$19,MATCH($C187,'TECNICOS'!$B$4:$B$19,0)),"NO")&lt;&gt;"SI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3">
        <f>IF(COUNTIFS('PLAN_VACACIONES'!$A$4:$A$103,$C187,'PLAN_VACACIONES'!$B$4:$B$103,"&lt;="&amp;$L187,'PLAN_VACACIONES'!$C$4:$C$103,"&gt;="&amp;$L187)&gt;0,"sí","no")</f>
        <v/>
      </c>
      <c r="I187" s="6" t="n"/>
      <c r="J187" s="3">
        <f>IF($I187&lt;&gt;"",$I187,IF($G187="","",IF($H187="sí","VAC",IF(LEFT($G187,1)="B","B",$G187))))</f>
        <v/>
      </c>
      <c r="K187" s="3">
        <f>IFERROR(INDEX('TECNICOS'!$E$4:$E$19,MATCH($C187,'TECNICOS'!$B$4:$B$19,0)),"")</f>
        <v/>
      </c>
      <c r="L187" s="12">
        <f>IF($A187="","",DATE(VALUE(LEFT($A187,4)),1,4)-WEEKDAY(DATE(VALUE(LEFT($A187,4)),1,4),2)+1+(VALUE(MID($A187,7,2))-1)*7+MATCH($B187,lista_dias,0)-1)</f>
        <v/>
      </c>
      <c r="M187" s="3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3">
        <f>$A187&amp;"|"&amp;$B187&amp;"|"&amp;$C187</f>
        <v/>
      </c>
      <c r="O187" s="3">
        <f>IFERROR(INDEX('CAT_TURNOS'!$C$4:$C$7,MATCH($J187,'CAT_TURNOS'!$A$4:$A$7,0)),"")</f>
        <v/>
      </c>
      <c r="P187" s="3">
        <f>IFERROR(INDEX('CAT_TURNOS'!$D$4:$D$7,MATCH($J187,'CAT_TURNOS'!$A$4:$A$7,0)),"")</f>
        <v/>
      </c>
      <c r="Q187" s="3">
        <f>IF(AND(LEFT($G187,1)="T",$H187="no"),"sí","no")</f>
        <v/>
      </c>
    </row>
    <row r="188">
      <c r="A188" s="3" t="inlineStr">
        <is>
          <t>2026-S30</t>
        </is>
      </c>
      <c r="B188" s="3" t="inlineStr">
        <is>
          <t>miércoles</t>
        </is>
      </c>
      <c r="C188" s="3" t="inlineStr">
        <is>
          <t>Técnico 11</t>
        </is>
      </c>
      <c r="D188" s="3">
        <f>IFERROR(INDEX('TECNICOS'!$D$4:$D$19,MATCH($C188,'TECNICOS'!$B$4:$B$19,0)),"")</f>
        <v/>
      </c>
      <c r="E188" s="3">
        <f>IFERROR(INDEX('TECNICOS'!$C$4:$C$19,MATCH($C188,'TECNICOS'!$B$4:$B$19,0)),"")</f>
        <v/>
      </c>
      <c r="F188" s="3">
        <f>COUNTIFS('TECNICOS'!$F$4:$F$19,"SI",'TECNICOS'!$C$4:$C$19,$E188,'TECNICOS'!$D$4:$D$19,$D188)</f>
        <v/>
      </c>
      <c r="G188" s="3">
        <f>IF(OR($C188="",$A188="",$B188="domingo"),"",IF(IFERROR(INDEX('TECNICOS'!$F$4:$F$19,MATCH($C188,'TECNICOS'!$B$4:$B$19,0)),"NO")&lt;&gt;"SI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3">
        <f>IF(COUNTIFS('PLAN_VACACIONES'!$A$4:$A$103,$C188,'PLAN_VACACIONES'!$B$4:$B$103,"&lt;="&amp;$L188,'PLAN_VACACIONES'!$C$4:$C$103,"&gt;="&amp;$L188)&gt;0,"sí","no")</f>
        <v/>
      </c>
      <c r="I188" s="6" t="n"/>
      <c r="J188" s="3">
        <f>IF($I188&lt;&gt;"",$I188,IF($G188="","",IF($H188="sí","VAC",IF(LEFT($G188,1)="B","B",$G188))))</f>
        <v/>
      </c>
      <c r="K188" s="3">
        <f>IFERROR(INDEX('TECNICOS'!$E$4:$E$19,MATCH($C188,'TECNICOS'!$B$4:$B$19,0)),"")</f>
        <v/>
      </c>
      <c r="L188" s="12">
        <f>IF($A188="","",DATE(VALUE(LEFT($A188,4)),1,4)-WEEKDAY(DATE(VALUE(LEFT($A188,4)),1,4),2)+1+(VALUE(MID($A188,7,2))-1)*7+MATCH($B188,lista_dias,0)-1)</f>
        <v/>
      </c>
      <c r="M188" s="3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3">
        <f>$A188&amp;"|"&amp;$B188&amp;"|"&amp;$C188</f>
        <v/>
      </c>
      <c r="O188" s="3">
        <f>IFERROR(INDEX('CAT_TURNOS'!$C$4:$C$7,MATCH($J188,'CAT_TURNOS'!$A$4:$A$7,0)),"")</f>
        <v/>
      </c>
      <c r="P188" s="3">
        <f>IFERROR(INDEX('CAT_TURNOS'!$D$4:$D$7,MATCH($J188,'CAT_TURNOS'!$A$4:$A$7,0)),"")</f>
        <v/>
      </c>
      <c r="Q188" s="3">
        <f>IF(AND(LEFT($G188,1)="T",$H188="no"),"sí","no")</f>
        <v/>
      </c>
    </row>
    <row r="189">
      <c r="A189" s="3" t="inlineStr">
        <is>
          <t>2026-S30</t>
        </is>
      </c>
      <c r="B189" s="3" t="inlineStr">
        <is>
          <t>jueves</t>
        </is>
      </c>
      <c r="C189" s="3" t="inlineStr">
        <is>
          <t>Técnico 11</t>
        </is>
      </c>
      <c r="D189" s="3">
        <f>IFERROR(INDEX('TECNICOS'!$D$4:$D$19,MATCH($C189,'TECNICOS'!$B$4:$B$19,0)),"")</f>
        <v/>
      </c>
      <c r="E189" s="3">
        <f>IFERROR(INDEX('TECNICOS'!$C$4:$C$19,MATCH($C189,'TECNICOS'!$B$4:$B$19,0)),"")</f>
        <v/>
      </c>
      <c r="F189" s="3">
        <f>COUNTIFS('TECNICOS'!$F$4:$F$19,"SI",'TECNICOS'!$C$4:$C$19,$E189,'TECNICOS'!$D$4:$D$19,$D189)</f>
        <v/>
      </c>
      <c r="G189" s="3">
        <f>IF(OR($C189="",$A189="",$B189="domingo"),"",IF(IFERROR(INDEX('TECNICOS'!$F$4:$F$19,MATCH($C189,'TECNICOS'!$B$4:$B$19,0)),"NO")&lt;&gt;"SI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3">
        <f>IF(COUNTIFS('PLAN_VACACIONES'!$A$4:$A$103,$C189,'PLAN_VACACIONES'!$B$4:$B$103,"&lt;="&amp;$L189,'PLAN_VACACIONES'!$C$4:$C$103,"&gt;="&amp;$L189)&gt;0,"sí","no")</f>
        <v/>
      </c>
      <c r="I189" s="6" t="n"/>
      <c r="J189" s="3">
        <f>IF($I189&lt;&gt;"",$I189,IF($G189="","",IF($H189="sí","VAC",IF(LEFT($G189,1)="B","B",$G189))))</f>
        <v/>
      </c>
      <c r="K189" s="3">
        <f>IFERROR(INDEX('TECNICOS'!$E$4:$E$19,MATCH($C189,'TECNICOS'!$B$4:$B$19,0)),"")</f>
        <v/>
      </c>
      <c r="L189" s="12">
        <f>IF($A189="","",DATE(VALUE(LEFT($A189,4)),1,4)-WEEKDAY(DATE(VALUE(LEFT($A189,4)),1,4),2)+1+(VALUE(MID($A189,7,2))-1)*7+MATCH($B189,lista_dias,0)-1)</f>
        <v/>
      </c>
      <c r="M189" s="3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3">
        <f>$A189&amp;"|"&amp;$B189&amp;"|"&amp;$C189</f>
        <v/>
      </c>
      <c r="O189" s="3">
        <f>IFERROR(INDEX('CAT_TURNOS'!$C$4:$C$7,MATCH($J189,'CAT_TURNOS'!$A$4:$A$7,0)),"")</f>
        <v/>
      </c>
      <c r="P189" s="3">
        <f>IFERROR(INDEX('CAT_TURNOS'!$D$4:$D$7,MATCH($J189,'CAT_TURNOS'!$A$4:$A$7,0)),"")</f>
        <v/>
      </c>
      <c r="Q189" s="3">
        <f>IF(AND(LEFT($G189,1)="T",$H189="no"),"sí","no")</f>
        <v/>
      </c>
    </row>
    <row r="190">
      <c r="A190" s="3" t="inlineStr">
        <is>
          <t>2026-S30</t>
        </is>
      </c>
      <c r="B190" s="3" t="inlineStr">
        <is>
          <t>viernes</t>
        </is>
      </c>
      <c r="C190" s="3" t="inlineStr">
        <is>
          <t>Técnico 11</t>
        </is>
      </c>
      <c r="D190" s="3">
        <f>IFERROR(INDEX('TECNICOS'!$D$4:$D$19,MATCH($C190,'TECNICOS'!$B$4:$B$19,0)),"")</f>
        <v/>
      </c>
      <c r="E190" s="3">
        <f>IFERROR(INDEX('TECNICOS'!$C$4:$C$19,MATCH($C190,'TECNICOS'!$B$4:$B$19,0)),"")</f>
        <v/>
      </c>
      <c r="F190" s="3">
        <f>COUNTIFS('TECNICOS'!$F$4:$F$19,"SI",'TECNICOS'!$C$4:$C$19,$E190,'TECNICOS'!$D$4:$D$19,$D190)</f>
        <v/>
      </c>
      <c r="G190" s="3">
        <f>IF(OR($C190="",$A190="",$B190="domingo"),"",IF(IFERROR(INDEX('TECNICOS'!$F$4:$F$19,MATCH($C190,'TECNICOS'!$B$4:$B$19,0)),"NO")&lt;&gt;"SI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3">
        <f>IF(COUNTIFS('PLAN_VACACIONES'!$A$4:$A$103,$C190,'PLAN_VACACIONES'!$B$4:$B$103,"&lt;="&amp;$L190,'PLAN_VACACIONES'!$C$4:$C$103,"&gt;="&amp;$L190)&gt;0,"sí","no")</f>
        <v/>
      </c>
      <c r="I190" s="6" t="n"/>
      <c r="J190" s="3">
        <f>IF($I190&lt;&gt;"",$I190,IF($G190="","",IF($H190="sí","VAC",IF(LEFT($G190,1)="B","B",$G190))))</f>
        <v/>
      </c>
      <c r="K190" s="3">
        <f>IFERROR(INDEX('TECNICOS'!$E$4:$E$19,MATCH($C190,'TECNICOS'!$B$4:$B$19,0)),"")</f>
        <v/>
      </c>
      <c r="L190" s="12">
        <f>IF($A190="","",DATE(VALUE(LEFT($A190,4)),1,4)-WEEKDAY(DATE(VALUE(LEFT($A190,4)),1,4),2)+1+(VALUE(MID($A190,7,2))-1)*7+MATCH($B190,lista_dias,0)-1)</f>
        <v/>
      </c>
      <c r="M190" s="3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3">
        <f>$A190&amp;"|"&amp;$B190&amp;"|"&amp;$C190</f>
        <v/>
      </c>
      <c r="O190" s="3">
        <f>IFERROR(INDEX('CAT_TURNOS'!$C$4:$C$7,MATCH($J190,'CAT_TURNOS'!$A$4:$A$7,0)),"")</f>
        <v/>
      </c>
      <c r="P190" s="3">
        <f>IFERROR(INDEX('CAT_TURNOS'!$D$4:$D$7,MATCH($J190,'CAT_TURNOS'!$A$4:$A$7,0)),"")</f>
        <v/>
      </c>
      <c r="Q190" s="3">
        <f>IF(AND(LEFT($G190,1)="T",$H190="no"),"sí","no")</f>
        <v/>
      </c>
    </row>
    <row r="191">
      <c r="A191" s="3" t="inlineStr">
        <is>
          <t>2026-S30</t>
        </is>
      </c>
      <c r="B191" s="3" t="inlineStr">
        <is>
          <t>sábado</t>
        </is>
      </c>
      <c r="C191" s="3" t="inlineStr">
        <is>
          <t>Técnico 11</t>
        </is>
      </c>
      <c r="D191" s="3">
        <f>IFERROR(INDEX('TECNICOS'!$D$4:$D$19,MATCH($C191,'TECNICOS'!$B$4:$B$19,0)),"")</f>
        <v/>
      </c>
      <c r="E191" s="3">
        <f>IFERROR(INDEX('TECNICOS'!$C$4:$C$19,MATCH($C191,'TECNICOS'!$B$4:$B$19,0)),"")</f>
        <v/>
      </c>
      <c r="F191" s="3">
        <f>COUNTIFS('TECNICOS'!$F$4:$F$19,"SI",'TECNICOS'!$C$4:$C$19,$E191,'TECNICOS'!$D$4:$D$19,$D191)</f>
        <v/>
      </c>
      <c r="G191" s="3">
        <f>IF(OR($C191="",$A191="",$B191="domingo"),"",IF(IFERROR(INDEX('TECNICOS'!$F$4:$F$19,MATCH($C191,'TECNICOS'!$B$4:$B$19,0)),"NO")&lt;&gt;"SI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3">
        <f>IF(COUNTIFS('PLAN_VACACIONES'!$A$4:$A$103,$C191,'PLAN_VACACIONES'!$B$4:$B$103,"&lt;="&amp;$L191,'PLAN_VACACIONES'!$C$4:$C$103,"&gt;="&amp;$L191)&gt;0,"sí","no")</f>
        <v/>
      </c>
      <c r="I191" s="6" t="n"/>
      <c r="J191" s="3">
        <f>IF($I191&lt;&gt;"",$I191,IF($G191="","",IF($H191="sí","VAC",IF(LEFT($G191,1)="B","B",$G191))))</f>
        <v/>
      </c>
      <c r="K191" s="3">
        <f>IFERROR(INDEX('TECNICOS'!$E$4:$E$19,MATCH($C191,'TECNICOS'!$B$4:$B$19,0)),"")</f>
        <v/>
      </c>
      <c r="L191" s="12">
        <f>IF($A191="","",DATE(VALUE(LEFT($A191,4)),1,4)-WEEKDAY(DATE(VALUE(LEFT($A191,4)),1,4),2)+1+(VALUE(MID($A191,7,2))-1)*7+MATCH($B191,lista_dias,0)-1)</f>
        <v/>
      </c>
      <c r="M191" s="3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3">
        <f>$A191&amp;"|"&amp;$B191&amp;"|"&amp;$C191</f>
        <v/>
      </c>
      <c r="O191" s="3">
        <f>IFERROR(INDEX('CAT_TURNOS'!$C$4:$C$7,MATCH($J191,'CAT_TURNOS'!$A$4:$A$7,0)),"")</f>
        <v/>
      </c>
      <c r="P191" s="3">
        <f>IFERROR(INDEX('CAT_TURNOS'!$D$4:$D$7,MATCH($J191,'CAT_TURNOS'!$A$4:$A$7,0)),"")</f>
        <v/>
      </c>
      <c r="Q191" s="3">
        <f>IF(AND(LEFT($G191,1)="T",$H191="no"),"sí","no")</f>
        <v/>
      </c>
    </row>
    <row r="192">
      <c r="A192" s="3" t="inlineStr">
        <is>
          <t>2026-S30</t>
        </is>
      </c>
      <c r="B192" s="3" t="inlineStr">
        <is>
          <t>domingo</t>
        </is>
      </c>
      <c r="C192" s="3" t="inlineStr">
        <is>
          <t>Técnico 11</t>
        </is>
      </c>
      <c r="D192" s="3">
        <f>IFERROR(INDEX('TECNICOS'!$D$4:$D$19,MATCH($C192,'TECNICOS'!$B$4:$B$19,0)),"")</f>
        <v/>
      </c>
      <c r="E192" s="3">
        <f>IFERROR(INDEX('TECNICOS'!$C$4:$C$19,MATCH($C192,'TECNICOS'!$B$4:$B$19,0)),"")</f>
        <v/>
      </c>
      <c r="F192" s="3">
        <f>COUNTIFS('TECNICOS'!$F$4:$F$19,"SI",'TECNICOS'!$C$4:$C$19,$E192,'TECNICOS'!$D$4:$D$19,$D192)</f>
        <v/>
      </c>
      <c r="G192" s="3">
        <f>IF(OR($C192="",$A192="",$B192="domingo"),"",IF(IFERROR(INDEX('TECNICOS'!$F$4:$F$19,MATCH($C192,'TECNICOS'!$B$4:$B$19,0)),"NO")&lt;&gt;"SI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3">
        <f>IF(COUNTIFS('PLAN_VACACIONES'!$A$4:$A$103,$C192,'PLAN_VACACIONES'!$B$4:$B$103,"&lt;="&amp;$L192,'PLAN_VACACIONES'!$C$4:$C$103,"&gt;="&amp;$L192)&gt;0,"sí","no")</f>
        <v/>
      </c>
      <c r="I192" s="6" t="n"/>
      <c r="J192" s="3">
        <f>IF($I192&lt;&gt;"",$I192,IF($G192="","",IF($H192="sí","VAC",IF(LEFT($G192,1)="B","B",$G192))))</f>
        <v/>
      </c>
      <c r="K192" s="3">
        <f>IFERROR(INDEX('TECNICOS'!$E$4:$E$19,MATCH($C192,'TECNICOS'!$B$4:$B$19,0)),"")</f>
        <v/>
      </c>
      <c r="L192" s="12">
        <f>IF($A192="","",DATE(VALUE(LEFT($A192,4)),1,4)-WEEKDAY(DATE(VALUE(LEFT($A192,4)),1,4),2)+1+(VALUE(MID($A192,7,2))-1)*7+MATCH($B192,lista_dias,0)-1)</f>
        <v/>
      </c>
      <c r="M192" s="3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3">
        <f>$A192&amp;"|"&amp;$B192&amp;"|"&amp;$C192</f>
        <v/>
      </c>
      <c r="O192" s="3">
        <f>IFERROR(INDEX('CAT_TURNOS'!$C$4:$C$7,MATCH($J192,'CAT_TURNOS'!$A$4:$A$7,0)),"")</f>
        <v/>
      </c>
      <c r="P192" s="3">
        <f>IFERROR(INDEX('CAT_TURNOS'!$D$4:$D$7,MATCH($J192,'CAT_TURNOS'!$A$4:$A$7,0)),"")</f>
        <v/>
      </c>
      <c r="Q192" s="3">
        <f>IF(AND(LEFT($G192,1)="T",$H192="no"),"sí","no")</f>
        <v/>
      </c>
    </row>
    <row r="193">
      <c r="A193" s="3" t="inlineStr">
        <is>
          <t>2026-S30</t>
        </is>
      </c>
      <c r="B193" s="3" t="inlineStr">
        <is>
          <t>lunes</t>
        </is>
      </c>
      <c r="C193" s="3" t="inlineStr">
        <is>
          <t>Técnico 12</t>
        </is>
      </c>
      <c r="D193" s="3">
        <f>IFERROR(INDEX('TECNICOS'!$D$4:$D$19,MATCH($C193,'TECNICOS'!$B$4:$B$19,0)),"")</f>
        <v/>
      </c>
      <c r="E193" s="3">
        <f>IFERROR(INDEX('TECNICOS'!$C$4:$C$19,MATCH($C193,'TECNICOS'!$B$4:$B$19,0)),"")</f>
        <v/>
      </c>
      <c r="F193" s="3">
        <f>COUNTIFS('TECNICOS'!$F$4:$F$19,"SI",'TECNICOS'!$C$4:$C$19,$E193,'TECNICOS'!$D$4:$D$19,$D193)</f>
        <v/>
      </c>
      <c r="G193" s="3">
        <f>IF(OR($C193="",$A193="",$B193="domingo"),"",IF(IFERROR(INDEX('TECNICOS'!$F$4:$F$19,MATCH($C193,'TECNICOS'!$B$4:$B$19,0)),"NO")&lt;&gt;"SI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3">
        <f>IF(COUNTIFS('PLAN_VACACIONES'!$A$4:$A$103,$C193,'PLAN_VACACIONES'!$B$4:$B$103,"&lt;="&amp;$L193,'PLAN_VACACIONES'!$C$4:$C$103,"&gt;="&amp;$L193)&gt;0,"sí","no")</f>
        <v/>
      </c>
      <c r="I193" s="6" t="n"/>
      <c r="J193" s="3">
        <f>IF($I193&lt;&gt;"",$I193,IF($G193="","",IF($H193="sí","VAC",IF(LEFT($G193,1)="B","B",$G193))))</f>
        <v/>
      </c>
      <c r="K193" s="3">
        <f>IFERROR(INDEX('TECNICOS'!$E$4:$E$19,MATCH($C193,'TECNICOS'!$B$4:$B$19,0)),"")</f>
        <v/>
      </c>
      <c r="L193" s="12">
        <f>IF($A193="","",DATE(VALUE(LEFT($A193,4)),1,4)-WEEKDAY(DATE(VALUE(LEFT($A193,4)),1,4),2)+1+(VALUE(MID($A193,7,2))-1)*7+MATCH($B193,lista_dias,0)-1)</f>
        <v/>
      </c>
      <c r="M193" s="3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3">
        <f>$A193&amp;"|"&amp;$B193&amp;"|"&amp;$C193</f>
        <v/>
      </c>
      <c r="O193" s="3">
        <f>IFERROR(INDEX('CAT_TURNOS'!$C$4:$C$7,MATCH($J193,'CAT_TURNOS'!$A$4:$A$7,0)),"")</f>
        <v/>
      </c>
      <c r="P193" s="3">
        <f>IFERROR(INDEX('CAT_TURNOS'!$D$4:$D$7,MATCH($J193,'CAT_TURNOS'!$A$4:$A$7,0)),"")</f>
        <v/>
      </c>
      <c r="Q193" s="3">
        <f>IF(AND(LEFT($G193,1)="T",$H193="no"),"sí","no")</f>
        <v/>
      </c>
    </row>
    <row r="194">
      <c r="A194" s="3" t="inlineStr">
        <is>
          <t>2026-S30</t>
        </is>
      </c>
      <c r="B194" s="3" t="inlineStr">
        <is>
          <t>martes</t>
        </is>
      </c>
      <c r="C194" s="3" t="inlineStr">
        <is>
          <t>Técnico 12</t>
        </is>
      </c>
      <c r="D194" s="3">
        <f>IFERROR(INDEX('TECNICOS'!$D$4:$D$19,MATCH($C194,'TECNICOS'!$B$4:$B$19,0)),"")</f>
        <v/>
      </c>
      <c r="E194" s="3">
        <f>IFERROR(INDEX('TECNICOS'!$C$4:$C$19,MATCH($C194,'TECNICOS'!$B$4:$B$19,0)),"")</f>
        <v/>
      </c>
      <c r="F194" s="3">
        <f>COUNTIFS('TECNICOS'!$F$4:$F$19,"SI",'TECNICOS'!$C$4:$C$19,$E194,'TECNICOS'!$D$4:$D$19,$D194)</f>
        <v/>
      </c>
      <c r="G194" s="3">
        <f>IF(OR($C194="",$A194="",$B194="domingo"),"",IF(IFERROR(INDEX('TECNICOS'!$F$4:$F$19,MATCH($C194,'TECNICOS'!$B$4:$B$19,0)),"NO")&lt;&gt;"SI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3">
        <f>IF(COUNTIFS('PLAN_VACACIONES'!$A$4:$A$103,$C194,'PLAN_VACACIONES'!$B$4:$B$103,"&lt;="&amp;$L194,'PLAN_VACACIONES'!$C$4:$C$103,"&gt;="&amp;$L194)&gt;0,"sí","no")</f>
        <v/>
      </c>
      <c r="I194" s="6" t="n"/>
      <c r="J194" s="3">
        <f>IF($I194&lt;&gt;"",$I194,IF($G194="","",IF($H194="sí","VAC",IF(LEFT($G194,1)="B","B",$G194))))</f>
        <v/>
      </c>
      <c r="K194" s="3">
        <f>IFERROR(INDEX('TECNICOS'!$E$4:$E$19,MATCH($C194,'TECNICOS'!$B$4:$B$19,0)),"")</f>
        <v/>
      </c>
      <c r="L194" s="12">
        <f>IF($A194="","",DATE(VALUE(LEFT($A194,4)),1,4)-WEEKDAY(DATE(VALUE(LEFT($A194,4)),1,4),2)+1+(VALUE(MID($A194,7,2))-1)*7+MATCH($B194,lista_dias,0)-1)</f>
        <v/>
      </c>
      <c r="M194" s="3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3">
        <f>$A194&amp;"|"&amp;$B194&amp;"|"&amp;$C194</f>
        <v/>
      </c>
      <c r="O194" s="3">
        <f>IFERROR(INDEX('CAT_TURNOS'!$C$4:$C$7,MATCH($J194,'CAT_TURNOS'!$A$4:$A$7,0)),"")</f>
        <v/>
      </c>
      <c r="P194" s="3">
        <f>IFERROR(INDEX('CAT_TURNOS'!$D$4:$D$7,MATCH($J194,'CAT_TURNOS'!$A$4:$A$7,0)),"")</f>
        <v/>
      </c>
      <c r="Q194" s="3">
        <f>IF(AND(LEFT($G194,1)="T",$H194="no"),"sí","no")</f>
        <v/>
      </c>
    </row>
    <row r="195">
      <c r="A195" s="3" t="inlineStr">
        <is>
          <t>2026-S30</t>
        </is>
      </c>
      <c r="B195" s="3" t="inlineStr">
        <is>
          <t>miércoles</t>
        </is>
      </c>
      <c r="C195" s="3" t="inlineStr">
        <is>
          <t>Técnico 12</t>
        </is>
      </c>
      <c r="D195" s="3">
        <f>IFERROR(INDEX('TECNICOS'!$D$4:$D$19,MATCH($C195,'TECNICOS'!$B$4:$B$19,0)),"")</f>
        <v/>
      </c>
      <c r="E195" s="3">
        <f>IFERROR(INDEX('TECNICOS'!$C$4:$C$19,MATCH($C195,'TECNICOS'!$B$4:$B$19,0)),"")</f>
        <v/>
      </c>
      <c r="F195" s="3">
        <f>COUNTIFS('TECNICOS'!$F$4:$F$19,"SI",'TECNICOS'!$C$4:$C$19,$E195,'TECNICOS'!$D$4:$D$19,$D195)</f>
        <v/>
      </c>
      <c r="G195" s="3">
        <f>IF(OR($C195="",$A195="",$B195="domingo"),"",IF(IFERROR(INDEX('TECNICOS'!$F$4:$F$19,MATCH($C195,'TECNICOS'!$B$4:$B$19,0)),"NO")&lt;&gt;"SI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3">
        <f>IF(COUNTIFS('PLAN_VACACIONES'!$A$4:$A$103,$C195,'PLAN_VACACIONES'!$B$4:$B$103,"&lt;="&amp;$L195,'PLAN_VACACIONES'!$C$4:$C$103,"&gt;="&amp;$L195)&gt;0,"sí","no")</f>
        <v/>
      </c>
      <c r="I195" s="6" t="n"/>
      <c r="J195" s="3">
        <f>IF($I195&lt;&gt;"",$I195,IF($G195="","",IF($H195="sí","VAC",IF(LEFT($G195,1)="B","B",$G195))))</f>
        <v/>
      </c>
      <c r="K195" s="3">
        <f>IFERROR(INDEX('TECNICOS'!$E$4:$E$19,MATCH($C195,'TECNICOS'!$B$4:$B$19,0)),"")</f>
        <v/>
      </c>
      <c r="L195" s="12">
        <f>IF($A195="","",DATE(VALUE(LEFT($A195,4)),1,4)-WEEKDAY(DATE(VALUE(LEFT($A195,4)),1,4),2)+1+(VALUE(MID($A195,7,2))-1)*7+MATCH($B195,lista_dias,0)-1)</f>
        <v/>
      </c>
      <c r="M195" s="3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3">
        <f>$A195&amp;"|"&amp;$B195&amp;"|"&amp;$C195</f>
        <v/>
      </c>
      <c r="O195" s="3">
        <f>IFERROR(INDEX('CAT_TURNOS'!$C$4:$C$7,MATCH($J195,'CAT_TURNOS'!$A$4:$A$7,0)),"")</f>
        <v/>
      </c>
      <c r="P195" s="3">
        <f>IFERROR(INDEX('CAT_TURNOS'!$D$4:$D$7,MATCH($J195,'CAT_TURNOS'!$A$4:$A$7,0)),"")</f>
        <v/>
      </c>
      <c r="Q195" s="3">
        <f>IF(AND(LEFT($G195,1)="T",$H195="no"),"sí","no")</f>
        <v/>
      </c>
    </row>
    <row r="196">
      <c r="A196" s="3" t="inlineStr">
        <is>
          <t>2026-S30</t>
        </is>
      </c>
      <c r="B196" s="3" t="inlineStr">
        <is>
          <t>jueves</t>
        </is>
      </c>
      <c r="C196" s="3" t="inlineStr">
        <is>
          <t>Técnico 12</t>
        </is>
      </c>
      <c r="D196" s="3">
        <f>IFERROR(INDEX('TECNICOS'!$D$4:$D$19,MATCH($C196,'TECNICOS'!$B$4:$B$19,0)),"")</f>
        <v/>
      </c>
      <c r="E196" s="3">
        <f>IFERROR(INDEX('TECNICOS'!$C$4:$C$19,MATCH($C196,'TECNICOS'!$B$4:$B$19,0)),"")</f>
        <v/>
      </c>
      <c r="F196" s="3">
        <f>COUNTIFS('TECNICOS'!$F$4:$F$19,"SI",'TECNICOS'!$C$4:$C$19,$E196,'TECNICOS'!$D$4:$D$19,$D196)</f>
        <v/>
      </c>
      <c r="G196" s="3">
        <f>IF(OR($C196="",$A196="",$B196="domingo"),"",IF(IFERROR(INDEX('TECNICOS'!$F$4:$F$19,MATCH($C196,'TECNICOS'!$B$4:$B$19,0)),"NO")&lt;&gt;"SI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3">
        <f>IF(COUNTIFS('PLAN_VACACIONES'!$A$4:$A$103,$C196,'PLAN_VACACIONES'!$B$4:$B$103,"&lt;="&amp;$L196,'PLAN_VACACIONES'!$C$4:$C$103,"&gt;="&amp;$L196)&gt;0,"sí","no")</f>
        <v/>
      </c>
      <c r="I196" s="6" t="n"/>
      <c r="J196" s="3">
        <f>IF($I196&lt;&gt;"",$I196,IF($G196="","",IF($H196="sí","VAC",IF(LEFT($G196,1)="B","B",$G196))))</f>
        <v/>
      </c>
      <c r="K196" s="3">
        <f>IFERROR(INDEX('TECNICOS'!$E$4:$E$19,MATCH($C196,'TECNICOS'!$B$4:$B$19,0)),"")</f>
        <v/>
      </c>
      <c r="L196" s="12">
        <f>IF($A196="","",DATE(VALUE(LEFT($A196,4)),1,4)-WEEKDAY(DATE(VALUE(LEFT($A196,4)),1,4),2)+1+(VALUE(MID($A196,7,2))-1)*7+MATCH($B196,lista_dias,0)-1)</f>
        <v/>
      </c>
      <c r="M196" s="3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3">
        <f>$A196&amp;"|"&amp;$B196&amp;"|"&amp;$C196</f>
        <v/>
      </c>
      <c r="O196" s="3">
        <f>IFERROR(INDEX('CAT_TURNOS'!$C$4:$C$7,MATCH($J196,'CAT_TURNOS'!$A$4:$A$7,0)),"")</f>
        <v/>
      </c>
      <c r="P196" s="3">
        <f>IFERROR(INDEX('CAT_TURNOS'!$D$4:$D$7,MATCH($J196,'CAT_TURNOS'!$A$4:$A$7,0)),"")</f>
        <v/>
      </c>
      <c r="Q196" s="3">
        <f>IF(AND(LEFT($G196,1)="T",$H196="no"),"sí","no")</f>
        <v/>
      </c>
    </row>
    <row r="197">
      <c r="A197" s="3" t="inlineStr">
        <is>
          <t>2026-S30</t>
        </is>
      </c>
      <c r="B197" s="3" t="inlineStr">
        <is>
          <t>viernes</t>
        </is>
      </c>
      <c r="C197" s="3" t="inlineStr">
        <is>
          <t>Técnico 12</t>
        </is>
      </c>
      <c r="D197" s="3">
        <f>IFERROR(INDEX('TECNICOS'!$D$4:$D$19,MATCH($C197,'TECNICOS'!$B$4:$B$19,0)),"")</f>
        <v/>
      </c>
      <c r="E197" s="3">
        <f>IFERROR(INDEX('TECNICOS'!$C$4:$C$19,MATCH($C197,'TECNICOS'!$B$4:$B$19,0)),"")</f>
        <v/>
      </c>
      <c r="F197" s="3">
        <f>COUNTIFS('TECNICOS'!$F$4:$F$19,"SI",'TECNICOS'!$C$4:$C$19,$E197,'TECNICOS'!$D$4:$D$19,$D197)</f>
        <v/>
      </c>
      <c r="G197" s="3">
        <f>IF(OR($C197="",$A197="",$B197="domingo"),"",IF(IFERROR(INDEX('TECNICOS'!$F$4:$F$19,MATCH($C197,'TECNICOS'!$B$4:$B$19,0)),"NO")&lt;&gt;"SI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3">
        <f>IF(COUNTIFS('PLAN_VACACIONES'!$A$4:$A$103,$C197,'PLAN_VACACIONES'!$B$4:$B$103,"&lt;="&amp;$L197,'PLAN_VACACIONES'!$C$4:$C$103,"&gt;="&amp;$L197)&gt;0,"sí","no")</f>
        <v/>
      </c>
      <c r="I197" s="6" t="n"/>
      <c r="J197" s="3">
        <f>IF($I197&lt;&gt;"",$I197,IF($G197="","",IF($H197="sí","VAC",IF(LEFT($G197,1)="B","B",$G197))))</f>
        <v/>
      </c>
      <c r="K197" s="3">
        <f>IFERROR(INDEX('TECNICOS'!$E$4:$E$19,MATCH($C197,'TECNICOS'!$B$4:$B$19,0)),"")</f>
        <v/>
      </c>
      <c r="L197" s="12">
        <f>IF($A197="","",DATE(VALUE(LEFT($A197,4)),1,4)-WEEKDAY(DATE(VALUE(LEFT($A197,4)),1,4),2)+1+(VALUE(MID($A197,7,2))-1)*7+MATCH($B197,lista_dias,0)-1)</f>
        <v/>
      </c>
      <c r="M197" s="3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3">
        <f>$A197&amp;"|"&amp;$B197&amp;"|"&amp;$C197</f>
        <v/>
      </c>
      <c r="O197" s="3">
        <f>IFERROR(INDEX('CAT_TURNOS'!$C$4:$C$7,MATCH($J197,'CAT_TURNOS'!$A$4:$A$7,0)),"")</f>
        <v/>
      </c>
      <c r="P197" s="3">
        <f>IFERROR(INDEX('CAT_TURNOS'!$D$4:$D$7,MATCH($J197,'CAT_TURNOS'!$A$4:$A$7,0)),"")</f>
        <v/>
      </c>
      <c r="Q197" s="3">
        <f>IF(AND(LEFT($G197,1)="T",$H197="no"),"sí","no")</f>
        <v/>
      </c>
    </row>
    <row r="198">
      <c r="A198" s="3" t="inlineStr">
        <is>
          <t>2026-S30</t>
        </is>
      </c>
      <c r="B198" s="3" t="inlineStr">
        <is>
          <t>sábado</t>
        </is>
      </c>
      <c r="C198" s="3" t="inlineStr">
        <is>
          <t>Técnico 12</t>
        </is>
      </c>
      <c r="D198" s="3">
        <f>IFERROR(INDEX('TECNICOS'!$D$4:$D$19,MATCH($C198,'TECNICOS'!$B$4:$B$19,0)),"")</f>
        <v/>
      </c>
      <c r="E198" s="3">
        <f>IFERROR(INDEX('TECNICOS'!$C$4:$C$19,MATCH($C198,'TECNICOS'!$B$4:$B$19,0)),"")</f>
        <v/>
      </c>
      <c r="F198" s="3">
        <f>COUNTIFS('TECNICOS'!$F$4:$F$19,"SI",'TECNICOS'!$C$4:$C$19,$E198,'TECNICOS'!$D$4:$D$19,$D198)</f>
        <v/>
      </c>
      <c r="G198" s="3">
        <f>IF(OR($C198="",$A198="",$B198="domingo"),"",IF(IFERROR(INDEX('TECNICOS'!$F$4:$F$19,MATCH($C198,'TECNICOS'!$B$4:$B$19,0)),"NO")&lt;&gt;"SI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3">
        <f>IF(COUNTIFS('PLAN_VACACIONES'!$A$4:$A$103,$C198,'PLAN_VACACIONES'!$B$4:$B$103,"&lt;="&amp;$L198,'PLAN_VACACIONES'!$C$4:$C$103,"&gt;="&amp;$L198)&gt;0,"sí","no")</f>
        <v/>
      </c>
      <c r="I198" s="6" t="n"/>
      <c r="J198" s="3">
        <f>IF($I198&lt;&gt;"",$I198,IF($G198="","",IF($H198="sí","VAC",IF(LEFT($G198,1)="B","B",$G198))))</f>
        <v/>
      </c>
      <c r="K198" s="3">
        <f>IFERROR(INDEX('TECNICOS'!$E$4:$E$19,MATCH($C198,'TECNICOS'!$B$4:$B$19,0)),"")</f>
        <v/>
      </c>
      <c r="L198" s="12">
        <f>IF($A198="","",DATE(VALUE(LEFT($A198,4)),1,4)-WEEKDAY(DATE(VALUE(LEFT($A198,4)),1,4),2)+1+(VALUE(MID($A198,7,2))-1)*7+MATCH($B198,lista_dias,0)-1)</f>
        <v/>
      </c>
      <c r="M198" s="3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3">
        <f>$A198&amp;"|"&amp;$B198&amp;"|"&amp;$C198</f>
        <v/>
      </c>
      <c r="O198" s="3">
        <f>IFERROR(INDEX('CAT_TURNOS'!$C$4:$C$7,MATCH($J198,'CAT_TURNOS'!$A$4:$A$7,0)),"")</f>
        <v/>
      </c>
      <c r="P198" s="3">
        <f>IFERROR(INDEX('CAT_TURNOS'!$D$4:$D$7,MATCH($J198,'CAT_TURNOS'!$A$4:$A$7,0)),"")</f>
        <v/>
      </c>
      <c r="Q198" s="3">
        <f>IF(AND(LEFT($G198,1)="T",$H198="no"),"sí","no")</f>
        <v/>
      </c>
    </row>
    <row r="199">
      <c r="A199" s="3" t="inlineStr">
        <is>
          <t>2026-S30</t>
        </is>
      </c>
      <c r="B199" s="3" t="inlineStr">
        <is>
          <t>domingo</t>
        </is>
      </c>
      <c r="C199" s="3" t="inlineStr">
        <is>
          <t>Técnico 12</t>
        </is>
      </c>
      <c r="D199" s="3">
        <f>IFERROR(INDEX('TECNICOS'!$D$4:$D$19,MATCH($C199,'TECNICOS'!$B$4:$B$19,0)),"")</f>
        <v/>
      </c>
      <c r="E199" s="3">
        <f>IFERROR(INDEX('TECNICOS'!$C$4:$C$19,MATCH($C199,'TECNICOS'!$B$4:$B$19,0)),"")</f>
        <v/>
      </c>
      <c r="F199" s="3">
        <f>COUNTIFS('TECNICOS'!$F$4:$F$19,"SI",'TECNICOS'!$C$4:$C$19,$E199,'TECNICOS'!$D$4:$D$19,$D199)</f>
        <v/>
      </c>
      <c r="G199" s="3">
        <f>IF(OR($C199="",$A199="",$B199="domingo"),"",IF(IFERROR(INDEX('TECNICOS'!$F$4:$F$19,MATCH($C199,'TECNICOS'!$B$4:$B$19,0)),"NO")&lt;&gt;"SI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3">
        <f>IF(COUNTIFS('PLAN_VACACIONES'!$A$4:$A$103,$C199,'PLAN_VACACIONES'!$B$4:$B$103,"&lt;="&amp;$L199,'PLAN_VACACIONES'!$C$4:$C$103,"&gt;="&amp;$L199)&gt;0,"sí","no")</f>
        <v/>
      </c>
      <c r="I199" s="6" t="n"/>
      <c r="J199" s="3">
        <f>IF($I199&lt;&gt;"",$I199,IF($G199="","",IF($H199="sí","VAC",IF(LEFT($G199,1)="B","B",$G199))))</f>
        <v/>
      </c>
      <c r="K199" s="3">
        <f>IFERROR(INDEX('TECNICOS'!$E$4:$E$19,MATCH($C199,'TECNICOS'!$B$4:$B$19,0)),"")</f>
        <v/>
      </c>
      <c r="L199" s="12">
        <f>IF($A199="","",DATE(VALUE(LEFT($A199,4)),1,4)-WEEKDAY(DATE(VALUE(LEFT($A199,4)),1,4),2)+1+(VALUE(MID($A199,7,2))-1)*7+MATCH($B199,lista_dias,0)-1)</f>
        <v/>
      </c>
      <c r="M199" s="3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3">
        <f>$A199&amp;"|"&amp;$B199&amp;"|"&amp;$C199</f>
        <v/>
      </c>
      <c r="O199" s="3">
        <f>IFERROR(INDEX('CAT_TURNOS'!$C$4:$C$7,MATCH($J199,'CAT_TURNOS'!$A$4:$A$7,0)),"")</f>
        <v/>
      </c>
      <c r="P199" s="3">
        <f>IFERROR(INDEX('CAT_TURNOS'!$D$4:$D$7,MATCH($J199,'CAT_TURNOS'!$A$4:$A$7,0)),"")</f>
        <v/>
      </c>
      <c r="Q199" s="3">
        <f>IF(AND(LEFT($G199,1)="T",$H199="no"),"sí","no")</f>
        <v/>
      </c>
    </row>
    <row r="200">
      <c r="A200" s="3" t="inlineStr">
        <is>
          <t>2026-S30</t>
        </is>
      </c>
      <c r="B200" s="3" t="inlineStr">
        <is>
          <t>lunes</t>
        </is>
      </c>
      <c r="C200" s="3" t="inlineStr">
        <is>
          <t>Técnico 13</t>
        </is>
      </c>
      <c r="D200" s="3">
        <f>IFERROR(INDEX('TECNICOS'!$D$4:$D$19,MATCH($C200,'TECNICOS'!$B$4:$B$19,0)),"")</f>
        <v/>
      </c>
      <c r="E200" s="3">
        <f>IFERROR(INDEX('TECNICOS'!$C$4:$C$19,MATCH($C200,'TECNICOS'!$B$4:$B$19,0)),"")</f>
        <v/>
      </c>
      <c r="F200" s="3">
        <f>COUNTIFS('TECNICOS'!$F$4:$F$19,"SI",'TECNICOS'!$C$4:$C$19,$E200,'TECNICOS'!$D$4:$D$19,$D200)</f>
        <v/>
      </c>
      <c r="G200" s="3">
        <f>IF(OR($C200="",$A200="",$B200="domingo"),"",IF(IFERROR(INDEX('TECNICOS'!$F$4:$F$19,MATCH($C200,'TECNICOS'!$B$4:$B$19,0)),"NO")&lt;&gt;"SI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3">
        <f>IF(COUNTIFS('PLAN_VACACIONES'!$A$4:$A$103,$C200,'PLAN_VACACIONES'!$B$4:$B$103,"&lt;="&amp;$L200,'PLAN_VACACIONES'!$C$4:$C$103,"&gt;="&amp;$L200)&gt;0,"sí","no")</f>
        <v/>
      </c>
      <c r="I200" s="6" t="n"/>
      <c r="J200" s="3">
        <f>IF($I200&lt;&gt;"",$I200,IF($G200="","",IF($H200="sí","VAC",IF(LEFT($G200,1)="B","B",$G200))))</f>
        <v/>
      </c>
      <c r="K200" s="3">
        <f>IFERROR(INDEX('TECNICOS'!$E$4:$E$19,MATCH($C200,'TECNICOS'!$B$4:$B$19,0)),"")</f>
        <v/>
      </c>
      <c r="L200" s="12">
        <f>IF($A200="","",DATE(VALUE(LEFT($A200,4)),1,4)-WEEKDAY(DATE(VALUE(LEFT($A200,4)),1,4),2)+1+(VALUE(MID($A200,7,2))-1)*7+MATCH($B200,lista_dias,0)-1)</f>
        <v/>
      </c>
      <c r="M200" s="3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3">
        <f>$A200&amp;"|"&amp;$B200&amp;"|"&amp;$C200</f>
        <v/>
      </c>
      <c r="O200" s="3">
        <f>IFERROR(INDEX('CAT_TURNOS'!$C$4:$C$7,MATCH($J200,'CAT_TURNOS'!$A$4:$A$7,0)),"")</f>
        <v/>
      </c>
      <c r="P200" s="3">
        <f>IFERROR(INDEX('CAT_TURNOS'!$D$4:$D$7,MATCH($J200,'CAT_TURNOS'!$A$4:$A$7,0)),"")</f>
        <v/>
      </c>
      <c r="Q200" s="3">
        <f>IF(AND(LEFT($G200,1)="T",$H200="no"),"sí","no")</f>
        <v/>
      </c>
    </row>
    <row r="201">
      <c r="A201" s="3" t="inlineStr">
        <is>
          <t>2026-S30</t>
        </is>
      </c>
      <c r="B201" s="3" t="inlineStr">
        <is>
          <t>martes</t>
        </is>
      </c>
      <c r="C201" s="3" t="inlineStr">
        <is>
          <t>Técnico 13</t>
        </is>
      </c>
      <c r="D201" s="3">
        <f>IFERROR(INDEX('TECNICOS'!$D$4:$D$19,MATCH($C201,'TECNICOS'!$B$4:$B$19,0)),"")</f>
        <v/>
      </c>
      <c r="E201" s="3">
        <f>IFERROR(INDEX('TECNICOS'!$C$4:$C$19,MATCH($C201,'TECNICOS'!$B$4:$B$19,0)),"")</f>
        <v/>
      </c>
      <c r="F201" s="3">
        <f>COUNTIFS('TECNICOS'!$F$4:$F$19,"SI",'TECNICOS'!$C$4:$C$19,$E201,'TECNICOS'!$D$4:$D$19,$D201)</f>
        <v/>
      </c>
      <c r="G201" s="3">
        <f>IF(OR($C201="",$A201="",$B201="domingo"),"",IF(IFERROR(INDEX('TECNICOS'!$F$4:$F$19,MATCH($C201,'TECNICOS'!$B$4:$B$19,0)),"NO")&lt;&gt;"SI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3">
        <f>IF(COUNTIFS('PLAN_VACACIONES'!$A$4:$A$103,$C201,'PLAN_VACACIONES'!$B$4:$B$103,"&lt;="&amp;$L201,'PLAN_VACACIONES'!$C$4:$C$103,"&gt;="&amp;$L201)&gt;0,"sí","no")</f>
        <v/>
      </c>
      <c r="I201" s="6" t="n"/>
      <c r="J201" s="3">
        <f>IF($I201&lt;&gt;"",$I201,IF($G201="","",IF($H201="sí","VAC",IF(LEFT($G201,1)="B","B",$G201))))</f>
        <v/>
      </c>
      <c r="K201" s="3">
        <f>IFERROR(INDEX('TECNICOS'!$E$4:$E$19,MATCH($C201,'TECNICOS'!$B$4:$B$19,0)),"")</f>
        <v/>
      </c>
      <c r="L201" s="12">
        <f>IF($A201="","",DATE(VALUE(LEFT($A201,4)),1,4)-WEEKDAY(DATE(VALUE(LEFT($A201,4)),1,4),2)+1+(VALUE(MID($A201,7,2))-1)*7+MATCH($B201,lista_dias,0)-1)</f>
        <v/>
      </c>
      <c r="M201" s="3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3">
        <f>$A201&amp;"|"&amp;$B201&amp;"|"&amp;$C201</f>
        <v/>
      </c>
      <c r="O201" s="3">
        <f>IFERROR(INDEX('CAT_TURNOS'!$C$4:$C$7,MATCH($J201,'CAT_TURNOS'!$A$4:$A$7,0)),"")</f>
        <v/>
      </c>
      <c r="P201" s="3">
        <f>IFERROR(INDEX('CAT_TURNOS'!$D$4:$D$7,MATCH($J201,'CAT_TURNOS'!$A$4:$A$7,0)),"")</f>
        <v/>
      </c>
      <c r="Q201" s="3">
        <f>IF(AND(LEFT($G201,1)="T",$H201="no"),"sí","no")</f>
        <v/>
      </c>
    </row>
    <row r="202">
      <c r="A202" s="3" t="inlineStr">
        <is>
          <t>2026-S30</t>
        </is>
      </c>
      <c r="B202" s="3" t="inlineStr">
        <is>
          <t>miércoles</t>
        </is>
      </c>
      <c r="C202" s="3" t="inlineStr">
        <is>
          <t>Técnico 13</t>
        </is>
      </c>
      <c r="D202" s="3">
        <f>IFERROR(INDEX('TECNICOS'!$D$4:$D$19,MATCH($C202,'TECNICOS'!$B$4:$B$19,0)),"")</f>
        <v/>
      </c>
      <c r="E202" s="3">
        <f>IFERROR(INDEX('TECNICOS'!$C$4:$C$19,MATCH($C202,'TECNICOS'!$B$4:$B$19,0)),"")</f>
        <v/>
      </c>
      <c r="F202" s="3">
        <f>COUNTIFS('TECNICOS'!$F$4:$F$19,"SI",'TECNICOS'!$C$4:$C$19,$E202,'TECNICOS'!$D$4:$D$19,$D202)</f>
        <v/>
      </c>
      <c r="G202" s="3">
        <f>IF(OR($C202="",$A202="",$B202="domingo"),"",IF(IFERROR(INDEX('TECNICOS'!$F$4:$F$19,MATCH($C202,'TECNICOS'!$B$4:$B$19,0)),"NO")&lt;&gt;"SI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3">
        <f>IF(COUNTIFS('PLAN_VACACIONES'!$A$4:$A$103,$C202,'PLAN_VACACIONES'!$B$4:$B$103,"&lt;="&amp;$L202,'PLAN_VACACIONES'!$C$4:$C$103,"&gt;="&amp;$L202)&gt;0,"sí","no")</f>
        <v/>
      </c>
      <c r="I202" s="6" t="n"/>
      <c r="J202" s="3">
        <f>IF($I202&lt;&gt;"",$I202,IF($G202="","",IF($H202="sí","VAC",IF(LEFT($G202,1)="B","B",$G202))))</f>
        <v/>
      </c>
      <c r="K202" s="3">
        <f>IFERROR(INDEX('TECNICOS'!$E$4:$E$19,MATCH($C202,'TECNICOS'!$B$4:$B$19,0)),"")</f>
        <v/>
      </c>
      <c r="L202" s="12">
        <f>IF($A202="","",DATE(VALUE(LEFT($A202,4)),1,4)-WEEKDAY(DATE(VALUE(LEFT($A202,4)),1,4),2)+1+(VALUE(MID($A202,7,2))-1)*7+MATCH($B202,lista_dias,0)-1)</f>
        <v/>
      </c>
      <c r="M202" s="3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3">
        <f>$A202&amp;"|"&amp;$B202&amp;"|"&amp;$C202</f>
        <v/>
      </c>
      <c r="O202" s="3">
        <f>IFERROR(INDEX('CAT_TURNOS'!$C$4:$C$7,MATCH($J202,'CAT_TURNOS'!$A$4:$A$7,0)),"")</f>
        <v/>
      </c>
      <c r="P202" s="3">
        <f>IFERROR(INDEX('CAT_TURNOS'!$D$4:$D$7,MATCH($J202,'CAT_TURNOS'!$A$4:$A$7,0)),"")</f>
        <v/>
      </c>
      <c r="Q202" s="3">
        <f>IF(AND(LEFT($G202,1)="T",$H202="no"),"sí","no")</f>
        <v/>
      </c>
    </row>
    <row r="203">
      <c r="A203" s="3" t="inlineStr">
        <is>
          <t>2026-S30</t>
        </is>
      </c>
      <c r="B203" s="3" t="inlineStr">
        <is>
          <t>jueves</t>
        </is>
      </c>
      <c r="C203" s="3" t="inlineStr">
        <is>
          <t>Técnico 13</t>
        </is>
      </c>
      <c r="D203" s="3">
        <f>IFERROR(INDEX('TECNICOS'!$D$4:$D$19,MATCH($C203,'TECNICOS'!$B$4:$B$19,0)),"")</f>
        <v/>
      </c>
      <c r="E203" s="3">
        <f>IFERROR(INDEX('TECNICOS'!$C$4:$C$19,MATCH($C203,'TECNICOS'!$B$4:$B$19,0)),"")</f>
        <v/>
      </c>
      <c r="F203" s="3">
        <f>COUNTIFS('TECNICOS'!$F$4:$F$19,"SI",'TECNICOS'!$C$4:$C$19,$E203,'TECNICOS'!$D$4:$D$19,$D203)</f>
        <v/>
      </c>
      <c r="G203" s="3">
        <f>IF(OR($C203="",$A203="",$B203="domingo"),"",IF(IFERROR(INDEX('TECNICOS'!$F$4:$F$19,MATCH($C203,'TECNICOS'!$B$4:$B$19,0)),"NO")&lt;&gt;"SI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3">
        <f>IF(COUNTIFS('PLAN_VACACIONES'!$A$4:$A$103,$C203,'PLAN_VACACIONES'!$B$4:$B$103,"&lt;="&amp;$L203,'PLAN_VACACIONES'!$C$4:$C$103,"&gt;="&amp;$L203)&gt;0,"sí","no")</f>
        <v/>
      </c>
      <c r="I203" s="6" t="n"/>
      <c r="J203" s="3">
        <f>IF($I203&lt;&gt;"",$I203,IF($G203="","",IF($H203="sí","VAC",IF(LEFT($G203,1)="B","B",$G203))))</f>
        <v/>
      </c>
      <c r="K203" s="3">
        <f>IFERROR(INDEX('TECNICOS'!$E$4:$E$19,MATCH($C203,'TECNICOS'!$B$4:$B$19,0)),"")</f>
        <v/>
      </c>
      <c r="L203" s="12">
        <f>IF($A203="","",DATE(VALUE(LEFT($A203,4)),1,4)-WEEKDAY(DATE(VALUE(LEFT($A203,4)),1,4),2)+1+(VALUE(MID($A203,7,2))-1)*7+MATCH($B203,lista_dias,0)-1)</f>
        <v/>
      </c>
      <c r="M203" s="3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3">
        <f>$A203&amp;"|"&amp;$B203&amp;"|"&amp;$C203</f>
        <v/>
      </c>
      <c r="O203" s="3">
        <f>IFERROR(INDEX('CAT_TURNOS'!$C$4:$C$7,MATCH($J203,'CAT_TURNOS'!$A$4:$A$7,0)),"")</f>
        <v/>
      </c>
      <c r="P203" s="3">
        <f>IFERROR(INDEX('CAT_TURNOS'!$D$4:$D$7,MATCH($J203,'CAT_TURNOS'!$A$4:$A$7,0)),"")</f>
        <v/>
      </c>
      <c r="Q203" s="3">
        <f>IF(AND(LEFT($G203,1)="T",$H203="no"),"sí","no")</f>
        <v/>
      </c>
    </row>
    <row r="204">
      <c r="A204" s="3" t="inlineStr">
        <is>
          <t>2026-S30</t>
        </is>
      </c>
      <c r="B204" s="3" t="inlineStr">
        <is>
          <t>viernes</t>
        </is>
      </c>
      <c r="C204" s="3" t="inlineStr">
        <is>
          <t>Técnico 13</t>
        </is>
      </c>
      <c r="D204" s="3">
        <f>IFERROR(INDEX('TECNICOS'!$D$4:$D$19,MATCH($C204,'TECNICOS'!$B$4:$B$19,0)),"")</f>
        <v/>
      </c>
      <c r="E204" s="3">
        <f>IFERROR(INDEX('TECNICOS'!$C$4:$C$19,MATCH($C204,'TECNICOS'!$B$4:$B$19,0)),"")</f>
        <v/>
      </c>
      <c r="F204" s="3">
        <f>COUNTIFS('TECNICOS'!$F$4:$F$19,"SI",'TECNICOS'!$C$4:$C$19,$E204,'TECNICOS'!$D$4:$D$19,$D204)</f>
        <v/>
      </c>
      <c r="G204" s="3">
        <f>IF(OR($C204="",$A204="",$B204="domingo"),"",IF(IFERROR(INDEX('TECNICOS'!$F$4:$F$19,MATCH($C204,'TECNICOS'!$B$4:$B$19,0)),"NO")&lt;&gt;"SI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3">
        <f>IF(COUNTIFS('PLAN_VACACIONES'!$A$4:$A$103,$C204,'PLAN_VACACIONES'!$B$4:$B$103,"&lt;="&amp;$L204,'PLAN_VACACIONES'!$C$4:$C$103,"&gt;="&amp;$L204)&gt;0,"sí","no")</f>
        <v/>
      </c>
      <c r="I204" s="6" t="n"/>
      <c r="J204" s="3">
        <f>IF($I204&lt;&gt;"",$I204,IF($G204="","",IF($H204="sí","VAC",IF(LEFT($G204,1)="B","B",$G204))))</f>
        <v/>
      </c>
      <c r="K204" s="3">
        <f>IFERROR(INDEX('TECNICOS'!$E$4:$E$19,MATCH($C204,'TECNICOS'!$B$4:$B$19,0)),"")</f>
        <v/>
      </c>
      <c r="L204" s="12">
        <f>IF($A204="","",DATE(VALUE(LEFT($A204,4)),1,4)-WEEKDAY(DATE(VALUE(LEFT($A204,4)),1,4),2)+1+(VALUE(MID($A204,7,2))-1)*7+MATCH($B204,lista_dias,0)-1)</f>
        <v/>
      </c>
      <c r="M204" s="3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3">
        <f>$A204&amp;"|"&amp;$B204&amp;"|"&amp;$C204</f>
        <v/>
      </c>
      <c r="O204" s="3">
        <f>IFERROR(INDEX('CAT_TURNOS'!$C$4:$C$7,MATCH($J204,'CAT_TURNOS'!$A$4:$A$7,0)),"")</f>
        <v/>
      </c>
      <c r="P204" s="3">
        <f>IFERROR(INDEX('CAT_TURNOS'!$D$4:$D$7,MATCH($J204,'CAT_TURNOS'!$A$4:$A$7,0)),"")</f>
        <v/>
      </c>
      <c r="Q204" s="3">
        <f>IF(AND(LEFT($G204,1)="T",$H204="no"),"sí","no")</f>
        <v/>
      </c>
    </row>
    <row r="205">
      <c r="A205" s="3" t="inlineStr">
        <is>
          <t>2026-S30</t>
        </is>
      </c>
      <c r="B205" s="3" t="inlineStr">
        <is>
          <t>sábado</t>
        </is>
      </c>
      <c r="C205" s="3" t="inlineStr">
        <is>
          <t>Técnico 13</t>
        </is>
      </c>
      <c r="D205" s="3">
        <f>IFERROR(INDEX('TECNICOS'!$D$4:$D$19,MATCH($C205,'TECNICOS'!$B$4:$B$19,0)),"")</f>
        <v/>
      </c>
      <c r="E205" s="3">
        <f>IFERROR(INDEX('TECNICOS'!$C$4:$C$19,MATCH($C205,'TECNICOS'!$B$4:$B$19,0)),"")</f>
        <v/>
      </c>
      <c r="F205" s="3">
        <f>COUNTIFS('TECNICOS'!$F$4:$F$19,"SI",'TECNICOS'!$C$4:$C$19,$E205,'TECNICOS'!$D$4:$D$19,$D205)</f>
        <v/>
      </c>
      <c r="G205" s="3">
        <f>IF(OR($C205="",$A205="",$B205="domingo"),"",IF(IFERROR(INDEX('TECNICOS'!$F$4:$F$19,MATCH($C205,'TECNICOS'!$B$4:$B$19,0)),"NO")&lt;&gt;"SI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3">
        <f>IF(COUNTIFS('PLAN_VACACIONES'!$A$4:$A$103,$C205,'PLAN_VACACIONES'!$B$4:$B$103,"&lt;="&amp;$L205,'PLAN_VACACIONES'!$C$4:$C$103,"&gt;="&amp;$L205)&gt;0,"sí","no")</f>
        <v/>
      </c>
      <c r="I205" s="6" t="n"/>
      <c r="J205" s="3">
        <f>IF($I205&lt;&gt;"",$I205,IF($G205="","",IF($H205="sí","VAC",IF(LEFT($G205,1)="B","B",$G205))))</f>
        <v/>
      </c>
      <c r="K205" s="3">
        <f>IFERROR(INDEX('TECNICOS'!$E$4:$E$19,MATCH($C205,'TECNICOS'!$B$4:$B$19,0)),"")</f>
        <v/>
      </c>
      <c r="L205" s="12">
        <f>IF($A205="","",DATE(VALUE(LEFT($A205,4)),1,4)-WEEKDAY(DATE(VALUE(LEFT($A205,4)),1,4),2)+1+(VALUE(MID($A205,7,2))-1)*7+MATCH($B205,lista_dias,0)-1)</f>
        <v/>
      </c>
      <c r="M205" s="3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3">
        <f>$A205&amp;"|"&amp;$B205&amp;"|"&amp;$C205</f>
        <v/>
      </c>
      <c r="O205" s="3">
        <f>IFERROR(INDEX('CAT_TURNOS'!$C$4:$C$7,MATCH($J205,'CAT_TURNOS'!$A$4:$A$7,0)),"")</f>
        <v/>
      </c>
      <c r="P205" s="3">
        <f>IFERROR(INDEX('CAT_TURNOS'!$D$4:$D$7,MATCH($J205,'CAT_TURNOS'!$A$4:$A$7,0)),"")</f>
        <v/>
      </c>
      <c r="Q205" s="3">
        <f>IF(AND(LEFT($G205,1)="T",$H205="no"),"sí","no")</f>
        <v/>
      </c>
    </row>
    <row r="206">
      <c r="A206" s="3" t="inlineStr">
        <is>
          <t>2026-S30</t>
        </is>
      </c>
      <c r="B206" s="3" t="inlineStr">
        <is>
          <t>domingo</t>
        </is>
      </c>
      <c r="C206" s="3" t="inlineStr">
        <is>
          <t>Técnico 13</t>
        </is>
      </c>
      <c r="D206" s="3">
        <f>IFERROR(INDEX('TECNICOS'!$D$4:$D$19,MATCH($C206,'TECNICOS'!$B$4:$B$19,0)),"")</f>
        <v/>
      </c>
      <c r="E206" s="3">
        <f>IFERROR(INDEX('TECNICOS'!$C$4:$C$19,MATCH($C206,'TECNICOS'!$B$4:$B$19,0)),"")</f>
        <v/>
      </c>
      <c r="F206" s="3">
        <f>COUNTIFS('TECNICOS'!$F$4:$F$19,"SI",'TECNICOS'!$C$4:$C$19,$E206,'TECNICOS'!$D$4:$D$19,$D206)</f>
        <v/>
      </c>
      <c r="G206" s="3">
        <f>IF(OR($C206="",$A206="",$B206="domingo"),"",IF(IFERROR(INDEX('TECNICOS'!$F$4:$F$19,MATCH($C206,'TECNICOS'!$B$4:$B$19,0)),"NO")&lt;&gt;"SI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3">
        <f>IF(COUNTIFS('PLAN_VACACIONES'!$A$4:$A$103,$C206,'PLAN_VACACIONES'!$B$4:$B$103,"&lt;="&amp;$L206,'PLAN_VACACIONES'!$C$4:$C$103,"&gt;="&amp;$L206)&gt;0,"sí","no")</f>
        <v/>
      </c>
      <c r="I206" s="6" t="n"/>
      <c r="J206" s="3">
        <f>IF($I206&lt;&gt;"",$I206,IF($G206="","",IF($H206="sí","VAC",IF(LEFT($G206,1)="B","B",$G206))))</f>
        <v/>
      </c>
      <c r="K206" s="3">
        <f>IFERROR(INDEX('TECNICOS'!$E$4:$E$19,MATCH($C206,'TECNICOS'!$B$4:$B$19,0)),"")</f>
        <v/>
      </c>
      <c r="L206" s="12">
        <f>IF($A206="","",DATE(VALUE(LEFT($A206,4)),1,4)-WEEKDAY(DATE(VALUE(LEFT($A206,4)),1,4),2)+1+(VALUE(MID($A206,7,2))-1)*7+MATCH($B206,lista_dias,0)-1)</f>
        <v/>
      </c>
      <c r="M206" s="3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3">
        <f>$A206&amp;"|"&amp;$B206&amp;"|"&amp;$C206</f>
        <v/>
      </c>
      <c r="O206" s="3">
        <f>IFERROR(INDEX('CAT_TURNOS'!$C$4:$C$7,MATCH($J206,'CAT_TURNOS'!$A$4:$A$7,0)),"")</f>
        <v/>
      </c>
      <c r="P206" s="3">
        <f>IFERROR(INDEX('CAT_TURNOS'!$D$4:$D$7,MATCH($J206,'CAT_TURNOS'!$A$4:$A$7,0)),"")</f>
        <v/>
      </c>
      <c r="Q206" s="3">
        <f>IF(AND(LEFT($G206,1)="T",$H206="no"),"sí","no")</f>
        <v/>
      </c>
    </row>
    <row r="207">
      <c r="A207" s="3" t="inlineStr">
        <is>
          <t>2026-S30</t>
        </is>
      </c>
      <c r="B207" s="3" t="inlineStr">
        <is>
          <t>lunes</t>
        </is>
      </c>
      <c r="C207" s="3" t="inlineStr">
        <is>
          <t>Técnico 14</t>
        </is>
      </c>
      <c r="D207" s="3">
        <f>IFERROR(INDEX('TECNICOS'!$D$4:$D$19,MATCH($C207,'TECNICOS'!$B$4:$B$19,0)),"")</f>
        <v/>
      </c>
      <c r="E207" s="3">
        <f>IFERROR(INDEX('TECNICOS'!$C$4:$C$19,MATCH($C207,'TECNICOS'!$B$4:$B$19,0)),"")</f>
        <v/>
      </c>
      <c r="F207" s="3">
        <f>COUNTIFS('TECNICOS'!$F$4:$F$19,"SI",'TECNICOS'!$C$4:$C$19,$E207,'TECNICOS'!$D$4:$D$19,$D207)</f>
        <v/>
      </c>
      <c r="G207" s="3">
        <f>IF(OR($C207="",$A207="",$B207="domingo"),"",IF(IFERROR(INDEX('TECNICOS'!$F$4:$F$19,MATCH($C207,'TECNICOS'!$B$4:$B$19,0)),"NO")&lt;&gt;"SI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3">
        <f>IF(COUNTIFS('PLAN_VACACIONES'!$A$4:$A$103,$C207,'PLAN_VACACIONES'!$B$4:$B$103,"&lt;="&amp;$L207,'PLAN_VACACIONES'!$C$4:$C$103,"&gt;="&amp;$L207)&gt;0,"sí","no")</f>
        <v/>
      </c>
      <c r="I207" s="6" t="n"/>
      <c r="J207" s="3">
        <f>IF($I207&lt;&gt;"",$I207,IF($G207="","",IF($H207="sí","VAC",IF(LEFT($G207,1)="B","B",$G207))))</f>
        <v/>
      </c>
      <c r="K207" s="3">
        <f>IFERROR(INDEX('TECNICOS'!$E$4:$E$19,MATCH($C207,'TECNICOS'!$B$4:$B$19,0)),"")</f>
        <v/>
      </c>
      <c r="L207" s="12">
        <f>IF($A207="","",DATE(VALUE(LEFT($A207,4)),1,4)-WEEKDAY(DATE(VALUE(LEFT($A207,4)),1,4),2)+1+(VALUE(MID($A207,7,2))-1)*7+MATCH($B207,lista_dias,0)-1)</f>
        <v/>
      </c>
      <c r="M207" s="3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3">
        <f>$A207&amp;"|"&amp;$B207&amp;"|"&amp;$C207</f>
        <v/>
      </c>
      <c r="O207" s="3">
        <f>IFERROR(INDEX('CAT_TURNOS'!$C$4:$C$7,MATCH($J207,'CAT_TURNOS'!$A$4:$A$7,0)),"")</f>
        <v/>
      </c>
      <c r="P207" s="3">
        <f>IFERROR(INDEX('CAT_TURNOS'!$D$4:$D$7,MATCH($J207,'CAT_TURNOS'!$A$4:$A$7,0)),"")</f>
        <v/>
      </c>
      <c r="Q207" s="3">
        <f>IF(AND(LEFT($G207,1)="T",$H207="no"),"sí","no")</f>
        <v/>
      </c>
    </row>
    <row r="208">
      <c r="A208" s="3" t="inlineStr">
        <is>
          <t>2026-S30</t>
        </is>
      </c>
      <c r="B208" s="3" t="inlineStr">
        <is>
          <t>martes</t>
        </is>
      </c>
      <c r="C208" s="3" t="inlineStr">
        <is>
          <t>Técnico 14</t>
        </is>
      </c>
      <c r="D208" s="3">
        <f>IFERROR(INDEX('TECNICOS'!$D$4:$D$19,MATCH($C208,'TECNICOS'!$B$4:$B$19,0)),"")</f>
        <v/>
      </c>
      <c r="E208" s="3">
        <f>IFERROR(INDEX('TECNICOS'!$C$4:$C$19,MATCH($C208,'TECNICOS'!$B$4:$B$19,0)),"")</f>
        <v/>
      </c>
      <c r="F208" s="3">
        <f>COUNTIFS('TECNICOS'!$F$4:$F$19,"SI",'TECNICOS'!$C$4:$C$19,$E208,'TECNICOS'!$D$4:$D$19,$D208)</f>
        <v/>
      </c>
      <c r="G208" s="3">
        <f>IF(OR($C208="",$A208="",$B208="domingo"),"",IF(IFERROR(INDEX('TECNICOS'!$F$4:$F$19,MATCH($C208,'TECNICOS'!$B$4:$B$19,0)),"NO")&lt;&gt;"SI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3">
        <f>IF(COUNTIFS('PLAN_VACACIONES'!$A$4:$A$103,$C208,'PLAN_VACACIONES'!$B$4:$B$103,"&lt;="&amp;$L208,'PLAN_VACACIONES'!$C$4:$C$103,"&gt;="&amp;$L208)&gt;0,"sí","no")</f>
        <v/>
      </c>
      <c r="I208" s="6" t="n"/>
      <c r="J208" s="3">
        <f>IF($I208&lt;&gt;"",$I208,IF($G208="","",IF($H208="sí","VAC",IF(LEFT($G208,1)="B","B",$G208))))</f>
        <v/>
      </c>
      <c r="K208" s="3">
        <f>IFERROR(INDEX('TECNICOS'!$E$4:$E$19,MATCH($C208,'TECNICOS'!$B$4:$B$19,0)),"")</f>
        <v/>
      </c>
      <c r="L208" s="12">
        <f>IF($A208="","",DATE(VALUE(LEFT($A208,4)),1,4)-WEEKDAY(DATE(VALUE(LEFT($A208,4)),1,4),2)+1+(VALUE(MID($A208,7,2))-1)*7+MATCH($B208,lista_dias,0)-1)</f>
        <v/>
      </c>
      <c r="M208" s="3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3">
        <f>$A208&amp;"|"&amp;$B208&amp;"|"&amp;$C208</f>
        <v/>
      </c>
      <c r="O208" s="3">
        <f>IFERROR(INDEX('CAT_TURNOS'!$C$4:$C$7,MATCH($J208,'CAT_TURNOS'!$A$4:$A$7,0)),"")</f>
        <v/>
      </c>
      <c r="P208" s="3">
        <f>IFERROR(INDEX('CAT_TURNOS'!$D$4:$D$7,MATCH($J208,'CAT_TURNOS'!$A$4:$A$7,0)),"")</f>
        <v/>
      </c>
      <c r="Q208" s="3">
        <f>IF(AND(LEFT($G208,1)="T",$H208="no"),"sí","no")</f>
        <v/>
      </c>
    </row>
    <row r="209">
      <c r="A209" s="3" t="inlineStr">
        <is>
          <t>2026-S30</t>
        </is>
      </c>
      <c r="B209" s="3" t="inlineStr">
        <is>
          <t>miércoles</t>
        </is>
      </c>
      <c r="C209" s="3" t="inlineStr">
        <is>
          <t>Técnico 14</t>
        </is>
      </c>
      <c r="D209" s="3">
        <f>IFERROR(INDEX('TECNICOS'!$D$4:$D$19,MATCH($C209,'TECNICOS'!$B$4:$B$19,0)),"")</f>
        <v/>
      </c>
      <c r="E209" s="3">
        <f>IFERROR(INDEX('TECNICOS'!$C$4:$C$19,MATCH($C209,'TECNICOS'!$B$4:$B$19,0)),"")</f>
        <v/>
      </c>
      <c r="F209" s="3">
        <f>COUNTIFS('TECNICOS'!$F$4:$F$19,"SI",'TECNICOS'!$C$4:$C$19,$E209,'TECNICOS'!$D$4:$D$19,$D209)</f>
        <v/>
      </c>
      <c r="G209" s="3">
        <f>IF(OR($C209="",$A209="",$B209="domingo"),"",IF(IFERROR(INDEX('TECNICOS'!$F$4:$F$19,MATCH($C209,'TECNICOS'!$B$4:$B$19,0)),"NO")&lt;&gt;"SI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3">
        <f>IF(COUNTIFS('PLAN_VACACIONES'!$A$4:$A$103,$C209,'PLAN_VACACIONES'!$B$4:$B$103,"&lt;="&amp;$L209,'PLAN_VACACIONES'!$C$4:$C$103,"&gt;="&amp;$L209)&gt;0,"sí","no")</f>
        <v/>
      </c>
      <c r="I209" s="6" t="n"/>
      <c r="J209" s="3">
        <f>IF($I209&lt;&gt;"",$I209,IF($G209="","",IF($H209="sí","VAC",IF(LEFT($G209,1)="B","B",$G209))))</f>
        <v/>
      </c>
      <c r="K209" s="3">
        <f>IFERROR(INDEX('TECNICOS'!$E$4:$E$19,MATCH($C209,'TECNICOS'!$B$4:$B$19,0)),"")</f>
        <v/>
      </c>
      <c r="L209" s="12">
        <f>IF($A209="","",DATE(VALUE(LEFT($A209,4)),1,4)-WEEKDAY(DATE(VALUE(LEFT($A209,4)),1,4),2)+1+(VALUE(MID($A209,7,2))-1)*7+MATCH($B209,lista_dias,0)-1)</f>
        <v/>
      </c>
      <c r="M209" s="3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3">
        <f>$A209&amp;"|"&amp;$B209&amp;"|"&amp;$C209</f>
        <v/>
      </c>
      <c r="O209" s="3">
        <f>IFERROR(INDEX('CAT_TURNOS'!$C$4:$C$7,MATCH($J209,'CAT_TURNOS'!$A$4:$A$7,0)),"")</f>
        <v/>
      </c>
      <c r="P209" s="3">
        <f>IFERROR(INDEX('CAT_TURNOS'!$D$4:$D$7,MATCH($J209,'CAT_TURNOS'!$A$4:$A$7,0)),"")</f>
        <v/>
      </c>
      <c r="Q209" s="3">
        <f>IF(AND(LEFT($G209,1)="T",$H209="no"),"sí","no")</f>
        <v/>
      </c>
    </row>
    <row r="210">
      <c r="A210" s="3" t="inlineStr">
        <is>
          <t>2026-S30</t>
        </is>
      </c>
      <c r="B210" s="3" t="inlineStr">
        <is>
          <t>jueves</t>
        </is>
      </c>
      <c r="C210" s="3" t="inlineStr">
        <is>
          <t>Técnico 14</t>
        </is>
      </c>
      <c r="D210" s="3">
        <f>IFERROR(INDEX('TECNICOS'!$D$4:$D$19,MATCH($C210,'TECNICOS'!$B$4:$B$19,0)),"")</f>
        <v/>
      </c>
      <c r="E210" s="3">
        <f>IFERROR(INDEX('TECNICOS'!$C$4:$C$19,MATCH($C210,'TECNICOS'!$B$4:$B$19,0)),"")</f>
        <v/>
      </c>
      <c r="F210" s="3">
        <f>COUNTIFS('TECNICOS'!$F$4:$F$19,"SI",'TECNICOS'!$C$4:$C$19,$E210,'TECNICOS'!$D$4:$D$19,$D210)</f>
        <v/>
      </c>
      <c r="G210" s="3">
        <f>IF(OR($C210="",$A210="",$B210="domingo"),"",IF(IFERROR(INDEX('TECNICOS'!$F$4:$F$19,MATCH($C210,'TECNICOS'!$B$4:$B$19,0)),"NO")&lt;&gt;"SI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3">
        <f>IF(COUNTIFS('PLAN_VACACIONES'!$A$4:$A$103,$C210,'PLAN_VACACIONES'!$B$4:$B$103,"&lt;="&amp;$L210,'PLAN_VACACIONES'!$C$4:$C$103,"&gt;="&amp;$L210)&gt;0,"sí","no")</f>
        <v/>
      </c>
      <c r="I210" s="6" t="n"/>
      <c r="J210" s="3">
        <f>IF($I210&lt;&gt;"",$I210,IF($G210="","",IF($H210="sí","VAC",IF(LEFT($G210,1)="B","B",$G210))))</f>
        <v/>
      </c>
      <c r="K210" s="3">
        <f>IFERROR(INDEX('TECNICOS'!$E$4:$E$19,MATCH($C210,'TECNICOS'!$B$4:$B$19,0)),"")</f>
        <v/>
      </c>
      <c r="L210" s="12">
        <f>IF($A210="","",DATE(VALUE(LEFT($A210,4)),1,4)-WEEKDAY(DATE(VALUE(LEFT($A210,4)),1,4),2)+1+(VALUE(MID($A210,7,2))-1)*7+MATCH($B210,lista_dias,0)-1)</f>
        <v/>
      </c>
      <c r="M210" s="3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3">
        <f>$A210&amp;"|"&amp;$B210&amp;"|"&amp;$C210</f>
        <v/>
      </c>
      <c r="O210" s="3">
        <f>IFERROR(INDEX('CAT_TURNOS'!$C$4:$C$7,MATCH($J210,'CAT_TURNOS'!$A$4:$A$7,0)),"")</f>
        <v/>
      </c>
      <c r="P210" s="3">
        <f>IFERROR(INDEX('CAT_TURNOS'!$D$4:$D$7,MATCH($J210,'CAT_TURNOS'!$A$4:$A$7,0)),"")</f>
        <v/>
      </c>
      <c r="Q210" s="3">
        <f>IF(AND(LEFT($G210,1)="T",$H210="no"),"sí","no")</f>
        <v/>
      </c>
    </row>
    <row r="211">
      <c r="A211" s="3" t="inlineStr">
        <is>
          <t>2026-S30</t>
        </is>
      </c>
      <c r="B211" s="3" t="inlineStr">
        <is>
          <t>viernes</t>
        </is>
      </c>
      <c r="C211" s="3" t="inlineStr">
        <is>
          <t>Técnico 14</t>
        </is>
      </c>
      <c r="D211" s="3">
        <f>IFERROR(INDEX('TECNICOS'!$D$4:$D$19,MATCH($C211,'TECNICOS'!$B$4:$B$19,0)),"")</f>
        <v/>
      </c>
      <c r="E211" s="3">
        <f>IFERROR(INDEX('TECNICOS'!$C$4:$C$19,MATCH($C211,'TECNICOS'!$B$4:$B$19,0)),"")</f>
        <v/>
      </c>
      <c r="F211" s="3">
        <f>COUNTIFS('TECNICOS'!$F$4:$F$19,"SI",'TECNICOS'!$C$4:$C$19,$E211,'TECNICOS'!$D$4:$D$19,$D211)</f>
        <v/>
      </c>
      <c r="G211" s="3">
        <f>IF(OR($C211="",$A211="",$B211="domingo"),"",IF(IFERROR(INDEX('TECNICOS'!$F$4:$F$19,MATCH($C211,'TECNICOS'!$B$4:$B$19,0)),"NO")&lt;&gt;"SI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3">
        <f>IF(COUNTIFS('PLAN_VACACIONES'!$A$4:$A$103,$C211,'PLAN_VACACIONES'!$B$4:$B$103,"&lt;="&amp;$L211,'PLAN_VACACIONES'!$C$4:$C$103,"&gt;="&amp;$L211)&gt;0,"sí","no")</f>
        <v/>
      </c>
      <c r="I211" s="6" t="n"/>
      <c r="J211" s="3">
        <f>IF($I211&lt;&gt;"",$I211,IF($G211="","",IF($H211="sí","VAC",IF(LEFT($G211,1)="B","B",$G211))))</f>
        <v/>
      </c>
      <c r="K211" s="3">
        <f>IFERROR(INDEX('TECNICOS'!$E$4:$E$19,MATCH($C211,'TECNICOS'!$B$4:$B$19,0)),"")</f>
        <v/>
      </c>
      <c r="L211" s="12">
        <f>IF($A211="","",DATE(VALUE(LEFT($A211,4)),1,4)-WEEKDAY(DATE(VALUE(LEFT($A211,4)),1,4),2)+1+(VALUE(MID($A211,7,2))-1)*7+MATCH($B211,lista_dias,0)-1)</f>
        <v/>
      </c>
      <c r="M211" s="3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3">
        <f>$A211&amp;"|"&amp;$B211&amp;"|"&amp;$C211</f>
        <v/>
      </c>
      <c r="O211" s="3">
        <f>IFERROR(INDEX('CAT_TURNOS'!$C$4:$C$7,MATCH($J211,'CAT_TURNOS'!$A$4:$A$7,0)),"")</f>
        <v/>
      </c>
      <c r="P211" s="3">
        <f>IFERROR(INDEX('CAT_TURNOS'!$D$4:$D$7,MATCH($J211,'CAT_TURNOS'!$A$4:$A$7,0)),"")</f>
        <v/>
      </c>
      <c r="Q211" s="3">
        <f>IF(AND(LEFT($G211,1)="T",$H211="no"),"sí","no")</f>
        <v/>
      </c>
    </row>
    <row r="212">
      <c r="A212" s="3" t="inlineStr">
        <is>
          <t>2026-S30</t>
        </is>
      </c>
      <c r="B212" s="3" t="inlineStr">
        <is>
          <t>sábado</t>
        </is>
      </c>
      <c r="C212" s="3" t="inlineStr">
        <is>
          <t>Técnico 14</t>
        </is>
      </c>
      <c r="D212" s="3">
        <f>IFERROR(INDEX('TECNICOS'!$D$4:$D$19,MATCH($C212,'TECNICOS'!$B$4:$B$19,0)),"")</f>
        <v/>
      </c>
      <c r="E212" s="3">
        <f>IFERROR(INDEX('TECNICOS'!$C$4:$C$19,MATCH($C212,'TECNICOS'!$B$4:$B$19,0)),"")</f>
        <v/>
      </c>
      <c r="F212" s="3">
        <f>COUNTIFS('TECNICOS'!$F$4:$F$19,"SI",'TECNICOS'!$C$4:$C$19,$E212,'TECNICOS'!$D$4:$D$19,$D212)</f>
        <v/>
      </c>
      <c r="G212" s="3">
        <f>IF(OR($C212="",$A212="",$B212="domingo"),"",IF(IFERROR(INDEX('TECNICOS'!$F$4:$F$19,MATCH($C212,'TECNICOS'!$B$4:$B$19,0)),"NO")&lt;&gt;"SI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3">
        <f>IF(COUNTIFS('PLAN_VACACIONES'!$A$4:$A$103,$C212,'PLAN_VACACIONES'!$B$4:$B$103,"&lt;="&amp;$L212,'PLAN_VACACIONES'!$C$4:$C$103,"&gt;="&amp;$L212)&gt;0,"sí","no")</f>
        <v/>
      </c>
      <c r="I212" s="6" t="n"/>
      <c r="J212" s="3">
        <f>IF($I212&lt;&gt;"",$I212,IF($G212="","",IF($H212="sí","VAC",IF(LEFT($G212,1)="B","B",$G212))))</f>
        <v/>
      </c>
      <c r="K212" s="3">
        <f>IFERROR(INDEX('TECNICOS'!$E$4:$E$19,MATCH($C212,'TECNICOS'!$B$4:$B$19,0)),"")</f>
        <v/>
      </c>
      <c r="L212" s="12">
        <f>IF($A212="","",DATE(VALUE(LEFT($A212,4)),1,4)-WEEKDAY(DATE(VALUE(LEFT($A212,4)),1,4),2)+1+(VALUE(MID($A212,7,2))-1)*7+MATCH($B212,lista_dias,0)-1)</f>
        <v/>
      </c>
      <c r="M212" s="3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3">
        <f>$A212&amp;"|"&amp;$B212&amp;"|"&amp;$C212</f>
        <v/>
      </c>
      <c r="O212" s="3">
        <f>IFERROR(INDEX('CAT_TURNOS'!$C$4:$C$7,MATCH($J212,'CAT_TURNOS'!$A$4:$A$7,0)),"")</f>
        <v/>
      </c>
      <c r="P212" s="3">
        <f>IFERROR(INDEX('CAT_TURNOS'!$D$4:$D$7,MATCH($J212,'CAT_TURNOS'!$A$4:$A$7,0)),"")</f>
        <v/>
      </c>
      <c r="Q212" s="3">
        <f>IF(AND(LEFT($G212,1)="T",$H212="no"),"sí","no")</f>
        <v/>
      </c>
    </row>
    <row r="213">
      <c r="A213" s="3" t="inlineStr">
        <is>
          <t>2026-S30</t>
        </is>
      </c>
      <c r="B213" s="3" t="inlineStr">
        <is>
          <t>domingo</t>
        </is>
      </c>
      <c r="C213" s="3" t="inlineStr">
        <is>
          <t>Técnico 14</t>
        </is>
      </c>
      <c r="D213" s="3">
        <f>IFERROR(INDEX('TECNICOS'!$D$4:$D$19,MATCH($C213,'TECNICOS'!$B$4:$B$19,0)),"")</f>
        <v/>
      </c>
      <c r="E213" s="3">
        <f>IFERROR(INDEX('TECNICOS'!$C$4:$C$19,MATCH($C213,'TECNICOS'!$B$4:$B$19,0)),"")</f>
        <v/>
      </c>
      <c r="F213" s="3">
        <f>COUNTIFS('TECNICOS'!$F$4:$F$19,"SI",'TECNICOS'!$C$4:$C$19,$E213,'TECNICOS'!$D$4:$D$19,$D213)</f>
        <v/>
      </c>
      <c r="G213" s="3">
        <f>IF(OR($C213="",$A213="",$B213="domingo"),"",IF(IFERROR(INDEX('TECNICOS'!$F$4:$F$19,MATCH($C213,'TECNICOS'!$B$4:$B$19,0)),"NO")&lt;&gt;"SI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3">
        <f>IF(COUNTIFS('PLAN_VACACIONES'!$A$4:$A$103,$C213,'PLAN_VACACIONES'!$B$4:$B$103,"&lt;="&amp;$L213,'PLAN_VACACIONES'!$C$4:$C$103,"&gt;="&amp;$L213)&gt;0,"sí","no")</f>
        <v/>
      </c>
      <c r="I213" s="6" t="n"/>
      <c r="J213" s="3">
        <f>IF($I213&lt;&gt;"",$I213,IF($G213="","",IF($H213="sí","VAC",IF(LEFT($G213,1)="B","B",$G213))))</f>
        <v/>
      </c>
      <c r="K213" s="3">
        <f>IFERROR(INDEX('TECNICOS'!$E$4:$E$19,MATCH($C213,'TECNICOS'!$B$4:$B$19,0)),"")</f>
        <v/>
      </c>
      <c r="L213" s="12">
        <f>IF($A213="","",DATE(VALUE(LEFT($A213,4)),1,4)-WEEKDAY(DATE(VALUE(LEFT($A213,4)),1,4),2)+1+(VALUE(MID($A213,7,2))-1)*7+MATCH($B213,lista_dias,0)-1)</f>
        <v/>
      </c>
      <c r="M213" s="3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3">
        <f>$A213&amp;"|"&amp;$B213&amp;"|"&amp;$C213</f>
        <v/>
      </c>
      <c r="O213" s="3">
        <f>IFERROR(INDEX('CAT_TURNOS'!$C$4:$C$7,MATCH($J213,'CAT_TURNOS'!$A$4:$A$7,0)),"")</f>
        <v/>
      </c>
      <c r="P213" s="3">
        <f>IFERROR(INDEX('CAT_TURNOS'!$D$4:$D$7,MATCH($J213,'CAT_TURNOS'!$A$4:$A$7,0)),"")</f>
        <v/>
      </c>
      <c r="Q213" s="3">
        <f>IF(AND(LEFT($G213,1)="T",$H213="no"),"sí","no")</f>
        <v/>
      </c>
    </row>
    <row r="214">
      <c r="A214" s="3" t="inlineStr">
        <is>
          <t>2026-S30</t>
        </is>
      </c>
      <c r="B214" s="3" t="inlineStr">
        <is>
          <t>lunes</t>
        </is>
      </c>
      <c r="C214" s="3" t="inlineStr">
        <is>
          <t>Técnico 15</t>
        </is>
      </c>
      <c r="D214" s="3">
        <f>IFERROR(INDEX('TECNICOS'!$D$4:$D$19,MATCH($C214,'TECNICOS'!$B$4:$B$19,0)),"")</f>
        <v/>
      </c>
      <c r="E214" s="3">
        <f>IFERROR(INDEX('TECNICOS'!$C$4:$C$19,MATCH($C214,'TECNICOS'!$B$4:$B$19,0)),"")</f>
        <v/>
      </c>
      <c r="F214" s="3">
        <f>COUNTIFS('TECNICOS'!$F$4:$F$19,"SI",'TECNICOS'!$C$4:$C$19,$E214,'TECNICOS'!$D$4:$D$19,$D214)</f>
        <v/>
      </c>
      <c r="G214" s="3">
        <f>IF(OR($C214="",$A214="",$B214="domingo"),"",IF(IFERROR(INDEX('TECNICOS'!$F$4:$F$19,MATCH($C214,'TECNICOS'!$B$4:$B$19,0)),"NO")&lt;&gt;"SI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3">
        <f>IF(COUNTIFS('PLAN_VACACIONES'!$A$4:$A$103,$C214,'PLAN_VACACIONES'!$B$4:$B$103,"&lt;="&amp;$L214,'PLAN_VACACIONES'!$C$4:$C$103,"&gt;="&amp;$L214)&gt;0,"sí","no")</f>
        <v/>
      </c>
      <c r="I214" s="6" t="n"/>
      <c r="J214" s="3">
        <f>IF($I214&lt;&gt;"",$I214,IF($G214="","",IF($H214="sí","VAC",IF(LEFT($G214,1)="B","B",$G214))))</f>
        <v/>
      </c>
      <c r="K214" s="3">
        <f>IFERROR(INDEX('TECNICOS'!$E$4:$E$19,MATCH($C214,'TECNICOS'!$B$4:$B$19,0)),"")</f>
        <v/>
      </c>
      <c r="L214" s="12">
        <f>IF($A214="","",DATE(VALUE(LEFT($A214,4)),1,4)-WEEKDAY(DATE(VALUE(LEFT($A214,4)),1,4),2)+1+(VALUE(MID($A214,7,2))-1)*7+MATCH($B214,lista_dias,0)-1)</f>
        <v/>
      </c>
      <c r="M214" s="3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3">
        <f>$A214&amp;"|"&amp;$B214&amp;"|"&amp;$C214</f>
        <v/>
      </c>
      <c r="O214" s="3">
        <f>IFERROR(INDEX('CAT_TURNOS'!$C$4:$C$7,MATCH($J214,'CAT_TURNOS'!$A$4:$A$7,0)),"")</f>
        <v/>
      </c>
      <c r="P214" s="3">
        <f>IFERROR(INDEX('CAT_TURNOS'!$D$4:$D$7,MATCH($J214,'CAT_TURNOS'!$A$4:$A$7,0)),"")</f>
        <v/>
      </c>
      <c r="Q214" s="3">
        <f>IF(AND(LEFT($G214,1)="T",$H214="no"),"sí","no")</f>
        <v/>
      </c>
    </row>
    <row r="215">
      <c r="A215" s="3" t="inlineStr">
        <is>
          <t>2026-S30</t>
        </is>
      </c>
      <c r="B215" s="3" t="inlineStr">
        <is>
          <t>martes</t>
        </is>
      </c>
      <c r="C215" s="3" t="inlineStr">
        <is>
          <t>Técnico 15</t>
        </is>
      </c>
      <c r="D215" s="3">
        <f>IFERROR(INDEX('TECNICOS'!$D$4:$D$19,MATCH($C215,'TECNICOS'!$B$4:$B$19,0)),"")</f>
        <v/>
      </c>
      <c r="E215" s="3">
        <f>IFERROR(INDEX('TECNICOS'!$C$4:$C$19,MATCH($C215,'TECNICOS'!$B$4:$B$19,0)),"")</f>
        <v/>
      </c>
      <c r="F215" s="3">
        <f>COUNTIFS('TECNICOS'!$F$4:$F$19,"SI",'TECNICOS'!$C$4:$C$19,$E215,'TECNICOS'!$D$4:$D$19,$D215)</f>
        <v/>
      </c>
      <c r="G215" s="3">
        <f>IF(OR($C215="",$A215="",$B215="domingo"),"",IF(IFERROR(INDEX('TECNICOS'!$F$4:$F$19,MATCH($C215,'TECNICOS'!$B$4:$B$19,0)),"NO")&lt;&gt;"SI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3">
        <f>IF(COUNTIFS('PLAN_VACACIONES'!$A$4:$A$103,$C215,'PLAN_VACACIONES'!$B$4:$B$103,"&lt;="&amp;$L215,'PLAN_VACACIONES'!$C$4:$C$103,"&gt;="&amp;$L215)&gt;0,"sí","no")</f>
        <v/>
      </c>
      <c r="I215" s="6" t="n"/>
      <c r="J215" s="3">
        <f>IF($I215&lt;&gt;"",$I215,IF($G215="","",IF($H215="sí","VAC",IF(LEFT($G215,1)="B","B",$G215))))</f>
        <v/>
      </c>
      <c r="K215" s="3">
        <f>IFERROR(INDEX('TECNICOS'!$E$4:$E$19,MATCH($C215,'TECNICOS'!$B$4:$B$19,0)),"")</f>
        <v/>
      </c>
      <c r="L215" s="12">
        <f>IF($A215="","",DATE(VALUE(LEFT($A215,4)),1,4)-WEEKDAY(DATE(VALUE(LEFT($A215,4)),1,4),2)+1+(VALUE(MID($A215,7,2))-1)*7+MATCH($B215,lista_dias,0)-1)</f>
        <v/>
      </c>
      <c r="M215" s="3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3">
        <f>$A215&amp;"|"&amp;$B215&amp;"|"&amp;$C215</f>
        <v/>
      </c>
      <c r="O215" s="3">
        <f>IFERROR(INDEX('CAT_TURNOS'!$C$4:$C$7,MATCH($J215,'CAT_TURNOS'!$A$4:$A$7,0)),"")</f>
        <v/>
      </c>
      <c r="P215" s="3">
        <f>IFERROR(INDEX('CAT_TURNOS'!$D$4:$D$7,MATCH($J215,'CAT_TURNOS'!$A$4:$A$7,0)),"")</f>
        <v/>
      </c>
      <c r="Q215" s="3">
        <f>IF(AND(LEFT($G215,1)="T",$H215="no"),"sí","no")</f>
        <v/>
      </c>
    </row>
    <row r="216">
      <c r="A216" s="3" t="inlineStr">
        <is>
          <t>2026-S30</t>
        </is>
      </c>
      <c r="B216" s="3" t="inlineStr">
        <is>
          <t>miércoles</t>
        </is>
      </c>
      <c r="C216" s="3" t="inlineStr">
        <is>
          <t>Técnico 15</t>
        </is>
      </c>
      <c r="D216" s="3">
        <f>IFERROR(INDEX('TECNICOS'!$D$4:$D$19,MATCH($C216,'TECNICOS'!$B$4:$B$19,0)),"")</f>
        <v/>
      </c>
      <c r="E216" s="3">
        <f>IFERROR(INDEX('TECNICOS'!$C$4:$C$19,MATCH($C216,'TECNICOS'!$B$4:$B$19,0)),"")</f>
        <v/>
      </c>
      <c r="F216" s="3">
        <f>COUNTIFS('TECNICOS'!$F$4:$F$19,"SI",'TECNICOS'!$C$4:$C$19,$E216,'TECNICOS'!$D$4:$D$19,$D216)</f>
        <v/>
      </c>
      <c r="G216" s="3">
        <f>IF(OR($C216="",$A216="",$B216="domingo"),"",IF(IFERROR(INDEX('TECNICOS'!$F$4:$F$19,MATCH($C216,'TECNICOS'!$B$4:$B$19,0)),"NO")&lt;&gt;"SI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3">
        <f>IF(COUNTIFS('PLAN_VACACIONES'!$A$4:$A$103,$C216,'PLAN_VACACIONES'!$B$4:$B$103,"&lt;="&amp;$L216,'PLAN_VACACIONES'!$C$4:$C$103,"&gt;="&amp;$L216)&gt;0,"sí","no")</f>
        <v/>
      </c>
      <c r="I216" s="6" t="n"/>
      <c r="J216" s="3">
        <f>IF($I216&lt;&gt;"",$I216,IF($G216="","",IF($H216="sí","VAC",IF(LEFT($G216,1)="B","B",$G216))))</f>
        <v/>
      </c>
      <c r="K216" s="3">
        <f>IFERROR(INDEX('TECNICOS'!$E$4:$E$19,MATCH($C216,'TECNICOS'!$B$4:$B$19,0)),"")</f>
        <v/>
      </c>
      <c r="L216" s="12">
        <f>IF($A216="","",DATE(VALUE(LEFT($A216,4)),1,4)-WEEKDAY(DATE(VALUE(LEFT($A216,4)),1,4),2)+1+(VALUE(MID($A216,7,2))-1)*7+MATCH($B216,lista_dias,0)-1)</f>
        <v/>
      </c>
      <c r="M216" s="3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3">
        <f>$A216&amp;"|"&amp;$B216&amp;"|"&amp;$C216</f>
        <v/>
      </c>
      <c r="O216" s="3">
        <f>IFERROR(INDEX('CAT_TURNOS'!$C$4:$C$7,MATCH($J216,'CAT_TURNOS'!$A$4:$A$7,0)),"")</f>
        <v/>
      </c>
      <c r="P216" s="3">
        <f>IFERROR(INDEX('CAT_TURNOS'!$D$4:$D$7,MATCH($J216,'CAT_TURNOS'!$A$4:$A$7,0)),"")</f>
        <v/>
      </c>
      <c r="Q216" s="3">
        <f>IF(AND(LEFT($G216,1)="T",$H216="no"),"sí","no")</f>
        <v/>
      </c>
    </row>
    <row r="217">
      <c r="A217" s="3" t="inlineStr">
        <is>
          <t>2026-S30</t>
        </is>
      </c>
      <c r="B217" s="3" t="inlineStr">
        <is>
          <t>jueves</t>
        </is>
      </c>
      <c r="C217" s="3" t="inlineStr">
        <is>
          <t>Técnico 15</t>
        </is>
      </c>
      <c r="D217" s="3">
        <f>IFERROR(INDEX('TECNICOS'!$D$4:$D$19,MATCH($C217,'TECNICOS'!$B$4:$B$19,0)),"")</f>
        <v/>
      </c>
      <c r="E217" s="3">
        <f>IFERROR(INDEX('TECNICOS'!$C$4:$C$19,MATCH($C217,'TECNICOS'!$B$4:$B$19,0)),"")</f>
        <v/>
      </c>
      <c r="F217" s="3">
        <f>COUNTIFS('TECNICOS'!$F$4:$F$19,"SI",'TECNICOS'!$C$4:$C$19,$E217,'TECNICOS'!$D$4:$D$19,$D217)</f>
        <v/>
      </c>
      <c r="G217" s="3">
        <f>IF(OR($C217="",$A217="",$B217="domingo"),"",IF(IFERROR(INDEX('TECNICOS'!$F$4:$F$19,MATCH($C217,'TECNICOS'!$B$4:$B$19,0)),"NO")&lt;&gt;"SI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3">
        <f>IF(COUNTIFS('PLAN_VACACIONES'!$A$4:$A$103,$C217,'PLAN_VACACIONES'!$B$4:$B$103,"&lt;="&amp;$L217,'PLAN_VACACIONES'!$C$4:$C$103,"&gt;="&amp;$L217)&gt;0,"sí","no")</f>
        <v/>
      </c>
      <c r="I217" s="6" t="n"/>
      <c r="J217" s="3">
        <f>IF($I217&lt;&gt;"",$I217,IF($G217="","",IF($H217="sí","VAC",IF(LEFT($G217,1)="B","B",$G217))))</f>
        <v/>
      </c>
      <c r="K217" s="3">
        <f>IFERROR(INDEX('TECNICOS'!$E$4:$E$19,MATCH($C217,'TECNICOS'!$B$4:$B$19,0)),"")</f>
        <v/>
      </c>
      <c r="L217" s="12">
        <f>IF($A217="","",DATE(VALUE(LEFT($A217,4)),1,4)-WEEKDAY(DATE(VALUE(LEFT($A217,4)),1,4),2)+1+(VALUE(MID($A217,7,2))-1)*7+MATCH($B217,lista_dias,0)-1)</f>
        <v/>
      </c>
      <c r="M217" s="3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3">
        <f>$A217&amp;"|"&amp;$B217&amp;"|"&amp;$C217</f>
        <v/>
      </c>
      <c r="O217" s="3">
        <f>IFERROR(INDEX('CAT_TURNOS'!$C$4:$C$7,MATCH($J217,'CAT_TURNOS'!$A$4:$A$7,0)),"")</f>
        <v/>
      </c>
      <c r="P217" s="3">
        <f>IFERROR(INDEX('CAT_TURNOS'!$D$4:$D$7,MATCH($J217,'CAT_TURNOS'!$A$4:$A$7,0)),"")</f>
        <v/>
      </c>
      <c r="Q217" s="3">
        <f>IF(AND(LEFT($G217,1)="T",$H217="no"),"sí","no")</f>
        <v/>
      </c>
    </row>
    <row r="218">
      <c r="A218" s="3" t="inlineStr">
        <is>
          <t>2026-S30</t>
        </is>
      </c>
      <c r="B218" s="3" t="inlineStr">
        <is>
          <t>viernes</t>
        </is>
      </c>
      <c r="C218" s="3" t="inlineStr">
        <is>
          <t>Técnico 15</t>
        </is>
      </c>
      <c r="D218" s="3">
        <f>IFERROR(INDEX('TECNICOS'!$D$4:$D$19,MATCH($C218,'TECNICOS'!$B$4:$B$19,0)),"")</f>
        <v/>
      </c>
      <c r="E218" s="3">
        <f>IFERROR(INDEX('TECNICOS'!$C$4:$C$19,MATCH($C218,'TECNICOS'!$B$4:$B$19,0)),"")</f>
        <v/>
      </c>
      <c r="F218" s="3">
        <f>COUNTIFS('TECNICOS'!$F$4:$F$19,"SI",'TECNICOS'!$C$4:$C$19,$E218,'TECNICOS'!$D$4:$D$19,$D218)</f>
        <v/>
      </c>
      <c r="G218" s="3">
        <f>IF(OR($C218="",$A218="",$B218="domingo"),"",IF(IFERROR(INDEX('TECNICOS'!$F$4:$F$19,MATCH($C218,'TECNICOS'!$B$4:$B$19,0)),"NO")&lt;&gt;"SI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3">
        <f>IF(COUNTIFS('PLAN_VACACIONES'!$A$4:$A$103,$C218,'PLAN_VACACIONES'!$B$4:$B$103,"&lt;="&amp;$L218,'PLAN_VACACIONES'!$C$4:$C$103,"&gt;="&amp;$L218)&gt;0,"sí","no")</f>
        <v/>
      </c>
      <c r="I218" s="6" t="n"/>
      <c r="J218" s="3">
        <f>IF($I218&lt;&gt;"",$I218,IF($G218="","",IF($H218="sí","VAC",IF(LEFT($G218,1)="B","B",$G218))))</f>
        <v/>
      </c>
      <c r="K218" s="3">
        <f>IFERROR(INDEX('TECNICOS'!$E$4:$E$19,MATCH($C218,'TECNICOS'!$B$4:$B$19,0)),"")</f>
        <v/>
      </c>
      <c r="L218" s="12">
        <f>IF($A218="","",DATE(VALUE(LEFT($A218,4)),1,4)-WEEKDAY(DATE(VALUE(LEFT($A218,4)),1,4),2)+1+(VALUE(MID($A218,7,2))-1)*7+MATCH($B218,lista_dias,0)-1)</f>
        <v/>
      </c>
      <c r="M218" s="3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3">
        <f>$A218&amp;"|"&amp;$B218&amp;"|"&amp;$C218</f>
        <v/>
      </c>
      <c r="O218" s="3">
        <f>IFERROR(INDEX('CAT_TURNOS'!$C$4:$C$7,MATCH($J218,'CAT_TURNOS'!$A$4:$A$7,0)),"")</f>
        <v/>
      </c>
      <c r="P218" s="3">
        <f>IFERROR(INDEX('CAT_TURNOS'!$D$4:$D$7,MATCH($J218,'CAT_TURNOS'!$A$4:$A$7,0)),"")</f>
        <v/>
      </c>
      <c r="Q218" s="3">
        <f>IF(AND(LEFT($G218,1)="T",$H218="no"),"sí","no")</f>
        <v/>
      </c>
    </row>
    <row r="219">
      <c r="A219" s="3" t="inlineStr">
        <is>
          <t>2026-S30</t>
        </is>
      </c>
      <c r="B219" s="3" t="inlineStr">
        <is>
          <t>sábado</t>
        </is>
      </c>
      <c r="C219" s="3" t="inlineStr">
        <is>
          <t>Técnico 15</t>
        </is>
      </c>
      <c r="D219" s="3">
        <f>IFERROR(INDEX('TECNICOS'!$D$4:$D$19,MATCH($C219,'TECNICOS'!$B$4:$B$19,0)),"")</f>
        <v/>
      </c>
      <c r="E219" s="3">
        <f>IFERROR(INDEX('TECNICOS'!$C$4:$C$19,MATCH($C219,'TECNICOS'!$B$4:$B$19,0)),"")</f>
        <v/>
      </c>
      <c r="F219" s="3">
        <f>COUNTIFS('TECNICOS'!$F$4:$F$19,"SI",'TECNICOS'!$C$4:$C$19,$E219,'TECNICOS'!$D$4:$D$19,$D219)</f>
        <v/>
      </c>
      <c r="G219" s="3">
        <f>IF(OR($C219="",$A219="",$B219="domingo"),"",IF(IFERROR(INDEX('TECNICOS'!$F$4:$F$19,MATCH($C219,'TECNICOS'!$B$4:$B$19,0)),"NO")&lt;&gt;"SI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3">
        <f>IF(COUNTIFS('PLAN_VACACIONES'!$A$4:$A$103,$C219,'PLAN_VACACIONES'!$B$4:$B$103,"&lt;="&amp;$L219,'PLAN_VACACIONES'!$C$4:$C$103,"&gt;="&amp;$L219)&gt;0,"sí","no")</f>
        <v/>
      </c>
      <c r="I219" s="6" t="n"/>
      <c r="J219" s="3">
        <f>IF($I219&lt;&gt;"",$I219,IF($G219="","",IF($H219="sí","VAC",IF(LEFT($G219,1)="B","B",$G219))))</f>
        <v/>
      </c>
      <c r="K219" s="3">
        <f>IFERROR(INDEX('TECNICOS'!$E$4:$E$19,MATCH($C219,'TECNICOS'!$B$4:$B$19,0)),"")</f>
        <v/>
      </c>
      <c r="L219" s="12">
        <f>IF($A219="","",DATE(VALUE(LEFT($A219,4)),1,4)-WEEKDAY(DATE(VALUE(LEFT($A219,4)),1,4),2)+1+(VALUE(MID($A219,7,2))-1)*7+MATCH($B219,lista_dias,0)-1)</f>
        <v/>
      </c>
      <c r="M219" s="3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3">
        <f>$A219&amp;"|"&amp;$B219&amp;"|"&amp;$C219</f>
        <v/>
      </c>
      <c r="O219" s="3">
        <f>IFERROR(INDEX('CAT_TURNOS'!$C$4:$C$7,MATCH($J219,'CAT_TURNOS'!$A$4:$A$7,0)),"")</f>
        <v/>
      </c>
      <c r="P219" s="3">
        <f>IFERROR(INDEX('CAT_TURNOS'!$D$4:$D$7,MATCH($J219,'CAT_TURNOS'!$A$4:$A$7,0)),"")</f>
        <v/>
      </c>
      <c r="Q219" s="3">
        <f>IF(AND(LEFT($G219,1)="T",$H219="no"),"sí","no")</f>
        <v/>
      </c>
    </row>
    <row r="220">
      <c r="A220" s="3" t="inlineStr">
        <is>
          <t>2026-S30</t>
        </is>
      </c>
      <c r="B220" s="3" t="inlineStr">
        <is>
          <t>domingo</t>
        </is>
      </c>
      <c r="C220" s="3" t="inlineStr">
        <is>
          <t>Técnico 15</t>
        </is>
      </c>
      <c r="D220" s="3">
        <f>IFERROR(INDEX('TECNICOS'!$D$4:$D$19,MATCH($C220,'TECNICOS'!$B$4:$B$19,0)),"")</f>
        <v/>
      </c>
      <c r="E220" s="3">
        <f>IFERROR(INDEX('TECNICOS'!$C$4:$C$19,MATCH($C220,'TECNICOS'!$B$4:$B$19,0)),"")</f>
        <v/>
      </c>
      <c r="F220" s="3">
        <f>COUNTIFS('TECNICOS'!$F$4:$F$19,"SI",'TECNICOS'!$C$4:$C$19,$E220,'TECNICOS'!$D$4:$D$19,$D220)</f>
        <v/>
      </c>
      <c r="G220" s="3">
        <f>IF(OR($C220="",$A220="",$B220="domingo"),"",IF(IFERROR(INDEX('TECNICOS'!$F$4:$F$19,MATCH($C220,'TECNICOS'!$B$4:$B$19,0)),"NO")&lt;&gt;"SI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3">
        <f>IF(COUNTIFS('PLAN_VACACIONES'!$A$4:$A$103,$C220,'PLAN_VACACIONES'!$B$4:$B$103,"&lt;="&amp;$L220,'PLAN_VACACIONES'!$C$4:$C$103,"&gt;="&amp;$L220)&gt;0,"sí","no")</f>
        <v/>
      </c>
      <c r="I220" s="6" t="n"/>
      <c r="J220" s="3">
        <f>IF($I220&lt;&gt;"",$I220,IF($G220="","",IF($H220="sí","VAC",IF(LEFT($G220,1)="B","B",$G220))))</f>
        <v/>
      </c>
      <c r="K220" s="3">
        <f>IFERROR(INDEX('TECNICOS'!$E$4:$E$19,MATCH($C220,'TECNICOS'!$B$4:$B$19,0)),"")</f>
        <v/>
      </c>
      <c r="L220" s="12">
        <f>IF($A220="","",DATE(VALUE(LEFT($A220,4)),1,4)-WEEKDAY(DATE(VALUE(LEFT($A220,4)),1,4),2)+1+(VALUE(MID($A220,7,2))-1)*7+MATCH($B220,lista_dias,0)-1)</f>
        <v/>
      </c>
      <c r="M220" s="3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3">
        <f>$A220&amp;"|"&amp;$B220&amp;"|"&amp;$C220</f>
        <v/>
      </c>
      <c r="O220" s="3">
        <f>IFERROR(INDEX('CAT_TURNOS'!$C$4:$C$7,MATCH($J220,'CAT_TURNOS'!$A$4:$A$7,0)),"")</f>
        <v/>
      </c>
      <c r="P220" s="3">
        <f>IFERROR(INDEX('CAT_TURNOS'!$D$4:$D$7,MATCH($J220,'CAT_TURNOS'!$A$4:$A$7,0)),"")</f>
        <v/>
      </c>
      <c r="Q220" s="3">
        <f>IF(AND(LEFT($G220,1)="T",$H220="no"),"sí","no")</f>
        <v/>
      </c>
    </row>
    <row r="221">
      <c r="A221" s="3" t="inlineStr">
        <is>
          <t>2026-S30</t>
        </is>
      </c>
      <c r="B221" s="3" t="inlineStr">
        <is>
          <t>lunes</t>
        </is>
      </c>
      <c r="C221" s="3" t="inlineStr">
        <is>
          <t>Técnico 16</t>
        </is>
      </c>
      <c r="D221" s="3">
        <f>IFERROR(INDEX('TECNICOS'!$D$4:$D$19,MATCH($C221,'TECNICOS'!$B$4:$B$19,0)),"")</f>
        <v/>
      </c>
      <c r="E221" s="3">
        <f>IFERROR(INDEX('TECNICOS'!$C$4:$C$19,MATCH($C221,'TECNICOS'!$B$4:$B$19,0)),"")</f>
        <v/>
      </c>
      <c r="F221" s="3">
        <f>COUNTIFS('TECNICOS'!$F$4:$F$19,"SI",'TECNICOS'!$C$4:$C$19,$E221,'TECNICOS'!$D$4:$D$19,$D221)</f>
        <v/>
      </c>
      <c r="G221" s="3">
        <f>IF(OR($C221="",$A221="",$B221="domingo"),"",IF(IFERROR(INDEX('TECNICOS'!$F$4:$F$19,MATCH($C221,'TECNICOS'!$B$4:$B$19,0)),"NO")&lt;&gt;"SI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3">
        <f>IF(COUNTIFS('PLAN_VACACIONES'!$A$4:$A$103,$C221,'PLAN_VACACIONES'!$B$4:$B$103,"&lt;="&amp;$L221,'PLAN_VACACIONES'!$C$4:$C$103,"&gt;="&amp;$L221)&gt;0,"sí","no")</f>
        <v/>
      </c>
      <c r="I221" s="6" t="n"/>
      <c r="J221" s="3">
        <f>IF($I221&lt;&gt;"",$I221,IF($G221="","",IF($H221="sí","VAC",IF(LEFT($G221,1)="B","B",$G221))))</f>
        <v/>
      </c>
      <c r="K221" s="3">
        <f>IFERROR(INDEX('TECNICOS'!$E$4:$E$19,MATCH($C221,'TECNICOS'!$B$4:$B$19,0)),"")</f>
        <v/>
      </c>
      <c r="L221" s="12">
        <f>IF($A221="","",DATE(VALUE(LEFT($A221,4)),1,4)-WEEKDAY(DATE(VALUE(LEFT($A221,4)),1,4),2)+1+(VALUE(MID($A221,7,2))-1)*7+MATCH($B221,lista_dias,0)-1)</f>
        <v/>
      </c>
      <c r="M221" s="3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3">
        <f>$A221&amp;"|"&amp;$B221&amp;"|"&amp;$C221</f>
        <v/>
      </c>
      <c r="O221" s="3">
        <f>IFERROR(INDEX('CAT_TURNOS'!$C$4:$C$7,MATCH($J221,'CAT_TURNOS'!$A$4:$A$7,0)),"")</f>
        <v/>
      </c>
      <c r="P221" s="3">
        <f>IFERROR(INDEX('CAT_TURNOS'!$D$4:$D$7,MATCH($J221,'CAT_TURNOS'!$A$4:$A$7,0)),"")</f>
        <v/>
      </c>
      <c r="Q221" s="3">
        <f>IF(AND(LEFT($G221,1)="T",$H221="no"),"sí","no")</f>
        <v/>
      </c>
    </row>
    <row r="222">
      <c r="A222" s="3" t="inlineStr">
        <is>
          <t>2026-S30</t>
        </is>
      </c>
      <c r="B222" s="3" t="inlineStr">
        <is>
          <t>martes</t>
        </is>
      </c>
      <c r="C222" s="3" t="inlineStr">
        <is>
          <t>Técnico 16</t>
        </is>
      </c>
      <c r="D222" s="3">
        <f>IFERROR(INDEX('TECNICOS'!$D$4:$D$19,MATCH($C222,'TECNICOS'!$B$4:$B$19,0)),"")</f>
        <v/>
      </c>
      <c r="E222" s="3">
        <f>IFERROR(INDEX('TECNICOS'!$C$4:$C$19,MATCH($C222,'TECNICOS'!$B$4:$B$19,0)),"")</f>
        <v/>
      </c>
      <c r="F222" s="3">
        <f>COUNTIFS('TECNICOS'!$F$4:$F$19,"SI",'TECNICOS'!$C$4:$C$19,$E222,'TECNICOS'!$D$4:$D$19,$D222)</f>
        <v/>
      </c>
      <c r="G222" s="3">
        <f>IF(OR($C222="",$A222="",$B222="domingo"),"",IF(IFERROR(INDEX('TECNICOS'!$F$4:$F$19,MATCH($C222,'TECNICOS'!$B$4:$B$19,0)),"NO")&lt;&gt;"SI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3">
        <f>IF(COUNTIFS('PLAN_VACACIONES'!$A$4:$A$103,$C222,'PLAN_VACACIONES'!$B$4:$B$103,"&lt;="&amp;$L222,'PLAN_VACACIONES'!$C$4:$C$103,"&gt;="&amp;$L222)&gt;0,"sí","no")</f>
        <v/>
      </c>
      <c r="I222" s="6" t="n"/>
      <c r="J222" s="3">
        <f>IF($I222&lt;&gt;"",$I222,IF($G222="","",IF($H222="sí","VAC",IF(LEFT($G222,1)="B","B",$G222))))</f>
        <v/>
      </c>
      <c r="K222" s="3">
        <f>IFERROR(INDEX('TECNICOS'!$E$4:$E$19,MATCH($C222,'TECNICOS'!$B$4:$B$19,0)),"")</f>
        <v/>
      </c>
      <c r="L222" s="12">
        <f>IF($A222="","",DATE(VALUE(LEFT($A222,4)),1,4)-WEEKDAY(DATE(VALUE(LEFT($A222,4)),1,4),2)+1+(VALUE(MID($A222,7,2))-1)*7+MATCH($B222,lista_dias,0)-1)</f>
        <v/>
      </c>
      <c r="M222" s="3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3">
        <f>$A222&amp;"|"&amp;$B222&amp;"|"&amp;$C222</f>
        <v/>
      </c>
      <c r="O222" s="3">
        <f>IFERROR(INDEX('CAT_TURNOS'!$C$4:$C$7,MATCH($J222,'CAT_TURNOS'!$A$4:$A$7,0)),"")</f>
        <v/>
      </c>
      <c r="P222" s="3">
        <f>IFERROR(INDEX('CAT_TURNOS'!$D$4:$D$7,MATCH($J222,'CAT_TURNOS'!$A$4:$A$7,0)),"")</f>
        <v/>
      </c>
      <c r="Q222" s="3">
        <f>IF(AND(LEFT($G222,1)="T",$H222="no"),"sí","no")</f>
        <v/>
      </c>
    </row>
    <row r="223">
      <c r="A223" s="3" t="inlineStr">
        <is>
          <t>2026-S30</t>
        </is>
      </c>
      <c r="B223" s="3" t="inlineStr">
        <is>
          <t>miércoles</t>
        </is>
      </c>
      <c r="C223" s="3" t="inlineStr">
        <is>
          <t>Técnico 16</t>
        </is>
      </c>
      <c r="D223" s="3">
        <f>IFERROR(INDEX('TECNICOS'!$D$4:$D$19,MATCH($C223,'TECNICOS'!$B$4:$B$19,0)),"")</f>
        <v/>
      </c>
      <c r="E223" s="3">
        <f>IFERROR(INDEX('TECNICOS'!$C$4:$C$19,MATCH($C223,'TECNICOS'!$B$4:$B$19,0)),"")</f>
        <v/>
      </c>
      <c r="F223" s="3">
        <f>COUNTIFS('TECNICOS'!$F$4:$F$19,"SI",'TECNICOS'!$C$4:$C$19,$E223,'TECNICOS'!$D$4:$D$19,$D223)</f>
        <v/>
      </c>
      <c r="G223" s="3">
        <f>IF(OR($C223="",$A223="",$B223="domingo"),"",IF(IFERROR(INDEX('TECNICOS'!$F$4:$F$19,MATCH($C223,'TECNICOS'!$B$4:$B$19,0)),"NO")&lt;&gt;"SI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3">
        <f>IF(COUNTIFS('PLAN_VACACIONES'!$A$4:$A$103,$C223,'PLAN_VACACIONES'!$B$4:$B$103,"&lt;="&amp;$L223,'PLAN_VACACIONES'!$C$4:$C$103,"&gt;="&amp;$L223)&gt;0,"sí","no")</f>
        <v/>
      </c>
      <c r="I223" s="6" t="n"/>
      <c r="J223" s="3">
        <f>IF($I223&lt;&gt;"",$I223,IF($G223="","",IF($H223="sí","VAC",IF(LEFT($G223,1)="B","B",$G223))))</f>
        <v/>
      </c>
      <c r="K223" s="3">
        <f>IFERROR(INDEX('TECNICOS'!$E$4:$E$19,MATCH($C223,'TECNICOS'!$B$4:$B$19,0)),"")</f>
        <v/>
      </c>
      <c r="L223" s="12">
        <f>IF($A223="","",DATE(VALUE(LEFT($A223,4)),1,4)-WEEKDAY(DATE(VALUE(LEFT($A223,4)),1,4),2)+1+(VALUE(MID($A223,7,2))-1)*7+MATCH($B223,lista_dias,0)-1)</f>
        <v/>
      </c>
      <c r="M223" s="3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3">
        <f>$A223&amp;"|"&amp;$B223&amp;"|"&amp;$C223</f>
        <v/>
      </c>
      <c r="O223" s="3">
        <f>IFERROR(INDEX('CAT_TURNOS'!$C$4:$C$7,MATCH($J223,'CAT_TURNOS'!$A$4:$A$7,0)),"")</f>
        <v/>
      </c>
      <c r="P223" s="3">
        <f>IFERROR(INDEX('CAT_TURNOS'!$D$4:$D$7,MATCH($J223,'CAT_TURNOS'!$A$4:$A$7,0)),"")</f>
        <v/>
      </c>
      <c r="Q223" s="3">
        <f>IF(AND(LEFT($G223,1)="T",$H223="no"),"sí","no")</f>
        <v/>
      </c>
    </row>
    <row r="224">
      <c r="A224" s="3" t="inlineStr">
        <is>
          <t>2026-S30</t>
        </is>
      </c>
      <c r="B224" s="3" t="inlineStr">
        <is>
          <t>jueves</t>
        </is>
      </c>
      <c r="C224" s="3" t="inlineStr">
        <is>
          <t>Técnico 16</t>
        </is>
      </c>
      <c r="D224" s="3">
        <f>IFERROR(INDEX('TECNICOS'!$D$4:$D$19,MATCH($C224,'TECNICOS'!$B$4:$B$19,0)),"")</f>
        <v/>
      </c>
      <c r="E224" s="3">
        <f>IFERROR(INDEX('TECNICOS'!$C$4:$C$19,MATCH($C224,'TECNICOS'!$B$4:$B$19,0)),"")</f>
        <v/>
      </c>
      <c r="F224" s="3">
        <f>COUNTIFS('TECNICOS'!$F$4:$F$19,"SI",'TECNICOS'!$C$4:$C$19,$E224,'TECNICOS'!$D$4:$D$19,$D224)</f>
        <v/>
      </c>
      <c r="G224" s="3">
        <f>IF(OR($C224="",$A224="",$B224="domingo"),"",IF(IFERROR(INDEX('TECNICOS'!$F$4:$F$19,MATCH($C224,'TECNICOS'!$B$4:$B$19,0)),"NO")&lt;&gt;"SI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3">
        <f>IF(COUNTIFS('PLAN_VACACIONES'!$A$4:$A$103,$C224,'PLAN_VACACIONES'!$B$4:$B$103,"&lt;="&amp;$L224,'PLAN_VACACIONES'!$C$4:$C$103,"&gt;="&amp;$L224)&gt;0,"sí","no")</f>
        <v/>
      </c>
      <c r="I224" s="6" t="n"/>
      <c r="J224" s="3">
        <f>IF($I224&lt;&gt;"",$I224,IF($G224="","",IF($H224="sí","VAC",IF(LEFT($G224,1)="B","B",$G224))))</f>
        <v/>
      </c>
      <c r="K224" s="3">
        <f>IFERROR(INDEX('TECNICOS'!$E$4:$E$19,MATCH($C224,'TECNICOS'!$B$4:$B$19,0)),"")</f>
        <v/>
      </c>
      <c r="L224" s="12">
        <f>IF($A224="","",DATE(VALUE(LEFT($A224,4)),1,4)-WEEKDAY(DATE(VALUE(LEFT($A224,4)),1,4),2)+1+(VALUE(MID($A224,7,2))-1)*7+MATCH($B224,lista_dias,0)-1)</f>
        <v/>
      </c>
      <c r="M224" s="3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3">
        <f>$A224&amp;"|"&amp;$B224&amp;"|"&amp;$C224</f>
        <v/>
      </c>
      <c r="O224" s="3">
        <f>IFERROR(INDEX('CAT_TURNOS'!$C$4:$C$7,MATCH($J224,'CAT_TURNOS'!$A$4:$A$7,0)),"")</f>
        <v/>
      </c>
      <c r="P224" s="3">
        <f>IFERROR(INDEX('CAT_TURNOS'!$D$4:$D$7,MATCH($J224,'CAT_TURNOS'!$A$4:$A$7,0)),"")</f>
        <v/>
      </c>
      <c r="Q224" s="3">
        <f>IF(AND(LEFT($G224,1)="T",$H224="no"),"sí","no")</f>
        <v/>
      </c>
    </row>
    <row r="225">
      <c r="A225" s="3" t="inlineStr">
        <is>
          <t>2026-S30</t>
        </is>
      </c>
      <c r="B225" s="3" t="inlineStr">
        <is>
          <t>viernes</t>
        </is>
      </c>
      <c r="C225" s="3" t="inlineStr">
        <is>
          <t>Técnico 16</t>
        </is>
      </c>
      <c r="D225" s="3">
        <f>IFERROR(INDEX('TECNICOS'!$D$4:$D$19,MATCH($C225,'TECNICOS'!$B$4:$B$19,0)),"")</f>
        <v/>
      </c>
      <c r="E225" s="3">
        <f>IFERROR(INDEX('TECNICOS'!$C$4:$C$19,MATCH($C225,'TECNICOS'!$B$4:$B$19,0)),"")</f>
        <v/>
      </c>
      <c r="F225" s="3">
        <f>COUNTIFS('TECNICOS'!$F$4:$F$19,"SI",'TECNICOS'!$C$4:$C$19,$E225,'TECNICOS'!$D$4:$D$19,$D225)</f>
        <v/>
      </c>
      <c r="G225" s="3">
        <f>IF(OR($C225="",$A225="",$B225="domingo"),"",IF(IFERROR(INDEX('TECNICOS'!$F$4:$F$19,MATCH($C225,'TECNICOS'!$B$4:$B$19,0)),"NO")&lt;&gt;"SI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3">
        <f>IF(COUNTIFS('PLAN_VACACIONES'!$A$4:$A$103,$C225,'PLAN_VACACIONES'!$B$4:$B$103,"&lt;="&amp;$L225,'PLAN_VACACIONES'!$C$4:$C$103,"&gt;="&amp;$L225)&gt;0,"sí","no")</f>
        <v/>
      </c>
      <c r="I225" s="6" t="n"/>
      <c r="J225" s="3">
        <f>IF($I225&lt;&gt;"",$I225,IF($G225="","",IF($H225="sí","VAC",IF(LEFT($G225,1)="B","B",$G225))))</f>
        <v/>
      </c>
      <c r="K225" s="3">
        <f>IFERROR(INDEX('TECNICOS'!$E$4:$E$19,MATCH($C225,'TECNICOS'!$B$4:$B$19,0)),"")</f>
        <v/>
      </c>
      <c r="L225" s="12">
        <f>IF($A225="","",DATE(VALUE(LEFT($A225,4)),1,4)-WEEKDAY(DATE(VALUE(LEFT($A225,4)),1,4),2)+1+(VALUE(MID($A225,7,2))-1)*7+MATCH($B225,lista_dias,0)-1)</f>
        <v/>
      </c>
      <c r="M225" s="3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3">
        <f>$A225&amp;"|"&amp;$B225&amp;"|"&amp;$C225</f>
        <v/>
      </c>
      <c r="O225" s="3">
        <f>IFERROR(INDEX('CAT_TURNOS'!$C$4:$C$7,MATCH($J225,'CAT_TURNOS'!$A$4:$A$7,0)),"")</f>
        <v/>
      </c>
      <c r="P225" s="3">
        <f>IFERROR(INDEX('CAT_TURNOS'!$D$4:$D$7,MATCH($J225,'CAT_TURNOS'!$A$4:$A$7,0)),"")</f>
        <v/>
      </c>
      <c r="Q225" s="3">
        <f>IF(AND(LEFT($G225,1)="T",$H225="no"),"sí","no")</f>
        <v/>
      </c>
    </row>
    <row r="226">
      <c r="A226" s="3" t="inlineStr">
        <is>
          <t>2026-S30</t>
        </is>
      </c>
      <c r="B226" s="3" t="inlineStr">
        <is>
          <t>sábado</t>
        </is>
      </c>
      <c r="C226" s="3" t="inlineStr">
        <is>
          <t>Técnico 16</t>
        </is>
      </c>
      <c r="D226" s="3">
        <f>IFERROR(INDEX('TECNICOS'!$D$4:$D$19,MATCH($C226,'TECNICOS'!$B$4:$B$19,0)),"")</f>
        <v/>
      </c>
      <c r="E226" s="3">
        <f>IFERROR(INDEX('TECNICOS'!$C$4:$C$19,MATCH($C226,'TECNICOS'!$B$4:$B$19,0)),"")</f>
        <v/>
      </c>
      <c r="F226" s="3">
        <f>COUNTIFS('TECNICOS'!$F$4:$F$19,"SI",'TECNICOS'!$C$4:$C$19,$E226,'TECNICOS'!$D$4:$D$19,$D226)</f>
        <v/>
      </c>
      <c r="G226" s="3">
        <f>IF(OR($C226="",$A226="",$B226="domingo"),"",IF(IFERROR(INDEX('TECNICOS'!$F$4:$F$19,MATCH($C226,'TECNICOS'!$B$4:$B$19,0)),"NO")&lt;&gt;"SI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3">
        <f>IF(COUNTIFS('PLAN_VACACIONES'!$A$4:$A$103,$C226,'PLAN_VACACIONES'!$B$4:$B$103,"&lt;="&amp;$L226,'PLAN_VACACIONES'!$C$4:$C$103,"&gt;="&amp;$L226)&gt;0,"sí","no")</f>
        <v/>
      </c>
      <c r="I226" s="6" t="n"/>
      <c r="J226" s="3">
        <f>IF($I226&lt;&gt;"",$I226,IF($G226="","",IF($H226="sí","VAC",IF(LEFT($G226,1)="B","B",$G226))))</f>
        <v/>
      </c>
      <c r="K226" s="3">
        <f>IFERROR(INDEX('TECNICOS'!$E$4:$E$19,MATCH($C226,'TECNICOS'!$B$4:$B$19,0)),"")</f>
        <v/>
      </c>
      <c r="L226" s="12">
        <f>IF($A226="","",DATE(VALUE(LEFT($A226,4)),1,4)-WEEKDAY(DATE(VALUE(LEFT($A226,4)),1,4),2)+1+(VALUE(MID($A226,7,2))-1)*7+MATCH($B226,lista_dias,0)-1)</f>
        <v/>
      </c>
      <c r="M226" s="3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3">
        <f>$A226&amp;"|"&amp;$B226&amp;"|"&amp;$C226</f>
        <v/>
      </c>
      <c r="O226" s="3">
        <f>IFERROR(INDEX('CAT_TURNOS'!$C$4:$C$7,MATCH($J226,'CAT_TURNOS'!$A$4:$A$7,0)),"")</f>
        <v/>
      </c>
      <c r="P226" s="3">
        <f>IFERROR(INDEX('CAT_TURNOS'!$D$4:$D$7,MATCH($J226,'CAT_TURNOS'!$A$4:$A$7,0)),"")</f>
        <v/>
      </c>
      <c r="Q226" s="3">
        <f>IF(AND(LEFT($G226,1)="T",$H226="no"),"sí","no")</f>
        <v/>
      </c>
    </row>
    <row r="227">
      <c r="A227" s="3" t="inlineStr">
        <is>
          <t>2026-S30</t>
        </is>
      </c>
      <c r="B227" s="3" t="inlineStr">
        <is>
          <t>domingo</t>
        </is>
      </c>
      <c r="C227" s="3" t="inlineStr">
        <is>
          <t>Técnico 16</t>
        </is>
      </c>
      <c r="D227" s="3">
        <f>IFERROR(INDEX('TECNICOS'!$D$4:$D$19,MATCH($C227,'TECNICOS'!$B$4:$B$19,0)),"")</f>
        <v/>
      </c>
      <c r="E227" s="3">
        <f>IFERROR(INDEX('TECNICOS'!$C$4:$C$19,MATCH($C227,'TECNICOS'!$B$4:$B$19,0)),"")</f>
        <v/>
      </c>
      <c r="F227" s="3">
        <f>COUNTIFS('TECNICOS'!$F$4:$F$19,"SI",'TECNICOS'!$C$4:$C$19,$E227,'TECNICOS'!$D$4:$D$19,$D227)</f>
        <v/>
      </c>
      <c r="G227" s="3">
        <f>IF(OR($C227="",$A227="",$B227="domingo"),"",IF(IFERROR(INDEX('TECNICOS'!$F$4:$F$19,MATCH($C227,'TECNICOS'!$B$4:$B$19,0)),"NO")&lt;&gt;"SI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3">
        <f>IF(COUNTIFS('PLAN_VACACIONES'!$A$4:$A$103,$C227,'PLAN_VACACIONES'!$B$4:$B$103,"&lt;="&amp;$L227,'PLAN_VACACIONES'!$C$4:$C$103,"&gt;="&amp;$L227)&gt;0,"sí","no")</f>
        <v/>
      </c>
      <c r="I227" s="6" t="n"/>
      <c r="J227" s="3">
        <f>IF($I227&lt;&gt;"",$I227,IF($G227="","",IF($H227="sí","VAC",IF(LEFT($G227,1)="B","B",$G227))))</f>
        <v/>
      </c>
      <c r="K227" s="3">
        <f>IFERROR(INDEX('TECNICOS'!$E$4:$E$19,MATCH($C227,'TECNICOS'!$B$4:$B$19,0)),"")</f>
        <v/>
      </c>
      <c r="L227" s="12">
        <f>IF($A227="","",DATE(VALUE(LEFT($A227,4)),1,4)-WEEKDAY(DATE(VALUE(LEFT($A227,4)),1,4),2)+1+(VALUE(MID($A227,7,2))-1)*7+MATCH($B227,lista_dias,0)-1)</f>
        <v/>
      </c>
      <c r="M227" s="3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3">
        <f>$A227&amp;"|"&amp;$B227&amp;"|"&amp;$C227</f>
        <v/>
      </c>
      <c r="O227" s="3">
        <f>IFERROR(INDEX('CAT_TURNOS'!$C$4:$C$7,MATCH($J227,'CAT_TURNOS'!$A$4:$A$7,0)),"")</f>
        <v/>
      </c>
      <c r="P227" s="3">
        <f>IFERROR(INDEX('CAT_TURNOS'!$D$4:$D$7,MATCH($J227,'CAT_TURNOS'!$A$4:$A$7,0)),"")</f>
        <v/>
      </c>
      <c r="Q227" s="3">
        <f>IF(AND(LEFT($G227,1)="T",$H227="no"),"sí","no")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01</t>
        </is>
      </c>
      <c r="D228" s="3">
        <f>IFERROR(INDEX('TECNICOS'!$D$4:$D$19,MATCH($C228,'TECNICOS'!$B$4:$B$19,0)),"")</f>
        <v/>
      </c>
      <c r="E228" s="3">
        <f>IFERROR(INDEX('TECNICOS'!$C$4:$C$19,MATCH($C228,'TECNICOS'!$B$4:$B$19,0)),"")</f>
        <v/>
      </c>
      <c r="F228" s="3">
        <f>COUNTIFS('TECNICOS'!$F$4:$F$19,"SI",'TECNICOS'!$C$4:$C$19,$E228,'TECNICOS'!$D$4:$D$19,$D228)</f>
        <v/>
      </c>
      <c r="G228" s="3">
        <f>IF(OR($C228="",$A228="",$B228="domingo"),"",IF(IFERROR(INDEX('TECNICOS'!$F$4:$F$19,MATCH($C228,'TECNICOS'!$B$4:$B$19,0)),"NO")&lt;&gt;"SI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3">
        <f>IF(COUNTIFS('PLAN_VACACIONES'!$A$4:$A$103,$C228,'PLAN_VACACIONES'!$B$4:$B$103,"&lt;="&amp;$L228,'PLAN_VACACIONES'!$C$4:$C$103,"&gt;="&amp;$L228)&gt;0,"sí","no")</f>
        <v/>
      </c>
      <c r="I228" s="6" t="n"/>
      <c r="J228" s="3">
        <f>IF($I228&lt;&gt;"",$I228,IF($G228="","",IF($H228="sí","VAC",IF(LEFT($G228,1)="B","B",$G228))))</f>
        <v/>
      </c>
      <c r="K228" s="3">
        <f>IFERROR(INDEX('TECNICOS'!$E$4:$E$19,MATCH($C228,'TECNICOS'!$B$4:$B$19,0)),"")</f>
        <v/>
      </c>
      <c r="L228" s="12">
        <f>IF($A228="","",DATE(VALUE(LEFT($A228,4)),1,4)-WEEKDAY(DATE(VALUE(LEFT($A228,4)),1,4),2)+1+(VALUE(MID($A228,7,2))-1)*7+MATCH($B228,lista_dias,0)-1)</f>
        <v/>
      </c>
      <c r="M228" s="3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3">
        <f>$A228&amp;"|"&amp;$B228&amp;"|"&amp;$C228</f>
        <v/>
      </c>
      <c r="O228" s="3">
        <f>IFERROR(INDEX('CAT_TURNOS'!$C$4:$C$7,MATCH($J228,'CAT_TURNOS'!$A$4:$A$7,0)),"")</f>
        <v/>
      </c>
      <c r="P228" s="3">
        <f>IFERROR(INDEX('CAT_TURNOS'!$D$4:$D$7,MATCH($J228,'CAT_TURNOS'!$A$4:$A$7,0)),"")</f>
        <v/>
      </c>
      <c r="Q228" s="3">
        <f>IF(AND(LEFT($G228,1)="T",$H228="no"),"sí","no")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01</t>
        </is>
      </c>
      <c r="D229" s="3">
        <f>IFERROR(INDEX('TECNICOS'!$D$4:$D$19,MATCH($C229,'TECNICOS'!$B$4:$B$19,0)),"")</f>
        <v/>
      </c>
      <c r="E229" s="3">
        <f>IFERROR(INDEX('TECNICOS'!$C$4:$C$19,MATCH($C229,'TECNICOS'!$B$4:$B$19,0)),"")</f>
        <v/>
      </c>
      <c r="F229" s="3">
        <f>COUNTIFS('TECNICOS'!$F$4:$F$19,"SI",'TECNICOS'!$C$4:$C$19,$E229,'TECNICOS'!$D$4:$D$19,$D229)</f>
        <v/>
      </c>
      <c r="G229" s="3">
        <f>IF(OR($C229="",$A229="",$B229="domingo"),"",IF(IFERROR(INDEX('TECNICOS'!$F$4:$F$19,MATCH($C229,'TECNICOS'!$B$4:$B$19,0)),"NO")&lt;&gt;"SI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3">
        <f>IF(COUNTIFS('PLAN_VACACIONES'!$A$4:$A$103,$C229,'PLAN_VACACIONES'!$B$4:$B$103,"&lt;="&amp;$L229,'PLAN_VACACIONES'!$C$4:$C$103,"&gt;="&amp;$L229)&gt;0,"sí","no")</f>
        <v/>
      </c>
      <c r="I229" s="6" t="n"/>
      <c r="J229" s="3">
        <f>IF($I229&lt;&gt;"",$I229,IF($G229="","",IF($H229="sí","VAC",IF(LEFT($G229,1)="B","B",$G229))))</f>
        <v/>
      </c>
      <c r="K229" s="3">
        <f>IFERROR(INDEX('TECNICOS'!$E$4:$E$19,MATCH($C229,'TECNICOS'!$B$4:$B$19,0)),"")</f>
        <v/>
      </c>
      <c r="L229" s="12">
        <f>IF($A229="","",DATE(VALUE(LEFT($A229,4)),1,4)-WEEKDAY(DATE(VALUE(LEFT($A229,4)),1,4),2)+1+(VALUE(MID($A229,7,2))-1)*7+MATCH($B229,lista_dias,0)-1)</f>
        <v/>
      </c>
      <c r="M229" s="3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3">
        <f>$A229&amp;"|"&amp;$B229&amp;"|"&amp;$C229</f>
        <v/>
      </c>
      <c r="O229" s="3">
        <f>IFERROR(INDEX('CAT_TURNOS'!$C$4:$C$7,MATCH($J229,'CAT_TURNOS'!$A$4:$A$7,0)),"")</f>
        <v/>
      </c>
      <c r="P229" s="3">
        <f>IFERROR(INDEX('CAT_TURNOS'!$D$4:$D$7,MATCH($J229,'CAT_TURNOS'!$A$4:$A$7,0)),"")</f>
        <v/>
      </c>
      <c r="Q229" s="3">
        <f>IF(AND(LEFT($G229,1)="T",$H229="no"),"sí","no")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01</t>
        </is>
      </c>
      <c r="D230" s="3">
        <f>IFERROR(INDEX('TECNICOS'!$D$4:$D$19,MATCH($C230,'TECNICOS'!$B$4:$B$19,0)),"")</f>
        <v/>
      </c>
      <c r="E230" s="3">
        <f>IFERROR(INDEX('TECNICOS'!$C$4:$C$19,MATCH($C230,'TECNICOS'!$B$4:$B$19,0)),"")</f>
        <v/>
      </c>
      <c r="F230" s="3">
        <f>COUNTIFS('TECNICOS'!$F$4:$F$19,"SI",'TECNICOS'!$C$4:$C$19,$E230,'TECNICOS'!$D$4:$D$19,$D230)</f>
        <v/>
      </c>
      <c r="G230" s="3">
        <f>IF(OR($C230="",$A230="",$B230="domingo"),"",IF(IFERROR(INDEX('TECNICOS'!$F$4:$F$19,MATCH($C230,'TECNICOS'!$B$4:$B$19,0)),"NO")&lt;&gt;"SI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3">
        <f>IF(COUNTIFS('PLAN_VACACIONES'!$A$4:$A$103,$C230,'PLAN_VACACIONES'!$B$4:$B$103,"&lt;="&amp;$L230,'PLAN_VACACIONES'!$C$4:$C$103,"&gt;="&amp;$L230)&gt;0,"sí","no")</f>
        <v/>
      </c>
      <c r="I230" s="6" t="n"/>
      <c r="J230" s="3">
        <f>IF($I230&lt;&gt;"",$I230,IF($G230="","",IF($H230="sí","VAC",IF(LEFT($G230,1)="B","B",$G230))))</f>
        <v/>
      </c>
      <c r="K230" s="3">
        <f>IFERROR(INDEX('TECNICOS'!$E$4:$E$19,MATCH($C230,'TECNICOS'!$B$4:$B$19,0)),"")</f>
        <v/>
      </c>
      <c r="L230" s="12">
        <f>IF($A230="","",DATE(VALUE(LEFT($A230,4)),1,4)-WEEKDAY(DATE(VALUE(LEFT($A230,4)),1,4),2)+1+(VALUE(MID($A230,7,2))-1)*7+MATCH($B230,lista_dias,0)-1)</f>
        <v/>
      </c>
      <c r="M230" s="3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3">
        <f>$A230&amp;"|"&amp;$B230&amp;"|"&amp;$C230</f>
        <v/>
      </c>
      <c r="O230" s="3">
        <f>IFERROR(INDEX('CAT_TURNOS'!$C$4:$C$7,MATCH($J230,'CAT_TURNOS'!$A$4:$A$7,0)),"")</f>
        <v/>
      </c>
      <c r="P230" s="3">
        <f>IFERROR(INDEX('CAT_TURNOS'!$D$4:$D$7,MATCH($J230,'CAT_TURNOS'!$A$4:$A$7,0)),"")</f>
        <v/>
      </c>
      <c r="Q230" s="3">
        <f>IF(AND(LEFT($G230,1)="T",$H230="no"),"sí","no")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01</t>
        </is>
      </c>
      <c r="D231" s="3">
        <f>IFERROR(INDEX('TECNICOS'!$D$4:$D$19,MATCH($C231,'TECNICOS'!$B$4:$B$19,0)),"")</f>
        <v/>
      </c>
      <c r="E231" s="3">
        <f>IFERROR(INDEX('TECNICOS'!$C$4:$C$19,MATCH($C231,'TECNICOS'!$B$4:$B$19,0)),"")</f>
        <v/>
      </c>
      <c r="F231" s="3">
        <f>COUNTIFS('TECNICOS'!$F$4:$F$19,"SI",'TECNICOS'!$C$4:$C$19,$E231,'TECNICOS'!$D$4:$D$19,$D231)</f>
        <v/>
      </c>
      <c r="G231" s="3">
        <f>IF(OR($C231="",$A231="",$B231="domingo"),"",IF(IFERROR(INDEX('TECNICOS'!$F$4:$F$19,MATCH($C231,'TECNICOS'!$B$4:$B$19,0)),"NO")&lt;&gt;"SI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3">
        <f>IF(COUNTIFS('PLAN_VACACIONES'!$A$4:$A$103,$C231,'PLAN_VACACIONES'!$B$4:$B$103,"&lt;="&amp;$L231,'PLAN_VACACIONES'!$C$4:$C$103,"&gt;="&amp;$L231)&gt;0,"sí","no")</f>
        <v/>
      </c>
      <c r="I231" s="6" t="n"/>
      <c r="J231" s="3">
        <f>IF($I231&lt;&gt;"",$I231,IF($G231="","",IF($H231="sí","VAC",IF(LEFT($G231,1)="B","B",$G231))))</f>
        <v/>
      </c>
      <c r="K231" s="3">
        <f>IFERROR(INDEX('TECNICOS'!$E$4:$E$19,MATCH($C231,'TECNICOS'!$B$4:$B$19,0)),"")</f>
        <v/>
      </c>
      <c r="L231" s="12">
        <f>IF($A231="","",DATE(VALUE(LEFT($A231,4)),1,4)-WEEKDAY(DATE(VALUE(LEFT($A231,4)),1,4),2)+1+(VALUE(MID($A231,7,2))-1)*7+MATCH($B231,lista_dias,0)-1)</f>
        <v/>
      </c>
      <c r="M231" s="3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3">
        <f>$A231&amp;"|"&amp;$B231&amp;"|"&amp;$C231</f>
        <v/>
      </c>
      <c r="O231" s="3">
        <f>IFERROR(INDEX('CAT_TURNOS'!$C$4:$C$7,MATCH($J231,'CAT_TURNOS'!$A$4:$A$7,0)),"")</f>
        <v/>
      </c>
      <c r="P231" s="3">
        <f>IFERROR(INDEX('CAT_TURNOS'!$D$4:$D$7,MATCH($J231,'CAT_TURNOS'!$A$4:$A$7,0)),"")</f>
        <v/>
      </c>
      <c r="Q231" s="3">
        <f>IF(AND(LEFT($G231,1)="T",$H231="no"),"sí","no")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01</t>
        </is>
      </c>
      <c r="D232" s="3">
        <f>IFERROR(INDEX('TECNICOS'!$D$4:$D$19,MATCH($C232,'TECNICOS'!$B$4:$B$19,0)),"")</f>
        <v/>
      </c>
      <c r="E232" s="3">
        <f>IFERROR(INDEX('TECNICOS'!$C$4:$C$19,MATCH($C232,'TECNICOS'!$B$4:$B$19,0)),"")</f>
        <v/>
      </c>
      <c r="F232" s="3">
        <f>COUNTIFS('TECNICOS'!$F$4:$F$19,"SI",'TECNICOS'!$C$4:$C$19,$E232,'TECNICOS'!$D$4:$D$19,$D232)</f>
        <v/>
      </c>
      <c r="G232" s="3">
        <f>IF(OR($C232="",$A232="",$B232="domingo"),"",IF(IFERROR(INDEX('TECNICOS'!$F$4:$F$19,MATCH($C232,'TECNICOS'!$B$4:$B$19,0)),"NO")&lt;&gt;"SI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3">
        <f>IF(COUNTIFS('PLAN_VACACIONES'!$A$4:$A$103,$C232,'PLAN_VACACIONES'!$B$4:$B$103,"&lt;="&amp;$L232,'PLAN_VACACIONES'!$C$4:$C$103,"&gt;="&amp;$L232)&gt;0,"sí","no")</f>
        <v/>
      </c>
      <c r="I232" s="6" t="n"/>
      <c r="J232" s="3">
        <f>IF($I232&lt;&gt;"",$I232,IF($G232="","",IF($H232="sí","VAC",IF(LEFT($G232,1)="B","B",$G232))))</f>
        <v/>
      </c>
      <c r="K232" s="3">
        <f>IFERROR(INDEX('TECNICOS'!$E$4:$E$19,MATCH($C232,'TECNICOS'!$B$4:$B$19,0)),"")</f>
        <v/>
      </c>
      <c r="L232" s="12">
        <f>IF($A232="","",DATE(VALUE(LEFT($A232,4)),1,4)-WEEKDAY(DATE(VALUE(LEFT($A232,4)),1,4),2)+1+(VALUE(MID($A232,7,2))-1)*7+MATCH($B232,lista_dias,0)-1)</f>
        <v/>
      </c>
      <c r="M232" s="3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3">
        <f>$A232&amp;"|"&amp;$B232&amp;"|"&amp;$C232</f>
        <v/>
      </c>
      <c r="O232" s="3">
        <f>IFERROR(INDEX('CAT_TURNOS'!$C$4:$C$7,MATCH($J232,'CAT_TURNOS'!$A$4:$A$7,0)),"")</f>
        <v/>
      </c>
      <c r="P232" s="3">
        <f>IFERROR(INDEX('CAT_TURNOS'!$D$4:$D$7,MATCH($J232,'CAT_TURNOS'!$A$4:$A$7,0)),"")</f>
        <v/>
      </c>
      <c r="Q232" s="3">
        <f>IF(AND(LEFT($G232,1)="T",$H232="no"),"sí","no")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01</t>
        </is>
      </c>
      <c r="D233" s="3">
        <f>IFERROR(INDEX('TECNICOS'!$D$4:$D$19,MATCH($C233,'TECNICOS'!$B$4:$B$19,0)),"")</f>
        <v/>
      </c>
      <c r="E233" s="3">
        <f>IFERROR(INDEX('TECNICOS'!$C$4:$C$19,MATCH($C233,'TECNICOS'!$B$4:$B$19,0)),"")</f>
        <v/>
      </c>
      <c r="F233" s="3">
        <f>COUNTIFS('TECNICOS'!$F$4:$F$19,"SI",'TECNICOS'!$C$4:$C$19,$E233,'TECNICOS'!$D$4:$D$19,$D233)</f>
        <v/>
      </c>
      <c r="G233" s="3">
        <f>IF(OR($C233="",$A233="",$B233="domingo"),"",IF(IFERROR(INDEX('TECNICOS'!$F$4:$F$19,MATCH($C233,'TECNICOS'!$B$4:$B$19,0)),"NO")&lt;&gt;"SI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3">
        <f>IF(COUNTIFS('PLAN_VACACIONES'!$A$4:$A$103,$C233,'PLAN_VACACIONES'!$B$4:$B$103,"&lt;="&amp;$L233,'PLAN_VACACIONES'!$C$4:$C$103,"&gt;="&amp;$L233)&gt;0,"sí","no")</f>
        <v/>
      </c>
      <c r="I233" s="6" t="n"/>
      <c r="J233" s="3">
        <f>IF($I233&lt;&gt;"",$I233,IF($G233="","",IF($H233="sí","VAC",IF(LEFT($G233,1)="B","B",$G233))))</f>
        <v/>
      </c>
      <c r="K233" s="3">
        <f>IFERROR(INDEX('TECNICOS'!$E$4:$E$19,MATCH($C233,'TECNICOS'!$B$4:$B$19,0)),"")</f>
        <v/>
      </c>
      <c r="L233" s="12">
        <f>IF($A233="","",DATE(VALUE(LEFT($A233,4)),1,4)-WEEKDAY(DATE(VALUE(LEFT($A233,4)),1,4),2)+1+(VALUE(MID($A233,7,2))-1)*7+MATCH($B233,lista_dias,0)-1)</f>
        <v/>
      </c>
      <c r="M233" s="3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3">
        <f>$A233&amp;"|"&amp;$B233&amp;"|"&amp;$C233</f>
        <v/>
      </c>
      <c r="O233" s="3">
        <f>IFERROR(INDEX('CAT_TURNOS'!$C$4:$C$7,MATCH($J233,'CAT_TURNOS'!$A$4:$A$7,0)),"")</f>
        <v/>
      </c>
      <c r="P233" s="3">
        <f>IFERROR(INDEX('CAT_TURNOS'!$D$4:$D$7,MATCH($J233,'CAT_TURNOS'!$A$4:$A$7,0)),"")</f>
        <v/>
      </c>
      <c r="Q233" s="3">
        <f>IF(AND(LEFT($G233,1)="T",$H233="no"),"sí","no")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01</t>
        </is>
      </c>
      <c r="D234" s="3">
        <f>IFERROR(INDEX('TECNICOS'!$D$4:$D$19,MATCH($C234,'TECNICOS'!$B$4:$B$19,0)),"")</f>
        <v/>
      </c>
      <c r="E234" s="3">
        <f>IFERROR(INDEX('TECNICOS'!$C$4:$C$19,MATCH($C234,'TECNICOS'!$B$4:$B$19,0)),"")</f>
        <v/>
      </c>
      <c r="F234" s="3">
        <f>COUNTIFS('TECNICOS'!$F$4:$F$19,"SI",'TECNICOS'!$C$4:$C$19,$E234,'TECNICOS'!$D$4:$D$19,$D234)</f>
        <v/>
      </c>
      <c r="G234" s="3">
        <f>IF(OR($C234="",$A234="",$B234="domingo"),"",IF(IFERROR(INDEX('TECNICOS'!$F$4:$F$19,MATCH($C234,'TECNICOS'!$B$4:$B$19,0)),"NO")&lt;&gt;"SI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3">
        <f>IF(COUNTIFS('PLAN_VACACIONES'!$A$4:$A$103,$C234,'PLAN_VACACIONES'!$B$4:$B$103,"&lt;="&amp;$L234,'PLAN_VACACIONES'!$C$4:$C$103,"&gt;="&amp;$L234)&gt;0,"sí","no")</f>
        <v/>
      </c>
      <c r="I234" s="6" t="n"/>
      <c r="J234" s="3">
        <f>IF($I234&lt;&gt;"",$I234,IF($G234="","",IF($H234="sí","VAC",IF(LEFT($G234,1)="B","B",$G234))))</f>
        <v/>
      </c>
      <c r="K234" s="3">
        <f>IFERROR(INDEX('TECNICOS'!$E$4:$E$19,MATCH($C234,'TECNICOS'!$B$4:$B$19,0)),"")</f>
        <v/>
      </c>
      <c r="L234" s="12">
        <f>IF($A234="","",DATE(VALUE(LEFT($A234,4)),1,4)-WEEKDAY(DATE(VALUE(LEFT($A234,4)),1,4),2)+1+(VALUE(MID($A234,7,2))-1)*7+MATCH($B234,lista_dias,0)-1)</f>
        <v/>
      </c>
      <c r="M234" s="3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3">
        <f>$A234&amp;"|"&amp;$B234&amp;"|"&amp;$C234</f>
        <v/>
      </c>
      <c r="O234" s="3">
        <f>IFERROR(INDEX('CAT_TURNOS'!$C$4:$C$7,MATCH($J234,'CAT_TURNOS'!$A$4:$A$7,0)),"")</f>
        <v/>
      </c>
      <c r="P234" s="3">
        <f>IFERROR(INDEX('CAT_TURNOS'!$D$4:$D$7,MATCH($J234,'CAT_TURNOS'!$A$4:$A$7,0)),"")</f>
        <v/>
      </c>
      <c r="Q234" s="3">
        <f>IF(AND(LEFT($G234,1)="T",$H234="no"),"sí","no")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02</t>
        </is>
      </c>
      <c r="D235" s="3">
        <f>IFERROR(INDEX('TECNICOS'!$D$4:$D$19,MATCH($C235,'TECNICOS'!$B$4:$B$19,0)),"")</f>
        <v/>
      </c>
      <c r="E235" s="3">
        <f>IFERROR(INDEX('TECNICOS'!$C$4:$C$19,MATCH($C235,'TECNICOS'!$B$4:$B$19,0)),"")</f>
        <v/>
      </c>
      <c r="F235" s="3">
        <f>COUNTIFS('TECNICOS'!$F$4:$F$19,"SI",'TECNICOS'!$C$4:$C$19,$E235,'TECNICOS'!$D$4:$D$19,$D235)</f>
        <v/>
      </c>
      <c r="G235" s="3">
        <f>IF(OR($C235="",$A235="",$B235="domingo"),"",IF(IFERROR(INDEX('TECNICOS'!$F$4:$F$19,MATCH($C235,'TECNICOS'!$B$4:$B$19,0)),"NO")&lt;&gt;"SI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3">
        <f>IF(COUNTIFS('PLAN_VACACIONES'!$A$4:$A$103,$C235,'PLAN_VACACIONES'!$B$4:$B$103,"&lt;="&amp;$L235,'PLAN_VACACIONES'!$C$4:$C$103,"&gt;="&amp;$L235)&gt;0,"sí","no")</f>
        <v/>
      </c>
      <c r="I235" s="6" t="n"/>
      <c r="J235" s="3">
        <f>IF($I235&lt;&gt;"",$I235,IF($G235="","",IF($H235="sí","VAC",IF(LEFT($G235,1)="B","B",$G235))))</f>
        <v/>
      </c>
      <c r="K235" s="3">
        <f>IFERROR(INDEX('TECNICOS'!$E$4:$E$19,MATCH($C235,'TECNICOS'!$B$4:$B$19,0)),"")</f>
        <v/>
      </c>
      <c r="L235" s="12">
        <f>IF($A235="","",DATE(VALUE(LEFT($A235,4)),1,4)-WEEKDAY(DATE(VALUE(LEFT($A235,4)),1,4),2)+1+(VALUE(MID($A235,7,2))-1)*7+MATCH($B235,lista_dias,0)-1)</f>
        <v/>
      </c>
      <c r="M235" s="3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3">
        <f>$A235&amp;"|"&amp;$B235&amp;"|"&amp;$C235</f>
        <v/>
      </c>
      <c r="O235" s="3">
        <f>IFERROR(INDEX('CAT_TURNOS'!$C$4:$C$7,MATCH($J235,'CAT_TURNOS'!$A$4:$A$7,0)),"")</f>
        <v/>
      </c>
      <c r="P235" s="3">
        <f>IFERROR(INDEX('CAT_TURNOS'!$D$4:$D$7,MATCH($J235,'CAT_TURNOS'!$A$4:$A$7,0)),"")</f>
        <v/>
      </c>
      <c r="Q235" s="3">
        <f>IF(AND(LEFT($G235,1)="T",$H235="no"),"sí","no")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02</t>
        </is>
      </c>
      <c r="D236" s="3">
        <f>IFERROR(INDEX('TECNICOS'!$D$4:$D$19,MATCH($C236,'TECNICOS'!$B$4:$B$19,0)),"")</f>
        <v/>
      </c>
      <c r="E236" s="3">
        <f>IFERROR(INDEX('TECNICOS'!$C$4:$C$19,MATCH($C236,'TECNICOS'!$B$4:$B$19,0)),"")</f>
        <v/>
      </c>
      <c r="F236" s="3">
        <f>COUNTIFS('TECNICOS'!$F$4:$F$19,"SI",'TECNICOS'!$C$4:$C$19,$E236,'TECNICOS'!$D$4:$D$19,$D236)</f>
        <v/>
      </c>
      <c r="G236" s="3">
        <f>IF(OR($C236="",$A236="",$B236="domingo"),"",IF(IFERROR(INDEX('TECNICOS'!$F$4:$F$19,MATCH($C236,'TECNICOS'!$B$4:$B$19,0)),"NO")&lt;&gt;"SI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3">
        <f>IF(COUNTIFS('PLAN_VACACIONES'!$A$4:$A$103,$C236,'PLAN_VACACIONES'!$B$4:$B$103,"&lt;="&amp;$L236,'PLAN_VACACIONES'!$C$4:$C$103,"&gt;="&amp;$L236)&gt;0,"sí","no")</f>
        <v/>
      </c>
      <c r="I236" s="6" t="n"/>
      <c r="J236" s="3">
        <f>IF($I236&lt;&gt;"",$I236,IF($G236="","",IF($H236="sí","VAC",IF(LEFT($G236,1)="B","B",$G236))))</f>
        <v/>
      </c>
      <c r="K236" s="3">
        <f>IFERROR(INDEX('TECNICOS'!$E$4:$E$19,MATCH($C236,'TECNICOS'!$B$4:$B$19,0)),"")</f>
        <v/>
      </c>
      <c r="L236" s="12">
        <f>IF($A236="","",DATE(VALUE(LEFT($A236,4)),1,4)-WEEKDAY(DATE(VALUE(LEFT($A236,4)),1,4),2)+1+(VALUE(MID($A236,7,2))-1)*7+MATCH($B236,lista_dias,0)-1)</f>
        <v/>
      </c>
      <c r="M236" s="3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3">
        <f>$A236&amp;"|"&amp;$B236&amp;"|"&amp;$C236</f>
        <v/>
      </c>
      <c r="O236" s="3">
        <f>IFERROR(INDEX('CAT_TURNOS'!$C$4:$C$7,MATCH($J236,'CAT_TURNOS'!$A$4:$A$7,0)),"")</f>
        <v/>
      </c>
      <c r="P236" s="3">
        <f>IFERROR(INDEX('CAT_TURNOS'!$D$4:$D$7,MATCH($J236,'CAT_TURNOS'!$A$4:$A$7,0)),"")</f>
        <v/>
      </c>
      <c r="Q236" s="3">
        <f>IF(AND(LEFT($G236,1)="T",$H236="no"),"sí","no")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02</t>
        </is>
      </c>
      <c r="D237" s="3">
        <f>IFERROR(INDEX('TECNICOS'!$D$4:$D$19,MATCH($C237,'TECNICOS'!$B$4:$B$19,0)),"")</f>
        <v/>
      </c>
      <c r="E237" s="3">
        <f>IFERROR(INDEX('TECNICOS'!$C$4:$C$19,MATCH($C237,'TECNICOS'!$B$4:$B$19,0)),"")</f>
        <v/>
      </c>
      <c r="F237" s="3">
        <f>COUNTIFS('TECNICOS'!$F$4:$F$19,"SI",'TECNICOS'!$C$4:$C$19,$E237,'TECNICOS'!$D$4:$D$19,$D237)</f>
        <v/>
      </c>
      <c r="G237" s="3">
        <f>IF(OR($C237="",$A237="",$B237="domingo"),"",IF(IFERROR(INDEX('TECNICOS'!$F$4:$F$19,MATCH($C237,'TECNICOS'!$B$4:$B$19,0)),"NO")&lt;&gt;"SI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3">
        <f>IF(COUNTIFS('PLAN_VACACIONES'!$A$4:$A$103,$C237,'PLAN_VACACIONES'!$B$4:$B$103,"&lt;="&amp;$L237,'PLAN_VACACIONES'!$C$4:$C$103,"&gt;="&amp;$L237)&gt;0,"sí","no")</f>
        <v/>
      </c>
      <c r="I237" s="6" t="n"/>
      <c r="J237" s="3">
        <f>IF($I237&lt;&gt;"",$I237,IF($G237="","",IF($H237="sí","VAC",IF(LEFT($G237,1)="B","B",$G237))))</f>
        <v/>
      </c>
      <c r="K237" s="3">
        <f>IFERROR(INDEX('TECNICOS'!$E$4:$E$19,MATCH($C237,'TECNICOS'!$B$4:$B$19,0)),"")</f>
        <v/>
      </c>
      <c r="L237" s="12">
        <f>IF($A237="","",DATE(VALUE(LEFT($A237,4)),1,4)-WEEKDAY(DATE(VALUE(LEFT($A237,4)),1,4),2)+1+(VALUE(MID($A237,7,2))-1)*7+MATCH($B237,lista_dias,0)-1)</f>
        <v/>
      </c>
      <c r="M237" s="3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3">
        <f>$A237&amp;"|"&amp;$B237&amp;"|"&amp;$C237</f>
        <v/>
      </c>
      <c r="O237" s="3">
        <f>IFERROR(INDEX('CAT_TURNOS'!$C$4:$C$7,MATCH($J237,'CAT_TURNOS'!$A$4:$A$7,0)),"")</f>
        <v/>
      </c>
      <c r="P237" s="3">
        <f>IFERROR(INDEX('CAT_TURNOS'!$D$4:$D$7,MATCH($J237,'CAT_TURNOS'!$A$4:$A$7,0)),"")</f>
        <v/>
      </c>
      <c r="Q237" s="3">
        <f>IF(AND(LEFT($G237,1)="T",$H237="no"),"sí","no")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02</t>
        </is>
      </c>
      <c r="D238" s="3">
        <f>IFERROR(INDEX('TECNICOS'!$D$4:$D$19,MATCH($C238,'TECNICOS'!$B$4:$B$19,0)),"")</f>
        <v/>
      </c>
      <c r="E238" s="3">
        <f>IFERROR(INDEX('TECNICOS'!$C$4:$C$19,MATCH($C238,'TECNICOS'!$B$4:$B$19,0)),"")</f>
        <v/>
      </c>
      <c r="F238" s="3">
        <f>COUNTIFS('TECNICOS'!$F$4:$F$19,"SI",'TECNICOS'!$C$4:$C$19,$E238,'TECNICOS'!$D$4:$D$19,$D238)</f>
        <v/>
      </c>
      <c r="G238" s="3">
        <f>IF(OR($C238="",$A238="",$B238="domingo"),"",IF(IFERROR(INDEX('TECNICOS'!$F$4:$F$19,MATCH($C238,'TECNICOS'!$B$4:$B$19,0)),"NO")&lt;&gt;"SI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3">
        <f>IF(COUNTIFS('PLAN_VACACIONES'!$A$4:$A$103,$C238,'PLAN_VACACIONES'!$B$4:$B$103,"&lt;="&amp;$L238,'PLAN_VACACIONES'!$C$4:$C$103,"&gt;="&amp;$L238)&gt;0,"sí","no")</f>
        <v/>
      </c>
      <c r="I238" s="6" t="n"/>
      <c r="J238" s="3">
        <f>IF($I238&lt;&gt;"",$I238,IF($G238="","",IF($H238="sí","VAC",IF(LEFT($G238,1)="B","B",$G238))))</f>
        <v/>
      </c>
      <c r="K238" s="3">
        <f>IFERROR(INDEX('TECNICOS'!$E$4:$E$19,MATCH($C238,'TECNICOS'!$B$4:$B$19,0)),"")</f>
        <v/>
      </c>
      <c r="L238" s="12">
        <f>IF($A238="","",DATE(VALUE(LEFT($A238,4)),1,4)-WEEKDAY(DATE(VALUE(LEFT($A238,4)),1,4),2)+1+(VALUE(MID($A238,7,2))-1)*7+MATCH($B238,lista_dias,0)-1)</f>
        <v/>
      </c>
      <c r="M238" s="3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3">
        <f>$A238&amp;"|"&amp;$B238&amp;"|"&amp;$C238</f>
        <v/>
      </c>
      <c r="O238" s="3">
        <f>IFERROR(INDEX('CAT_TURNOS'!$C$4:$C$7,MATCH($J238,'CAT_TURNOS'!$A$4:$A$7,0)),"")</f>
        <v/>
      </c>
      <c r="P238" s="3">
        <f>IFERROR(INDEX('CAT_TURNOS'!$D$4:$D$7,MATCH($J238,'CAT_TURNOS'!$A$4:$A$7,0)),"")</f>
        <v/>
      </c>
      <c r="Q238" s="3">
        <f>IF(AND(LEFT($G238,1)="T",$H238="no"),"sí","no")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02</t>
        </is>
      </c>
      <c r="D239" s="3">
        <f>IFERROR(INDEX('TECNICOS'!$D$4:$D$19,MATCH($C239,'TECNICOS'!$B$4:$B$19,0)),"")</f>
        <v/>
      </c>
      <c r="E239" s="3">
        <f>IFERROR(INDEX('TECNICOS'!$C$4:$C$19,MATCH($C239,'TECNICOS'!$B$4:$B$19,0)),"")</f>
        <v/>
      </c>
      <c r="F239" s="3">
        <f>COUNTIFS('TECNICOS'!$F$4:$F$19,"SI",'TECNICOS'!$C$4:$C$19,$E239,'TECNICOS'!$D$4:$D$19,$D239)</f>
        <v/>
      </c>
      <c r="G239" s="3">
        <f>IF(OR($C239="",$A239="",$B239="domingo"),"",IF(IFERROR(INDEX('TECNICOS'!$F$4:$F$19,MATCH($C239,'TECNICOS'!$B$4:$B$19,0)),"NO")&lt;&gt;"SI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3">
        <f>IF(COUNTIFS('PLAN_VACACIONES'!$A$4:$A$103,$C239,'PLAN_VACACIONES'!$B$4:$B$103,"&lt;="&amp;$L239,'PLAN_VACACIONES'!$C$4:$C$103,"&gt;="&amp;$L239)&gt;0,"sí","no")</f>
        <v/>
      </c>
      <c r="I239" s="6" t="n"/>
      <c r="J239" s="3">
        <f>IF($I239&lt;&gt;"",$I239,IF($G239="","",IF($H239="sí","VAC",IF(LEFT($G239,1)="B","B",$G239))))</f>
        <v/>
      </c>
      <c r="K239" s="3">
        <f>IFERROR(INDEX('TECNICOS'!$E$4:$E$19,MATCH($C239,'TECNICOS'!$B$4:$B$19,0)),"")</f>
        <v/>
      </c>
      <c r="L239" s="12">
        <f>IF($A239="","",DATE(VALUE(LEFT($A239,4)),1,4)-WEEKDAY(DATE(VALUE(LEFT($A239,4)),1,4),2)+1+(VALUE(MID($A239,7,2))-1)*7+MATCH($B239,lista_dias,0)-1)</f>
        <v/>
      </c>
      <c r="M239" s="3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3">
        <f>$A239&amp;"|"&amp;$B239&amp;"|"&amp;$C239</f>
        <v/>
      </c>
      <c r="O239" s="3">
        <f>IFERROR(INDEX('CAT_TURNOS'!$C$4:$C$7,MATCH($J239,'CAT_TURNOS'!$A$4:$A$7,0)),"")</f>
        <v/>
      </c>
      <c r="P239" s="3">
        <f>IFERROR(INDEX('CAT_TURNOS'!$D$4:$D$7,MATCH($J239,'CAT_TURNOS'!$A$4:$A$7,0)),"")</f>
        <v/>
      </c>
      <c r="Q239" s="3">
        <f>IF(AND(LEFT($G239,1)="T",$H239="no"),"sí","no")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02</t>
        </is>
      </c>
      <c r="D240" s="3">
        <f>IFERROR(INDEX('TECNICOS'!$D$4:$D$19,MATCH($C240,'TECNICOS'!$B$4:$B$19,0)),"")</f>
        <v/>
      </c>
      <c r="E240" s="3">
        <f>IFERROR(INDEX('TECNICOS'!$C$4:$C$19,MATCH($C240,'TECNICOS'!$B$4:$B$19,0)),"")</f>
        <v/>
      </c>
      <c r="F240" s="3">
        <f>COUNTIFS('TECNICOS'!$F$4:$F$19,"SI",'TECNICOS'!$C$4:$C$19,$E240,'TECNICOS'!$D$4:$D$19,$D240)</f>
        <v/>
      </c>
      <c r="G240" s="3">
        <f>IF(OR($C240="",$A240="",$B240="domingo"),"",IF(IFERROR(INDEX('TECNICOS'!$F$4:$F$19,MATCH($C240,'TECNICOS'!$B$4:$B$19,0)),"NO")&lt;&gt;"SI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3">
        <f>IF(COUNTIFS('PLAN_VACACIONES'!$A$4:$A$103,$C240,'PLAN_VACACIONES'!$B$4:$B$103,"&lt;="&amp;$L240,'PLAN_VACACIONES'!$C$4:$C$103,"&gt;="&amp;$L240)&gt;0,"sí","no")</f>
        <v/>
      </c>
      <c r="I240" s="6" t="n"/>
      <c r="J240" s="3">
        <f>IF($I240&lt;&gt;"",$I240,IF($G240="","",IF($H240="sí","VAC",IF(LEFT($G240,1)="B","B",$G240))))</f>
        <v/>
      </c>
      <c r="K240" s="3">
        <f>IFERROR(INDEX('TECNICOS'!$E$4:$E$19,MATCH($C240,'TECNICOS'!$B$4:$B$19,0)),"")</f>
        <v/>
      </c>
      <c r="L240" s="12">
        <f>IF($A240="","",DATE(VALUE(LEFT($A240,4)),1,4)-WEEKDAY(DATE(VALUE(LEFT($A240,4)),1,4),2)+1+(VALUE(MID($A240,7,2))-1)*7+MATCH($B240,lista_dias,0)-1)</f>
        <v/>
      </c>
      <c r="M240" s="3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3">
        <f>$A240&amp;"|"&amp;$B240&amp;"|"&amp;$C240</f>
        <v/>
      </c>
      <c r="O240" s="3">
        <f>IFERROR(INDEX('CAT_TURNOS'!$C$4:$C$7,MATCH($J240,'CAT_TURNOS'!$A$4:$A$7,0)),"")</f>
        <v/>
      </c>
      <c r="P240" s="3">
        <f>IFERROR(INDEX('CAT_TURNOS'!$D$4:$D$7,MATCH($J240,'CAT_TURNOS'!$A$4:$A$7,0)),"")</f>
        <v/>
      </c>
      <c r="Q240" s="3">
        <f>IF(AND(LEFT($G240,1)="T",$H240="no"),"sí","no")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02</t>
        </is>
      </c>
      <c r="D241" s="3">
        <f>IFERROR(INDEX('TECNICOS'!$D$4:$D$19,MATCH($C241,'TECNICOS'!$B$4:$B$19,0)),"")</f>
        <v/>
      </c>
      <c r="E241" s="3">
        <f>IFERROR(INDEX('TECNICOS'!$C$4:$C$19,MATCH($C241,'TECNICOS'!$B$4:$B$19,0)),"")</f>
        <v/>
      </c>
      <c r="F241" s="3">
        <f>COUNTIFS('TECNICOS'!$F$4:$F$19,"SI",'TECNICOS'!$C$4:$C$19,$E241,'TECNICOS'!$D$4:$D$19,$D241)</f>
        <v/>
      </c>
      <c r="G241" s="3">
        <f>IF(OR($C241="",$A241="",$B241="domingo"),"",IF(IFERROR(INDEX('TECNICOS'!$F$4:$F$19,MATCH($C241,'TECNICOS'!$B$4:$B$19,0)),"NO")&lt;&gt;"SI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3">
        <f>IF(COUNTIFS('PLAN_VACACIONES'!$A$4:$A$103,$C241,'PLAN_VACACIONES'!$B$4:$B$103,"&lt;="&amp;$L241,'PLAN_VACACIONES'!$C$4:$C$103,"&gt;="&amp;$L241)&gt;0,"sí","no")</f>
        <v/>
      </c>
      <c r="I241" s="6" t="n"/>
      <c r="J241" s="3">
        <f>IF($I241&lt;&gt;"",$I241,IF($G241="","",IF($H241="sí","VAC",IF(LEFT($G241,1)="B","B",$G241))))</f>
        <v/>
      </c>
      <c r="K241" s="3">
        <f>IFERROR(INDEX('TECNICOS'!$E$4:$E$19,MATCH($C241,'TECNICOS'!$B$4:$B$19,0)),"")</f>
        <v/>
      </c>
      <c r="L241" s="12">
        <f>IF($A241="","",DATE(VALUE(LEFT($A241,4)),1,4)-WEEKDAY(DATE(VALUE(LEFT($A241,4)),1,4),2)+1+(VALUE(MID($A241,7,2))-1)*7+MATCH($B241,lista_dias,0)-1)</f>
        <v/>
      </c>
      <c r="M241" s="3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3">
        <f>$A241&amp;"|"&amp;$B241&amp;"|"&amp;$C241</f>
        <v/>
      </c>
      <c r="O241" s="3">
        <f>IFERROR(INDEX('CAT_TURNOS'!$C$4:$C$7,MATCH($J241,'CAT_TURNOS'!$A$4:$A$7,0)),"")</f>
        <v/>
      </c>
      <c r="P241" s="3">
        <f>IFERROR(INDEX('CAT_TURNOS'!$D$4:$D$7,MATCH($J241,'CAT_TURNOS'!$A$4:$A$7,0)),"")</f>
        <v/>
      </c>
      <c r="Q241" s="3">
        <f>IF(AND(LEFT($G241,1)="T",$H241="no"),"sí","no")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03</t>
        </is>
      </c>
      <c r="D242" s="3">
        <f>IFERROR(INDEX('TECNICOS'!$D$4:$D$19,MATCH($C242,'TECNICOS'!$B$4:$B$19,0)),"")</f>
        <v/>
      </c>
      <c r="E242" s="3">
        <f>IFERROR(INDEX('TECNICOS'!$C$4:$C$19,MATCH($C242,'TECNICOS'!$B$4:$B$19,0)),"")</f>
        <v/>
      </c>
      <c r="F242" s="3">
        <f>COUNTIFS('TECNICOS'!$F$4:$F$19,"SI",'TECNICOS'!$C$4:$C$19,$E242,'TECNICOS'!$D$4:$D$19,$D242)</f>
        <v/>
      </c>
      <c r="G242" s="3">
        <f>IF(OR($C242="",$A242="",$B242="domingo"),"",IF(IFERROR(INDEX('TECNICOS'!$F$4:$F$19,MATCH($C242,'TECNICOS'!$B$4:$B$19,0)),"NO")&lt;&gt;"SI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3">
        <f>IF(COUNTIFS('PLAN_VACACIONES'!$A$4:$A$103,$C242,'PLAN_VACACIONES'!$B$4:$B$103,"&lt;="&amp;$L242,'PLAN_VACACIONES'!$C$4:$C$103,"&gt;="&amp;$L242)&gt;0,"sí","no")</f>
        <v/>
      </c>
      <c r="I242" s="6" t="n"/>
      <c r="J242" s="3">
        <f>IF($I242&lt;&gt;"",$I242,IF($G242="","",IF($H242="sí","VAC",IF(LEFT($G242,1)="B","B",$G242))))</f>
        <v/>
      </c>
      <c r="K242" s="3">
        <f>IFERROR(INDEX('TECNICOS'!$E$4:$E$19,MATCH($C242,'TECNICOS'!$B$4:$B$19,0)),"")</f>
        <v/>
      </c>
      <c r="L242" s="12">
        <f>IF($A242="","",DATE(VALUE(LEFT($A242,4)),1,4)-WEEKDAY(DATE(VALUE(LEFT($A242,4)),1,4),2)+1+(VALUE(MID($A242,7,2))-1)*7+MATCH($B242,lista_dias,0)-1)</f>
        <v/>
      </c>
      <c r="M242" s="3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3">
        <f>$A242&amp;"|"&amp;$B242&amp;"|"&amp;$C242</f>
        <v/>
      </c>
      <c r="O242" s="3">
        <f>IFERROR(INDEX('CAT_TURNOS'!$C$4:$C$7,MATCH($J242,'CAT_TURNOS'!$A$4:$A$7,0)),"")</f>
        <v/>
      </c>
      <c r="P242" s="3">
        <f>IFERROR(INDEX('CAT_TURNOS'!$D$4:$D$7,MATCH($J242,'CAT_TURNOS'!$A$4:$A$7,0)),"")</f>
        <v/>
      </c>
      <c r="Q242" s="3">
        <f>IF(AND(LEFT($G242,1)="T",$H242="no"),"sí","no")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03</t>
        </is>
      </c>
      <c r="D243" s="3">
        <f>IFERROR(INDEX('TECNICOS'!$D$4:$D$19,MATCH($C243,'TECNICOS'!$B$4:$B$19,0)),"")</f>
        <v/>
      </c>
      <c r="E243" s="3">
        <f>IFERROR(INDEX('TECNICOS'!$C$4:$C$19,MATCH($C243,'TECNICOS'!$B$4:$B$19,0)),"")</f>
        <v/>
      </c>
      <c r="F243" s="3">
        <f>COUNTIFS('TECNICOS'!$F$4:$F$19,"SI",'TECNICOS'!$C$4:$C$19,$E243,'TECNICOS'!$D$4:$D$19,$D243)</f>
        <v/>
      </c>
      <c r="G243" s="3">
        <f>IF(OR($C243="",$A243="",$B243="domingo"),"",IF(IFERROR(INDEX('TECNICOS'!$F$4:$F$19,MATCH($C243,'TECNICOS'!$B$4:$B$19,0)),"NO")&lt;&gt;"SI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3">
        <f>IF(COUNTIFS('PLAN_VACACIONES'!$A$4:$A$103,$C243,'PLAN_VACACIONES'!$B$4:$B$103,"&lt;="&amp;$L243,'PLAN_VACACIONES'!$C$4:$C$103,"&gt;="&amp;$L243)&gt;0,"sí","no")</f>
        <v/>
      </c>
      <c r="I243" s="6" t="n"/>
      <c r="J243" s="3">
        <f>IF($I243&lt;&gt;"",$I243,IF($G243="","",IF($H243="sí","VAC",IF(LEFT($G243,1)="B","B",$G243))))</f>
        <v/>
      </c>
      <c r="K243" s="3">
        <f>IFERROR(INDEX('TECNICOS'!$E$4:$E$19,MATCH($C243,'TECNICOS'!$B$4:$B$19,0)),"")</f>
        <v/>
      </c>
      <c r="L243" s="12">
        <f>IF($A243="","",DATE(VALUE(LEFT($A243,4)),1,4)-WEEKDAY(DATE(VALUE(LEFT($A243,4)),1,4),2)+1+(VALUE(MID($A243,7,2))-1)*7+MATCH($B243,lista_dias,0)-1)</f>
        <v/>
      </c>
      <c r="M243" s="3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3">
        <f>$A243&amp;"|"&amp;$B243&amp;"|"&amp;$C243</f>
        <v/>
      </c>
      <c r="O243" s="3">
        <f>IFERROR(INDEX('CAT_TURNOS'!$C$4:$C$7,MATCH($J243,'CAT_TURNOS'!$A$4:$A$7,0)),"")</f>
        <v/>
      </c>
      <c r="P243" s="3">
        <f>IFERROR(INDEX('CAT_TURNOS'!$D$4:$D$7,MATCH($J243,'CAT_TURNOS'!$A$4:$A$7,0)),"")</f>
        <v/>
      </c>
      <c r="Q243" s="3">
        <f>IF(AND(LEFT($G243,1)="T",$H243="no"),"sí","no")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03</t>
        </is>
      </c>
      <c r="D244" s="3">
        <f>IFERROR(INDEX('TECNICOS'!$D$4:$D$19,MATCH($C244,'TECNICOS'!$B$4:$B$19,0)),"")</f>
        <v/>
      </c>
      <c r="E244" s="3">
        <f>IFERROR(INDEX('TECNICOS'!$C$4:$C$19,MATCH($C244,'TECNICOS'!$B$4:$B$19,0)),"")</f>
        <v/>
      </c>
      <c r="F244" s="3">
        <f>COUNTIFS('TECNICOS'!$F$4:$F$19,"SI",'TECNICOS'!$C$4:$C$19,$E244,'TECNICOS'!$D$4:$D$19,$D244)</f>
        <v/>
      </c>
      <c r="G244" s="3">
        <f>IF(OR($C244="",$A244="",$B244="domingo"),"",IF(IFERROR(INDEX('TECNICOS'!$F$4:$F$19,MATCH($C244,'TECNICOS'!$B$4:$B$19,0)),"NO")&lt;&gt;"SI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3">
        <f>IF(COUNTIFS('PLAN_VACACIONES'!$A$4:$A$103,$C244,'PLAN_VACACIONES'!$B$4:$B$103,"&lt;="&amp;$L244,'PLAN_VACACIONES'!$C$4:$C$103,"&gt;="&amp;$L244)&gt;0,"sí","no")</f>
        <v/>
      </c>
      <c r="I244" s="6" t="n"/>
      <c r="J244" s="3">
        <f>IF($I244&lt;&gt;"",$I244,IF($G244="","",IF($H244="sí","VAC",IF(LEFT($G244,1)="B","B",$G244))))</f>
        <v/>
      </c>
      <c r="K244" s="3">
        <f>IFERROR(INDEX('TECNICOS'!$E$4:$E$19,MATCH($C244,'TECNICOS'!$B$4:$B$19,0)),"")</f>
        <v/>
      </c>
      <c r="L244" s="12">
        <f>IF($A244="","",DATE(VALUE(LEFT($A244,4)),1,4)-WEEKDAY(DATE(VALUE(LEFT($A244,4)),1,4),2)+1+(VALUE(MID($A244,7,2))-1)*7+MATCH($B244,lista_dias,0)-1)</f>
        <v/>
      </c>
      <c r="M244" s="3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3">
        <f>$A244&amp;"|"&amp;$B244&amp;"|"&amp;$C244</f>
        <v/>
      </c>
      <c r="O244" s="3">
        <f>IFERROR(INDEX('CAT_TURNOS'!$C$4:$C$7,MATCH($J244,'CAT_TURNOS'!$A$4:$A$7,0)),"")</f>
        <v/>
      </c>
      <c r="P244" s="3">
        <f>IFERROR(INDEX('CAT_TURNOS'!$D$4:$D$7,MATCH($J244,'CAT_TURNOS'!$A$4:$A$7,0)),"")</f>
        <v/>
      </c>
      <c r="Q244" s="3">
        <f>IF(AND(LEFT($G244,1)="T",$H244="no"),"sí","no")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03</t>
        </is>
      </c>
      <c r="D245" s="3">
        <f>IFERROR(INDEX('TECNICOS'!$D$4:$D$19,MATCH($C245,'TECNICOS'!$B$4:$B$19,0)),"")</f>
        <v/>
      </c>
      <c r="E245" s="3">
        <f>IFERROR(INDEX('TECNICOS'!$C$4:$C$19,MATCH($C245,'TECNICOS'!$B$4:$B$19,0)),"")</f>
        <v/>
      </c>
      <c r="F245" s="3">
        <f>COUNTIFS('TECNICOS'!$F$4:$F$19,"SI",'TECNICOS'!$C$4:$C$19,$E245,'TECNICOS'!$D$4:$D$19,$D245)</f>
        <v/>
      </c>
      <c r="G245" s="3">
        <f>IF(OR($C245="",$A245="",$B245="domingo"),"",IF(IFERROR(INDEX('TECNICOS'!$F$4:$F$19,MATCH($C245,'TECNICOS'!$B$4:$B$19,0)),"NO")&lt;&gt;"SI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3">
        <f>IF(COUNTIFS('PLAN_VACACIONES'!$A$4:$A$103,$C245,'PLAN_VACACIONES'!$B$4:$B$103,"&lt;="&amp;$L245,'PLAN_VACACIONES'!$C$4:$C$103,"&gt;="&amp;$L245)&gt;0,"sí","no")</f>
        <v/>
      </c>
      <c r="I245" s="6" t="n"/>
      <c r="J245" s="3">
        <f>IF($I245&lt;&gt;"",$I245,IF($G245="","",IF($H245="sí","VAC",IF(LEFT($G245,1)="B","B",$G245))))</f>
        <v/>
      </c>
      <c r="K245" s="3">
        <f>IFERROR(INDEX('TECNICOS'!$E$4:$E$19,MATCH($C245,'TECNICOS'!$B$4:$B$19,0)),"")</f>
        <v/>
      </c>
      <c r="L245" s="12">
        <f>IF($A245="","",DATE(VALUE(LEFT($A245,4)),1,4)-WEEKDAY(DATE(VALUE(LEFT($A245,4)),1,4),2)+1+(VALUE(MID($A245,7,2))-1)*7+MATCH($B245,lista_dias,0)-1)</f>
        <v/>
      </c>
      <c r="M245" s="3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3">
        <f>$A245&amp;"|"&amp;$B245&amp;"|"&amp;$C245</f>
        <v/>
      </c>
      <c r="O245" s="3">
        <f>IFERROR(INDEX('CAT_TURNOS'!$C$4:$C$7,MATCH($J245,'CAT_TURNOS'!$A$4:$A$7,0)),"")</f>
        <v/>
      </c>
      <c r="P245" s="3">
        <f>IFERROR(INDEX('CAT_TURNOS'!$D$4:$D$7,MATCH($J245,'CAT_TURNOS'!$A$4:$A$7,0)),"")</f>
        <v/>
      </c>
      <c r="Q245" s="3">
        <f>IF(AND(LEFT($G245,1)="T",$H245="no"),"sí","no")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03</t>
        </is>
      </c>
      <c r="D246" s="3">
        <f>IFERROR(INDEX('TECNICOS'!$D$4:$D$19,MATCH($C246,'TECNICOS'!$B$4:$B$19,0)),"")</f>
        <v/>
      </c>
      <c r="E246" s="3">
        <f>IFERROR(INDEX('TECNICOS'!$C$4:$C$19,MATCH($C246,'TECNICOS'!$B$4:$B$19,0)),"")</f>
        <v/>
      </c>
      <c r="F246" s="3">
        <f>COUNTIFS('TECNICOS'!$F$4:$F$19,"SI",'TECNICOS'!$C$4:$C$19,$E246,'TECNICOS'!$D$4:$D$19,$D246)</f>
        <v/>
      </c>
      <c r="G246" s="3">
        <f>IF(OR($C246="",$A246="",$B246="domingo"),"",IF(IFERROR(INDEX('TECNICOS'!$F$4:$F$19,MATCH($C246,'TECNICOS'!$B$4:$B$19,0)),"NO")&lt;&gt;"SI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3">
        <f>IF(COUNTIFS('PLAN_VACACIONES'!$A$4:$A$103,$C246,'PLAN_VACACIONES'!$B$4:$B$103,"&lt;="&amp;$L246,'PLAN_VACACIONES'!$C$4:$C$103,"&gt;="&amp;$L246)&gt;0,"sí","no")</f>
        <v/>
      </c>
      <c r="I246" s="6" t="n"/>
      <c r="J246" s="3">
        <f>IF($I246&lt;&gt;"",$I246,IF($G246="","",IF($H246="sí","VAC",IF(LEFT($G246,1)="B","B",$G246))))</f>
        <v/>
      </c>
      <c r="K246" s="3">
        <f>IFERROR(INDEX('TECNICOS'!$E$4:$E$19,MATCH($C246,'TECNICOS'!$B$4:$B$19,0)),"")</f>
        <v/>
      </c>
      <c r="L246" s="12">
        <f>IF($A246="","",DATE(VALUE(LEFT($A246,4)),1,4)-WEEKDAY(DATE(VALUE(LEFT($A246,4)),1,4),2)+1+(VALUE(MID($A246,7,2))-1)*7+MATCH($B246,lista_dias,0)-1)</f>
        <v/>
      </c>
      <c r="M246" s="3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3">
        <f>$A246&amp;"|"&amp;$B246&amp;"|"&amp;$C246</f>
        <v/>
      </c>
      <c r="O246" s="3">
        <f>IFERROR(INDEX('CAT_TURNOS'!$C$4:$C$7,MATCH($J246,'CAT_TURNOS'!$A$4:$A$7,0)),"")</f>
        <v/>
      </c>
      <c r="P246" s="3">
        <f>IFERROR(INDEX('CAT_TURNOS'!$D$4:$D$7,MATCH($J246,'CAT_TURNOS'!$A$4:$A$7,0)),"")</f>
        <v/>
      </c>
      <c r="Q246" s="3">
        <f>IF(AND(LEFT($G246,1)="T",$H246="no"),"sí","no")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03</t>
        </is>
      </c>
      <c r="D247" s="3">
        <f>IFERROR(INDEX('TECNICOS'!$D$4:$D$19,MATCH($C247,'TECNICOS'!$B$4:$B$19,0)),"")</f>
        <v/>
      </c>
      <c r="E247" s="3">
        <f>IFERROR(INDEX('TECNICOS'!$C$4:$C$19,MATCH($C247,'TECNICOS'!$B$4:$B$19,0)),"")</f>
        <v/>
      </c>
      <c r="F247" s="3">
        <f>COUNTIFS('TECNICOS'!$F$4:$F$19,"SI",'TECNICOS'!$C$4:$C$19,$E247,'TECNICOS'!$D$4:$D$19,$D247)</f>
        <v/>
      </c>
      <c r="G247" s="3">
        <f>IF(OR($C247="",$A247="",$B247="domingo"),"",IF(IFERROR(INDEX('TECNICOS'!$F$4:$F$19,MATCH($C247,'TECNICOS'!$B$4:$B$19,0)),"NO")&lt;&gt;"SI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3">
        <f>IF(COUNTIFS('PLAN_VACACIONES'!$A$4:$A$103,$C247,'PLAN_VACACIONES'!$B$4:$B$103,"&lt;="&amp;$L247,'PLAN_VACACIONES'!$C$4:$C$103,"&gt;="&amp;$L247)&gt;0,"sí","no")</f>
        <v/>
      </c>
      <c r="I247" s="6" t="n"/>
      <c r="J247" s="3">
        <f>IF($I247&lt;&gt;"",$I247,IF($G247="","",IF($H247="sí","VAC",IF(LEFT($G247,1)="B","B",$G247))))</f>
        <v/>
      </c>
      <c r="K247" s="3">
        <f>IFERROR(INDEX('TECNICOS'!$E$4:$E$19,MATCH($C247,'TECNICOS'!$B$4:$B$19,0)),"")</f>
        <v/>
      </c>
      <c r="L247" s="12">
        <f>IF($A247="","",DATE(VALUE(LEFT($A247,4)),1,4)-WEEKDAY(DATE(VALUE(LEFT($A247,4)),1,4),2)+1+(VALUE(MID($A247,7,2))-1)*7+MATCH($B247,lista_dias,0)-1)</f>
        <v/>
      </c>
      <c r="M247" s="3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3">
        <f>$A247&amp;"|"&amp;$B247&amp;"|"&amp;$C247</f>
        <v/>
      </c>
      <c r="O247" s="3">
        <f>IFERROR(INDEX('CAT_TURNOS'!$C$4:$C$7,MATCH($J247,'CAT_TURNOS'!$A$4:$A$7,0)),"")</f>
        <v/>
      </c>
      <c r="P247" s="3">
        <f>IFERROR(INDEX('CAT_TURNOS'!$D$4:$D$7,MATCH($J247,'CAT_TURNOS'!$A$4:$A$7,0)),"")</f>
        <v/>
      </c>
      <c r="Q247" s="3">
        <f>IF(AND(LEFT($G247,1)="T",$H247="no"),"sí","no")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03</t>
        </is>
      </c>
      <c r="D248" s="3">
        <f>IFERROR(INDEX('TECNICOS'!$D$4:$D$19,MATCH($C248,'TECNICOS'!$B$4:$B$19,0)),"")</f>
        <v/>
      </c>
      <c r="E248" s="3">
        <f>IFERROR(INDEX('TECNICOS'!$C$4:$C$19,MATCH($C248,'TECNICOS'!$B$4:$B$19,0)),"")</f>
        <v/>
      </c>
      <c r="F248" s="3">
        <f>COUNTIFS('TECNICOS'!$F$4:$F$19,"SI",'TECNICOS'!$C$4:$C$19,$E248,'TECNICOS'!$D$4:$D$19,$D248)</f>
        <v/>
      </c>
      <c r="G248" s="3">
        <f>IF(OR($C248="",$A248="",$B248="domingo"),"",IF(IFERROR(INDEX('TECNICOS'!$F$4:$F$19,MATCH($C248,'TECNICOS'!$B$4:$B$19,0)),"NO")&lt;&gt;"SI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3">
        <f>IF(COUNTIFS('PLAN_VACACIONES'!$A$4:$A$103,$C248,'PLAN_VACACIONES'!$B$4:$B$103,"&lt;="&amp;$L248,'PLAN_VACACIONES'!$C$4:$C$103,"&gt;="&amp;$L248)&gt;0,"sí","no")</f>
        <v/>
      </c>
      <c r="I248" s="6" t="n"/>
      <c r="J248" s="3">
        <f>IF($I248&lt;&gt;"",$I248,IF($G248="","",IF($H248="sí","VAC",IF(LEFT($G248,1)="B","B",$G248))))</f>
        <v/>
      </c>
      <c r="K248" s="3">
        <f>IFERROR(INDEX('TECNICOS'!$E$4:$E$19,MATCH($C248,'TECNICOS'!$B$4:$B$19,0)),"")</f>
        <v/>
      </c>
      <c r="L248" s="12">
        <f>IF($A248="","",DATE(VALUE(LEFT($A248,4)),1,4)-WEEKDAY(DATE(VALUE(LEFT($A248,4)),1,4),2)+1+(VALUE(MID($A248,7,2))-1)*7+MATCH($B248,lista_dias,0)-1)</f>
        <v/>
      </c>
      <c r="M248" s="3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3">
        <f>$A248&amp;"|"&amp;$B248&amp;"|"&amp;$C248</f>
        <v/>
      </c>
      <c r="O248" s="3">
        <f>IFERROR(INDEX('CAT_TURNOS'!$C$4:$C$7,MATCH($J248,'CAT_TURNOS'!$A$4:$A$7,0)),"")</f>
        <v/>
      </c>
      <c r="P248" s="3">
        <f>IFERROR(INDEX('CAT_TURNOS'!$D$4:$D$7,MATCH($J248,'CAT_TURNOS'!$A$4:$A$7,0)),"")</f>
        <v/>
      </c>
      <c r="Q248" s="3">
        <f>IF(AND(LEFT($G248,1)="T",$H248="no"),"sí","no")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04</t>
        </is>
      </c>
      <c r="D249" s="3">
        <f>IFERROR(INDEX('TECNICOS'!$D$4:$D$19,MATCH($C249,'TECNICOS'!$B$4:$B$19,0)),"")</f>
        <v/>
      </c>
      <c r="E249" s="3">
        <f>IFERROR(INDEX('TECNICOS'!$C$4:$C$19,MATCH($C249,'TECNICOS'!$B$4:$B$19,0)),"")</f>
        <v/>
      </c>
      <c r="F249" s="3">
        <f>COUNTIFS('TECNICOS'!$F$4:$F$19,"SI",'TECNICOS'!$C$4:$C$19,$E249,'TECNICOS'!$D$4:$D$19,$D249)</f>
        <v/>
      </c>
      <c r="G249" s="3">
        <f>IF(OR($C249="",$A249="",$B249="domingo"),"",IF(IFERROR(INDEX('TECNICOS'!$F$4:$F$19,MATCH($C249,'TECNICOS'!$B$4:$B$19,0)),"NO")&lt;&gt;"SI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3">
        <f>IF(COUNTIFS('PLAN_VACACIONES'!$A$4:$A$103,$C249,'PLAN_VACACIONES'!$B$4:$B$103,"&lt;="&amp;$L249,'PLAN_VACACIONES'!$C$4:$C$103,"&gt;="&amp;$L249)&gt;0,"sí","no")</f>
        <v/>
      </c>
      <c r="I249" s="6" t="n"/>
      <c r="J249" s="3">
        <f>IF($I249&lt;&gt;"",$I249,IF($G249="","",IF($H249="sí","VAC",IF(LEFT($G249,1)="B","B",$G249))))</f>
        <v/>
      </c>
      <c r="K249" s="3">
        <f>IFERROR(INDEX('TECNICOS'!$E$4:$E$19,MATCH($C249,'TECNICOS'!$B$4:$B$19,0)),"")</f>
        <v/>
      </c>
      <c r="L249" s="12">
        <f>IF($A249="","",DATE(VALUE(LEFT($A249,4)),1,4)-WEEKDAY(DATE(VALUE(LEFT($A249,4)),1,4),2)+1+(VALUE(MID($A249,7,2))-1)*7+MATCH($B249,lista_dias,0)-1)</f>
        <v/>
      </c>
      <c r="M249" s="3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3">
        <f>$A249&amp;"|"&amp;$B249&amp;"|"&amp;$C249</f>
        <v/>
      </c>
      <c r="O249" s="3">
        <f>IFERROR(INDEX('CAT_TURNOS'!$C$4:$C$7,MATCH($J249,'CAT_TURNOS'!$A$4:$A$7,0)),"")</f>
        <v/>
      </c>
      <c r="P249" s="3">
        <f>IFERROR(INDEX('CAT_TURNOS'!$D$4:$D$7,MATCH($J249,'CAT_TURNOS'!$A$4:$A$7,0)),"")</f>
        <v/>
      </c>
      <c r="Q249" s="3">
        <f>IF(AND(LEFT($G249,1)="T",$H249="no"),"sí","no")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04</t>
        </is>
      </c>
      <c r="D250" s="3">
        <f>IFERROR(INDEX('TECNICOS'!$D$4:$D$19,MATCH($C250,'TECNICOS'!$B$4:$B$19,0)),"")</f>
        <v/>
      </c>
      <c r="E250" s="3">
        <f>IFERROR(INDEX('TECNICOS'!$C$4:$C$19,MATCH($C250,'TECNICOS'!$B$4:$B$19,0)),"")</f>
        <v/>
      </c>
      <c r="F250" s="3">
        <f>COUNTIFS('TECNICOS'!$F$4:$F$19,"SI",'TECNICOS'!$C$4:$C$19,$E250,'TECNICOS'!$D$4:$D$19,$D250)</f>
        <v/>
      </c>
      <c r="G250" s="3">
        <f>IF(OR($C250="",$A250="",$B250="domingo"),"",IF(IFERROR(INDEX('TECNICOS'!$F$4:$F$19,MATCH($C250,'TECNICOS'!$B$4:$B$19,0)),"NO")&lt;&gt;"SI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3">
        <f>IF(COUNTIFS('PLAN_VACACIONES'!$A$4:$A$103,$C250,'PLAN_VACACIONES'!$B$4:$B$103,"&lt;="&amp;$L250,'PLAN_VACACIONES'!$C$4:$C$103,"&gt;="&amp;$L250)&gt;0,"sí","no")</f>
        <v/>
      </c>
      <c r="I250" s="6" t="n"/>
      <c r="J250" s="3">
        <f>IF($I250&lt;&gt;"",$I250,IF($G250="","",IF($H250="sí","VAC",IF(LEFT($G250,1)="B","B",$G250))))</f>
        <v/>
      </c>
      <c r="K250" s="3">
        <f>IFERROR(INDEX('TECNICOS'!$E$4:$E$19,MATCH($C250,'TECNICOS'!$B$4:$B$19,0)),"")</f>
        <v/>
      </c>
      <c r="L250" s="12">
        <f>IF($A250="","",DATE(VALUE(LEFT($A250,4)),1,4)-WEEKDAY(DATE(VALUE(LEFT($A250,4)),1,4),2)+1+(VALUE(MID($A250,7,2))-1)*7+MATCH($B250,lista_dias,0)-1)</f>
        <v/>
      </c>
      <c r="M250" s="3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3">
        <f>$A250&amp;"|"&amp;$B250&amp;"|"&amp;$C250</f>
        <v/>
      </c>
      <c r="O250" s="3">
        <f>IFERROR(INDEX('CAT_TURNOS'!$C$4:$C$7,MATCH($J250,'CAT_TURNOS'!$A$4:$A$7,0)),"")</f>
        <v/>
      </c>
      <c r="P250" s="3">
        <f>IFERROR(INDEX('CAT_TURNOS'!$D$4:$D$7,MATCH($J250,'CAT_TURNOS'!$A$4:$A$7,0)),"")</f>
        <v/>
      </c>
      <c r="Q250" s="3">
        <f>IF(AND(LEFT($G250,1)="T",$H250="no"),"sí","no")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04</t>
        </is>
      </c>
      <c r="D251" s="3">
        <f>IFERROR(INDEX('TECNICOS'!$D$4:$D$19,MATCH($C251,'TECNICOS'!$B$4:$B$19,0)),"")</f>
        <v/>
      </c>
      <c r="E251" s="3">
        <f>IFERROR(INDEX('TECNICOS'!$C$4:$C$19,MATCH($C251,'TECNICOS'!$B$4:$B$19,0)),"")</f>
        <v/>
      </c>
      <c r="F251" s="3">
        <f>COUNTIFS('TECNICOS'!$F$4:$F$19,"SI",'TECNICOS'!$C$4:$C$19,$E251,'TECNICOS'!$D$4:$D$19,$D251)</f>
        <v/>
      </c>
      <c r="G251" s="3">
        <f>IF(OR($C251="",$A251="",$B251="domingo"),"",IF(IFERROR(INDEX('TECNICOS'!$F$4:$F$19,MATCH($C251,'TECNICOS'!$B$4:$B$19,0)),"NO")&lt;&gt;"SI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3">
        <f>IF(COUNTIFS('PLAN_VACACIONES'!$A$4:$A$103,$C251,'PLAN_VACACIONES'!$B$4:$B$103,"&lt;="&amp;$L251,'PLAN_VACACIONES'!$C$4:$C$103,"&gt;="&amp;$L251)&gt;0,"sí","no")</f>
        <v/>
      </c>
      <c r="I251" s="6" t="n"/>
      <c r="J251" s="3">
        <f>IF($I251&lt;&gt;"",$I251,IF($G251="","",IF($H251="sí","VAC",IF(LEFT($G251,1)="B","B",$G251))))</f>
        <v/>
      </c>
      <c r="K251" s="3">
        <f>IFERROR(INDEX('TECNICOS'!$E$4:$E$19,MATCH($C251,'TECNICOS'!$B$4:$B$19,0)),"")</f>
        <v/>
      </c>
      <c r="L251" s="12">
        <f>IF($A251="","",DATE(VALUE(LEFT($A251,4)),1,4)-WEEKDAY(DATE(VALUE(LEFT($A251,4)),1,4),2)+1+(VALUE(MID($A251,7,2))-1)*7+MATCH($B251,lista_dias,0)-1)</f>
        <v/>
      </c>
      <c r="M251" s="3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3">
        <f>$A251&amp;"|"&amp;$B251&amp;"|"&amp;$C251</f>
        <v/>
      </c>
      <c r="O251" s="3">
        <f>IFERROR(INDEX('CAT_TURNOS'!$C$4:$C$7,MATCH($J251,'CAT_TURNOS'!$A$4:$A$7,0)),"")</f>
        <v/>
      </c>
      <c r="P251" s="3">
        <f>IFERROR(INDEX('CAT_TURNOS'!$D$4:$D$7,MATCH($J251,'CAT_TURNOS'!$A$4:$A$7,0)),"")</f>
        <v/>
      </c>
      <c r="Q251" s="3">
        <f>IF(AND(LEFT($G251,1)="T",$H251="no"),"sí","no")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04</t>
        </is>
      </c>
      <c r="D252" s="3">
        <f>IFERROR(INDEX('TECNICOS'!$D$4:$D$19,MATCH($C252,'TECNICOS'!$B$4:$B$19,0)),"")</f>
        <v/>
      </c>
      <c r="E252" s="3">
        <f>IFERROR(INDEX('TECNICOS'!$C$4:$C$19,MATCH($C252,'TECNICOS'!$B$4:$B$19,0)),"")</f>
        <v/>
      </c>
      <c r="F252" s="3">
        <f>COUNTIFS('TECNICOS'!$F$4:$F$19,"SI",'TECNICOS'!$C$4:$C$19,$E252,'TECNICOS'!$D$4:$D$19,$D252)</f>
        <v/>
      </c>
      <c r="G252" s="3">
        <f>IF(OR($C252="",$A252="",$B252="domingo"),"",IF(IFERROR(INDEX('TECNICOS'!$F$4:$F$19,MATCH($C252,'TECNICOS'!$B$4:$B$19,0)),"NO")&lt;&gt;"SI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3">
        <f>IF(COUNTIFS('PLAN_VACACIONES'!$A$4:$A$103,$C252,'PLAN_VACACIONES'!$B$4:$B$103,"&lt;="&amp;$L252,'PLAN_VACACIONES'!$C$4:$C$103,"&gt;="&amp;$L252)&gt;0,"sí","no")</f>
        <v/>
      </c>
      <c r="I252" s="6" t="n"/>
      <c r="J252" s="3">
        <f>IF($I252&lt;&gt;"",$I252,IF($G252="","",IF($H252="sí","VAC",IF(LEFT($G252,1)="B","B",$G252))))</f>
        <v/>
      </c>
      <c r="K252" s="3">
        <f>IFERROR(INDEX('TECNICOS'!$E$4:$E$19,MATCH($C252,'TECNICOS'!$B$4:$B$19,0)),"")</f>
        <v/>
      </c>
      <c r="L252" s="12">
        <f>IF($A252="","",DATE(VALUE(LEFT($A252,4)),1,4)-WEEKDAY(DATE(VALUE(LEFT($A252,4)),1,4),2)+1+(VALUE(MID($A252,7,2))-1)*7+MATCH($B252,lista_dias,0)-1)</f>
        <v/>
      </c>
      <c r="M252" s="3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3">
        <f>$A252&amp;"|"&amp;$B252&amp;"|"&amp;$C252</f>
        <v/>
      </c>
      <c r="O252" s="3">
        <f>IFERROR(INDEX('CAT_TURNOS'!$C$4:$C$7,MATCH($J252,'CAT_TURNOS'!$A$4:$A$7,0)),"")</f>
        <v/>
      </c>
      <c r="P252" s="3">
        <f>IFERROR(INDEX('CAT_TURNOS'!$D$4:$D$7,MATCH($J252,'CAT_TURNOS'!$A$4:$A$7,0)),"")</f>
        <v/>
      </c>
      <c r="Q252" s="3">
        <f>IF(AND(LEFT($G252,1)="T",$H252="no"),"sí","no")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04</t>
        </is>
      </c>
      <c r="D253" s="3">
        <f>IFERROR(INDEX('TECNICOS'!$D$4:$D$19,MATCH($C253,'TECNICOS'!$B$4:$B$19,0)),"")</f>
        <v/>
      </c>
      <c r="E253" s="3">
        <f>IFERROR(INDEX('TECNICOS'!$C$4:$C$19,MATCH($C253,'TECNICOS'!$B$4:$B$19,0)),"")</f>
        <v/>
      </c>
      <c r="F253" s="3">
        <f>COUNTIFS('TECNICOS'!$F$4:$F$19,"SI",'TECNICOS'!$C$4:$C$19,$E253,'TECNICOS'!$D$4:$D$19,$D253)</f>
        <v/>
      </c>
      <c r="G253" s="3">
        <f>IF(OR($C253="",$A253="",$B253="domingo"),"",IF(IFERROR(INDEX('TECNICOS'!$F$4:$F$19,MATCH($C253,'TECNICOS'!$B$4:$B$19,0)),"NO")&lt;&gt;"SI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3">
        <f>IF(COUNTIFS('PLAN_VACACIONES'!$A$4:$A$103,$C253,'PLAN_VACACIONES'!$B$4:$B$103,"&lt;="&amp;$L253,'PLAN_VACACIONES'!$C$4:$C$103,"&gt;="&amp;$L253)&gt;0,"sí","no")</f>
        <v/>
      </c>
      <c r="I253" s="6" t="n"/>
      <c r="J253" s="3">
        <f>IF($I253&lt;&gt;"",$I253,IF($G253="","",IF($H253="sí","VAC",IF(LEFT($G253,1)="B","B",$G253))))</f>
        <v/>
      </c>
      <c r="K253" s="3">
        <f>IFERROR(INDEX('TECNICOS'!$E$4:$E$19,MATCH($C253,'TECNICOS'!$B$4:$B$19,0)),"")</f>
        <v/>
      </c>
      <c r="L253" s="12">
        <f>IF($A253="","",DATE(VALUE(LEFT($A253,4)),1,4)-WEEKDAY(DATE(VALUE(LEFT($A253,4)),1,4),2)+1+(VALUE(MID($A253,7,2))-1)*7+MATCH($B253,lista_dias,0)-1)</f>
        <v/>
      </c>
      <c r="M253" s="3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3">
        <f>$A253&amp;"|"&amp;$B253&amp;"|"&amp;$C253</f>
        <v/>
      </c>
      <c r="O253" s="3">
        <f>IFERROR(INDEX('CAT_TURNOS'!$C$4:$C$7,MATCH($J253,'CAT_TURNOS'!$A$4:$A$7,0)),"")</f>
        <v/>
      </c>
      <c r="P253" s="3">
        <f>IFERROR(INDEX('CAT_TURNOS'!$D$4:$D$7,MATCH($J253,'CAT_TURNOS'!$A$4:$A$7,0)),"")</f>
        <v/>
      </c>
      <c r="Q253" s="3">
        <f>IF(AND(LEFT($G253,1)="T",$H253="no"),"sí","no")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04</t>
        </is>
      </c>
      <c r="D254" s="3">
        <f>IFERROR(INDEX('TECNICOS'!$D$4:$D$19,MATCH($C254,'TECNICOS'!$B$4:$B$19,0)),"")</f>
        <v/>
      </c>
      <c r="E254" s="3">
        <f>IFERROR(INDEX('TECNICOS'!$C$4:$C$19,MATCH($C254,'TECNICOS'!$B$4:$B$19,0)),"")</f>
        <v/>
      </c>
      <c r="F254" s="3">
        <f>COUNTIFS('TECNICOS'!$F$4:$F$19,"SI",'TECNICOS'!$C$4:$C$19,$E254,'TECNICOS'!$D$4:$D$19,$D254)</f>
        <v/>
      </c>
      <c r="G254" s="3">
        <f>IF(OR($C254="",$A254="",$B254="domingo"),"",IF(IFERROR(INDEX('TECNICOS'!$F$4:$F$19,MATCH($C254,'TECNICOS'!$B$4:$B$19,0)),"NO")&lt;&gt;"SI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3">
        <f>IF(COUNTIFS('PLAN_VACACIONES'!$A$4:$A$103,$C254,'PLAN_VACACIONES'!$B$4:$B$103,"&lt;="&amp;$L254,'PLAN_VACACIONES'!$C$4:$C$103,"&gt;="&amp;$L254)&gt;0,"sí","no")</f>
        <v/>
      </c>
      <c r="I254" s="6" t="n"/>
      <c r="J254" s="3">
        <f>IF($I254&lt;&gt;"",$I254,IF($G254="","",IF($H254="sí","VAC",IF(LEFT($G254,1)="B","B",$G254))))</f>
        <v/>
      </c>
      <c r="K254" s="3">
        <f>IFERROR(INDEX('TECNICOS'!$E$4:$E$19,MATCH($C254,'TECNICOS'!$B$4:$B$19,0)),"")</f>
        <v/>
      </c>
      <c r="L254" s="12">
        <f>IF($A254="","",DATE(VALUE(LEFT($A254,4)),1,4)-WEEKDAY(DATE(VALUE(LEFT($A254,4)),1,4),2)+1+(VALUE(MID($A254,7,2))-1)*7+MATCH($B254,lista_dias,0)-1)</f>
        <v/>
      </c>
      <c r="M254" s="3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3">
        <f>$A254&amp;"|"&amp;$B254&amp;"|"&amp;$C254</f>
        <v/>
      </c>
      <c r="O254" s="3">
        <f>IFERROR(INDEX('CAT_TURNOS'!$C$4:$C$7,MATCH($J254,'CAT_TURNOS'!$A$4:$A$7,0)),"")</f>
        <v/>
      </c>
      <c r="P254" s="3">
        <f>IFERROR(INDEX('CAT_TURNOS'!$D$4:$D$7,MATCH($J254,'CAT_TURNOS'!$A$4:$A$7,0)),"")</f>
        <v/>
      </c>
      <c r="Q254" s="3">
        <f>IF(AND(LEFT($G254,1)="T",$H254="no"),"sí","no")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04</t>
        </is>
      </c>
      <c r="D255" s="3">
        <f>IFERROR(INDEX('TECNICOS'!$D$4:$D$19,MATCH($C255,'TECNICOS'!$B$4:$B$19,0)),"")</f>
        <v/>
      </c>
      <c r="E255" s="3">
        <f>IFERROR(INDEX('TECNICOS'!$C$4:$C$19,MATCH($C255,'TECNICOS'!$B$4:$B$19,0)),"")</f>
        <v/>
      </c>
      <c r="F255" s="3">
        <f>COUNTIFS('TECNICOS'!$F$4:$F$19,"SI",'TECNICOS'!$C$4:$C$19,$E255,'TECNICOS'!$D$4:$D$19,$D255)</f>
        <v/>
      </c>
      <c r="G255" s="3">
        <f>IF(OR($C255="",$A255="",$B255="domingo"),"",IF(IFERROR(INDEX('TECNICOS'!$F$4:$F$19,MATCH($C255,'TECNICOS'!$B$4:$B$19,0)),"NO")&lt;&gt;"SI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3">
        <f>IF(COUNTIFS('PLAN_VACACIONES'!$A$4:$A$103,$C255,'PLAN_VACACIONES'!$B$4:$B$103,"&lt;="&amp;$L255,'PLAN_VACACIONES'!$C$4:$C$103,"&gt;="&amp;$L255)&gt;0,"sí","no")</f>
        <v/>
      </c>
      <c r="I255" s="6" t="n"/>
      <c r="J255" s="3">
        <f>IF($I255&lt;&gt;"",$I255,IF($G255="","",IF($H255="sí","VAC",IF(LEFT($G255,1)="B","B",$G255))))</f>
        <v/>
      </c>
      <c r="K255" s="3">
        <f>IFERROR(INDEX('TECNICOS'!$E$4:$E$19,MATCH($C255,'TECNICOS'!$B$4:$B$19,0)),"")</f>
        <v/>
      </c>
      <c r="L255" s="12">
        <f>IF($A255="","",DATE(VALUE(LEFT($A255,4)),1,4)-WEEKDAY(DATE(VALUE(LEFT($A255,4)),1,4),2)+1+(VALUE(MID($A255,7,2))-1)*7+MATCH($B255,lista_dias,0)-1)</f>
        <v/>
      </c>
      <c r="M255" s="3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3">
        <f>$A255&amp;"|"&amp;$B255&amp;"|"&amp;$C255</f>
        <v/>
      </c>
      <c r="O255" s="3">
        <f>IFERROR(INDEX('CAT_TURNOS'!$C$4:$C$7,MATCH($J255,'CAT_TURNOS'!$A$4:$A$7,0)),"")</f>
        <v/>
      </c>
      <c r="P255" s="3">
        <f>IFERROR(INDEX('CAT_TURNOS'!$D$4:$D$7,MATCH($J255,'CAT_TURNOS'!$A$4:$A$7,0)),"")</f>
        <v/>
      </c>
      <c r="Q255" s="3">
        <f>IF(AND(LEFT($G255,1)="T",$H255="no"),"sí","no")</f>
        <v/>
      </c>
    </row>
    <row r="256">
      <c r="A256" s="3" t="inlineStr">
        <is>
          <t>2026-S31</t>
        </is>
      </c>
      <c r="B256" s="3" t="inlineStr">
        <is>
          <t>lunes</t>
        </is>
      </c>
      <c r="C256" s="3" t="inlineStr">
        <is>
          <t>Técnico 05</t>
        </is>
      </c>
      <c r="D256" s="3">
        <f>IFERROR(INDEX('TECNICOS'!$D$4:$D$19,MATCH($C256,'TECNICOS'!$B$4:$B$19,0)),"")</f>
        <v/>
      </c>
      <c r="E256" s="3">
        <f>IFERROR(INDEX('TECNICOS'!$C$4:$C$19,MATCH($C256,'TECNICOS'!$B$4:$B$19,0)),"")</f>
        <v/>
      </c>
      <c r="F256" s="3">
        <f>COUNTIFS('TECNICOS'!$F$4:$F$19,"SI",'TECNICOS'!$C$4:$C$19,$E256,'TECNICOS'!$D$4:$D$19,$D256)</f>
        <v/>
      </c>
      <c r="G256" s="3">
        <f>IF(OR($C256="",$A256="",$B256="domingo"),"",IF(IFERROR(INDEX('TECNICOS'!$F$4:$F$19,MATCH($C256,'TECNICOS'!$B$4:$B$19,0)),"NO")&lt;&gt;"SI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3">
        <f>IF(COUNTIFS('PLAN_VACACIONES'!$A$4:$A$103,$C256,'PLAN_VACACIONES'!$B$4:$B$103,"&lt;="&amp;$L256,'PLAN_VACACIONES'!$C$4:$C$103,"&gt;="&amp;$L256)&gt;0,"sí","no")</f>
        <v/>
      </c>
      <c r="I256" s="6" t="n"/>
      <c r="J256" s="3">
        <f>IF($I256&lt;&gt;"",$I256,IF($G256="","",IF($H256="sí","VAC",IF(LEFT($G256,1)="B","B",$G256))))</f>
        <v/>
      </c>
      <c r="K256" s="3">
        <f>IFERROR(INDEX('TECNICOS'!$E$4:$E$19,MATCH($C256,'TECNICOS'!$B$4:$B$19,0)),"")</f>
        <v/>
      </c>
      <c r="L256" s="12">
        <f>IF($A256="","",DATE(VALUE(LEFT($A256,4)),1,4)-WEEKDAY(DATE(VALUE(LEFT($A256,4)),1,4),2)+1+(VALUE(MID($A256,7,2))-1)*7+MATCH($B256,lista_dias,0)-1)</f>
        <v/>
      </c>
      <c r="M256" s="3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3">
        <f>$A256&amp;"|"&amp;$B256&amp;"|"&amp;$C256</f>
        <v/>
      </c>
      <c r="O256" s="3">
        <f>IFERROR(INDEX('CAT_TURNOS'!$C$4:$C$7,MATCH($J256,'CAT_TURNOS'!$A$4:$A$7,0)),"")</f>
        <v/>
      </c>
      <c r="P256" s="3">
        <f>IFERROR(INDEX('CAT_TURNOS'!$D$4:$D$7,MATCH($J256,'CAT_TURNOS'!$A$4:$A$7,0)),"")</f>
        <v/>
      </c>
      <c r="Q256" s="3">
        <f>IF(AND(LEFT($G256,1)="T",$H256="no"),"sí","no")</f>
        <v/>
      </c>
    </row>
    <row r="257">
      <c r="A257" s="3" t="inlineStr">
        <is>
          <t>2026-S31</t>
        </is>
      </c>
      <c r="B257" s="3" t="inlineStr">
        <is>
          <t>martes</t>
        </is>
      </c>
      <c r="C257" s="3" t="inlineStr">
        <is>
          <t>Técnico 05</t>
        </is>
      </c>
      <c r="D257" s="3">
        <f>IFERROR(INDEX('TECNICOS'!$D$4:$D$19,MATCH($C257,'TECNICOS'!$B$4:$B$19,0)),"")</f>
        <v/>
      </c>
      <c r="E257" s="3">
        <f>IFERROR(INDEX('TECNICOS'!$C$4:$C$19,MATCH($C257,'TECNICOS'!$B$4:$B$19,0)),"")</f>
        <v/>
      </c>
      <c r="F257" s="3">
        <f>COUNTIFS('TECNICOS'!$F$4:$F$19,"SI",'TECNICOS'!$C$4:$C$19,$E257,'TECNICOS'!$D$4:$D$19,$D257)</f>
        <v/>
      </c>
      <c r="G257" s="3">
        <f>IF(OR($C257="",$A257="",$B257="domingo"),"",IF(IFERROR(INDEX('TECNICOS'!$F$4:$F$19,MATCH($C257,'TECNICOS'!$B$4:$B$19,0)),"NO")&lt;&gt;"SI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3">
        <f>IF(COUNTIFS('PLAN_VACACIONES'!$A$4:$A$103,$C257,'PLAN_VACACIONES'!$B$4:$B$103,"&lt;="&amp;$L257,'PLAN_VACACIONES'!$C$4:$C$103,"&gt;="&amp;$L257)&gt;0,"sí","no")</f>
        <v/>
      </c>
      <c r="I257" s="6" t="n"/>
      <c r="J257" s="3">
        <f>IF($I257&lt;&gt;"",$I257,IF($G257="","",IF($H257="sí","VAC",IF(LEFT($G257,1)="B","B",$G257))))</f>
        <v/>
      </c>
      <c r="K257" s="3">
        <f>IFERROR(INDEX('TECNICOS'!$E$4:$E$19,MATCH($C257,'TECNICOS'!$B$4:$B$19,0)),"")</f>
        <v/>
      </c>
      <c r="L257" s="12">
        <f>IF($A257="","",DATE(VALUE(LEFT($A257,4)),1,4)-WEEKDAY(DATE(VALUE(LEFT($A257,4)),1,4),2)+1+(VALUE(MID($A257,7,2))-1)*7+MATCH($B257,lista_dias,0)-1)</f>
        <v/>
      </c>
      <c r="M257" s="3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3">
        <f>$A257&amp;"|"&amp;$B257&amp;"|"&amp;$C257</f>
        <v/>
      </c>
      <c r="O257" s="3">
        <f>IFERROR(INDEX('CAT_TURNOS'!$C$4:$C$7,MATCH($J257,'CAT_TURNOS'!$A$4:$A$7,0)),"")</f>
        <v/>
      </c>
      <c r="P257" s="3">
        <f>IFERROR(INDEX('CAT_TURNOS'!$D$4:$D$7,MATCH($J257,'CAT_TURNOS'!$A$4:$A$7,0)),"")</f>
        <v/>
      </c>
      <c r="Q257" s="3">
        <f>IF(AND(LEFT($G257,1)="T",$H257="no"),"sí","no")</f>
        <v/>
      </c>
    </row>
    <row r="258">
      <c r="A258" s="3" t="inlineStr">
        <is>
          <t>2026-S31</t>
        </is>
      </c>
      <c r="B258" s="3" t="inlineStr">
        <is>
          <t>miércoles</t>
        </is>
      </c>
      <c r="C258" s="3" t="inlineStr">
        <is>
          <t>Técnico 05</t>
        </is>
      </c>
      <c r="D258" s="3">
        <f>IFERROR(INDEX('TECNICOS'!$D$4:$D$19,MATCH($C258,'TECNICOS'!$B$4:$B$19,0)),"")</f>
        <v/>
      </c>
      <c r="E258" s="3">
        <f>IFERROR(INDEX('TECNICOS'!$C$4:$C$19,MATCH($C258,'TECNICOS'!$B$4:$B$19,0)),"")</f>
        <v/>
      </c>
      <c r="F258" s="3">
        <f>COUNTIFS('TECNICOS'!$F$4:$F$19,"SI",'TECNICOS'!$C$4:$C$19,$E258,'TECNICOS'!$D$4:$D$19,$D258)</f>
        <v/>
      </c>
      <c r="G258" s="3">
        <f>IF(OR($C258="",$A258="",$B258="domingo"),"",IF(IFERROR(INDEX('TECNICOS'!$F$4:$F$19,MATCH($C258,'TECNICOS'!$B$4:$B$19,0)),"NO")&lt;&gt;"SI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3">
        <f>IF(COUNTIFS('PLAN_VACACIONES'!$A$4:$A$103,$C258,'PLAN_VACACIONES'!$B$4:$B$103,"&lt;="&amp;$L258,'PLAN_VACACIONES'!$C$4:$C$103,"&gt;="&amp;$L258)&gt;0,"sí","no")</f>
        <v/>
      </c>
      <c r="I258" s="6" t="n"/>
      <c r="J258" s="3">
        <f>IF($I258&lt;&gt;"",$I258,IF($G258="","",IF($H258="sí","VAC",IF(LEFT($G258,1)="B","B",$G258))))</f>
        <v/>
      </c>
      <c r="K258" s="3">
        <f>IFERROR(INDEX('TECNICOS'!$E$4:$E$19,MATCH($C258,'TECNICOS'!$B$4:$B$19,0)),"")</f>
        <v/>
      </c>
      <c r="L258" s="12">
        <f>IF($A258="","",DATE(VALUE(LEFT($A258,4)),1,4)-WEEKDAY(DATE(VALUE(LEFT($A258,4)),1,4),2)+1+(VALUE(MID($A258,7,2))-1)*7+MATCH($B258,lista_dias,0)-1)</f>
        <v/>
      </c>
      <c r="M258" s="3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3">
        <f>$A258&amp;"|"&amp;$B258&amp;"|"&amp;$C258</f>
        <v/>
      </c>
      <c r="O258" s="3">
        <f>IFERROR(INDEX('CAT_TURNOS'!$C$4:$C$7,MATCH($J258,'CAT_TURNOS'!$A$4:$A$7,0)),"")</f>
        <v/>
      </c>
      <c r="P258" s="3">
        <f>IFERROR(INDEX('CAT_TURNOS'!$D$4:$D$7,MATCH($J258,'CAT_TURNOS'!$A$4:$A$7,0)),"")</f>
        <v/>
      </c>
      <c r="Q258" s="3">
        <f>IF(AND(LEFT($G258,1)="T",$H258="no"),"sí","no")</f>
        <v/>
      </c>
    </row>
    <row r="259">
      <c r="A259" s="3" t="inlineStr">
        <is>
          <t>2026-S31</t>
        </is>
      </c>
      <c r="B259" s="3" t="inlineStr">
        <is>
          <t>jueves</t>
        </is>
      </c>
      <c r="C259" s="3" t="inlineStr">
        <is>
          <t>Técnico 05</t>
        </is>
      </c>
      <c r="D259" s="3">
        <f>IFERROR(INDEX('TECNICOS'!$D$4:$D$19,MATCH($C259,'TECNICOS'!$B$4:$B$19,0)),"")</f>
        <v/>
      </c>
      <c r="E259" s="3">
        <f>IFERROR(INDEX('TECNICOS'!$C$4:$C$19,MATCH($C259,'TECNICOS'!$B$4:$B$19,0)),"")</f>
        <v/>
      </c>
      <c r="F259" s="3">
        <f>COUNTIFS('TECNICOS'!$F$4:$F$19,"SI",'TECNICOS'!$C$4:$C$19,$E259,'TECNICOS'!$D$4:$D$19,$D259)</f>
        <v/>
      </c>
      <c r="G259" s="3">
        <f>IF(OR($C259="",$A259="",$B259="domingo"),"",IF(IFERROR(INDEX('TECNICOS'!$F$4:$F$19,MATCH($C259,'TECNICOS'!$B$4:$B$19,0)),"NO")&lt;&gt;"SI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3">
        <f>IF(COUNTIFS('PLAN_VACACIONES'!$A$4:$A$103,$C259,'PLAN_VACACIONES'!$B$4:$B$103,"&lt;="&amp;$L259,'PLAN_VACACIONES'!$C$4:$C$103,"&gt;="&amp;$L259)&gt;0,"sí","no")</f>
        <v/>
      </c>
      <c r="I259" s="6" t="n"/>
      <c r="J259" s="3">
        <f>IF($I259&lt;&gt;"",$I259,IF($G259="","",IF($H259="sí","VAC",IF(LEFT($G259,1)="B","B",$G259))))</f>
        <v/>
      </c>
      <c r="K259" s="3">
        <f>IFERROR(INDEX('TECNICOS'!$E$4:$E$19,MATCH($C259,'TECNICOS'!$B$4:$B$19,0)),"")</f>
        <v/>
      </c>
      <c r="L259" s="12">
        <f>IF($A259="","",DATE(VALUE(LEFT($A259,4)),1,4)-WEEKDAY(DATE(VALUE(LEFT($A259,4)),1,4),2)+1+(VALUE(MID($A259,7,2))-1)*7+MATCH($B259,lista_dias,0)-1)</f>
        <v/>
      </c>
      <c r="M259" s="3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3">
        <f>$A259&amp;"|"&amp;$B259&amp;"|"&amp;$C259</f>
        <v/>
      </c>
      <c r="O259" s="3">
        <f>IFERROR(INDEX('CAT_TURNOS'!$C$4:$C$7,MATCH($J259,'CAT_TURNOS'!$A$4:$A$7,0)),"")</f>
        <v/>
      </c>
      <c r="P259" s="3">
        <f>IFERROR(INDEX('CAT_TURNOS'!$D$4:$D$7,MATCH($J259,'CAT_TURNOS'!$A$4:$A$7,0)),"")</f>
        <v/>
      </c>
      <c r="Q259" s="3">
        <f>IF(AND(LEFT($G259,1)="T",$H259="no"),"sí","no")</f>
        <v/>
      </c>
    </row>
    <row r="260">
      <c r="A260" s="3" t="inlineStr">
        <is>
          <t>2026-S31</t>
        </is>
      </c>
      <c r="B260" s="3" t="inlineStr">
        <is>
          <t>viernes</t>
        </is>
      </c>
      <c r="C260" s="3" t="inlineStr">
        <is>
          <t>Técnico 05</t>
        </is>
      </c>
      <c r="D260" s="3">
        <f>IFERROR(INDEX('TECNICOS'!$D$4:$D$19,MATCH($C260,'TECNICOS'!$B$4:$B$19,0)),"")</f>
        <v/>
      </c>
      <c r="E260" s="3">
        <f>IFERROR(INDEX('TECNICOS'!$C$4:$C$19,MATCH($C260,'TECNICOS'!$B$4:$B$19,0)),"")</f>
        <v/>
      </c>
      <c r="F260" s="3">
        <f>COUNTIFS('TECNICOS'!$F$4:$F$19,"SI",'TECNICOS'!$C$4:$C$19,$E260,'TECNICOS'!$D$4:$D$19,$D260)</f>
        <v/>
      </c>
      <c r="G260" s="3">
        <f>IF(OR($C260="",$A260="",$B260="domingo"),"",IF(IFERROR(INDEX('TECNICOS'!$F$4:$F$19,MATCH($C260,'TECNICOS'!$B$4:$B$19,0)),"NO")&lt;&gt;"SI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3">
        <f>IF(COUNTIFS('PLAN_VACACIONES'!$A$4:$A$103,$C260,'PLAN_VACACIONES'!$B$4:$B$103,"&lt;="&amp;$L260,'PLAN_VACACIONES'!$C$4:$C$103,"&gt;="&amp;$L260)&gt;0,"sí","no")</f>
        <v/>
      </c>
      <c r="I260" s="6" t="n"/>
      <c r="J260" s="3">
        <f>IF($I260&lt;&gt;"",$I260,IF($G260="","",IF($H260="sí","VAC",IF(LEFT($G260,1)="B","B",$G260))))</f>
        <v/>
      </c>
      <c r="K260" s="3">
        <f>IFERROR(INDEX('TECNICOS'!$E$4:$E$19,MATCH($C260,'TECNICOS'!$B$4:$B$19,0)),"")</f>
        <v/>
      </c>
      <c r="L260" s="12">
        <f>IF($A260="","",DATE(VALUE(LEFT($A260,4)),1,4)-WEEKDAY(DATE(VALUE(LEFT($A260,4)),1,4),2)+1+(VALUE(MID($A260,7,2))-1)*7+MATCH($B260,lista_dias,0)-1)</f>
        <v/>
      </c>
      <c r="M260" s="3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3">
        <f>$A260&amp;"|"&amp;$B260&amp;"|"&amp;$C260</f>
        <v/>
      </c>
      <c r="O260" s="3">
        <f>IFERROR(INDEX('CAT_TURNOS'!$C$4:$C$7,MATCH($J260,'CAT_TURNOS'!$A$4:$A$7,0)),"")</f>
        <v/>
      </c>
      <c r="P260" s="3">
        <f>IFERROR(INDEX('CAT_TURNOS'!$D$4:$D$7,MATCH($J260,'CAT_TURNOS'!$A$4:$A$7,0)),"")</f>
        <v/>
      </c>
      <c r="Q260" s="3">
        <f>IF(AND(LEFT($G260,1)="T",$H260="no"),"sí","no")</f>
        <v/>
      </c>
    </row>
    <row r="261">
      <c r="A261" s="3" t="inlineStr">
        <is>
          <t>2026-S31</t>
        </is>
      </c>
      <c r="B261" s="3" t="inlineStr">
        <is>
          <t>sábado</t>
        </is>
      </c>
      <c r="C261" s="3" t="inlineStr">
        <is>
          <t>Técnico 05</t>
        </is>
      </c>
      <c r="D261" s="3">
        <f>IFERROR(INDEX('TECNICOS'!$D$4:$D$19,MATCH($C261,'TECNICOS'!$B$4:$B$19,0)),"")</f>
        <v/>
      </c>
      <c r="E261" s="3">
        <f>IFERROR(INDEX('TECNICOS'!$C$4:$C$19,MATCH($C261,'TECNICOS'!$B$4:$B$19,0)),"")</f>
        <v/>
      </c>
      <c r="F261" s="3">
        <f>COUNTIFS('TECNICOS'!$F$4:$F$19,"SI",'TECNICOS'!$C$4:$C$19,$E261,'TECNICOS'!$D$4:$D$19,$D261)</f>
        <v/>
      </c>
      <c r="G261" s="3">
        <f>IF(OR($C261="",$A261="",$B261="domingo"),"",IF(IFERROR(INDEX('TECNICOS'!$F$4:$F$19,MATCH($C261,'TECNICOS'!$B$4:$B$19,0)),"NO")&lt;&gt;"SI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3">
        <f>IF(COUNTIFS('PLAN_VACACIONES'!$A$4:$A$103,$C261,'PLAN_VACACIONES'!$B$4:$B$103,"&lt;="&amp;$L261,'PLAN_VACACIONES'!$C$4:$C$103,"&gt;="&amp;$L261)&gt;0,"sí","no")</f>
        <v/>
      </c>
      <c r="I261" s="6" t="n"/>
      <c r="J261" s="3">
        <f>IF($I261&lt;&gt;"",$I261,IF($G261="","",IF($H261="sí","VAC",IF(LEFT($G261,1)="B","B",$G261))))</f>
        <v/>
      </c>
      <c r="K261" s="3">
        <f>IFERROR(INDEX('TECNICOS'!$E$4:$E$19,MATCH($C261,'TECNICOS'!$B$4:$B$19,0)),"")</f>
        <v/>
      </c>
      <c r="L261" s="12">
        <f>IF($A261="","",DATE(VALUE(LEFT($A261,4)),1,4)-WEEKDAY(DATE(VALUE(LEFT($A261,4)),1,4),2)+1+(VALUE(MID($A261,7,2))-1)*7+MATCH($B261,lista_dias,0)-1)</f>
        <v/>
      </c>
      <c r="M261" s="3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3">
        <f>$A261&amp;"|"&amp;$B261&amp;"|"&amp;$C261</f>
        <v/>
      </c>
      <c r="O261" s="3">
        <f>IFERROR(INDEX('CAT_TURNOS'!$C$4:$C$7,MATCH($J261,'CAT_TURNOS'!$A$4:$A$7,0)),"")</f>
        <v/>
      </c>
      <c r="P261" s="3">
        <f>IFERROR(INDEX('CAT_TURNOS'!$D$4:$D$7,MATCH($J261,'CAT_TURNOS'!$A$4:$A$7,0)),"")</f>
        <v/>
      </c>
      <c r="Q261" s="3">
        <f>IF(AND(LEFT($G261,1)="T",$H261="no"),"sí","no")</f>
        <v/>
      </c>
    </row>
    <row r="262">
      <c r="A262" s="3" t="inlineStr">
        <is>
          <t>2026-S31</t>
        </is>
      </c>
      <c r="B262" s="3" t="inlineStr">
        <is>
          <t>domingo</t>
        </is>
      </c>
      <c r="C262" s="3" t="inlineStr">
        <is>
          <t>Técnico 05</t>
        </is>
      </c>
      <c r="D262" s="3">
        <f>IFERROR(INDEX('TECNICOS'!$D$4:$D$19,MATCH($C262,'TECNICOS'!$B$4:$B$19,0)),"")</f>
        <v/>
      </c>
      <c r="E262" s="3">
        <f>IFERROR(INDEX('TECNICOS'!$C$4:$C$19,MATCH($C262,'TECNICOS'!$B$4:$B$19,0)),"")</f>
        <v/>
      </c>
      <c r="F262" s="3">
        <f>COUNTIFS('TECNICOS'!$F$4:$F$19,"SI",'TECNICOS'!$C$4:$C$19,$E262,'TECNICOS'!$D$4:$D$19,$D262)</f>
        <v/>
      </c>
      <c r="G262" s="3">
        <f>IF(OR($C262="",$A262="",$B262="domingo"),"",IF(IFERROR(INDEX('TECNICOS'!$F$4:$F$19,MATCH($C262,'TECNICOS'!$B$4:$B$19,0)),"NO")&lt;&gt;"SI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3">
        <f>IF(COUNTIFS('PLAN_VACACIONES'!$A$4:$A$103,$C262,'PLAN_VACACIONES'!$B$4:$B$103,"&lt;="&amp;$L262,'PLAN_VACACIONES'!$C$4:$C$103,"&gt;="&amp;$L262)&gt;0,"sí","no")</f>
        <v/>
      </c>
      <c r="I262" s="6" t="n"/>
      <c r="J262" s="3">
        <f>IF($I262&lt;&gt;"",$I262,IF($G262="","",IF($H262="sí","VAC",IF(LEFT($G262,1)="B","B",$G262))))</f>
        <v/>
      </c>
      <c r="K262" s="3">
        <f>IFERROR(INDEX('TECNICOS'!$E$4:$E$19,MATCH($C262,'TECNICOS'!$B$4:$B$19,0)),"")</f>
        <v/>
      </c>
      <c r="L262" s="12">
        <f>IF($A262="","",DATE(VALUE(LEFT($A262,4)),1,4)-WEEKDAY(DATE(VALUE(LEFT($A262,4)),1,4),2)+1+(VALUE(MID($A262,7,2))-1)*7+MATCH($B262,lista_dias,0)-1)</f>
        <v/>
      </c>
      <c r="M262" s="3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3">
        <f>$A262&amp;"|"&amp;$B262&amp;"|"&amp;$C262</f>
        <v/>
      </c>
      <c r="O262" s="3">
        <f>IFERROR(INDEX('CAT_TURNOS'!$C$4:$C$7,MATCH($J262,'CAT_TURNOS'!$A$4:$A$7,0)),"")</f>
        <v/>
      </c>
      <c r="P262" s="3">
        <f>IFERROR(INDEX('CAT_TURNOS'!$D$4:$D$7,MATCH($J262,'CAT_TURNOS'!$A$4:$A$7,0)),"")</f>
        <v/>
      </c>
      <c r="Q262" s="3">
        <f>IF(AND(LEFT($G262,1)="T",$H262="no"),"sí","no")</f>
        <v/>
      </c>
    </row>
    <row r="263">
      <c r="A263" s="3" t="inlineStr">
        <is>
          <t>2026-S31</t>
        </is>
      </c>
      <c r="B263" s="3" t="inlineStr">
        <is>
          <t>lunes</t>
        </is>
      </c>
      <c r="C263" s="3" t="inlineStr">
        <is>
          <t>Técnico 06</t>
        </is>
      </c>
      <c r="D263" s="3">
        <f>IFERROR(INDEX('TECNICOS'!$D$4:$D$19,MATCH($C263,'TECNICOS'!$B$4:$B$19,0)),"")</f>
        <v/>
      </c>
      <c r="E263" s="3">
        <f>IFERROR(INDEX('TECNICOS'!$C$4:$C$19,MATCH($C263,'TECNICOS'!$B$4:$B$19,0)),"")</f>
        <v/>
      </c>
      <c r="F263" s="3">
        <f>COUNTIFS('TECNICOS'!$F$4:$F$19,"SI",'TECNICOS'!$C$4:$C$19,$E263,'TECNICOS'!$D$4:$D$19,$D263)</f>
        <v/>
      </c>
      <c r="G263" s="3">
        <f>IF(OR($C263="",$A263="",$B263="domingo"),"",IF(IFERROR(INDEX('TECNICOS'!$F$4:$F$19,MATCH($C263,'TECNICOS'!$B$4:$B$19,0)),"NO")&lt;&gt;"SI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3">
        <f>IF(COUNTIFS('PLAN_VACACIONES'!$A$4:$A$103,$C263,'PLAN_VACACIONES'!$B$4:$B$103,"&lt;="&amp;$L263,'PLAN_VACACIONES'!$C$4:$C$103,"&gt;="&amp;$L263)&gt;0,"sí","no")</f>
        <v/>
      </c>
      <c r="I263" s="6" t="n"/>
      <c r="J263" s="3">
        <f>IF($I263&lt;&gt;"",$I263,IF($G263="","",IF($H263="sí","VAC",IF(LEFT($G263,1)="B","B",$G263))))</f>
        <v/>
      </c>
      <c r="K263" s="3">
        <f>IFERROR(INDEX('TECNICOS'!$E$4:$E$19,MATCH($C263,'TECNICOS'!$B$4:$B$19,0)),"")</f>
        <v/>
      </c>
      <c r="L263" s="12">
        <f>IF($A263="","",DATE(VALUE(LEFT($A263,4)),1,4)-WEEKDAY(DATE(VALUE(LEFT($A263,4)),1,4),2)+1+(VALUE(MID($A263,7,2))-1)*7+MATCH($B263,lista_dias,0)-1)</f>
        <v/>
      </c>
      <c r="M263" s="3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3">
        <f>$A263&amp;"|"&amp;$B263&amp;"|"&amp;$C263</f>
        <v/>
      </c>
      <c r="O263" s="3">
        <f>IFERROR(INDEX('CAT_TURNOS'!$C$4:$C$7,MATCH($J263,'CAT_TURNOS'!$A$4:$A$7,0)),"")</f>
        <v/>
      </c>
      <c r="P263" s="3">
        <f>IFERROR(INDEX('CAT_TURNOS'!$D$4:$D$7,MATCH($J263,'CAT_TURNOS'!$A$4:$A$7,0)),"")</f>
        <v/>
      </c>
      <c r="Q263" s="3">
        <f>IF(AND(LEFT($G263,1)="T",$H263="no"),"sí","no")</f>
        <v/>
      </c>
    </row>
    <row r="264">
      <c r="A264" s="3" t="inlineStr">
        <is>
          <t>2026-S31</t>
        </is>
      </c>
      <c r="B264" s="3" t="inlineStr">
        <is>
          <t>martes</t>
        </is>
      </c>
      <c r="C264" s="3" t="inlineStr">
        <is>
          <t>Técnico 06</t>
        </is>
      </c>
      <c r="D264" s="3">
        <f>IFERROR(INDEX('TECNICOS'!$D$4:$D$19,MATCH($C264,'TECNICOS'!$B$4:$B$19,0)),"")</f>
        <v/>
      </c>
      <c r="E264" s="3">
        <f>IFERROR(INDEX('TECNICOS'!$C$4:$C$19,MATCH($C264,'TECNICOS'!$B$4:$B$19,0)),"")</f>
        <v/>
      </c>
      <c r="F264" s="3">
        <f>COUNTIFS('TECNICOS'!$F$4:$F$19,"SI",'TECNICOS'!$C$4:$C$19,$E264,'TECNICOS'!$D$4:$D$19,$D264)</f>
        <v/>
      </c>
      <c r="G264" s="3">
        <f>IF(OR($C264="",$A264="",$B264="domingo"),"",IF(IFERROR(INDEX('TECNICOS'!$F$4:$F$19,MATCH($C264,'TECNICOS'!$B$4:$B$19,0)),"NO")&lt;&gt;"SI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3">
        <f>IF(COUNTIFS('PLAN_VACACIONES'!$A$4:$A$103,$C264,'PLAN_VACACIONES'!$B$4:$B$103,"&lt;="&amp;$L264,'PLAN_VACACIONES'!$C$4:$C$103,"&gt;="&amp;$L264)&gt;0,"sí","no")</f>
        <v/>
      </c>
      <c r="I264" s="6" t="n"/>
      <c r="J264" s="3">
        <f>IF($I264&lt;&gt;"",$I264,IF($G264="","",IF($H264="sí","VAC",IF(LEFT($G264,1)="B","B",$G264))))</f>
        <v/>
      </c>
      <c r="K264" s="3">
        <f>IFERROR(INDEX('TECNICOS'!$E$4:$E$19,MATCH($C264,'TECNICOS'!$B$4:$B$19,0)),"")</f>
        <v/>
      </c>
      <c r="L264" s="12">
        <f>IF($A264="","",DATE(VALUE(LEFT($A264,4)),1,4)-WEEKDAY(DATE(VALUE(LEFT($A264,4)),1,4),2)+1+(VALUE(MID($A264,7,2))-1)*7+MATCH($B264,lista_dias,0)-1)</f>
        <v/>
      </c>
      <c r="M264" s="3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3">
        <f>$A264&amp;"|"&amp;$B264&amp;"|"&amp;$C264</f>
        <v/>
      </c>
      <c r="O264" s="3">
        <f>IFERROR(INDEX('CAT_TURNOS'!$C$4:$C$7,MATCH($J264,'CAT_TURNOS'!$A$4:$A$7,0)),"")</f>
        <v/>
      </c>
      <c r="P264" s="3">
        <f>IFERROR(INDEX('CAT_TURNOS'!$D$4:$D$7,MATCH($J264,'CAT_TURNOS'!$A$4:$A$7,0)),"")</f>
        <v/>
      </c>
      <c r="Q264" s="3">
        <f>IF(AND(LEFT($G264,1)="T",$H264="no"),"sí","no")</f>
        <v/>
      </c>
    </row>
    <row r="265">
      <c r="A265" s="3" t="inlineStr">
        <is>
          <t>2026-S31</t>
        </is>
      </c>
      <c r="B265" s="3" t="inlineStr">
        <is>
          <t>miércoles</t>
        </is>
      </c>
      <c r="C265" s="3" t="inlineStr">
        <is>
          <t>Técnico 06</t>
        </is>
      </c>
      <c r="D265" s="3">
        <f>IFERROR(INDEX('TECNICOS'!$D$4:$D$19,MATCH($C265,'TECNICOS'!$B$4:$B$19,0)),"")</f>
        <v/>
      </c>
      <c r="E265" s="3">
        <f>IFERROR(INDEX('TECNICOS'!$C$4:$C$19,MATCH($C265,'TECNICOS'!$B$4:$B$19,0)),"")</f>
        <v/>
      </c>
      <c r="F265" s="3">
        <f>COUNTIFS('TECNICOS'!$F$4:$F$19,"SI",'TECNICOS'!$C$4:$C$19,$E265,'TECNICOS'!$D$4:$D$19,$D265)</f>
        <v/>
      </c>
      <c r="G265" s="3">
        <f>IF(OR($C265="",$A265="",$B265="domingo"),"",IF(IFERROR(INDEX('TECNICOS'!$F$4:$F$19,MATCH($C265,'TECNICOS'!$B$4:$B$19,0)),"NO")&lt;&gt;"SI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3">
        <f>IF(COUNTIFS('PLAN_VACACIONES'!$A$4:$A$103,$C265,'PLAN_VACACIONES'!$B$4:$B$103,"&lt;="&amp;$L265,'PLAN_VACACIONES'!$C$4:$C$103,"&gt;="&amp;$L265)&gt;0,"sí","no")</f>
        <v/>
      </c>
      <c r="I265" s="6" t="n"/>
      <c r="J265" s="3">
        <f>IF($I265&lt;&gt;"",$I265,IF($G265="","",IF($H265="sí","VAC",IF(LEFT($G265,1)="B","B",$G265))))</f>
        <v/>
      </c>
      <c r="K265" s="3">
        <f>IFERROR(INDEX('TECNICOS'!$E$4:$E$19,MATCH($C265,'TECNICOS'!$B$4:$B$19,0)),"")</f>
        <v/>
      </c>
      <c r="L265" s="12">
        <f>IF($A265="","",DATE(VALUE(LEFT($A265,4)),1,4)-WEEKDAY(DATE(VALUE(LEFT($A265,4)),1,4),2)+1+(VALUE(MID($A265,7,2))-1)*7+MATCH($B265,lista_dias,0)-1)</f>
        <v/>
      </c>
      <c r="M265" s="3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3">
        <f>$A265&amp;"|"&amp;$B265&amp;"|"&amp;$C265</f>
        <v/>
      </c>
      <c r="O265" s="3">
        <f>IFERROR(INDEX('CAT_TURNOS'!$C$4:$C$7,MATCH($J265,'CAT_TURNOS'!$A$4:$A$7,0)),"")</f>
        <v/>
      </c>
      <c r="P265" s="3">
        <f>IFERROR(INDEX('CAT_TURNOS'!$D$4:$D$7,MATCH($J265,'CAT_TURNOS'!$A$4:$A$7,0)),"")</f>
        <v/>
      </c>
      <c r="Q265" s="3">
        <f>IF(AND(LEFT($G265,1)="T",$H265="no"),"sí","no")</f>
        <v/>
      </c>
    </row>
    <row r="266">
      <c r="A266" s="3" t="inlineStr">
        <is>
          <t>2026-S31</t>
        </is>
      </c>
      <c r="B266" s="3" t="inlineStr">
        <is>
          <t>jueves</t>
        </is>
      </c>
      <c r="C266" s="3" t="inlineStr">
        <is>
          <t>Técnico 06</t>
        </is>
      </c>
      <c r="D266" s="3">
        <f>IFERROR(INDEX('TECNICOS'!$D$4:$D$19,MATCH($C266,'TECNICOS'!$B$4:$B$19,0)),"")</f>
        <v/>
      </c>
      <c r="E266" s="3">
        <f>IFERROR(INDEX('TECNICOS'!$C$4:$C$19,MATCH($C266,'TECNICOS'!$B$4:$B$19,0)),"")</f>
        <v/>
      </c>
      <c r="F266" s="3">
        <f>COUNTIFS('TECNICOS'!$F$4:$F$19,"SI",'TECNICOS'!$C$4:$C$19,$E266,'TECNICOS'!$D$4:$D$19,$D266)</f>
        <v/>
      </c>
      <c r="G266" s="3">
        <f>IF(OR($C266="",$A266="",$B266="domingo"),"",IF(IFERROR(INDEX('TECNICOS'!$F$4:$F$19,MATCH($C266,'TECNICOS'!$B$4:$B$19,0)),"NO")&lt;&gt;"SI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3">
        <f>IF(COUNTIFS('PLAN_VACACIONES'!$A$4:$A$103,$C266,'PLAN_VACACIONES'!$B$4:$B$103,"&lt;="&amp;$L266,'PLAN_VACACIONES'!$C$4:$C$103,"&gt;="&amp;$L266)&gt;0,"sí","no")</f>
        <v/>
      </c>
      <c r="I266" s="6" t="n"/>
      <c r="J266" s="3">
        <f>IF($I266&lt;&gt;"",$I266,IF($G266="","",IF($H266="sí","VAC",IF(LEFT($G266,1)="B","B",$G266))))</f>
        <v/>
      </c>
      <c r="K266" s="3">
        <f>IFERROR(INDEX('TECNICOS'!$E$4:$E$19,MATCH($C266,'TECNICOS'!$B$4:$B$19,0)),"")</f>
        <v/>
      </c>
      <c r="L266" s="12">
        <f>IF($A266="","",DATE(VALUE(LEFT($A266,4)),1,4)-WEEKDAY(DATE(VALUE(LEFT($A266,4)),1,4),2)+1+(VALUE(MID($A266,7,2))-1)*7+MATCH($B266,lista_dias,0)-1)</f>
        <v/>
      </c>
      <c r="M266" s="3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3">
        <f>$A266&amp;"|"&amp;$B266&amp;"|"&amp;$C266</f>
        <v/>
      </c>
      <c r="O266" s="3">
        <f>IFERROR(INDEX('CAT_TURNOS'!$C$4:$C$7,MATCH($J266,'CAT_TURNOS'!$A$4:$A$7,0)),"")</f>
        <v/>
      </c>
      <c r="P266" s="3">
        <f>IFERROR(INDEX('CAT_TURNOS'!$D$4:$D$7,MATCH($J266,'CAT_TURNOS'!$A$4:$A$7,0)),"")</f>
        <v/>
      </c>
      <c r="Q266" s="3">
        <f>IF(AND(LEFT($G266,1)="T",$H266="no"),"sí","no")</f>
        <v/>
      </c>
    </row>
    <row r="267">
      <c r="A267" s="3" t="inlineStr">
        <is>
          <t>2026-S31</t>
        </is>
      </c>
      <c r="B267" s="3" t="inlineStr">
        <is>
          <t>viernes</t>
        </is>
      </c>
      <c r="C267" s="3" t="inlineStr">
        <is>
          <t>Técnico 06</t>
        </is>
      </c>
      <c r="D267" s="3">
        <f>IFERROR(INDEX('TECNICOS'!$D$4:$D$19,MATCH($C267,'TECNICOS'!$B$4:$B$19,0)),"")</f>
        <v/>
      </c>
      <c r="E267" s="3">
        <f>IFERROR(INDEX('TECNICOS'!$C$4:$C$19,MATCH($C267,'TECNICOS'!$B$4:$B$19,0)),"")</f>
        <v/>
      </c>
      <c r="F267" s="3">
        <f>COUNTIFS('TECNICOS'!$F$4:$F$19,"SI",'TECNICOS'!$C$4:$C$19,$E267,'TECNICOS'!$D$4:$D$19,$D267)</f>
        <v/>
      </c>
      <c r="G267" s="3">
        <f>IF(OR($C267="",$A267="",$B267="domingo"),"",IF(IFERROR(INDEX('TECNICOS'!$F$4:$F$19,MATCH($C267,'TECNICOS'!$B$4:$B$19,0)),"NO")&lt;&gt;"SI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3">
        <f>IF(COUNTIFS('PLAN_VACACIONES'!$A$4:$A$103,$C267,'PLAN_VACACIONES'!$B$4:$B$103,"&lt;="&amp;$L267,'PLAN_VACACIONES'!$C$4:$C$103,"&gt;="&amp;$L267)&gt;0,"sí","no")</f>
        <v/>
      </c>
      <c r="I267" s="6" t="n"/>
      <c r="J267" s="3">
        <f>IF($I267&lt;&gt;"",$I267,IF($G267="","",IF($H267="sí","VAC",IF(LEFT($G267,1)="B","B",$G267))))</f>
        <v/>
      </c>
      <c r="K267" s="3">
        <f>IFERROR(INDEX('TECNICOS'!$E$4:$E$19,MATCH($C267,'TECNICOS'!$B$4:$B$19,0)),"")</f>
        <v/>
      </c>
      <c r="L267" s="12">
        <f>IF($A267="","",DATE(VALUE(LEFT($A267,4)),1,4)-WEEKDAY(DATE(VALUE(LEFT($A267,4)),1,4),2)+1+(VALUE(MID($A267,7,2))-1)*7+MATCH($B267,lista_dias,0)-1)</f>
        <v/>
      </c>
      <c r="M267" s="3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3">
        <f>$A267&amp;"|"&amp;$B267&amp;"|"&amp;$C267</f>
        <v/>
      </c>
      <c r="O267" s="3">
        <f>IFERROR(INDEX('CAT_TURNOS'!$C$4:$C$7,MATCH($J267,'CAT_TURNOS'!$A$4:$A$7,0)),"")</f>
        <v/>
      </c>
      <c r="P267" s="3">
        <f>IFERROR(INDEX('CAT_TURNOS'!$D$4:$D$7,MATCH($J267,'CAT_TURNOS'!$A$4:$A$7,0)),"")</f>
        <v/>
      </c>
      <c r="Q267" s="3">
        <f>IF(AND(LEFT($G267,1)="T",$H267="no"),"sí","no")</f>
        <v/>
      </c>
    </row>
    <row r="268">
      <c r="A268" s="3" t="inlineStr">
        <is>
          <t>2026-S31</t>
        </is>
      </c>
      <c r="B268" s="3" t="inlineStr">
        <is>
          <t>sábado</t>
        </is>
      </c>
      <c r="C268" s="3" t="inlineStr">
        <is>
          <t>Técnico 06</t>
        </is>
      </c>
      <c r="D268" s="3">
        <f>IFERROR(INDEX('TECNICOS'!$D$4:$D$19,MATCH($C268,'TECNICOS'!$B$4:$B$19,0)),"")</f>
        <v/>
      </c>
      <c r="E268" s="3">
        <f>IFERROR(INDEX('TECNICOS'!$C$4:$C$19,MATCH($C268,'TECNICOS'!$B$4:$B$19,0)),"")</f>
        <v/>
      </c>
      <c r="F268" s="3">
        <f>COUNTIFS('TECNICOS'!$F$4:$F$19,"SI",'TECNICOS'!$C$4:$C$19,$E268,'TECNICOS'!$D$4:$D$19,$D268)</f>
        <v/>
      </c>
      <c r="G268" s="3">
        <f>IF(OR($C268="",$A268="",$B268="domingo"),"",IF(IFERROR(INDEX('TECNICOS'!$F$4:$F$19,MATCH($C268,'TECNICOS'!$B$4:$B$19,0)),"NO")&lt;&gt;"SI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3">
        <f>IF(COUNTIFS('PLAN_VACACIONES'!$A$4:$A$103,$C268,'PLAN_VACACIONES'!$B$4:$B$103,"&lt;="&amp;$L268,'PLAN_VACACIONES'!$C$4:$C$103,"&gt;="&amp;$L268)&gt;0,"sí","no")</f>
        <v/>
      </c>
      <c r="I268" s="6" t="n"/>
      <c r="J268" s="3">
        <f>IF($I268&lt;&gt;"",$I268,IF($G268="","",IF($H268="sí","VAC",IF(LEFT($G268,1)="B","B",$G268))))</f>
        <v/>
      </c>
      <c r="K268" s="3">
        <f>IFERROR(INDEX('TECNICOS'!$E$4:$E$19,MATCH($C268,'TECNICOS'!$B$4:$B$19,0)),"")</f>
        <v/>
      </c>
      <c r="L268" s="12">
        <f>IF($A268="","",DATE(VALUE(LEFT($A268,4)),1,4)-WEEKDAY(DATE(VALUE(LEFT($A268,4)),1,4),2)+1+(VALUE(MID($A268,7,2))-1)*7+MATCH($B268,lista_dias,0)-1)</f>
        <v/>
      </c>
      <c r="M268" s="3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3">
        <f>$A268&amp;"|"&amp;$B268&amp;"|"&amp;$C268</f>
        <v/>
      </c>
      <c r="O268" s="3">
        <f>IFERROR(INDEX('CAT_TURNOS'!$C$4:$C$7,MATCH($J268,'CAT_TURNOS'!$A$4:$A$7,0)),"")</f>
        <v/>
      </c>
      <c r="P268" s="3">
        <f>IFERROR(INDEX('CAT_TURNOS'!$D$4:$D$7,MATCH($J268,'CAT_TURNOS'!$A$4:$A$7,0)),"")</f>
        <v/>
      </c>
      <c r="Q268" s="3">
        <f>IF(AND(LEFT($G268,1)="T",$H268="no"),"sí","no")</f>
        <v/>
      </c>
    </row>
    <row r="269">
      <c r="A269" s="3" t="inlineStr">
        <is>
          <t>2026-S31</t>
        </is>
      </c>
      <c r="B269" s="3" t="inlineStr">
        <is>
          <t>domingo</t>
        </is>
      </c>
      <c r="C269" s="3" t="inlineStr">
        <is>
          <t>Técnico 06</t>
        </is>
      </c>
      <c r="D269" s="3">
        <f>IFERROR(INDEX('TECNICOS'!$D$4:$D$19,MATCH($C269,'TECNICOS'!$B$4:$B$19,0)),"")</f>
        <v/>
      </c>
      <c r="E269" s="3">
        <f>IFERROR(INDEX('TECNICOS'!$C$4:$C$19,MATCH($C269,'TECNICOS'!$B$4:$B$19,0)),"")</f>
        <v/>
      </c>
      <c r="F269" s="3">
        <f>COUNTIFS('TECNICOS'!$F$4:$F$19,"SI",'TECNICOS'!$C$4:$C$19,$E269,'TECNICOS'!$D$4:$D$19,$D269)</f>
        <v/>
      </c>
      <c r="G269" s="3">
        <f>IF(OR($C269="",$A269="",$B269="domingo"),"",IF(IFERROR(INDEX('TECNICOS'!$F$4:$F$19,MATCH($C269,'TECNICOS'!$B$4:$B$19,0)),"NO")&lt;&gt;"SI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3">
        <f>IF(COUNTIFS('PLAN_VACACIONES'!$A$4:$A$103,$C269,'PLAN_VACACIONES'!$B$4:$B$103,"&lt;="&amp;$L269,'PLAN_VACACIONES'!$C$4:$C$103,"&gt;="&amp;$L269)&gt;0,"sí","no")</f>
        <v/>
      </c>
      <c r="I269" s="6" t="n"/>
      <c r="J269" s="3">
        <f>IF($I269&lt;&gt;"",$I269,IF($G269="","",IF($H269="sí","VAC",IF(LEFT($G269,1)="B","B",$G269))))</f>
        <v/>
      </c>
      <c r="K269" s="3">
        <f>IFERROR(INDEX('TECNICOS'!$E$4:$E$19,MATCH($C269,'TECNICOS'!$B$4:$B$19,0)),"")</f>
        <v/>
      </c>
      <c r="L269" s="12">
        <f>IF($A269="","",DATE(VALUE(LEFT($A269,4)),1,4)-WEEKDAY(DATE(VALUE(LEFT($A269,4)),1,4),2)+1+(VALUE(MID($A269,7,2))-1)*7+MATCH($B269,lista_dias,0)-1)</f>
        <v/>
      </c>
      <c r="M269" s="3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3">
        <f>$A269&amp;"|"&amp;$B269&amp;"|"&amp;$C269</f>
        <v/>
      </c>
      <c r="O269" s="3">
        <f>IFERROR(INDEX('CAT_TURNOS'!$C$4:$C$7,MATCH($J269,'CAT_TURNOS'!$A$4:$A$7,0)),"")</f>
        <v/>
      </c>
      <c r="P269" s="3">
        <f>IFERROR(INDEX('CAT_TURNOS'!$D$4:$D$7,MATCH($J269,'CAT_TURNOS'!$A$4:$A$7,0)),"")</f>
        <v/>
      </c>
      <c r="Q269" s="3">
        <f>IF(AND(LEFT($G269,1)="T",$H269="no"),"sí","no")</f>
        <v/>
      </c>
    </row>
    <row r="270">
      <c r="A270" s="3" t="inlineStr">
        <is>
          <t>2026-S31</t>
        </is>
      </c>
      <c r="B270" s="3" t="inlineStr">
        <is>
          <t>lunes</t>
        </is>
      </c>
      <c r="C270" s="3" t="inlineStr">
        <is>
          <t>Técnico 07</t>
        </is>
      </c>
      <c r="D270" s="3">
        <f>IFERROR(INDEX('TECNICOS'!$D$4:$D$19,MATCH($C270,'TECNICOS'!$B$4:$B$19,0)),"")</f>
        <v/>
      </c>
      <c r="E270" s="3">
        <f>IFERROR(INDEX('TECNICOS'!$C$4:$C$19,MATCH($C270,'TECNICOS'!$B$4:$B$19,0)),"")</f>
        <v/>
      </c>
      <c r="F270" s="3">
        <f>COUNTIFS('TECNICOS'!$F$4:$F$19,"SI",'TECNICOS'!$C$4:$C$19,$E270,'TECNICOS'!$D$4:$D$19,$D270)</f>
        <v/>
      </c>
      <c r="G270" s="3">
        <f>IF(OR($C270="",$A270="",$B270="domingo"),"",IF(IFERROR(INDEX('TECNICOS'!$F$4:$F$19,MATCH($C270,'TECNICOS'!$B$4:$B$19,0)),"NO")&lt;&gt;"SI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3">
        <f>IF(COUNTIFS('PLAN_VACACIONES'!$A$4:$A$103,$C270,'PLAN_VACACIONES'!$B$4:$B$103,"&lt;="&amp;$L270,'PLAN_VACACIONES'!$C$4:$C$103,"&gt;="&amp;$L270)&gt;0,"sí","no")</f>
        <v/>
      </c>
      <c r="I270" s="6" t="n"/>
      <c r="J270" s="3">
        <f>IF($I270&lt;&gt;"",$I270,IF($G270="","",IF($H270="sí","VAC",IF(LEFT($G270,1)="B","B",$G270))))</f>
        <v/>
      </c>
      <c r="K270" s="3">
        <f>IFERROR(INDEX('TECNICOS'!$E$4:$E$19,MATCH($C270,'TECNICOS'!$B$4:$B$19,0)),"")</f>
        <v/>
      </c>
      <c r="L270" s="12">
        <f>IF($A270="","",DATE(VALUE(LEFT($A270,4)),1,4)-WEEKDAY(DATE(VALUE(LEFT($A270,4)),1,4),2)+1+(VALUE(MID($A270,7,2))-1)*7+MATCH($B270,lista_dias,0)-1)</f>
        <v/>
      </c>
      <c r="M270" s="3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3">
        <f>$A270&amp;"|"&amp;$B270&amp;"|"&amp;$C270</f>
        <v/>
      </c>
      <c r="O270" s="3">
        <f>IFERROR(INDEX('CAT_TURNOS'!$C$4:$C$7,MATCH($J270,'CAT_TURNOS'!$A$4:$A$7,0)),"")</f>
        <v/>
      </c>
      <c r="P270" s="3">
        <f>IFERROR(INDEX('CAT_TURNOS'!$D$4:$D$7,MATCH($J270,'CAT_TURNOS'!$A$4:$A$7,0)),"")</f>
        <v/>
      </c>
      <c r="Q270" s="3">
        <f>IF(AND(LEFT($G270,1)="T",$H270="no"),"sí","no")</f>
        <v/>
      </c>
    </row>
    <row r="271">
      <c r="A271" s="3" t="inlineStr">
        <is>
          <t>2026-S31</t>
        </is>
      </c>
      <c r="B271" s="3" t="inlineStr">
        <is>
          <t>martes</t>
        </is>
      </c>
      <c r="C271" s="3" t="inlineStr">
        <is>
          <t>Técnico 07</t>
        </is>
      </c>
      <c r="D271" s="3">
        <f>IFERROR(INDEX('TECNICOS'!$D$4:$D$19,MATCH($C271,'TECNICOS'!$B$4:$B$19,0)),"")</f>
        <v/>
      </c>
      <c r="E271" s="3">
        <f>IFERROR(INDEX('TECNICOS'!$C$4:$C$19,MATCH($C271,'TECNICOS'!$B$4:$B$19,0)),"")</f>
        <v/>
      </c>
      <c r="F271" s="3">
        <f>COUNTIFS('TECNICOS'!$F$4:$F$19,"SI",'TECNICOS'!$C$4:$C$19,$E271,'TECNICOS'!$D$4:$D$19,$D271)</f>
        <v/>
      </c>
      <c r="G271" s="3">
        <f>IF(OR($C271="",$A271="",$B271="domingo"),"",IF(IFERROR(INDEX('TECNICOS'!$F$4:$F$19,MATCH($C271,'TECNICOS'!$B$4:$B$19,0)),"NO")&lt;&gt;"SI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3">
        <f>IF(COUNTIFS('PLAN_VACACIONES'!$A$4:$A$103,$C271,'PLAN_VACACIONES'!$B$4:$B$103,"&lt;="&amp;$L271,'PLAN_VACACIONES'!$C$4:$C$103,"&gt;="&amp;$L271)&gt;0,"sí","no")</f>
        <v/>
      </c>
      <c r="I271" s="6" t="n"/>
      <c r="J271" s="3">
        <f>IF($I271&lt;&gt;"",$I271,IF($G271="","",IF($H271="sí","VAC",IF(LEFT($G271,1)="B","B",$G271))))</f>
        <v/>
      </c>
      <c r="K271" s="3">
        <f>IFERROR(INDEX('TECNICOS'!$E$4:$E$19,MATCH($C271,'TECNICOS'!$B$4:$B$19,0)),"")</f>
        <v/>
      </c>
      <c r="L271" s="12">
        <f>IF($A271="","",DATE(VALUE(LEFT($A271,4)),1,4)-WEEKDAY(DATE(VALUE(LEFT($A271,4)),1,4),2)+1+(VALUE(MID($A271,7,2))-1)*7+MATCH($B271,lista_dias,0)-1)</f>
        <v/>
      </c>
      <c r="M271" s="3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3">
        <f>$A271&amp;"|"&amp;$B271&amp;"|"&amp;$C271</f>
        <v/>
      </c>
      <c r="O271" s="3">
        <f>IFERROR(INDEX('CAT_TURNOS'!$C$4:$C$7,MATCH($J271,'CAT_TURNOS'!$A$4:$A$7,0)),"")</f>
        <v/>
      </c>
      <c r="P271" s="3">
        <f>IFERROR(INDEX('CAT_TURNOS'!$D$4:$D$7,MATCH($J271,'CAT_TURNOS'!$A$4:$A$7,0)),"")</f>
        <v/>
      </c>
      <c r="Q271" s="3">
        <f>IF(AND(LEFT($G271,1)="T",$H271="no"),"sí","no")</f>
        <v/>
      </c>
    </row>
    <row r="272">
      <c r="A272" s="3" t="inlineStr">
        <is>
          <t>2026-S31</t>
        </is>
      </c>
      <c r="B272" s="3" t="inlineStr">
        <is>
          <t>miércoles</t>
        </is>
      </c>
      <c r="C272" s="3" t="inlineStr">
        <is>
          <t>Técnico 07</t>
        </is>
      </c>
      <c r="D272" s="3">
        <f>IFERROR(INDEX('TECNICOS'!$D$4:$D$19,MATCH($C272,'TECNICOS'!$B$4:$B$19,0)),"")</f>
        <v/>
      </c>
      <c r="E272" s="3">
        <f>IFERROR(INDEX('TECNICOS'!$C$4:$C$19,MATCH($C272,'TECNICOS'!$B$4:$B$19,0)),"")</f>
        <v/>
      </c>
      <c r="F272" s="3">
        <f>COUNTIFS('TECNICOS'!$F$4:$F$19,"SI",'TECNICOS'!$C$4:$C$19,$E272,'TECNICOS'!$D$4:$D$19,$D272)</f>
        <v/>
      </c>
      <c r="G272" s="3">
        <f>IF(OR($C272="",$A272="",$B272="domingo"),"",IF(IFERROR(INDEX('TECNICOS'!$F$4:$F$19,MATCH($C272,'TECNICOS'!$B$4:$B$19,0)),"NO")&lt;&gt;"SI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3">
        <f>IF(COUNTIFS('PLAN_VACACIONES'!$A$4:$A$103,$C272,'PLAN_VACACIONES'!$B$4:$B$103,"&lt;="&amp;$L272,'PLAN_VACACIONES'!$C$4:$C$103,"&gt;="&amp;$L272)&gt;0,"sí","no")</f>
        <v/>
      </c>
      <c r="I272" s="6" t="n"/>
      <c r="J272" s="3">
        <f>IF($I272&lt;&gt;"",$I272,IF($G272="","",IF($H272="sí","VAC",IF(LEFT($G272,1)="B","B",$G272))))</f>
        <v/>
      </c>
      <c r="K272" s="3">
        <f>IFERROR(INDEX('TECNICOS'!$E$4:$E$19,MATCH($C272,'TECNICOS'!$B$4:$B$19,0)),"")</f>
        <v/>
      </c>
      <c r="L272" s="12">
        <f>IF($A272="","",DATE(VALUE(LEFT($A272,4)),1,4)-WEEKDAY(DATE(VALUE(LEFT($A272,4)),1,4),2)+1+(VALUE(MID($A272,7,2))-1)*7+MATCH($B272,lista_dias,0)-1)</f>
        <v/>
      </c>
      <c r="M272" s="3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3">
        <f>$A272&amp;"|"&amp;$B272&amp;"|"&amp;$C272</f>
        <v/>
      </c>
      <c r="O272" s="3">
        <f>IFERROR(INDEX('CAT_TURNOS'!$C$4:$C$7,MATCH($J272,'CAT_TURNOS'!$A$4:$A$7,0)),"")</f>
        <v/>
      </c>
      <c r="P272" s="3">
        <f>IFERROR(INDEX('CAT_TURNOS'!$D$4:$D$7,MATCH($J272,'CAT_TURNOS'!$A$4:$A$7,0)),"")</f>
        <v/>
      </c>
      <c r="Q272" s="3">
        <f>IF(AND(LEFT($G272,1)="T",$H272="no"),"sí","no")</f>
        <v/>
      </c>
    </row>
    <row r="273">
      <c r="A273" s="3" t="inlineStr">
        <is>
          <t>2026-S31</t>
        </is>
      </c>
      <c r="B273" s="3" t="inlineStr">
        <is>
          <t>jueves</t>
        </is>
      </c>
      <c r="C273" s="3" t="inlineStr">
        <is>
          <t>Técnico 07</t>
        </is>
      </c>
      <c r="D273" s="3">
        <f>IFERROR(INDEX('TECNICOS'!$D$4:$D$19,MATCH($C273,'TECNICOS'!$B$4:$B$19,0)),"")</f>
        <v/>
      </c>
      <c r="E273" s="3">
        <f>IFERROR(INDEX('TECNICOS'!$C$4:$C$19,MATCH($C273,'TECNICOS'!$B$4:$B$19,0)),"")</f>
        <v/>
      </c>
      <c r="F273" s="3">
        <f>COUNTIFS('TECNICOS'!$F$4:$F$19,"SI",'TECNICOS'!$C$4:$C$19,$E273,'TECNICOS'!$D$4:$D$19,$D273)</f>
        <v/>
      </c>
      <c r="G273" s="3">
        <f>IF(OR($C273="",$A273="",$B273="domingo"),"",IF(IFERROR(INDEX('TECNICOS'!$F$4:$F$19,MATCH($C273,'TECNICOS'!$B$4:$B$19,0)),"NO")&lt;&gt;"SI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3">
        <f>IF(COUNTIFS('PLAN_VACACIONES'!$A$4:$A$103,$C273,'PLAN_VACACIONES'!$B$4:$B$103,"&lt;="&amp;$L273,'PLAN_VACACIONES'!$C$4:$C$103,"&gt;="&amp;$L273)&gt;0,"sí","no")</f>
        <v/>
      </c>
      <c r="I273" s="6" t="n"/>
      <c r="J273" s="3">
        <f>IF($I273&lt;&gt;"",$I273,IF($G273="","",IF($H273="sí","VAC",IF(LEFT($G273,1)="B","B",$G273))))</f>
        <v/>
      </c>
      <c r="K273" s="3">
        <f>IFERROR(INDEX('TECNICOS'!$E$4:$E$19,MATCH($C273,'TECNICOS'!$B$4:$B$19,0)),"")</f>
        <v/>
      </c>
      <c r="L273" s="12">
        <f>IF($A273="","",DATE(VALUE(LEFT($A273,4)),1,4)-WEEKDAY(DATE(VALUE(LEFT($A273,4)),1,4),2)+1+(VALUE(MID($A273,7,2))-1)*7+MATCH($B273,lista_dias,0)-1)</f>
        <v/>
      </c>
      <c r="M273" s="3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3">
        <f>$A273&amp;"|"&amp;$B273&amp;"|"&amp;$C273</f>
        <v/>
      </c>
      <c r="O273" s="3">
        <f>IFERROR(INDEX('CAT_TURNOS'!$C$4:$C$7,MATCH($J273,'CAT_TURNOS'!$A$4:$A$7,0)),"")</f>
        <v/>
      </c>
      <c r="P273" s="3">
        <f>IFERROR(INDEX('CAT_TURNOS'!$D$4:$D$7,MATCH($J273,'CAT_TURNOS'!$A$4:$A$7,0)),"")</f>
        <v/>
      </c>
      <c r="Q273" s="3">
        <f>IF(AND(LEFT($G273,1)="T",$H273="no"),"sí","no")</f>
        <v/>
      </c>
    </row>
    <row r="274">
      <c r="A274" s="3" t="inlineStr">
        <is>
          <t>2026-S31</t>
        </is>
      </c>
      <c r="B274" s="3" t="inlineStr">
        <is>
          <t>viernes</t>
        </is>
      </c>
      <c r="C274" s="3" t="inlineStr">
        <is>
          <t>Técnico 07</t>
        </is>
      </c>
      <c r="D274" s="3">
        <f>IFERROR(INDEX('TECNICOS'!$D$4:$D$19,MATCH($C274,'TECNICOS'!$B$4:$B$19,0)),"")</f>
        <v/>
      </c>
      <c r="E274" s="3">
        <f>IFERROR(INDEX('TECNICOS'!$C$4:$C$19,MATCH($C274,'TECNICOS'!$B$4:$B$19,0)),"")</f>
        <v/>
      </c>
      <c r="F274" s="3">
        <f>COUNTIFS('TECNICOS'!$F$4:$F$19,"SI",'TECNICOS'!$C$4:$C$19,$E274,'TECNICOS'!$D$4:$D$19,$D274)</f>
        <v/>
      </c>
      <c r="G274" s="3">
        <f>IF(OR($C274="",$A274="",$B274="domingo"),"",IF(IFERROR(INDEX('TECNICOS'!$F$4:$F$19,MATCH($C274,'TECNICOS'!$B$4:$B$19,0)),"NO")&lt;&gt;"SI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3">
        <f>IF(COUNTIFS('PLAN_VACACIONES'!$A$4:$A$103,$C274,'PLAN_VACACIONES'!$B$4:$B$103,"&lt;="&amp;$L274,'PLAN_VACACIONES'!$C$4:$C$103,"&gt;="&amp;$L274)&gt;0,"sí","no")</f>
        <v/>
      </c>
      <c r="I274" s="6" t="n"/>
      <c r="J274" s="3">
        <f>IF($I274&lt;&gt;"",$I274,IF($G274="","",IF($H274="sí","VAC",IF(LEFT($G274,1)="B","B",$G274))))</f>
        <v/>
      </c>
      <c r="K274" s="3">
        <f>IFERROR(INDEX('TECNICOS'!$E$4:$E$19,MATCH($C274,'TECNICOS'!$B$4:$B$19,0)),"")</f>
        <v/>
      </c>
      <c r="L274" s="12">
        <f>IF($A274="","",DATE(VALUE(LEFT($A274,4)),1,4)-WEEKDAY(DATE(VALUE(LEFT($A274,4)),1,4),2)+1+(VALUE(MID($A274,7,2))-1)*7+MATCH($B274,lista_dias,0)-1)</f>
        <v/>
      </c>
      <c r="M274" s="3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3">
        <f>$A274&amp;"|"&amp;$B274&amp;"|"&amp;$C274</f>
        <v/>
      </c>
      <c r="O274" s="3">
        <f>IFERROR(INDEX('CAT_TURNOS'!$C$4:$C$7,MATCH($J274,'CAT_TURNOS'!$A$4:$A$7,0)),"")</f>
        <v/>
      </c>
      <c r="P274" s="3">
        <f>IFERROR(INDEX('CAT_TURNOS'!$D$4:$D$7,MATCH($J274,'CAT_TURNOS'!$A$4:$A$7,0)),"")</f>
        <v/>
      </c>
      <c r="Q274" s="3">
        <f>IF(AND(LEFT($G274,1)="T",$H274="no"),"sí","no")</f>
        <v/>
      </c>
    </row>
    <row r="275">
      <c r="A275" s="3" t="inlineStr">
        <is>
          <t>2026-S31</t>
        </is>
      </c>
      <c r="B275" s="3" t="inlineStr">
        <is>
          <t>sábado</t>
        </is>
      </c>
      <c r="C275" s="3" t="inlineStr">
        <is>
          <t>Técnico 07</t>
        </is>
      </c>
      <c r="D275" s="3">
        <f>IFERROR(INDEX('TECNICOS'!$D$4:$D$19,MATCH($C275,'TECNICOS'!$B$4:$B$19,0)),"")</f>
        <v/>
      </c>
      <c r="E275" s="3">
        <f>IFERROR(INDEX('TECNICOS'!$C$4:$C$19,MATCH($C275,'TECNICOS'!$B$4:$B$19,0)),"")</f>
        <v/>
      </c>
      <c r="F275" s="3">
        <f>COUNTIFS('TECNICOS'!$F$4:$F$19,"SI",'TECNICOS'!$C$4:$C$19,$E275,'TECNICOS'!$D$4:$D$19,$D275)</f>
        <v/>
      </c>
      <c r="G275" s="3">
        <f>IF(OR($C275="",$A275="",$B275="domingo"),"",IF(IFERROR(INDEX('TECNICOS'!$F$4:$F$19,MATCH($C275,'TECNICOS'!$B$4:$B$19,0)),"NO")&lt;&gt;"SI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3">
        <f>IF(COUNTIFS('PLAN_VACACIONES'!$A$4:$A$103,$C275,'PLAN_VACACIONES'!$B$4:$B$103,"&lt;="&amp;$L275,'PLAN_VACACIONES'!$C$4:$C$103,"&gt;="&amp;$L275)&gt;0,"sí","no")</f>
        <v/>
      </c>
      <c r="I275" s="6" t="n"/>
      <c r="J275" s="3">
        <f>IF($I275&lt;&gt;"",$I275,IF($G275="","",IF($H275="sí","VAC",IF(LEFT($G275,1)="B","B",$G275))))</f>
        <v/>
      </c>
      <c r="K275" s="3">
        <f>IFERROR(INDEX('TECNICOS'!$E$4:$E$19,MATCH($C275,'TECNICOS'!$B$4:$B$19,0)),"")</f>
        <v/>
      </c>
      <c r="L275" s="12">
        <f>IF($A275="","",DATE(VALUE(LEFT($A275,4)),1,4)-WEEKDAY(DATE(VALUE(LEFT($A275,4)),1,4),2)+1+(VALUE(MID($A275,7,2))-1)*7+MATCH($B275,lista_dias,0)-1)</f>
        <v/>
      </c>
      <c r="M275" s="3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3">
        <f>$A275&amp;"|"&amp;$B275&amp;"|"&amp;$C275</f>
        <v/>
      </c>
      <c r="O275" s="3">
        <f>IFERROR(INDEX('CAT_TURNOS'!$C$4:$C$7,MATCH($J275,'CAT_TURNOS'!$A$4:$A$7,0)),"")</f>
        <v/>
      </c>
      <c r="P275" s="3">
        <f>IFERROR(INDEX('CAT_TURNOS'!$D$4:$D$7,MATCH($J275,'CAT_TURNOS'!$A$4:$A$7,0)),"")</f>
        <v/>
      </c>
      <c r="Q275" s="3">
        <f>IF(AND(LEFT($G275,1)="T",$H275="no"),"sí","no")</f>
        <v/>
      </c>
    </row>
    <row r="276">
      <c r="A276" s="3" t="inlineStr">
        <is>
          <t>2026-S31</t>
        </is>
      </c>
      <c r="B276" s="3" t="inlineStr">
        <is>
          <t>domingo</t>
        </is>
      </c>
      <c r="C276" s="3" t="inlineStr">
        <is>
          <t>Técnico 07</t>
        </is>
      </c>
      <c r="D276" s="3">
        <f>IFERROR(INDEX('TECNICOS'!$D$4:$D$19,MATCH($C276,'TECNICOS'!$B$4:$B$19,0)),"")</f>
        <v/>
      </c>
      <c r="E276" s="3">
        <f>IFERROR(INDEX('TECNICOS'!$C$4:$C$19,MATCH($C276,'TECNICOS'!$B$4:$B$19,0)),"")</f>
        <v/>
      </c>
      <c r="F276" s="3">
        <f>COUNTIFS('TECNICOS'!$F$4:$F$19,"SI",'TECNICOS'!$C$4:$C$19,$E276,'TECNICOS'!$D$4:$D$19,$D276)</f>
        <v/>
      </c>
      <c r="G276" s="3">
        <f>IF(OR($C276="",$A276="",$B276="domingo"),"",IF(IFERROR(INDEX('TECNICOS'!$F$4:$F$19,MATCH($C276,'TECNICOS'!$B$4:$B$19,0)),"NO")&lt;&gt;"SI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3">
        <f>IF(COUNTIFS('PLAN_VACACIONES'!$A$4:$A$103,$C276,'PLAN_VACACIONES'!$B$4:$B$103,"&lt;="&amp;$L276,'PLAN_VACACIONES'!$C$4:$C$103,"&gt;="&amp;$L276)&gt;0,"sí","no")</f>
        <v/>
      </c>
      <c r="I276" s="6" t="n"/>
      <c r="J276" s="3">
        <f>IF($I276&lt;&gt;"",$I276,IF($G276="","",IF($H276="sí","VAC",IF(LEFT($G276,1)="B","B",$G276))))</f>
        <v/>
      </c>
      <c r="K276" s="3">
        <f>IFERROR(INDEX('TECNICOS'!$E$4:$E$19,MATCH($C276,'TECNICOS'!$B$4:$B$19,0)),"")</f>
        <v/>
      </c>
      <c r="L276" s="12">
        <f>IF($A276="","",DATE(VALUE(LEFT($A276,4)),1,4)-WEEKDAY(DATE(VALUE(LEFT($A276,4)),1,4),2)+1+(VALUE(MID($A276,7,2))-1)*7+MATCH($B276,lista_dias,0)-1)</f>
        <v/>
      </c>
      <c r="M276" s="3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3">
        <f>$A276&amp;"|"&amp;$B276&amp;"|"&amp;$C276</f>
        <v/>
      </c>
      <c r="O276" s="3">
        <f>IFERROR(INDEX('CAT_TURNOS'!$C$4:$C$7,MATCH($J276,'CAT_TURNOS'!$A$4:$A$7,0)),"")</f>
        <v/>
      </c>
      <c r="P276" s="3">
        <f>IFERROR(INDEX('CAT_TURNOS'!$D$4:$D$7,MATCH($J276,'CAT_TURNOS'!$A$4:$A$7,0)),"")</f>
        <v/>
      </c>
      <c r="Q276" s="3">
        <f>IF(AND(LEFT($G276,1)="T",$H276="no"),"sí","no")</f>
        <v/>
      </c>
    </row>
    <row r="277">
      <c r="A277" s="3" t="inlineStr">
        <is>
          <t>2026-S31</t>
        </is>
      </c>
      <c r="B277" s="3" t="inlineStr">
        <is>
          <t>lunes</t>
        </is>
      </c>
      <c r="C277" s="3" t="inlineStr">
        <is>
          <t>Técnico 08</t>
        </is>
      </c>
      <c r="D277" s="3">
        <f>IFERROR(INDEX('TECNICOS'!$D$4:$D$19,MATCH($C277,'TECNICOS'!$B$4:$B$19,0)),"")</f>
        <v/>
      </c>
      <c r="E277" s="3">
        <f>IFERROR(INDEX('TECNICOS'!$C$4:$C$19,MATCH($C277,'TECNICOS'!$B$4:$B$19,0)),"")</f>
        <v/>
      </c>
      <c r="F277" s="3">
        <f>COUNTIFS('TECNICOS'!$F$4:$F$19,"SI",'TECNICOS'!$C$4:$C$19,$E277,'TECNICOS'!$D$4:$D$19,$D277)</f>
        <v/>
      </c>
      <c r="G277" s="3">
        <f>IF(OR($C277="",$A277="",$B277="domingo"),"",IF(IFERROR(INDEX('TECNICOS'!$F$4:$F$19,MATCH($C277,'TECNICOS'!$B$4:$B$19,0)),"NO")&lt;&gt;"SI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3">
        <f>IF(COUNTIFS('PLAN_VACACIONES'!$A$4:$A$103,$C277,'PLAN_VACACIONES'!$B$4:$B$103,"&lt;="&amp;$L277,'PLAN_VACACIONES'!$C$4:$C$103,"&gt;="&amp;$L277)&gt;0,"sí","no")</f>
        <v/>
      </c>
      <c r="I277" s="6" t="n"/>
      <c r="J277" s="3">
        <f>IF($I277&lt;&gt;"",$I277,IF($G277="","",IF($H277="sí","VAC",IF(LEFT($G277,1)="B","B",$G277))))</f>
        <v/>
      </c>
      <c r="K277" s="3">
        <f>IFERROR(INDEX('TECNICOS'!$E$4:$E$19,MATCH($C277,'TECNICOS'!$B$4:$B$19,0)),"")</f>
        <v/>
      </c>
      <c r="L277" s="12">
        <f>IF($A277="","",DATE(VALUE(LEFT($A277,4)),1,4)-WEEKDAY(DATE(VALUE(LEFT($A277,4)),1,4),2)+1+(VALUE(MID($A277,7,2))-1)*7+MATCH($B277,lista_dias,0)-1)</f>
        <v/>
      </c>
      <c r="M277" s="3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3">
        <f>$A277&amp;"|"&amp;$B277&amp;"|"&amp;$C277</f>
        <v/>
      </c>
      <c r="O277" s="3">
        <f>IFERROR(INDEX('CAT_TURNOS'!$C$4:$C$7,MATCH($J277,'CAT_TURNOS'!$A$4:$A$7,0)),"")</f>
        <v/>
      </c>
      <c r="P277" s="3">
        <f>IFERROR(INDEX('CAT_TURNOS'!$D$4:$D$7,MATCH($J277,'CAT_TURNOS'!$A$4:$A$7,0)),"")</f>
        <v/>
      </c>
      <c r="Q277" s="3">
        <f>IF(AND(LEFT($G277,1)="T",$H277="no"),"sí","no")</f>
        <v/>
      </c>
    </row>
    <row r="278">
      <c r="A278" s="3" t="inlineStr">
        <is>
          <t>2026-S31</t>
        </is>
      </c>
      <c r="B278" s="3" t="inlineStr">
        <is>
          <t>martes</t>
        </is>
      </c>
      <c r="C278" s="3" t="inlineStr">
        <is>
          <t>Técnico 08</t>
        </is>
      </c>
      <c r="D278" s="3">
        <f>IFERROR(INDEX('TECNICOS'!$D$4:$D$19,MATCH($C278,'TECNICOS'!$B$4:$B$19,0)),"")</f>
        <v/>
      </c>
      <c r="E278" s="3">
        <f>IFERROR(INDEX('TECNICOS'!$C$4:$C$19,MATCH($C278,'TECNICOS'!$B$4:$B$19,0)),"")</f>
        <v/>
      </c>
      <c r="F278" s="3">
        <f>COUNTIFS('TECNICOS'!$F$4:$F$19,"SI",'TECNICOS'!$C$4:$C$19,$E278,'TECNICOS'!$D$4:$D$19,$D278)</f>
        <v/>
      </c>
      <c r="G278" s="3">
        <f>IF(OR($C278="",$A278="",$B278="domingo"),"",IF(IFERROR(INDEX('TECNICOS'!$F$4:$F$19,MATCH($C278,'TECNICOS'!$B$4:$B$19,0)),"NO")&lt;&gt;"SI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3">
        <f>IF(COUNTIFS('PLAN_VACACIONES'!$A$4:$A$103,$C278,'PLAN_VACACIONES'!$B$4:$B$103,"&lt;="&amp;$L278,'PLAN_VACACIONES'!$C$4:$C$103,"&gt;="&amp;$L278)&gt;0,"sí","no")</f>
        <v/>
      </c>
      <c r="I278" s="6" t="n"/>
      <c r="J278" s="3">
        <f>IF($I278&lt;&gt;"",$I278,IF($G278="","",IF($H278="sí","VAC",IF(LEFT($G278,1)="B","B",$G278))))</f>
        <v/>
      </c>
      <c r="K278" s="3">
        <f>IFERROR(INDEX('TECNICOS'!$E$4:$E$19,MATCH($C278,'TECNICOS'!$B$4:$B$19,0)),"")</f>
        <v/>
      </c>
      <c r="L278" s="12">
        <f>IF($A278="","",DATE(VALUE(LEFT($A278,4)),1,4)-WEEKDAY(DATE(VALUE(LEFT($A278,4)),1,4),2)+1+(VALUE(MID($A278,7,2))-1)*7+MATCH($B278,lista_dias,0)-1)</f>
        <v/>
      </c>
      <c r="M278" s="3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3">
        <f>$A278&amp;"|"&amp;$B278&amp;"|"&amp;$C278</f>
        <v/>
      </c>
      <c r="O278" s="3">
        <f>IFERROR(INDEX('CAT_TURNOS'!$C$4:$C$7,MATCH($J278,'CAT_TURNOS'!$A$4:$A$7,0)),"")</f>
        <v/>
      </c>
      <c r="P278" s="3">
        <f>IFERROR(INDEX('CAT_TURNOS'!$D$4:$D$7,MATCH($J278,'CAT_TURNOS'!$A$4:$A$7,0)),"")</f>
        <v/>
      </c>
      <c r="Q278" s="3">
        <f>IF(AND(LEFT($G278,1)="T",$H278="no"),"sí","no")</f>
        <v/>
      </c>
    </row>
    <row r="279">
      <c r="A279" s="3" t="inlineStr">
        <is>
          <t>2026-S31</t>
        </is>
      </c>
      <c r="B279" s="3" t="inlineStr">
        <is>
          <t>miércoles</t>
        </is>
      </c>
      <c r="C279" s="3" t="inlineStr">
        <is>
          <t>Técnico 08</t>
        </is>
      </c>
      <c r="D279" s="3">
        <f>IFERROR(INDEX('TECNICOS'!$D$4:$D$19,MATCH($C279,'TECNICOS'!$B$4:$B$19,0)),"")</f>
        <v/>
      </c>
      <c r="E279" s="3">
        <f>IFERROR(INDEX('TECNICOS'!$C$4:$C$19,MATCH($C279,'TECNICOS'!$B$4:$B$19,0)),"")</f>
        <v/>
      </c>
      <c r="F279" s="3">
        <f>COUNTIFS('TECNICOS'!$F$4:$F$19,"SI",'TECNICOS'!$C$4:$C$19,$E279,'TECNICOS'!$D$4:$D$19,$D279)</f>
        <v/>
      </c>
      <c r="G279" s="3">
        <f>IF(OR($C279="",$A279="",$B279="domingo"),"",IF(IFERROR(INDEX('TECNICOS'!$F$4:$F$19,MATCH($C279,'TECNICOS'!$B$4:$B$19,0)),"NO")&lt;&gt;"SI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3">
        <f>IF(COUNTIFS('PLAN_VACACIONES'!$A$4:$A$103,$C279,'PLAN_VACACIONES'!$B$4:$B$103,"&lt;="&amp;$L279,'PLAN_VACACIONES'!$C$4:$C$103,"&gt;="&amp;$L279)&gt;0,"sí","no")</f>
        <v/>
      </c>
      <c r="I279" s="6" t="n"/>
      <c r="J279" s="3">
        <f>IF($I279&lt;&gt;"",$I279,IF($G279="","",IF($H279="sí","VAC",IF(LEFT($G279,1)="B","B",$G279))))</f>
        <v/>
      </c>
      <c r="K279" s="3">
        <f>IFERROR(INDEX('TECNICOS'!$E$4:$E$19,MATCH($C279,'TECNICOS'!$B$4:$B$19,0)),"")</f>
        <v/>
      </c>
      <c r="L279" s="12">
        <f>IF($A279="","",DATE(VALUE(LEFT($A279,4)),1,4)-WEEKDAY(DATE(VALUE(LEFT($A279,4)),1,4),2)+1+(VALUE(MID($A279,7,2))-1)*7+MATCH($B279,lista_dias,0)-1)</f>
        <v/>
      </c>
      <c r="M279" s="3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3">
        <f>$A279&amp;"|"&amp;$B279&amp;"|"&amp;$C279</f>
        <v/>
      </c>
      <c r="O279" s="3">
        <f>IFERROR(INDEX('CAT_TURNOS'!$C$4:$C$7,MATCH($J279,'CAT_TURNOS'!$A$4:$A$7,0)),"")</f>
        <v/>
      </c>
      <c r="P279" s="3">
        <f>IFERROR(INDEX('CAT_TURNOS'!$D$4:$D$7,MATCH($J279,'CAT_TURNOS'!$A$4:$A$7,0)),"")</f>
        <v/>
      </c>
      <c r="Q279" s="3">
        <f>IF(AND(LEFT($G279,1)="T",$H279="no"),"sí","no")</f>
        <v/>
      </c>
    </row>
    <row r="280">
      <c r="A280" s="3" t="inlineStr">
        <is>
          <t>2026-S31</t>
        </is>
      </c>
      <c r="B280" s="3" t="inlineStr">
        <is>
          <t>jueves</t>
        </is>
      </c>
      <c r="C280" s="3" t="inlineStr">
        <is>
          <t>Técnico 08</t>
        </is>
      </c>
      <c r="D280" s="3">
        <f>IFERROR(INDEX('TECNICOS'!$D$4:$D$19,MATCH($C280,'TECNICOS'!$B$4:$B$19,0)),"")</f>
        <v/>
      </c>
      <c r="E280" s="3">
        <f>IFERROR(INDEX('TECNICOS'!$C$4:$C$19,MATCH($C280,'TECNICOS'!$B$4:$B$19,0)),"")</f>
        <v/>
      </c>
      <c r="F280" s="3">
        <f>COUNTIFS('TECNICOS'!$F$4:$F$19,"SI",'TECNICOS'!$C$4:$C$19,$E280,'TECNICOS'!$D$4:$D$19,$D280)</f>
        <v/>
      </c>
      <c r="G280" s="3">
        <f>IF(OR($C280="",$A280="",$B280="domingo"),"",IF(IFERROR(INDEX('TECNICOS'!$F$4:$F$19,MATCH($C280,'TECNICOS'!$B$4:$B$19,0)),"NO")&lt;&gt;"SI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3">
        <f>IF(COUNTIFS('PLAN_VACACIONES'!$A$4:$A$103,$C280,'PLAN_VACACIONES'!$B$4:$B$103,"&lt;="&amp;$L280,'PLAN_VACACIONES'!$C$4:$C$103,"&gt;="&amp;$L280)&gt;0,"sí","no")</f>
        <v/>
      </c>
      <c r="I280" s="6" t="n"/>
      <c r="J280" s="3">
        <f>IF($I280&lt;&gt;"",$I280,IF($G280="","",IF($H280="sí","VAC",IF(LEFT($G280,1)="B","B",$G280))))</f>
        <v/>
      </c>
      <c r="K280" s="3">
        <f>IFERROR(INDEX('TECNICOS'!$E$4:$E$19,MATCH($C280,'TECNICOS'!$B$4:$B$19,0)),"")</f>
        <v/>
      </c>
      <c r="L280" s="12">
        <f>IF($A280="","",DATE(VALUE(LEFT($A280,4)),1,4)-WEEKDAY(DATE(VALUE(LEFT($A280,4)),1,4),2)+1+(VALUE(MID($A280,7,2))-1)*7+MATCH($B280,lista_dias,0)-1)</f>
        <v/>
      </c>
      <c r="M280" s="3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3">
        <f>$A280&amp;"|"&amp;$B280&amp;"|"&amp;$C280</f>
        <v/>
      </c>
      <c r="O280" s="3">
        <f>IFERROR(INDEX('CAT_TURNOS'!$C$4:$C$7,MATCH($J280,'CAT_TURNOS'!$A$4:$A$7,0)),"")</f>
        <v/>
      </c>
      <c r="P280" s="3">
        <f>IFERROR(INDEX('CAT_TURNOS'!$D$4:$D$7,MATCH($J280,'CAT_TURNOS'!$A$4:$A$7,0)),"")</f>
        <v/>
      </c>
      <c r="Q280" s="3">
        <f>IF(AND(LEFT($G280,1)="T",$H280="no"),"sí","no")</f>
        <v/>
      </c>
    </row>
    <row r="281">
      <c r="A281" s="3" t="inlineStr">
        <is>
          <t>2026-S31</t>
        </is>
      </c>
      <c r="B281" s="3" t="inlineStr">
        <is>
          <t>viernes</t>
        </is>
      </c>
      <c r="C281" s="3" t="inlineStr">
        <is>
          <t>Técnico 08</t>
        </is>
      </c>
      <c r="D281" s="3">
        <f>IFERROR(INDEX('TECNICOS'!$D$4:$D$19,MATCH($C281,'TECNICOS'!$B$4:$B$19,0)),"")</f>
        <v/>
      </c>
      <c r="E281" s="3">
        <f>IFERROR(INDEX('TECNICOS'!$C$4:$C$19,MATCH($C281,'TECNICOS'!$B$4:$B$19,0)),"")</f>
        <v/>
      </c>
      <c r="F281" s="3">
        <f>COUNTIFS('TECNICOS'!$F$4:$F$19,"SI",'TECNICOS'!$C$4:$C$19,$E281,'TECNICOS'!$D$4:$D$19,$D281)</f>
        <v/>
      </c>
      <c r="G281" s="3">
        <f>IF(OR($C281="",$A281="",$B281="domingo"),"",IF(IFERROR(INDEX('TECNICOS'!$F$4:$F$19,MATCH($C281,'TECNICOS'!$B$4:$B$19,0)),"NO")&lt;&gt;"SI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3">
        <f>IF(COUNTIFS('PLAN_VACACIONES'!$A$4:$A$103,$C281,'PLAN_VACACIONES'!$B$4:$B$103,"&lt;="&amp;$L281,'PLAN_VACACIONES'!$C$4:$C$103,"&gt;="&amp;$L281)&gt;0,"sí","no")</f>
        <v/>
      </c>
      <c r="I281" s="6" t="n"/>
      <c r="J281" s="3">
        <f>IF($I281&lt;&gt;"",$I281,IF($G281="","",IF($H281="sí","VAC",IF(LEFT($G281,1)="B","B",$G281))))</f>
        <v/>
      </c>
      <c r="K281" s="3">
        <f>IFERROR(INDEX('TECNICOS'!$E$4:$E$19,MATCH($C281,'TECNICOS'!$B$4:$B$19,0)),"")</f>
        <v/>
      </c>
      <c r="L281" s="12">
        <f>IF($A281="","",DATE(VALUE(LEFT($A281,4)),1,4)-WEEKDAY(DATE(VALUE(LEFT($A281,4)),1,4),2)+1+(VALUE(MID($A281,7,2))-1)*7+MATCH($B281,lista_dias,0)-1)</f>
        <v/>
      </c>
      <c r="M281" s="3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3">
        <f>$A281&amp;"|"&amp;$B281&amp;"|"&amp;$C281</f>
        <v/>
      </c>
      <c r="O281" s="3">
        <f>IFERROR(INDEX('CAT_TURNOS'!$C$4:$C$7,MATCH($J281,'CAT_TURNOS'!$A$4:$A$7,0)),"")</f>
        <v/>
      </c>
      <c r="P281" s="3">
        <f>IFERROR(INDEX('CAT_TURNOS'!$D$4:$D$7,MATCH($J281,'CAT_TURNOS'!$A$4:$A$7,0)),"")</f>
        <v/>
      </c>
      <c r="Q281" s="3">
        <f>IF(AND(LEFT($G281,1)="T",$H281="no"),"sí","no")</f>
        <v/>
      </c>
    </row>
    <row r="282">
      <c r="A282" s="3" t="inlineStr">
        <is>
          <t>2026-S31</t>
        </is>
      </c>
      <c r="B282" s="3" t="inlineStr">
        <is>
          <t>sábado</t>
        </is>
      </c>
      <c r="C282" s="3" t="inlineStr">
        <is>
          <t>Técnico 08</t>
        </is>
      </c>
      <c r="D282" s="3">
        <f>IFERROR(INDEX('TECNICOS'!$D$4:$D$19,MATCH($C282,'TECNICOS'!$B$4:$B$19,0)),"")</f>
        <v/>
      </c>
      <c r="E282" s="3">
        <f>IFERROR(INDEX('TECNICOS'!$C$4:$C$19,MATCH($C282,'TECNICOS'!$B$4:$B$19,0)),"")</f>
        <v/>
      </c>
      <c r="F282" s="3">
        <f>COUNTIFS('TECNICOS'!$F$4:$F$19,"SI",'TECNICOS'!$C$4:$C$19,$E282,'TECNICOS'!$D$4:$D$19,$D282)</f>
        <v/>
      </c>
      <c r="G282" s="3">
        <f>IF(OR($C282="",$A282="",$B282="domingo"),"",IF(IFERROR(INDEX('TECNICOS'!$F$4:$F$19,MATCH($C282,'TECNICOS'!$B$4:$B$19,0)),"NO")&lt;&gt;"SI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3">
        <f>IF(COUNTIFS('PLAN_VACACIONES'!$A$4:$A$103,$C282,'PLAN_VACACIONES'!$B$4:$B$103,"&lt;="&amp;$L282,'PLAN_VACACIONES'!$C$4:$C$103,"&gt;="&amp;$L282)&gt;0,"sí","no")</f>
        <v/>
      </c>
      <c r="I282" s="6" t="n"/>
      <c r="J282" s="3">
        <f>IF($I282&lt;&gt;"",$I282,IF($G282="","",IF($H282="sí","VAC",IF(LEFT($G282,1)="B","B",$G282))))</f>
        <v/>
      </c>
      <c r="K282" s="3">
        <f>IFERROR(INDEX('TECNICOS'!$E$4:$E$19,MATCH($C282,'TECNICOS'!$B$4:$B$19,0)),"")</f>
        <v/>
      </c>
      <c r="L282" s="12">
        <f>IF($A282="","",DATE(VALUE(LEFT($A282,4)),1,4)-WEEKDAY(DATE(VALUE(LEFT($A282,4)),1,4),2)+1+(VALUE(MID($A282,7,2))-1)*7+MATCH($B282,lista_dias,0)-1)</f>
        <v/>
      </c>
      <c r="M282" s="3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3">
        <f>$A282&amp;"|"&amp;$B282&amp;"|"&amp;$C282</f>
        <v/>
      </c>
      <c r="O282" s="3">
        <f>IFERROR(INDEX('CAT_TURNOS'!$C$4:$C$7,MATCH($J282,'CAT_TURNOS'!$A$4:$A$7,0)),"")</f>
        <v/>
      </c>
      <c r="P282" s="3">
        <f>IFERROR(INDEX('CAT_TURNOS'!$D$4:$D$7,MATCH($J282,'CAT_TURNOS'!$A$4:$A$7,0)),"")</f>
        <v/>
      </c>
      <c r="Q282" s="3">
        <f>IF(AND(LEFT($G282,1)="T",$H282="no"),"sí","no")</f>
        <v/>
      </c>
    </row>
    <row r="283">
      <c r="A283" s="3" t="inlineStr">
        <is>
          <t>2026-S31</t>
        </is>
      </c>
      <c r="B283" s="3" t="inlineStr">
        <is>
          <t>domingo</t>
        </is>
      </c>
      <c r="C283" s="3" t="inlineStr">
        <is>
          <t>Técnico 08</t>
        </is>
      </c>
      <c r="D283" s="3">
        <f>IFERROR(INDEX('TECNICOS'!$D$4:$D$19,MATCH($C283,'TECNICOS'!$B$4:$B$19,0)),"")</f>
        <v/>
      </c>
      <c r="E283" s="3">
        <f>IFERROR(INDEX('TECNICOS'!$C$4:$C$19,MATCH($C283,'TECNICOS'!$B$4:$B$19,0)),"")</f>
        <v/>
      </c>
      <c r="F283" s="3">
        <f>COUNTIFS('TECNICOS'!$F$4:$F$19,"SI",'TECNICOS'!$C$4:$C$19,$E283,'TECNICOS'!$D$4:$D$19,$D283)</f>
        <v/>
      </c>
      <c r="G283" s="3">
        <f>IF(OR($C283="",$A283="",$B283="domingo"),"",IF(IFERROR(INDEX('TECNICOS'!$F$4:$F$19,MATCH($C283,'TECNICOS'!$B$4:$B$19,0)),"NO")&lt;&gt;"SI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3">
        <f>IF(COUNTIFS('PLAN_VACACIONES'!$A$4:$A$103,$C283,'PLAN_VACACIONES'!$B$4:$B$103,"&lt;="&amp;$L283,'PLAN_VACACIONES'!$C$4:$C$103,"&gt;="&amp;$L283)&gt;0,"sí","no")</f>
        <v/>
      </c>
      <c r="I283" s="6" t="n"/>
      <c r="J283" s="3">
        <f>IF($I283&lt;&gt;"",$I283,IF($G283="","",IF($H283="sí","VAC",IF(LEFT($G283,1)="B","B",$G283))))</f>
        <v/>
      </c>
      <c r="K283" s="3">
        <f>IFERROR(INDEX('TECNICOS'!$E$4:$E$19,MATCH($C283,'TECNICOS'!$B$4:$B$19,0)),"")</f>
        <v/>
      </c>
      <c r="L283" s="12">
        <f>IF($A283="","",DATE(VALUE(LEFT($A283,4)),1,4)-WEEKDAY(DATE(VALUE(LEFT($A283,4)),1,4),2)+1+(VALUE(MID($A283,7,2))-1)*7+MATCH($B283,lista_dias,0)-1)</f>
        <v/>
      </c>
      <c r="M283" s="3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3">
        <f>$A283&amp;"|"&amp;$B283&amp;"|"&amp;$C283</f>
        <v/>
      </c>
      <c r="O283" s="3">
        <f>IFERROR(INDEX('CAT_TURNOS'!$C$4:$C$7,MATCH($J283,'CAT_TURNOS'!$A$4:$A$7,0)),"")</f>
        <v/>
      </c>
      <c r="P283" s="3">
        <f>IFERROR(INDEX('CAT_TURNOS'!$D$4:$D$7,MATCH($J283,'CAT_TURNOS'!$A$4:$A$7,0)),"")</f>
        <v/>
      </c>
      <c r="Q283" s="3">
        <f>IF(AND(LEFT($G283,1)="T",$H283="no"),"sí","no")</f>
        <v/>
      </c>
    </row>
    <row r="284">
      <c r="A284" s="3" t="inlineStr">
        <is>
          <t>2026-S31</t>
        </is>
      </c>
      <c r="B284" s="3" t="inlineStr">
        <is>
          <t>lunes</t>
        </is>
      </c>
      <c r="C284" s="3" t="inlineStr">
        <is>
          <t>Técnico 09</t>
        </is>
      </c>
      <c r="D284" s="3">
        <f>IFERROR(INDEX('TECNICOS'!$D$4:$D$19,MATCH($C284,'TECNICOS'!$B$4:$B$19,0)),"")</f>
        <v/>
      </c>
      <c r="E284" s="3">
        <f>IFERROR(INDEX('TECNICOS'!$C$4:$C$19,MATCH($C284,'TECNICOS'!$B$4:$B$19,0)),"")</f>
        <v/>
      </c>
      <c r="F284" s="3">
        <f>COUNTIFS('TECNICOS'!$F$4:$F$19,"SI",'TECNICOS'!$C$4:$C$19,$E284,'TECNICOS'!$D$4:$D$19,$D284)</f>
        <v/>
      </c>
      <c r="G284" s="3">
        <f>IF(OR($C284="",$A284="",$B284="domingo"),"",IF(IFERROR(INDEX('TECNICOS'!$F$4:$F$19,MATCH($C284,'TECNICOS'!$B$4:$B$19,0)),"NO")&lt;&gt;"SI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3">
        <f>IF(COUNTIFS('PLAN_VACACIONES'!$A$4:$A$103,$C284,'PLAN_VACACIONES'!$B$4:$B$103,"&lt;="&amp;$L284,'PLAN_VACACIONES'!$C$4:$C$103,"&gt;="&amp;$L284)&gt;0,"sí","no")</f>
        <v/>
      </c>
      <c r="I284" s="6" t="n"/>
      <c r="J284" s="3">
        <f>IF($I284&lt;&gt;"",$I284,IF($G284="","",IF($H284="sí","VAC",IF(LEFT($G284,1)="B","B",$G284))))</f>
        <v/>
      </c>
      <c r="K284" s="3">
        <f>IFERROR(INDEX('TECNICOS'!$E$4:$E$19,MATCH($C284,'TECNICOS'!$B$4:$B$19,0)),"")</f>
        <v/>
      </c>
      <c r="L284" s="12">
        <f>IF($A284="","",DATE(VALUE(LEFT($A284,4)),1,4)-WEEKDAY(DATE(VALUE(LEFT($A284,4)),1,4),2)+1+(VALUE(MID($A284,7,2))-1)*7+MATCH($B284,lista_dias,0)-1)</f>
        <v/>
      </c>
      <c r="M284" s="3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3">
        <f>$A284&amp;"|"&amp;$B284&amp;"|"&amp;$C284</f>
        <v/>
      </c>
      <c r="O284" s="3">
        <f>IFERROR(INDEX('CAT_TURNOS'!$C$4:$C$7,MATCH($J284,'CAT_TURNOS'!$A$4:$A$7,0)),"")</f>
        <v/>
      </c>
      <c r="P284" s="3">
        <f>IFERROR(INDEX('CAT_TURNOS'!$D$4:$D$7,MATCH($J284,'CAT_TURNOS'!$A$4:$A$7,0)),"")</f>
        <v/>
      </c>
      <c r="Q284" s="3">
        <f>IF(AND(LEFT($G284,1)="T",$H284="no"),"sí","no")</f>
        <v/>
      </c>
    </row>
    <row r="285">
      <c r="A285" s="3" t="inlineStr">
        <is>
          <t>2026-S31</t>
        </is>
      </c>
      <c r="B285" s="3" t="inlineStr">
        <is>
          <t>martes</t>
        </is>
      </c>
      <c r="C285" s="3" t="inlineStr">
        <is>
          <t>Técnico 09</t>
        </is>
      </c>
      <c r="D285" s="3">
        <f>IFERROR(INDEX('TECNICOS'!$D$4:$D$19,MATCH($C285,'TECNICOS'!$B$4:$B$19,0)),"")</f>
        <v/>
      </c>
      <c r="E285" s="3">
        <f>IFERROR(INDEX('TECNICOS'!$C$4:$C$19,MATCH($C285,'TECNICOS'!$B$4:$B$19,0)),"")</f>
        <v/>
      </c>
      <c r="F285" s="3">
        <f>COUNTIFS('TECNICOS'!$F$4:$F$19,"SI",'TECNICOS'!$C$4:$C$19,$E285,'TECNICOS'!$D$4:$D$19,$D285)</f>
        <v/>
      </c>
      <c r="G285" s="3">
        <f>IF(OR($C285="",$A285="",$B285="domingo"),"",IF(IFERROR(INDEX('TECNICOS'!$F$4:$F$19,MATCH($C285,'TECNICOS'!$B$4:$B$19,0)),"NO")&lt;&gt;"SI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3">
        <f>IF(COUNTIFS('PLAN_VACACIONES'!$A$4:$A$103,$C285,'PLAN_VACACIONES'!$B$4:$B$103,"&lt;="&amp;$L285,'PLAN_VACACIONES'!$C$4:$C$103,"&gt;="&amp;$L285)&gt;0,"sí","no")</f>
        <v/>
      </c>
      <c r="I285" s="6" t="n"/>
      <c r="J285" s="3">
        <f>IF($I285&lt;&gt;"",$I285,IF($G285="","",IF($H285="sí","VAC",IF(LEFT($G285,1)="B","B",$G285))))</f>
        <v/>
      </c>
      <c r="K285" s="3">
        <f>IFERROR(INDEX('TECNICOS'!$E$4:$E$19,MATCH($C285,'TECNICOS'!$B$4:$B$19,0)),"")</f>
        <v/>
      </c>
      <c r="L285" s="12">
        <f>IF($A285="","",DATE(VALUE(LEFT($A285,4)),1,4)-WEEKDAY(DATE(VALUE(LEFT($A285,4)),1,4),2)+1+(VALUE(MID($A285,7,2))-1)*7+MATCH($B285,lista_dias,0)-1)</f>
        <v/>
      </c>
      <c r="M285" s="3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3">
        <f>$A285&amp;"|"&amp;$B285&amp;"|"&amp;$C285</f>
        <v/>
      </c>
      <c r="O285" s="3">
        <f>IFERROR(INDEX('CAT_TURNOS'!$C$4:$C$7,MATCH($J285,'CAT_TURNOS'!$A$4:$A$7,0)),"")</f>
        <v/>
      </c>
      <c r="P285" s="3">
        <f>IFERROR(INDEX('CAT_TURNOS'!$D$4:$D$7,MATCH($J285,'CAT_TURNOS'!$A$4:$A$7,0)),"")</f>
        <v/>
      </c>
      <c r="Q285" s="3">
        <f>IF(AND(LEFT($G285,1)="T",$H285="no"),"sí","no")</f>
        <v/>
      </c>
    </row>
    <row r="286">
      <c r="A286" s="3" t="inlineStr">
        <is>
          <t>2026-S31</t>
        </is>
      </c>
      <c r="B286" s="3" t="inlineStr">
        <is>
          <t>miércoles</t>
        </is>
      </c>
      <c r="C286" s="3" t="inlineStr">
        <is>
          <t>Técnico 09</t>
        </is>
      </c>
      <c r="D286" s="3">
        <f>IFERROR(INDEX('TECNICOS'!$D$4:$D$19,MATCH($C286,'TECNICOS'!$B$4:$B$19,0)),"")</f>
        <v/>
      </c>
      <c r="E286" s="3">
        <f>IFERROR(INDEX('TECNICOS'!$C$4:$C$19,MATCH($C286,'TECNICOS'!$B$4:$B$19,0)),"")</f>
        <v/>
      </c>
      <c r="F286" s="3">
        <f>COUNTIFS('TECNICOS'!$F$4:$F$19,"SI",'TECNICOS'!$C$4:$C$19,$E286,'TECNICOS'!$D$4:$D$19,$D286)</f>
        <v/>
      </c>
      <c r="G286" s="3">
        <f>IF(OR($C286="",$A286="",$B286="domingo"),"",IF(IFERROR(INDEX('TECNICOS'!$F$4:$F$19,MATCH($C286,'TECNICOS'!$B$4:$B$19,0)),"NO")&lt;&gt;"SI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3">
        <f>IF(COUNTIFS('PLAN_VACACIONES'!$A$4:$A$103,$C286,'PLAN_VACACIONES'!$B$4:$B$103,"&lt;="&amp;$L286,'PLAN_VACACIONES'!$C$4:$C$103,"&gt;="&amp;$L286)&gt;0,"sí","no")</f>
        <v/>
      </c>
      <c r="I286" s="6" t="n"/>
      <c r="J286" s="3">
        <f>IF($I286&lt;&gt;"",$I286,IF($G286="","",IF($H286="sí","VAC",IF(LEFT($G286,1)="B","B",$G286))))</f>
        <v/>
      </c>
      <c r="K286" s="3">
        <f>IFERROR(INDEX('TECNICOS'!$E$4:$E$19,MATCH($C286,'TECNICOS'!$B$4:$B$19,0)),"")</f>
        <v/>
      </c>
      <c r="L286" s="12">
        <f>IF($A286="","",DATE(VALUE(LEFT($A286,4)),1,4)-WEEKDAY(DATE(VALUE(LEFT($A286,4)),1,4),2)+1+(VALUE(MID($A286,7,2))-1)*7+MATCH($B286,lista_dias,0)-1)</f>
        <v/>
      </c>
      <c r="M286" s="3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3">
        <f>$A286&amp;"|"&amp;$B286&amp;"|"&amp;$C286</f>
        <v/>
      </c>
      <c r="O286" s="3">
        <f>IFERROR(INDEX('CAT_TURNOS'!$C$4:$C$7,MATCH($J286,'CAT_TURNOS'!$A$4:$A$7,0)),"")</f>
        <v/>
      </c>
      <c r="P286" s="3">
        <f>IFERROR(INDEX('CAT_TURNOS'!$D$4:$D$7,MATCH($J286,'CAT_TURNOS'!$A$4:$A$7,0)),"")</f>
        <v/>
      </c>
      <c r="Q286" s="3">
        <f>IF(AND(LEFT($G286,1)="T",$H286="no"),"sí","no")</f>
        <v/>
      </c>
    </row>
    <row r="287">
      <c r="A287" s="3" t="inlineStr">
        <is>
          <t>2026-S31</t>
        </is>
      </c>
      <c r="B287" s="3" t="inlineStr">
        <is>
          <t>jueves</t>
        </is>
      </c>
      <c r="C287" s="3" t="inlineStr">
        <is>
          <t>Técnico 09</t>
        </is>
      </c>
      <c r="D287" s="3">
        <f>IFERROR(INDEX('TECNICOS'!$D$4:$D$19,MATCH($C287,'TECNICOS'!$B$4:$B$19,0)),"")</f>
        <v/>
      </c>
      <c r="E287" s="3">
        <f>IFERROR(INDEX('TECNICOS'!$C$4:$C$19,MATCH($C287,'TECNICOS'!$B$4:$B$19,0)),"")</f>
        <v/>
      </c>
      <c r="F287" s="3">
        <f>COUNTIFS('TECNICOS'!$F$4:$F$19,"SI",'TECNICOS'!$C$4:$C$19,$E287,'TECNICOS'!$D$4:$D$19,$D287)</f>
        <v/>
      </c>
      <c r="G287" s="3">
        <f>IF(OR($C287="",$A287="",$B287="domingo"),"",IF(IFERROR(INDEX('TECNICOS'!$F$4:$F$19,MATCH($C287,'TECNICOS'!$B$4:$B$19,0)),"NO")&lt;&gt;"SI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3">
        <f>IF(COUNTIFS('PLAN_VACACIONES'!$A$4:$A$103,$C287,'PLAN_VACACIONES'!$B$4:$B$103,"&lt;="&amp;$L287,'PLAN_VACACIONES'!$C$4:$C$103,"&gt;="&amp;$L287)&gt;0,"sí","no")</f>
        <v/>
      </c>
      <c r="I287" s="6" t="n"/>
      <c r="J287" s="3">
        <f>IF($I287&lt;&gt;"",$I287,IF($G287="","",IF($H287="sí","VAC",IF(LEFT($G287,1)="B","B",$G287))))</f>
        <v/>
      </c>
      <c r="K287" s="3">
        <f>IFERROR(INDEX('TECNICOS'!$E$4:$E$19,MATCH($C287,'TECNICOS'!$B$4:$B$19,0)),"")</f>
        <v/>
      </c>
      <c r="L287" s="12">
        <f>IF($A287="","",DATE(VALUE(LEFT($A287,4)),1,4)-WEEKDAY(DATE(VALUE(LEFT($A287,4)),1,4),2)+1+(VALUE(MID($A287,7,2))-1)*7+MATCH($B287,lista_dias,0)-1)</f>
        <v/>
      </c>
      <c r="M287" s="3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3">
        <f>$A287&amp;"|"&amp;$B287&amp;"|"&amp;$C287</f>
        <v/>
      </c>
      <c r="O287" s="3">
        <f>IFERROR(INDEX('CAT_TURNOS'!$C$4:$C$7,MATCH($J287,'CAT_TURNOS'!$A$4:$A$7,0)),"")</f>
        <v/>
      </c>
      <c r="P287" s="3">
        <f>IFERROR(INDEX('CAT_TURNOS'!$D$4:$D$7,MATCH($J287,'CAT_TURNOS'!$A$4:$A$7,0)),"")</f>
        <v/>
      </c>
      <c r="Q287" s="3">
        <f>IF(AND(LEFT($G287,1)="T",$H287="no"),"sí","no")</f>
        <v/>
      </c>
    </row>
    <row r="288">
      <c r="A288" s="3" t="inlineStr">
        <is>
          <t>2026-S31</t>
        </is>
      </c>
      <c r="B288" s="3" t="inlineStr">
        <is>
          <t>viernes</t>
        </is>
      </c>
      <c r="C288" s="3" t="inlineStr">
        <is>
          <t>Técnico 09</t>
        </is>
      </c>
      <c r="D288" s="3">
        <f>IFERROR(INDEX('TECNICOS'!$D$4:$D$19,MATCH($C288,'TECNICOS'!$B$4:$B$19,0)),"")</f>
        <v/>
      </c>
      <c r="E288" s="3">
        <f>IFERROR(INDEX('TECNICOS'!$C$4:$C$19,MATCH($C288,'TECNICOS'!$B$4:$B$19,0)),"")</f>
        <v/>
      </c>
      <c r="F288" s="3">
        <f>COUNTIFS('TECNICOS'!$F$4:$F$19,"SI",'TECNICOS'!$C$4:$C$19,$E288,'TECNICOS'!$D$4:$D$19,$D288)</f>
        <v/>
      </c>
      <c r="G288" s="3">
        <f>IF(OR($C288="",$A288="",$B288="domingo"),"",IF(IFERROR(INDEX('TECNICOS'!$F$4:$F$19,MATCH($C288,'TECNICOS'!$B$4:$B$19,0)),"NO")&lt;&gt;"SI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3">
        <f>IF(COUNTIFS('PLAN_VACACIONES'!$A$4:$A$103,$C288,'PLAN_VACACIONES'!$B$4:$B$103,"&lt;="&amp;$L288,'PLAN_VACACIONES'!$C$4:$C$103,"&gt;="&amp;$L288)&gt;0,"sí","no")</f>
        <v/>
      </c>
      <c r="I288" s="6" t="n"/>
      <c r="J288" s="3">
        <f>IF($I288&lt;&gt;"",$I288,IF($G288="","",IF($H288="sí","VAC",IF(LEFT($G288,1)="B","B",$G288))))</f>
        <v/>
      </c>
      <c r="K288" s="3">
        <f>IFERROR(INDEX('TECNICOS'!$E$4:$E$19,MATCH($C288,'TECNICOS'!$B$4:$B$19,0)),"")</f>
        <v/>
      </c>
      <c r="L288" s="12">
        <f>IF($A288="","",DATE(VALUE(LEFT($A288,4)),1,4)-WEEKDAY(DATE(VALUE(LEFT($A288,4)),1,4),2)+1+(VALUE(MID($A288,7,2))-1)*7+MATCH($B288,lista_dias,0)-1)</f>
        <v/>
      </c>
      <c r="M288" s="3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3">
        <f>$A288&amp;"|"&amp;$B288&amp;"|"&amp;$C288</f>
        <v/>
      </c>
      <c r="O288" s="3">
        <f>IFERROR(INDEX('CAT_TURNOS'!$C$4:$C$7,MATCH($J288,'CAT_TURNOS'!$A$4:$A$7,0)),"")</f>
        <v/>
      </c>
      <c r="P288" s="3">
        <f>IFERROR(INDEX('CAT_TURNOS'!$D$4:$D$7,MATCH($J288,'CAT_TURNOS'!$A$4:$A$7,0)),"")</f>
        <v/>
      </c>
      <c r="Q288" s="3">
        <f>IF(AND(LEFT($G288,1)="T",$H288="no"),"sí","no")</f>
        <v/>
      </c>
    </row>
    <row r="289">
      <c r="A289" s="3" t="inlineStr">
        <is>
          <t>2026-S31</t>
        </is>
      </c>
      <c r="B289" s="3" t="inlineStr">
        <is>
          <t>sábado</t>
        </is>
      </c>
      <c r="C289" s="3" t="inlineStr">
        <is>
          <t>Técnico 09</t>
        </is>
      </c>
      <c r="D289" s="3">
        <f>IFERROR(INDEX('TECNICOS'!$D$4:$D$19,MATCH($C289,'TECNICOS'!$B$4:$B$19,0)),"")</f>
        <v/>
      </c>
      <c r="E289" s="3">
        <f>IFERROR(INDEX('TECNICOS'!$C$4:$C$19,MATCH($C289,'TECNICOS'!$B$4:$B$19,0)),"")</f>
        <v/>
      </c>
      <c r="F289" s="3">
        <f>COUNTIFS('TECNICOS'!$F$4:$F$19,"SI",'TECNICOS'!$C$4:$C$19,$E289,'TECNICOS'!$D$4:$D$19,$D289)</f>
        <v/>
      </c>
      <c r="G289" s="3">
        <f>IF(OR($C289="",$A289="",$B289="domingo"),"",IF(IFERROR(INDEX('TECNICOS'!$F$4:$F$19,MATCH($C289,'TECNICOS'!$B$4:$B$19,0)),"NO")&lt;&gt;"SI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3">
        <f>IF(COUNTIFS('PLAN_VACACIONES'!$A$4:$A$103,$C289,'PLAN_VACACIONES'!$B$4:$B$103,"&lt;="&amp;$L289,'PLAN_VACACIONES'!$C$4:$C$103,"&gt;="&amp;$L289)&gt;0,"sí","no")</f>
        <v/>
      </c>
      <c r="I289" s="6" t="n"/>
      <c r="J289" s="3">
        <f>IF($I289&lt;&gt;"",$I289,IF($G289="","",IF($H289="sí","VAC",IF(LEFT($G289,1)="B","B",$G289))))</f>
        <v/>
      </c>
      <c r="K289" s="3">
        <f>IFERROR(INDEX('TECNICOS'!$E$4:$E$19,MATCH($C289,'TECNICOS'!$B$4:$B$19,0)),"")</f>
        <v/>
      </c>
      <c r="L289" s="12">
        <f>IF($A289="","",DATE(VALUE(LEFT($A289,4)),1,4)-WEEKDAY(DATE(VALUE(LEFT($A289,4)),1,4),2)+1+(VALUE(MID($A289,7,2))-1)*7+MATCH($B289,lista_dias,0)-1)</f>
        <v/>
      </c>
      <c r="M289" s="3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3">
        <f>$A289&amp;"|"&amp;$B289&amp;"|"&amp;$C289</f>
        <v/>
      </c>
      <c r="O289" s="3">
        <f>IFERROR(INDEX('CAT_TURNOS'!$C$4:$C$7,MATCH($J289,'CAT_TURNOS'!$A$4:$A$7,0)),"")</f>
        <v/>
      </c>
      <c r="P289" s="3">
        <f>IFERROR(INDEX('CAT_TURNOS'!$D$4:$D$7,MATCH($J289,'CAT_TURNOS'!$A$4:$A$7,0)),"")</f>
        <v/>
      </c>
      <c r="Q289" s="3">
        <f>IF(AND(LEFT($G289,1)="T",$H289="no"),"sí","no")</f>
        <v/>
      </c>
    </row>
    <row r="290">
      <c r="A290" s="3" t="inlineStr">
        <is>
          <t>2026-S31</t>
        </is>
      </c>
      <c r="B290" s="3" t="inlineStr">
        <is>
          <t>domingo</t>
        </is>
      </c>
      <c r="C290" s="3" t="inlineStr">
        <is>
          <t>Técnico 09</t>
        </is>
      </c>
      <c r="D290" s="3">
        <f>IFERROR(INDEX('TECNICOS'!$D$4:$D$19,MATCH($C290,'TECNICOS'!$B$4:$B$19,0)),"")</f>
        <v/>
      </c>
      <c r="E290" s="3">
        <f>IFERROR(INDEX('TECNICOS'!$C$4:$C$19,MATCH($C290,'TECNICOS'!$B$4:$B$19,0)),"")</f>
        <v/>
      </c>
      <c r="F290" s="3">
        <f>COUNTIFS('TECNICOS'!$F$4:$F$19,"SI",'TECNICOS'!$C$4:$C$19,$E290,'TECNICOS'!$D$4:$D$19,$D290)</f>
        <v/>
      </c>
      <c r="G290" s="3">
        <f>IF(OR($C290="",$A290="",$B290="domingo"),"",IF(IFERROR(INDEX('TECNICOS'!$F$4:$F$19,MATCH($C290,'TECNICOS'!$B$4:$B$19,0)),"NO")&lt;&gt;"SI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3">
        <f>IF(COUNTIFS('PLAN_VACACIONES'!$A$4:$A$103,$C290,'PLAN_VACACIONES'!$B$4:$B$103,"&lt;="&amp;$L290,'PLAN_VACACIONES'!$C$4:$C$103,"&gt;="&amp;$L290)&gt;0,"sí","no")</f>
        <v/>
      </c>
      <c r="I290" s="6" t="n"/>
      <c r="J290" s="3">
        <f>IF($I290&lt;&gt;"",$I290,IF($G290="","",IF($H290="sí","VAC",IF(LEFT($G290,1)="B","B",$G290))))</f>
        <v/>
      </c>
      <c r="K290" s="3">
        <f>IFERROR(INDEX('TECNICOS'!$E$4:$E$19,MATCH($C290,'TECNICOS'!$B$4:$B$19,0)),"")</f>
        <v/>
      </c>
      <c r="L290" s="12">
        <f>IF($A290="","",DATE(VALUE(LEFT($A290,4)),1,4)-WEEKDAY(DATE(VALUE(LEFT($A290,4)),1,4),2)+1+(VALUE(MID($A290,7,2))-1)*7+MATCH($B290,lista_dias,0)-1)</f>
        <v/>
      </c>
      <c r="M290" s="3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3">
        <f>$A290&amp;"|"&amp;$B290&amp;"|"&amp;$C290</f>
        <v/>
      </c>
      <c r="O290" s="3">
        <f>IFERROR(INDEX('CAT_TURNOS'!$C$4:$C$7,MATCH($J290,'CAT_TURNOS'!$A$4:$A$7,0)),"")</f>
        <v/>
      </c>
      <c r="P290" s="3">
        <f>IFERROR(INDEX('CAT_TURNOS'!$D$4:$D$7,MATCH($J290,'CAT_TURNOS'!$A$4:$A$7,0)),"")</f>
        <v/>
      </c>
      <c r="Q290" s="3">
        <f>IF(AND(LEFT($G290,1)="T",$H290="no"),"sí","no")</f>
        <v/>
      </c>
    </row>
    <row r="291">
      <c r="A291" s="3" t="inlineStr">
        <is>
          <t>2026-S31</t>
        </is>
      </c>
      <c r="B291" s="3" t="inlineStr">
        <is>
          <t>lunes</t>
        </is>
      </c>
      <c r="C291" s="3" t="inlineStr">
        <is>
          <t>Técnico 10</t>
        </is>
      </c>
      <c r="D291" s="3">
        <f>IFERROR(INDEX('TECNICOS'!$D$4:$D$19,MATCH($C291,'TECNICOS'!$B$4:$B$19,0)),"")</f>
        <v/>
      </c>
      <c r="E291" s="3">
        <f>IFERROR(INDEX('TECNICOS'!$C$4:$C$19,MATCH($C291,'TECNICOS'!$B$4:$B$19,0)),"")</f>
        <v/>
      </c>
      <c r="F291" s="3">
        <f>COUNTIFS('TECNICOS'!$F$4:$F$19,"SI",'TECNICOS'!$C$4:$C$19,$E291,'TECNICOS'!$D$4:$D$19,$D291)</f>
        <v/>
      </c>
      <c r="G291" s="3">
        <f>IF(OR($C291="",$A291="",$B291="domingo"),"",IF(IFERROR(INDEX('TECNICOS'!$F$4:$F$19,MATCH($C291,'TECNICOS'!$B$4:$B$19,0)),"NO")&lt;&gt;"SI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3">
        <f>IF(COUNTIFS('PLAN_VACACIONES'!$A$4:$A$103,$C291,'PLAN_VACACIONES'!$B$4:$B$103,"&lt;="&amp;$L291,'PLAN_VACACIONES'!$C$4:$C$103,"&gt;="&amp;$L291)&gt;0,"sí","no")</f>
        <v/>
      </c>
      <c r="I291" s="6" t="n"/>
      <c r="J291" s="3">
        <f>IF($I291&lt;&gt;"",$I291,IF($G291="","",IF($H291="sí","VAC",IF(LEFT($G291,1)="B","B",$G291))))</f>
        <v/>
      </c>
      <c r="K291" s="3">
        <f>IFERROR(INDEX('TECNICOS'!$E$4:$E$19,MATCH($C291,'TECNICOS'!$B$4:$B$19,0)),"")</f>
        <v/>
      </c>
      <c r="L291" s="12">
        <f>IF($A291="","",DATE(VALUE(LEFT($A291,4)),1,4)-WEEKDAY(DATE(VALUE(LEFT($A291,4)),1,4),2)+1+(VALUE(MID($A291,7,2))-1)*7+MATCH($B291,lista_dias,0)-1)</f>
        <v/>
      </c>
      <c r="M291" s="3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3">
        <f>$A291&amp;"|"&amp;$B291&amp;"|"&amp;$C291</f>
        <v/>
      </c>
      <c r="O291" s="3">
        <f>IFERROR(INDEX('CAT_TURNOS'!$C$4:$C$7,MATCH($J291,'CAT_TURNOS'!$A$4:$A$7,0)),"")</f>
        <v/>
      </c>
      <c r="P291" s="3">
        <f>IFERROR(INDEX('CAT_TURNOS'!$D$4:$D$7,MATCH($J291,'CAT_TURNOS'!$A$4:$A$7,0)),"")</f>
        <v/>
      </c>
      <c r="Q291" s="3">
        <f>IF(AND(LEFT($G291,1)="T",$H291="no"),"sí","no")</f>
        <v/>
      </c>
    </row>
    <row r="292">
      <c r="A292" s="3" t="inlineStr">
        <is>
          <t>2026-S31</t>
        </is>
      </c>
      <c r="B292" s="3" t="inlineStr">
        <is>
          <t>martes</t>
        </is>
      </c>
      <c r="C292" s="3" t="inlineStr">
        <is>
          <t>Técnico 10</t>
        </is>
      </c>
      <c r="D292" s="3">
        <f>IFERROR(INDEX('TECNICOS'!$D$4:$D$19,MATCH($C292,'TECNICOS'!$B$4:$B$19,0)),"")</f>
        <v/>
      </c>
      <c r="E292" s="3">
        <f>IFERROR(INDEX('TECNICOS'!$C$4:$C$19,MATCH($C292,'TECNICOS'!$B$4:$B$19,0)),"")</f>
        <v/>
      </c>
      <c r="F292" s="3">
        <f>COUNTIFS('TECNICOS'!$F$4:$F$19,"SI",'TECNICOS'!$C$4:$C$19,$E292,'TECNICOS'!$D$4:$D$19,$D292)</f>
        <v/>
      </c>
      <c r="G292" s="3">
        <f>IF(OR($C292="",$A292="",$B292="domingo"),"",IF(IFERROR(INDEX('TECNICOS'!$F$4:$F$19,MATCH($C292,'TECNICOS'!$B$4:$B$19,0)),"NO")&lt;&gt;"SI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3">
        <f>IF(COUNTIFS('PLAN_VACACIONES'!$A$4:$A$103,$C292,'PLAN_VACACIONES'!$B$4:$B$103,"&lt;="&amp;$L292,'PLAN_VACACIONES'!$C$4:$C$103,"&gt;="&amp;$L292)&gt;0,"sí","no")</f>
        <v/>
      </c>
      <c r="I292" s="6" t="n"/>
      <c r="J292" s="3">
        <f>IF($I292&lt;&gt;"",$I292,IF($G292="","",IF($H292="sí","VAC",IF(LEFT($G292,1)="B","B",$G292))))</f>
        <v/>
      </c>
      <c r="K292" s="3">
        <f>IFERROR(INDEX('TECNICOS'!$E$4:$E$19,MATCH($C292,'TECNICOS'!$B$4:$B$19,0)),"")</f>
        <v/>
      </c>
      <c r="L292" s="12">
        <f>IF($A292="","",DATE(VALUE(LEFT($A292,4)),1,4)-WEEKDAY(DATE(VALUE(LEFT($A292,4)),1,4),2)+1+(VALUE(MID($A292,7,2))-1)*7+MATCH($B292,lista_dias,0)-1)</f>
        <v/>
      </c>
      <c r="M292" s="3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3">
        <f>$A292&amp;"|"&amp;$B292&amp;"|"&amp;$C292</f>
        <v/>
      </c>
      <c r="O292" s="3">
        <f>IFERROR(INDEX('CAT_TURNOS'!$C$4:$C$7,MATCH($J292,'CAT_TURNOS'!$A$4:$A$7,0)),"")</f>
        <v/>
      </c>
      <c r="P292" s="3">
        <f>IFERROR(INDEX('CAT_TURNOS'!$D$4:$D$7,MATCH($J292,'CAT_TURNOS'!$A$4:$A$7,0)),"")</f>
        <v/>
      </c>
      <c r="Q292" s="3">
        <f>IF(AND(LEFT($G292,1)="T",$H292="no"),"sí","no")</f>
        <v/>
      </c>
    </row>
    <row r="293">
      <c r="A293" s="3" t="inlineStr">
        <is>
          <t>2026-S31</t>
        </is>
      </c>
      <c r="B293" s="3" t="inlineStr">
        <is>
          <t>miércoles</t>
        </is>
      </c>
      <c r="C293" s="3" t="inlineStr">
        <is>
          <t>Técnico 10</t>
        </is>
      </c>
      <c r="D293" s="3">
        <f>IFERROR(INDEX('TECNICOS'!$D$4:$D$19,MATCH($C293,'TECNICOS'!$B$4:$B$19,0)),"")</f>
        <v/>
      </c>
      <c r="E293" s="3">
        <f>IFERROR(INDEX('TECNICOS'!$C$4:$C$19,MATCH($C293,'TECNICOS'!$B$4:$B$19,0)),"")</f>
        <v/>
      </c>
      <c r="F293" s="3">
        <f>COUNTIFS('TECNICOS'!$F$4:$F$19,"SI",'TECNICOS'!$C$4:$C$19,$E293,'TECNICOS'!$D$4:$D$19,$D293)</f>
        <v/>
      </c>
      <c r="G293" s="3">
        <f>IF(OR($C293="",$A293="",$B293="domingo"),"",IF(IFERROR(INDEX('TECNICOS'!$F$4:$F$19,MATCH($C293,'TECNICOS'!$B$4:$B$19,0)),"NO")&lt;&gt;"SI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3">
        <f>IF(COUNTIFS('PLAN_VACACIONES'!$A$4:$A$103,$C293,'PLAN_VACACIONES'!$B$4:$B$103,"&lt;="&amp;$L293,'PLAN_VACACIONES'!$C$4:$C$103,"&gt;="&amp;$L293)&gt;0,"sí","no")</f>
        <v/>
      </c>
      <c r="I293" s="6" t="n"/>
      <c r="J293" s="3">
        <f>IF($I293&lt;&gt;"",$I293,IF($G293="","",IF($H293="sí","VAC",IF(LEFT($G293,1)="B","B",$G293))))</f>
        <v/>
      </c>
      <c r="K293" s="3">
        <f>IFERROR(INDEX('TECNICOS'!$E$4:$E$19,MATCH($C293,'TECNICOS'!$B$4:$B$19,0)),"")</f>
        <v/>
      </c>
      <c r="L293" s="12">
        <f>IF($A293="","",DATE(VALUE(LEFT($A293,4)),1,4)-WEEKDAY(DATE(VALUE(LEFT($A293,4)),1,4),2)+1+(VALUE(MID($A293,7,2))-1)*7+MATCH($B293,lista_dias,0)-1)</f>
        <v/>
      </c>
      <c r="M293" s="3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3">
        <f>$A293&amp;"|"&amp;$B293&amp;"|"&amp;$C293</f>
        <v/>
      </c>
      <c r="O293" s="3">
        <f>IFERROR(INDEX('CAT_TURNOS'!$C$4:$C$7,MATCH($J293,'CAT_TURNOS'!$A$4:$A$7,0)),"")</f>
        <v/>
      </c>
      <c r="P293" s="3">
        <f>IFERROR(INDEX('CAT_TURNOS'!$D$4:$D$7,MATCH($J293,'CAT_TURNOS'!$A$4:$A$7,0)),"")</f>
        <v/>
      </c>
      <c r="Q293" s="3">
        <f>IF(AND(LEFT($G293,1)="T",$H293="no"),"sí","no")</f>
        <v/>
      </c>
    </row>
    <row r="294">
      <c r="A294" s="3" t="inlineStr">
        <is>
          <t>2026-S31</t>
        </is>
      </c>
      <c r="B294" s="3" t="inlineStr">
        <is>
          <t>jueves</t>
        </is>
      </c>
      <c r="C294" s="3" t="inlineStr">
        <is>
          <t>Técnico 10</t>
        </is>
      </c>
      <c r="D294" s="3">
        <f>IFERROR(INDEX('TECNICOS'!$D$4:$D$19,MATCH($C294,'TECNICOS'!$B$4:$B$19,0)),"")</f>
        <v/>
      </c>
      <c r="E294" s="3">
        <f>IFERROR(INDEX('TECNICOS'!$C$4:$C$19,MATCH($C294,'TECNICOS'!$B$4:$B$19,0)),"")</f>
        <v/>
      </c>
      <c r="F294" s="3">
        <f>COUNTIFS('TECNICOS'!$F$4:$F$19,"SI",'TECNICOS'!$C$4:$C$19,$E294,'TECNICOS'!$D$4:$D$19,$D294)</f>
        <v/>
      </c>
      <c r="G294" s="3">
        <f>IF(OR($C294="",$A294="",$B294="domingo"),"",IF(IFERROR(INDEX('TECNICOS'!$F$4:$F$19,MATCH($C294,'TECNICOS'!$B$4:$B$19,0)),"NO")&lt;&gt;"SI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3">
        <f>IF(COUNTIFS('PLAN_VACACIONES'!$A$4:$A$103,$C294,'PLAN_VACACIONES'!$B$4:$B$103,"&lt;="&amp;$L294,'PLAN_VACACIONES'!$C$4:$C$103,"&gt;="&amp;$L294)&gt;0,"sí","no")</f>
        <v/>
      </c>
      <c r="I294" s="6" t="n"/>
      <c r="J294" s="3">
        <f>IF($I294&lt;&gt;"",$I294,IF($G294="","",IF($H294="sí","VAC",IF(LEFT($G294,1)="B","B",$G294))))</f>
        <v/>
      </c>
      <c r="K294" s="3">
        <f>IFERROR(INDEX('TECNICOS'!$E$4:$E$19,MATCH($C294,'TECNICOS'!$B$4:$B$19,0)),"")</f>
        <v/>
      </c>
      <c r="L294" s="12">
        <f>IF($A294="","",DATE(VALUE(LEFT($A294,4)),1,4)-WEEKDAY(DATE(VALUE(LEFT($A294,4)),1,4),2)+1+(VALUE(MID($A294,7,2))-1)*7+MATCH($B294,lista_dias,0)-1)</f>
        <v/>
      </c>
      <c r="M294" s="3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3">
        <f>$A294&amp;"|"&amp;$B294&amp;"|"&amp;$C294</f>
        <v/>
      </c>
      <c r="O294" s="3">
        <f>IFERROR(INDEX('CAT_TURNOS'!$C$4:$C$7,MATCH($J294,'CAT_TURNOS'!$A$4:$A$7,0)),"")</f>
        <v/>
      </c>
      <c r="P294" s="3">
        <f>IFERROR(INDEX('CAT_TURNOS'!$D$4:$D$7,MATCH($J294,'CAT_TURNOS'!$A$4:$A$7,0)),"")</f>
        <v/>
      </c>
      <c r="Q294" s="3">
        <f>IF(AND(LEFT($G294,1)="T",$H294="no"),"sí","no")</f>
        <v/>
      </c>
    </row>
    <row r="295">
      <c r="A295" s="3" t="inlineStr">
        <is>
          <t>2026-S31</t>
        </is>
      </c>
      <c r="B295" s="3" t="inlineStr">
        <is>
          <t>viernes</t>
        </is>
      </c>
      <c r="C295" s="3" t="inlineStr">
        <is>
          <t>Técnico 10</t>
        </is>
      </c>
      <c r="D295" s="3">
        <f>IFERROR(INDEX('TECNICOS'!$D$4:$D$19,MATCH($C295,'TECNICOS'!$B$4:$B$19,0)),"")</f>
        <v/>
      </c>
      <c r="E295" s="3">
        <f>IFERROR(INDEX('TECNICOS'!$C$4:$C$19,MATCH($C295,'TECNICOS'!$B$4:$B$19,0)),"")</f>
        <v/>
      </c>
      <c r="F295" s="3">
        <f>COUNTIFS('TECNICOS'!$F$4:$F$19,"SI",'TECNICOS'!$C$4:$C$19,$E295,'TECNICOS'!$D$4:$D$19,$D295)</f>
        <v/>
      </c>
      <c r="G295" s="3">
        <f>IF(OR($C295="",$A295="",$B295="domingo"),"",IF(IFERROR(INDEX('TECNICOS'!$F$4:$F$19,MATCH($C295,'TECNICOS'!$B$4:$B$19,0)),"NO")&lt;&gt;"SI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3">
        <f>IF(COUNTIFS('PLAN_VACACIONES'!$A$4:$A$103,$C295,'PLAN_VACACIONES'!$B$4:$B$103,"&lt;="&amp;$L295,'PLAN_VACACIONES'!$C$4:$C$103,"&gt;="&amp;$L295)&gt;0,"sí","no")</f>
        <v/>
      </c>
      <c r="I295" s="6" t="n"/>
      <c r="J295" s="3">
        <f>IF($I295&lt;&gt;"",$I295,IF($G295="","",IF($H295="sí","VAC",IF(LEFT($G295,1)="B","B",$G295))))</f>
        <v/>
      </c>
      <c r="K295" s="3">
        <f>IFERROR(INDEX('TECNICOS'!$E$4:$E$19,MATCH($C295,'TECNICOS'!$B$4:$B$19,0)),"")</f>
        <v/>
      </c>
      <c r="L295" s="12">
        <f>IF($A295="","",DATE(VALUE(LEFT($A295,4)),1,4)-WEEKDAY(DATE(VALUE(LEFT($A295,4)),1,4),2)+1+(VALUE(MID($A295,7,2))-1)*7+MATCH($B295,lista_dias,0)-1)</f>
        <v/>
      </c>
      <c r="M295" s="3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3">
        <f>$A295&amp;"|"&amp;$B295&amp;"|"&amp;$C295</f>
        <v/>
      </c>
      <c r="O295" s="3">
        <f>IFERROR(INDEX('CAT_TURNOS'!$C$4:$C$7,MATCH($J295,'CAT_TURNOS'!$A$4:$A$7,0)),"")</f>
        <v/>
      </c>
      <c r="P295" s="3">
        <f>IFERROR(INDEX('CAT_TURNOS'!$D$4:$D$7,MATCH($J295,'CAT_TURNOS'!$A$4:$A$7,0)),"")</f>
        <v/>
      </c>
      <c r="Q295" s="3">
        <f>IF(AND(LEFT($G295,1)="T",$H295="no"),"sí","no")</f>
        <v/>
      </c>
    </row>
    <row r="296">
      <c r="A296" s="3" t="inlineStr">
        <is>
          <t>2026-S31</t>
        </is>
      </c>
      <c r="B296" s="3" t="inlineStr">
        <is>
          <t>sábado</t>
        </is>
      </c>
      <c r="C296" s="3" t="inlineStr">
        <is>
          <t>Técnico 10</t>
        </is>
      </c>
      <c r="D296" s="3">
        <f>IFERROR(INDEX('TECNICOS'!$D$4:$D$19,MATCH($C296,'TECNICOS'!$B$4:$B$19,0)),"")</f>
        <v/>
      </c>
      <c r="E296" s="3">
        <f>IFERROR(INDEX('TECNICOS'!$C$4:$C$19,MATCH($C296,'TECNICOS'!$B$4:$B$19,0)),"")</f>
        <v/>
      </c>
      <c r="F296" s="3">
        <f>COUNTIFS('TECNICOS'!$F$4:$F$19,"SI",'TECNICOS'!$C$4:$C$19,$E296,'TECNICOS'!$D$4:$D$19,$D296)</f>
        <v/>
      </c>
      <c r="G296" s="3">
        <f>IF(OR($C296="",$A296="",$B296="domingo"),"",IF(IFERROR(INDEX('TECNICOS'!$F$4:$F$19,MATCH($C296,'TECNICOS'!$B$4:$B$19,0)),"NO")&lt;&gt;"SI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3">
        <f>IF(COUNTIFS('PLAN_VACACIONES'!$A$4:$A$103,$C296,'PLAN_VACACIONES'!$B$4:$B$103,"&lt;="&amp;$L296,'PLAN_VACACIONES'!$C$4:$C$103,"&gt;="&amp;$L296)&gt;0,"sí","no")</f>
        <v/>
      </c>
      <c r="I296" s="6" t="n"/>
      <c r="J296" s="3">
        <f>IF($I296&lt;&gt;"",$I296,IF($G296="","",IF($H296="sí","VAC",IF(LEFT($G296,1)="B","B",$G296))))</f>
        <v/>
      </c>
      <c r="K296" s="3">
        <f>IFERROR(INDEX('TECNICOS'!$E$4:$E$19,MATCH($C296,'TECNICOS'!$B$4:$B$19,0)),"")</f>
        <v/>
      </c>
      <c r="L296" s="12">
        <f>IF($A296="","",DATE(VALUE(LEFT($A296,4)),1,4)-WEEKDAY(DATE(VALUE(LEFT($A296,4)),1,4),2)+1+(VALUE(MID($A296,7,2))-1)*7+MATCH($B296,lista_dias,0)-1)</f>
        <v/>
      </c>
      <c r="M296" s="3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3">
        <f>$A296&amp;"|"&amp;$B296&amp;"|"&amp;$C296</f>
        <v/>
      </c>
      <c r="O296" s="3">
        <f>IFERROR(INDEX('CAT_TURNOS'!$C$4:$C$7,MATCH($J296,'CAT_TURNOS'!$A$4:$A$7,0)),"")</f>
        <v/>
      </c>
      <c r="P296" s="3">
        <f>IFERROR(INDEX('CAT_TURNOS'!$D$4:$D$7,MATCH($J296,'CAT_TURNOS'!$A$4:$A$7,0)),"")</f>
        <v/>
      </c>
      <c r="Q296" s="3">
        <f>IF(AND(LEFT($G296,1)="T",$H296="no"),"sí","no")</f>
        <v/>
      </c>
    </row>
    <row r="297">
      <c r="A297" s="3" t="inlineStr">
        <is>
          <t>2026-S31</t>
        </is>
      </c>
      <c r="B297" s="3" t="inlineStr">
        <is>
          <t>domingo</t>
        </is>
      </c>
      <c r="C297" s="3" t="inlineStr">
        <is>
          <t>Técnico 10</t>
        </is>
      </c>
      <c r="D297" s="3">
        <f>IFERROR(INDEX('TECNICOS'!$D$4:$D$19,MATCH($C297,'TECNICOS'!$B$4:$B$19,0)),"")</f>
        <v/>
      </c>
      <c r="E297" s="3">
        <f>IFERROR(INDEX('TECNICOS'!$C$4:$C$19,MATCH($C297,'TECNICOS'!$B$4:$B$19,0)),"")</f>
        <v/>
      </c>
      <c r="F297" s="3">
        <f>COUNTIFS('TECNICOS'!$F$4:$F$19,"SI",'TECNICOS'!$C$4:$C$19,$E297,'TECNICOS'!$D$4:$D$19,$D297)</f>
        <v/>
      </c>
      <c r="G297" s="3">
        <f>IF(OR($C297="",$A297="",$B297="domingo"),"",IF(IFERROR(INDEX('TECNICOS'!$F$4:$F$19,MATCH($C297,'TECNICOS'!$B$4:$B$19,0)),"NO")&lt;&gt;"SI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3">
        <f>IF(COUNTIFS('PLAN_VACACIONES'!$A$4:$A$103,$C297,'PLAN_VACACIONES'!$B$4:$B$103,"&lt;="&amp;$L297,'PLAN_VACACIONES'!$C$4:$C$103,"&gt;="&amp;$L297)&gt;0,"sí","no")</f>
        <v/>
      </c>
      <c r="I297" s="6" t="n"/>
      <c r="J297" s="3">
        <f>IF($I297&lt;&gt;"",$I297,IF($G297="","",IF($H297="sí","VAC",IF(LEFT($G297,1)="B","B",$G297))))</f>
        <v/>
      </c>
      <c r="K297" s="3">
        <f>IFERROR(INDEX('TECNICOS'!$E$4:$E$19,MATCH($C297,'TECNICOS'!$B$4:$B$19,0)),"")</f>
        <v/>
      </c>
      <c r="L297" s="12">
        <f>IF($A297="","",DATE(VALUE(LEFT($A297,4)),1,4)-WEEKDAY(DATE(VALUE(LEFT($A297,4)),1,4),2)+1+(VALUE(MID($A297,7,2))-1)*7+MATCH($B297,lista_dias,0)-1)</f>
        <v/>
      </c>
      <c r="M297" s="3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3">
        <f>$A297&amp;"|"&amp;$B297&amp;"|"&amp;$C297</f>
        <v/>
      </c>
      <c r="O297" s="3">
        <f>IFERROR(INDEX('CAT_TURNOS'!$C$4:$C$7,MATCH($J297,'CAT_TURNOS'!$A$4:$A$7,0)),"")</f>
        <v/>
      </c>
      <c r="P297" s="3">
        <f>IFERROR(INDEX('CAT_TURNOS'!$D$4:$D$7,MATCH($J297,'CAT_TURNOS'!$A$4:$A$7,0)),"")</f>
        <v/>
      </c>
      <c r="Q297" s="3">
        <f>IF(AND(LEFT($G297,1)="T",$H297="no"),"sí","no")</f>
        <v/>
      </c>
    </row>
    <row r="298">
      <c r="A298" s="3" t="inlineStr">
        <is>
          <t>2026-S31</t>
        </is>
      </c>
      <c r="B298" s="3" t="inlineStr">
        <is>
          <t>lunes</t>
        </is>
      </c>
      <c r="C298" s="3" t="inlineStr">
        <is>
          <t>Técnico 11</t>
        </is>
      </c>
      <c r="D298" s="3">
        <f>IFERROR(INDEX('TECNICOS'!$D$4:$D$19,MATCH($C298,'TECNICOS'!$B$4:$B$19,0)),"")</f>
        <v/>
      </c>
      <c r="E298" s="3">
        <f>IFERROR(INDEX('TECNICOS'!$C$4:$C$19,MATCH($C298,'TECNICOS'!$B$4:$B$19,0)),"")</f>
        <v/>
      </c>
      <c r="F298" s="3">
        <f>COUNTIFS('TECNICOS'!$F$4:$F$19,"SI",'TECNICOS'!$C$4:$C$19,$E298,'TECNICOS'!$D$4:$D$19,$D298)</f>
        <v/>
      </c>
      <c r="G298" s="3">
        <f>IF(OR($C298="",$A298="",$B298="domingo"),"",IF(IFERROR(INDEX('TECNICOS'!$F$4:$F$19,MATCH($C298,'TECNICOS'!$B$4:$B$19,0)),"NO")&lt;&gt;"SI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3">
        <f>IF(COUNTIFS('PLAN_VACACIONES'!$A$4:$A$103,$C298,'PLAN_VACACIONES'!$B$4:$B$103,"&lt;="&amp;$L298,'PLAN_VACACIONES'!$C$4:$C$103,"&gt;="&amp;$L298)&gt;0,"sí","no")</f>
        <v/>
      </c>
      <c r="I298" s="6" t="n"/>
      <c r="J298" s="3">
        <f>IF($I298&lt;&gt;"",$I298,IF($G298="","",IF($H298="sí","VAC",IF(LEFT($G298,1)="B","B",$G298))))</f>
        <v/>
      </c>
      <c r="K298" s="3">
        <f>IFERROR(INDEX('TECNICOS'!$E$4:$E$19,MATCH($C298,'TECNICOS'!$B$4:$B$19,0)),"")</f>
        <v/>
      </c>
      <c r="L298" s="12">
        <f>IF($A298="","",DATE(VALUE(LEFT($A298,4)),1,4)-WEEKDAY(DATE(VALUE(LEFT($A298,4)),1,4),2)+1+(VALUE(MID($A298,7,2))-1)*7+MATCH($B298,lista_dias,0)-1)</f>
        <v/>
      </c>
      <c r="M298" s="3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3">
        <f>$A298&amp;"|"&amp;$B298&amp;"|"&amp;$C298</f>
        <v/>
      </c>
      <c r="O298" s="3">
        <f>IFERROR(INDEX('CAT_TURNOS'!$C$4:$C$7,MATCH($J298,'CAT_TURNOS'!$A$4:$A$7,0)),"")</f>
        <v/>
      </c>
      <c r="P298" s="3">
        <f>IFERROR(INDEX('CAT_TURNOS'!$D$4:$D$7,MATCH($J298,'CAT_TURNOS'!$A$4:$A$7,0)),"")</f>
        <v/>
      </c>
      <c r="Q298" s="3">
        <f>IF(AND(LEFT($G298,1)="T",$H298="no"),"sí","no")</f>
        <v/>
      </c>
    </row>
    <row r="299">
      <c r="A299" s="3" t="inlineStr">
        <is>
          <t>2026-S31</t>
        </is>
      </c>
      <c r="B299" s="3" t="inlineStr">
        <is>
          <t>martes</t>
        </is>
      </c>
      <c r="C299" s="3" t="inlineStr">
        <is>
          <t>Técnico 11</t>
        </is>
      </c>
      <c r="D299" s="3">
        <f>IFERROR(INDEX('TECNICOS'!$D$4:$D$19,MATCH($C299,'TECNICOS'!$B$4:$B$19,0)),"")</f>
        <v/>
      </c>
      <c r="E299" s="3">
        <f>IFERROR(INDEX('TECNICOS'!$C$4:$C$19,MATCH($C299,'TECNICOS'!$B$4:$B$19,0)),"")</f>
        <v/>
      </c>
      <c r="F299" s="3">
        <f>COUNTIFS('TECNICOS'!$F$4:$F$19,"SI",'TECNICOS'!$C$4:$C$19,$E299,'TECNICOS'!$D$4:$D$19,$D299)</f>
        <v/>
      </c>
      <c r="G299" s="3">
        <f>IF(OR($C299="",$A299="",$B299="domingo"),"",IF(IFERROR(INDEX('TECNICOS'!$F$4:$F$19,MATCH($C299,'TECNICOS'!$B$4:$B$19,0)),"NO")&lt;&gt;"SI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3">
        <f>IF(COUNTIFS('PLAN_VACACIONES'!$A$4:$A$103,$C299,'PLAN_VACACIONES'!$B$4:$B$103,"&lt;="&amp;$L299,'PLAN_VACACIONES'!$C$4:$C$103,"&gt;="&amp;$L299)&gt;0,"sí","no")</f>
        <v/>
      </c>
      <c r="I299" s="6" t="n"/>
      <c r="J299" s="3">
        <f>IF($I299&lt;&gt;"",$I299,IF($G299="","",IF($H299="sí","VAC",IF(LEFT($G299,1)="B","B",$G299))))</f>
        <v/>
      </c>
      <c r="K299" s="3">
        <f>IFERROR(INDEX('TECNICOS'!$E$4:$E$19,MATCH($C299,'TECNICOS'!$B$4:$B$19,0)),"")</f>
        <v/>
      </c>
      <c r="L299" s="12">
        <f>IF($A299="","",DATE(VALUE(LEFT($A299,4)),1,4)-WEEKDAY(DATE(VALUE(LEFT($A299,4)),1,4),2)+1+(VALUE(MID($A299,7,2))-1)*7+MATCH($B299,lista_dias,0)-1)</f>
        <v/>
      </c>
      <c r="M299" s="3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3">
        <f>$A299&amp;"|"&amp;$B299&amp;"|"&amp;$C299</f>
        <v/>
      </c>
      <c r="O299" s="3">
        <f>IFERROR(INDEX('CAT_TURNOS'!$C$4:$C$7,MATCH($J299,'CAT_TURNOS'!$A$4:$A$7,0)),"")</f>
        <v/>
      </c>
      <c r="P299" s="3">
        <f>IFERROR(INDEX('CAT_TURNOS'!$D$4:$D$7,MATCH($J299,'CAT_TURNOS'!$A$4:$A$7,0)),"")</f>
        <v/>
      </c>
      <c r="Q299" s="3">
        <f>IF(AND(LEFT($G299,1)="T",$H299="no"),"sí","no")</f>
        <v/>
      </c>
    </row>
    <row r="300">
      <c r="A300" s="3" t="inlineStr">
        <is>
          <t>2026-S31</t>
        </is>
      </c>
      <c r="B300" s="3" t="inlineStr">
        <is>
          <t>miércoles</t>
        </is>
      </c>
      <c r="C300" s="3" t="inlineStr">
        <is>
          <t>Técnico 11</t>
        </is>
      </c>
      <c r="D300" s="3">
        <f>IFERROR(INDEX('TECNICOS'!$D$4:$D$19,MATCH($C300,'TECNICOS'!$B$4:$B$19,0)),"")</f>
        <v/>
      </c>
      <c r="E300" s="3">
        <f>IFERROR(INDEX('TECNICOS'!$C$4:$C$19,MATCH($C300,'TECNICOS'!$B$4:$B$19,0)),"")</f>
        <v/>
      </c>
      <c r="F300" s="3">
        <f>COUNTIFS('TECNICOS'!$F$4:$F$19,"SI",'TECNICOS'!$C$4:$C$19,$E300,'TECNICOS'!$D$4:$D$19,$D300)</f>
        <v/>
      </c>
      <c r="G300" s="3">
        <f>IF(OR($C300="",$A300="",$B300="domingo"),"",IF(IFERROR(INDEX('TECNICOS'!$F$4:$F$19,MATCH($C300,'TECNICOS'!$B$4:$B$19,0)),"NO")&lt;&gt;"SI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3">
        <f>IF(COUNTIFS('PLAN_VACACIONES'!$A$4:$A$103,$C300,'PLAN_VACACIONES'!$B$4:$B$103,"&lt;="&amp;$L300,'PLAN_VACACIONES'!$C$4:$C$103,"&gt;="&amp;$L300)&gt;0,"sí","no")</f>
        <v/>
      </c>
      <c r="I300" s="6" t="n"/>
      <c r="J300" s="3">
        <f>IF($I300&lt;&gt;"",$I300,IF($G300="","",IF($H300="sí","VAC",IF(LEFT($G300,1)="B","B",$G300))))</f>
        <v/>
      </c>
      <c r="K300" s="3">
        <f>IFERROR(INDEX('TECNICOS'!$E$4:$E$19,MATCH($C300,'TECNICOS'!$B$4:$B$19,0)),"")</f>
        <v/>
      </c>
      <c r="L300" s="12">
        <f>IF($A300="","",DATE(VALUE(LEFT($A300,4)),1,4)-WEEKDAY(DATE(VALUE(LEFT($A300,4)),1,4),2)+1+(VALUE(MID($A300,7,2))-1)*7+MATCH($B300,lista_dias,0)-1)</f>
        <v/>
      </c>
      <c r="M300" s="3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3">
        <f>$A300&amp;"|"&amp;$B300&amp;"|"&amp;$C300</f>
        <v/>
      </c>
      <c r="O300" s="3">
        <f>IFERROR(INDEX('CAT_TURNOS'!$C$4:$C$7,MATCH($J300,'CAT_TURNOS'!$A$4:$A$7,0)),"")</f>
        <v/>
      </c>
      <c r="P300" s="3">
        <f>IFERROR(INDEX('CAT_TURNOS'!$D$4:$D$7,MATCH($J300,'CAT_TURNOS'!$A$4:$A$7,0)),"")</f>
        <v/>
      </c>
      <c r="Q300" s="3">
        <f>IF(AND(LEFT($G300,1)="T",$H300="no"),"sí","no")</f>
        <v/>
      </c>
    </row>
    <row r="301">
      <c r="A301" s="3" t="inlineStr">
        <is>
          <t>2026-S31</t>
        </is>
      </c>
      <c r="B301" s="3" t="inlineStr">
        <is>
          <t>jueves</t>
        </is>
      </c>
      <c r="C301" s="3" t="inlineStr">
        <is>
          <t>Técnico 11</t>
        </is>
      </c>
      <c r="D301" s="3">
        <f>IFERROR(INDEX('TECNICOS'!$D$4:$D$19,MATCH($C301,'TECNICOS'!$B$4:$B$19,0)),"")</f>
        <v/>
      </c>
      <c r="E301" s="3">
        <f>IFERROR(INDEX('TECNICOS'!$C$4:$C$19,MATCH($C301,'TECNICOS'!$B$4:$B$19,0)),"")</f>
        <v/>
      </c>
      <c r="F301" s="3">
        <f>COUNTIFS('TECNICOS'!$F$4:$F$19,"SI",'TECNICOS'!$C$4:$C$19,$E301,'TECNICOS'!$D$4:$D$19,$D301)</f>
        <v/>
      </c>
      <c r="G301" s="3">
        <f>IF(OR($C301="",$A301="",$B301="domingo"),"",IF(IFERROR(INDEX('TECNICOS'!$F$4:$F$19,MATCH($C301,'TECNICOS'!$B$4:$B$19,0)),"NO")&lt;&gt;"SI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3">
        <f>IF(COUNTIFS('PLAN_VACACIONES'!$A$4:$A$103,$C301,'PLAN_VACACIONES'!$B$4:$B$103,"&lt;="&amp;$L301,'PLAN_VACACIONES'!$C$4:$C$103,"&gt;="&amp;$L301)&gt;0,"sí","no")</f>
        <v/>
      </c>
      <c r="I301" s="6" t="n"/>
      <c r="J301" s="3">
        <f>IF($I301&lt;&gt;"",$I301,IF($G301="","",IF($H301="sí","VAC",IF(LEFT($G301,1)="B","B",$G301))))</f>
        <v/>
      </c>
      <c r="K301" s="3">
        <f>IFERROR(INDEX('TECNICOS'!$E$4:$E$19,MATCH($C301,'TECNICOS'!$B$4:$B$19,0)),"")</f>
        <v/>
      </c>
      <c r="L301" s="12">
        <f>IF($A301="","",DATE(VALUE(LEFT($A301,4)),1,4)-WEEKDAY(DATE(VALUE(LEFT($A301,4)),1,4),2)+1+(VALUE(MID($A301,7,2))-1)*7+MATCH($B301,lista_dias,0)-1)</f>
        <v/>
      </c>
      <c r="M301" s="3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3">
        <f>$A301&amp;"|"&amp;$B301&amp;"|"&amp;$C301</f>
        <v/>
      </c>
      <c r="O301" s="3">
        <f>IFERROR(INDEX('CAT_TURNOS'!$C$4:$C$7,MATCH($J301,'CAT_TURNOS'!$A$4:$A$7,0)),"")</f>
        <v/>
      </c>
      <c r="P301" s="3">
        <f>IFERROR(INDEX('CAT_TURNOS'!$D$4:$D$7,MATCH($J301,'CAT_TURNOS'!$A$4:$A$7,0)),"")</f>
        <v/>
      </c>
      <c r="Q301" s="3">
        <f>IF(AND(LEFT($G301,1)="T",$H301="no"),"sí","no")</f>
        <v/>
      </c>
    </row>
    <row r="302">
      <c r="A302" s="3" t="inlineStr">
        <is>
          <t>2026-S31</t>
        </is>
      </c>
      <c r="B302" s="3" t="inlineStr">
        <is>
          <t>viernes</t>
        </is>
      </c>
      <c r="C302" s="3" t="inlineStr">
        <is>
          <t>Técnico 11</t>
        </is>
      </c>
      <c r="D302" s="3">
        <f>IFERROR(INDEX('TECNICOS'!$D$4:$D$19,MATCH($C302,'TECNICOS'!$B$4:$B$19,0)),"")</f>
        <v/>
      </c>
      <c r="E302" s="3">
        <f>IFERROR(INDEX('TECNICOS'!$C$4:$C$19,MATCH($C302,'TECNICOS'!$B$4:$B$19,0)),"")</f>
        <v/>
      </c>
      <c r="F302" s="3">
        <f>COUNTIFS('TECNICOS'!$F$4:$F$19,"SI",'TECNICOS'!$C$4:$C$19,$E302,'TECNICOS'!$D$4:$D$19,$D302)</f>
        <v/>
      </c>
      <c r="G302" s="3">
        <f>IF(OR($C302="",$A302="",$B302="domingo"),"",IF(IFERROR(INDEX('TECNICOS'!$F$4:$F$19,MATCH($C302,'TECNICOS'!$B$4:$B$19,0)),"NO")&lt;&gt;"SI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3">
        <f>IF(COUNTIFS('PLAN_VACACIONES'!$A$4:$A$103,$C302,'PLAN_VACACIONES'!$B$4:$B$103,"&lt;="&amp;$L302,'PLAN_VACACIONES'!$C$4:$C$103,"&gt;="&amp;$L302)&gt;0,"sí","no")</f>
        <v/>
      </c>
      <c r="I302" s="6" t="n"/>
      <c r="J302" s="3">
        <f>IF($I302&lt;&gt;"",$I302,IF($G302="","",IF($H302="sí","VAC",IF(LEFT($G302,1)="B","B",$G302))))</f>
        <v/>
      </c>
      <c r="K302" s="3">
        <f>IFERROR(INDEX('TECNICOS'!$E$4:$E$19,MATCH($C302,'TECNICOS'!$B$4:$B$19,0)),"")</f>
        <v/>
      </c>
      <c r="L302" s="12">
        <f>IF($A302="","",DATE(VALUE(LEFT($A302,4)),1,4)-WEEKDAY(DATE(VALUE(LEFT($A302,4)),1,4),2)+1+(VALUE(MID($A302,7,2))-1)*7+MATCH($B302,lista_dias,0)-1)</f>
        <v/>
      </c>
      <c r="M302" s="3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3">
        <f>$A302&amp;"|"&amp;$B302&amp;"|"&amp;$C302</f>
        <v/>
      </c>
      <c r="O302" s="3">
        <f>IFERROR(INDEX('CAT_TURNOS'!$C$4:$C$7,MATCH($J302,'CAT_TURNOS'!$A$4:$A$7,0)),"")</f>
        <v/>
      </c>
      <c r="P302" s="3">
        <f>IFERROR(INDEX('CAT_TURNOS'!$D$4:$D$7,MATCH($J302,'CAT_TURNOS'!$A$4:$A$7,0)),"")</f>
        <v/>
      </c>
      <c r="Q302" s="3">
        <f>IF(AND(LEFT($G302,1)="T",$H302="no"),"sí","no")</f>
        <v/>
      </c>
    </row>
    <row r="303">
      <c r="A303" s="3" t="inlineStr">
        <is>
          <t>2026-S31</t>
        </is>
      </c>
      <c r="B303" s="3" t="inlineStr">
        <is>
          <t>sábado</t>
        </is>
      </c>
      <c r="C303" s="3" t="inlineStr">
        <is>
          <t>Técnico 11</t>
        </is>
      </c>
      <c r="D303" s="3">
        <f>IFERROR(INDEX('TECNICOS'!$D$4:$D$19,MATCH($C303,'TECNICOS'!$B$4:$B$19,0)),"")</f>
        <v/>
      </c>
      <c r="E303" s="3">
        <f>IFERROR(INDEX('TECNICOS'!$C$4:$C$19,MATCH($C303,'TECNICOS'!$B$4:$B$19,0)),"")</f>
        <v/>
      </c>
      <c r="F303" s="3">
        <f>COUNTIFS('TECNICOS'!$F$4:$F$19,"SI",'TECNICOS'!$C$4:$C$19,$E303,'TECNICOS'!$D$4:$D$19,$D303)</f>
        <v/>
      </c>
      <c r="G303" s="3">
        <f>IF(OR($C303="",$A303="",$B303="domingo"),"",IF(IFERROR(INDEX('TECNICOS'!$F$4:$F$19,MATCH($C303,'TECNICOS'!$B$4:$B$19,0)),"NO")&lt;&gt;"SI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3">
        <f>IF(COUNTIFS('PLAN_VACACIONES'!$A$4:$A$103,$C303,'PLAN_VACACIONES'!$B$4:$B$103,"&lt;="&amp;$L303,'PLAN_VACACIONES'!$C$4:$C$103,"&gt;="&amp;$L303)&gt;0,"sí","no")</f>
        <v/>
      </c>
      <c r="I303" s="6" t="n"/>
      <c r="J303" s="3">
        <f>IF($I303&lt;&gt;"",$I303,IF($G303="","",IF($H303="sí","VAC",IF(LEFT($G303,1)="B","B",$G303))))</f>
        <v/>
      </c>
      <c r="K303" s="3">
        <f>IFERROR(INDEX('TECNICOS'!$E$4:$E$19,MATCH($C303,'TECNICOS'!$B$4:$B$19,0)),"")</f>
        <v/>
      </c>
      <c r="L303" s="12">
        <f>IF($A303="","",DATE(VALUE(LEFT($A303,4)),1,4)-WEEKDAY(DATE(VALUE(LEFT($A303,4)),1,4),2)+1+(VALUE(MID($A303,7,2))-1)*7+MATCH($B303,lista_dias,0)-1)</f>
        <v/>
      </c>
      <c r="M303" s="3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3">
        <f>$A303&amp;"|"&amp;$B303&amp;"|"&amp;$C303</f>
        <v/>
      </c>
      <c r="O303" s="3">
        <f>IFERROR(INDEX('CAT_TURNOS'!$C$4:$C$7,MATCH($J303,'CAT_TURNOS'!$A$4:$A$7,0)),"")</f>
        <v/>
      </c>
      <c r="P303" s="3">
        <f>IFERROR(INDEX('CAT_TURNOS'!$D$4:$D$7,MATCH($J303,'CAT_TURNOS'!$A$4:$A$7,0)),"")</f>
        <v/>
      </c>
      <c r="Q303" s="3">
        <f>IF(AND(LEFT($G303,1)="T",$H303="no"),"sí","no")</f>
        <v/>
      </c>
    </row>
    <row r="304">
      <c r="A304" s="3" t="inlineStr">
        <is>
          <t>2026-S31</t>
        </is>
      </c>
      <c r="B304" s="3" t="inlineStr">
        <is>
          <t>domingo</t>
        </is>
      </c>
      <c r="C304" s="3" t="inlineStr">
        <is>
          <t>Técnico 11</t>
        </is>
      </c>
      <c r="D304" s="3">
        <f>IFERROR(INDEX('TECNICOS'!$D$4:$D$19,MATCH($C304,'TECNICOS'!$B$4:$B$19,0)),"")</f>
        <v/>
      </c>
      <c r="E304" s="3">
        <f>IFERROR(INDEX('TECNICOS'!$C$4:$C$19,MATCH($C304,'TECNICOS'!$B$4:$B$19,0)),"")</f>
        <v/>
      </c>
      <c r="F304" s="3">
        <f>COUNTIFS('TECNICOS'!$F$4:$F$19,"SI",'TECNICOS'!$C$4:$C$19,$E304,'TECNICOS'!$D$4:$D$19,$D304)</f>
        <v/>
      </c>
      <c r="G304" s="3">
        <f>IF(OR($C304="",$A304="",$B304="domingo"),"",IF(IFERROR(INDEX('TECNICOS'!$F$4:$F$19,MATCH($C304,'TECNICOS'!$B$4:$B$19,0)),"NO")&lt;&gt;"SI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3">
        <f>IF(COUNTIFS('PLAN_VACACIONES'!$A$4:$A$103,$C304,'PLAN_VACACIONES'!$B$4:$B$103,"&lt;="&amp;$L304,'PLAN_VACACIONES'!$C$4:$C$103,"&gt;="&amp;$L304)&gt;0,"sí","no")</f>
        <v/>
      </c>
      <c r="I304" s="6" t="n"/>
      <c r="J304" s="3">
        <f>IF($I304&lt;&gt;"",$I304,IF($G304="","",IF($H304="sí","VAC",IF(LEFT($G304,1)="B","B",$G304))))</f>
        <v/>
      </c>
      <c r="K304" s="3">
        <f>IFERROR(INDEX('TECNICOS'!$E$4:$E$19,MATCH($C304,'TECNICOS'!$B$4:$B$19,0)),"")</f>
        <v/>
      </c>
      <c r="L304" s="12">
        <f>IF($A304="","",DATE(VALUE(LEFT($A304,4)),1,4)-WEEKDAY(DATE(VALUE(LEFT($A304,4)),1,4),2)+1+(VALUE(MID($A304,7,2))-1)*7+MATCH($B304,lista_dias,0)-1)</f>
        <v/>
      </c>
      <c r="M304" s="3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3">
        <f>$A304&amp;"|"&amp;$B304&amp;"|"&amp;$C304</f>
        <v/>
      </c>
      <c r="O304" s="3">
        <f>IFERROR(INDEX('CAT_TURNOS'!$C$4:$C$7,MATCH($J304,'CAT_TURNOS'!$A$4:$A$7,0)),"")</f>
        <v/>
      </c>
      <c r="P304" s="3">
        <f>IFERROR(INDEX('CAT_TURNOS'!$D$4:$D$7,MATCH($J304,'CAT_TURNOS'!$A$4:$A$7,0)),"")</f>
        <v/>
      </c>
      <c r="Q304" s="3">
        <f>IF(AND(LEFT($G304,1)="T",$H304="no"),"sí","no")</f>
        <v/>
      </c>
    </row>
    <row r="305">
      <c r="A305" s="3" t="inlineStr">
        <is>
          <t>2026-S31</t>
        </is>
      </c>
      <c r="B305" s="3" t="inlineStr">
        <is>
          <t>lunes</t>
        </is>
      </c>
      <c r="C305" s="3" t="inlineStr">
        <is>
          <t>Técnico 12</t>
        </is>
      </c>
      <c r="D305" s="3">
        <f>IFERROR(INDEX('TECNICOS'!$D$4:$D$19,MATCH($C305,'TECNICOS'!$B$4:$B$19,0)),"")</f>
        <v/>
      </c>
      <c r="E305" s="3">
        <f>IFERROR(INDEX('TECNICOS'!$C$4:$C$19,MATCH($C305,'TECNICOS'!$B$4:$B$19,0)),"")</f>
        <v/>
      </c>
      <c r="F305" s="3">
        <f>COUNTIFS('TECNICOS'!$F$4:$F$19,"SI",'TECNICOS'!$C$4:$C$19,$E305,'TECNICOS'!$D$4:$D$19,$D305)</f>
        <v/>
      </c>
      <c r="G305" s="3">
        <f>IF(OR($C305="",$A305="",$B305="domingo"),"",IF(IFERROR(INDEX('TECNICOS'!$F$4:$F$19,MATCH($C305,'TECNICOS'!$B$4:$B$19,0)),"NO")&lt;&gt;"SI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3">
        <f>IF(COUNTIFS('PLAN_VACACIONES'!$A$4:$A$103,$C305,'PLAN_VACACIONES'!$B$4:$B$103,"&lt;="&amp;$L305,'PLAN_VACACIONES'!$C$4:$C$103,"&gt;="&amp;$L305)&gt;0,"sí","no")</f>
        <v/>
      </c>
      <c r="I305" s="6" t="n"/>
      <c r="J305" s="3">
        <f>IF($I305&lt;&gt;"",$I305,IF($G305="","",IF($H305="sí","VAC",IF(LEFT($G305,1)="B","B",$G305))))</f>
        <v/>
      </c>
      <c r="K305" s="3">
        <f>IFERROR(INDEX('TECNICOS'!$E$4:$E$19,MATCH($C305,'TECNICOS'!$B$4:$B$19,0)),"")</f>
        <v/>
      </c>
      <c r="L305" s="12">
        <f>IF($A305="","",DATE(VALUE(LEFT($A305,4)),1,4)-WEEKDAY(DATE(VALUE(LEFT($A305,4)),1,4),2)+1+(VALUE(MID($A305,7,2))-1)*7+MATCH($B305,lista_dias,0)-1)</f>
        <v/>
      </c>
      <c r="M305" s="3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3">
        <f>$A305&amp;"|"&amp;$B305&amp;"|"&amp;$C305</f>
        <v/>
      </c>
      <c r="O305" s="3">
        <f>IFERROR(INDEX('CAT_TURNOS'!$C$4:$C$7,MATCH($J305,'CAT_TURNOS'!$A$4:$A$7,0)),"")</f>
        <v/>
      </c>
      <c r="P305" s="3">
        <f>IFERROR(INDEX('CAT_TURNOS'!$D$4:$D$7,MATCH($J305,'CAT_TURNOS'!$A$4:$A$7,0)),"")</f>
        <v/>
      </c>
      <c r="Q305" s="3">
        <f>IF(AND(LEFT($G305,1)="T",$H305="no"),"sí","no")</f>
        <v/>
      </c>
    </row>
    <row r="306">
      <c r="A306" s="3" t="inlineStr">
        <is>
          <t>2026-S31</t>
        </is>
      </c>
      <c r="B306" s="3" t="inlineStr">
        <is>
          <t>martes</t>
        </is>
      </c>
      <c r="C306" s="3" t="inlineStr">
        <is>
          <t>Técnico 12</t>
        </is>
      </c>
      <c r="D306" s="3">
        <f>IFERROR(INDEX('TECNICOS'!$D$4:$D$19,MATCH($C306,'TECNICOS'!$B$4:$B$19,0)),"")</f>
        <v/>
      </c>
      <c r="E306" s="3">
        <f>IFERROR(INDEX('TECNICOS'!$C$4:$C$19,MATCH($C306,'TECNICOS'!$B$4:$B$19,0)),"")</f>
        <v/>
      </c>
      <c r="F306" s="3">
        <f>COUNTIFS('TECNICOS'!$F$4:$F$19,"SI",'TECNICOS'!$C$4:$C$19,$E306,'TECNICOS'!$D$4:$D$19,$D306)</f>
        <v/>
      </c>
      <c r="G306" s="3">
        <f>IF(OR($C306="",$A306="",$B306="domingo"),"",IF(IFERROR(INDEX('TECNICOS'!$F$4:$F$19,MATCH($C306,'TECNICOS'!$B$4:$B$19,0)),"NO")&lt;&gt;"SI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3">
        <f>IF(COUNTIFS('PLAN_VACACIONES'!$A$4:$A$103,$C306,'PLAN_VACACIONES'!$B$4:$B$103,"&lt;="&amp;$L306,'PLAN_VACACIONES'!$C$4:$C$103,"&gt;="&amp;$L306)&gt;0,"sí","no")</f>
        <v/>
      </c>
      <c r="I306" s="6" t="n"/>
      <c r="J306" s="3">
        <f>IF($I306&lt;&gt;"",$I306,IF($G306="","",IF($H306="sí","VAC",IF(LEFT($G306,1)="B","B",$G306))))</f>
        <v/>
      </c>
      <c r="K306" s="3">
        <f>IFERROR(INDEX('TECNICOS'!$E$4:$E$19,MATCH($C306,'TECNICOS'!$B$4:$B$19,0)),"")</f>
        <v/>
      </c>
      <c r="L306" s="12">
        <f>IF($A306="","",DATE(VALUE(LEFT($A306,4)),1,4)-WEEKDAY(DATE(VALUE(LEFT($A306,4)),1,4),2)+1+(VALUE(MID($A306,7,2))-1)*7+MATCH($B306,lista_dias,0)-1)</f>
        <v/>
      </c>
      <c r="M306" s="3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3">
        <f>$A306&amp;"|"&amp;$B306&amp;"|"&amp;$C306</f>
        <v/>
      </c>
      <c r="O306" s="3">
        <f>IFERROR(INDEX('CAT_TURNOS'!$C$4:$C$7,MATCH($J306,'CAT_TURNOS'!$A$4:$A$7,0)),"")</f>
        <v/>
      </c>
      <c r="P306" s="3">
        <f>IFERROR(INDEX('CAT_TURNOS'!$D$4:$D$7,MATCH($J306,'CAT_TURNOS'!$A$4:$A$7,0)),"")</f>
        <v/>
      </c>
      <c r="Q306" s="3">
        <f>IF(AND(LEFT($G306,1)="T",$H306="no"),"sí","no")</f>
        <v/>
      </c>
    </row>
    <row r="307">
      <c r="A307" s="3" t="inlineStr">
        <is>
          <t>2026-S31</t>
        </is>
      </c>
      <c r="B307" s="3" t="inlineStr">
        <is>
          <t>miércoles</t>
        </is>
      </c>
      <c r="C307" s="3" t="inlineStr">
        <is>
          <t>Técnico 12</t>
        </is>
      </c>
      <c r="D307" s="3">
        <f>IFERROR(INDEX('TECNICOS'!$D$4:$D$19,MATCH($C307,'TECNICOS'!$B$4:$B$19,0)),"")</f>
        <v/>
      </c>
      <c r="E307" s="3">
        <f>IFERROR(INDEX('TECNICOS'!$C$4:$C$19,MATCH($C307,'TECNICOS'!$B$4:$B$19,0)),"")</f>
        <v/>
      </c>
      <c r="F307" s="3">
        <f>COUNTIFS('TECNICOS'!$F$4:$F$19,"SI",'TECNICOS'!$C$4:$C$19,$E307,'TECNICOS'!$D$4:$D$19,$D307)</f>
        <v/>
      </c>
      <c r="G307" s="3">
        <f>IF(OR($C307="",$A307="",$B307="domingo"),"",IF(IFERROR(INDEX('TECNICOS'!$F$4:$F$19,MATCH($C307,'TECNICOS'!$B$4:$B$19,0)),"NO")&lt;&gt;"SI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3">
        <f>IF(COUNTIFS('PLAN_VACACIONES'!$A$4:$A$103,$C307,'PLAN_VACACIONES'!$B$4:$B$103,"&lt;="&amp;$L307,'PLAN_VACACIONES'!$C$4:$C$103,"&gt;="&amp;$L307)&gt;0,"sí","no")</f>
        <v/>
      </c>
      <c r="I307" s="6" t="n"/>
      <c r="J307" s="3">
        <f>IF($I307&lt;&gt;"",$I307,IF($G307="","",IF($H307="sí","VAC",IF(LEFT($G307,1)="B","B",$G307))))</f>
        <v/>
      </c>
      <c r="K307" s="3">
        <f>IFERROR(INDEX('TECNICOS'!$E$4:$E$19,MATCH($C307,'TECNICOS'!$B$4:$B$19,0)),"")</f>
        <v/>
      </c>
      <c r="L307" s="12">
        <f>IF($A307="","",DATE(VALUE(LEFT($A307,4)),1,4)-WEEKDAY(DATE(VALUE(LEFT($A307,4)),1,4),2)+1+(VALUE(MID($A307,7,2))-1)*7+MATCH($B307,lista_dias,0)-1)</f>
        <v/>
      </c>
      <c r="M307" s="3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3">
        <f>$A307&amp;"|"&amp;$B307&amp;"|"&amp;$C307</f>
        <v/>
      </c>
      <c r="O307" s="3">
        <f>IFERROR(INDEX('CAT_TURNOS'!$C$4:$C$7,MATCH($J307,'CAT_TURNOS'!$A$4:$A$7,0)),"")</f>
        <v/>
      </c>
      <c r="P307" s="3">
        <f>IFERROR(INDEX('CAT_TURNOS'!$D$4:$D$7,MATCH($J307,'CAT_TURNOS'!$A$4:$A$7,0)),"")</f>
        <v/>
      </c>
      <c r="Q307" s="3">
        <f>IF(AND(LEFT($G307,1)="T",$H307="no"),"sí","no")</f>
        <v/>
      </c>
    </row>
    <row r="308">
      <c r="A308" s="3" t="inlineStr">
        <is>
          <t>2026-S31</t>
        </is>
      </c>
      <c r="B308" s="3" t="inlineStr">
        <is>
          <t>jueves</t>
        </is>
      </c>
      <c r="C308" s="3" t="inlineStr">
        <is>
          <t>Técnico 12</t>
        </is>
      </c>
      <c r="D308" s="3">
        <f>IFERROR(INDEX('TECNICOS'!$D$4:$D$19,MATCH($C308,'TECNICOS'!$B$4:$B$19,0)),"")</f>
        <v/>
      </c>
      <c r="E308" s="3">
        <f>IFERROR(INDEX('TECNICOS'!$C$4:$C$19,MATCH($C308,'TECNICOS'!$B$4:$B$19,0)),"")</f>
        <v/>
      </c>
      <c r="F308" s="3">
        <f>COUNTIFS('TECNICOS'!$F$4:$F$19,"SI",'TECNICOS'!$C$4:$C$19,$E308,'TECNICOS'!$D$4:$D$19,$D308)</f>
        <v/>
      </c>
      <c r="G308" s="3">
        <f>IF(OR($C308="",$A308="",$B308="domingo"),"",IF(IFERROR(INDEX('TECNICOS'!$F$4:$F$19,MATCH($C308,'TECNICOS'!$B$4:$B$19,0)),"NO")&lt;&gt;"SI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3">
        <f>IF(COUNTIFS('PLAN_VACACIONES'!$A$4:$A$103,$C308,'PLAN_VACACIONES'!$B$4:$B$103,"&lt;="&amp;$L308,'PLAN_VACACIONES'!$C$4:$C$103,"&gt;="&amp;$L308)&gt;0,"sí","no")</f>
        <v/>
      </c>
      <c r="I308" s="6" t="n"/>
      <c r="J308" s="3">
        <f>IF($I308&lt;&gt;"",$I308,IF($G308="","",IF($H308="sí","VAC",IF(LEFT($G308,1)="B","B",$G308))))</f>
        <v/>
      </c>
      <c r="K308" s="3">
        <f>IFERROR(INDEX('TECNICOS'!$E$4:$E$19,MATCH($C308,'TECNICOS'!$B$4:$B$19,0)),"")</f>
        <v/>
      </c>
      <c r="L308" s="12">
        <f>IF($A308="","",DATE(VALUE(LEFT($A308,4)),1,4)-WEEKDAY(DATE(VALUE(LEFT($A308,4)),1,4),2)+1+(VALUE(MID($A308,7,2))-1)*7+MATCH($B308,lista_dias,0)-1)</f>
        <v/>
      </c>
      <c r="M308" s="3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3">
        <f>$A308&amp;"|"&amp;$B308&amp;"|"&amp;$C308</f>
        <v/>
      </c>
      <c r="O308" s="3">
        <f>IFERROR(INDEX('CAT_TURNOS'!$C$4:$C$7,MATCH($J308,'CAT_TURNOS'!$A$4:$A$7,0)),"")</f>
        <v/>
      </c>
      <c r="P308" s="3">
        <f>IFERROR(INDEX('CAT_TURNOS'!$D$4:$D$7,MATCH($J308,'CAT_TURNOS'!$A$4:$A$7,0)),"")</f>
        <v/>
      </c>
      <c r="Q308" s="3">
        <f>IF(AND(LEFT($G308,1)="T",$H308="no"),"sí","no")</f>
        <v/>
      </c>
    </row>
    <row r="309">
      <c r="A309" s="3" t="inlineStr">
        <is>
          <t>2026-S31</t>
        </is>
      </c>
      <c r="B309" s="3" t="inlineStr">
        <is>
          <t>viernes</t>
        </is>
      </c>
      <c r="C309" s="3" t="inlineStr">
        <is>
          <t>Técnico 12</t>
        </is>
      </c>
      <c r="D309" s="3">
        <f>IFERROR(INDEX('TECNICOS'!$D$4:$D$19,MATCH($C309,'TECNICOS'!$B$4:$B$19,0)),"")</f>
        <v/>
      </c>
      <c r="E309" s="3">
        <f>IFERROR(INDEX('TECNICOS'!$C$4:$C$19,MATCH($C309,'TECNICOS'!$B$4:$B$19,0)),"")</f>
        <v/>
      </c>
      <c r="F309" s="3">
        <f>COUNTIFS('TECNICOS'!$F$4:$F$19,"SI",'TECNICOS'!$C$4:$C$19,$E309,'TECNICOS'!$D$4:$D$19,$D309)</f>
        <v/>
      </c>
      <c r="G309" s="3">
        <f>IF(OR($C309="",$A309="",$B309="domingo"),"",IF(IFERROR(INDEX('TECNICOS'!$F$4:$F$19,MATCH($C309,'TECNICOS'!$B$4:$B$19,0)),"NO")&lt;&gt;"SI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3">
        <f>IF(COUNTIFS('PLAN_VACACIONES'!$A$4:$A$103,$C309,'PLAN_VACACIONES'!$B$4:$B$103,"&lt;="&amp;$L309,'PLAN_VACACIONES'!$C$4:$C$103,"&gt;="&amp;$L309)&gt;0,"sí","no")</f>
        <v/>
      </c>
      <c r="I309" s="6" t="n"/>
      <c r="J309" s="3">
        <f>IF($I309&lt;&gt;"",$I309,IF($G309="","",IF($H309="sí","VAC",IF(LEFT($G309,1)="B","B",$G309))))</f>
        <v/>
      </c>
      <c r="K309" s="3">
        <f>IFERROR(INDEX('TECNICOS'!$E$4:$E$19,MATCH($C309,'TECNICOS'!$B$4:$B$19,0)),"")</f>
        <v/>
      </c>
      <c r="L309" s="12">
        <f>IF($A309="","",DATE(VALUE(LEFT($A309,4)),1,4)-WEEKDAY(DATE(VALUE(LEFT($A309,4)),1,4),2)+1+(VALUE(MID($A309,7,2))-1)*7+MATCH($B309,lista_dias,0)-1)</f>
        <v/>
      </c>
      <c r="M309" s="3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3">
        <f>$A309&amp;"|"&amp;$B309&amp;"|"&amp;$C309</f>
        <v/>
      </c>
      <c r="O309" s="3">
        <f>IFERROR(INDEX('CAT_TURNOS'!$C$4:$C$7,MATCH($J309,'CAT_TURNOS'!$A$4:$A$7,0)),"")</f>
        <v/>
      </c>
      <c r="P309" s="3">
        <f>IFERROR(INDEX('CAT_TURNOS'!$D$4:$D$7,MATCH($J309,'CAT_TURNOS'!$A$4:$A$7,0)),"")</f>
        <v/>
      </c>
      <c r="Q309" s="3">
        <f>IF(AND(LEFT($G309,1)="T",$H309="no"),"sí","no")</f>
        <v/>
      </c>
    </row>
    <row r="310">
      <c r="A310" s="3" t="inlineStr">
        <is>
          <t>2026-S31</t>
        </is>
      </c>
      <c r="B310" s="3" t="inlineStr">
        <is>
          <t>sábado</t>
        </is>
      </c>
      <c r="C310" s="3" t="inlineStr">
        <is>
          <t>Técnico 12</t>
        </is>
      </c>
      <c r="D310" s="3">
        <f>IFERROR(INDEX('TECNICOS'!$D$4:$D$19,MATCH($C310,'TECNICOS'!$B$4:$B$19,0)),"")</f>
        <v/>
      </c>
      <c r="E310" s="3">
        <f>IFERROR(INDEX('TECNICOS'!$C$4:$C$19,MATCH($C310,'TECNICOS'!$B$4:$B$19,0)),"")</f>
        <v/>
      </c>
      <c r="F310" s="3">
        <f>COUNTIFS('TECNICOS'!$F$4:$F$19,"SI",'TECNICOS'!$C$4:$C$19,$E310,'TECNICOS'!$D$4:$D$19,$D310)</f>
        <v/>
      </c>
      <c r="G310" s="3">
        <f>IF(OR($C310="",$A310="",$B310="domingo"),"",IF(IFERROR(INDEX('TECNICOS'!$F$4:$F$19,MATCH($C310,'TECNICOS'!$B$4:$B$19,0)),"NO")&lt;&gt;"SI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3">
        <f>IF(COUNTIFS('PLAN_VACACIONES'!$A$4:$A$103,$C310,'PLAN_VACACIONES'!$B$4:$B$103,"&lt;="&amp;$L310,'PLAN_VACACIONES'!$C$4:$C$103,"&gt;="&amp;$L310)&gt;0,"sí","no")</f>
        <v/>
      </c>
      <c r="I310" s="6" t="n"/>
      <c r="J310" s="3">
        <f>IF($I310&lt;&gt;"",$I310,IF($G310="","",IF($H310="sí","VAC",IF(LEFT($G310,1)="B","B",$G310))))</f>
        <v/>
      </c>
      <c r="K310" s="3">
        <f>IFERROR(INDEX('TECNICOS'!$E$4:$E$19,MATCH($C310,'TECNICOS'!$B$4:$B$19,0)),"")</f>
        <v/>
      </c>
      <c r="L310" s="12">
        <f>IF($A310="","",DATE(VALUE(LEFT($A310,4)),1,4)-WEEKDAY(DATE(VALUE(LEFT($A310,4)),1,4),2)+1+(VALUE(MID($A310,7,2))-1)*7+MATCH($B310,lista_dias,0)-1)</f>
        <v/>
      </c>
      <c r="M310" s="3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3">
        <f>$A310&amp;"|"&amp;$B310&amp;"|"&amp;$C310</f>
        <v/>
      </c>
      <c r="O310" s="3">
        <f>IFERROR(INDEX('CAT_TURNOS'!$C$4:$C$7,MATCH($J310,'CAT_TURNOS'!$A$4:$A$7,0)),"")</f>
        <v/>
      </c>
      <c r="P310" s="3">
        <f>IFERROR(INDEX('CAT_TURNOS'!$D$4:$D$7,MATCH($J310,'CAT_TURNOS'!$A$4:$A$7,0)),"")</f>
        <v/>
      </c>
      <c r="Q310" s="3">
        <f>IF(AND(LEFT($G310,1)="T",$H310="no"),"sí","no")</f>
        <v/>
      </c>
    </row>
    <row r="311">
      <c r="A311" s="3" t="inlineStr">
        <is>
          <t>2026-S31</t>
        </is>
      </c>
      <c r="B311" s="3" t="inlineStr">
        <is>
          <t>domingo</t>
        </is>
      </c>
      <c r="C311" s="3" t="inlineStr">
        <is>
          <t>Técnico 12</t>
        </is>
      </c>
      <c r="D311" s="3">
        <f>IFERROR(INDEX('TECNICOS'!$D$4:$D$19,MATCH($C311,'TECNICOS'!$B$4:$B$19,0)),"")</f>
        <v/>
      </c>
      <c r="E311" s="3">
        <f>IFERROR(INDEX('TECNICOS'!$C$4:$C$19,MATCH($C311,'TECNICOS'!$B$4:$B$19,0)),"")</f>
        <v/>
      </c>
      <c r="F311" s="3">
        <f>COUNTIFS('TECNICOS'!$F$4:$F$19,"SI",'TECNICOS'!$C$4:$C$19,$E311,'TECNICOS'!$D$4:$D$19,$D311)</f>
        <v/>
      </c>
      <c r="G311" s="3">
        <f>IF(OR($C311="",$A311="",$B311="domingo"),"",IF(IFERROR(INDEX('TECNICOS'!$F$4:$F$19,MATCH($C311,'TECNICOS'!$B$4:$B$19,0)),"NO")&lt;&gt;"SI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3">
        <f>IF(COUNTIFS('PLAN_VACACIONES'!$A$4:$A$103,$C311,'PLAN_VACACIONES'!$B$4:$B$103,"&lt;="&amp;$L311,'PLAN_VACACIONES'!$C$4:$C$103,"&gt;="&amp;$L311)&gt;0,"sí","no")</f>
        <v/>
      </c>
      <c r="I311" s="6" t="n"/>
      <c r="J311" s="3">
        <f>IF($I311&lt;&gt;"",$I311,IF($G311="","",IF($H311="sí","VAC",IF(LEFT($G311,1)="B","B",$G311))))</f>
        <v/>
      </c>
      <c r="K311" s="3">
        <f>IFERROR(INDEX('TECNICOS'!$E$4:$E$19,MATCH($C311,'TECNICOS'!$B$4:$B$19,0)),"")</f>
        <v/>
      </c>
      <c r="L311" s="12">
        <f>IF($A311="","",DATE(VALUE(LEFT($A311,4)),1,4)-WEEKDAY(DATE(VALUE(LEFT($A311,4)),1,4),2)+1+(VALUE(MID($A311,7,2))-1)*7+MATCH($B311,lista_dias,0)-1)</f>
        <v/>
      </c>
      <c r="M311" s="3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3">
        <f>$A311&amp;"|"&amp;$B311&amp;"|"&amp;$C311</f>
        <v/>
      </c>
      <c r="O311" s="3">
        <f>IFERROR(INDEX('CAT_TURNOS'!$C$4:$C$7,MATCH($J311,'CAT_TURNOS'!$A$4:$A$7,0)),"")</f>
        <v/>
      </c>
      <c r="P311" s="3">
        <f>IFERROR(INDEX('CAT_TURNOS'!$D$4:$D$7,MATCH($J311,'CAT_TURNOS'!$A$4:$A$7,0)),"")</f>
        <v/>
      </c>
      <c r="Q311" s="3">
        <f>IF(AND(LEFT($G311,1)="T",$H311="no"),"sí","no")</f>
        <v/>
      </c>
    </row>
    <row r="312">
      <c r="A312" s="3" t="inlineStr">
        <is>
          <t>2026-S31</t>
        </is>
      </c>
      <c r="B312" s="3" t="inlineStr">
        <is>
          <t>lunes</t>
        </is>
      </c>
      <c r="C312" s="3" t="inlineStr">
        <is>
          <t>Técnico 13</t>
        </is>
      </c>
      <c r="D312" s="3">
        <f>IFERROR(INDEX('TECNICOS'!$D$4:$D$19,MATCH($C312,'TECNICOS'!$B$4:$B$19,0)),"")</f>
        <v/>
      </c>
      <c r="E312" s="3">
        <f>IFERROR(INDEX('TECNICOS'!$C$4:$C$19,MATCH($C312,'TECNICOS'!$B$4:$B$19,0)),"")</f>
        <v/>
      </c>
      <c r="F312" s="3">
        <f>COUNTIFS('TECNICOS'!$F$4:$F$19,"SI",'TECNICOS'!$C$4:$C$19,$E312,'TECNICOS'!$D$4:$D$19,$D312)</f>
        <v/>
      </c>
      <c r="G312" s="3">
        <f>IF(OR($C312="",$A312="",$B312="domingo"),"",IF(IFERROR(INDEX('TECNICOS'!$F$4:$F$19,MATCH($C312,'TECNICOS'!$B$4:$B$19,0)),"NO")&lt;&gt;"SI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3">
        <f>IF(COUNTIFS('PLAN_VACACIONES'!$A$4:$A$103,$C312,'PLAN_VACACIONES'!$B$4:$B$103,"&lt;="&amp;$L312,'PLAN_VACACIONES'!$C$4:$C$103,"&gt;="&amp;$L312)&gt;0,"sí","no")</f>
        <v/>
      </c>
      <c r="I312" s="6" t="n"/>
      <c r="J312" s="3">
        <f>IF($I312&lt;&gt;"",$I312,IF($G312="","",IF($H312="sí","VAC",IF(LEFT($G312,1)="B","B",$G312))))</f>
        <v/>
      </c>
      <c r="K312" s="3">
        <f>IFERROR(INDEX('TECNICOS'!$E$4:$E$19,MATCH($C312,'TECNICOS'!$B$4:$B$19,0)),"")</f>
        <v/>
      </c>
      <c r="L312" s="12">
        <f>IF($A312="","",DATE(VALUE(LEFT($A312,4)),1,4)-WEEKDAY(DATE(VALUE(LEFT($A312,4)),1,4),2)+1+(VALUE(MID($A312,7,2))-1)*7+MATCH($B312,lista_dias,0)-1)</f>
        <v/>
      </c>
      <c r="M312" s="3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3">
        <f>$A312&amp;"|"&amp;$B312&amp;"|"&amp;$C312</f>
        <v/>
      </c>
      <c r="O312" s="3">
        <f>IFERROR(INDEX('CAT_TURNOS'!$C$4:$C$7,MATCH($J312,'CAT_TURNOS'!$A$4:$A$7,0)),"")</f>
        <v/>
      </c>
      <c r="P312" s="3">
        <f>IFERROR(INDEX('CAT_TURNOS'!$D$4:$D$7,MATCH($J312,'CAT_TURNOS'!$A$4:$A$7,0)),"")</f>
        <v/>
      </c>
      <c r="Q312" s="3">
        <f>IF(AND(LEFT($G312,1)="T",$H312="no"),"sí","no")</f>
        <v/>
      </c>
    </row>
    <row r="313">
      <c r="A313" s="3" t="inlineStr">
        <is>
          <t>2026-S31</t>
        </is>
      </c>
      <c r="B313" s="3" t="inlineStr">
        <is>
          <t>martes</t>
        </is>
      </c>
      <c r="C313" s="3" t="inlineStr">
        <is>
          <t>Técnico 13</t>
        </is>
      </c>
      <c r="D313" s="3">
        <f>IFERROR(INDEX('TECNICOS'!$D$4:$D$19,MATCH($C313,'TECNICOS'!$B$4:$B$19,0)),"")</f>
        <v/>
      </c>
      <c r="E313" s="3">
        <f>IFERROR(INDEX('TECNICOS'!$C$4:$C$19,MATCH($C313,'TECNICOS'!$B$4:$B$19,0)),"")</f>
        <v/>
      </c>
      <c r="F313" s="3">
        <f>COUNTIFS('TECNICOS'!$F$4:$F$19,"SI",'TECNICOS'!$C$4:$C$19,$E313,'TECNICOS'!$D$4:$D$19,$D313)</f>
        <v/>
      </c>
      <c r="G313" s="3">
        <f>IF(OR($C313="",$A313="",$B313="domingo"),"",IF(IFERROR(INDEX('TECNICOS'!$F$4:$F$19,MATCH($C313,'TECNICOS'!$B$4:$B$19,0)),"NO")&lt;&gt;"SI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3">
        <f>IF(COUNTIFS('PLAN_VACACIONES'!$A$4:$A$103,$C313,'PLAN_VACACIONES'!$B$4:$B$103,"&lt;="&amp;$L313,'PLAN_VACACIONES'!$C$4:$C$103,"&gt;="&amp;$L313)&gt;0,"sí","no")</f>
        <v/>
      </c>
      <c r="I313" s="6" t="n"/>
      <c r="J313" s="3">
        <f>IF($I313&lt;&gt;"",$I313,IF($G313="","",IF($H313="sí","VAC",IF(LEFT($G313,1)="B","B",$G313))))</f>
        <v/>
      </c>
      <c r="K313" s="3">
        <f>IFERROR(INDEX('TECNICOS'!$E$4:$E$19,MATCH($C313,'TECNICOS'!$B$4:$B$19,0)),"")</f>
        <v/>
      </c>
      <c r="L313" s="12">
        <f>IF($A313="","",DATE(VALUE(LEFT($A313,4)),1,4)-WEEKDAY(DATE(VALUE(LEFT($A313,4)),1,4),2)+1+(VALUE(MID($A313,7,2))-1)*7+MATCH($B313,lista_dias,0)-1)</f>
        <v/>
      </c>
      <c r="M313" s="3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3">
        <f>$A313&amp;"|"&amp;$B313&amp;"|"&amp;$C313</f>
        <v/>
      </c>
      <c r="O313" s="3">
        <f>IFERROR(INDEX('CAT_TURNOS'!$C$4:$C$7,MATCH($J313,'CAT_TURNOS'!$A$4:$A$7,0)),"")</f>
        <v/>
      </c>
      <c r="P313" s="3">
        <f>IFERROR(INDEX('CAT_TURNOS'!$D$4:$D$7,MATCH($J313,'CAT_TURNOS'!$A$4:$A$7,0)),"")</f>
        <v/>
      </c>
      <c r="Q313" s="3">
        <f>IF(AND(LEFT($G313,1)="T",$H313="no"),"sí","no")</f>
        <v/>
      </c>
    </row>
    <row r="314">
      <c r="A314" s="3" t="inlineStr">
        <is>
          <t>2026-S31</t>
        </is>
      </c>
      <c r="B314" s="3" t="inlineStr">
        <is>
          <t>miércoles</t>
        </is>
      </c>
      <c r="C314" s="3" t="inlineStr">
        <is>
          <t>Técnico 13</t>
        </is>
      </c>
      <c r="D314" s="3">
        <f>IFERROR(INDEX('TECNICOS'!$D$4:$D$19,MATCH($C314,'TECNICOS'!$B$4:$B$19,0)),"")</f>
        <v/>
      </c>
      <c r="E314" s="3">
        <f>IFERROR(INDEX('TECNICOS'!$C$4:$C$19,MATCH($C314,'TECNICOS'!$B$4:$B$19,0)),"")</f>
        <v/>
      </c>
      <c r="F314" s="3">
        <f>COUNTIFS('TECNICOS'!$F$4:$F$19,"SI",'TECNICOS'!$C$4:$C$19,$E314,'TECNICOS'!$D$4:$D$19,$D314)</f>
        <v/>
      </c>
      <c r="G314" s="3">
        <f>IF(OR($C314="",$A314="",$B314="domingo"),"",IF(IFERROR(INDEX('TECNICOS'!$F$4:$F$19,MATCH($C314,'TECNICOS'!$B$4:$B$19,0)),"NO")&lt;&gt;"SI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3">
        <f>IF(COUNTIFS('PLAN_VACACIONES'!$A$4:$A$103,$C314,'PLAN_VACACIONES'!$B$4:$B$103,"&lt;="&amp;$L314,'PLAN_VACACIONES'!$C$4:$C$103,"&gt;="&amp;$L314)&gt;0,"sí","no")</f>
        <v/>
      </c>
      <c r="I314" s="6" t="n"/>
      <c r="J314" s="3">
        <f>IF($I314&lt;&gt;"",$I314,IF($G314="","",IF($H314="sí","VAC",IF(LEFT($G314,1)="B","B",$G314))))</f>
        <v/>
      </c>
      <c r="K314" s="3">
        <f>IFERROR(INDEX('TECNICOS'!$E$4:$E$19,MATCH($C314,'TECNICOS'!$B$4:$B$19,0)),"")</f>
        <v/>
      </c>
      <c r="L314" s="12">
        <f>IF($A314="","",DATE(VALUE(LEFT($A314,4)),1,4)-WEEKDAY(DATE(VALUE(LEFT($A314,4)),1,4),2)+1+(VALUE(MID($A314,7,2))-1)*7+MATCH($B314,lista_dias,0)-1)</f>
        <v/>
      </c>
      <c r="M314" s="3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3">
        <f>$A314&amp;"|"&amp;$B314&amp;"|"&amp;$C314</f>
        <v/>
      </c>
      <c r="O314" s="3">
        <f>IFERROR(INDEX('CAT_TURNOS'!$C$4:$C$7,MATCH($J314,'CAT_TURNOS'!$A$4:$A$7,0)),"")</f>
        <v/>
      </c>
      <c r="P314" s="3">
        <f>IFERROR(INDEX('CAT_TURNOS'!$D$4:$D$7,MATCH($J314,'CAT_TURNOS'!$A$4:$A$7,0)),"")</f>
        <v/>
      </c>
      <c r="Q314" s="3">
        <f>IF(AND(LEFT($G314,1)="T",$H314="no"),"sí","no")</f>
        <v/>
      </c>
    </row>
    <row r="315">
      <c r="A315" s="3" t="inlineStr">
        <is>
          <t>2026-S31</t>
        </is>
      </c>
      <c r="B315" s="3" t="inlineStr">
        <is>
          <t>jueves</t>
        </is>
      </c>
      <c r="C315" s="3" t="inlineStr">
        <is>
          <t>Técnico 13</t>
        </is>
      </c>
      <c r="D315" s="3">
        <f>IFERROR(INDEX('TECNICOS'!$D$4:$D$19,MATCH($C315,'TECNICOS'!$B$4:$B$19,0)),"")</f>
        <v/>
      </c>
      <c r="E315" s="3">
        <f>IFERROR(INDEX('TECNICOS'!$C$4:$C$19,MATCH($C315,'TECNICOS'!$B$4:$B$19,0)),"")</f>
        <v/>
      </c>
      <c r="F315" s="3">
        <f>COUNTIFS('TECNICOS'!$F$4:$F$19,"SI",'TECNICOS'!$C$4:$C$19,$E315,'TECNICOS'!$D$4:$D$19,$D315)</f>
        <v/>
      </c>
      <c r="G315" s="3">
        <f>IF(OR($C315="",$A315="",$B315="domingo"),"",IF(IFERROR(INDEX('TECNICOS'!$F$4:$F$19,MATCH($C315,'TECNICOS'!$B$4:$B$19,0)),"NO")&lt;&gt;"SI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3">
        <f>IF(COUNTIFS('PLAN_VACACIONES'!$A$4:$A$103,$C315,'PLAN_VACACIONES'!$B$4:$B$103,"&lt;="&amp;$L315,'PLAN_VACACIONES'!$C$4:$C$103,"&gt;="&amp;$L315)&gt;0,"sí","no")</f>
        <v/>
      </c>
      <c r="I315" s="6" t="n"/>
      <c r="J315" s="3">
        <f>IF($I315&lt;&gt;"",$I315,IF($G315="","",IF($H315="sí","VAC",IF(LEFT($G315,1)="B","B",$G315))))</f>
        <v/>
      </c>
      <c r="K315" s="3">
        <f>IFERROR(INDEX('TECNICOS'!$E$4:$E$19,MATCH($C315,'TECNICOS'!$B$4:$B$19,0)),"")</f>
        <v/>
      </c>
      <c r="L315" s="12">
        <f>IF($A315="","",DATE(VALUE(LEFT($A315,4)),1,4)-WEEKDAY(DATE(VALUE(LEFT($A315,4)),1,4),2)+1+(VALUE(MID($A315,7,2))-1)*7+MATCH($B315,lista_dias,0)-1)</f>
        <v/>
      </c>
      <c r="M315" s="3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3">
        <f>$A315&amp;"|"&amp;$B315&amp;"|"&amp;$C315</f>
        <v/>
      </c>
      <c r="O315" s="3">
        <f>IFERROR(INDEX('CAT_TURNOS'!$C$4:$C$7,MATCH($J315,'CAT_TURNOS'!$A$4:$A$7,0)),"")</f>
        <v/>
      </c>
      <c r="P315" s="3">
        <f>IFERROR(INDEX('CAT_TURNOS'!$D$4:$D$7,MATCH($J315,'CAT_TURNOS'!$A$4:$A$7,0)),"")</f>
        <v/>
      </c>
      <c r="Q315" s="3">
        <f>IF(AND(LEFT($G315,1)="T",$H315="no"),"sí","no")</f>
        <v/>
      </c>
    </row>
    <row r="316">
      <c r="A316" s="3" t="inlineStr">
        <is>
          <t>2026-S31</t>
        </is>
      </c>
      <c r="B316" s="3" t="inlineStr">
        <is>
          <t>viernes</t>
        </is>
      </c>
      <c r="C316" s="3" t="inlineStr">
        <is>
          <t>Técnico 13</t>
        </is>
      </c>
      <c r="D316" s="3">
        <f>IFERROR(INDEX('TECNICOS'!$D$4:$D$19,MATCH($C316,'TECNICOS'!$B$4:$B$19,0)),"")</f>
        <v/>
      </c>
      <c r="E316" s="3">
        <f>IFERROR(INDEX('TECNICOS'!$C$4:$C$19,MATCH($C316,'TECNICOS'!$B$4:$B$19,0)),"")</f>
        <v/>
      </c>
      <c r="F316" s="3">
        <f>COUNTIFS('TECNICOS'!$F$4:$F$19,"SI",'TECNICOS'!$C$4:$C$19,$E316,'TECNICOS'!$D$4:$D$19,$D316)</f>
        <v/>
      </c>
      <c r="G316" s="3">
        <f>IF(OR($C316="",$A316="",$B316="domingo"),"",IF(IFERROR(INDEX('TECNICOS'!$F$4:$F$19,MATCH($C316,'TECNICOS'!$B$4:$B$19,0)),"NO")&lt;&gt;"SI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3">
        <f>IF(COUNTIFS('PLAN_VACACIONES'!$A$4:$A$103,$C316,'PLAN_VACACIONES'!$B$4:$B$103,"&lt;="&amp;$L316,'PLAN_VACACIONES'!$C$4:$C$103,"&gt;="&amp;$L316)&gt;0,"sí","no")</f>
        <v/>
      </c>
      <c r="I316" s="6" t="n"/>
      <c r="J316" s="3">
        <f>IF($I316&lt;&gt;"",$I316,IF($G316="","",IF($H316="sí","VAC",IF(LEFT($G316,1)="B","B",$G316))))</f>
        <v/>
      </c>
      <c r="K316" s="3">
        <f>IFERROR(INDEX('TECNICOS'!$E$4:$E$19,MATCH($C316,'TECNICOS'!$B$4:$B$19,0)),"")</f>
        <v/>
      </c>
      <c r="L316" s="12">
        <f>IF($A316="","",DATE(VALUE(LEFT($A316,4)),1,4)-WEEKDAY(DATE(VALUE(LEFT($A316,4)),1,4),2)+1+(VALUE(MID($A316,7,2))-1)*7+MATCH($B316,lista_dias,0)-1)</f>
        <v/>
      </c>
      <c r="M316" s="3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3">
        <f>$A316&amp;"|"&amp;$B316&amp;"|"&amp;$C316</f>
        <v/>
      </c>
      <c r="O316" s="3">
        <f>IFERROR(INDEX('CAT_TURNOS'!$C$4:$C$7,MATCH($J316,'CAT_TURNOS'!$A$4:$A$7,0)),"")</f>
        <v/>
      </c>
      <c r="P316" s="3">
        <f>IFERROR(INDEX('CAT_TURNOS'!$D$4:$D$7,MATCH($J316,'CAT_TURNOS'!$A$4:$A$7,0)),"")</f>
        <v/>
      </c>
      <c r="Q316" s="3">
        <f>IF(AND(LEFT($G316,1)="T",$H316="no"),"sí","no")</f>
        <v/>
      </c>
    </row>
    <row r="317">
      <c r="A317" s="3" t="inlineStr">
        <is>
          <t>2026-S31</t>
        </is>
      </c>
      <c r="B317" s="3" t="inlineStr">
        <is>
          <t>sábado</t>
        </is>
      </c>
      <c r="C317" s="3" t="inlineStr">
        <is>
          <t>Técnico 13</t>
        </is>
      </c>
      <c r="D317" s="3">
        <f>IFERROR(INDEX('TECNICOS'!$D$4:$D$19,MATCH($C317,'TECNICOS'!$B$4:$B$19,0)),"")</f>
        <v/>
      </c>
      <c r="E317" s="3">
        <f>IFERROR(INDEX('TECNICOS'!$C$4:$C$19,MATCH($C317,'TECNICOS'!$B$4:$B$19,0)),"")</f>
        <v/>
      </c>
      <c r="F317" s="3">
        <f>COUNTIFS('TECNICOS'!$F$4:$F$19,"SI",'TECNICOS'!$C$4:$C$19,$E317,'TECNICOS'!$D$4:$D$19,$D317)</f>
        <v/>
      </c>
      <c r="G317" s="3">
        <f>IF(OR($C317="",$A317="",$B317="domingo"),"",IF(IFERROR(INDEX('TECNICOS'!$F$4:$F$19,MATCH($C317,'TECNICOS'!$B$4:$B$19,0)),"NO")&lt;&gt;"SI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3">
        <f>IF(COUNTIFS('PLAN_VACACIONES'!$A$4:$A$103,$C317,'PLAN_VACACIONES'!$B$4:$B$103,"&lt;="&amp;$L317,'PLAN_VACACIONES'!$C$4:$C$103,"&gt;="&amp;$L317)&gt;0,"sí","no")</f>
        <v/>
      </c>
      <c r="I317" s="6" t="n"/>
      <c r="J317" s="3">
        <f>IF($I317&lt;&gt;"",$I317,IF($G317="","",IF($H317="sí","VAC",IF(LEFT($G317,1)="B","B",$G317))))</f>
        <v/>
      </c>
      <c r="K317" s="3">
        <f>IFERROR(INDEX('TECNICOS'!$E$4:$E$19,MATCH($C317,'TECNICOS'!$B$4:$B$19,0)),"")</f>
        <v/>
      </c>
      <c r="L317" s="12">
        <f>IF($A317="","",DATE(VALUE(LEFT($A317,4)),1,4)-WEEKDAY(DATE(VALUE(LEFT($A317,4)),1,4),2)+1+(VALUE(MID($A317,7,2))-1)*7+MATCH($B317,lista_dias,0)-1)</f>
        <v/>
      </c>
      <c r="M317" s="3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3">
        <f>$A317&amp;"|"&amp;$B317&amp;"|"&amp;$C317</f>
        <v/>
      </c>
      <c r="O317" s="3">
        <f>IFERROR(INDEX('CAT_TURNOS'!$C$4:$C$7,MATCH($J317,'CAT_TURNOS'!$A$4:$A$7,0)),"")</f>
        <v/>
      </c>
      <c r="P317" s="3">
        <f>IFERROR(INDEX('CAT_TURNOS'!$D$4:$D$7,MATCH($J317,'CAT_TURNOS'!$A$4:$A$7,0)),"")</f>
        <v/>
      </c>
      <c r="Q317" s="3">
        <f>IF(AND(LEFT($G317,1)="T",$H317="no"),"sí","no")</f>
        <v/>
      </c>
    </row>
    <row r="318">
      <c r="A318" s="3" t="inlineStr">
        <is>
          <t>2026-S31</t>
        </is>
      </c>
      <c r="B318" s="3" t="inlineStr">
        <is>
          <t>domingo</t>
        </is>
      </c>
      <c r="C318" s="3" t="inlineStr">
        <is>
          <t>Técnico 13</t>
        </is>
      </c>
      <c r="D318" s="3">
        <f>IFERROR(INDEX('TECNICOS'!$D$4:$D$19,MATCH($C318,'TECNICOS'!$B$4:$B$19,0)),"")</f>
        <v/>
      </c>
      <c r="E318" s="3">
        <f>IFERROR(INDEX('TECNICOS'!$C$4:$C$19,MATCH($C318,'TECNICOS'!$B$4:$B$19,0)),"")</f>
        <v/>
      </c>
      <c r="F318" s="3">
        <f>COUNTIFS('TECNICOS'!$F$4:$F$19,"SI",'TECNICOS'!$C$4:$C$19,$E318,'TECNICOS'!$D$4:$D$19,$D318)</f>
        <v/>
      </c>
      <c r="G318" s="3">
        <f>IF(OR($C318="",$A318="",$B318="domingo"),"",IF(IFERROR(INDEX('TECNICOS'!$F$4:$F$19,MATCH($C318,'TECNICOS'!$B$4:$B$19,0)),"NO")&lt;&gt;"SI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3">
        <f>IF(COUNTIFS('PLAN_VACACIONES'!$A$4:$A$103,$C318,'PLAN_VACACIONES'!$B$4:$B$103,"&lt;="&amp;$L318,'PLAN_VACACIONES'!$C$4:$C$103,"&gt;="&amp;$L318)&gt;0,"sí","no")</f>
        <v/>
      </c>
      <c r="I318" s="6" t="n"/>
      <c r="J318" s="3">
        <f>IF($I318&lt;&gt;"",$I318,IF($G318="","",IF($H318="sí","VAC",IF(LEFT($G318,1)="B","B",$G318))))</f>
        <v/>
      </c>
      <c r="K318" s="3">
        <f>IFERROR(INDEX('TECNICOS'!$E$4:$E$19,MATCH($C318,'TECNICOS'!$B$4:$B$19,0)),"")</f>
        <v/>
      </c>
      <c r="L318" s="12">
        <f>IF($A318="","",DATE(VALUE(LEFT($A318,4)),1,4)-WEEKDAY(DATE(VALUE(LEFT($A318,4)),1,4),2)+1+(VALUE(MID($A318,7,2))-1)*7+MATCH($B318,lista_dias,0)-1)</f>
        <v/>
      </c>
      <c r="M318" s="3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3">
        <f>$A318&amp;"|"&amp;$B318&amp;"|"&amp;$C318</f>
        <v/>
      </c>
      <c r="O318" s="3">
        <f>IFERROR(INDEX('CAT_TURNOS'!$C$4:$C$7,MATCH($J318,'CAT_TURNOS'!$A$4:$A$7,0)),"")</f>
        <v/>
      </c>
      <c r="P318" s="3">
        <f>IFERROR(INDEX('CAT_TURNOS'!$D$4:$D$7,MATCH($J318,'CAT_TURNOS'!$A$4:$A$7,0)),"")</f>
        <v/>
      </c>
      <c r="Q318" s="3">
        <f>IF(AND(LEFT($G318,1)="T",$H318="no"),"sí","no")</f>
        <v/>
      </c>
    </row>
    <row r="319">
      <c r="A319" s="3" t="inlineStr">
        <is>
          <t>2026-S31</t>
        </is>
      </c>
      <c r="B319" s="3" t="inlineStr">
        <is>
          <t>lunes</t>
        </is>
      </c>
      <c r="C319" s="3" t="inlineStr">
        <is>
          <t>Técnico 14</t>
        </is>
      </c>
      <c r="D319" s="3">
        <f>IFERROR(INDEX('TECNICOS'!$D$4:$D$19,MATCH($C319,'TECNICOS'!$B$4:$B$19,0)),"")</f>
        <v/>
      </c>
      <c r="E319" s="3">
        <f>IFERROR(INDEX('TECNICOS'!$C$4:$C$19,MATCH($C319,'TECNICOS'!$B$4:$B$19,0)),"")</f>
        <v/>
      </c>
      <c r="F319" s="3">
        <f>COUNTIFS('TECNICOS'!$F$4:$F$19,"SI",'TECNICOS'!$C$4:$C$19,$E319,'TECNICOS'!$D$4:$D$19,$D319)</f>
        <v/>
      </c>
      <c r="G319" s="3">
        <f>IF(OR($C319="",$A319="",$B319="domingo"),"",IF(IFERROR(INDEX('TECNICOS'!$F$4:$F$19,MATCH($C319,'TECNICOS'!$B$4:$B$19,0)),"NO")&lt;&gt;"SI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3">
        <f>IF(COUNTIFS('PLAN_VACACIONES'!$A$4:$A$103,$C319,'PLAN_VACACIONES'!$B$4:$B$103,"&lt;="&amp;$L319,'PLAN_VACACIONES'!$C$4:$C$103,"&gt;="&amp;$L319)&gt;0,"sí","no")</f>
        <v/>
      </c>
      <c r="I319" s="6" t="n"/>
      <c r="J319" s="3">
        <f>IF($I319&lt;&gt;"",$I319,IF($G319="","",IF($H319="sí","VAC",IF(LEFT($G319,1)="B","B",$G319))))</f>
        <v/>
      </c>
      <c r="K319" s="3">
        <f>IFERROR(INDEX('TECNICOS'!$E$4:$E$19,MATCH($C319,'TECNICOS'!$B$4:$B$19,0)),"")</f>
        <v/>
      </c>
      <c r="L319" s="12">
        <f>IF($A319="","",DATE(VALUE(LEFT($A319,4)),1,4)-WEEKDAY(DATE(VALUE(LEFT($A319,4)),1,4),2)+1+(VALUE(MID($A319,7,2))-1)*7+MATCH($B319,lista_dias,0)-1)</f>
        <v/>
      </c>
      <c r="M319" s="3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3">
        <f>$A319&amp;"|"&amp;$B319&amp;"|"&amp;$C319</f>
        <v/>
      </c>
      <c r="O319" s="3">
        <f>IFERROR(INDEX('CAT_TURNOS'!$C$4:$C$7,MATCH($J319,'CAT_TURNOS'!$A$4:$A$7,0)),"")</f>
        <v/>
      </c>
      <c r="P319" s="3">
        <f>IFERROR(INDEX('CAT_TURNOS'!$D$4:$D$7,MATCH($J319,'CAT_TURNOS'!$A$4:$A$7,0)),"")</f>
        <v/>
      </c>
      <c r="Q319" s="3">
        <f>IF(AND(LEFT($G319,1)="T",$H319="no"),"sí","no")</f>
        <v/>
      </c>
    </row>
    <row r="320">
      <c r="A320" s="3" t="inlineStr">
        <is>
          <t>2026-S31</t>
        </is>
      </c>
      <c r="B320" s="3" t="inlineStr">
        <is>
          <t>martes</t>
        </is>
      </c>
      <c r="C320" s="3" t="inlineStr">
        <is>
          <t>Técnico 14</t>
        </is>
      </c>
      <c r="D320" s="3">
        <f>IFERROR(INDEX('TECNICOS'!$D$4:$D$19,MATCH($C320,'TECNICOS'!$B$4:$B$19,0)),"")</f>
        <v/>
      </c>
      <c r="E320" s="3">
        <f>IFERROR(INDEX('TECNICOS'!$C$4:$C$19,MATCH($C320,'TECNICOS'!$B$4:$B$19,0)),"")</f>
        <v/>
      </c>
      <c r="F320" s="3">
        <f>COUNTIFS('TECNICOS'!$F$4:$F$19,"SI",'TECNICOS'!$C$4:$C$19,$E320,'TECNICOS'!$D$4:$D$19,$D320)</f>
        <v/>
      </c>
      <c r="G320" s="3">
        <f>IF(OR($C320="",$A320="",$B320="domingo"),"",IF(IFERROR(INDEX('TECNICOS'!$F$4:$F$19,MATCH($C320,'TECNICOS'!$B$4:$B$19,0)),"NO")&lt;&gt;"SI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3">
        <f>IF(COUNTIFS('PLAN_VACACIONES'!$A$4:$A$103,$C320,'PLAN_VACACIONES'!$B$4:$B$103,"&lt;="&amp;$L320,'PLAN_VACACIONES'!$C$4:$C$103,"&gt;="&amp;$L320)&gt;0,"sí","no")</f>
        <v/>
      </c>
      <c r="I320" s="6" t="n"/>
      <c r="J320" s="3">
        <f>IF($I320&lt;&gt;"",$I320,IF($G320="","",IF($H320="sí","VAC",IF(LEFT($G320,1)="B","B",$G320))))</f>
        <v/>
      </c>
      <c r="K320" s="3">
        <f>IFERROR(INDEX('TECNICOS'!$E$4:$E$19,MATCH($C320,'TECNICOS'!$B$4:$B$19,0)),"")</f>
        <v/>
      </c>
      <c r="L320" s="12">
        <f>IF($A320="","",DATE(VALUE(LEFT($A320,4)),1,4)-WEEKDAY(DATE(VALUE(LEFT($A320,4)),1,4),2)+1+(VALUE(MID($A320,7,2))-1)*7+MATCH($B320,lista_dias,0)-1)</f>
        <v/>
      </c>
      <c r="M320" s="3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3">
        <f>$A320&amp;"|"&amp;$B320&amp;"|"&amp;$C320</f>
        <v/>
      </c>
      <c r="O320" s="3">
        <f>IFERROR(INDEX('CAT_TURNOS'!$C$4:$C$7,MATCH($J320,'CAT_TURNOS'!$A$4:$A$7,0)),"")</f>
        <v/>
      </c>
      <c r="P320" s="3">
        <f>IFERROR(INDEX('CAT_TURNOS'!$D$4:$D$7,MATCH($J320,'CAT_TURNOS'!$A$4:$A$7,0)),"")</f>
        <v/>
      </c>
      <c r="Q320" s="3">
        <f>IF(AND(LEFT($G320,1)="T",$H320="no"),"sí","no")</f>
        <v/>
      </c>
    </row>
    <row r="321">
      <c r="A321" s="3" t="inlineStr">
        <is>
          <t>2026-S31</t>
        </is>
      </c>
      <c r="B321" s="3" t="inlineStr">
        <is>
          <t>miércoles</t>
        </is>
      </c>
      <c r="C321" s="3" t="inlineStr">
        <is>
          <t>Técnico 14</t>
        </is>
      </c>
      <c r="D321" s="3">
        <f>IFERROR(INDEX('TECNICOS'!$D$4:$D$19,MATCH($C321,'TECNICOS'!$B$4:$B$19,0)),"")</f>
        <v/>
      </c>
      <c r="E321" s="3">
        <f>IFERROR(INDEX('TECNICOS'!$C$4:$C$19,MATCH($C321,'TECNICOS'!$B$4:$B$19,0)),"")</f>
        <v/>
      </c>
      <c r="F321" s="3">
        <f>COUNTIFS('TECNICOS'!$F$4:$F$19,"SI",'TECNICOS'!$C$4:$C$19,$E321,'TECNICOS'!$D$4:$D$19,$D321)</f>
        <v/>
      </c>
      <c r="G321" s="3">
        <f>IF(OR($C321="",$A321="",$B321="domingo"),"",IF(IFERROR(INDEX('TECNICOS'!$F$4:$F$19,MATCH($C321,'TECNICOS'!$B$4:$B$19,0)),"NO")&lt;&gt;"SI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3">
        <f>IF(COUNTIFS('PLAN_VACACIONES'!$A$4:$A$103,$C321,'PLAN_VACACIONES'!$B$4:$B$103,"&lt;="&amp;$L321,'PLAN_VACACIONES'!$C$4:$C$103,"&gt;="&amp;$L321)&gt;0,"sí","no")</f>
        <v/>
      </c>
      <c r="I321" s="6" t="n"/>
      <c r="J321" s="3">
        <f>IF($I321&lt;&gt;"",$I321,IF($G321="","",IF($H321="sí","VAC",IF(LEFT($G321,1)="B","B",$G321))))</f>
        <v/>
      </c>
      <c r="K321" s="3">
        <f>IFERROR(INDEX('TECNICOS'!$E$4:$E$19,MATCH($C321,'TECNICOS'!$B$4:$B$19,0)),"")</f>
        <v/>
      </c>
      <c r="L321" s="12">
        <f>IF($A321="","",DATE(VALUE(LEFT($A321,4)),1,4)-WEEKDAY(DATE(VALUE(LEFT($A321,4)),1,4),2)+1+(VALUE(MID($A321,7,2))-1)*7+MATCH($B321,lista_dias,0)-1)</f>
        <v/>
      </c>
      <c r="M321" s="3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3">
        <f>$A321&amp;"|"&amp;$B321&amp;"|"&amp;$C321</f>
        <v/>
      </c>
      <c r="O321" s="3">
        <f>IFERROR(INDEX('CAT_TURNOS'!$C$4:$C$7,MATCH($J321,'CAT_TURNOS'!$A$4:$A$7,0)),"")</f>
        <v/>
      </c>
      <c r="P321" s="3">
        <f>IFERROR(INDEX('CAT_TURNOS'!$D$4:$D$7,MATCH($J321,'CAT_TURNOS'!$A$4:$A$7,0)),"")</f>
        <v/>
      </c>
      <c r="Q321" s="3">
        <f>IF(AND(LEFT($G321,1)="T",$H321="no"),"sí","no")</f>
        <v/>
      </c>
    </row>
    <row r="322">
      <c r="A322" s="3" t="inlineStr">
        <is>
          <t>2026-S31</t>
        </is>
      </c>
      <c r="B322" s="3" t="inlineStr">
        <is>
          <t>jueves</t>
        </is>
      </c>
      <c r="C322" s="3" t="inlineStr">
        <is>
          <t>Técnico 14</t>
        </is>
      </c>
      <c r="D322" s="3">
        <f>IFERROR(INDEX('TECNICOS'!$D$4:$D$19,MATCH($C322,'TECNICOS'!$B$4:$B$19,0)),"")</f>
        <v/>
      </c>
      <c r="E322" s="3">
        <f>IFERROR(INDEX('TECNICOS'!$C$4:$C$19,MATCH($C322,'TECNICOS'!$B$4:$B$19,0)),"")</f>
        <v/>
      </c>
      <c r="F322" s="3">
        <f>COUNTIFS('TECNICOS'!$F$4:$F$19,"SI",'TECNICOS'!$C$4:$C$19,$E322,'TECNICOS'!$D$4:$D$19,$D322)</f>
        <v/>
      </c>
      <c r="G322" s="3">
        <f>IF(OR($C322="",$A322="",$B322="domingo"),"",IF(IFERROR(INDEX('TECNICOS'!$F$4:$F$19,MATCH($C322,'TECNICOS'!$B$4:$B$19,0)),"NO")&lt;&gt;"SI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3">
        <f>IF(COUNTIFS('PLAN_VACACIONES'!$A$4:$A$103,$C322,'PLAN_VACACIONES'!$B$4:$B$103,"&lt;="&amp;$L322,'PLAN_VACACIONES'!$C$4:$C$103,"&gt;="&amp;$L322)&gt;0,"sí","no")</f>
        <v/>
      </c>
      <c r="I322" s="6" t="n"/>
      <c r="J322" s="3">
        <f>IF($I322&lt;&gt;"",$I322,IF($G322="","",IF($H322="sí","VAC",IF(LEFT($G322,1)="B","B",$G322))))</f>
        <v/>
      </c>
      <c r="K322" s="3">
        <f>IFERROR(INDEX('TECNICOS'!$E$4:$E$19,MATCH($C322,'TECNICOS'!$B$4:$B$19,0)),"")</f>
        <v/>
      </c>
      <c r="L322" s="12">
        <f>IF($A322="","",DATE(VALUE(LEFT($A322,4)),1,4)-WEEKDAY(DATE(VALUE(LEFT($A322,4)),1,4),2)+1+(VALUE(MID($A322,7,2))-1)*7+MATCH($B322,lista_dias,0)-1)</f>
        <v/>
      </c>
      <c r="M322" s="3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3">
        <f>$A322&amp;"|"&amp;$B322&amp;"|"&amp;$C322</f>
        <v/>
      </c>
      <c r="O322" s="3">
        <f>IFERROR(INDEX('CAT_TURNOS'!$C$4:$C$7,MATCH($J322,'CAT_TURNOS'!$A$4:$A$7,0)),"")</f>
        <v/>
      </c>
      <c r="P322" s="3">
        <f>IFERROR(INDEX('CAT_TURNOS'!$D$4:$D$7,MATCH($J322,'CAT_TURNOS'!$A$4:$A$7,0)),"")</f>
        <v/>
      </c>
      <c r="Q322" s="3">
        <f>IF(AND(LEFT($G322,1)="T",$H322="no"),"sí","no")</f>
        <v/>
      </c>
    </row>
    <row r="323">
      <c r="A323" s="3" t="inlineStr">
        <is>
          <t>2026-S31</t>
        </is>
      </c>
      <c r="B323" s="3" t="inlineStr">
        <is>
          <t>viernes</t>
        </is>
      </c>
      <c r="C323" s="3" t="inlineStr">
        <is>
          <t>Técnico 14</t>
        </is>
      </c>
      <c r="D323" s="3">
        <f>IFERROR(INDEX('TECNICOS'!$D$4:$D$19,MATCH($C323,'TECNICOS'!$B$4:$B$19,0)),"")</f>
        <v/>
      </c>
      <c r="E323" s="3">
        <f>IFERROR(INDEX('TECNICOS'!$C$4:$C$19,MATCH($C323,'TECNICOS'!$B$4:$B$19,0)),"")</f>
        <v/>
      </c>
      <c r="F323" s="3">
        <f>COUNTIFS('TECNICOS'!$F$4:$F$19,"SI",'TECNICOS'!$C$4:$C$19,$E323,'TECNICOS'!$D$4:$D$19,$D323)</f>
        <v/>
      </c>
      <c r="G323" s="3">
        <f>IF(OR($C323="",$A323="",$B323="domingo"),"",IF(IFERROR(INDEX('TECNICOS'!$F$4:$F$19,MATCH($C323,'TECNICOS'!$B$4:$B$19,0)),"NO")&lt;&gt;"SI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3">
        <f>IF(COUNTIFS('PLAN_VACACIONES'!$A$4:$A$103,$C323,'PLAN_VACACIONES'!$B$4:$B$103,"&lt;="&amp;$L323,'PLAN_VACACIONES'!$C$4:$C$103,"&gt;="&amp;$L323)&gt;0,"sí","no")</f>
        <v/>
      </c>
      <c r="I323" s="6" t="n"/>
      <c r="J323" s="3">
        <f>IF($I323&lt;&gt;"",$I323,IF($G323="","",IF($H323="sí","VAC",IF(LEFT($G323,1)="B","B",$G323))))</f>
        <v/>
      </c>
      <c r="K323" s="3">
        <f>IFERROR(INDEX('TECNICOS'!$E$4:$E$19,MATCH($C323,'TECNICOS'!$B$4:$B$19,0)),"")</f>
        <v/>
      </c>
      <c r="L323" s="12">
        <f>IF($A323="","",DATE(VALUE(LEFT($A323,4)),1,4)-WEEKDAY(DATE(VALUE(LEFT($A323,4)),1,4),2)+1+(VALUE(MID($A323,7,2))-1)*7+MATCH($B323,lista_dias,0)-1)</f>
        <v/>
      </c>
      <c r="M323" s="3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3">
        <f>$A323&amp;"|"&amp;$B323&amp;"|"&amp;$C323</f>
        <v/>
      </c>
      <c r="O323" s="3">
        <f>IFERROR(INDEX('CAT_TURNOS'!$C$4:$C$7,MATCH($J323,'CAT_TURNOS'!$A$4:$A$7,0)),"")</f>
        <v/>
      </c>
      <c r="P323" s="3">
        <f>IFERROR(INDEX('CAT_TURNOS'!$D$4:$D$7,MATCH($J323,'CAT_TURNOS'!$A$4:$A$7,0)),"")</f>
        <v/>
      </c>
      <c r="Q323" s="3">
        <f>IF(AND(LEFT($G323,1)="T",$H323="no"),"sí","no")</f>
        <v/>
      </c>
    </row>
    <row r="324">
      <c r="A324" s="3" t="inlineStr">
        <is>
          <t>2026-S31</t>
        </is>
      </c>
      <c r="B324" s="3" t="inlineStr">
        <is>
          <t>sábado</t>
        </is>
      </c>
      <c r="C324" s="3" t="inlineStr">
        <is>
          <t>Técnico 14</t>
        </is>
      </c>
      <c r="D324" s="3">
        <f>IFERROR(INDEX('TECNICOS'!$D$4:$D$19,MATCH($C324,'TECNICOS'!$B$4:$B$19,0)),"")</f>
        <v/>
      </c>
      <c r="E324" s="3">
        <f>IFERROR(INDEX('TECNICOS'!$C$4:$C$19,MATCH($C324,'TECNICOS'!$B$4:$B$19,0)),"")</f>
        <v/>
      </c>
      <c r="F324" s="3">
        <f>COUNTIFS('TECNICOS'!$F$4:$F$19,"SI",'TECNICOS'!$C$4:$C$19,$E324,'TECNICOS'!$D$4:$D$19,$D324)</f>
        <v/>
      </c>
      <c r="G324" s="3">
        <f>IF(OR($C324="",$A324="",$B324="domingo"),"",IF(IFERROR(INDEX('TECNICOS'!$F$4:$F$19,MATCH($C324,'TECNICOS'!$B$4:$B$19,0)),"NO")&lt;&gt;"SI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3">
        <f>IF(COUNTIFS('PLAN_VACACIONES'!$A$4:$A$103,$C324,'PLAN_VACACIONES'!$B$4:$B$103,"&lt;="&amp;$L324,'PLAN_VACACIONES'!$C$4:$C$103,"&gt;="&amp;$L324)&gt;0,"sí","no")</f>
        <v/>
      </c>
      <c r="I324" s="6" t="n"/>
      <c r="J324" s="3">
        <f>IF($I324&lt;&gt;"",$I324,IF($G324="","",IF($H324="sí","VAC",IF(LEFT($G324,1)="B","B",$G324))))</f>
        <v/>
      </c>
      <c r="K324" s="3">
        <f>IFERROR(INDEX('TECNICOS'!$E$4:$E$19,MATCH($C324,'TECNICOS'!$B$4:$B$19,0)),"")</f>
        <v/>
      </c>
      <c r="L324" s="12">
        <f>IF($A324="","",DATE(VALUE(LEFT($A324,4)),1,4)-WEEKDAY(DATE(VALUE(LEFT($A324,4)),1,4),2)+1+(VALUE(MID($A324,7,2))-1)*7+MATCH($B324,lista_dias,0)-1)</f>
        <v/>
      </c>
      <c r="M324" s="3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3">
        <f>$A324&amp;"|"&amp;$B324&amp;"|"&amp;$C324</f>
        <v/>
      </c>
      <c r="O324" s="3">
        <f>IFERROR(INDEX('CAT_TURNOS'!$C$4:$C$7,MATCH($J324,'CAT_TURNOS'!$A$4:$A$7,0)),"")</f>
        <v/>
      </c>
      <c r="P324" s="3">
        <f>IFERROR(INDEX('CAT_TURNOS'!$D$4:$D$7,MATCH($J324,'CAT_TURNOS'!$A$4:$A$7,0)),"")</f>
        <v/>
      </c>
      <c r="Q324" s="3">
        <f>IF(AND(LEFT($G324,1)="T",$H324="no"),"sí","no")</f>
        <v/>
      </c>
    </row>
    <row r="325">
      <c r="A325" s="3" t="inlineStr">
        <is>
          <t>2026-S31</t>
        </is>
      </c>
      <c r="B325" s="3" t="inlineStr">
        <is>
          <t>domingo</t>
        </is>
      </c>
      <c r="C325" s="3" t="inlineStr">
        <is>
          <t>Técnico 14</t>
        </is>
      </c>
      <c r="D325" s="3">
        <f>IFERROR(INDEX('TECNICOS'!$D$4:$D$19,MATCH($C325,'TECNICOS'!$B$4:$B$19,0)),"")</f>
        <v/>
      </c>
      <c r="E325" s="3">
        <f>IFERROR(INDEX('TECNICOS'!$C$4:$C$19,MATCH($C325,'TECNICOS'!$B$4:$B$19,0)),"")</f>
        <v/>
      </c>
      <c r="F325" s="3">
        <f>COUNTIFS('TECNICOS'!$F$4:$F$19,"SI",'TECNICOS'!$C$4:$C$19,$E325,'TECNICOS'!$D$4:$D$19,$D325)</f>
        <v/>
      </c>
      <c r="G325" s="3">
        <f>IF(OR($C325="",$A325="",$B325="domingo"),"",IF(IFERROR(INDEX('TECNICOS'!$F$4:$F$19,MATCH($C325,'TECNICOS'!$B$4:$B$19,0)),"NO")&lt;&gt;"SI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3">
        <f>IF(COUNTIFS('PLAN_VACACIONES'!$A$4:$A$103,$C325,'PLAN_VACACIONES'!$B$4:$B$103,"&lt;="&amp;$L325,'PLAN_VACACIONES'!$C$4:$C$103,"&gt;="&amp;$L325)&gt;0,"sí","no")</f>
        <v/>
      </c>
      <c r="I325" s="6" t="n"/>
      <c r="J325" s="3">
        <f>IF($I325&lt;&gt;"",$I325,IF($G325="","",IF($H325="sí","VAC",IF(LEFT($G325,1)="B","B",$G325))))</f>
        <v/>
      </c>
      <c r="K325" s="3">
        <f>IFERROR(INDEX('TECNICOS'!$E$4:$E$19,MATCH($C325,'TECNICOS'!$B$4:$B$19,0)),"")</f>
        <v/>
      </c>
      <c r="L325" s="12">
        <f>IF($A325="","",DATE(VALUE(LEFT($A325,4)),1,4)-WEEKDAY(DATE(VALUE(LEFT($A325,4)),1,4),2)+1+(VALUE(MID($A325,7,2))-1)*7+MATCH($B325,lista_dias,0)-1)</f>
        <v/>
      </c>
      <c r="M325" s="3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3">
        <f>$A325&amp;"|"&amp;$B325&amp;"|"&amp;$C325</f>
        <v/>
      </c>
      <c r="O325" s="3">
        <f>IFERROR(INDEX('CAT_TURNOS'!$C$4:$C$7,MATCH($J325,'CAT_TURNOS'!$A$4:$A$7,0)),"")</f>
        <v/>
      </c>
      <c r="P325" s="3">
        <f>IFERROR(INDEX('CAT_TURNOS'!$D$4:$D$7,MATCH($J325,'CAT_TURNOS'!$A$4:$A$7,0)),"")</f>
        <v/>
      </c>
      <c r="Q325" s="3">
        <f>IF(AND(LEFT($G325,1)="T",$H325="no"),"sí","no")</f>
        <v/>
      </c>
    </row>
    <row r="326">
      <c r="A326" s="3" t="inlineStr">
        <is>
          <t>2026-S31</t>
        </is>
      </c>
      <c r="B326" s="3" t="inlineStr">
        <is>
          <t>lunes</t>
        </is>
      </c>
      <c r="C326" s="3" t="inlineStr">
        <is>
          <t>Técnico 15</t>
        </is>
      </c>
      <c r="D326" s="3">
        <f>IFERROR(INDEX('TECNICOS'!$D$4:$D$19,MATCH($C326,'TECNICOS'!$B$4:$B$19,0)),"")</f>
        <v/>
      </c>
      <c r="E326" s="3">
        <f>IFERROR(INDEX('TECNICOS'!$C$4:$C$19,MATCH($C326,'TECNICOS'!$B$4:$B$19,0)),"")</f>
        <v/>
      </c>
      <c r="F326" s="3">
        <f>COUNTIFS('TECNICOS'!$F$4:$F$19,"SI",'TECNICOS'!$C$4:$C$19,$E326,'TECNICOS'!$D$4:$D$19,$D326)</f>
        <v/>
      </c>
      <c r="G326" s="3">
        <f>IF(OR($C326="",$A326="",$B326="domingo"),"",IF(IFERROR(INDEX('TECNICOS'!$F$4:$F$19,MATCH($C326,'TECNICOS'!$B$4:$B$19,0)),"NO")&lt;&gt;"SI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3">
        <f>IF(COUNTIFS('PLAN_VACACIONES'!$A$4:$A$103,$C326,'PLAN_VACACIONES'!$B$4:$B$103,"&lt;="&amp;$L326,'PLAN_VACACIONES'!$C$4:$C$103,"&gt;="&amp;$L326)&gt;0,"sí","no")</f>
        <v/>
      </c>
      <c r="I326" s="6" t="n"/>
      <c r="J326" s="3">
        <f>IF($I326&lt;&gt;"",$I326,IF($G326="","",IF($H326="sí","VAC",IF(LEFT($G326,1)="B","B",$G326))))</f>
        <v/>
      </c>
      <c r="K326" s="3">
        <f>IFERROR(INDEX('TECNICOS'!$E$4:$E$19,MATCH($C326,'TECNICOS'!$B$4:$B$19,0)),"")</f>
        <v/>
      </c>
      <c r="L326" s="12">
        <f>IF($A326="","",DATE(VALUE(LEFT($A326,4)),1,4)-WEEKDAY(DATE(VALUE(LEFT($A326,4)),1,4),2)+1+(VALUE(MID($A326,7,2))-1)*7+MATCH($B326,lista_dias,0)-1)</f>
        <v/>
      </c>
      <c r="M326" s="3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3">
        <f>$A326&amp;"|"&amp;$B326&amp;"|"&amp;$C326</f>
        <v/>
      </c>
      <c r="O326" s="3">
        <f>IFERROR(INDEX('CAT_TURNOS'!$C$4:$C$7,MATCH($J326,'CAT_TURNOS'!$A$4:$A$7,0)),"")</f>
        <v/>
      </c>
      <c r="P326" s="3">
        <f>IFERROR(INDEX('CAT_TURNOS'!$D$4:$D$7,MATCH($J326,'CAT_TURNOS'!$A$4:$A$7,0)),"")</f>
        <v/>
      </c>
      <c r="Q326" s="3">
        <f>IF(AND(LEFT($G326,1)="T",$H326="no"),"sí","no")</f>
        <v/>
      </c>
    </row>
    <row r="327">
      <c r="A327" s="3" t="inlineStr">
        <is>
          <t>2026-S31</t>
        </is>
      </c>
      <c r="B327" s="3" t="inlineStr">
        <is>
          <t>martes</t>
        </is>
      </c>
      <c r="C327" s="3" t="inlineStr">
        <is>
          <t>Técnico 15</t>
        </is>
      </c>
      <c r="D327" s="3">
        <f>IFERROR(INDEX('TECNICOS'!$D$4:$D$19,MATCH($C327,'TECNICOS'!$B$4:$B$19,0)),"")</f>
        <v/>
      </c>
      <c r="E327" s="3">
        <f>IFERROR(INDEX('TECNICOS'!$C$4:$C$19,MATCH($C327,'TECNICOS'!$B$4:$B$19,0)),"")</f>
        <v/>
      </c>
      <c r="F327" s="3">
        <f>COUNTIFS('TECNICOS'!$F$4:$F$19,"SI",'TECNICOS'!$C$4:$C$19,$E327,'TECNICOS'!$D$4:$D$19,$D327)</f>
        <v/>
      </c>
      <c r="G327" s="3">
        <f>IF(OR($C327="",$A327="",$B327="domingo"),"",IF(IFERROR(INDEX('TECNICOS'!$F$4:$F$19,MATCH($C327,'TECNICOS'!$B$4:$B$19,0)),"NO")&lt;&gt;"SI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3">
        <f>IF(COUNTIFS('PLAN_VACACIONES'!$A$4:$A$103,$C327,'PLAN_VACACIONES'!$B$4:$B$103,"&lt;="&amp;$L327,'PLAN_VACACIONES'!$C$4:$C$103,"&gt;="&amp;$L327)&gt;0,"sí","no")</f>
        <v/>
      </c>
      <c r="I327" s="6" t="n"/>
      <c r="J327" s="3">
        <f>IF($I327&lt;&gt;"",$I327,IF($G327="","",IF($H327="sí","VAC",IF(LEFT($G327,1)="B","B",$G327))))</f>
        <v/>
      </c>
      <c r="K327" s="3">
        <f>IFERROR(INDEX('TECNICOS'!$E$4:$E$19,MATCH($C327,'TECNICOS'!$B$4:$B$19,0)),"")</f>
        <v/>
      </c>
      <c r="L327" s="12">
        <f>IF($A327="","",DATE(VALUE(LEFT($A327,4)),1,4)-WEEKDAY(DATE(VALUE(LEFT($A327,4)),1,4),2)+1+(VALUE(MID($A327,7,2))-1)*7+MATCH($B327,lista_dias,0)-1)</f>
        <v/>
      </c>
      <c r="M327" s="3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3">
        <f>$A327&amp;"|"&amp;$B327&amp;"|"&amp;$C327</f>
        <v/>
      </c>
      <c r="O327" s="3">
        <f>IFERROR(INDEX('CAT_TURNOS'!$C$4:$C$7,MATCH($J327,'CAT_TURNOS'!$A$4:$A$7,0)),"")</f>
        <v/>
      </c>
      <c r="P327" s="3">
        <f>IFERROR(INDEX('CAT_TURNOS'!$D$4:$D$7,MATCH($J327,'CAT_TURNOS'!$A$4:$A$7,0)),"")</f>
        <v/>
      </c>
      <c r="Q327" s="3">
        <f>IF(AND(LEFT($G327,1)="T",$H327="no"),"sí","no")</f>
        <v/>
      </c>
    </row>
    <row r="328">
      <c r="A328" s="3" t="inlineStr">
        <is>
          <t>2026-S31</t>
        </is>
      </c>
      <c r="B328" s="3" t="inlineStr">
        <is>
          <t>miércoles</t>
        </is>
      </c>
      <c r="C328" s="3" t="inlineStr">
        <is>
          <t>Técnico 15</t>
        </is>
      </c>
      <c r="D328" s="3">
        <f>IFERROR(INDEX('TECNICOS'!$D$4:$D$19,MATCH($C328,'TECNICOS'!$B$4:$B$19,0)),"")</f>
        <v/>
      </c>
      <c r="E328" s="3">
        <f>IFERROR(INDEX('TECNICOS'!$C$4:$C$19,MATCH($C328,'TECNICOS'!$B$4:$B$19,0)),"")</f>
        <v/>
      </c>
      <c r="F328" s="3">
        <f>COUNTIFS('TECNICOS'!$F$4:$F$19,"SI",'TECNICOS'!$C$4:$C$19,$E328,'TECNICOS'!$D$4:$D$19,$D328)</f>
        <v/>
      </c>
      <c r="G328" s="3">
        <f>IF(OR($C328="",$A328="",$B328="domingo"),"",IF(IFERROR(INDEX('TECNICOS'!$F$4:$F$19,MATCH($C328,'TECNICOS'!$B$4:$B$19,0)),"NO")&lt;&gt;"SI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3">
        <f>IF(COUNTIFS('PLAN_VACACIONES'!$A$4:$A$103,$C328,'PLAN_VACACIONES'!$B$4:$B$103,"&lt;="&amp;$L328,'PLAN_VACACIONES'!$C$4:$C$103,"&gt;="&amp;$L328)&gt;0,"sí","no")</f>
        <v/>
      </c>
      <c r="I328" s="6" t="n"/>
      <c r="J328" s="3">
        <f>IF($I328&lt;&gt;"",$I328,IF($G328="","",IF($H328="sí","VAC",IF(LEFT($G328,1)="B","B",$G328))))</f>
        <v/>
      </c>
      <c r="K328" s="3">
        <f>IFERROR(INDEX('TECNICOS'!$E$4:$E$19,MATCH($C328,'TECNICOS'!$B$4:$B$19,0)),"")</f>
        <v/>
      </c>
      <c r="L328" s="12">
        <f>IF($A328="","",DATE(VALUE(LEFT($A328,4)),1,4)-WEEKDAY(DATE(VALUE(LEFT($A328,4)),1,4),2)+1+(VALUE(MID($A328,7,2))-1)*7+MATCH($B328,lista_dias,0)-1)</f>
        <v/>
      </c>
      <c r="M328" s="3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3">
        <f>$A328&amp;"|"&amp;$B328&amp;"|"&amp;$C328</f>
        <v/>
      </c>
      <c r="O328" s="3">
        <f>IFERROR(INDEX('CAT_TURNOS'!$C$4:$C$7,MATCH($J328,'CAT_TURNOS'!$A$4:$A$7,0)),"")</f>
        <v/>
      </c>
      <c r="P328" s="3">
        <f>IFERROR(INDEX('CAT_TURNOS'!$D$4:$D$7,MATCH($J328,'CAT_TURNOS'!$A$4:$A$7,0)),"")</f>
        <v/>
      </c>
      <c r="Q328" s="3">
        <f>IF(AND(LEFT($G328,1)="T",$H328="no"),"sí","no")</f>
        <v/>
      </c>
    </row>
    <row r="329">
      <c r="A329" s="3" t="inlineStr">
        <is>
          <t>2026-S31</t>
        </is>
      </c>
      <c r="B329" s="3" t="inlineStr">
        <is>
          <t>jueves</t>
        </is>
      </c>
      <c r="C329" s="3" t="inlineStr">
        <is>
          <t>Técnico 15</t>
        </is>
      </c>
      <c r="D329" s="3">
        <f>IFERROR(INDEX('TECNICOS'!$D$4:$D$19,MATCH($C329,'TECNICOS'!$B$4:$B$19,0)),"")</f>
        <v/>
      </c>
      <c r="E329" s="3">
        <f>IFERROR(INDEX('TECNICOS'!$C$4:$C$19,MATCH($C329,'TECNICOS'!$B$4:$B$19,0)),"")</f>
        <v/>
      </c>
      <c r="F329" s="3">
        <f>COUNTIFS('TECNICOS'!$F$4:$F$19,"SI",'TECNICOS'!$C$4:$C$19,$E329,'TECNICOS'!$D$4:$D$19,$D329)</f>
        <v/>
      </c>
      <c r="G329" s="3">
        <f>IF(OR($C329="",$A329="",$B329="domingo"),"",IF(IFERROR(INDEX('TECNICOS'!$F$4:$F$19,MATCH($C329,'TECNICOS'!$B$4:$B$19,0)),"NO")&lt;&gt;"SI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3">
        <f>IF(COUNTIFS('PLAN_VACACIONES'!$A$4:$A$103,$C329,'PLAN_VACACIONES'!$B$4:$B$103,"&lt;="&amp;$L329,'PLAN_VACACIONES'!$C$4:$C$103,"&gt;="&amp;$L329)&gt;0,"sí","no")</f>
        <v/>
      </c>
      <c r="I329" s="6" t="n"/>
      <c r="J329" s="3">
        <f>IF($I329&lt;&gt;"",$I329,IF($G329="","",IF($H329="sí","VAC",IF(LEFT($G329,1)="B","B",$G329))))</f>
        <v/>
      </c>
      <c r="K329" s="3">
        <f>IFERROR(INDEX('TECNICOS'!$E$4:$E$19,MATCH($C329,'TECNICOS'!$B$4:$B$19,0)),"")</f>
        <v/>
      </c>
      <c r="L329" s="12">
        <f>IF($A329="","",DATE(VALUE(LEFT($A329,4)),1,4)-WEEKDAY(DATE(VALUE(LEFT($A329,4)),1,4),2)+1+(VALUE(MID($A329,7,2))-1)*7+MATCH($B329,lista_dias,0)-1)</f>
        <v/>
      </c>
      <c r="M329" s="3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3">
        <f>$A329&amp;"|"&amp;$B329&amp;"|"&amp;$C329</f>
        <v/>
      </c>
      <c r="O329" s="3">
        <f>IFERROR(INDEX('CAT_TURNOS'!$C$4:$C$7,MATCH($J329,'CAT_TURNOS'!$A$4:$A$7,0)),"")</f>
        <v/>
      </c>
      <c r="P329" s="3">
        <f>IFERROR(INDEX('CAT_TURNOS'!$D$4:$D$7,MATCH($J329,'CAT_TURNOS'!$A$4:$A$7,0)),"")</f>
        <v/>
      </c>
      <c r="Q329" s="3">
        <f>IF(AND(LEFT($G329,1)="T",$H329="no"),"sí","no")</f>
        <v/>
      </c>
    </row>
    <row r="330">
      <c r="A330" s="3" t="inlineStr">
        <is>
          <t>2026-S31</t>
        </is>
      </c>
      <c r="B330" s="3" t="inlineStr">
        <is>
          <t>viernes</t>
        </is>
      </c>
      <c r="C330" s="3" t="inlineStr">
        <is>
          <t>Técnico 15</t>
        </is>
      </c>
      <c r="D330" s="3">
        <f>IFERROR(INDEX('TECNICOS'!$D$4:$D$19,MATCH($C330,'TECNICOS'!$B$4:$B$19,0)),"")</f>
        <v/>
      </c>
      <c r="E330" s="3">
        <f>IFERROR(INDEX('TECNICOS'!$C$4:$C$19,MATCH($C330,'TECNICOS'!$B$4:$B$19,0)),"")</f>
        <v/>
      </c>
      <c r="F330" s="3">
        <f>COUNTIFS('TECNICOS'!$F$4:$F$19,"SI",'TECNICOS'!$C$4:$C$19,$E330,'TECNICOS'!$D$4:$D$19,$D330)</f>
        <v/>
      </c>
      <c r="G330" s="3">
        <f>IF(OR($C330="",$A330="",$B330="domingo"),"",IF(IFERROR(INDEX('TECNICOS'!$F$4:$F$19,MATCH($C330,'TECNICOS'!$B$4:$B$19,0)),"NO")&lt;&gt;"SI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3">
        <f>IF(COUNTIFS('PLAN_VACACIONES'!$A$4:$A$103,$C330,'PLAN_VACACIONES'!$B$4:$B$103,"&lt;="&amp;$L330,'PLAN_VACACIONES'!$C$4:$C$103,"&gt;="&amp;$L330)&gt;0,"sí","no")</f>
        <v/>
      </c>
      <c r="I330" s="6" t="n"/>
      <c r="J330" s="3">
        <f>IF($I330&lt;&gt;"",$I330,IF($G330="","",IF($H330="sí","VAC",IF(LEFT($G330,1)="B","B",$G330))))</f>
        <v/>
      </c>
      <c r="K330" s="3">
        <f>IFERROR(INDEX('TECNICOS'!$E$4:$E$19,MATCH($C330,'TECNICOS'!$B$4:$B$19,0)),"")</f>
        <v/>
      </c>
      <c r="L330" s="12">
        <f>IF($A330="","",DATE(VALUE(LEFT($A330,4)),1,4)-WEEKDAY(DATE(VALUE(LEFT($A330,4)),1,4),2)+1+(VALUE(MID($A330,7,2))-1)*7+MATCH($B330,lista_dias,0)-1)</f>
        <v/>
      </c>
      <c r="M330" s="3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3">
        <f>$A330&amp;"|"&amp;$B330&amp;"|"&amp;$C330</f>
        <v/>
      </c>
      <c r="O330" s="3">
        <f>IFERROR(INDEX('CAT_TURNOS'!$C$4:$C$7,MATCH($J330,'CAT_TURNOS'!$A$4:$A$7,0)),"")</f>
        <v/>
      </c>
      <c r="P330" s="3">
        <f>IFERROR(INDEX('CAT_TURNOS'!$D$4:$D$7,MATCH($J330,'CAT_TURNOS'!$A$4:$A$7,0)),"")</f>
        <v/>
      </c>
      <c r="Q330" s="3">
        <f>IF(AND(LEFT($G330,1)="T",$H330="no"),"sí","no")</f>
        <v/>
      </c>
    </row>
    <row r="331">
      <c r="A331" s="3" t="inlineStr">
        <is>
          <t>2026-S31</t>
        </is>
      </c>
      <c r="B331" s="3" t="inlineStr">
        <is>
          <t>sábado</t>
        </is>
      </c>
      <c r="C331" s="3" t="inlineStr">
        <is>
          <t>Técnico 15</t>
        </is>
      </c>
      <c r="D331" s="3">
        <f>IFERROR(INDEX('TECNICOS'!$D$4:$D$19,MATCH($C331,'TECNICOS'!$B$4:$B$19,0)),"")</f>
        <v/>
      </c>
      <c r="E331" s="3">
        <f>IFERROR(INDEX('TECNICOS'!$C$4:$C$19,MATCH($C331,'TECNICOS'!$B$4:$B$19,0)),"")</f>
        <v/>
      </c>
      <c r="F331" s="3">
        <f>COUNTIFS('TECNICOS'!$F$4:$F$19,"SI",'TECNICOS'!$C$4:$C$19,$E331,'TECNICOS'!$D$4:$D$19,$D331)</f>
        <v/>
      </c>
      <c r="G331" s="3">
        <f>IF(OR($C331="",$A331="",$B331="domingo"),"",IF(IFERROR(INDEX('TECNICOS'!$F$4:$F$19,MATCH($C331,'TECNICOS'!$B$4:$B$19,0)),"NO")&lt;&gt;"SI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3">
        <f>IF(COUNTIFS('PLAN_VACACIONES'!$A$4:$A$103,$C331,'PLAN_VACACIONES'!$B$4:$B$103,"&lt;="&amp;$L331,'PLAN_VACACIONES'!$C$4:$C$103,"&gt;="&amp;$L331)&gt;0,"sí","no")</f>
        <v/>
      </c>
      <c r="I331" s="6" t="n"/>
      <c r="J331" s="3">
        <f>IF($I331&lt;&gt;"",$I331,IF($G331="","",IF($H331="sí","VAC",IF(LEFT($G331,1)="B","B",$G331))))</f>
        <v/>
      </c>
      <c r="K331" s="3">
        <f>IFERROR(INDEX('TECNICOS'!$E$4:$E$19,MATCH($C331,'TECNICOS'!$B$4:$B$19,0)),"")</f>
        <v/>
      </c>
      <c r="L331" s="12">
        <f>IF($A331="","",DATE(VALUE(LEFT($A331,4)),1,4)-WEEKDAY(DATE(VALUE(LEFT($A331,4)),1,4),2)+1+(VALUE(MID($A331,7,2))-1)*7+MATCH($B331,lista_dias,0)-1)</f>
        <v/>
      </c>
      <c r="M331" s="3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3">
        <f>$A331&amp;"|"&amp;$B331&amp;"|"&amp;$C331</f>
        <v/>
      </c>
      <c r="O331" s="3">
        <f>IFERROR(INDEX('CAT_TURNOS'!$C$4:$C$7,MATCH($J331,'CAT_TURNOS'!$A$4:$A$7,0)),"")</f>
        <v/>
      </c>
      <c r="P331" s="3">
        <f>IFERROR(INDEX('CAT_TURNOS'!$D$4:$D$7,MATCH($J331,'CAT_TURNOS'!$A$4:$A$7,0)),"")</f>
        <v/>
      </c>
      <c r="Q331" s="3">
        <f>IF(AND(LEFT($G331,1)="T",$H331="no"),"sí","no")</f>
        <v/>
      </c>
    </row>
    <row r="332">
      <c r="A332" s="3" t="inlineStr">
        <is>
          <t>2026-S31</t>
        </is>
      </c>
      <c r="B332" s="3" t="inlineStr">
        <is>
          <t>domingo</t>
        </is>
      </c>
      <c r="C332" s="3" t="inlineStr">
        <is>
          <t>Técnico 15</t>
        </is>
      </c>
      <c r="D332" s="3">
        <f>IFERROR(INDEX('TECNICOS'!$D$4:$D$19,MATCH($C332,'TECNICOS'!$B$4:$B$19,0)),"")</f>
        <v/>
      </c>
      <c r="E332" s="3">
        <f>IFERROR(INDEX('TECNICOS'!$C$4:$C$19,MATCH($C332,'TECNICOS'!$B$4:$B$19,0)),"")</f>
        <v/>
      </c>
      <c r="F332" s="3">
        <f>COUNTIFS('TECNICOS'!$F$4:$F$19,"SI",'TECNICOS'!$C$4:$C$19,$E332,'TECNICOS'!$D$4:$D$19,$D332)</f>
        <v/>
      </c>
      <c r="G332" s="3">
        <f>IF(OR($C332="",$A332="",$B332="domingo"),"",IF(IFERROR(INDEX('TECNICOS'!$F$4:$F$19,MATCH($C332,'TECNICOS'!$B$4:$B$19,0)),"NO")&lt;&gt;"SI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3">
        <f>IF(COUNTIFS('PLAN_VACACIONES'!$A$4:$A$103,$C332,'PLAN_VACACIONES'!$B$4:$B$103,"&lt;="&amp;$L332,'PLAN_VACACIONES'!$C$4:$C$103,"&gt;="&amp;$L332)&gt;0,"sí","no")</f>
        <v/>
      </c>
      <c r="I332" s="6" t="n"/>
      <c r="J332" s="3">
        <f>IF($I332&lt;&gt;"",$I332,IF($G332="","",IF($H332="sí","VAC",IF(LEFT($G332,1)="B","B",$G332))))</f>
        <v/>
      </c>
      <c r="K332" s="3">
        <f>IFERROR(INDEX('TECNICOS'!$E$4:$E$19,MATCH($C332,'TECNICOS'!$B$4:$B$19,0)),"")</f>
        <v/>
      </c>
      <c r="L332" s="12">
        <f>IF($A332="","",DATE(VALUE(LEFT($A332,4)),1,4)-WEEKDAY(DATE(VALUE(LEFT($A332,4)),1,4),2)+1+(VALUE(MID($A332,7,2))-1)*7+MATCH($B332,lista_dias,0)-1)</f>
        <v/>
      </c>
      <c r="M332" s="3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3">
        <f>$A332&amp;"|"&amp;$B332&amp;"|"&amp;$C332</f>
        <v/>
      </c>
      <c r="O332" s="3">
        <f>IFERROR(INDEX('CAT_TURNOS'!$C$4:$C$7,MATCH($J332,'CAT_TURNOS'!$A$4:$A$7,0)),"")</f>
        <v/>
      </c>
      <c r="P332" s="3">
        <f>IFERROR(INDEX('CAT_TURNOS'!$D$4:$D$7,MATCH($J332,'CAT_TURNOS'!$A$4:$A$7,0)),"")</f>
        <v/>
      </c>
      <c r="Q332" s="3">
        <f>IF(AND(LEFT($G332,1)="T",$H332="no"),"sí","no")</f>
        <v/>
      </c>
    </row>
    <row r="333">
      <c r="A333" s="3" t="inlineStr">
        <is>
          <t>2026-S31</t>
        </is>
      </c>
      <c r="B333" s="3" t="inlineStr">
        <is>
          <t>lunes</t>
        </is>
      </c>
      <c r="C333" s="3" t="inlineStr">
        <is>
          <t>Técnico 16</t>
        </is>
      </c>
      <c r="D333" s="3">
        <f>IFERROR(INDEX('TECNICOS'!$D$4:$D$19,MATCH($C333,'TECNICOS'!$B$4:$B$19,0)),"")</f>
        <v/>
      </c>
      <c r="E333" s="3">
        <f>IFERROR(INDEX('TECNICOS'!$C$4:$C$19,MATCH($C333,'TECNICOS'!$B$4:$B$19,0)),"")</f>
        <v/>
      </c>
      <c r="F333" s="3">
        <f>COUNTIFS('TECNICOS'!$F$4:$F$19,"SI",'TECNICOS'!$C$4:$C$19,$E333,'TECNICOS'!$D$4:$D$19,$D333)</f>
        <v/>
      </c>
      <c r="G333" s="3">
        <f>IF(OR($C333="",$A333="",$B333="domingo"),"",IF(IFERROR(INDEX('TECNICOS'!$F$4:$F$19,MATCH($C333,'TECNICOS'!$B$4:$B$19,0)),"NO")&lt;&gt;"SI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3">
        <f>IF(COUNTIFS('PLAN_VACACIONES'!$A$4:$A$103,$C333,'PLAN_VACACIONES'!$B$4:$B$103,"&lt;="&amp;$L333,'PLAN_VACACIONES'!$C$4:$C$103,"&gt;="&amp;$L333)&gt;0,"sí","no")</f>
        <v/>
      </c>
      <c r="I333" s="6" t="n"/>
      <c r="J333" s="3">
        <f>IF($I333&lt;&gt;"",$I333,IF($G333="","",IF($H333="sí","VAC",IF(LEFT($G333,1)="B","B",$G333))))</f>
        <v/>
      </c>
      <c r="K333" s="3">
        <f>IFERROR(INDEX('TECNICOS'!$E$4:$E$19,MATCH($C333,'TECNICOS'!$B$4:$B$19,0)),"")</f>
        <v/>
      </c>
      <c r="L333" s="12">
        <f>IF($A333="","",DATE(VALUE(LEFT($A333,4)),1,4)-WEEKDAY(DATE(VALUE(LEFT($A333,4)),1,4),2)+1+(VALUE(MID($A333,7,2))-1)*7+MATCH($B333,lista_dias,0)-1)</f>
        <v/>
      </c>
      <c r="M333" s="3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3">
        <f>$A333&amp;"|"&amp;$B333&amp;"|"&amp;$C333</f>
        <v/>
      </c>
      <c r="O333" s="3">
        <f>IFERROR(INDEX('CAT_TURNOS'!$C$4:$C$7,MATCH($J333,'CAT_TURNOS'!$A$4:$A$7,0)),"")</f>
        <v/>
      </c>
      <c r="P333" s="3">
        <f>IFERROR(INDEX('CAT_TURNOS'!$D$4:$D$7,MATCH($J333,'CAT_TURNOS'!$A$4:$A$7,0)),"")</f>
        <v/>
      </c>
      <c r="Q333" s="3">
        <f>IF(AND(LEFT($G333,1)="T",$H333="no"),"sí","no")</f>
        <v/>
      </c>
    </row>
    <row r="334">
      <c r="A334" s="3" t="inlineStr">
        <is>
          <t>2026-S31</t>
        </is>
      </c>
      <c r="B334" s="3" t="inlineStr">
        <is>
          <t>martes</t>
        </is>
      </c>
      <c r="C334" s="3" t="inlineStr">
        <is>
          <t>Técnico 16</t>
        </is>
      </c>
      <c r="D334" s="3">
        <f>IFERROR(INDEX('TECNICOS'!$D$4:$D$19,MATCH($C334,'TECNICOS'!$B$4:$B$19,0)),"")</f>
        <v/>
      </c>
      <c r="E334" s="3">
        <f>IFERROR(INDEX('TECNICOS'!$C$4:$C$19,MATCH($C334,'TECNICOS'!$B$4:$B$19,0)),"")</f>
        <v/>
      </c>
      <c r="F334" s="3">
        <f>COUNTIFS('TECNICOS'!$F$4:$F$19,"SI",'TECNICOS'!$C$4:$C$19,$E334,'TECNICOS'!$D$4:$D$19,$D334)</f>
        <v/>
      </c>
      <c r="G334" s="3">
        <f>IF(OR($C334="",$A334="",$B334="domingo"),"",IF(IFERROR(INDEX('TECNICOS'!$F$4:$F$19,MATCH($C334,'TECNICOS'!$B$4:$B$19,0)),"NO")&lt;&gt;"SI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3">
        <f>IF(COUNTIFS('PLAN_VACACIONES'!$A$4:$A$103,$C334,'PLAN_VACACIONES'!$B$4:$B$103,"&lt;="&amp;$L334,'PLAN_VACACIONES'!$C$4:$C$103,"&gt;="&amp;$L334)&gt;0,"sí","no")</f>
        <v/>
      </c>
      <c r="I334" s="6" t="n"/>
      <c r="J334" s="3">
        <f>IF($I334&lt;&gt;"",$I334,IF($G334="","",IF($H334="sí","VAC",IF(LEFT($G334,1)="B","B",$G334))))</f>
        <v/>
      </c>
      <c r="K334" s="3">
        <f>IFERROR(INDEX('TECNICOS'!$E$4:$E$19,MATCH($C334,'TECNICOS'!$B$4:$B$19,0)),"")</f>
        <v/>
      </c>
      <c r="L334" s="12">
        <f>IF($A334="","",DATE(VALUE(LEFT($A334,4)),1,4)-WEEKDAY(DATE(VALUE(LEFT($A334,4)),1,4),2)+1+(VALUE(MID($A334,7,2))-1)*7+MATCH($B334,lista_dias,0)-1)</f>
        <v/>
      </c>
      <c r="M334" s="3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3">
        <f>$A334&amp;"|"&amp;$B334&amp;"|"&amp;$C334</f>
        <v/>
      </c>
      <c r="O334" s="3">
        <f>IFERROR(INDEX('CAT_TURNOS'!$C$4:$C$7,MATCH($J334,'CAT_TURNOS'!$A$4:$A$7,0)),"")</f>
        <v/>
      </c>
      <c r="P334" s="3">
        <f>IFERROR(INDEX('CAT_TURNOS'!$D$4:$D$7,MATCH($J334,'CAT_TURNOS'!$A$4:$A$7,0)),"")</f>
        <v/>
      </c>
      <c r="Q334" s="3">
        <f>IF(AND(LEFT($G334,1)="T",$H334="no"),"sí","no")</f>
        <v/>
      </c>
    </row>
    <row r="335">
      <c r="A335" s="3" t="inlineStr">
        <is>
          <t>2026-S31</t>
        </is>
      </c>
      <c r="B335" s="3" t="inlineStr">
        <is>
          <t>miércoles</t>
        </is>
      </c>
      <c r="C335" s="3" t="inlineStr">
        <is>
          <t>Técnico 16</t>
        </is>
      </c>
      <c r="D335" s="3">
        <f>IFERROR(INDEX('TECNICOS'!$D$4:$D$19,MATCH($C335,'TECNICOS'!$B$4:$B$19,0)),"")</f>
        <v/>
      </c>
      <c r="E335" s="3">
        <f>IFERROR(INDEX('TECNICOS'!$C$4:$C$19,MATCH($C335,'TECNICOS'!$B$4:$B$19,0)),"")</f>
        <v/>
      </c>
      <c r="F335" s="3">
        <f>COUNTIFS('TECNICOS'!$F$4:$F$19,"SI",'TECNICOS'!$C$4:$C$19,$E335,'TECNICOS'!$D$4:$D$19,$D335)</f>
        <v/>
      </c>
      <c r="G335" s="3">
        <f>IF(OR($C335="",$A335="",$B335="domingo"),"",IF(IFERROR(INDEX('TECNICOS'!$F$4:$F$19,MATCH($C335,'TECNICOS'!$B$4:$B$19,0)),"NO")&lt;&gt;"SI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3">
        <f>IF(COUNTIFS('PLAN_VACACIONES'!$A$4:$A$103,$C335,'PLAN_VACACIONES'!$B$4:$B$103,"&lt;="&amp;$L335,'PLAN_VACACIONES'!$C$4:$C$103,"&gt;="&amp;$L335)&gt;0,"sí","no")</f>
        <v/>
      </c>
      <c r="I335" s="6" t="n"/>
      <c r="J335" s="3">
        <f>IF($I335&lt;&gt;"",$I335,IF($G335="","",IF($H335="sí","VAC",IF(LEFT($G335,1)="B","B",$G335))))</f>
        <v/>
      </c>
      <c r="K335" s="3">
        <f>IFERROR(INDEX('TECNICOS'!$E$4:$E$19,MATCH($C335,'TECNICOS'!$B$4:$B$19,0)),"")</f>
        <v/>
      </c>
      <c r="L335" s="12">
        <f>IF($A335="","",DATE(VALUE(LEFT($A335,4)),1,4)-WEEKDAY(DATE(VALUE(LEFT($A335,4)),1,4),2)+1+(VALUE(MID($A335,7,2))-1)*7+MATCH($B335,lista_dias,0)-1)</f>
        <v/>
      </c>
      <c r="M335" s="3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3">
        <f>$A335&amp;"|"&amp;$B335&amp;"|"&amp;$C335</f>
        <v/>
      </c>
      <c r="O335" s="3">
        <f>IFERROR(INDEX('CAT_TURNOS'!$C$4:$C$7,MATCH($J335,'CAT_TURNOS'!$A$4:$A$7,0)),"")</f>
        <v/>
      </c>
      <c r="P335" s="3">
        <f>IFERROR(INDEX('CAT_TURNOS'!$D$4:$D$7,MATCH($J335,'CAT_TURNOS'!$A$4:$A$7,0)),"")</f>
        <v/>
      </c>
      <c r="Q335" s="3">
        <f>IF(AND(LEFT($G335,1)="T",$H335="no"),"sí","no")</f>
        <v/>
      </c>
    </row>
    <row r="336">
      <c r="A336" s="3" t="inlineStr">
        <is>
          <t>2026-S31</t>
        </is>
      </c>
      <c r="B336" s="3" t="inlineStr">
        <is>
          <t>jueves</t>
        </is>
      </c>
      <c r="C336" s="3" t="inlineStr">
        <is>
          <t>Técnico 16</t>
        </is>
      </c>
      <c r="D336" s="3">
        <f>IFERROR(INDEX('TECNICOS'!$D$4:$D$19,MATCH($C336,'TECNICOS'!$B$4:$B$19,0)),"")</f>
        <v/>
      </c>
      <c r="E336" s="3">
        <f>IFERROR(INDEX('TECNICOS'!$C$4:$C$19,MATCH($C336,'TECNICOS'!$B$4:$B$19,0)),"")</f>
        <v/>
      </c>
      <c r="F336" s="3">
        <f>COUNTIFS('TECNICOS'!$F$4:$F$19,"SI",'TECNICOS'!$C$4:$C$19,$E336,'TECNICOS'!$D$4:$D$19,$D336)</f>
        <v/>
      </c>
      <c r="G336" s="3">
        <f>IF(OR($C336="",$A336="",$B336="domingo"),"",IF(IFERROR(INDEX('TECNICOS'!$F$4:$F$19,MATCH($C336,'TECNICOS'!$B$4:$B$19,0)),"NO")&lt;&gt;"SI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3">
        <f>IF(COUNTIFS('PLAN_VACACIONES'!$A$4:$A$103,$C336,'PLAN_VACACIONES'!$B$4:$B$103,"&lt;="&amp;$L336,'PLAN_VACACIONES'!$C$4:$C$103,"&gt;="&amp;$L336)&gt;0,"sí","no")</f>
        <v/>
      </c>
      <c r="I336" s="6" t="n"/>
      <c r="J336" s="3">
        <f>IF($I336&lt;&gt;"",$I336,IF($G336="","",IF($H336="sí","VAC",IF(LEFT($G336,1)="B","B",$G336))))</f>
        <v/>
      </c>
      <c r="K336" s="3">
        <f>IFERROR(INDEX('TECNICOS'!$E$4:$E$19,MATCH($C336,'TECNICOS'!$B$4:$B$19,0)),"")</f>
        <v/>
      </c>
      <c r="L336" s="12">
        <f>IF($A336="","",DATE(VALUE(LEFT($A336,4)),1,4)-WEEKDAY(DATE(VALUE(LEFT($A336,4)),1,4),2)+1+(VALUE(MID($A336,7,2))-1)*7+MATCH($B336,lista_dias,0)-1)</f>
        <v/>
      </c>
      <c r="M336" s="3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3">
        <f>$A336&amp;"|"&amp;$B336&amp;"|"&amp;$C336</f>
        <v/>
      </c>
      <c r="O336" s="3">
        <f>IFERROR(INDEX('CAT_TURNOS'!$C$4:$C$7,MATCH($J336,'CAT_TURNOS'!$A$4:$A$7,0)),"")</f>
        <v/>
      </c>
      <c r="P336" s="3">
        <f>IFERROR(INDEX('CAT_TURNOS'!$D$4:$D$7,MATCH($J336,'CAT_TURNOS'!$A$4:$A$7,0)),"")</f>
        <v/>
      </c>
      <c r="Q336" s="3">
        <f>IF(AND(LEFT($G336,1)="T",$H336="no"),"sí","no")</f>
        <v/>
      </c>
    </row>
    <row r="337">
      <c r="A337" s="3" t="inlineStr">
        <is>
          <t>2026-S31</t>
        </is>
      </c>
      <c r="B337" s="3" t="inlineStr">
        <is>
          <t>viernes</t>
        </is>
      </c>
      <c r="C337" s="3" t="inlineStr">
        <is>
          <t>Técnico 16</t>
        </is>
      </c>
      <c r="D337" s="3">
        <f>IFERROR(INDEX('TECNICOS'!$D$4:$D$19,MATCH($C337,'TECNICOS'!$B$4:$B$19,0)),"")</f>
        <v/>
      </c>
      <c r="E337" s="3">
        <f>IFERROR(INDEX('TECNICOS'!$C$4:$C$19,MATCH($C337,'TECNICOS'!$B$4:$B$19,0)),"")</f>
        <v/>
      </c>
      <c r="F337" s="3">
        <f>COUNTIFS('TECNICOS'!$F$4:$F$19,"SI",'TECNICOS'!$C$4:$C$19,$E337,'TECNICOS'!$D$4:$D$19,$D337)</f>
        <v/>
      </c>
      <c r="G337" s="3">
        <f>IF(OR($C337="",$A337="",$B337="domingo"),"",IF(IFERROR(INDEX('TECNICOS'!$F$4:$F$19,MATCH($C337,'TECNICOS'!$B$4:$B$19,0)),"NO")&lt;&gt;"SI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3">
        <f>IF(COUNTIFS('PLAN_VACACIONES'!$A$4:$A$103,$C337,'PLAN_VACACIONES'!$B$4:$B$103,"&lt;="&amp;$L337,'PLAN_VACACIONES'!$C$4:$C$103,"&gt;="&amp;$L337)&gt;0,"sí","no")</f>
        <v/>
      </c>
      <c r="I337" s="6" t="n"/>
      <c r="J337" s="3">
        <f>IF($I337&lt;&gt;"",$I337,IF($G337="","",IF($H337="sí","VAC",IF(LEFT($G337,1)="B","B",$G337))))</f>
        <v/>
      </c>
      <c r="K337" s="3">
        <f>IFERROR(INDEX('TECNICOS'!$E$4:$E$19,MATCH($C337,'TECNICOS'!$B$4:$B$19,0)),"")</f>
        <v/>
      </c>
      <c r="L337" s="12">
        <f>IF($A337="","",DATE(VALUE(LEFT($A337,4)),1,4)-WEEKDAY(DATE(VALUE(LEFT($A337,4)),1,4),2)+1+(VALUE(MID($A337,7,2))-1)*7+MATCH($B337,lista_dias,0)-1)</f>
        <v/>
      </c>
      <c r="M337" s="3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3">
        <f>$A337&amp;"|"&amp;$B337&amp;"|"&amp;$C337</f>
        <v/>
      </c>
      <c r="O337" s="3">
        <f>IFERROR(INDEX('CAT_TURNOS'!$C$4:$C$7,MATCH($J337,'CAT_TURNOS'!$A$4:$A$7,0)),"")</f>
        <v/>
      </c>
      <c r="P337" s="3">
        <f>IFERROR(INDEX('CAT_TURNOS'!$D$4:$D$7,MATCH($J337,'CAT_TURNOS'!$A$4:$A$7,0)),"")</f>
        <v/>
      </c>
      <c r="Q337" s="3">
        <f>IF(AND(LEFT($G337,1)="T",$H337="no"),"sí","no")</f>
        <v/>
      </c>
    </row>
    <row r="338">
      <c r="A338" s="3" t="inlineStr">
        <is>
          <t>2026-S31</t>
        </is>
      </c>
      <c r="B338" s="3" t="inlineStr">
        <is>
          <t>sábado</t>
        </is>
      </c>
      <c r="C338" s="3" t="inlineStr">
        <is>
          <t>Técnico 16</t>
        </is>
      </c>
      <c r="D338" s="3">
        <f>IFERROR(INDEX('TECNICOS'!$D$4:$D$19,MATCH($C338,'TECNICOS'!$B$4:$B$19,0)),"")</f>
        <v/>
      </c>
      <c r="E338" s="3">
        <f>IFERROR(INDEX('TECNICOS'!$C$4:$C$19,MATCH($C338,'TECNICOS'!$B$4:$B$19,0)),"")</f>
        <v/>
      </c>
      <c r="F338" s="3">
        <f>COUNTIFS('TECNICOS'!$F$4:$F$19,"SI",'TECNICOS'!$C$4:$C$19,$E338,'TECNICOS'!$D$4:$D$19,$D338)</f>
        <v/>
      </c>
      <c r="G338" s="3">
        <f>IF(OR($C338="",$A338="",$B338="domingo"),"",IF(IFERROR(INDEX('TECNICOS'!$F$4:$F$19,MATCH($C338,'TECNICOS'!$B$4:$B$19,0)),"NO")&lt;&gt;"SI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3">
        <f>IF(COUNTIFS('PLAN_VACACIONES'!$A$4:$A$103,$C338,'PLAN_VACACIONES'!$B$4:$B$103,"&lt;="&amp;$L338,'PLAN_VACACIONES'!$C$4:$C$103,"&gt;="&amp;$L338)&gt;0,"sí","no")</f>
        <v/>
      </c>
      <c r="I338" s="6" t="n"/>
      <c r="J338" s="3">
        <f>IF($I338&lt;&gt;"",$I338,IF($G338="","",IF($H338="sí","VAC",IF(LEFT($G338,1)="B","B",$G338))))</f>
        <v/>
      </c>
      <c r="K338" s="3">
        <f>IFERROR(INDEX('TECNICOS'!$E$4:$E$19,MATCH($C338,'TECNICOS'!$B$4:$B$19,0)),"")</f>
        <v/>
      </c>
      <c r="L338" s="12">
        <f>IF($A338="","",DATE(VALUE(LEFT($A338,4)),1,4)-WEEKDAY(DATE(VALUE(LEFT($A338,4)),1,4),2)+1+(VALUE(MID($A338,7,2))-1)*7+MATCH($B338,lista_dias,0)-1)</f>
        <v/>
      </c>
      <c r="M338" s="3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3">
        <f>$A338&amp;"|"&amp;$B338&amp;"|"&amp;$C338</f>
        <v/>
      </c>
      <c r="O338" s="3">
        <f>IFERROR(INDEX('CAT_TURNOS'!$C$4:$C$7,MATCH($J338,'CAT_TURNOS'!$A$4:$A$7,0)),"")</f>
        <v/>
      </c>
      <c r="P338" s="3">
        <f>IFERROR(INDEX('CAT_TURNOS'!$D$4:$D$7,MATCH($J338,'CAT_TURNOS'!$A$4:$A$7,0)),"")</f>
        <v/>
      </c>
      <c r="Q338" s="3">
        <f>IF(AND(LEFT($G338,1)="T",$H338="no"),"sí","no")</f>
        <v/>
      </c>
    </row>
    <row r="339">
      <c r="A339" s="3" t="inlineStr">
        <is>
          <t>2026-S31</t>
        </is>
      </c>
      <c r="B339" s="3" t="inlineStr">
        <is>
          <t>domingo</t>
        </is>
      </c>
      <c r="C339" s="3" t="inlineStr">
        <is>
          <t>Técnico 16</t>
        </is>
      </c>
      <c r="D339" s="3">
        <f>IFERROR(INDEX('TECNICOS'!$D$4:$D$19,MATCH($C339,'TECNICOS'!$B$4:$B$19,0)),"")</f>
        <v/>
      </c>
      <c r="E339" s="3">
        <f>IFERROR(INDEX('TECNICOS'!$C$4:$C$19,MATCH($C339,'TECNICOS'!$B$4:$B$19,0)),"")</f>
        <v/>
      </c>
      <c r="F339" s="3">
        <f>COUNTIFS('TECNICOS'!$F$4:$F$19,"SI",'TECNICOS'!$C$4:$C$19,$E339,'TECNICOS'!$D$4:$D$19,$D339)</f>
        <v/>
      </c>
      <c r="G339" s="3">
        <f>IF(OR($C339="",$A339="",$B339="domingo"),"",IF(IFERROR(INDEX('TECNICOS'!$F$4:$F$19,MATCH($C339,'TECNICOS'!$B$4:$B$19,0)),"NO")&lt;&gt;"SI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3">
        <f>IF(COUNTIFS('PLAN_VACACIONES'!$A$4:$A$103,$C339,'PLAN_VACACIONES'!$B$4:$B$103,"&lt;="&amp;$L339,'PLAN_VACACIONES'!$C$4:$C$103,"&gt;="&amp;$L339)&gt;0,"sí","no")</f>
        <v/>
      </c>
      <c r="I339" s="6" t="n"/>
      <c r="J339" s="3">
        <f>IF($I339&lt;&gt;"",$I339,IF($G339="","",IF($H339="sí","VAC",IF(LEFT($G339,1)="B","B",$G339))))</f>
        <v/>
      </c>
      <c r="K339" s="3">
        <f>IFERROR(INDEX('TECNICOS'!$E$4:$E$19,MATCH($C339,'TECNICOS'!$B$4:$B$19,0)),"")</f>
        <v/>
      </c>
      <c r="L339" s="12">
        <f>IF($A339="","",DATE(VALUE(LEFT($A339,4)),1,4)-WEEKDAY(DATE(VALUE(LEFT($A339,4)),1,4),2)+1+(VALUE(MID($A339,7,2))-1)*7+MATCH($B339,lista_dias,0)-1)</f>
        <v/>
      </c>
      <c r="M339" s="3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3">
        <f>$A339&amp;"|"&amp;$B339&amp;"|"&amp;$C339</f>
        <v/>
      </c>
      <c r="O339" s="3">
        <f>IFERROR(INDEX('CAT_TURNOS'!$C$4:$C$7,MATCH($J339,'CAT_TURNOS'!$A$4:$A$7,0)),"")</f>
        <v/>
      </c>
      <c r="P339" s="3">
        <f>IFERROR(INDEX('CAT_TURNOS'!$D$4:$D$7,MATCH($J339,'CAT_TURNOS'!$A$4:$A$7,0)),"")</f>
        <v/>
      </c>
      <c r="Q339" s="3">
        <f>IF(AND(LEFT($G339,1)="T",$H339="no"),"sí","no")</f>
        <v/>
      </c>
    </row>
    <row r="340">
      <c r="A340" s="3" t="inlineStr">
        <is>
          <t>2026-S32</t>
        </is>
      </c>
      <c r="B340" s="3" t="inlineStr">
        <is>
          <t>lunes</t>
        </is>
      </c>
      <c r="C340" s="3" t="inlineStr">
        <is>
          <t>Técnico 01</t>
        </is>
      </c>
      <c r="D340" s="3">
        <f>IFERROR(INDEX('TECNICOS'!$D$4:$D$19,MATCH($C340,'TECNICOS'!$B$4:$B$19,0)),"")</f>
        <v/>
      </c>
      <c r="E340" s="3">
        <f>IFERROR(INDEX('TECNICOS'!$C$4:$C$19,MATCH($C340,'TECNICOS'!$B$4:$B$19,0)),"")</f>
        <v/>
      </c>
      <c r="F340" s="3">
        <f>COUNTIFS('TECNICOS'!$F$4:$F$19,"SI",'TECNICOS'!$C$4:$C$19,$E340,'TECNICOS'!$D$4:$D$19,$D340)</f>
        <v/>
      </c>
      <c r="G340" s="3">
        <f>IF(OR($C340="",$A340="",$B340="domingo"),"",IF(IFERROR(INDEX('TECNICOS'!$F$4:$F$19,MATCH($C340,'TECNICOS'!$B$4:$B$19,0)),"NO")&lt;&gt;"SI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3">
        <f>IF(COUNTIFS('PLAN_VACACIONES'!$A$4:$A$103,$C340,'PLAN_VACACIONES'!$B$4:$B$103,"&lt;="&amp;$L340,'PLAN_VACACIONES'!$C$4:$C$103,"&gt;="&amp;$L340)&gt;0,"sí","no")</f>
        <v/>
      </c>
      <c r="I340" s="6" t="n"/>
      <c r="J340" s="3">
        <f>IF($I340&lt;&gt;"",$I340,IF($G340="","",IF($H340="sí","VAC",IF(LEFT($G340,1)="B","B",$G340))))</f>
        <v/>
      </c>
      <c r="K340" s="3">
        <f>IFERROR(INDEX('TECNICOS'!$E$4:$E$19,MATCH($C340,'TECNICOS'!$B$4:$B$19,0)),"")</f>
        <v/>
      </c>
      <c r="L340" s="12">
        <f>IF($A340="","",DATE(VALUE(LEFT($A340,4)),1,4)-WEEKDAY(DATE(VALUE(LEFT($A340,4)),1,4),2)+1+(VALUE(MID($A340,7,2))-1)*7+MATCH($B340,lista_dias,0)-1)</f>
        <v/>
      </c>
      <c r="M340" s="3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3">
        <f>$A340&amp;"|"&amp;$B340&amp;"|"&amp;$C340</f>
        <v/>
      </c>
      <c r="O340" s="3">
        <f>IFERROR(INDEX('CAT_TURNOS'!$C$4:$C$7,MATCH($J340,'CAT_TURNOS'!$A$4:$A$7,0)),"")</f>
        <v/>
      </c>
      <c r="P340" s="3">
        <f>IFERROR(INDEX('CAT_TURNOS'!$D$4:$D$7,MATCH($J340,'CAT_TURNOS'!$A$4:$A$7,0)),"")</f>
        <v/>
      </c>
      <c r="Q340" s="3">
        <f>IF(AND(LEFT($G340,1)="T",$H340="no"),"sí","no")</f>
        <v/>
      </c>
    </row>
    <row r="341">
      <c r="A341" s="3" t="inlineStr">
        <is>
          <t>2026-S32</t>
        </is>
      </c>
      <c r="B341" s="3" t="inlineStr">
        <is>
          <t>martes</t>
        </is>
      </c>
      <c r="C341" s="3" t="inlineStr">
        <is>
          <t>Técnico 01</t>
        </is>
      </c>
      <c r="D341" s="3">
        <f>IFERROR(INDEX('TECNICOS'!$D$4:$D$19,MATCH($C341,'TECNICOS'!$B$4:$B$19,0)),"")</f>
        <v/>
      </c>
      <c r="E341" s="3">
        <f>IFERROR(INDEX('TECNICOS'!$C$4:$C$19,MATCH($C341,'TECNICOS'!$B$4:$B$19,0)),"")</f>
        <v/>
      </c>
      <c r="F341" s="3">
        <f>COUNTIFS('TECNICOS'!$F$4:$F$19,"SI",'TECNICOS'!$C$4:$C$19,$E341,'TECNICOS'!$D$4:$D$19,$D341)</f>
        <v/>
      </c>
      <c r="G341" s="3">
        <f>IF(OR($C341="",$A341="",$B341="domingo"),"",IF(IFERROR(INDEX('TECNICOS'!$F$4:$F$19,MATCH($C341,'TECNICOS'!$B$4:$B$19,0)),"NO")&lt;&gt;"SI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3">
        <f>IF(COUNTIFS('PLAN_VACACIONES'!$A$4:$A$103,$C341,'PLAN_VACACIONES'!$B$4:$B$103,"&lt;="&amp;$L341,'PLAN_VACACIONES'!$C$4:$C$103,"&gt;="&amp;$L341)&gt;0,"sí","no")</f>
        <v/>
      </c>
      <c r="I341" s="6" t="n"/>
      <c r="J341" s="3">
        <f>IF($I341&lt;&gt;"",$I341,IF($G341="","",IF($H341="sí","VAC",IF(LEFT($G341,1)="B","B",$G341))))</f>
        <v/>
      </c>
      <c r="K341" s="3">
        <f>IFERROR(INDEX('TECNICOS'!$E$4:$E$19,MATCH($C341,'TECNICOS'!$B$4:$B$19,0)),"")</f>
        <v/>
      </c>
      <c r="L341" s="12">
        <f>IF($A341="","",DATE(VALUE(LEFT($A341,4)),1,4)-WEEKDAY(DATE(VALUE(LEFT($A341,4)),1,4),2)+1+(VALUE(MID($A341,7,2))-1)*7+MATCH($B341,lista_dias,0)-1)</f>
        <v/>
      </c>
      <c r="M341" s="3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3">
        <f>$A341&amp;"|"&amp;$B341&amp;"|"&amp;$C341</f>
        <v/>
      </c>
      <c r="O341" s="3">
        <f>IFERROR(INDEX('CAT_TURNOS'!$C$4:$C$7,MATCH($J341,'CAT_TURNOS'!$A$4:$A$7,0)),"")</f>
        <v/>
      </c>
      <c r="P341" s="3">
        <f>IFERROR(INDEX('CAT_TURNOS'!$D$4:$D$7,MATCH($J341,'CAT_TURNOS'!$A$4:$A$7,0)),"")</f>
        <v/>
      </c>
      <c r="Q341" s="3">
        <f>IF(AND(LEFT($G341,1)="T",$H341="no"),"sí","no")</f>
        <v/>
      </c>
    </row>
    <row r="342">
      <c r="A342" s="3" t="inlineStr">
        <is>
          <t>2026-S32</t>
        </is>
      </c>
      <c r="B342" s="3" t="inlineStr">
        <is>
          <t>miércoles</t>
        </is>
      </c>
      <c r="C342" s="3" t="inlineStr">
        <is>
          <t>Técnico 01</t>
        </is>
      </c>
      <c r="D342" s="3">
        <f>IFERROR(INDEX('TECNICOS'!$D$4:$D$19,MATCH($C342,'TECNICOS'!$B$4:$B$19,0)),"")</f>
        <v/>
      </c>
      <c r="E342" s="3">
        <f>IFERROR(INDEX('TECNICOS'!$C$4:$C$19,MATCH($C342,'TECNICOS'!$B$4:$B$19,0)),"")</f>
        <v/>
      </c>
      <c r="F342" s="3">
        <f>COUNTIFS('TECNICOS'!$F$4:$F$19,"SI",'TECNICOS'!$C$4:$C$19,$E342,'TECNICOS'!$D$4:$D$19,$D342)</f>
        <v/>
      </c>
      <c r="G342" s="3">
        <f>IF(OR($C342="",$A342="",$B342="domingo"),"",IF(IFERROR(INDEX('TECNICOS'!$F$4:$F$19,MATCH($C342,'TECNICOS'!$B$4:$B$19,0)),"NO")&lt;&gt;"SI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3">
        <f>IF(COUNTIFS('PLAN_VACACIONES'!$A$4:$A$103,$C342,'PLAN_VACACIONES'!$B$4:$B$103,"&lt;="&amp;$L342,'PLAN_VACACIONES'!$C$4:$C$103,"&gt;="&amp;$L342)&gt;0,"sí","no")</f>
        <v/>
      </c>
      <c r="I342" s="6" t="n"/>
      <c r="J342" s="3">
        <f>IF($I342&lt;&gt;"",$I342,IF($G342="","",IF($H342="sí","VAC",IF(LEFT($G342,1)="B","B",$G342))))</f>
        <v/>
      </c>
      <c r="K342" s="3">
        <f>IFERROR(INDEX('TECNICOS'!$E$4:$E$19,MATCH($C342,'TECNICOS'!$B$4:$B$19,0)),"")</f>
        <v/>
      </c>
      <c r="L342" s="12">
        <f>IF($A342="","",DATE(VALUE(LEFT($A342,4)),1,4)-WEEKDAY(DATE(VALUE(LEFT($A342,4)),1,4),2)+1+(VALUE(MID($A342,7,2))-1)*7+MATCH($B342,lista_dias,0)-1)</f>
        <v/>
      </c>
      <c r="M342" s="3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3">
        <f>$A342&amp;"|"&amp;$B342&amp;"|"&amp;$C342</f>
        <v/>
      </c>
      <c r="O342" s="3">
        <f>IFERROR(INDEX('CAT_TURNOS'!$C$4:$C$7,MATCH($J342,'CAT_TURNOS'!$A$4:$A$7,0)),"")</f>
        <v/>
      </c>
      <c r="P342" s="3">
        <f>IFERROR(INDEX('CAT_TURNOS'!$D$4:$D$7,MATCH($J342,'CAT_TURNOS'!$A$4:$A$7,0)),"")</f>
        <v/>
      </c>
      <c r="Q342" s="3">
        <f>IF(AND(LEFT($G342,1)="T",$H342="no"),"sí","no")</f>
        <v/>
      </c>
    </row>
    <row r="343">
      <c r="A343" s="3" t="inlineStr">
        <is>
          <t>2026-S32</t>
        </is>
      </c>
      <c r="B343" s="3" t="inlineStr">
        <is>
          <t>jueves</t>
        </is>
      </c>
      <c r="C343" s="3" t="inlineStr">
        <is>
          <t>Técnico 01</t>
        </is>
      </c>
      <c r="D343" s="3">
        <f>IFERROR(INDEX('TECNICOS'!$D$4:$D$19,MATCH($C343,'TECNICOS'!$B$4:$B$19,0)),"")</f>
        <v/>
      </c>
      <c r="E343" s="3">
        <f>IFERROR(INDEX('TECNICOS'!$C$4:$C$19,MATCH($C343,'TECNICOS'!$B$4:$B$19,0)),"")</f>
        <v/>
      </c>
      <c r="F343" s="3">
        <f>COUNTIFS('TECNICOS'!$F$4:$F$19,"SI",'TECNICOS'!$C$4:$C$19,$E343,'TECNICOS'!$D$4:$D$19,$D343)</f>
        <v/>
      </c>
      <c r="G343" s="3">
        <f>IF(OR($C343="",$A343="",$B343="domingo"),"",IF(IFERROR(INDEX('TECNICOS'!$F$4:$F$19,MATCH($C343,'TECNICOS'!$B$4:$B$19,0)),"NO")&lt;&gt;"SI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3">
        <f>IF(COUNTIFS('PLAN_VACACIONES'!$A$4:$A$103,$C343,'PLAN_VACACIONES'!$B$4:$B$103,"&lt;="&amp;$L343,'PLAN_VACACIONES'!$C$4:$C$103,"&gt;="&amp;$L343)&gt;0,"sí","no")</f>
        <v/>
      </c>
      <c r="I343" s="6" t="n"/>
      <c r="J343" s="3">
        <f>IF($I343&lt;&gt;"",$I343,IF($G343="","",IF($H343="sí","VAC",IF(LEFT($G343,1)="B","B",$G343))))</f>
        <v/>
      </c>
      <c r="K343" s="3">
        <f>IFERROR(INDEX('TECNICOS'!$E$4:$E$19,MATCH($C343,'TECNICOS'!$B$4:$B$19,0)),"")</f>
        <v/>
      </c>
      <c r="L343" s="12">
        <f>IF($A343="","",DATE(VALUE(LEFT($A343,4)),1,4)-WEEKDAY(DATE(VALUE(LEFT($A343,4)),1,4),2)+1+(VALUE(MID($A343,7,2))-1)*7+MATCH($B343,lista_dias,0)-1)</f>
        <v/>
      </c>
      <c r="M343" s="3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3">
        <f>$A343&amp;"|"&amp;$B343&amp;"|"&amp;$C343</f>
        <v/>
      </c>
      <c r="O343" s="3">
        <f>IFERROR(INDEX('CAT_TURNOS'!$C$4:$C$7,MATCH($J343,'CAT_TURNOS'!$A$4:$A$7,0)),"")</f>
        <v/>
      </c>
      <c r="P343" s="3">
        <f>IFERROR(INDEX('CAT_TURNOS'!$D$4:$D$7,MATCH($J343,'CAT_TURNOS'!$A$4:$A$7,0)),"")</f>
        <v/>
      </c>
      <c r="Q343" s="3">
        <f>IF(AND(LEFT($G343,1)="T",$H343="no"),"sí","no")</f>
        <v/>
      </c>
    </row>
    <row r="344">
      <c r="A344" s="3" t="inlineStr">
        <is>
          <t>2026-S32</t>
        </is>
      </c>
      <c r="B344" s="3" t="inlineStr">
        <is>
          <t>viernes</t>
        </is>
      </c>
      <c r="C344" s="3" t="inlineStr">
        <is>
          <t>Técnico 01</t>
        </is>
      </c>
      <c r="D344" s="3">
        <f>IFERROR(INDEX('TECNICOS'!$D$4:$D$19,MATCH($C344,'TECNICOS'!$B$4:$B$19,0)),"")</f>
        <v/>
      </c>
      <c r="E344" s="3">
        <f>IFERROR(INDEX('TECNICOS'!$C$4:$C$19,MATCH($C344,'TECNICOS'!$B$4:$B$19,0)),"")</f>
        <v/>
      </c>
      <c r="F344" s="3">
        <f>COUNTIFS('TECNICOS'!$F$4:$F$19,"SI",'TECNICOS'!$C$4:$C$19,$E344,'TECNICOS'!$D$4:$D$19,$D344)</f>
        <v/>
      </c>
      <c r="G344" s="3">
        <f>IF(OR($C344="",$A344="",$B344="domingo"),"",IF(IFERROR(INDEX('TECNICOS'!$F$4:$F$19,MATCH($C344,'TECNICOS'!$B$4:$B$19,0)),"NO")&lt;&gt;"SI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3">
        <f>IF(COUNTIFS('PLAN_VACACIONES'!$A$4:$A$103,$C344,'PLAN_VACACIONES'!$B$4:$B$103,"&lt;="&amp;$L344,'PLAN_VACACIONES'!$C$4:$C$103,"&gt;="&amp;$L344)&gt;0,"sí","no")</f>
        <v/>
      </c>
      <c r="I344" s="6" t="n"/>
      <c r="J344" s="3">
        <f>IF($I344&lt;&gt;"",$I344,IF($G344="","",IF($H344="sí","VAC",IF(LEFT($G344,1)="B","B",$G344))))</f>
        <v/>
      </c>
      <c r="K344" s="3">
        <f>IFERROR(INDEX('TECNICOS'!$E$4:$E$19,MATCH($C344,'TECNICOS'!$B$4:$B$19,0)),"")</f>
        <v/>
      </c>
      <c r="L344" s="12">
        <f>IF($A344="","",DATE(VALUE(LEFT($A344,4)),1,4)-WEEKDAY(DATE(VALUE(LEFT($A344,4)),1,4),2)+1+(VALUE(MID($A344,7,2))-1)*7+MATCH($B344,lista_dias,0)-1)</f>
        <v/>
      </c>
      <c r="M344" s="3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3">
        <f>$A344&amp;"|"&amp;$B344&amp;"|"&amp;$C344</f>
        <v/>
      </c>
      <c r="O344" s="3">
        <f>IFERROR(INDEX('CAT_TURNOS'!$C$4:$C$7,MATCH($J344,'CAT_TURNOS'!$A$4:$A$7,0)),"")</f>
        <v/>
      </c>
      <c r="P344" s="3">
        <f>IFERROR(INDEX('CAT_TURNOS'!$D$4:$D$7,MATCH($J344,'CAT_TURNOS'!$A$4:$A$7,0)),"")</f>
        <v/>
      </c>
      <c r="Q344" s="3">
        <f>IF(AND(LEFT($G344,1)="T",$H344="no"),"sí","no")</f>
        <v/>
      </c>
    </row>
    <row r="345">
      <c r="A345" s="3" t="inlineStr">
        <is>
          <t>2026-S32</t>
        </is>
      </c>
      <c r="B345" s="3" t="inlineStr">
        <is>
          <t>sábado</t>
        </is>
      </c>
      <c r="C345" s="3" t="inlineStr">
        <is>
          <t>Técnico 01</t>
        </is>
      </c>
      <c r="D345" s="3">
        <f>IFERROR(INDEX('TECNICOS'!$D$4:$D$19,MATCH($C345,'TECNICOS'!$B$4:$B$19,0)),"")</f>
        <v/>
      </c>
      <c r="E345" s="3">
        <f>IFERROR(INDEX('TECNICOS'!$C$4:$C$19,MATCH($C345,'TECNICOS'!$B$4:$B$19,0)),"")</f>
        <v/>
      </c>
      <c r="F345" s="3">
        <f>COUNTIFS('TECNICOS'!$F$4:$F$19,"SI",'TECNICOS'!$C$4:$C$19,$E345,'TECNICOS'!$D$4:$D$19,$D345)</f>
        <v/>
      </c>
      <c r="G345" s="3">
        <f>IF(OR($C345="",$A345="",$B345="domingo"),"",IF(IFERROR(INDEX('TECNICOS'!$F$4:$F$19,MATCH($C345,'TECNICOS'!$B$4:$B$19,0)),"NO")&lt;&gt;"SI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3">
        <f>IF(COUNTIFS('PLAN_VACACIONES'!$A$4:$A$103,$C345,'PLAN_VACACIONES'!$B$4:$B$103,"&lt;="&amp;$L345,'PLAN_VACACIONES'!$C$4:$C$103,"&gt;="&amp;$L345)&gt;0,"sí","no")</f>
        <v/>
      </c>
      <c r="I345" s="6" t="n"/>
      <c r="J345" s="3">
        <f>IF($I345&lt;&gt;"",$I345,IF($G345="","",IF($H345="sí","VAC",IF(LEFT($G345,1)="B","B",$G345))))</f>
        <v/>
      </c>
      <c r="K345" s="3">
        <f>IFERROR(INDEX('TECNICOS'!$E$4:$E$19,MATCH($C345,'TECNICOS'!$B$4:$B$19,0)),"")</f>
        <v/>
      </c>
      <c r="L345" s="12">
        <f>IF($A345="","",DATE(VALUE(LEFT($A345,4)),1,4)-WEEKDAY(DATE(VALUE(LEFT($A345,4)),1,4),2)+1+(VALUE(MID($A345,7,2))-1)*7+MATCH($B345,lista_dias,0)-1)</f>
        <v/>
      </c>
      <c r="M345" s="3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3">
        <f>$A345&amp;"|"&amp;$B345&amp;"|"&amp;$C345</f>
        <v/>
      </c>
      <c r="O345" s="3">
        <f>IFERROR(INDEX('CAT_TURNOS'!$C$4:$C$7,MATCH($J345,'CAT_TURNOS'!$A$4:$A$7,0)),"")</f>
        <v/>
      </c>
      <c r="P345" s="3">
        <f>IFERROR(INDEX('CAT_TURNOS'!$D$4:$D$7,MATCH($J345,'CAT_TURNOS'!$A$4:$A$7,0)),"")</f>
        <v/>
      </c>
      <c r="Q345" s="3">
        <f>IF(AND(LEFT($G345,1)="T",$H345="no"),"sí","no")</f>
        <v/>
      </c>
    </row>
    <row r="346">
      <c r="A346" s="3" t="inlineStr">
        <is>
          <t>2026-S32</t>
        </is>
      </c>
      <c r="B346" s="3" t="inlineStr">
        <is>
          <t>domingo</t>
        </is>
      </c>
      <c r="C346" s="3" t="inlineStr">
        <is>
          <t>Técnico 01</t>
        </is>
      </c>
      <c r="D346" s="3">
        <f>IFERROR(INDEX('TECNICOS'!$D$4:$D$19,MATCH($C346,'TECNICOS'!$B$4:$B$19,0)),"")</f>
        <v/>
      </c>
      <c r="E346" s="3">
        <f>IFERROR(INDEX('TECNICOS'!$C$4:$C$19,MATCH($C346,'TECNICOS'!$B$4:$B$19,0)),"")</f>
        <v/>
      </c>
      <c r="F346" s="3">
        <f>COUNTIFS('TECNICOS'!$F$4:$F$19,"SI",'TECNICOS'!$C$4:$C$19,$E346,'TECNICOS'!$D$4:$D$19,$D346)</f>
        <v/>
      </c>
      <c r="G346" s="3">
        <f>IF(OR($C346="",$A346="",$B346="domingo"),"",IF(IFERROR(INDEX('TECNICOS'!$F$4:$F$19,MATCH($C346,'TECNICOS'!$B$4:$B$19,0)),"NO")&lt;&gt;"SI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3">
        <f>IF(COUNTIFS('PLAN_VACACIONES'!$A$4:$A$103,$C346,'PLAN_VACACIONES'!$B$4:$B$103,"&lt;="&amp;$L346,'PLAN_VACACIONES'!$C$4:$C$103,"&gt;="&amp;$L346)&gt;0,"sí","no")</f>
        <v/>
      </c>
      <c r="I346" s="6" t="n"/>
      <c r="J346" s="3">
        <f>IF($I346&lt;&gt;"",$I346,IF($G346="","",IF($H346="sí","VAC",IF(LEFT($G346,1)="B","B",$G346))))</f>
        <v/>
      </c>
      <c r="K346" s="3">
        <f>IFERROR(INDEX('TECNICOS'!$E$4:$E$19,MATCH($C346,'TECNICOS'!$B$4:$B$19,0)),"")</f>
        <v/>
      </c>
      <c r="L346" s="12">
        <f>IF($A346="","",DATE(VALUE(LEFT($A346,4)),1,4)-WEEKDAY(DATE(VALUE(LEFT($A346,4)),1,4),2)+1+(VALUE(MID($A346,7,2))-1)*7+MATCH($B346,lista_dias,0)-1)</f>
        <v/>
      </c>
      <c r="M346" s="3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3">
        <f>$A346&amp;"|"&amp;$B346&amp;"|"&amp;$C346</f>
        <v/>
      </c>
      <c r="O346" s="3">
        <f>IFERROR(INDEX('CAT_TURNOS'!$C$4:$C$7,MATCH($J346,'CAT_TURNOS'!$A$4:$A$7,0)),"")</f>
        <v/>
      </c>
      <c r="P346" s="3">
        <f>IFERROR(INDEX('CAT_TURNOS'!$D$4:$D$7,MATCH($J346,'CAT_TURNOS'!$A$4:$A$7,0)),"")</f>
        <v/>
      </c>
      <c r="Q346" s="3">
        <f>IF(AND(LEFT($G346,1)="T",$H346="no"),"sí","no")</f>
        <v/>
      </c>
    </row>
    <row r="347">
      <c r="A347" s="3" t="inlineStr">
        <is>
          <t>2026-S32</t>
        </is>
      </c>
      <c r="B347" s="3" t="inlineStr">
        <is>
          <t>lunes</t>
        </is>
      </c>
      <c r="C347" s="3" t="inlineStr">
        <is>
          <t>Técnico 02</t>
        </is>
      </c>
      <c r="D347" s="3">
        <f>IFERROR(INDEX('TECNICOS'!$D$4:$D$19,MATCH($C347,'TECNICOS'!$B$4:$B$19,0)),"")</f>
        <v/>
      </c>
      <c r="E347" s="3">
        <f>IFERROR(INDEX('TECNICOS'!$C$4:$C$19,MATCH($C347,'TECNICOS'!$B$4:$B$19,0)),"")</f>
        <v/>
      </c>
      <c r="F347" s="3">
        <f>COUNTIFS('TECNICOS'!$F$4:$F$19,"SI",'TECNICOS'!$C$4:$C$19,$E347,'TECNICOS'!$D$4:$D$19,$D347)</f>
        <v/>
      </c>
      <c r="G347" s="3">
        <f>IF(OR($C347="",$A347="",$B347="domingo"),"",IF(IFERROR(INDEX('TECNICOS'!$F$4:$F$19,MATCH($C347,'TECNICOS'!$B$4:$B$19,0)),"NO")&lt;&gt;"SI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3">
        <f>IF(COUNTIFS('PLAN_VACACIONES'!$A$4:$A$103,$C347,'PLAN_VACACIONES'!$B$4:$B$103,"&lt;="&amp;$L347,'PLAN_VACACIONES'!$C$4:$C$103,"&gt;="&amp;$L347)&gt;0,"sí","no")</f>
        <v/>
      </c>
      <c r="I347" s="6" t="n"/>
      <c r="J347" s="3">
        <f>IF($I347&lt;&gt;"",$I347,IF($G347="","",IF($H347="sí","VAC",IF(LEFT($G347,1)="B","B",$G347))))</f>
        <v/>
      </c>
      <c r="K347" s="3">
        <f>IFERROR(INDEX('TECNICOS'!$E$4:$E$19,MATCH($C347,'TECNICOS'!$B$4:$B$19,0)),"")</f>
        <v/>
      </c>
      <c r="L347" s="12">
        <f>IF($A347="","",DATE(VALUE(LEFT($A347,4)),1,4)-WEEKDAY(DATE(VALUE(LEFT($A347,4)),1,4),2)+1+(VALUE(MID($A347,7,2))-1)*7+MATCH($B347,lista_dias,0)-1)</f>
        <v/>
      </c>
      <c r="M347" s="3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3">
        <f>$A347&amp;"|"&amp;$B347&amp;"|"&amp;$C347</f>
        <v/>
      </c>
      <c r="O347" s="3">
        <f>IFERROR(INDEX('CAT_TURNOS'!$C$4:$C$7,MATCH($J347,'CAT_TURNOS'!$A$4:$A$7,0)),"")</f>
        <v/>
      </c>
      <c r="P347" s="3">
        <f>IFERROR(INDEX('CAT_TURNOS'!$D$4:$D$7,MATCH($J347,'CAT_TURNOS'!$A$4:$A$7,0)),"")</f>
        <v/>
      </c>
      <c r="Q347" s="3">
        <f>IF(AND(LEFT($G347,1)="T",$H347="no"),"sí","no")</f>
        <v/>
      </c>
    </row>
    <row r="348">
      <c r="A348" s="3" t="inlineStr">
        <is>
          <t>2026-S32</t>
        </is>
      </c>
      <c r="B348" s="3" t="inlineStr">
        <is>
          <t>martes</t>
        </is>
      </c>
      <c r="C348" s="3" t="inlineStr">
        <is>
          <t>Técnico 02</t>
        </is>
      </c>
      <c r="D348" s="3">
        <f>IFERROR(INDEX('TECNICOS'!$D$4:$D$19,MATCH($C348,'TECNICOS'!$B$4:$B$19,0)),"")</f>
        <v/>
      </c>
      <c r="E348" s="3">
        <f>IFERROR(INDEX('TECNICOS'!$C$4:$C$19,MATCH($C348,'TECNICOS'!$B$4:$B$19,0)),"")</f>
        <v/>
      </c>
      <c r="F348" s="3">
        <f>COUNTIFS('TECNICOS'!$F$4:$F$19,"SI",'TECNICOS'!$C$4:$C$19,$E348,'TECNICOS'!$D$4:$D$19,$D348)</f>
        <v/>
      </c>
      <c r="G348" s="3">
        <f>IF(OR($C348="",$A348="",$B348="domingo"),"",IF(IFERROR(INDEX('TECNICOS'!$F$4:$F$19,MATCH($C348,'TECNICOS'!$B$4:$B$19,0)),"NO")&lt;&gt;"SI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3">
        <f>IF(COUNTIFS('PLAN_VACACIONES'!$A$4:$A$103,$C348,'PLAN_VACACIONES'!$B$4:$B$103,"&lt;="&amp;$L348,'PLAN_VACACIONES'!$C$4:$C$103,"&gt;="&amp;$L348)&gt;0,"sí","no")</f>
        <v/>
      </c>
      <c r="I348" s="6" t="n"/>
      <c r="J348" s="3">
        <f>IF($I348&lt;&gt;"",$I348,IF($G348="","",IF($H348="sí","VAC",IF(LEFT($G348,1)="B","B",$G348))))</f>
        <v/>
      </c>
      <c r="K348" s="3">
        <f>IFERROR(INDEX('TECNICOS'!$E$4:$E$19,MATCH($C348,'TECNICOS'!$B$4:$B$19,0)),"")</f>
        <v/>
      </c>
      <c r="L348" s="12">
        <f>IF($A348="","",DATE(VALUE(LEFT($A348,4)),1,4)-WEEKDAY(DATE(VALUE(LEFT($A348,4)),1,4),2)+1+(VALUE(MID($A348,7,2))-1)*7+MATCH($B348,lista_dias,0)-1)</f>
        <v/>
      </c>
      <c r="M348" s="3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3">
        <f>$A348&amp;"|"&amp;$B348&amp;"|"&amp;$C348</f>
        <v/>
      </c>
      <c r="O348" s="3">
        <f>IFERROR(INDEX('CAT_TURNOS'!$C$4:$C$7,MATCH($J348,'CAT_TURNOS'!$A$4:$A$7,0)),"")</f>
        <v/>
      </c>
      <c r="P348" s="3">
        <f>IFERROR(INDEX('CAT_TURNOS'!$D$4:$D$7,MATCH($J348,'CAT_TURNOS'!$A$4:$A$7,0)),"")</f>
        <v/>
      </c>
      <c r="Q348" s="3">
        <f>IF(AND(LEFT($G348,1)="T",$H348="no"),"sí","no")</f>
        <v/>
      </c>
    </row>
    <row r="349">
      <c r="A349" s="3" t="inlineStr">
        <is>
          <t>2026-S32</t>
        </is>
      </c>
      <c r="B349" s="3" t="inlineStr">
        <is>
          <t>miércoles</t>
        </is>
      </c>
      <c r="C349" s="3" t="inlineStr">
        <is>
          <t>Técnico 02</t>
        </is>
      </c>
      <c r="D349" s="3">
        <f>IFERROR(INDEX('TECNICOS'!$D$4:$D$19,MATCH($C349,'TECNICOS'!$B$4:$B$19,0)),"")</f>
        <v/>
      </c>
      <c r="E349" s="3">
        <f>IFERROR(INDEX('TECNICOS'!$C$4:$C$19,MATCH($C349,'TECNICOS'!$B$4:$B$19,0)),"")</f>
        <v/>
      </c>
      <c r="F349" s="3">
        <f>COUNTIFS('TECNICOS'!$F$4:$F$19,"SI",'TECNICOS'!$C$4:$C$19,$E349,'TECNICOS'!$D$4:$D$19,$D349)</f>
        <v/>
      </c>
      <c r="G349" s="3">
        <f>IF(OR($C349="",$A349="",$B349="domingo"),"",IF(IFERROR(INDEX('TECNICOS'!$F$4:$F$19,MATCH($C349,'TECNICOS'!$B$4:$B$19,0)),"NO")&lt;&gt;"SI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3">
        <f>IF(COUNTIFS('PLAN_VACACIONES'!$A$4:$A$103,$C349,'PLAN_VACACIONES'!$B$4:$B$103,"&lt;="&amp;$L349,'PLAN_VACACIONES'!$C$4:$C$103,"&gt;="&amp;$L349)&gt;0,"sí","no")</f>
        <v/>
      </c>
      <c r="I349" s="6" t="n"/>
      <c r="J349" s="3">
        <f>IF($I349&lt;&gt;"",$I349,IF($G349="","",IF($H349="sí","VAC",IF(LEFT($G349,1)="B","B",$G349))))</f>
        <v/>
      </c>
      <c r="K349" s="3">
        <f>IFERROR(INDEX('TECNICOS'!$E$4:$E$19,MATCH($C349,'TECNICOS'!$B$4:$B$19,0)),"")</f>
        <v/>
      </c>
      <c r="L349" s="12">
        <f>IF($A349="","",DATE(VALUE(LEFT($A349,4)),1,4)-WEEKDAY(DATE(VALUE(LEFT($A349,4)),1,4),2)+1+(VALUE(MID($A349,7,2))-1)*7+MATCH($B349,lista_dias,0)-1)</f>
        <v/>
      </c>
      <c r="M349" s="3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3">
        <f>$A349&amp;"|"&amp;$B349&amp;"|"&amp;$C349</f>
        <v/>
      </c>
      <c r="O349" s="3">
        <f>IFERROR(INDEX('CAT_TURNOS'!$C$4:$C$7,MATCH($J349,'CAT_TURNOS'!$A$4:$A$7,0)),"")</f>
        <v/>
      </c>
      <c r="P349" s="3">
        <f>IFERROR(INDEX('CAT_TURNOS'!$D$4:$D$7,MATCH($J349,'CAT_TURNOS'!$A$4:$A$7,0)),"")</f>
        <v/>
      </c>
      <c r="Q349" s="3">
        <f>IF(AND(LEFT($G349,1)="T",$H349="no"),"sí","no")</f>
        <v/>
      </c>
    </row>
    <row r="350">
      <c r="A350" s="3" t="inlineStr">
        <is>
          <t>2026-S32</t>
        </is>
      </c>
      <c r="B350" s="3" t="inlineStr">
        <is>
          <t>jueves</t>
        </is>
      </c>
      <c r="C350" s="3" t="inlineStr">
        <is>
          <t>Técnico 02</t>
        </is>
      </c>
      <c r="D350" s="3">
        <f>IFERROR(INDEX('TECNICOS'!$D$4:$D$19,MATCH($C350,'TECNICOS'!$B$4:$B$19,0)),"")</f>
        <v/>
      </c>
      <c r="E350" s="3">
        <f>IFERROR(INDEX('TECNICOS'!$C$4:$C$19,MATCH($C350,'TECNICOS'!$B$4:$B$19,0)),"")</f>
        <v/>
      </c>
      <c r="F350" s="3">
        <f>COUNTIFS('TECNICOS'!$F$4:$F$19,"SI",'TECNICOS'!$C$4:$C$19,$E350,'TECNICOS'!$D$4:$D$19,$D350)</f>
        <v/>
      </c>
      <c r="G350" s="3">
        <f>IF(OR($C350="",$A350="",$B350="domingo"),"",IF(IFERROR(INDEX('TECNICOS'!$F$4:$F$19,MATCH($C350,'TECNICOS'!$B$4:$B$19,0)),"NO")&lt;&gt;"SI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3">
        <f>IF(COUNTIFS('PLAN_VACACIONES'!$A$4:$A$103,$C350,'PLAN_VACACIONES'!$B$4:$B$103,"&lt;="&amp;$L350,'PLAN_VACACIONES'!$C$4:$C$103,"&gt;="&amp;$L350)&gt;0,"sí","no")</f>
        <v/>
      </c>
      <c r="I350" s="6" t="n"/>
      <c r="J350" s="3">
        <f>IF($I350&lt;&gt;"",$I350,IF($G350="","",IF($H350="sí","VAC",IF(LEFT($G350,1)="B","B",$G350))))</f>
        <v/>
      </c>
      <c r="K350" s="3">
        <f>IFERROR(INDEX('TECNICOS'!$E$4:$E$19,MATCH($C350,'TECNICOS'!$B$4:$B$19,0)),"")</f>
        <v/>
      </c>
      <c r="L350" s="12">
        <f>IF($A350="","",DATE(VALUE(LEFT($A350,4)),1,4)-WEEKDAY(DATE(VALUE(LEFT($A350,4)),1,4),2)+1+(VALUE(MID($A350,7,2))-1)*7+MATCH($B350,lista_dias,0)-1)</f>
        <v/>
      </c>
      <c r="M350" s="3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3">
        <f>$A350&amp;"|"&amp;$B350&amp;"|"&amp;$C350</f>
        <v/>
      </c>
      <c r="O350" s="3">
        <f>IFERROR(INDEX('CAT_TURNOS'!$C$4:$C$7,MATCH($J350,'CAT_TURNOS'!$A$4:$A$7,0)),"")</f>
        <v/>
      </c>
      <c r="P350" s="3">
        <f>IFERROR(INDEX('CAT_TURNOS'!$D$4:$D$7,MATCH($J350,'CAT_TURNOS'!$A$4:$A$7,0)),"")</f>
        <v/>
      </c>
      <c r="Q350" s="3">
        <f>IF(AND(LEFT($G350,1)="T",$H350="no"),"sí","no")</f>
        <v/>
      </c>
    </row>
    <row r="351">
      <c r="A351" s="3" t="inlineStr">
        <is>
          <t>2026-S32</t>
        </is>
      </c>
      <c r="B351" s="3" t="inlineStr">
        <is>
          <t>viernes</t>
        </is>
      </c>
      <c r="C351" s="3" t="inlineStr">
        <is>
          <t>Técnico 02</t>
        </is>
      </c>
      <c r="D351" s="3">
        <f>IFERROR(INDEX('TECNICOS'!$D$4:$D$19,MATCH($C351,'TECNICOS'!$B$4:$B$19,0)),"")</f>
        <v/>
      </c>
      <c r="E351" s="3">
        <f>IFERROR(INDEX('TECNICOS'!$C$4:$C$19,MATCH($C351,'TECNICOS'!$B$4:$B$19,0)),"")</f>
        <v/>
      </c>
      <c r="F351" s="3">
        <f>COUNTIFS('TECNICOS'!$F$4:$F$19,"SI",'TECNICOS'!$C$4:$C$19,$E351,'TECNICOS'!$D$4:$D$19,$D351)</f>
        <v/>
      </c>
      <c r="G351" s="3">
        <f>IF(OR($C351="",$A351="",$B351="domingo"),"",IF(IFERROR(INDEX('TECNICOS'!$F$4:$F$19,MATCH($C351,'TECNICOS'!$B$4:$B$19,0)),"NO")&lt;&gt;"SI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3">
        <f>IF(COUNTIFS('PLAN_VACACIONES'!$A$4:$A$103,$C351,'PLAN_VACACIONES'!$B$4:$B$103,"&lt;="&amp;$L351,'PLAN_VACACIONES'!$C$4:$C$103,"&gt;="&amp;$L351)&gt;0,"sí","no")</f>
        <v/>
      </c>
      <c r="I351" s="6" t="n"/>
      <c r="J351" s="3">
        <f>IF($I351&lt;&gt;"",$I351,IF($G351="","",IF($H351="sí","VAC",IF(LEFT($G351,1)="B","B",$G351))))</f>
        <v/>
      </c>
      <c r="K351" s="3">
        <f>IFERROR(INDEX('TECNICOS'!$E$4:$E$19,MATCH($C351,'TECNICOS'!$B$4:$B$19,0)),"")</f>
        <v/>
      </c>
      <c r="L351" s="12">
        <f>IF($A351="","",DATE(VALUE(LEFT($A351,4)),1,4)-WEEKDAY(DATE(VALUE(LEFT($A351,4)),1,4),2)+1+(VALUE(MID($A351,7,2))-1)*7+MATCH($B351,lista_dias,0)-1)</f>
        <v/>
      </c>
      <c r="M351" s="3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3">
        <f>$A351&amp;"|"&amp;$B351&amp;"|"&amp;$C351</f>
        <v/>
      </c>
      <c r="O351" s="3">
        <f>IFERROR(INDEX('CAT_TURNOS'!$C$4:$C$7,MATCH($J351,'CAT_TURNOS'!$A$4:$A$7,0)),"")</f>
        <v/>
      </c>
      <c r="P351" s="3">
        <f>IFERROR(INDEX('CAT_TURNOS'!$D$4:$D$7,MATCH($J351,'CAT_TURNOS'!$A$4:$A$7,0)),"")</f>
        <v/>
      </c>
      <c r="Q351" s="3">
        <f>IF(AND(LEFT($G351,1)="T",$H351="no"),"sí","no")</f>
        <v/>
      </c>
    </row>
    <row r="352">
      <c r="A352" s="3" t="inlineStr">
        <is>
          <t>2026-S32</t>
        </is>
      </c>
      <c r="B352" s="3" t="inlineStr">
        <is>
          <t>sábado</t>
        </is>
      </c>
      <c r="C352" s="3" t="inlineStr">
        <is>
          <t>Técnico 02</t>
        </is>
      </c>
      <c r="D352" s="3">
        <f>IFERROR(INDEX('TECNICOS'!$D$4:$D$19,MATCH($C352,'TECNICOS'!$B$4:$B$19,0)),"")</f>
        <v/>
      </c>
      <c r="E352" s="3">
        <f>IFERROR(INDEX('TECNICOS'!$C$4:$C$19,MATCH($C352,'TECNICOS'!$B$4:$B$19,0)),"")</f>
        <v/>
      </c>
      <c r="F352" s="3">
        <f>COUNTIFS('TECNICOS'!$F$4:$F$19,"SI",'TECNICOS'!$C$4:$C$19,$E352,'TECNICOS'!$D$4:$D$19,$D352)</f>
        <v/>
      </c>
      <c r="G352" s="3">
        <f>IF(OR($C352="",$A352="",$B352="domingo"),"",IF(IFERROR(INDEX('TECNICOS'!$F$4:$F$19,MATCH($C352,'TECNICOS'!$B$4:$B$19,0)),"NO")&lt;&gt;"SI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3">
        <f>IF(COUNTIFS('PLAN_VACACIONES'!$A$4:$A$103,$C352,'PLAN_VACACIONES'!$B$4:$B$103,"&lt;="&amp;$L352,'PLAN_VACACIONES'!$C$4:$C$103,"&gt;="&amp;$L352)&gt;0,"sí","no")</f>
        <v/>
      </c>
      <c r="I352" s="6" t="n"/>
      <c r="J352" s="3">
        <f>IF($I352&lt;&gt;"",$I352,IF($G352="","",IF($H352="sí","VAC",IF(LEFT($G352,1)="B","B",$G352))))</f>
        <v/>
      </c>
      <c r="K352" s="3">
        <f>IFERROR(INDEX('TECNICOS'!$E$4:$E$19,MATCH($C352,'TECNICOS'!$B$4:$B$19,0)),"")</f>
        <v/>
      </c>
      <c r="L352" s="12">
        <f>IF($A352="","",DATE(VALUE(LEFT($A352,4)),1,4)-WEEKDAY(DATE(VALUE(LEFT($A352,4)),1,4),2)+1+(VALUE(MID($A352,7,2))-1)*7+MATCH($B352,lista_dias,0)-1)</f>
        <v/>
      </c>
      <c r="M352" s="3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3">
        <f>$A352&amp;"|"&amp;$B352&amp;"|"&amp;$C352</f>
        <v/>
      </c>
      <c r="O352" s="3">
        <f>IFERROR(INDEX('CAT_TURNOS'!$C$4:$C$7,MATCH($J352,'CAT_TURNOS'!$A$4:$A$7,0)),"")</f>
        <v/>
      </c>
      <c r="P352" s="3">
        <f>IFERROR(INDEX('CAT_TURNOS'!$D$4:$D$7,MATCH($J352,'CAT_TURNOS'!$A$4:$A$7,0)),"")</f>
        <v/>
      </c>
      <c r="Q352" s="3">
        <f>IF(AND(LEFT($G352,1)="T",$H352="no"),"sí","no")</f>
        <v/>
      </c>
    </row>
    <row r="353">
      <c r="A353" s="3" t="inlineStr">
        <is>
          <t>2026-S32</t>
        </is>
      </c>
      <c r="B353" s="3" t="inlineStr">
        <is>
          <t>domingo</t>
        </is>
      </c>
      <c r="C353" s="3" t="inlineStr">
        <is>
          <t>Técnico 02</t>
        </is>
      </c>
      <c r="D353" s="3">
        <f>IFERROR(INDEX('TECNICOS'!$D$4:$D$19,MATCH($C353,'TECNICOS'!$B$4:$B$19,0)),"")</f>
        <v/>
      </c>
      <c r="E353" s="3">
        <f>IFERROR(INDEX('TECNICOS'!$C$4:$C$19,MATCH($C353,'TECNICOS'!$B$4:$B$19,0)),"")</f>
        <v/>
      </c>
      <c r="F353" s="3">
        <f>COUNTIFS('TECNICOS'!$F$4:$F$19,"SI",'TECNICOS'!$C$4:$C$19,$E353,'TECNICOS'!$D$4:$D$19,$D353)</f>
        <v/>
      </c>
      <c r="G353" s="3">
        <f>IF(OR($C353="",$A353="",$B353="domingo"),"",IF(IFERROR(INDEX('TECNICOS'!$F$4:$F$19,MATCH($C353,'TECNICOS'!$B$4:$B$19,0)),"NO")&lt;&gt;"SI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3">
        <f>IF(COUNTIFS('PLAN_VACACIONES'!$A$4:$A$103,$C353,'PLAN_VACACIONES'!$B$4:$B$103,"&lt;="&amp;$L353,'PLAN_VACACIONES'!$C$4:$C$103,"&gt;="&amp;$L353)&gt;0,"sí","no")</f>
        <v/>
      </c>
      <c r="I353" s="6" t="n"/>
      <c r="J353" s="3">
        <f>IF($I353&lt;&gt;"",$I353,IF($G353="","",IF($H353="sí","VAC",IF(LEFT($G353,1)="B","B",$G353))))</f>
        <v/>
      </c>
      <c r="K353" s="3">
        <f>IFERROR(INDEX('TECNICOS'!$E$4:$E$19,MATCH($C353,'TECNICOS'!$B$4:$B$19,0)),"")</f>
        <v/>
      </c>
      <c r="L353" s="12">
        <f>IF($A353="","",DATE(VALUE(LEFT($A353,4)),1,4)-WEEKDAY(DATE(VALUE(LEFT($A353,4)),1,4),2)+1+(VALUE(MID($A353,7,2))-1)*7+MATCH($B353,lista_dias,0)-1)</f>
        <v/>
      </c>
      <c r="M353" s="3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3">
        <f>$A353&amp;"|"&amp;$B353&amp;"|"&amp;$C353</f>
        <v/>
      </c>
      <c r="O353" s="3">
        <f>IFERROR(INDEX('CAT_TURNOS'!$C$4:$C$7,MATCH($J353,'CAT_TURNOS'!$A$4:$A$7,0)),"")</f>
        <v/>
      </c>
      <c r="P353" s="3">
        <f>IFERROR(INDEX('CAT_TURNOS'!$D$4:$D$7,MATCH($J353,'CAT_TURNOS'!$A$4:$A$7,0)),"")</f>
        <v/>
      </c>
      <c r="Q353" s="3">
        <f>IF(AND(LEFT($G353,1)="T",$H353="no"),"sí","no")</f>
        <v/>
      </c>
    </row>
    <row r="354">
      <c r="A354" s="3" t="inlineStr">
        <is>
          <t>2026-S32</t>
        </is>
      </c>
      <c r="B354" s="3" t="inlineStr">
        <is>
          <t>lunes</t>
        </is>
      </c>
      <c r="C354" s="3" t="inlineStr">
        <is>
          <t>Técnico 03</t>
        </is>
      </c>
      <c r="D354" s="3">
        <f>IFERROR(INDEX('TECNICOS'!$D$4:$D$19,MATCH($C354,'TECNICOS'!$B$4:$B$19,0)),"")</f>
        <v/>
      </c>
      <c r="E354" s="3">
        <f>IFERROR(INDEX('TECNICOS'!$C$4:$C$19,MATCH($C354,'TECNICOS'!$B$4:$B$19,0)),"")</f>
        <v/>
      </c>
      <c r="F354" s="3">
        <f>COUNTIFS('TECNICOS'!$F$4:$F$19,"SI",'TECNICOS'!$C$4:$C$19,$E354,'TECNICOS'!$D$4:$D$19,$D354)</f>
        <v/>
      </c>
      <c r="G354" s="3">
        <f>IF(OR($C354="",$A354="",$B354="domingo"),"",IF(IFERROR(INDEX('TECNICOS'!$F$4:$F$19,MATCH($C354,'TECNICOS'!$B$4:$B$19,0)),"NO")&lt;&gt;"SI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3">
        <f>IF(COUNTIFS('PLAN_VACACIONES'!$A$4:$A$103,$C354,'PLAN_VACACIONES'!$B$4:$B$103,"&lt;="&amp;$L354,'PLAN_VACACIONES'!$C$4:$C$103,"&gt;="&amp;$L354)&gt;0,"sí","no")</f>
        <v/>
      </c>
      <c r="I354" s="6" t="n"/>
      <c r="J354" s="3">
        <f>IF($I354&lt;&gt;"",$I354,IF($G354="","",IF($H354="sí","VAC",IF(LEFT($G354,1)="B","B",$G354))))</f>
        <v/>
      </c>
      <c r="K354" s="3">
        <f>IFERROR(INDEX('TECNICOS'!$E$4:$E$19,MATCH($C354,'TECNICOS'!$B$4:$B$19,0)),"")</f>
        <v/>
      </c>
      <c r="L354" s="12">
        <f>IF($A354="","",DATE(VALUE(LEFT($A354,4)),1,4)-WEEKDAY(DATE(VALUE(LEFT($A354,4)),1,4),2)+1+(VALUE(MID($A354,7,2))-1)*7+MATCH($B354,lista_dias,0)-1)</f>
        <v/>
      </c>
      <c r="M354" s="3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3">
        <f>$A354&amp;"|"&amp;$B354&amp;"|"&amp;$C354</f>
        <v/>
      </c>
      <c r="O354" s="3">
        <f>IFERROR(INDEX('CAT_TURNOS'!$C$4:$C$7,MATCH($J354,'CAT_TURNOS'!$A$4:$A$7,0)),"")</f>
        <v/>
      </c>
      <c r="P354" s="3">
        <f>IFERROR(INDEX('CAT_TURNOS'!$D$4:$D$7,MATCH($J354,'CAT_TURNOS'!$A$4:$A$7,0)),"")</f>
        <v/>
      </c>
      <c r="Q354" s="3">
        <f>IF(AND(LEFT($G354,1)="T",$H354="no"),"sí","no")</f>
        <v/>
      </c>
    </row>
    <row r="355">
      <c r="A355" s="3" t="inlineStr">
        <is>
          <t>2026-S32</t>
        </is>
      </c>
      <c r="B355" s="3" t="inlineStr">
        <is>
          <t>martes</t>
        </is>
      </c>
      <c r="C355" s="3" t="inlineStr">
        <is>
          <t>Técnico 03</t>
        </is>
      </c>
      <c r="D355" s="3">
        <f>IFERROR(INDEX('TECNICOS'!$D$4:$D$19,MATCH($C355,'TECNICOS'!$B$4:$B$19,0)),"")</f>
        <v/>
      </c>
      <c r="E355" s="3">
        <f>IFERROR(INDEX('TECNICOS'!$C$4:$C$19,MATCH($C355,'TECNICOS'!$B$4:$B$19,0)),"")</f>
        <v/>
      </c>
      <c r="F355" s="3">
        <f>COUNTIFS('TECNICOS'!$F$4:$F$19,"SI",'TECNICOS'!$C$4:$C$19,$E355,'TECNICOS'!$D$4:$D$19,$D355)</f>
        <v/>
      </c>
      <c r="G355" s="3">
        <f>IF(OR($C355="",$A355="",$B355="domingo"),"",IF(IFERROR(INDEX('TECNICOS'!$F$4:$F$19,MATCH($C355,'TECNICOS'!$B$4:$B$19,0)),"NO")&lt;&gt;"SI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3">
        <f>IF(COUNTIFS('PLAN_VACACIONES'!$A$4:$A$103,$C355,'PLAN_VACACIONES'!$B$4:$B$103,"&lt;="&amp;$L355,'PLAN_VACACIONES'!$C$4:$C$103,"&gt;="&amp;$L355)&gt;0,"sí","no")</f>
        <v/>
      </c>
      <c r="I355" s="6" t="n"/>
      <c r="J355" s="3">
        <f>IF($I355&lt;&gt;"",$I355,IF($G355="","",IF($H355="sí","VAC",IF(LEFT($G355,1)="B","B",$G355))))</f>
        <v/>
      </c>
      <c r="K355" s="3">
        <f>IFERROR(INDEX('TECNICOS'!$E$4:$E$19,MATCH($C355,'TECNICOS'!$B$4:$B$19,0)),"")</f>
        <v/>
      </c>
      <c r="L355" s="12">
        <f>IF($A355="","",DATE(VALUE(LEFT($A355,4)),1,4)-WEEKDAY(DATE(VALUE(LEFT($A355,4)),1,4),2)+1+(VALUE(MID($A355,7,2))-1)*7+MATCH($B355,lista_dias,0)-1)</f>
        <v/>
      </c>
      <c r="M355" s="3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3">
        <f>$A355&amp;"|"&amp;$B355&amp;"|"&amp;$C355</f>
        <v/>
      </c>
      <c r="O355" s="3">
        <f>IFERROR(INDEX('CAT_TURNOS'!$C$4:$C$7,MATCH($J355,'CAT_TURNOS'!$A$4:$A$7,0)),"")</f>
        <v/>
      </c>
      <c r="P355" s="3">
        <f>IFERROR(INDEX('CAT_TURNOS'!$D$4:$D$7,MATCH($J355,'CAT_TURNOS'!$A$4:$A$7,0)),"")</f>
        <v/>
      </c>
      <c r="Q355" s="3">
        <f>IF(AND(LEFT($G355,1)="T",$H355="no"),"sí","no")</f>
        <v/>
      </c>
    </row>
    <row r="356">
      <c r="A356" s="3" t="inlineStr">
        <is>
          <t>2026-S32</t>
        </is>
      </c>
      <c r="B356" s="3" t="inlineStr">
        <is>
          <t>miércoles</t>
        </is>
      </c>
      <c r="C356" s="3" t="inlineStr">
        <is>
          <t>Técnico 03</t>
        </is>
      </c>
      <c r="D356" s="3">
        <f>IFERROR(INDEX('TECNICOS'!$D$4:$D$19,MATCH($C356,'TECNICOS'!$B$4:$B$19,0)),"")</f>
        <v/>
      </c>
      <c r="E356" s="3">
        <f>IFERROR(INDEX('TECNICOS'!$C$4:$C$19,MATCH($C356,'TECNICOS'!$B$4:$B$19,0)),"")</f>
        <v/>
      </c>
      <c r="F356" s="3">
        <f>COUNTIFS('TECNICOS'!$F$4:$F$19,"SI",'TECNICOS'!$C$4:$C$19,$E356,'TECNICOS'!$D$4:$D$19,$D356)</f>
        <v/>
      </c>
      <c r="G356" s="3">
        <f>IF(OR($C356="",$A356="",$B356="domingo"),"",IF(IFERROR(INDEX('TECNICOS'!$F$4:$F$19,MATCH($C356,'TECNICOS'!$B$4:$B$19,0)),"NO")&lt;&gt;"SI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3">
        <f>IF(COUNTIFS('PLAN_VACACIONES'!$A$4:$A$103,$C356,'PLAN_VACACIONES'!$B$4:$B$103,"&lt;="&amp;$L356,'PLAN_VACACIONES'!$C$4:$C$103,"&gt;="&amp;$L356)&gt;0,"sí","no")</f>
        <v/>
      </c>
      <c r="I356" s="6" t="n"/>
      <c r="J356" s="3">
        <f>IF($I356&lt;&gt;"",$I356,IF($G356="","",IF($H356="sí","VAC",IF(LEFT($G356,1)="B","B",$G356))))</f>
        <v/>
      </c>
      <c r="K356" s="3">
        <f>IFERROR(INDEX('TECNICOS'!$E$4:$E$19,MATCH($C356,'TECNICOS'!$B$4:$B$19,0)),"")</f>
        <v/>
      </c>
      <c r="L356" s="12">
        <f>IF($A356="","",DATE(VALUE(LEFT($A356,4)),1,4)-WEEKDAY(DATE(VALUE(LEFT($A356,4)),1,4),2)+1+(VALUE(MID($A356,7,2))-1)*7+MATCH($B356,lista_dias,0)-1)</f>
        <v/>
      </c>
      <c r="M356" s="3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3">
        <f>$A356&amp;"|"&amp;$B356&amp;"|"&amp;$C356</f>
        <v/>
      </c>
      <c r="O356" s="3">
        <f>IFERROR(INDEX('CAT_TURNOS'!$C$4:$C$7,MATCH($J356,'CAT_TURNOS'!$A$4:$A$7,0)),"")</f>
        <v/>
      </c>
      <c r="P356" s="3">
        <f>IFERROR(INDEX('CAT_TURNOS'!$D$4:$D$7,MATCH($J356,'CAT_TURNOS'!$A$4:$A$7,0)),"")</f>
        <v/>
      </c>
      <c r="Q356" s="3">
        <f>IF(AND(LEFT($G356,1)="T",$H356="no"),"sí","no")</f>
        <v/>
      </c>
    </row>
    <row r="357">
      <c r="A357" s="3" t="inlineStr">
        <is>
          <t>2026-S32</t>
        </is>
      </c>
      <c r="B357" s="3" t="inlineStr">
        <is>
          <t>jueves</t>
        </is>
      </c>
      <c r="C357" s="3" t="inlineStr">
        <is>
          <t>Técnico 03</t>
        </is>
      </c>
      <c r="D357" s="3">
        <f>IFERROR(INDEX('TECNICOS'!$D$4:$D$19,MATCH($C357,'TECNICOS'!$B$4:$B$19,0)),"")</f>
        <v/>
      </c>
      <c r="E357" s="3">
        <f>IFERROR(INDEX('TECNICOS'!$C$4:$C$19,MATCH($C357,'TECNICOS'!$B$4:$B$19,0)),"")</f>
        <v/>
      </c>
      <c r="F357" s="3">
        <f>COUNTIFS('TECNICOS'!$F$4:$F$19,"SI",'TECNICOS'!$C$4:$C$19,$E357,'TECNICOS'!$D$4:$D$19,$D357)</f>
        <v/>
      </c>
      <c r="G357" s="3">
        <f>IF(OR($C357="",$A357="",$B357="domingo"),"",IF(IFERROR(INDEX('TECNICOS'!$F$4:$F$19,MATCH($C357,'TECNICOS'!$B$4:$B$19,0)),"NO")&lt;&gt;"SI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3">
        <f>IF(COUNTIFS('PLAN_VACACIONES'!$A$4:$A$103,$C357,'PLAN_VACACIONES'!$B$4:$B$103,"&lt;="&amp;$L357,'PLAN_VACACIONES'!$C$4:$C$103,"&gt;="&amp;$L357)&gt;0,"sí","no")</f>
        <v/>
      </c>
      <c r="I357" s="6" t="n"/>
      <c r="J357" s="3">
        <f>IF($I357&lt;&gt;"",$I357,IF($G357="","",IF($H357="sí","VAC",IF(LEFT($G357,1)="B","B",$G357))))</f>
        <v/>
      </c>
      <c r="K357" s="3">
        <f>IFERROR(INDEX('TECNICOS'!$E$4:$E$19,MATCH($C357,'TECNICOS'!$B$4:$B$19,0)),"")</f>
        <v/>
      </c>
      <c r="L357" s="12">
        <f>IF($A357="","",DATE(VALUE(LEFT($A357,4)),1,4)-WEEKDAY(DATE(VALUE(LEFT($A357,4)),1,4),2)+1+(VALUE(MID($A357,7,2))-1)*7+MATCH($B357,lista_dias,0)-1)</f>
        <v/>
      </c>
      <c r="M357" s="3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3">
        <f>$A357&amp;"|"&amp;$B357&amp;"|"&amp;$C357</f>
        <v/>
      </c>
      <c r="O357" s="3">
        <f>IFERROR(INDEX('CAT_TURNOS'!$C$4:$C$7,MATCH($J357,'CAT_TURNOS'!$A$4:$A$7,0)),"")</f>
        <v/>
      </c>
      <c r="P357" s="3">
        <f>IFERROR(INDEX('CAT_TURNOS'!$D$4:$D$7,MATCH($J357,'CAT_TURNOS'!$A$4:$A$7,0)),"")</f>
        <v/>
      </c>
      <c r="Q357" s="3">
        <f>IF(AND(LEFT($G357,1)="T",$H357="no"),"sí","no")</f>
        <v/>
      </c>
    </row>
    <row r="358">
      <c r="A358" s="3" t="inlineStr">
        <is>
          <t>2026-S32</t>
        </is>
      </c>
      <c r="B358" s="3" t="inlineStr">
        <is>
          <t>viernes</t>
        </is>
      </c>
      <c r="C358" s="3" t="inlineStr">
        <is>
          <t>Técnico 03</t>
        </is>
      </c>
      <c r="D358" s="3">
        <f>IFERROR(INDEX('TECNICOS'!$D$4:$D$19,MATCH($C358,'TECNICOS'!$B$4:$B$19,0)),"")</f>
        <v/>
      </c>
      <c r="E358" s="3">
        <f>IFERROR(INDEX('TECNICOS'!$C$4:$C$19,MATCH($C358,'TECNICOS'!$B$4:$B$19,0)),"")</f>
        <v/>
      </c>
      <c r="F358" s="3">
        <f>COUNTIFS('TECNICOS'!$F$4:$F$19,"SI",'TECNICOS'!$C$4:$C$19,$E358,'TECNICOS'!$D$4:$D$19,$D358)</f>
        <v/>
      </c>
      <c r="G358" s="3">
        <f>IF(OR($C358="",$A358="",$B358="domingo"),"",IF(IFERROR(INDEX('TECNICOS'!$F$4:$F$19,MATCH($C358,'TECNICOS'!$B$4:$B$19,0)),"NO")&lt;&gt;"SI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3">
        <f>IF(COUNTIFS('PLAN_VACACIONES'!$A$4:$A$103,$C358,'PLAN_VACACIONES'!$B$4:$B$103,"&lt;="&amp;$L358,'PLAN_VACACIONES'!$C$4:$C$103,"&gt;="&amp;$L358)&gt;0,"sí","no")</f>
        <v/>
      </c>
      <c r="I358" s="6" t="n"/>
      <c r="J358" s="3">
        <f>IF($I358&lt;&gt;"",$I358,IF($G358="","",IF($H358="sí","VAC",IF(LEFT($G358,1)="B","B",$G358))))</f>
        <v/>
      </c>
      <c r="K358" s="3">
        <f>IFERROR(INDEX('TECNICOS'!$E$4:$E$19,MATCH($C358,'TECNICOS'!$B$4:$B$19,0)),"")</f>
        <v/>
      </c>
      <c r="L358" s="12">
        <f>IF($A358="","",DATE(VALUE(LEFT($A358,4)),1,4)-WEEKDAY(DATE(VALUE(LEFT($A358,4)),1,4),2)+1+(VALUE(MID($A358,7,2))-1)*7+MATCH($B358,lista_dias,0)-1)</f>
        <v/>
      </c>
      <c r="M358" s="3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3">
        <f>$A358&amp;"|"&amp;$B358&amp;"|"&amp;$C358</f>
        <v/>
      </c>
      <c r="O358" s="3">
        <f>IFERROR(INDEX('CAT_TURNOS'!$C$4:$C$7,MATCH($J358,'CAT_TURNOS'!$A$4:$A$7,0)),"")</f>
        <v/>
      </c>
      <c r="P358" s="3">
        <f>IFERROR(INDEX('CAT_TURNOS'!$D$4:$D$7,MATCH($J358,'CAT_TURNOS'!$A$4:$A$7,0)),"")</f>
        <v/>
      </c>
      <c r="Q358" s="3">
        <f>IF(AND(LEFT($G358,1)="T",$H358="no"),"sí","no")</f>
        <v/>
      </c>
    </row>
    <row r="359">
      <c r="A359" s="3" t="inlineStr">
        <is>
          <t>2026-S32</t>
        </is>
      </c>
      <c r="B359" s="3" t="inlineStr">
        <is>
          <t>sábado</t>
        </is>
      </c>
      <c r="C359" s="3" t="inlineStr">
        <is>
          <t>Técnico 03</t>
        </is>
      </c>
      <c r="D359" s="3">
        <f>IFERROR(INDEX('TECNICOS'!$D$4:$D$19,MATCH($C359,'TECNICOS'!$B$4:$B$19,0)),"")</f>
        <v/>
      </c>
      <c r="E359" s="3">
        <f>IFERROR(INDEX('TECNICOS'!$C$4:$C$19,MATCH($C359,'TECNICOS'!$B$4:$B$19,0)),"")</f>
        <v/>
      </c>
      <c r="F359" s="3">
        <f>COUNTIFS('TECNICOS'!$F$4:$F$19,"SI",'TECNICOS'!$C$4:$C$19,$E359,'TECNICOS'!$D$4:$D$19,$D359)</f>
        <v/>
      </c>
      <c r="G359" s="3">
        <f>IF(OR($C359="",$A359="",$B359="domingo"),"",IF(IFERROR(INDEX('TECNICOS'!$F$4:$F$19,MATCH($C359,'TECNICOS'!$B$4:$B$19,0)),"NO")&lt;&gt;"SI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3">
        <f>IF(COUNTIFS('PLAN_VACACIONES'!$A$4:$A$103,$C359,'PLAN_VACACIONES'!$B$4:$B$103,"&lt;="&amp;$L359,'PLAN_VACACIONES'!$C$4:$C$103,"&gt;="&amp;$L359)&gt;0,"sí","no")</f>
        <v/>
      </c>
      <c r="I359" s="6" t="n"/>
      <c r="J359" s="3">
        <f>IF($I359&lt;&gt;"",$I359,IF($G359="","",IF($H359="sí","VAC",IF(LEFT($G359,1)="B","B",$G359))))</f>
        <v/>
      </c>
      <c r="K359" s="3">
        <f>IFERROR(INDEX('TECNICOS'!$E$4:$E$19,MATCH($C359,'TECNICOS'!$B$4:$B$19,0)),"")</f>
        <v/>
      </c>
      <c r="L359" s="12">
        <f>IF($A359="","",DATE(VALUE(LEFT($A359,4)),1,4)-WEEKDAY(DATE(VALUE(LEFT($A359,4)),1,4),2)+1+(VALUE(MID($A359,7,2))-1)*7+MATCH($B359,lista_dias,0)-1)</f>
        <v/>
      </c>
      <c r="M359" s="3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3">
        <f>$A359&amp;"|"&amp;$B359&amp;"|"&amp;$C359</f>
        <v/>
      </c>
      <c r="O359" s="3">
        <f>IFERROR(INDEX('CAT_TURNOS'!$C$4:$C$7,MATCH($J359,'CAT_TURNOS'!$A$4:$A$7,0)),"")</f>
        <v/>
      </c>
      <c r="P359" s="3">
        <f>IFERROR(INDEX('CAT_TURNOS'!$D$4:$D$7,MATCH($J359,'CAT_TURNOS'!$A$4:$A$7,0)),"")</f>
        <v/>
      </c>
      <c r="Q359" s="3">
        <f>IF(AND(LEFT($G359,1)="T",$H359="no"),"sí","no")</f>
        <v/>
      </c>
    </row>
    <row r="360">
      <c r="A360" s="3" t="inlineStr">
        <is>
          <t>2026-S32</t>
        </is>
      </c>
      <c r="B360" s="3" t="inlineStr">
        <is>
          <t>domingo</t>
        </is>
      </c>
      <c r="C360" s="3" t="inlineStr">
        <is>
          <t>Técnico 03</t>
        </is>
      </c>
      <c r="D360" s="3">
        <f>IFERROR(INDEX('TECNICOS'!$D$4:$D$19,MATCH($C360,'TECNICOS'!$B$4:$B$19,0)),"")</f>
        <v/>
      </c>
      <c r="E360" s="3">
        <f>IFERROR(INDEX('TECNICOS'!$C$4:$C$19,MATCH($C360,'TECNICOS'!$B$4:$B$19,0)),"")</f>
        <v/>
      </c>
      <c r="F360" s="3">
        <f>COUNTIFS('TECNICOS'!$F$4:$F$19,"SI",'TECNICOS'!$C$4:$C$19,$E360,'TECNICOS'!$D$4:$D$19,$D360)</f>
        <v/>
      </c>
      <c r="G360" s="3">
        <f>IF(OR($C360="",$A360="",$B360="domingo"),"",IF(IFERROR(INDEX('TECNICOS'!$F$4:$F$19,MATCH($C360,'TECNICOS'!$B$4:$B$19,0)),"NO")&lt;&gt;"SI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3">
        <f>IF(COUNTIFS('PLAN_VACACIONES'!$A$4:$A$103,$C360,'PLAN_VACACIONES'!$B$4:$B$103,"&lt;="&amp;$L360,'PLAN_VACACIONES'!$C$4:$C$103,"&gt;="&amp;$L360)&gt;0,"sí","no")</f>
        <v/>
      </c>
      <c r="I360" s="6" t="n"/>
      <c r="J360" s="3">
        <f>IF($I360&lt;&gt;"",$I360,IF($G360="","",IF($H360="sí","VAC",IF(LEFT($G360,1)="B","B",$G360))))</f>
        <v/>
      </c>
      <c r="K360" s="3">
        <f>IFERROR(INDEX('TECNICOS'!$E$4:$E$19,MATCH($C360,'TECNICOS'!$B$4:$B$19,0)),"")</f>
        <v/>
      </c>
      <c r="L360" s="12">
        <f>IF($A360="","",DATE(VALUE(LEFT($A360,4)),1,4)-WEEKDAY(DATE(VALUE(LEFT($A360,4)),1,4),2)+1+(VALUE(MID($A360,7,2))-1)*7+MATCH($B360,lista_dias,0)-1)</f>
        <v/>
      </c>
      <c r="M360" s="3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3">
        <f>$A360&amp;"|"&amp;$B360&amp;"|"&amp;$C360</f>
        <v/>
      </c>
      <c r="O360" s="3">
        <f>IFERROR(INDEX('CAT_TURNOS'!$C$4:$C$7,MATCH($J360,'CAT_TURNOS'!$A$4:$A$7,0)),"")</f>
        <v/>
      </c>
      <c r="P360" s="3">
        <f>IFERROR(INDEX('CAT_TURNOS'!$D$4:$D$7,MATCH($J360,'CAT_TURNOS'!$A$4:$A$7,0)),"")</f>
        <v/>
      </c>
      <c r="Q360" s="3">
        <f>IF(AND(LEFT($G360,1)="T",$H360="no"),"sí","no")</f>
        <v/>
      </c>
    </row>
    <row r="361">
      <c r="A361" s="3" t="inlineStr">
        <is>
          <t>2026-S32</t>
        </is>
      </c>
      <c r="B361" s="3" t="inlineStr">
        <is>
          <t>lunes</t>
        </is>
      </c>
      <c r="C361" s="3" t="inlineStr">
        <is>
          <t>Técnico 04</t>
        </is>
      </c>
      <c r="D361" s="3">
        <f>IFERROR(INDEX('TECNICOS'!$D$4:$D$19,MATCH($C361,'TECNICOS'!$B$4:$B$19,0)),"")</f>
        <v/>
      </c>
      <c r="E361" s="3">
        <f>IFERROR(INDEX('TECNICOS'!$C$4:$C$19,MATCH($C361,'TECNICOS'!$B$4:$B$19,0)),"")</f>
        <v/>
      </c>
      <c r="F361" s="3">
        <f>COUNTIFS('TECNICOS'!$F$4:$F$19,"SI",'TECNICOS'!$C$4:$C$19,$E361,'TECNICOS'!$D$4:$D$19,$D361)</f>
        <v/>
      </c>
      <c r="G361" s="3">
        <f>IF(OR($C361="",$A361="",$B361="domingo"),"",IF(IFERROR(INDEX('TECNICOS'!$F$4:$F$19,MATCH($C361,'TECNICOS'!$B$4:$B$19,0)),"NO")&lt;&gt;"SI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3">
        <f>IF(COUNTIFS('PLAN_VACACIONES'!$A$4:$A$103,$C361,'PLAN_VACACIONES'!$B$4:$B$103,"&lt;="&amp;$L361,'PLAN_VACACIONES'!$C$4:$C$103,"&gt;="&amp;$L361)&gt;0,"sí","no")</f>
        <v/>
      </c>
      <c r="I361" s="6" t="n"/>
      <c r="J361" s="3">
        <f>IF($I361&lt;&gt;"",$I361,IF($G361="","",IF($H361="sí","VAC",IF(LEFT($G361,1)="B","B",$G361))))</f>
        <v/>
      </c>
      <c r="K361" s="3">
        <f>IFERROR(INDEX('TECNICOS'!$E$4:$E$19,MATCH($C361,'TECNICOS'!$B$4:$B$19,0)),"")</f>
        <v/>
      </c>
      <c r="L361" s="12">
        <f>IF($A361="","",DATE(VALUE(LEFT($A361,4)),1,4)-WEEKDAY(DATE(VALUE(LEFT($A361,4)),1,4),2)+1+(VALUE(MID($A361,7,2))-1)*7+MATCH($B361,lista_dias,0)-1)</f>
        <v/>
      </c>
      <c r="M361" s="3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3">
        <f>$A361&amp;"|"&amp;$B361&amp;"|"&amp;$C361</f>
        <v/>
      </c>
      <c r="O361" s="3">
        <f>IFERROR(INDEX('CAT_TURNOS'!$C$4:$C$7,MATCH($J361,'CAT_TURNOS'!$A$4:$A$7,0)),"")</f>
        <v/>
      </c>
      <c r="P361" s="3">
        <f>IFERROR(INDEX('CAT_TURNOS'!$D$4:$D$7,MATCH($J361,'CAT_TURNOS'!$A$4:$A$7,0)),"")</f>
        <v/>
      </c>
      <c r="Q361" s="3">
        <f>IF(AND(LEFT($G361,1)="T",$H361="no"),"sí","no")</f>
        <v/>
      </c>
    </row>
    <row r="362">
      <c r="A362" s="3" t="inlineStr">
        <is>
          <t>2026-S32</t>
        </is>
      </c>
      <c r="B362" s="3" t="inlineStr">
        <is>
          <t>martes</t>
        </is>
      </c>
      <c r="C362" s="3" t="inlineStr">
        <is>
          <t>Técnico 04</t>
        </is>
      </c>
      <c r="D362" s="3">
        <f>IFERROR(INDEX('TECNICOS'!$D$4:$D$19,MATCH($C362,'TECNICOS'!$B$4:$B$19,0)),"")</f>
        <v/>
      </c>
      <c r="E362" s="3">
        <f>IFERROR(INDEX('TECNICOS'!$C$4:$C$19,MATCH($C362,'TECNICOS'!$B$4:$B$19,0)),"")</f>
        <v/>
      </c>
      <c r="F362" s="3">
        <f>COUNTIFS('TECNICOS'!$F$4:$F$19,"SI",'TECNICOS'!$C$4:$C$19,$E362,'TECNICOS'!$D$4:$D$19,$D362)</f>
        <v/>
      </c>
      <c r="G362" s="3">
        <f>IF(OR($C362="",$A362="",$B362="domingo"),"",IF(IFERROR(INDEX('TECNICOS'!$F$4:$F$19,MATCH($C362,'TECNICOS'!$B$4:$B$19,0)),"NO")&lt;&gt;"SI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3">
        <f>IF(COUNTIFS('PLAN_VACACIONES'!$A$4:$A$103,$C362,'PLAN_VACACIONES'!$B$4:$B$103,"&lt;="&amp;$L362,'PLAN_VACACIONES'!$C$4:$C$103,"&gt;="&amp;$L362)&gt;0,"sí","no")</f>
        <v/>
      </c>
      <c r="I362" s="6" t="n"/>
      <c r="J362" s="3">
        <f>IF($I362&lt;&gt;"",$I362,IF($G362="","",IF($H362="sí","VAC",IF(LEFT($G362,1)="B","B",$G362))))</f>
        <v/>
      </c>
      <c r="K362" s="3">
        <f>IFERROR(INDEX('TECNICOS'!$E$4:$E$19,MATCH($C362,'TECNICOS'!$B$4:$B$19,0)),"")</f>
        <v/>
      </c>
      <c r="L362" s="12">
        <f>IF($A362="","",DATE(VALUE(LEFT($A362,4)),1,4)-WEEKDAY(DATE(VALUE(LEFT($A362,4)),1,4),2)+1+(VALUE(MID($A362,7,2))-1)*7+MATCH($B362,lista_dias,0)-1)</f>
        <v/>
      </c>
      <c r="M362" s="3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3">
        <f>$A362&amp;"|"&amp;$B362&amp;"|"&amp;$C362</f>
        <v/>
      </c>
      <c r="O362" s="3">
        <f>IFERROR(INDEX('CAT_TURNOS'!$C$4:$C$7,MATCH($J362,'CAT_TURNOS'!$A$4:$A$7,0)),"")</f>
        <v/>
      </c>
      <c r="P362" s="3">
        <f>IFERROR(INDEX('CAT_TURNOS'!$D$4:$D$7,MATCH($J362,'CAT_TURNOS'!$A$4:$A$7,0)),"")</f>
        <v/>
      </c>
      <c r="Q362" s="3">
        <f>IF(AND(LEFT($G362,1)="T",$H362="no"),"sí","no")</f>
        <v/>
      </c>
    </row>
    <row r="363">
      <c r="A363" s="3" t="inlineStr">
        <is>
          <t>2026-S32</t>
        </is>
      </c>
      <c r="B363" s="3" t="inlineStr">
        <is>
          <t>miércoles</t>
        </is>
      </c>
      <c r="C363" s="3" t="inlineStr">
        <is>
          <t>Técnico 04</t>
        </is>
      </c>
      <c r="D363" s="3">
        <f>IFERROR(INDEX('TECNICOS'!$D$4:$D$19,MATCH($C363,'TECNICOS'!$B$4:$B$19,0)),"")</f>
        <v/>
      </c>
      <c r="E363" s="3">
        <f>IFERROR(INDEX('TECNICOS'!$C$4:$C$19,MATCH($C363,'TECNICOS'!$B$4:$B$19,0)),"")</f>
        <v/>
      </c>
      <c r="F363" s="3">
        <f>COUNTIFS('TECNICOS'!$F$4:$F$19,"SI",'TECNICOS'!$C$4:$C$19,$E363,'TECNICOS'!$D$4:$D$19,$D363)</f>
        <v/>
      </c>
      <c r="G363" s="3">
        <f>IF(OR($C363="",$A363="",$B363="domingo"),"",IF(IFERROR(INDEX('TECNICOS'!$F$4:$F$19,MATCH($C363,'TECNICOS'!$B$4:$B$19,0)),"NO")&lt;&gt;"SI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3">
        <f>IF(COUNTIFS('PLAN_VACACIONES'!$A$4:$A$103,$C363,'PLAN_VACACIONES'!$B$4:$B$103,"&lt;="&amp;$L363,'PLAN_VACACIONES'!$C$4:$C$103,"&gt;="&amp;$L363)&gt;0,"sí","no")</f>
        <v/>
      </c>
      <c r="I363" s="6" t="n"/>
      <c r="J363" s="3">
        <f>IF($I363&lt;&gt;"",$I363,IF($G363="","",IF($H363="sí","VAC",IF(LEFT($G363,1)="B","B",$G363))))</f>
        <v/>
      </c>
      <c r="K363" s="3">
        <f>IFERROR(INDEX('TECNICOS'!$E$4:$E$19,MATCH($C363,'TECNICOS'!$B$4:$B$19,0)),"")</f>
        <v/>
      </c>
      <c r="L363" s="12">
        <f>IF($A363="","",DATE(VALUE(LEFT($A363,4)),1,4)-WEEKDAY(DATE(VALUE(LEFT($A363,4)),1,4),2)+1+(VALUE(MID($A363,7,2))-1)*7+MATCH($B363,lista_dias,0)-1)</f>
        <v/>
      </c>
      <c r="M363" s="3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3">
        <f>$A363&amp;"|"&amp;$B363&amp;"|"&amp;$C363</f>
        <v/>
      </c>
      <c r="O363" s="3">
        <f>IFERROR(INDEX('CAT_TURNOS'!$C$4:$C$7,MATCH($J363,'CAT_TURNOS'!$A$4:$A$7,0)),"")</f>
        <v/>
      </c>
      <c r="P363" s="3">
        <f>IFERROR(INDEX('CAT_TURNOS'!$D$4:$D$7,MATCH($J363,'CAT_TURNOS'!$A$4:$A$7,0)),"")</f>
        <v/>
      </c>
      <c r="Q363" s="3">
        <f>IF(AND(LEFT($G363,1)="T",$H363="no"),"sí","no")</f>
        <v/>
      </c>
    </row>
    <row r="364">
      <c r="A364" s="3" t="inlineStr">
        <is>
          <t>2026-S32</t>
        </is>
      </c>
      <c r="B364" s="3" t="inlineStr">
        <is>
          <t>jueves</t>
        </is>
      </c>
      <c r="C364" s="3" t="inlineStr">
        <is>
          <t>Técnico 04</t>
        </is>
      </c>
      <c r="D364" s="3">
        <f>IFERROR(INDEX('TECNICOS'!$D$4:$D$19,MATCH($C364,'TECNICOS'!$B$4:$B$19,0)),"")</f>
        <v/>
      </c>
      <c r="E364" s="3">
        <f>IFERROR(INDEX('TECNICOS'!$C$4:$C$19,MATCH($C364,'TECNICOS'!$B$4:$B$19,0)),"")</f>
        <v/>
      </c>
      <c r="F364" s="3">
        <f>COUNTIFS('TECNICOS'!$F$4:$F$19,"SI",'TECNICOS'!$C$4:$C$19,$E364,'TECNICOS'!$D$4:$D$19,$D364)</f>
        <v/>
      </c>
      <c r="G364" s="3">
        <f>IF(OR($C364="",$A364="",$B364="domingo"),"",IF(IFERROR(INDEX('TECNICOS'!$F$4:$F$19,MATCH($C364,'TECNICOS'!$B$4:$B$19,0)),"NO")&lt;&gt;"SI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3">
        <f>IF(COUNTIFS('PLAN_VACACIONES'!$A$4:$A$103,$C364,'PLAN_VACACIONES'!$B$4:$B$103,"&lt;="&amp;$L364,'PLAN_VACACIONES'!$C$4:$C$103,"&gt;="&amp;$L364)&gt;0,"sí","no")</f>
        <v/>
      </c>
      <c r="I364" s="6" t="n"/>
      <c r="J364" s="3">
        <f>IF($I364&lt;&gt;"",$I364,IF($G364="","",IF($H364="sí","VAC",IF(LEFT($G364,1)="B","B",$G364))))</f>
        <v/>
      </c>
      <c r="K364" s="3">
        <f>IFERROR(INDEX('TECNICOS'!$E$4:$E$19,MATCH($C364,'TECNICOS'!$B$4:$B$19,0)),"")</f>
        <v/>
      </c>
      <c r="L364" s="12">
        <f>IF($A364="","",DATE(VALUE(LEFT($A364,4)),1,4)-WEEKDAY(DATE(VALUE(LEFT($A364,4)),1,4),2)+1+(VALUE(MID($A364,7,2))-1)*7+MATCH($B364,lista_dias,0)-1)</f>
        <v/>
      </c>
      <c r="M364" s="3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3">
        <f>$A364&amp;"|"&amp;$B364&amp;"|"&amp;$C364</f>
        <v/>
      </c>
      <c r="O364" s="3">
        <f>IFERROR(INDEX('CAT_TURNOS'!$C$4:$C$7,MATCH($J364,'CAT_TURNOS'!$A$4:$A$7,0)),"")</f>
        <v/>
      </c>
      <c r="P364" s="3">
        <f>IFERROR(INDEX('CAT_TURNOS'!$D$4:$D$7,MATCH($J364,'CAT_TURNOS'!$A$4:$A$7,0)),"")</f>
        <v/>
      </c>
      <c r="Q364" s="3">
        <f>IF(AND(LEFT($G364,1)="T",$H364="no"),"sí","no")</f>
        <v/>
      </c>
    </row>
    <row r="365">
      <c r="A365" s="3" t="inlineStr">
        <is>
          <t>2026-S32</t>
        </is>
      </c>
      <c r="B365" s="3" t="inlineStr">
        <is>
          <t>viernes</t>
        </is>
      </c>
      <c r="C365" s="3" t="inlineStr">
        <is>
          <t>Técnico 04</t>
        </is>
      </c>
      <c r="D365" s="3">
        <f>IFERROR(INDEX('TECNICOS'!$D$4:$D$19,MATCH($C365,'TECNICOS'!$B$4:$B$19,0)),"")</f>
        <v/>
      </c>
      <c r="E365" s="3">
        <f>IFERROR(INDEX('TECNICOS'!$C$4:$C$19,MATCH($C365,'TECNICOS'!$B$4:$B$19,0)),"")</f>
        <v/>
      </c>
      <c r="F365" s="3">
        <f>COUNTIFS('TECNICOS'!$F$4:$F$19,"SI",'TECNICOS'!$C$4:$C$19,$E365,'TECNICOS'!$D$4:$D$19,$D365)</f>
        <v/>
      </c>
      <c r="G365" s="3">
        <f>IF(OR($C365="",$A365="",$B365="domingo"),"",IF(IFERROR(INDEX('TECNICOS'!$F$4:$F$19,MATCH($C365,'TECNICOS'!$B$4:$B$19,0)),"NO")&lt;&gt;"SI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3">
        <f>IF(COUNTIFS('PLAN_VACACIONES'!$A$4:$A$103,$C365,'PLAN_VACACIONES'!$B$4:$B$103,"&lt;="&amp;$L365,'PLAN_VACACIONES'!$C$4:$C$103,"&gt;="&amp;$L365)&gt;0,"sí","no")</f>
        <v/>
      </c>
      <c r="I365" s="6" t="n"/>
      <c r="J365" s="3">
        <f>IF($I365&lt;&gt;"",$I365,IF($G365="","",IF($H365="sí","VAC",IF(LEFT($G365,1)="B","B",$G365))))</f>
        <v/>
      </c>
      <c r="K365" s="3">
        <f>IFERROR(INDEX('TECNICOS'!$E$4:$E$19,MATCH($C365,'TECNICOS'!$B$4:$B$19,0)),"")</f>
        <v/>
      </c>
      <c r="L365" s="12">
        <f>IF($A365="","",DATE(VALUE(LEFT($A365,4)),1,4)-WEEKDAY(DATE(VALUE(LEFT($A365,4)),1,4),2)+1+(VALUE(MID($A365,7,2))-1)*7+MATCH($B365,lista_dias,0)-1)</f>
        <v/>
      </c>
      <c r="M365" s="3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3">
        <f>$A365&amp;"|"&amp;$B365&amp;"|"&amp;$C365</f>
        <v/>
      </c>
      <c r="O365" s="3">
        <f>IFERROR(INDEX('CAT_TURNOS'!$C$4:$C$7,MATCH($J365,'CAT_TURNOS'!$A$4:$A$7,0)),"")</f>
        <v/>
      </c>
      <c r="P365" s="3">
        <f>IFERROR(INDEX('CAT_TURNOS'!$D$4:$D$7,MATCH($J365,'CAT_TURNOS'!$A$4:$A$7,0)),"")</f>
        <v/>
      </c>
      <c r="Q365" s="3">
        <f>IF(AND(LEFT($G365,1)="T",$H365="no"),"sí","no")</f>
        <v/>
      </c>
    </row>
    <row r="366">
      <c r="A366" s="3" t="inlineStr">
        <is>
          <t>2026-S32</t>
        </is>
      </c>
      <c r="B366" s="3" t="inlineStr">
        <is>
          <t>sábado</t>
        </is>
      </c>
      <c r="C366" s="3" t="inlineStr">
        <is>
          <t>Técnico 04</t>
        </is>
      </c>
      <c r="D366" s="3">
        <f>IFERROR(INDEX('TECNICOS'!$D$4:$D$19,MATCH($C366,'TECNICOS'!$B$4:$B$19,0)),"")</f>
        <v/>
      </c>
      <c r="E366" s="3">
        <f>IFERROR(INDEX('TECNICOS'!$C$4:$C$19,MATCH($C366,'TECNICOS'!$B$4:$B$19,0)),"")</f>
        <v/>
      </c>
      <c r="F366" s="3">
        <f>COUNTIFS('TECNICOS'!$F$4:$F$19,"SI",'TECNICOS'!$C$4:$C$19,$E366,'TECNICOS'!$D$4:$D$19,$D366)</f>
        <v/>
      </c>
      <c r="G366" s="3">
        <f>IF(OR($C366="",$A366="",$B366="domingo"),"",IF(IFERROR(INDEX('TECNICOS'!$F$4:$F$19,MATCH($C366,'TECNICOS'!$B$4:$B$19,0)),"NO")&lt;&gt;"SI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3">
        <f>IF(COUNTIFS('PLAN_VACACIONES'!$A$4:$A$103,$C366,'PLAN_VACACIONES'!$B$4:$B$103,"&lt;="&amp;$L366,'PLAN_VACACIONES'!$C$4:$C$103,"&gt;="&amp;$L366)&gt;0,"sí","no")</f>
        <v/>
      </c>
      <c r="I366" s="6" t="n"/>
      <c r="J366" s="3">
        <f>IF($I366&lt;&gt;"",$I366,IF($G366="","",IF($H366="sí","VAC",IF(LEFT($G366,1)="B","B",$G366))))</f>
        <v/>
      </c>
      <c r="K366" s="3">
        <f>IFERROR(INDEX('TECNICOS'!$E$4:$E$19,MATCH($C366,'TECNICOS'!$B$4:$B$19,0)),"")</f>
        <v/>
      </c>
      <c r="L366" s="12">
        <f>IF($A366="","",DATE(VALUE(LEFT($A366,4)),1,4)-WEEKDAY(DATE(VALUE(LEFT($A366,4)),1,4),2)+1+(VALUE(MID($A366,7,2))-1)*7+MATCH($B366,lista_dias,0)-1)</f>
        <v/>
      </c>
      <c r="M366" s="3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3">
        <f>$A366&amp;"|"&amp;$B366&amp;"|"&amp;$C366</f>
        <v/>
      </c>
      <c r="O366" s="3">
        <f>IFERROR(INDEX('CAT_TURNOS'!$C$4:$C$7,MATCH($J366,'CAT_TURNOS'!$A$4:$A$7,0)),"")</f>
        <v/>
      </c>
      <c r="P366" s="3">
        <f>IFERROR(INDEX('CAT_TURNOS'!$D$4:$D$7,MATCH($J366,'CAT_TURNOS'!$A$4:$A$7,0)),"")</f>
        <v/>
      </c>
      <c r="Q366" s="3">
        <f>IF(AND(LEFT($G366,1)="T",$H366="no"),"sí","no")</f>
        <v/>
      </c>
    </row>
    <row r="367">
      <c r="A367" s="3" t="inlineStr">
        <is>
          <t>2026-S32</t>
        </is>
      </c>
      <c r="B367" s="3" t="inlineStr">
        <is>
          <t>domingo</t>
        </is>
      </c>
      <c r="C367" s="3" t="inlineStr">
        <is>
          <t>Técnico 04</t>
        </is>
      </c>
      <c r="D367" s="3">
        <f>IFERROR(INDEX('TECNICOS'!$D$4:$D$19,MATCH($C367,'TECNICOS'!$B$4:$B$19,0)),"")</f>
        <v/>
      </c>
      <c r="E367" s="3">
        <f>IFERROR(INDEX('TECNICOS'!$C$4:$C$19,MATCH($C367,'TECNICOS'!$B$4:$B$19,0)),"")</f>
        <v/>
      </c>
      <c r="F367" s="3">
        <f>COUNTIFS('TECNICOS'!$F$4:$F$19,"SI",'TECNICOS'!$C$4:$C$19,$E367,'TECNICOS'!$D$4:$D$19,$D367)</f>
        <v/>
      </c>
      <c r="G367" s="3">
        <f>IF(OR($C367="",$A367="",$B367="domingo"),"",IF(IFERROR(INDEX('TECNICOS'!$F$4:$F$19,MATCH($C367,'TECNICOS'!$B$4:$B$19,0)),"NO")&lt;&gt;"SI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3">
        <f>IF(COUNTIFS('PLAN_VACACIONES'!$A$4:$A$103,$C367,'PLAN_VACACIONES'!$B$4:$B$103,"&lt;="&amp;$L367,'PLAN_VACACIONES'!$C$4:$C$103,"&gt;="&amp;$L367)&gt;0,"sí","no")</f>
        <v/>
      </c>
      <c r="I367" s="6" t="n"/>
      <c r="J367" s="3">
        <f>IF($I367&lt;&gt;"",$I367,IF($G367="","",IF($H367="sí","VAC",IF(LEFT($G367,1)="B","B",$G367))))</f>
        <v/>
      </c>
      <c r="K367" s="3">
        <f>IFERROR(INDEX('TECNICOS'!$E$4:$E$19,MATCH($C367,'TECNICOS'!$B$4:$B$19,0)),"")</f>
        <v/>
      </c>
      <c r="L367" s="12">
        <f>IF($A367="","",DATE(VALUE(LEFT($A367,4)),1,4)-WEEKDAY(DATE(VALUE(LEFT($A367,4)),1,4),2)+1+(VALUE(MID($A367,7,2))-1)*7+MATCH($B367,lista_dias,0)-1)</f>
        <v/>
      </c>
      <c r="M367" s="3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3">
        <f>$A367&amp;"|"&amp;$B367&amp;"|"&amp;$C367</f>
        <v/>
      </c>
      <c r="O367" s="3">
        <f>IFERROR(INDEX('CAT_TURNOS'!$C$4:$C$7,MATCH($J367,'CAT_TURNOS'!$A$4:$A$7,0)),"")</f>
        <v/>
      </c>
      <c r="P367" s="3">
        <f>IFERROR(INDEX('CAT_TURNOS'!$D$4:$D$7,MATCH($J367,'CAT_TURNOS'!$A$4:$A$7,0)),"")</f>
        <v/>
      </c>
      <c r="Q367" s="3">
        <f>IF(AND(LEFT($G367,1)="T",$H367="no"),"sí","no")</f>
        <v/>
      </c>
    </row>
    <row r="368">
      <c r="A368" s="3" t="inlineStr">
        <is>
          <t>2026-S32</t>
        </is>
      </c>
      <c r="B368" s="3" t="inlineStr">
        <is>
          <t>lunes</t>
        </is>
      </c>
      <c r="C368" s="3" t="inlineStr">
        <is>
          <t>Técnico 05</t>
        </is>
      </c>
      <c r="D368" s="3">
        <f>IFERROR(INDEX('TECNICOS'!$D$4:$D$19,MATCH($C368,'TECNICOS'!$B$4:$B$19,0)),"")</f>
        <v/>
      </c>
      <c r="E368" s="3">
        <f>IFERROR(INDEX('TECNICOS'!$C$4:$C$19,MATCH($C368,'TECNICOS'!$B$4:$B$19,0)),"")</f>
        <v/>
      </c>
      <c r="F368" s="3">
        <f>COUNTIFS('TECNICOS'!$F$4:$F$19,"SI",'TECNICOS'!$C$4:$C$19,$E368,'TECNICOS'!$D$4:$D$19,$D368)</f>
        <v/>
      </c>
      <c r="G368" s="3">
        <f>IF(OR($C368="",$A368="",$B368="domingo"),"",IF(IFERROR(INDEX('TECNICOS'!$F$4:$F$19,MATCH($C368,'TECNICOS'!$B$4:$B$19,0)),"NO")&lt;&gt;"SI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3">
        <f>IF(COUNTIFS('PLAN_VACACIONES'!$A$4:$A$103,$C368,'PLAN_VACACIONES'!$B$4:$B$103,"&lt;="&amp;$L368,'PLAN_VACACIONES'!$C$4:$C$103,"&gt;="&amp;$L368)&gt;0,"sí","no")</f>
        <v/>
      </c>
      <c r="I368" s="6" t="n"/>
      <c r="J368" s="3">
        <f>IF($I368&lt;&gt;"",$I368,IF($G368="","",IF($H368="sí","VAC",IF(LEFT($G368,1)="B","B",$G368))))</f>
        <v/>
      </c>
      <c r="K368" s="3">
        <f>IFERROR(INDEX('TECNICOS'!$E$4:$E$19,MATCH($C368,'TECNICOS'!$B$4:$B$19,0)),"")</f>
        <v/>
      </c>
      <c r="L368" s="12">
        <f>IF($A368="","",DATE(VALUE(LEFT($A368,4)),1,4)-WEEKDAY(DATE(VALUE(LEFT($A368,4)),1,4),2)+1+(VALUE(MID($A368,7,2))-1)*7+MATCH($B368,lista_dias,0)-1)</f>
        <v/>
      </c>
      <c r="M368" s="3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3">
        <f>$A368&amp;"|"&amp;$B368&amp;"|"&amp;$C368</f>
        <v/>
      </c>
      <c r="O368" s="3">
        <f>IFERROR(INDEX('CAT_TURNOS'!$C$4:$C$7,MATCH($J368,'CAT_TURNOS'!$A$4:$A$7,0)),"")</f>
        <v/>
      </c>
      <c r="P368" s="3">
        <f>IFERROR(INDEX('CAT_TURNOS'!$D$4:$D$7,MATCH($J368,'CAT_TURNOS'!$A$4:$A$7,0)),"")</f>
        <v/>
      </c>
      <c r="Q368" s="3">
        <f>IF(AND(LEFT($G368,1)="T",$H368="no"),"sí","no")</f>
        <v/>
      </c>
    </row>
    <row r="369">
      <c r="A369" s="3" t="inlineStr">
        <is>
          <t>2026-S32</t>
        </is>
      </c>
      <c r="B369" s="3" t="inlineStr">
        <is>
          <t>martes</t>
        </is>
      </c>
      <c r="C369" s="3" t="inlineStr">
        <is>
          <t>Técnico 05</t>
        </is>
      </c>
      <c r="D369" s="3">
        <f>IFERROR(INDEX('TECNICOS'!$D$4:$D$19,MATCH($C369,'TECNICOS'!$B$4:$B$19,0)),"")</f>
        <v/>
      </c>
      <c r="E369" s="3">
        <f>IFERROR(INDEX('TECNICOS'!$C$4:$C$19,MATCH($C369,'TECNICOS'!$B$4:$B$19,0)),"")</f>
        <v/>
      </c>
      <c r="F369" s="3">
        <f>COUNTIFS('TECNICOS'!$F$4:$F$19,"SI",'TECNICOS'!$C$4:$C$19,$E369,'TECNICOS'!$D$4:$D$19,$D369)</f>
        <v/>
      </c>
      <c r="G369" s="3">
        <f>IF(OR($C369="",$A369="",$B369="domingo"),"",IF(IFERROR(INDEX('TECNICOS'!$F$4:$F$19,MATCH($C369,'TECNICOS'!$B$4:$B$19,0)),"NO")&lt;&gt;"SI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3">
        <f>IF(COUNTIFS('PLAN_VACACIONES'!$A$4:$A$103,$C369,'PLAN_VACACIONES'!$B$4:$B$103,"&lt;="&amp;$L369,'PLAN_VACACIONES'!$C$4:$C$103,"&gt;="&amp;$L369)&gt;0,"sí","no")</f>
        <v/>
      </c>
      <c r="I369" s="6" t="n"/>
      <c r="J369" s="3">
        <f>IF($I369&lt;&gt;"",$I369,IF($G369="","",IF($H369="sí","VAC",IF(LEFT($G369,1)="B","B",$G369))))</f>
        <v/>
      </c>
      <c r="K369" s="3">
        <f>IFERROR(INDEX('TECNICOS'!$E$4:$E$19,MATCH($C369,'TECNICOS'!$B$4:$B$19,0)),"")</f>
        <v/>
      </c>
      <c r="L369" s="12">
        <f>IF($A369="","",DATE(VALUE(LEFT($A369,4)),1,4)-WEEKDAY(DATE(VALUE(LEFT($A369,4)),1,4),2)+1+(VALUE(MID($A369,7,2))-1)*7+MATCH($B369,lista_dias,0)-1)</f>
        <v/>
      </c>
      <c r="M369" s="3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3">
        <f>$A369&amp;"|"&amp;$B369&amp;"|"&amp;$C369</f>
        <v/>
      </c>
      <c r="O369" s="3">
        <f>IFERROR(INDEX('CAT_TURNOS'!$C$4:$C$7,MATCH($J369,'CAT_TURNOS'!$A$4:$A$7,0)),"")</f>
        <v/>
      </c>
      <c r="P369" s="3">
        <f>IFERROR(INDEX('CAT_TURNOS'!$D$4:$D$7,MATCH($J369,'CAT_TURNOS'!$A$4:$A$7,0)),"")</f>
        <v/>
      </c>
      <c r="Q369" s="3">
        <f>IF(AND(LEFT($G369,1)="T",$H369="no"),"sí","no")</f>
        <v/>
      </c>
    </row>
    <row r="370">
      <c r="A370" s="3" t="inlineStr">
        <is>
          <t>2026-S32</t>
        </is>
      </c>
      <c r="B370" s="3" t="inlineStr">
        <is>
          <t>miércoles</t>
        </is>
      </c>
      <c r="C370" s="3" t="inlineStr">
        <is>
          <t>Técnico 05</t>
        </is>
      </c>
      <c r="D370" s="3">
        <f>IFERROR(INDEX('TECNICOS'!$D$4:$D$19,MATCH($C370,'TECNICOS'!$B$4:$B$19,0)),"")</f>
        <v/>
      </c>
      <c r="E370" s="3">
        <f>IFERROR(INDEX('TECNICOS'!$C$4:$C$19,MATCH($C370,'TECNICOS'!$B$4:$B$19,0)),"")</f>
        <v/>
      </c>
      <c r="F370" s="3">
        <f>COUNTIFS('TECNICOS'!$F$4:$F$19,"SI",'TECNICOS'!$C$4:$C$19,$E370,'TECNICOS'!$D$4:$D$19,$D370)</f>
        <v/>
      </c>
      <c r="G370" s="3">
        <f>IF(OR($C370="",$A370="",$B370="domingo"),"",IF(IFERROR(INDEX('TECNICOS'!$F$4:$F$19,MATCH($C370,'TECNICOS'!$B$4:$B$19,0)),"NO")&lt;&gt;"SI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3">
        <f>IF(COUNTIFS('PLAN_VACACIONES'!$A$4:$A$103,$C370,'PLAN_VACACIONES'!$B$4:$B$103,"&lt;="&amp;$L370,'PLAN_VACACIONES'!$C$4:$C$103,"&gt;="&amp;$L370)&gt;0,"sí","no")</f>
        <v/>
      </c>
      <c r="I370" s="6" t="n"/>
      <c r="J370" s="3">
        <f>IF($I370&lt;&gt;"",$I370,IF($G370="","",IF($H370="sí","VAC",IF(LEFT($G370,1)="B","B",$G370))))</f>
        <v/>
      </c>
      <c r="K370" s="3">
        <f>IFERROR(INDEX('TECNICOS'!$E$4:$E$19,MATCH($C370,'TECNICOS'!$B$4:$B$19,0)),"")</f>
        <v/>
      </c>
      <c r="L370" s="12">
        <f>IF($A370="","",DATE(VALUE(LEFT($A370,4)),1,4)-WEEKDAY(DATE(VALUE(LEFT($A370,4)),1,4),2)+1+(VALUE(MID($A370,7,2))-1)*7+MATCH($B370,lista_dias,0)-1)</f>
        <v/>
      </c>
      <c r="M370" s="3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3">
        <f>$A370&amp;"|"&amp;$B370&amp;"|"&amp;$C370</f>
        <v/>
      </c>
      <c r="O370" s="3">
        <f>IFERROR(INDEX('CAT_TURNOS'!$C$4:$C$7,MATCH($J370,'CAT_TURNOS'!$A$4:$A$7,0)),"")</f>
        <v/>
      </c>
      <c r="P370" s="3">
        <f>IFERROR(INDEX('CAT_TURNOS'!$D$4:$D$7,MATCH($J370,'CAT_TURNOS'!$A$4:$A$7,0)),"")</f>
        <v/>
      </c>
      <c r="Q370" s="3">
        <f>IF(AND(LEFT($G370,1)="T",$H370="no"),"sí","no")</f>
        <v/>
      </c>
    </row>
    <row r="371">
      <c r="A371" s="3" t="inlineStr">
        <is>
          <t>2026-S32</t>
        </is>
      </c>
      <c r="B371" s="3" t="inlineStr">
        <is>
          <t>jueves</t>
        </is>
      </c>
      <c r="C371" s="3" t="inlineStr">
        <is>
          <t>Técnico 05</t>
        </is>
      </c>
      <c r="D371" s="3">
        <f>IFERROR(INDEX('TECNICOS'!$D$4:$D$19,MATCH($C371,'TECNICOS'!$B$4:$B$19,0)),"")</f>
        <v/>
      </c>
      <c r="E371" s="3">
        <f>IFERROR(INDEX('TECNICOS'!$C$4:$C$19,MATCH($C371,'TECNICOS'!$B$4:$B$19,0)),"")</f>
        <v/>
      </c>
      <c r="F371" s="3">
        <f>COUNTIFS('TECNICOS'!$F$4:$F$19,"SI",'TECNICOS'!$C$4:$C$19,$E371,'TECNICOS'!$D$4:$D$19,$D371)</f>
        <v/>
      </c>
      <c r="G371" s="3">
        <f>IF(OR($C371="",$A371="",$B371="domingo"),"",IF(IFERROR(INDEX('TECNICOS'!$F$4:$F$19,MATCH($C371,'TECNICOS'!$B$4:$B$19,0)),"NO")&lt;&gt;"SI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3">
        <f>IF(COUNTIFS('PLAN_VACACIONES'!$A$4:$A$103,$C371,'PLAN_VACACIONES'!$B$4:$B$103,"&lt;="&amp;$L371,'PLAN_VACACIONES'!$C$4:$C$103,"&gt;="&amp;$L371)&gt;0,"sí","no")</f>
        <v/>
      </c>
      <c r="I371" s="6" t="n"/>
      <c r="J371" s="3">
        <f>IF($I371&lt;&gt;"",$I371,IF($G371="","",IF($H371="sí","VAC",IF(LEFT($G371,1)="B","B",$G371))))</f>
        <v/>
      </c>
      <c r="K371" s="3">
        <f>IFERROR(INDEX('TECNICOS'!$E$4:$E$19,MATCH($C371,'TECNICOS'!$B$4:$B$19,0)),"")</f>
        <v/>
      </c>
      <c r="L371" s="12">
        <f>IF($A371="","",DATE(VALUE(LEFT($A371,4)),1,4)-WEEKDAY(DATE(VALUE(LEFT($A371,4)),1,4),2)+1+(VALUE(MID($A371,7,2))-1)*7+MATCH($B371,lista_dias,0)-1)</f>
        <v/>
      </c>
      <c r="M371" s="3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3">
        <f>$A371&amp;"|"&amp;$B371&amp;"|"&amp;$C371</f>
        <v/>
      </c>
      <c r="O371" s="3">
        <f>IFERROR(INDEX('CAT_TURNOS'!$C$4:$C$7,MATCH($J371,'CAT_TURNOS'!$A$4:$A$7,0)),"")</f>
        <v/>
      </c>
      <c r="P371" s="3">
        <f>IFERROR(INDEX('CAT_TURNOS'!$D$4:$D$7,MATCH($J371,'CAT_TURNOS'!$A$4:$A$7,0)),"")</f>
        <v/>
      </c>
      <c r="Q371" s="3">
        <f>IF(AND(LEFT($G371,1)="T",$H371="no"),"sí","no")</f>
        <v/>
      </c>
    </row>
    <row r="372">
      <c r="A372" s="3" t="inlineStr">
        <is>
          <t>2026-S32</t>
        </is>
      </c>
      <c r="B372" s="3" t="inlineStr">
        <is>
          <t>viernes</t>
        </is>
      </c>
      <c r="C372" s="3" t="inlineStr">
        <is>
          <t>Técnico 05</t>
        </is>
      </c>
      <c r="D372" s="3">
        <f>IFERROR(INDEX('TECNICOS'!$D$4:$D$19,MATCH($C372,'TECNICOS'!$B$4:$B$19,0)),"")</f>
        <v/>
      </c>
      <c r="E372" s="3">
        <f>IFERROR(INDEX('TECNICOS'!$C$4:$C$19,MATCH($C372,'TECNICOS'!$B$4:$B$19,0)),"")</f>
        <v/>
      </c>
      <c r="F372" s="3">
        <f>COUNTIFS('TECNICOS'!$F$4:$F$19,"SI",'TECNICOS'!$C$4:$C$19,$E372,'TECNICOS'!$D$4:$D$19,$D372)</f>
        <v/>
      </c>
      <c r="G372" s="3">
        <f>IF(OR($C372="",$A372="",$B372="domingo"),"",IF(IFERROR(INDEX('TECNICOS'!$F$4:$F$19,MATCH($C372,'TECNICOS'!$B$4:$B$19,0)),"NO")&lt;&gt;"SI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3">
        <f>IF(COUNTIFS('PLAN_VACACIONES'!$A$4:$A$103,$C372,'PLAN_VACACIONES'!$B$4:$B$103,"&lt;="&amp;$L372,'PLAN_VACACIONES'!$C$4:$C$103,"&gt;="&amp;$L372)&gt;0,"sí","no")</f>
        <v/>
      </c>
      <c r="I372" s="6" t="n"/>
      <c r="J372" s="3">
        <f>IF($I372&lt;&gt;"",$I372,IF($G372="","",IF($H372="sí","VAC",IF(LEFT($G372,1)="B","B",$G372))))</f>
        <v/>
      </c>
      <c r="K372" s="3">
        <f>IFERROR(INDEX('TECNICOS'!$E$4:$E$19,MATCH($C372,'TECNICOS'!$B$4:$B$19,0)),"")</f>
        <v/>
      </c>
      <c r="L372" s="12">
        <f>IF($A372="","",DATE(VALUE(LEFT($A372,4)),1,4)-WEEKDAY(DATE(VALUE(LEFT($A372,4)),1,4),2)+1+(VALUE(MID($A372,7,2))-1)*7+MATCH($B372,lista_dias,0)-1)</f>
        <v/>
      </c>
      <c r="M372" s="3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3">
        <f>$A372&amp;"|"&amp;$B372&amp;"|"&amp;$C372</f>
        <v/>
      </c>
      <c r="O372" s="3">
        <f>IFERROR(INDEX('CAT_TURNOS'!$C$4:$C$7,MATCH($J372,'CAT_TURNOS'!$A$4:$A$7,0)),"")</f>
        <v/>
      </c>
      <c r="P372" s="3">
        <f>IFERROR(INDEX('CAT_TURNOS'!$D$4:$D$7,MATCH($J372,'CAT_TURNOS'!$A$4:$A$7,0)),"")</f>
        <v/>
      </c>
      <c r="Q372" s="3">
        <f>IF(AND(LEFT($G372,1)="T",$H372="no"),"sí","no")</f>
        <v/>
      </c>
    </row>
    <row r="373">
      <c r="A373" s="3" t="inlineStr">
        <is>
          <t>2026-S32</t>
        </is>
      </c>
      <c r="B373" s="3" t="inlineStr">
        <is>
          <t>sábado</t>
        </is>
      </c>
      <c r="C373" s="3" t="inlineStr">
        <is>
          <t>Técnico 05</t>
        </is>
      </c>
      <c r="D373" s="3">
        <f>IFERROR(INDEX('TECNICOS'!$D$4:$D$19,MATCH($C373,'TECNICOS'!$B$4:$B$19,0)),"")</f>
        <v/>
      </c>
      <c r="E373" s="3">
        <f>IFERROR(INDEX('TECNICOS'!$C$4:$C$19,MATCH($C373,'TECNICOS'!$B$4:$B$19,0)),"")</f>
        <v/>
      </c>
      <c r="F373" s="3">
        <f>COUNTIFS('TECNICOS'!$F$4:$F$19,"SI",'TECNICOS'!$C$4:$C$19,$E373,'TECNICOS'!$D$4:$D$19,$D373)</f>
        <v/>
      </c>
      <c r="G373" s="3">
        <f>IF(OR($C373="",$A373="",$B373="domingo"),"",IF(IFERROR(INDEX('TECNICOS'!$F$4:$F$19,MATCH($C373,'TECNICOS'!$B$4:$B$19,0)),"NO")&lt;&gt;"SI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3">
        <f>IF(COUNTIFS('PLAN_VACACIONES'!$A$4:$A$103,$C373,'PLAN_VACACIONES'!$B$4:$B$103,"&lt;="&amp;$L373,'PLAN_VACACIONES'!$C$4:$C$103,"&gt;="&amp;$L373)&gt;0,"sí","no")</f>
        <v/>
      </c>
      <c r="I373" s="6" t="n"/>
      <c r="J373" s="3">
        <f>IF($I373&lt;&gt;"",$I373,IF($G373="","",IF($H373="sí","VAC",IF(LEFT($G373,1)="B","B",$G373))))</f>
        <v/>
      </c>
      <c r="K373" s="3">
        <f>IFERROR(INDEX('TECNICOS'!$E$4:$E$19,MATCH($C373,'TECNICOS'!$B$4:$B$19,0)),"")</f>
        <v/>
      </c>
      <c r="L373" s="12">
        <f>IF($A373="","",DATE(VALUE(LEFT($A373,4)),1,4)-WEEKDAY(DATE(VALUE(LEFT($A373,4)),1,4),2)+1+(VALUE(MID($A373,7,2))-1)*7+MATCH($B373,lista_dias,0)-1)</f>
        <v/>
      </c>
      <c r="M373" s="3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3">
        <f>$A373&amp;"|"&amp;$B373&amp;"|"&amp;$C373</f>
        <v/>
      </c>
      <c r="O373" s="3">
        <f>IFERROR(INDEX('CAT_TURNOS'!$C$4:$C$7,MATCH($J373,'CAT_TURNOS'!$A$4:$A$7,0)),"")</f>
        <v/>
      </c>
      <c r="P373" s="3">
        <f>IFERROR(INDEX('CAT_TURNOS'!$D$4:$D$7,MATCH($J373,'CAT_TURNOS'!$A$4:$A$7,0)),"")</f>
        <v/>
      </c>
      <c r="Q373" s="3">
        <f>IF(AND(LEFT($G373,1)="T",$H373="no"),"sí","no")</f>
        <v/>
      </c>
    </row>
    <row r="374">
      <c r="A374" s="3" t="inlineStr">
        <is>
          <t>2026-S32</t>
        </is>
      </c>
      <c r="B374" s="3" t="inlineStr">
        <is>
          <t>domingo</t>
        </is>
      </c>
      <c r="C374" s="3" t="inlineStr">
        <is>
          <t>Técnico 05</t>
        </is>
      </c>
      <c r="D374" s="3">
        <f>IFERROR(INDEX('TECNICOS'!$D$4:$D$19,MATCH($C374,'TECNICOS'!$B$4:$B$19,0)),"")</f>
        <v/>
      </c>
      <c r="E374" s="3">
        <f>IFERROR(INDEX('TECNICOS'!$C$4:$C$19,MATCH($C374,'TECNICOS'!$B$4:$B$19,0)),"")</f>
        <v/>
      </c>
      <c r="F374" s="3">
        <f>COUNTIFS('TECNICOS'!$F$4:$F$19,"SI",'TECNICOS'!$C$4:$C$19,$E374,'TECNICOS'!$D$4:$D$19,$D374)</f>
        <v/>
      </c>
      <c r="G374" s="3">
        <f>IF(OR($C374="",$A374="",$B374="domingo"),"",IF(IFERROR(INDEX('TECNICOS'!$F$4:$F$19,MATCH($C374,'TECNICOS'!$B$4:$B$19,0)),"NO")&lt;&gt;"SI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3">
        <f>IF(COUNTIFS('PLAN_VACACIONES'!$A$4:$A$103,$C374,'PLAN_VACACIONES'!$B$4:$B$103,"&lt;="&amp;$L374,'PLAN_VACACIONES'!$C$4:$C$103,"&gt;="&amp;$L374)&gt;0,"sí","no")</f>
        <v/>
      </c>
      <c r="I374" s="6" t="n"/>
      <c r="J374" s="3">
        <f>IF($I374&lt;&gt;"",$I374,IF($G374="","",IF($H374="sí","VAC",IF(LEFT($G374,1)="B","B",$G374))))</f>
        <v/>
      </c>
      <c r="K374" s="3">
        <f>IFERROR(INDEX('TECNICOS'!$E$4:$E$19,MATCH($C374,'TECNICOS'!$B$4:$B$19,0)),"")</f>
        <v/>
      </c>
      <c r="L374" s="12">
        <f>IF($A374="","",DATE(VALUE(LEFT($A374,4)),1,4)-WEEKDAY(DATE(VALUE(LEFT($A374,4)),1,4),2)+1+(VALUE(MID($A374,7,2))-1)*7+MATCH($B374,lista_dias,0)-1)</f>
        <v/>
      </c>
      <c r="M374" s="3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3">
        <f>$A374&amp;"|"&amp;$B374&amp;"|"&amp;$C374</f>
        <v/>
      </c>
      <c r="O374" s="3">
        <f>IFERROR(INDEX('CAT_TURNOS'!$C$4:$C$7,MATCH($J374,'CAT_TURNOS'!$A$4:$A$7,0)),"")</f>
        <v/>
      </c>
      <c r="P374" s="3">
        <f>IFERROR(INDEX('CAT_TURNOS'!$D$4:$D$7,MATCH($J374,'CAT_TURNOS'!$A$4:$A$7,0)),"")</f>
        <v/>
      </c>
      <c r="Q374" s="3">
        <f>IF(AND(LEFT($G374,1)="T",$H374="no"),"sí","no")</f>
        <v/>
      </c>
    </row>
    <row r="375">
      <c r="A375" s="3" t="inlineStr">
        <is>
          <t>2026-S32</t>
        </is>
      </c>
      <c r="B375" s="3" t="inlineStr">
        <is>
          <t>lunes</t>
        </is>
      </c>
      <c r="C375" s="3" t="inlineStr">
        <is>
          <t>Técnico 06</t>
        </is>
      </c>
      <c r="D375" s="3">
        <f>IFERROR(INDEX('TECNICOS'!$D$4:$D$19,MATCH($C375,'TECNICOS'!$B$4:$B$19,0)),"")</f>
        <v/>
      </c>
      <c r="E375" s="3">
        <f>IFERROR(INDEX('TECNICOS'!$C$4:$C$19,MATCH($C375,'TECNICOS'!$B$4:$B$19,0)),"")</f>
        <v/>
      </c>
      <c r="F375" s="3">
        <f>COUNTIFS('TECNICOS'!$F$4:$F$19,"SI",'TECNICOS'!$C$4:$C$19,$E375,'TECNICOS'!$D$4:$D$19,$D375)</f>
        <v/>
      </c>
      <c r="G375" s="3">
        <f>IF(OR($C375="",$A375="",$B375="domingo"),"",IF(IFERROR(INDEX('TECNICOS'!$F$4:$F$19,MATCH($C375,'TECNICOS'!$B$4:$B$19,0)),"NO")&lt;&gt;"SI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3">
        <f>IF(COUNTIFS('PLAN_VACACIONES'!$A$4:$A$103,$C375,'PLAN_VACACIONES'!$B$4:$B$103,"&lt;="&amp;$L375,'PLAN_VACACIONES'!$C$4:$C$103,"&gt;="&amp;$L375)&gt;0,"sí","no")</f>
        <v/>
      </c>
      <c r="I375" s="6" t="n"/>
      <c r="J375" s="3">
        <f>IF($I375&lt;&gt;"",$I375,IF($G375="","",IF($H375="sí","VAC",IF(LEFT($G375,1)="B","B",$G375))))</f>
        <v/>
      </c>
      <c r="K375" s="3">
        <f>IFERROR(INDEX('TECNICOS'!$E$4:$E$19,MATCH($C375,'TECNICOS'!$B$4:$B$19,0)),"")</f>
        <v/>
      </c>
      <c r="L375" s="12">
        <f>IF($A375="","",DATE(VALUE(LEFT($A375,4)),1,4)-WEEKDAY(DATE(VALUE(LEFT($A375,4)),1,4),2)+1+(VALUE(MID($A375,7,2))-1)*7+MATCH($B375,lista_dias,0)-1)</f>
        <v/>
      </c>
      <c r="M375" s="3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3">
        <f>$A375&amp;"|"&amp;$B375&amp;"|"&amp;$C375</f>
        <v/>
      </c>
      <c r="O375" s="3">
        <f>IFERROR(INDEX('CAT_TURNOS'!$C$4:$C$7,MATCH($J375,'CAT_TURNOS'!$A$4:$A$7,0)),"")</f>
        <v/>
      </c>
      <c r="P375" s="3">
        <f>IFERROR(INDEX('CAT_TURNOS'!$D$4:$D$7,MATCH($J375,'CAT_TURNOS'!$A$4:$A$7,0)),"")</f>
        <v/>
      </c>
      <c r="Q375" s="3">
        <f>IF(AND(LEFT($G375,1)="T",$H375="no"),"sí","no")</f>
        <v/>
      </c>
    </row>
    <row r="376">
      <c r="A376" s="3" t="inlineStr">
        <is>
          <t>2026-S32</t>
        </is>
      </c>
      <c r="B376" s="3" t="inlineStr">
        <is>
          <t>martes</t>
        </is>
      </c>
      <c r="C376" s="3" t="inlineStr">
        <is>
          <t>Técnico 06</t>
        </is>
      </c>
      <c r="D376" s="3">
        <f>IFERROR(INDEX('TECNICOS'!$D$4:$D$19,MATCH($C376,'TECNICOS'!$B$4:$B$19,0)),"")</f>
        <v/>
      </c>
      <c r="E376" s="3">
        <f>IFERROR(INDEX('TECNICOS'!$C$4:$C$19,MATCH($C376,'TECNICOS'!$B$4:$B$19,0)),"")</f>
        <v/>
      </c>
      <c r="F376" s="3">
        <f>COUNTIFS('TECNICOS'!$F$4:$F$19,"SI",'TECNICOS'!$C$4:$C$19,$E376,'TECNICOS'!$D$4:$D$19,$D376)</f>
        <v/>
      </c>
      <c r="G376" s="3">
        <f>IF(OR($C376="",$A376="",$B376="domingo"),"",IF(IFERROR(INDEX('TECNICOS'!$F$4:$F$19,MATCH($C376,'TECNICOS'!$B$4:$B$19,0)),"NO")&lt;&gt;"SI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3">
        <f>IF(COUNTIFS('PLAN_VACACIONES'!$A$4:$A$103,$C376,'PLAN_VACACIONES'!$B$4:$B$103,"&lt;="&amp;$L376,'PLAN_VACACIONES'!$C$4:$C$103,"&gt;="&amp;$L376)&gt;0,"sí","no")</f>
        <v/>
      </c>
      <c r="I376" s="6" t="n"/>
      <c r="J376" s="3">
        <f>IF($I376&lt;&gt;"",$I376,IF($G376="","",IF($H376="sí","VAC",IF(LEFT($G376,1)="B","B",$G376))))</f>
        <v/>
      </c>
      <c r="K376" s="3">
        <f>IFERROR(INDEX('TECNICOS'!$E$4:$E$19,MATCH($C376,'TECNICOS'!$B$4:$B$19,0)),"")</f>
        <v/>
      </c>
      <c r="L376" s="12">
        <f>IF($A376="","",DATE(VALUE(LEFT($A376,4)),1,4)-WEEKDAY(DATE(VALUE(LEFT($A376,4)),1,4),2)+1+(VALUE(MID($A376,7,2))-1)*7+MATCH($B376,lista_dias,0)-1)</f>
        <v/>
      </c>
      <c r="M376" s="3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3">
        <f>$A376&amp;"|"&amp;$B376&amp;"|"&amp;$C376</f>
        <v/>
      </c>
      <c r="O376" s="3">
        <f>IFERROR(INDEX('CAT_TURNOS'!$C$4:$C$7,MATCH($J376,'CAT_TURNOS'!$A$4:$A$7,0)),"")</f>
        <v/>
      </c>
      <c r="P376" s="3">
        <f>IFERROR(INDEX('CAT_TURNOS'!$D$4:$D$7,MATCH($J376,'CAT_TURNOS'!$A$4:$A$7,0)),"")</f>
        <v/>
      </c>
      <c r="Q376" s="3">
        <f>IF(AND(LEFT($G376,1)="T",$H376="no"),"sí","no")</f>
        <v/>
      </c>
    </row>
    <row r="377">
      <c r="A377" s="3" t="inlineStr">
        <is>
          <t>2026-S32</t>
        </is>
      </c>
      <c r="B377" s="3" t="inlineStr">
        <is>
          <t>miércoles</t>
        </is>
      </c>
      <c r="C377" s="3" t="inlineStr">
        <is>
          <t>Técnico 06</t>
        </is>
      </c>
      <c r="D377" s="3">
        <f>IFERROR(INDEX('TECNICOS'!$D$4:$D$19,MATCH($C377,'TECNICOS'!$B$4:$B$19,0)),"")</f>
        <v/>
      </c>
      <c r="E377" s="3">
        <f>IFERROR(INDEX('TECNICOS'!$C$4:$C$19,MATCH($C377,'TECNICOS'!$B$4:$B$19,0)),"")</f>
        <v/>
      </c>
      <c r="F377" s="3">
        <f>COUNTIFS('TECNICOS'!$F$4:$F$19,"SI",'TECNICOS'!$C$4:$C$19,$E377,'TECNICOS'!$D$4:$D$19,$D377)</f>
        <v/>
      </c>
      <c r="G377" s="3">
        <f>IF(OR($C377="",$A377="",$B377="domingo"),"",IF(IFERROR(INDEX('TECNICOS'!$F$4:$F$19,MATCH($C377,'TECNICOS'!$B$4:$B$19,0)),"NO")&lt;&gt;"SI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3">
        <f>IF(COUNTIFS('PLAN_VACACIONES'!$A$4:$A$103,$C377,'PLAN_VACACIONES'!$B$4:$B$103,"&lt;="&amp;$L377,'PLAN_VACACIONES'!$C$4:$C$103,"&gt;="&amp;$L377)&gt;0,"sí","no")</f>
        <v/>
      </c>
      <c r="I377" s="6" t="n"/>
      <c r="J377" s="3">
        <f>IF($I377&lt;&gt;"",$I377,IF($G377="","",IF($H377="sí","VAC",IF(LEFT($G377,1)="B","B",$G377))))</f>
        <v/>
      </c>
      <c r="K377" s="3">
        <f>IFERROR(INDEX('TECNICOS'!$E$4:$E$19,MATCH($C377,'TECNICOS'!$B$4:$B$19,0)),"")</f>
        <v/>
      </c>
      <c r="L377" s="12">
        <f>IF($A377="","",DATE(VALUE(LEFT($A377,4)),1,4)-WEEKDAY(DATE(VALUE(LEFT($A377,4)),1,4),2)+1+(VALUE(MID($A377,7,2))-1)*7+MATCH($B377,lista_dias,0)-1)</f>
        <v/>
      </c>
      <c r="M377" s="3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3">
        <f>$A377&amp;"|"&amp;$B377&amp;"|"&amp;$C377</f>
        <v/>
      </c>
      <c r="O377" s="3">
        <f>IFERROR(INDEX('CAT_TURNOS'!$C$4:$C$7,MATCH($J377,'CAT_TURNOS'!$A$4:$A$7,0)),"")</f>
        <v/>
      </c>
      <c r="P377" s="3">
        <f>IFERROR(INDEX('CAT_TURNOS'!$D$4:$D$7,MATCH($J377,'CAT_TURNOS'!$A$4:$A$7,0)),"")</f>
        <v/>
      </c>
      <c r="Q377" s="3">
        <f>IF(AND(LEFT($G377,1)="T",$H377="no"),"sí","no")</f>
        <v/>
      </c>
    </row>
    <row r="378">
      <c r="A378" s="3" t="inlineStr">
        <is>
          <t>2026-S32</t>
        </is>
      </c>
      <c r="B378" s="3" t="inlineStr">
        <is>
          <t>jueves</t>
        </is>
      </c>
      <c r="C378" s="3" t="inlineStr">
        <is>
          <t>Técnico 06</t>
        </is>
      </c>
      <c r="D378" s="3">
        <f>IFERROR(INDEX('TECNICOS'!$D$4:$D$19,MATCH($C378,'TECNICOS'!$B$4:$B$19,0)),"")</f>
        <v/>
      </c>
      <c r="E378" s="3">
        <f>IFERROR(INDEX('TECNICOS'!$C$4:$C$19,MATCH($C378,'TECNICOS'!$B$4:$B$19,0)),"")</f>
        <v/>
      </c>
      <c r="F378" s="3">
        <f>COUNTIFS('TECNICOS'!$F$4:$F$19,"SI",'TECNICOS'!$C$4:$C$19,$E378,'TECNICOS'!$D$4:$D$19,$D378)</f>
        <v/>
      </c>
      <c r="G378" s="3">
        <f>IF(OR($C378="",$A378="",$B378="domingo"),"",IF(IFERROR(INDEX('TECNICOS'!$F$4:$F$19,MATCH($C378,'TECNICOS'!$B$4:$B$19,0)),"NO")&lt;&gt;"SI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3">
        <f>IF(COUNTIFS('PLAN_VACACIONES'!$A$4:$A$103,$C378,'PLAN_VACACIONES'!$B$4:$B$103,"&lt;="&amp;$L378,'PLAN_VACACIONES'!$C$4:$C$103,"&gt;="&amp;$L378)&gt;0,"sí","no")</f>
        <v/>
      </c>
      <c r="I378" s="6" t="n"/>
      <c r="J378" s="3">
        <f>IF($I378&lt;&gt;"",$I378,IF($G378="","",IF($H378="sí","VAC",IF(LEFT($G378,1)="B","B",$G378))))</f>
        <v/>
      </c>
      <c r="K378" s="3">
        <f>IFERROR(INDEX('TECNICOS'!$E$4:$E$19,MATCH($C378,'TECNICOS'!$B$4:$B$19,0)),"")</f>
        <v/>
      </c>
      <c r="L378" s="12">
        <f>IF($A378="","",DATE(VALUE(LEFT($A378,4)),1,4)-WEEKDAY(DATE(VALUE(LEFT($A378,4)),1,4),2)+1+(VALUE(MID($A378,7,2))-1)*7+MATCH($B378,lista_dias,0)-1)</f>
        <v/>
      </c>
      <c r="M378" s="3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3">
        <f>$A378&amp;"|"&amp;$B378&amp;"|"&amp;$C378</f>
        <v/>
      </c>
      <c r="O378" s="3">
        <f>IFERROR(INDEX('CAT_TURNOS'!$C$4:$C$7,MATCH($J378,'CAT_TURNOS'!$A$4:$A$7,0)),"")</f>
        <v/>
      </c>
      <c r="P378" s="3">
        <f>IFERROR(INDEX('CAT_TURNOS'!$D$4:$D$7,MATCH($J378,'CAT_TURNOS'!$A$4:$A$7,0)),"")</f>
        <v/>
      </c>
      <c r="Q378" s="3">
        <f>IF(AND(LEFT($G378,1)="T",$H378="no"),"sí","no")</f>
        <v/>
      </c>
    </row>
    <row r="379">
      <c r="A379" s="3" t="inlineStr">
        <is>
          <t>2026-S32</t>
        </is>
      </c>
      <c r="B379" s="3" t="inlineStr">
        <is>
          <t>viernes</t>
        </is>
      </c>
      <c r="C379" s="3" t="inlineStr">
        <is>
          <t>Técnico 06</t>
        </is>
      </c>
      <c r="D379" s="3">
        <f>IFERROR(INDEX('TECNICOS'!$D$4:$D$19,MATCH($C379,'TECNICOS'!$B$4:$B$19,0)),"")</f>
        <v/>
      </c>
      <c r="E379" s="3">
        <f>IFERROR(INDEX('TECNICOS'!$C$4:$C$19,MATCH($C379,'TECNICOS'!$B$4:$B$19,0)),"")</f>
        <v/>
      </c>
      <c r="F379" s="3">
        <f>COUNTIFS('TECNICOS'!$F$4:$F$19,"SI",'TECNICOS'!$C$4:$C$19,$E379,'TECNICOS'!$D$4:$D$19,$D379)</f>
        <v/>
      </c>
      <c r="G379" s="3">
        <f>IF(OR($C379="",$A379="",$B379="domingo"),"",IF(IFERROR(INDEX('TECNICOS'!$F$4:$F$19,MATCH($C379,'TECNICOS'!$B$4:$B$19,0)),"NO")&lt;&gt;"SI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3">
        <f>IF(COUNTIFS('PLAN_VACACIONES'!$A$4:$A$103,$C379,'PLAN_VACACIONES'!$B$4:$B$103,"&lt;="&amp;$L379,'PLAN_VACACIONES'!$C$4:$C$103,"&gt;="&amp;$L379)&gt;0,"sí","no")</f>
        <v/>
      </c>
      <c r="I379" s="6" t="n"/>
      <c r="J379" s="3">
        <f>IF($I379&lt;&gt;"",$I379,IF($G379="","",IF($H379="sí","VAC",IF(LEFT($G379,1)="B","B",$G379))))</f>
        <v/>
      </c>
      <c r="K379" s="3">
        <f>IFERROR(INDEX('TECNICOS'!$E$4:$E$19,MATCH($C379,'TECNICOS'!$B$4:$B$19,0)),"")</f>
        <v/>
      </c>
      <c r="L379" s="12">
        <f>IF($A379="","",DATE(VALUE(LEFT($A379,4)),1,4)-WEEKDAY(DATE(VALUE(LEFT($A379,4)),1,4),2)+1+(VALUE(MID($A379,7,2))-1)*7+MATCH($B379,lista_dias,0)-1)</f>
        <v/>
      </c>
      <c r="M379" s="3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3">
        <f>$A379&amp;"|"&amp;$B379&amp;"|"&amp;$C379</f>
        <v/>
      </c>
      <c r="O379" s="3">
        <f>IFERROR(INDEX('CAT_TURNOS'!$C$4:$C$7,MATCH($J379,'CAT_TURNOS'!$A$4:$A$7,0)),"")</f>
        <v/>
      </c>
      <c r="P379" s="3">
        <f>IFERROR(INDEX('CAT_TURNOS'!$D$4:$D$7,MATCH($J379,'CAT_TURNOS'!$A$4:$A$7,0)),"")</f>
        <v/>
      </c>
      <c r="Q379" s="3">
        <f>IF(AND(LEFT($G379,1)="T",$H379="no"),"sí","no")</f>
        <v/>
      </c>
    </row>
    <row r="380">
      <c r="A380" s="3" t="inlineStr">
        <is>
          <t>2026-S32</t>
        </is>
      </c>
      <c r="B380" s="3" t="inlineStr">
        <is>
          <t>sábado</t>
        </is>
      </c>
      <c r="C380" s="3" t="inlineStr">
        <is>
          <t>Técnico 06</t>
        </is>
      </c>
      <c r="D380" s="3">
        <f>IFERROR(INDEX('TECNICOS'!$D$4:$D$19,MATCH($C380,'TECNICOS'!$B$4:$B$19,0)),"")</f>
        <v/>
      </c>
      <c r="E380" s="3">
        <f>IFERROR(INDEX('TECNICOS'!$C$4:$C$19,MATCH($C380,'TECNICOS'!$B$4:$B$19,0)),"")</f>
        <v/>
      </c>
      <c r="F380" s="3">
        <f>COUNTIFS('TECNICOS'!$F$4:$F$19,"SI",'TECNICOS'!$C$4:$C$19,$E380,'TECNICOS'!$D$4:$D$19,$D380)</f>
        <v/>
      </c>
      <c r="G380" s="3">
        <f>IF(OR($C380="",$A380="",$B380="domingo"),"",IF(IFERROR(INDEX('TECNICOS'!$F$4:$F$19,MATCH($C380,'TECNICOS'!$B$4:$B$19,0)),"NO")&lt;&gt;"SI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3">
        <f>IF(COUNTIFS('PLAN_VACACIONES'!$A$4:$A$103,$C380,'PLAN_VACACIONES'!$B$4:$B$103,"&lt;="&amp;$L380,'PLAN_VACACIONES'!$C$4:$C$103,"&gt;="&amp;$L380)&gt;0,"sí","no")</f>
        <v/>
      </c>
      <c r="I380" s="6" t="n"/>
      <c r="J380" s="3">
        <f>IF($I380&lt;&gt;"",$I380,IF($G380="","",IF($H380="sí","VAC",IF(LEFT($G380,1)="B","B",$G380))))</f>
        <v/>
      </c>
      <c r="K380" s="3">
        <f>IFERROR(INDEX('TECNICOS'!$E$4:$E$19,MATCH($C380,'TECNICOS'!$B$4:$B$19,0)),"")</f>
        <v/>
      </c>
      <c r="L380" s="12">
        <f>IF($A380="","",DATE(VALUE(LEFT($A380,4)),1,4)-WEEKDAY(DATE(VALUE(LEFT($A380,4)),1,4),2)+1+(VALUE(MID($A380,7,2))-1)*7+MATCH($B380,lista_dias,0)-1)</f>
        <v/>
      </c>
      <c r="M380" s="3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3">
        <f>$A380&amp;"|"&amp;$B380&amp;"|"&amp;$C380</f>
        <v/>
      </c>
      <c r="O380" s="3">
        <f>IFERROR(INDEX('CAT_TURNOS'!$C$4:$C$7,MATCH($J380,'CAT_TURNOS'!$A$4:$A$7,0)),"")</f>
        <v/>
      </c>
      <c r="P380" s="3">
        <f>IFERROR(INDEX('CAT_TURNOS'!$D$4:$D$7,MATCH($J380,'CAT_TURNOS'!$A$4:$A$7,0)),"")</f>
        <v/>
      </c>
      <c r="Q380" s="3">
        <f>IF(AND(LEFT($G380,1)="T",$H380="no"),"sí","no")</f>
        <v/>
      </c>
    </row>
    <row r="381">
      <c r="A381" s="3" t="inlineStr">
        <is>
          <t>2026-S32</t>
        </is>
      </c>
      <c r="B381" s="3" t="inlineStr">
        <is>
          <t>domingo</t>
        </is>
      </c>
      <c r="C381" s="3" t="inlineStr">
        <is>
          <t>Técnico 06</t>
        </is>
      </c>
      <c r="D381" s="3">
        <f>IFERROR(INDEX('TECNICOS'!$D$4:$D$19,MATCH($C381,'TECNICOS'!$B$4:$B$19,0)),"")</f>
        <v/>
      </c>
      <c r="E381" s="3">
        <f>IFERROR(INDEX('TECNICOS'!$C$4:$C$19,MATCH($C381,'TECNICOS'!$B$4:$B$19,0)),"")</f>
        <v/>
      </c>
      <c r="F381" s="3">
        <f>COUNTIFS('TECNICOS'!$F$4:$F$19,"SI",'TECNICOS'!$C$4:$C$19,$E381,'TECNICOS'!$D$4:$D$19,$D381)</f>
        <v/>
      </c>
      <c r="G381" s="3">
        <f>IF(OR($C381="",$A381="",$B381="domingo"),"",IF(IFERROR(INDEX('TECNICOS'!$F$4:$F$19,MATCH($C381,'TECNICOS'!$B$4:$B$19,0)),"NO")&lt;&gt;"SI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3">
        <f>IF(COUNTIFS('PLAN_VACACIONES'!$A$4:$A$103,$C381,'PLAN_VACACIONES'!$B$4:$B$103,"&lt;="&amp;$L381,'PLAN_VACACIONES'!$C$4:$C$103,"&gt;="&amp;$L381)&gt;0,"sí","no")</f>
        <v/>
      </c>
      <c r="I381" s="6" t="n"/>
      <c r="J381" s="3">
        <f>IF($I381&lt;&gt;"",$I381,IF($G381="","",IF($H381="sí","VAC",IF(LEFT($G381,1)="B","B",$G381))))</f>
        <v/>
      </c>
      <c r="K381" s="3">
        <f>IFERROR(INDEX('TECNICOS'!$E$4:$E$19,MATCH($C381,'TECNICOS'!$B$4:$B$19,0)),"")</f>
        <v/>
      </c>
      <c r="L381" s="12">
        <f>IF($A381="","",DATE(VALUE(LEFT($A381,4)),1,4)-WEEKDAY(DATE(VALUE(LEFT($A381,4)),1,4),2)+1+(VALUE(MID($A381,7,2))-1)*7+MATCH($B381,lista_dias,0)-1)</f>
        <v/>
      </c>
      <c r="M381" s="3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3">
        <f>$A381&amp;"|"&amp;$B381&amp;"|"&amp;$C381</f>
        <v/>
      </c>
      <c r="O381" s="3">
        <f>IFERROR(INDEX('CAT_TURNOS'!$C$4:$C$7,MATCH($J381,'CAT_TURNOS'!$A$4:$A$7,0)),"")</f>
        <v/>
      </c>
      <c r="P381" s="3">
        <f>IFERROR(INDEX('CAT_TURNOS'!$D$4:$D$7,MATCH($J381,'CAT_TURNOS'!$A$4:$A$7,0)),"")</f>
        <v/>
      </c>
      <c r="Q381" s="3">
        <f>IF(AND(LEFT($G381,1)="T",$H381="no"),"sí","no")</f>
        <v/>
      </c>
    </row>
    <row r="382">
      <c r="A382" s="3" t="inlineStr">
        <is>
          <t>2026-S32</t>
        </is>
      </c>
      <c r="B382" s="3" t="inlineStr">
        <is>
          <t>lunes</t>
        </is>
      </c>
      <c r="C382" s="3" t="inlineStr">
        <is>
          <t>Técnico 07</t>
        </is>
      </c>
      <c r="D382" s="3">
        <f>IFERROR(INDEX('TECNICOS'!$D$4:$D$19,MATCH($C382,'TECNICOS'!$B$4:$B$19,0)),"")</f>
        <v/>
      </c>
      <c r="E382" s="3">
        <f>IFERROR(INDEX('TECNICOS'!$C$4:$C$19,MATCH($C382,'TECNICOS'!$B$4:$B$19,0)),"")</f>
        <v/>
      </c>
      <c r="F382" s="3">
        <f>COUNTIFS('TECNICOS'!$F$4:$F$19,"SI",'TECNICOS'!$C$4:$C$19,$E382,'TECNICOS'!$D$4:$D$19,$D382)</f>
        <v/>
      </c>
      <c r="G382" s="3">
        <f>IF(OR($C382="",$A382="",$B382="domingo"),"",IF(IFERROR(INDEX('TECNICOS'!$F$4:$F$19,MATCH($C382,'TECNICOS'!$B$4:$B$19,0)),"NO")&lt;&gt;"SI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3">
        <f>IF(COUNTIFS('PLAN_VACACIONES'!$A$4:$A$103,$C382,'PLAN_VACACIONES'!$B$4:$B$103,"&lt;="&amp;$L382,'PLAN_VACACIONES'!$C$4:$C$103,"&gt;="&amp;$L382)&gt;0,"sí","no")</f>
        <v/>
      </c>
      <c r="I382" s="6" t="n"/>
      <c r="J382" s="3">
        <f>IF($I382&lt;&gt;"",$I382,IF($G382="","",IF($H382="sí","VAC",IF(LEFT($G382,1)="B","B",$G382))))</f>
        <v/>
      </c>
      <c r="K382" s="3">
        <f>IFERROR(INDEX('TECNICOS'!$E$4:$E$19,MATCH($C382,'TECNICOS'!$B$4:$B$19,0)),"")</f>
        <v/>
      </c>
      <c r="L382" s="12">
        <f>IF($A382="","",DATE(VALUE(LEFT($A382,4)),1,4)-WEEKDAY(DATE(VALUE(LEFT($A382,4)),1,4),2)+1+(VALUE(MID($A382,7,2))-1)*7+MATCH($B382,lista_dias,0)-1)</f>
        <v/>
      </c>
      <c r="M382" s="3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3">
        <f>$A382&amp;"|"&amp;$B382&amp;"|"&amp;$C382</f>
        <v/>
      </c>
      <c r="O382" s="3">
        <f>IFERROR(INDEX('CAT_TURNOS'!$C$4:$C$7,MATCH($J382,'CAT_TURNOS'!$A$4:$A$7,0)),"")</f>
        <v/>
      </c>
      <c r="P382" s="3">
        <f>IFERROR(INDEX('CAT_TURNOS'!$D$4:$D$7,MATCH($J382,'CAT_TURNOS'!$A$4:$A$7,0)),"")</f>
        <v/>
      </c>
      <c r="Q382" s="3">
        <f>IF(AND(LEFT($G382,1)="T",$H382="no"),"sí","no")</f>
        <v/>
      </c>
    </row>
    <row r="383">
      <c r="A383" s="3" t="inlineStr">
        <is>
          <t>2026-S32</t>
        </is>
      </c>
      <c r="B383" s="3" t="inlineStr">
        <is>
          <t>martes</t>
        </is>
      </c>
      <c r="C383" s="3" t="inlineStr">
        <is>
          <t>Técnico 07</t>
        </is>
      </c>
      <c r="D383" s="3">
        <f>IFERROR(INDEX('TECNICOS'!$D$4:$D$19,MATCH($C383,'TECNICOS'!$B$4:$B$19,0)),"")</f>
        <v/>
      </c>
      <c r="E383" s="3">
        <f>IFERROR(INDEX('TECNICOS'!$C$4:$C$19,MATCH($C383,'TECNICOS'!$B$4:$B$19,0)),"")</f>
        <v/>
      </c>
      <c r="F383" s="3">
        <f>COUNTIFS('TECNICOS'!$F$4:$F$19,"SI",'TECNICOS'!$C$4:$C$19,$E383,'TECNICOS'!$D$4:$D$19,$D383)</f>
        <v/>
      </c>
      <c r="G383" s="3">
        <f>IF(OR($C383="",$A383="",$B383="domingo"),"",IF(IFERROR(INDEX('TECNICOS'!$F$4:$F$19,MATCH($C383,'TECNICOS'!$B$4:$B$19,0)),"NO")&lt;&gt;"SI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3">
        <f>IF(COUNTIFS('PLAN_VACACIONES'!$A$4:$A$103,$C383,'PLAN_VACACIONES'!$B$4:$B$103,"&lt;="&amp;$L383,'PLAN_VACACIONES'!$C$4:$C$103,"&gt;="&amp;$L383)&gt;0,"sí","no")</f>
        <v/>
      </c>
      <c r="I383" s="6" t="n"/>
      <c r="J383" s="3">
        <f>IF($I383&lt;&gt;"",$I383,IF($G383="","",IF($H383="sí","VAC",IF(LEFT($G383,1)="B","B",$G383))))</f>
        <v/>
      </c>
      <c r="K383" s="3">
        <f>IFERROR(INDEX('TECNICOS'!$E$4:$E$19,MATCH($C383,'TECNICOS'!$B$4:$B$19,0)),"")</f>
        <v/>
      </c>
      <c r="L383" s="12">
        <f>IF($A383="","",DATE(VALUE(LEFT($A383,4)),1,4)-WEEKDAY(DATE(VALUE(LEFT($A383,4)),1,4),2)+1+(VALUE(MID($A383,7,2))-1)*7+MATCH($B383,lista_dias,0)-1)</f>
        <v/>
      </c>
      <c r="M383" s="3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3">
        <f>$A383&amp;"|"&amp;$B383&amp;"|"&amp;$C383</f>
        <v/>
      </c>
      <c r="O383" s="3">
        <f>IFERROR(INDEX('CAT_TURNOS'!$C$4:$C$7,MATCH($J383,'CAT_TURNOS'!$A$4:$A$7,0)),"")</f>
        <v/>
      </c>
      <c r="P383" s="3">
        <f>IFERROR(INDEX('CAT_TURNOS'!$D$4:$D$7,MATCH($J383,'CAT_TURNOS'!$A$4:$A$7,0)),"")</f>
        <v/>
      </c>
      <c r="Q383" s="3">
        <f>IF(AND(LEFT($G383,1)="T",$H383="no"),"sí","no")</f>
        <v/>
      </c>
    </row>
    <row r="384">
      <c r="A384" s="3" t="inlineStr">
        <is>
          <t>2026-S32</t>
        </is>
      </c>
      <c r="B384" s="3" t="inlineStr">
        <is>
          <t>miércoles</t>
        </is>
      </c>
      <c r="C384" s="3" t="inlineStr">
        <is>
          <t>Técnico 07</t>
        </is>
      </c>
      <c r="D384" s="3">
        <f>IFERROR(INDEX('TECNICOS'!$D$4:$D$19,MATCH($C384,'TECNICOS'!$B$4:$B$19,0)),"")</f>
        <v/>
      </c>
      <c r="E384" s="3">
        <f>IFERROR(INDEX('TECNICOS'!$C$4:$C$19,MATCH($C384,'TECNICOS'!$B$4:$B$19,0)),"")</f>
        <v/>
      </c>
      <c r="F384" s="3">
        <f>COUNTIFS('TECNICOS'!$F$4:$F$19,"SI",'TECNICOS'!$C$4:$C$19,$E384,'TECNICOS'!$D$4:$D$19,$D384)</f>
        <v/>
      </c>
      <c r="G384" s="3">
        <f>IF(OR($C384="",$A384="",$B384="domingo"),"",IF(IFERROR(INDEX('TECNICOS'!$F$4:$F$19,MATCH($C384,'TECNICOS'!$B$4:$B$19,0)),"NO")&lt;&gt;"SI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3">
        <f>IF(COUNTIFS('PLAN_VACACIONES'!$A$4:$A$103,$C384,'PLAN_VACACIONES'!$B$4:$B$103,"&lt;="&amp;$L384,'PLAN_VACACIONES'!$C$4:$C$103,"&gt;="&amp;$L384)&gt;0,"sí","no")</f>
        <v/>
      </c>
      <c r="I384" s="6" t="n"/>
      <c r="J384" s="3">
        <f>IF($I384&lt;&gt;"",$I384,IF($G384="","",IF($H384="sí","VAC",IF(LEFT($G384,1)="B","B",$G384))))</f>
        <v/>
      </c>
      <c r="K384" s="3">
        <f>IFERROR(INDEX('TECNICOS'!$E$4:$E$19,MATCH($C384,'TECNICOS'!$B$4:$B$19,0)),"")</f>
        <v/>
      </c>
      <c r="L384" s="12">
        <f>IF($A384="","",DATE(VALUE(LEFT($A384,4)),1,4)-WEEKDAY(DATE(VALUE(LEFT($A384,4)),1,4),2)+1+(VALUE(MID($A384,7,2))-1)*7+MATCH($B384,lista_dias,0)-1)</f>
        <v/>
      </c>
      <c r="M384" s="3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3">
        <f>$A384&amp;"|"&amp;$B384&amp;"|"&amp;$C384</f>
        <v/>
      </c>
      <c r="O384" s="3">
        <f>IFERROR(INDEX('CAT_TURNOS'!$C$4:$C$7,MATCH($J384,'CAT_TURNOS'!$A$4:$A$7,0)),"")</f>
        <v/>
      </c>
      <c r="P384" s="3">
        <f>IFERROR(INDEX('CAT_TURNOS'!$D$4:$D$7,MATCH($J384,'CAT_TURNOS'!$A$4:$A$7,0)),"")</f>
        <v/>
      </c>
      <c r="Q384" s="3">
        <f>IF(AND(LEFT($G384,1)="T",$H384="no"),"sí","no")</f>
        <v/>
      </c>
    </row>
    <row r="385">
      <c r="A385" s="3" t="inlineStr">
        <is>
          <t>2026-S32</t>
        </is>
      </c>
      <c r="B385" s="3" t="inlineStr">
        <is>
          <t>jueves</t>
        </is>
      </c>
      <c r="C385" s="3" t="inlineStr">
        <is>
          <t>Técnico 07</t>
        </is>
      </c>
      <c r="D385" s="3">
        <f>IFERROR(INDEX('TECNICOS'!$D$4:$D$19,MATCH($C385,'TECNICOS'!$B$4:$B$19,0)),"")</f>
        <v/>
      </c>
      <c r="E385" s="3">
        <f>IFERROR(INDEX('TECNICOS'!$C$4:$C$19,MATCH($C385,'TECNICOS'!$B$4:$B$19,0)),"")</f>
        <v/>
      </c>
      <c r="F385" s="3">
        <f>COUNTIFS('TECNICOS'!$F$4:$F$19,"SI",'TECNICOS'!$C$4:$C$19,$E385,'TECNICOS'!$D$4:$D$19,$D385)</f>
        <v/>
      </c>
      <c r="G385" s="3">
        <f>IF(OR($C385="",$A385="",$B385="domingo"),"",IF(IFERROR(INDEX('TECNICOS'!$F$4:$F$19,MATCH($C385,'TECNICOS'!$B$4:$B$19,0)),"NO")&lt;&gt;"SI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3">
        <f>IF(COUNTIFS('PLAN_VACACIONES'!$A$4:$A$103,$C385,'PLAN_VACACIONES'!$B$4:$B$103,"&lt;="&amp;$L385,'PLAN_VACACIONES'!$C$4:$C$103,"&gt;="&amp;$L385)&gt;0,"sí","no")</f>
        <v/>
      </c>
      <c r="I385" s="6" t="n"/>
      <c r="J385" s="3">
        <f>IF($I385&lt;&gt;"",$I385,IF($G385="","",IF($H385="sí","VAC",IF(LEFT($G385,1)="B","B",$G385))))</f>
        <v/>
      </c>
      <c r="K385" s="3">
        <f>IFERROR(INDEX('TECNICOS'!$E$4:$E$19,MATCH($C385,'TECNICOS'!$B$4:$B$19,0)),"")</f>
        <v/>
      </c>
      <c r="L385" s="12">
        <f>IF($A385="","",DATE(VALUE(LEFT($A385,4)),1,4)-WEEKDAY(DATE(VALUE(LEFT($A385,4)),1,4),2)+1+(VALUE(MID($A385,7,2))-1)*7+MATCH($B385,lista_dias,0)-1)</f>
        <v/>
      </c>
      <c r="M385" s="3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3">
        <f>$A385&amp;"|"&amp;$B385&amp;"|"&amp;$C385</f>
        <v/>
      </c>
      <c r="O385" s="3">
        <f>IFERROR(INDEX('CAT_TURNOS'!$C$4:$C$7,MATCH($J385,'CAT_TURNOS'!$A$4:$A$7,0)),"")</f>
        <v/>
      </c>
      <c r="P385" s="3">
        <f>IFERROR(INDEX('CAT_TURNOS'!$D$4:$D$7,MATCH($J385,'CAT_TURNOS'!$A$4:$A$7,0)),"")</f>
        <v/>
      </c>
      <c r="Q385" s="3">
        <f>IF(AND(LEFT($G385,1)="T",$H385="no"),"sí","no")</f>
        <v/>
      </c>
    </row>
    <row r="386">
      <c r="A386" s="3" t="inlineStr">
        <is>
          <t>2026-S32</t>
        </is>
      </c>
      <c r="B386" s="3" t="inlineStr">
        <is>
          <t>viernes</t>
        </is>
      </c>
      <c r="C386" s="3" t="inlineStr">
        <is>
          <t>Técnico 07</t>
        </is>
      </c>
      <c r="D386" s="3">
        <f>IFERROR(INDEX('TECNICOS'!$D$4:$D$19,MATCH($C386,'TECNICOS'!$B$4:$B$19,0)),"")</f>
        <v/>
      </c>
      <c r="E386" s="3">
        <f>IFERROR(INDEX('TECNICOS'!$C$4:$C$19,MATCH($C386,'TECNICOS'!$B$4:$B$19,0)),"")</f>
        <v/>
      </c>
      <c r="F386" s="3">
        <f>COUNTIFS('TECNICOS'!$F$4:$F$19,"SI",'TECNICOS'!$C$4:$C$19,$E386,'TECNICOS'!$D$4:$D$19,$D386)</f>
        <v/>
      </c>
      <c r="G386" s="3">
        <f>IF(OR($C386="",$A386="",$B386="domingo"),"",IF(IFERROR(INDEX('TECNICOS'!$F$4:$F$19,MATCH($C386,'TECNICOS'!$B$4:$B$19,0)),"NO")&lt;&gt;"SI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3">
        <f>IF(COUNTIFS('PLAN_VACACIONES'!$A$4:$A$103,$C386,'PLAN_VACACIONES'!$B$4:$B$103,"&lt;="&amp;$L386,'PLAN_VACACIONES'!$C$4:$C$103,"&gt;="&amp;$L386)&gt;0,"sí","no")</f>
        <v/>
      </c>
      <c r="I386" s="6" t="n"/>
      <c r="J386" s="3">
        <f>IF($I386&lt;&gt;"",$I386,IF($G386="","",IF($H386="sí","VAC",IF(LEFT($G386,1)="B","B",$G386))))</f>
        <v/>
      </c>
      <c r="K386" s="3">
        <f>IFERROR(INDEX('TECNICOS'!$E$4:$E$19,MATCH($C386,'TECNICOS'!$B$4:$B$19,0)),"")</f>
        <v/>
      </c>
      <c r="L386" s="12">
        <f>IF($A386="","",DATE(VALUE(LEFT($A386,4)),1,4)-WEEKDAY(DATE(VALUE(LEFT($A386,4)),1,4),2)+1+(VALUE(MID($A386,7,2))-1)*7+MATCH($B386,lista_dias,0)-1)</f>
        <v/>
      </c>
      <c r="M386" s="3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3">
        <f>$A386&amp;"|"&amp;$B386&amp;"|"&amp;$C386</f>
        <v/>
      </c>
      <c r="O386" s="3">
        <f>IFERROR(INDEX('CAT_TURNOS'!$C$4:$C$7,MATCH($J386,'CAT_TURNOS'!$A$4:$A$7,0)),"")</f>
        <v/>
      </c>
      <c r="P386" s="3">
        <f>IFERROR(INDEX('CAT_TURNOS'!$D$4:$D$7,MATCH($J386,'CAT_TURNOS'!$A$4:$A$7,0)),"")</f>
        <v/>
      </c>
      <c r="Q386" s="3">
        <f>IF(AND(LEFT($G386,1)="T",$H386="no"),"sí","no")</f>
        <v/>
      </c>
    </row>
    <row r="387">
      <c r="A387" s="3" t="inlineStr">
        <is>
          <t>2026-S32</t>
        </is>
      </c>
      <c r="B387" s="3" t="inlineStr">
        <is>
          <t>sábado</t>
        </is>
      </c>
      <c r="C387" s="3" t="inlineStr">
        <is>
          <t>Técnico 07</t>
        </is>
      </c>
      <c r="D387" s="3">
        <f>IFERROR(INDEX('TECNICOS'!$D$4:$D$19,MATCH($C387,'TECNICOS'!$B$4:$B$19,0)),"")</f>
        <v/>
      </c>
      <c r="E387" s="3">
        <f>IFERROR(INDEX('TECNICOS'!$C$4:$C$19,MATCH($C387,'TECNICOS'!$B$4:$B$19,0)),"")</f>
        <v/>
      </c>
      <c r="F387" s="3">
        <f>COUNTIFS('TECNICOS'!$F$4:$F$19,"SI",'TECNICOS'!$C$4:$C$19,$E387,'TECNICOS'!$D$4:$D$19,$D387)</f>
        <v/>
      </c>
      <c r="G387" s="3">
        <f>IF(OR($C387="",$A387="",$B387="domingo"),"",IF(IFERROR(INDEX('TECNICOS'!$F$4:$F$19,MATCH($C387,'TECNICOS'!$B$4:$B$19,0)),"NO")&lt;&gt;"SI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3">
        <f>IF(COUNTIFS('PLAN_VACACIONES'!$A$4:$A$103,$C387,'PLAN_VACACIONES'!$B$4:$B$103,"&lt;="&amp;$L387,'PLAN_VACACIONES'!$C$4:$C$103,"&gt;="&amp;$L387)&gt;0,"sí","no")</f>
        <v/>
      </c>
      <c r="I387" s="6" t="n"/>
      <c r="J387" s="3">
        <f>IF($I387&lt;&gt;"",$I387,IF($G387="","",IF($H387="sí","VAC",IF(LEFT($G387,1)="B","B",$G387))))</f>
        <v/>
      </c>
      <c r="K387" s="3">
        <f>IFERROR(INDEX('TECNICOS'!$E$4:$E$19,MATCH($C387,'TECNICOS'!$B$4:$B$19,0)),"")</f>
        <v/>
      </c>
      <c r="L387" s="12">
        <f>IF($A387="","",DATE(VALUE(LEFT($A387,4)),1,4)-WEEKDAY(DATE(VALUE(LEFT($A387,4)),1,4),2)+1+(VALUE(MID($A387,7,2))-1)*7+MATCH($B387,lista_dias,0)-1)</f>
        <v/>
      </c>
      <c r="M387" s="3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3">
        <f>$A387&amp;"|"&amp;$B387&amp;"|"&amp;$C387</f>
        <v/>
      </c>
      <c r="O387" s="3">
        <f>IFERROR(INDEX('CAT_TURNOS'!$C$4:$C$7,MATCH($J387,'CAT_TURNOS'!$A$4:$A$7,0)),"")</f>
        <v/>
      </c>
      <c r="P387" s="3">
        <f>IFERROR(INDEX('CAT_TURNOS'!$D$4:$D$7,MATCH($J387,'CAT_TURNOS'!$A$4:$A$7,0)),"")</f>
        <v/>
      </c>
      <c r="Q387" s="3">
        <f>IF(AND(LEFT($G387,1)="T",$H387="no"),"sí","no")</f>
        <v/>
      </c>
    </row>
    <row r="388">
      <c r="A388" s="3" t="inlineStr">
        <is>
          <t>2026-S32</t>
        </is>
      </c>
      <c r="B388" s="3" t="inlineStr">
        <is>
          <t>domingo</t>
        </is>
      </c>
      <c r="C388" s="3" t="inlineStr">
        <is>
          <t>Técnico 07</t>
        </is>
      </c>
      <c r="D388" s="3">
        <f>IFERROR(INDEX('TECNICOS'!$D$4:$D$19,MATCH($C388,'TECNICOS'!$B$4:$B$19,0)),"")</f>
        <v/>
      </c>
      <c r="E388" s="3">
        <f>IFERROR(INDEX('TECNICOS'!$C$4:$C$19,MATCH($C388,'TECNICOS'!$B$4:$B$19,0)),"")</f>
        <v/>
      </c>
      <c r="F388" s="3">
        <f>COUNTIFS('TECNICOS'!$F$4:$F$19,"SI",'TECNICOS'!$C$4:$C$19,$E388,'TECNICOS'!$D$4:$D$19,$D388)</f>
        <v/>
      </c>
      <c r="G388" s="3">
        <f>IF(OR($C388="",$A388="",$B388="domingo"),"",IF(IFERROR(INDEX('TECNICOS'!$F$4:$F$19,MATCH($C388,'TECNICOS'!$B$4:$B$19,0)),"NO")&lt;&gt;"SI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3">
        <f>IF(COUNTIFS('PLAN_VACACIONES'!$A$4:$A$103,$C388,'PLAN_VACACIONES'!$B$4:$B$103,"&lt;="&amp;$L388,'PLAN_VACACIONES'!$C$4:$C$103,"&gt;="&amp;$L388)&gt;0,"sí","no")</f>
        <v/>
      </c>
      <c r="I388" s="6" t="n"/>
      <c r="J388" s="3">
        <f>IF($I388&lt;&gt;"",$I388,IF($G388="","",IF($H388="sí","VAC",IF(LEFT($G388,1)="B","B",$G388))))</f>
        <v/>
      </c>
      <c r="K388" s="3">
        <f>IFERROR(INDEX('TECNICOS'!$E$4:$E$19,MATCH($C388,'TECNICOS'!$B$4:$B$19,0)),"")</f>
        <v/>
      </c>
      <c r="L388" s="12">
        <f>IF($A388="","",DATE(VALUE(LEFT($A388,4)),1,4)-WEEKDAY(DATE(VALUE(LEFT($A388,4)),1,4),2)+1+(VALUE(MID($A388,7,2))-1)*7+MATCH($B388,lista_dias,0)-1)</f>
        <v/>
      </c>
      <c r="M388" s="3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3">
        <f>$A388&amp;"|"&amp;$B388&amp;"|"&amp;$C388</f>
        <v/>
      </c>
      <c r="O388" s="3">
        <f>IFERROR(INDEX('CAT_TURNOS'!$C$4:$C$7,MATCH($J388,'CAT_TURNOS'!$A$4:$A$7,0)),"")</f>
        <v/>
      </c>
      <c r="P388" s="3">
        <f>IFERROR(INDEX('CAT_TURNOS'!$D$4:$D$7,MATCH($J388,'CAT_TURNOS'!$A$4:$A$7,0)),"")</f>
        <v/>
      </c>
      <c r="Q388" s="3">
        <f>IF(AND(LEFT($G388,1)="T",$H388="no"),"sí","no")</f>
        <v/>
      </c>
    </row>
    <row r="389">
      <c r="A389" s="3" t="inlineStr">
        <is>
          <t>2026-S32</t>
        </is>
      </c>
      <c r="B389" s="3" t="inlineStr">
        <is>
          <t>lunes</t>
        </is>
      </c>
      <c r="C389" s="3" t="inlineStr">
        <is>
          <t>Técnico 08</t>
        </is>
      </c>
      <c r="D389" s="3">
        <f>IFERROR(INDEX('TECNICOS'!$D$4:$D$19,MATCH($C389,'TECNICOS'!$B$4:$B$19,0)),"")</f>
        <v/>
      </c>
      <c r="E389" s="3">
        <f>IFERROR(INDEX('TECNICOS'!$C$4:$C$19,MATCH($C389,'TECNICOS'!$B$4:$B$19,0)),"")</f>
        <v/>
      </c>
      <c r="F389" s="3">
        <f>COUNTIFS('TECNICOS'!$F$4:$F$19,"SI",'TECNICOS'!$C$4:$C$19,$E389,'TECNICOS'!$D$4:$D$19,$D389)</f>
        <v/>
      </c>
      <c r="G389" s="3">
        <f>IF(OR($C389="",$A389="",$B389="domingo"),"",IF(IFERROR(INDEX('TECNICOS'!$F$4:$F$19,MATCH($C389,'TECNICOS'!$B$4:$B$19,0)),"NO")&lt;&gt;"SI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3">
        <f>IF(COUNTIFS('PLAN_VACACIONES'!$A$4:$A$103,$C389,'PLAN_VACACIONES'!$B$4:$B$103,"&lt;="&amp;$L389,'PLAN_VACACIONES'!$C$4:$C$103,"&gt;="&amp;$L389)&gt;0,"sí","no")</f>
        <v/>
      </c>
      <c r="I389" s="6" t="n"/>
      <c r="J389" s="3">
        <f>IF($I389&lt;&gt;"",$I389,IF($G389="","",IF($H389="sí","VAC",IF(LEFT($G389,1)="B","B",$G389))))</f>
        <v/>
      </c>
      <c r="K389" s="3">
        <f>IFERROR(INDEX('TECNICOS'!$E$4:$E$19,MATCH($C389,'TECNICOS'!$B$4:$B$19,0)),"")</f>
        <v/>
      </c>
      <c r="L389" s="12">
        <f>IF($A389="","",DATE(VALUE(LEFT($A389,4)),1,4)-WEEKDAY(DATE(VALUE(LEFT($A389,4)),1,4),2)+1+(VALUE(MID($A389,7,2))-1)*7+MATCH($B389,lista_dias,0)-1)</f>
        <v/>
      </c>
      <c r="M389" s="3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3">
        <f>$A389&amp;"|"&amp;$B389&amp;"|"&amp;$C389</f>
        <v/>
      </c>
      <c r="O389" s="3">
        <f>IFERROR(INDEX('CAT_TURNOS'!$C$4:$C$7,MATCH($J389,'CAT_TURNOS'!$A$4:$A$7,0)),"")</f>
        <v/>
      </c>
      <c r="P389" s="3">
        <f>IFERROR(INDEX('CAT_TURNOS'!$D$4:$D$7,MATCH($J389,'CAT_TURNOS'!$A$4:$A$7,0)),"")</f>
        <v/>
      </c>
      <c r="Q389" s="3">
        <f>IF(AND(LEFT($G389,1)="T",$H389="no"),"sí","no")</f>
        <v/>
      </c>
    </row>
    <row r="390">
      <c r="A390" s="3" t="inlineStr">
        <is>
          <t>2026-S32</t>
        </is>
      </c>
      <c r="B390" s="3" t="inlineStr">
        <is>
          <t>martes</t>
        </is>
      </c>
      <c r="C390" s="3" t="inlineStr">
        <is>
          <t>Técnico 08</t>
        </is>
      </c>
      <c r="D390" s="3">
        <f>IFERROR(INDEX('TECNICOS'!$D$4:$D$19,MATCH($C390,'TECNICOS'!$B$4:$B$19,0)),"")</f>
        <v/>
      </c>
      <c r="E390" s="3">
        <f>IFERROR(INDEX('TECNICOS'!$C$4:$C$19,MATCH($C390,'TECNICOS'!$B$4:$B$19,0)),"")</f>
        <v/>
      </c>
      <c r="F390" s="3">
        <f>COUNTIFS('TECNICOS'!$F$4:$F$19,"SI",'TECNICOS'!$C$4:$C$19,$E390,'TECNICOS'!$D$4:$D$19,$D390)</f>
        <v/>
      </c>
      <c r="G390" s="3">
        <f>IF(OR($C390="",$A390="",$B390="domingo"),"",IF(IFERROR(INDEX('TECNICOS'!$F$4:$F$19,MATCH($C390,'TECNICOS'!$B$4:$B$19,0)),"NO")&lt;&gt;"SI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3">
        <f>IF(COUNTIFS('PLAN_VACACIONES'!$A$4:$A$103,$C390,'PLAN_VACACIONES'!$B$4:$B$103,"&lt;="&amp;$L390,'PLAN_VACACIONES'!$C$4:$C$103,"&gt;="&amp;$L390)&gt;0,"sí","no")</f>
        <v/>
      </c>
      <c r="I390" s="6" t="n"/>
      <c r="J390" s="3">
        <f>IF($I390&lt;&gt;"",$I390,IF($G390="","",IF($H390="sí","VAC",IF(LEFT($G390,1)="B","B",$G390))))</f>
        <v/>
      </c>
      <c r="K390" s="3">
        <f>IFERROR(INDEX('TECNICOS'!$E$4:$E$19,MATCH($C390,'TECNICOS'!$B$4:$B$19,0)),"")</f>
        <v/>
      </c>
      <c r="L390" s="12">
        <f>IF($A390="","",DATE(VALUE(LEFT($A390,4)),1,4)-WEEKDAY(DATE(VALUE(LEFT($A390,4)),1,4),2)+1+(VALUE(MID($A390,7,2))-1)*7+MATCH($B390,lista_dias,0)-1)</f>
        <v/>
      </c>
      <c r="M390" s="3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3">
        <f>$A390&amp;"|"&amp;$B390&amp;"|"&amp;$C390</f>
        <v/>
      </c>
      <c r="O390" s="3">
        <f>IFERROR(INDEX('CAT_TURNOS'!$C$4:$C$7,MATCH($J390,'CAT_TURNOS'!$A$4:$A$7,0)),"")</f>
        <v/>
      </c>
      <c r="P390" s="3">
        <f>IFERROR(INDEX('CAT_TURNOS'!$D$4:$D$7,MATCH($J390,'CAT_TURNOS'!$A$4:$A$7,0)),"")</f>
        <v/>
      </c>
      <c r="Q390" s="3">
        <f>IF(AND(LEFT($G390,1)="T",$H390="no"),"sí","no")</f>
        <v/>
      </c>
    </row>
    <row r="391">
      <c r="A391" s="3" t="inlineStr">
        <is>
          <t>2026-S32</t>
        </is>
      </c>
      <c r="B391" s="3" t="inlineStr">
        <is>
          <t>miércoles</t>
        </is>
      </c>
      <c r="C391" s="3" t="inlineStr">
        <is>
          <t>Técnico 08</t>
        </is>
      </c>
      <c r="D391" s="3">
        <f>IFERROR(INDEX('TECNICOS'!$D$4:$D$19,MATCH($C391,'TECNICOS'!$B$4:$B$19,0)),"")</f>
        <v/>
      </c>
      <c r="E391" s="3">
        <f>IFERROR(INDEX('TECNICOS'!$C$4:$C$19,MATCH($C391,'TECNICOS'!$B$4:$B$19,0)),"")</f>
        <v/>
      </c>
      <c r="F391" s="3">
        <f>COUNTIFS('TECNICOS'!$F$4:$F$19,"SI",'TECNICOS'!$C$4:$C$19,$E391,'TECNICOS'!$D$4:$D$19,$D391)</f>
        <v/>
      </c>
      <c r="G391" s="3">
        <f>IF(OR($C391="",$A391="",$B391="domingo"),"",IF(IFERROR(INDEX('TECNICOS'!$F$4:$F$19,MATCH($C391,'TECNICOS'!$B$4:$B$19,0)),"NO")&lt;&gt;"SI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3">
        <f>IF(COUNTIFS('PLAN_VACACIONES'!$A$4:$A$103,$C391,'PLAN_VACACIONES'!$B$4:$B$103,"&lt;="&amp;$L391,'PLAN_VACACIONES'!$C$4:$C$103,"&gt;="&amp;$L391)&gt;0,"sí","no")</f>
        <v/>
      </c>
      <c r="I391" s="6" t="n"/>
      <c r="J391" s="3">
        <f>IF($I391&lt;&gt;"",$I391,IF($G391="","",IF($H391="sí","VAC",IF(LEFT($G391,1)="B","B",$G391))))</f>
        <v/>
      </c>
      <c r="K391" s="3">
        <f>IFERROR(INDEX('TECNICOS'!$E$4:$E$19,MATCH($C391,'TECNICOS'!$B$4:$B$19,0)),"")</f>
        <v/>
      </c>
      <c r="L391" s="12">
        <f>IF($A391="","",DATE(VALUE(LEFT($A391,4)),1,4)-WEEKDAY(DATE(VALUE(LEFT($A391,4)),1,4),2)+1+(VALUE(MID($A391,7,2))-1)*7+MATCH($B391,lista_dias,0)-1)</f>
        <v/>
      </c>
      <c r="M391" s="3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3">
        <f>$A391&amp;"|"&amp;$B391&amp;"|"&amp;$C391</f>
        <v/>
      </c>
      <c r="O391" s="3">
        <f>IFERROR(INDEX('CAT_TURNOS'!$C$4:$C$7,MATCH($J391,'CAT_TURNOS'!$A$4:$A$7,0)),"")</f>
        <v/>
      </c>
      <c r="P391" s="3">
        <f>IFERROR(INDEX('CAT_TURNOS'!$D$4:$D$7,MATCH($J391,'CAT_TURNOS'!$A$4:$A$7,0)),"")</f>
        <v/>
      </c>
      <c r="Q391" s="3">
        <f>IF(AND(LEFT($G391,1)="T",$H391="no"),"sí","no")</f>
        <v/>
      </c>
    </row>
    <row r="392">
      <c r="A392" s="3" t="inlineStr">
        <is>
          <t>2026-S32</t>
        </is>
      </c>
      <c r="B392" s="3" t="inlineStr">
        <is>
          <t>jueves</t>
        </is>
      </c>
      <c r="C392" s="3" t="inlineStr">
        <is>
          <t>Técnico 08</t>
        </is>
      </c>
      <c r="D392" s="3">
        <f>IFERROR(INDEX('TECNICOS'!$D$4:$D$19,MATCH($C392,'TECNICOS'!$B$4:$B$19,0)),"")</f>
        <v/>
      </c>
      <c r="E392" s="3">
        <f>IFERROR(INDEX('TECNICOS'!$C$4:$C$19,MATCH($C392,'TECNICOS'!$B$4:$B$19,0)),"")</f>
        <v/>
      </c>
      <c r="F392" s="3">
        <f>COUNTIFS('TECNICOS'!$F$4:$F$19,"SI",'TECNICOS'!$C$4:$C$19,$E392,'TECNICOS'!$D$4:$D$19,$D392)</f>
        <v/>
      </c>
      <c r="G392" s="3">
        <f>IF(OR($C392="",$A392="",$B392="domingo"),"",IF(IFERROR(INDEX('TECNICOS'!$F$4:$F$19,MATCH($C392,'TECNICOS'!$B$4:$B$19,0)),"NO")&lt;&gt;"SI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3">
        <f>IF(COUNTIFS('PLAN_VACACIONES'!$A$4:$A$103,$C392,'PLAN_VACACIONES'!$B$4:$B$103,"&lt;="&amp;$L392,'PLAN_VACACIONES'!$C$4:$C$103,"&gt;="&amp;$L392)&gt;0,"sí","no")</f>
        <v/>
      </c>
      <c r="I392" s="6" t="n"/>
      <c r="J392" s="3">
        <f>IF($I392&lt;&gt;"",$I392,IF($G392="","",IF($H392="sí","VAC",IF(LEFT($G392,1)="B","B",$G392))))</f>
        <v/>
      </c>
      <c r="K392" s="3">
        <f>IFERROR(INDEX('TECNICOS'!$E$4:$E$19,MATCH($C392,'TECNICOS'!$B$4:$B$19,0)),"")</f>
        <v/>
      </c>
      <c r="L392" s="12">
        <f>IF($A392="","",DATE(VALUE(LEFT($A392,4)),1,4)-WEEKDAY(DATE(VALUE(LEFT($A392,4)),1,4),2)+1+(VALUE(MID($A392,7,2))-1)*7+MATCH($B392,lista_dias,0)-1)</f>
        <v/>
      </c>
      <c r="M392" s="3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3">
        <f>$A392&amp;"|"&amp;$B392&amp;"|"&amp;$C392</f>
        <v/>
      </c>
      <c r="O392" s="3">
        <f>IFERROR(INDEX('CAT_TURNOS'!$C$4:$C$7,MATCH($J392,'CAT_TURNOS'!$A$4:$A$7,0)),"")</f>
        <v/>
      </c>
      <c r="P392" s="3">
        <f>IFERROR(INDEX('CAT_TURNOS'!$D$4:$D$7,MATCH($J392,'CAT_TURNOS'!$A$4:$A$7,0)),"")</f>
        <v/>
      </c>
      <c r="Q392" s="3">
        <f>IF(AND(LEFT($G392,1)="T",$H392="no"),"sí","no")</f>
        <v/>
      </c>
    </row>
    <row r="393">
      <c r="A393" s="3" t="inlineStr">
        <is>
          <t>2026-S32</t>
        </is>
      </c>
      <c r="B393" s="3" t="inlineStr">
        <is>
          <t>viernes</t>
        </is>
      </c>
      <c r="C393" s="3" t="inlineStr">
        <is>
          <t>Técnico 08</t>
        </is>
      </c>
      <c r="D393" s="3">
        <f>IFERROR(INDEX('TECNICOS'!$D$4:$D$19,MATCH($C393,'TECNICOS'!$B$4:$B$19,0)),"")</f>
        <v/>
      </c>
      <c r="E393" s="3">
        <f>IFERROR(INDEX('TECNICOS'!$C$4:$C$19,MATCH($C393,'TECNICOS'!$B$4:$B$19,0)),"")</f>
        <v/>
      </c>
      <c r="F393" s="3">
        <f>COUNTIFS('TECNICOS'!$F$4:$F$19,"SI",'TECNICOS'!$C$4:$C$19,$E393,'TECNICOS'!$D$4:$D$19,$D393)</f>
        <v/>
      </c>
      <c r="G393" s="3">
        <f>IF(OR($C393="",$A393="",$B393="domingo"),"",IF(IFERROR(INDEX('TECNICOS'!$F$4:$F$19,MATCH($C393,'TECNICOS'!$B$4:$B$19,0)),"NO")&lt;&gt;"SI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3">
        <f>IF(COUNTIFS('PLAN_VACACIONES'!$A$4:$A$103,$C393,'PLAN_VACACIONES'!$B$4:$B$103,"&lt;="&amp;$L393,'PLAN_VACACIONES'!$C$4:$C$103,"&gt;="&amp;$L393)&gt;0,"sí","no")</f>
        <v/>
      </c>
      <c r="I393" s="6" t="n"/>
      <c r="J393" s="3">
        <f>IF($I393&lt;&gt;"",$I393,IF($G393="","",IF($H393="sí","VAC",IF(LEFT($G393,1)="B","B",$G393))))</f>
        <v/>
      </c>
      <c r="K393" s="3">
        <f>IFERROR(INDEX('TECNICOS'!$E$4:$E$19,MATCH($C393,'TECNICOS'!$B$4:$B$19,0)),"")</f>
        <v/>
      </c>
      <c r="L393" s="12">
        <f>IF($A393="","",DATE(VALUE(LEFT($A393,4)),1,4)-WEEKDAY(DATE(VALUE(LEFT($A393,4)),1,4),2)+1+(VALUE(MID($A393,7,2))-1)*7+MATCH($B393,lista_dias,0)-1)</f>
        <v/>
      </c>
      <c r="M393" s="3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3">
        <f>$A393&amp;"|"&amp;$B393&amp;"|"&amp;$C393</f>
        <v/>
      </c>
      <c r="O393" s="3">
        <f>IFERROR(INDEX('CAT_TURNOS'!$C$4:$C$7,MATCH($J393,'CAT_TURNOS'!$A$4:$A$7,0)),"")</f>
        <v/>
      </c>
      <c r="P393" s="3">
        <f>IFERROR(INDEX('CAT_TURNOS'!$D$4:$D$7,MATCH($J393,'CAT_TURNOS'!$A$4:$A$7,0)),"")</f>
        <v/>
      </c>
      <c r="Q393" s="3">
        <f>IF(AND(LEFT($G393,1)="T",$H393="no"),"sí","no")</f>
        <v/>
      </c>
    </row>
    <row r="394">
      <c r="A394" s="3" t="inlineStr">
        <is>
          <t>2026-S32</t>
        </is>
      </c>
      <c r="B394" s="3" t="inlineStr">
        <is>
          <t>sábado</t>
        </is>
      </c>
      <c r="C394" s="3" t="inlineStr">
        <is>
          <t>Técnico 08</t>
        </is>
      </c>
      <c r="D394" s="3">
        <f>IFERROR(INDEX('TECNICOS'!$D$4:$D$19,MATCH($C394,'TECNICOS'!$B$4:$B$19,0)),"")</f>
        <v/>
      </c>
      <c r="E394" s="3">
        <f>IFERROR(INDEX('TECNICOS'!$C$4:$C$19,MATCH($C394,'TECNICOS'!$B$4:$B$19,0)),"")</f>
        <v/>
      </c>
      <c r="F394" s="3">
        <f>COUNTIFS('TECNICOS'!$F$4:$F$19,"SI",'TECNICOS'!$C$4:$C$19,$E394,'TECNICOS'!$D$4:$D$19,$D394)</f>
        <v/>
      </c>
      <c r="G394" s="3">
        <f>IF(OR($C394="",$A394="",$B394="domingo"),"",IF(IFERROR(INDEX('TECNICOS'!$F$4:$F$19,MATCH($C394,'TECNICOS'!$B$4:$B$19,0)),"NO")&lt;&gt;"SI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3">
        <f>IF(COUNTIFS('PLAN_VACACIONES'!$A$4:$A$103,$C394,'PLAN_VACACIONES'!$B$4:$B$103,"&lt;="&amp;$L394,'PLAN_VACACIONES'!$C$4:$C$103,"&gt;="&amp;$L394)&gt;0,"sí","no")</f>
        <v/>
      </c>
      <c r="I394" s="6" t="n"/>
      <c r="J394" s="3">
        <f>IF($I394&lt;&gt;"",$I394,IF($G394="","",IF($H394="sí","VAC",IF(LEFT($G394,1)="B","B",$G394))))</f>
        <v/>
      </c>
      <c r="K394" s="3">
        <f>IFERROR(INDEX('TECNICOS'!$E$4:$E$19,MATCH($C394,'TECNICOS'!$B$4:$B$19,0)),"")</f>
        <v/>
      </c>
      <c r="L394" s="12">
        <f>IF($A394="","",DATE(VALUE(LEFT($A394,4)),1,4)-WEEKDAY(DATE(VALUE(LEFT($A394,4)),1,4),2)+1+(VALUE(MID($A394,7,2))-1)*7+MATCH($B394,lista_dias,0)-1)</f>
        <v/>
      </c>
      <c r="M394" s="3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3">
        <f>$A394&amp;"|"&amp;$B394&amp;"|"&amp;$C394</f>
        <v/>
      </c>
      <c r="O394" s="3">
        <f>IFERROR(INDEX('CAT_TURNOS'!$C$4:$C$7,MATCH($J394,'CAT_TURNOS'!$A$4:$A$7,0)),"")</f>
        <v/>
      </c>
      <c r="P394" s="3">
        <f>IFERROR(INDEX('CAT_TURNOS'!$D$4:$D$7,MATCH($J394,'CAT_TURNOS'!$A$4:$A$7,0)),"")</f>
        <v/>
      </c>
      <c r="Q394" s="3">
        <f>IF(AND(LEFT($G394,1)="T",$H394="no"),"sí","no")</f>
        <v/>
      </c>
    </row>
    <row r="395">
      <c r="A395" s="3" t="inlineStr">
        <is>
          <t>2026-S32</t>
        </is>
      </c>
      <c r="B395" s="3" t="inlineStr">
        <is>
          <t>domingo</t>
        </is>
      </c>
      <c r="C395" s="3" t="inlineStr">
        <is>
          <t>Técnico 08</t>
        </is>
      </c>
      <c r="D395" s="3">
        <f>IFERROR(INDEX('TECNICOS'!$D$4:$D$19,MATCH($C395,'TECNICOS'!$B$4:$B$19,0)),"")</f>
        <v/>
      </c>
      <c r="E395" s="3">
        <f>IFERROR(INDEX('TECNICOS'!$C$4:$C$19,MATCH($C395,'TECNICOS'!$B$4:$B$19,0)),"")</f>
        <v/>
      </c>
      <c r="F395" s="3">
        <f>COUNTIFS('TECNICOS'!$F$4:$F$19,"SI",'TECNICOS'!$C$4:$C$19,$E395,'TECNICOS'!$D$4:$D$19,$D395)</f>
        <v/>
      </c>
      <c r="G395" s="3">
        <f>IF(OR($C395="",$A395="",$B395="domingo"),"",IF(IFERROR(INDEX('TECNICOS'!$F$4:$F$19,MATCH($C395,'TECNICOS'!$B$4:$B$19,0)),"NO")&lt;&gt;"SI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3">
        <f>IF(COUNTIFS('PLAN_VACACIONES'!$A$4:$A$103,$C395,'PLAN_VACACIONES'!$B$4:$B$103,"&lt;="&amp;$L395,'PLAN_VACACIONES'!$C$4:$C$103,"&gt;="&amp;$L395)&gt;0,"sí","no")</f>
        <v/>
      </c>
      <c r="I395" s="6" t="n"/>
      <c r="J395" s="3">
        <f>IF($I395&lt;&gt;"",$I395,IF($G395="","",IF($H395="sí","VAC",IF(LEFT($G395,1)="B","B",$G395))))</f>
        <v/>
      </c>
      <c r="K395" s="3">
        <f>IFERROR(INDEX('TECNICOS'!$E$4:$E$19,MATCH($C395,'TECNICOS'!$B$4:$B$19,0)),"")</f>
        <v/>
      </c>
      <c r="L395" s="12">
        <f>IF($A395="","",DATE(VALUE(LEFT($A395,4)),1,4)-WEEKDAY(DATE(VALUE(LEFT($A395,4)),1,4),2)+1+(VALUE(MID($A395,7,2))-1)*7+MATCH($B395,lista_dias,0)-1)</f>
        <v/>
      </c>
      <c r="M395" s="3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3">
        <f>$A395&amp;"|"&amp;$B395&amp;"|"&amp;$C395</f>
        <v/>
      </c>
      <c r="O395" s="3">
        <f>IFERROR(INDEX('CAT_TURNOS'!$C$4:$C$7,MATCH($J395,'CAT_TURNOS'!$A$4:$A$7,0)),"")</f>
        <v/>
      </c>
      <c r="P395" s="3">
        <f>IFERROR(INDEX('CAT_TURNOS'!$D$4:$D$7,MATCH($J395,'CAT_TURNOS'!$A$4:$A$7,0)),"")</f>
        <v/>
      </c>
      <c r="Q395" s="3">
        <f>IF(AND(LEFT($G395,1)="T",$H395="no"),"sí","no")</f>
        <v/>
      </c>
    </row>
    <row r="396">
      <c r="A396" s="3" t="inlineStr">
        <is>
          <t>2026-S32</t>
        </is>
      </c>
      <c r="B396" s="3" t="inlineStr">
        <is>
          <t>lunes</t>
        </is>
      </c>
      <c r="C396" s="3" t="inlineStr">
        <is>
          <t>Técnico 09</t>
        </is>
      </c>
      <c r="D396" s="3">
        <f>IFERROR(INDEX('TECNICOS'!$D$4:$D$19,MATCH($C396,'TECNICOS'!$B$4:$B$19,0)),"")</f>
        <v/>
      </c>
      <c r="E396" s="3">
        <f>IFERROR(INDEX('TECNICOS'!$C$4:$C$19,MATCH($C396,'TECNICOS'!$B$4:$B$19,0)),"")</f>
        <v/>
      </c>
      <c r="F396" s="3">
        <f>COUNTIFS('TECNICOS'!$F$4:$F$19,"SI",'TECNICOS'!$C$4:$C$19,$E396,'TECNICOS'!$D$4:$D$19,$D396)</f>
        <v/>
      </c>
      <c r="G396" s="3">
        <f>IF(OR($C396="",$A396="",$B396="domingo"),"",IF(IFERROR(INDEX('TECNICOS'!$F$4:$F$19,MATCH($C396,'TECNICOS'!$B$4:$B$19,0)),"NO")&lt;&gt;"SI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3">
        <f>IF(COUNTIFS('PLAN_VACACIONES'!$A$4:$A$103,$C396,'PLAN_VACACIONES'!$B$4:$B$103,"&lt;="&amp;$L396,'PLAN_VACACIONES'!$C$4:$C$103,"&gt;="&amp;$L396)&gt;0,"sí","no")</f>
        <v/>
      </c>
      <c r="I396" s="6" t="n"/>
      <c r="J396" s="3">
        <f>IF($I396&lt;&gt;"",$I396,IF($G396="","",IF($H396="sí","VAC",IF(LEFT($G396,1)="B","B",$G396))))</f>
        <v/>
      </c>
      <c r="K396" s="3">
        <f>IFERROR(INDEX('TECNICOS'!$E$4:$E$19,MATCH($C396,'TECNICOS'!$B$4:$B$19,0)),"")</f>
        <v/>
      </c>
      <c r="L396" s="12">
        <f>IF($A396="","",DATE(VALUE(LEFT($A396,4)),1,4)-WEEKDAY(DATE(VALUE(LEFT($A396,4)),1,4),2)+1+(VALUE(MID($A396,7,2))-1)*7+MATCH($B396,lista_dias,0)-1)</f>
        <v/>
      </c>
      <c r="M396" s="3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3">
        <f>$A396&amp;"|"&amp;$B396&amp;"|"&amp;$C396</f>
        <v/>
      </c>
      <c r="O396" s="3">
        <f>IFERROR(INDEX('CAT_TURNOS'!$C$4:$C$7,MATCH($J396,'CAT_TURNOS'!$A$4:$A$7,0)),"")</f>
        <v/>
      </c>
      <c r="P396" s="3">
        <f>IFERROR(INDEX('CAT_TURNOS'!$D$4:$D$7,MATCH($J396,'CAT_TURNOS'!$A$4:$A$7,0)),"")</f>
        <v/>
      </c>
      <c r="Q396" s="3">
        <f>IF(AND(LEFT($G396,1)="T",$H396="no"),"sí","no")</f>
        <v/>
      </c>
    </row>
    <row r="397">
      <c r="A397" s="3" t="inlineStr">
        <is>
          <t>2026-S32</t>
        </is>
      </c>
      <c r="B397" s="3" t="inlineStr">
        <is>
          <t>martes</t>
        </is>
      </c>
      <c r="C397" s="3" t="inlineStr">
        <is>
          <t>Técnico 09</t>
        </is>
      </c>
      <c r="D397" s="3">
        <f>IFERROR(INDEX('TECNICOS'!$D$4:$D$19,MATCH($C397,'TECNICOS'!$B$4:$B$19,0)),"")</f>
        <v/>
      </c>
      <c r="E397" s="3">
        <f>IFERROR(INDEX('TECNICOS'!$C$4:$C$19,MATCH($C397,'TECNICOS'!$B$4:$B$19,0)),"")</f>
        <v/>
      </c>
      <c r="F397" s="3">
        <f>COUNTIFS('TECNICOS'!$F$4:$F$19,"SI",'TECNICOS'!$C$4:$C$19,$E397,'TECNICOS'!$D$4:$D$19,$D397)</f>
        <v/>
      </c>
      <c r="G397" s="3">
        <f>IF(OR($C397="",$A397="",$B397="domingo"),"",IF(IFERROR(INDEX('TECNICOS'!$F$4:$F$19,MATCH($C397,'TECNICOS'!$B$4:$B$19,0)),"NO")&lt;&gt;"SI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3">
        <f>IF(COUNTIFS('PLAN_VACACIONES'!$A$4:$A$103,$C397,'PLAN_VACACIONES'!$B$4:$B$103,"&lt;="&amp;$L397,'PLAN_VACACIONES'!$C$4:$C$103,"&gt;="&amp;$L397)&gt;0,"sí","no")</f>
        <v/>
      </c>
      <c r="I397" s="6" t="n"/>
      <c r="J397" s="3">
        <f>IF($I397&lt;&gt;"",$I397,IF($G397="","",IF($H397="sí","VAC",IF(LEFT($G397,1)="B","B",$G397))))</f>
        <v/>
      </c>
      <c r="K397" s="3">
        <f>IFERROR(INDEX('TECNICOS'!$E$4:$E$19,MATCH($C397,'TECNICOS'!$B$4:$B$19,0)),"")</f>
        <v/>
      </c>
      <c r="L397" s="12">
        <f>IF($A397="","",DATE(VALUE(LEFT($A397,4)),1,4)-WEEKDAY(DATE(VALUE(LEFT($A397,4)),1,4),2)+1+(VALUE(MID($A397,7,2))-1)*7+MATCH($B397,lista_dias,0)-1)</f>
        <v/>
      </c>
      <c r="M397" s="3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3">
        <f>$A397&amp;"|"&amp;$B397&amp;"|"&amp;$C397</f>
        <v/>
      </c>
      <c r="O397" s="3">
        <f>IFERROR(INDEX('CAT_TURNOS'!$C$4:$C$7,MATCH($J397,'CAT_TURNOS'!$A$4:$A$7,0)),"")</f>
        <v/>
      </c>
      <c r="P397" s="3">
        <f>IFERROR(INDEX('CAT_TURNOS'!$D$4:$D$7,MATCH($J397,'CAT_TURNOS'!$A$4:$A$7,0)),"")</f>
        <v/>
      </c>
      <c r="Q397" s="3">
        <f>IF(AND(LEFT($G397,1)="T",$H397="no"),"sí","no")</f>
        <v/>
      </c>
    </row>
    <row r="398">
      <c r="A398" s="3" t="inlineStr">
        <is>
          <t>2026-S32</t>
        </is>
      </c>
      <c r="B398" s="3" t="inlineStr">
        <is>
          <t>miércoles</t>
        </is>
      </c>
      <c r="C398" s="3" t="inlineStr">
        <is>
          <t>Técnico 09</t>
        </is>
      </c>
      <c r="D398" s="3">
        <f>IFERROR(INDEX('TECNICOS'!$D$4:$D$19,MATCH($C398,'TECNICOS'!$B$4:$B$19,0)),"")</f>
        <v/>
      </c>
      <c r="E398" s="3">
        <f>IFERROR(INDEX('TECNICOS'!$C$4:$C$19,MATCH($C398,'TECNICOS'!$B$4:$B$19,0)),"")</f>
        <v/>
      </c>
      <c r="F398" s="3">
        <f>COUNTIFS('TECNICOS'!$F$4:$F$19,"SI",'TECNICOS'!$C$4:$C$19,$E398,'TECNICOS'!$D$4:$D$19,$D398)</f>
        <v/>
      </c>
      <c r="G398" s="3">
        <f>IF(OR($C398="",$A398="",$B398="domingo"),"",IF(IFERROR(INDEX('TECNICOS'!$F$4:$F$19,MATCH($C398,'TECNICOS'!$B$4:$B$19,0)),"NO")&lt;&gt;"SI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3">
        <f>IF(COUNTIFS('PLAN_VACACIONES'!$A$4:$A$103,$C398,'PLAN_VACACIONES'!$B$4:$B$103,"&lt;="&amp;$L398,'PLAN_VACACIONES'!$C$4:$C$103,"&gt;="&amp;$L398)&gt;0,"sí","no")</f>
        <v/>
      </c>
      <c r="I398" s="6" t="n"/>
      <c r="J398" s="3">
        <f>IF($I398&lt;&gt;"",$I398,IF($G398="","",IF($H398="sí","VAC",IF(LEFT($G398,1)="B","B",$G398))))</f>
        <v/>
      </c>
      <c r="K398" s="3">
        <f>IFERROR(INDEX('TECNICOS'!$E$4:$E$19,MATCH($C398,'TECNICOS'!$B$4:$B$19,0)),"")</f>
        <v/>
      </c>
      <c r="L398" s="12">
        <f>IF($A398="","",DATE(VALUE(LEFT($A398,4)),1,4)-WEEKDAY(DATE(VALUE(LEFT($A398,4)),1,4),2)+1+(VALUE(MID($A398,7,2))-1)*7+MATCH($B398,lista_dias,0)-1)</f>
        <v/>
      </c>
      <c r="M398" s="3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3">
        <f>$A398&amp;"|"&amp;$B398&amp;"|"&amp;$C398</f>
        <v/>
      </c>
      <c r="O398" s="3">
        <f>IFERROR(INDEX('CAT_TURNOS'!$C$4:$C$7,MATCH($J398,'CAT_TURNOS'!$A$4:$A$7,0)),"")</f>
        <v/>
      </c>
      <c r="P398" s="3">
        <f>IFERROR(INDEX('CAT_TURNOS'!$D$4:$D$7,MATCH($J398,'CAT_TURNOS'!$A$4:$A$7,0)),"")</f>
        <v/>
      </c>
      <c r="Q398" s="3">
        <f>IF(AND(LEFT($G398,1)="T",$H398="no"),"sí","no")</f>
        <v/>
      </c>
    </row>
    <row r="399">
      <c r="A399" s="3" t="inlineStr">
        <is>
          <t>2026-S32</t>
        </is>
      </c>
      <c r="B399" s="3" t="inlineStr">
        <is>
          <t>jueves</t>
        </is>
      </c>
      <c r="C399" s="3" t="inlineStr">
        <is>
          <t>Técnico 09</t>
        </is>
      </c>
      <c r="D399" s="3">
        <f>IFERROR(INDEX('TECNICOS'!$D$4:$D$19,MATCH($C399,'TECNICOS'!$B$4:$B$19,0)),"")</f>
        <v/>
      </c>
      <c r="E399" s="3">
        <f>IFERROR(INDEX('TECNICOS'!$C$4:$C$19,MATCH($C399,'TECNICOS'!$B$4:$B$19,0)),"")</f>
        <v/>
      </c>
      <c r="F399" s="3">
        <f>COUNTIFS('TECNICOS'!$F$4:$F$19,"SI",'TECNICOS'!$C$4:$C$19,$E399,'TECNICOS'!$D$4:$D$19,$D399)</f>
        <v/>
      </c>
      <c r="G399" s="3">
        <f>IF(OR($C399="",$A399="",$B399="domingo"),"",IF(IFERROR(INDEX('TECNICOS'!$F$4:$F$19,MATCH($C399,'TECNICOS'!$B$4:$B$19,0)),"NO")&lt;&gt;"SI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3">
        <f>IF(COUNTIFS('PLAN_VACACIONES'!$A$4:$A$103,$C399,'PLAN_VACACIONES'!$B$4:$B$103,"&lt;="&amp;$L399,'PLAN_VACACIONES'!$C$4:$C$103,"&gt;="&amp;$L399)&gt;0,"sí","no")</f>
        <v/>
      </c>
      <c r="I399" s="6" t="n"/>
      <c r="J399" s="3">
        <f>IF($I399&lt;&gt;"",$I399,IF($G399="","",IF($H399="sí","VAC",IF(LEFT($G399,1)="B","B",$G399))))</f>
        <v/>
      </c>
      <c r="K399" s="3">
        <f>IFERROR(INDEX('TECNICOS'!$E$4:$E$19,MATCH($C399,'TECNICOS'!$B$4:$B$19,0)),"")</f>
        <v/>
      </c>
      <c r="L399" s="12">
        <f>IF($A399="","",DATE(VALUE(LEFT($A399,4)),1,4)-WEEKDAY(DATE(VALUE(LEFT($A399,4)),1,4),2)+1+(VALUE(MID($A399,7,2))-1)*7+MATCH($B399,lista_dias,0)-1)</f>
        <v/>
      </c>
      <c r="M399" s="3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3">
        <f>$A399&amp;"|"&amp;$B399&amp;"|"&amp;$C399</f>
        <v/>
      </c>
      <c r="O399" s="3">
        <f>IFERROR(INDEX('CAT_TURNOS'!$C$4:$C$7,MATCH($J399,'CAT_TURNOS'!$A$4:$A$7,0)),"")</f>
        <v/>
      </c>
      <c r="P399" s="3">
        <f>IFERROR(INDEX('CAT_TURNOS'!$D$4:$D$7,MATCH($J399,'CAT_TURNOS'!$A$4:$A$7,0)),"")</f>
        <v/>
      </c>
      <c r="Q399" s="3">
        <f>IF(AND(LEFT($G399,1)="T",$H399="no"),"sí","no")</f>
        <v/>
      </c>
    </row>
    <row r="400">
      <c r="A400" s="3" t="inlineStr">
        <is>
          <t>2026-S32</t>
        </is>
      </c>
      <c r="B400" s="3" t="inlineStr">
        <is>
          <t>viernes</t>
        </is>
      </c>
      <c r="C400" s="3" t="inlineStr">
        <is>
          <t>Técnico 09</t>
        </is>
      </c>
      <c r="D400" s="3">
        <f>IFERROR(INDEX('TECNICOS'!$D$4:$D$19,MATCH($C400,'TECNICOS'!$B$4:$B$19,0)),"")</f>
        <v/>
      </c>
      <c r="E400" s="3">
        <f>IFERROR(INDEX('TECNICOS'!$C$4:$C$19,MATCH($C400,'TECNICOS'!$B$4:$B$19,0)),"")</f>
        <v/>
      </c>
      <c r="F400" s="3">
        <f>COUNTIFS('TECNICOS'!$F$4:$F$19,"SI",'TECNICOS'!$C$4:$C$19,$E400,'TECNICOS'!$D$4:$D$19,$D400)</f>
        <v/>
      </c>
      <c r="G400" s="3">
        <f>IF(OR($C400="",$A400="",$B400="domingo"),"",IF(IFERROR(INDEX('TECNICOS'!$F$4:$F$19,MATCH($C400,'TECNICOS'!$B$4:$B$19,0)),"NO")&lt;&gt;"SI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3">
        <f>IF(COUNTIFS('PLAN_VACACIONES'!$A$4:$A$103,$C400,'PLAN_VACACIONES'!$B$4:$B$103,"&lt;="&amp;$L400,'PLAN_VACACIONES'!$C$4:$C$103,"&gt;="&amp;$L400)&gt;0,"sí","no")</f>
        <v/>
      </c>
      <c r="I400" s="6" t="n"/>
      <c r="J400" s="3">
        <f>IF($I400&lt;&gt;"",$I400,IF($G400="","",IF($H400="sí","VAC",IF(LEFT($G400,1)="B","B",$G400))))</f>
        <v/>
      </c>
      <c r="K400" s="3">
        <f>IFERROR(INDEX('TECNICOS'!$E$4:$E$19,MATCH($C400,'TECNICOS'!$B$4:$B$19,0)),"")</f>
        <v/>
      </c>
      <c r="L400" s="12">
        <f>IF($A400="","",DATE(VALUE(LEFT($A400,4)),1,4)-WEEKDAY(DATE(VALUE(LEFT($A400,4)),1,4),2)+1+(VALUE(MID($A400,7,2))-1)*7+MATCH($B400,lista_dias,0)-1)</f>
        <v/>
      </c>
      <c r="M400" s="3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3">
        <f>$A400&amp;"|"&amp;$B400&amp;"|"&amp;$C400</f>
        <v/>
      </c>
      <c r="O400" s="3">
        <f>IFERROR(INDEX('CAT_TURNOS'!$C$4:$C$7,MATCH($J400,'CAT_TURNOS'!$A$4:$A$7,0)),"")</f>
        <v/>
      </c>
      <c r="P400" s="3">
        <f>IFERROR(INDEX('CAT_TURNOS'!$D$4:$D$7,MATCH($J400,'CAT_TURNOS'!$A$4:$A$7,0)),"")</f>
        <v/>
      </c>
      <c r="Q400" s="3">
        <f>IF(AND(LEFT($G400,1)="T",$H400="no"),"sí","no")</f>
        <v/>
      </c>
    </row>
    <row r="401">
      <c r="A401" s="3" t="inlineStr">
        <is>
          <t>2026-S32</t>
        </is>
      </c>
      <c r="B401" s="3" t="inlineStr">
        <is>
          <t>sábado</t>
        </is>
      </c>
      <c r="C401" s="3" t="inlineStr">
        <is>
          <t>Técnico 09</t>
        </is>
      </c>
      <c r="D401" s="3">
        <f>IFERROR(INDEX('TECNICOS'!$D$4:$D$19,MATCH($C401,'TECNICOS'!$B$4:$B$19,0)),"")</f>
        <v/>
      </c>
      <c r="E401" s="3">
        <f>IFERROR(INDEX('TECNICOS'!$C$4:$C$19,MATCH($C401,'TECNICOS'!$B$4:$B$19,0)),"")</f>
        <v/>
      </c>
      <c r="F401" s="3">
        <f>COUNTIFS('TECNICOS'!$F$4:$F$19,"SI",'TECNICOS'!$C$4:$C$19,$E401,'TECNICOS'!$D$4:$D$19,$D401)</f>
        <v/>
      </c>
      <c r="G401" s="3">
        <f>IF(OR($C401="",$A401="",$B401="domingo"),"",IF(IFERROR(INDEX('TECNICOS'!$F$4:$F$19,MATCH($C401,'TECNICOS'!$B$4:$B$19,0)),"NO")&lt;&gt;"SI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3">
        <f>IF(COUNTIFS('PLAN_VACACIONES'!$A$4:$A$103,$C401,'PLAN_VACACIONES'!$B$4:$B$103,"&lt;="&amp;$L401,'PLAN_VACACIONES'!$C$4:$C$103,"&gt;="&amp;$L401)&gt;0,"sí","no")</f>
        <v/>
      </c>
      <c r="I401" s="6" t="n"/>
      <c r="J401" s="3">
        <f>IF($I401&lt;&gt;"",$I401,IF($G401="","",IF($H401="sí","VAC",IF(LEFT($G401,1)="B","B",$G401))))</f>
        <v/>
      </c>
      <c r="K401" s="3">
        <f>IFERROR(INDEX('TECNICOS'!$E$4:$E$19,MATCH($C401,'TECNICOS'!$B$4:$B$19,0)),"")</f>
        <v/>
      </c>
      <c r="L401" s="12">
        <f>IF($A401="","",DATE(VALUE(LEFT($A401,4)),1,4)-WEEKDAY(DATE(VALUE(LEFT($A401,4)),1,4),2)+1+(VALUE(MID($A401,7,2))-1)*7+MATCH($B401,lista_dias,0)-1)</f>
        <v/>
      </c>
      <c r="M401" s="3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3">
        <f>$A401&amp;"|"&amp;$B401&amp;"|"&amp;$C401</f>
        <v/>
      </c>
      <c r="O401" s="3">
        <f>IFERROR(INDEX('CAT_TURNOS'!$C$4:$C$7,MATCH($J401,'CAT_TURNOS'!$A$4:$A$7,0)),"")</f>
        <v/>
      </c>
      <c r="P401" s="3">
        <f>IFERROR(INDEX('CAT_TURNOS'!$D$4:$D$7,MATCH($J401,'CAT_TURNOS'!$A$4:$A$7,0)),"")</f>
        <v/>
      </c>
      <c r="Q401" s="3">
        <f>IF(AND(LEFT($G401,1)="T",$H401="no"),"sí","no")</f>
        <v/>
      </c>
    </row>
    <row r="402">
      <c r="A402" s="3" t="inlineStr">
        <is>
          <t>2026-S32</t>
        </is>
      </c>
      <c r="B402" s="3" t="inlineStr">
        <is>
          <t>domingo</t>
        </is>
      </c>
      <c r="C402" s="3" t="inlineStr">
        <is>
          <t>Técnico 09</t>
        </is>
      </c>
      <c r="D402" s="3">
        <f>IFERROR(INDEX('TECNICOS'!$D$4:$D$19,MATCH($C402,'TECNICOS'!$B$4:$B$19,0)),"")</f>
        <v/>
      </c>
      <c r="E402" s="3">
        <f>IFERROR(INDEX('TECNICOS'!$C$4:$C$19,MATCH($C402,'TECNICOS'!$B$4:$B$19,0)),"")</f>
        <v/>
      </c>
      <c r="F402" s="3">
        <f>COUNTIFS('TECNICOS'!$F$4:$F$19,"SI",'TECNICOS'!$C$4:$C$19,$E402,'TECNICOS'!$D$4:$D$19,$D402)</f>
        <v/>
      </c>
      <c r="G402" s="3">
        <f>IF(OR($C402="",$A402="",$B402="domingo"),"",IF(IFERROR(INDEX('TECNICOS'!$F$4:$F$19,MATCH($C402,'TECNICOS'!$B$4:$B$19,0)),"NO")&lt;&gt;"SI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3">
        <f>IF(COUNTIFS('PLAN_VACACIONES'!$A$4:$A$103,$C402,'PLAN_VACACIONES'!$B$4:$B$103,"&lt;="&amp;$L402,'PLAN_VACACIONES'!$C$4:$C$103,"&gt;="&amp;$L402)&gt;0,"sí","no")</f>
        <v/>
      </c>
      <c r="I402" s="6" t="n"/>
      <c r="J402" s="3">
        <f>IF($I402&lt;&gt;"",$I402,IF($G402="","",IF($H402="sí","VAC",IF(LEFT($G402,1)="B","B",$G402))))</f>
        <v/>
      </c>
      <c r="K402" s="3">
        <f>IFERROR(INDEX('TECNICOS'!$E$4:$E$19,MATCH($C402,'TECNICOS'!$B$4:$B$19,0)),"")</f>
        <v/>
      </c>
      <c r="L402" s="12">
        <f>IF($A402="","",DATE(VALUE(LEFT($A402,4)),1,4)-WEEKDAY(DATE(VALUE(LEFT($A402,4)),1,4),2)+1+(VALUE(MID($A402,7,2))-1)*7+MATCH($B402,lista_dias,0)-1)</f>
        <v/>
      </c>
      <c r="M402" s="3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3">
        <f>$A402&amp;"|"&amp;$B402&amp;"|"&amp;$C402</f>
        <v/>
      </c>
      <c r="O402" s="3">
        <f>IFERROR(INDEX('CAT_TURNOS'!$C$4:$C$7,MATCH($J402,'CAT_TURNOS'!$A$4:$A$7,0)),"")</f>
        <v/>
      </c>
      <c r="P402" s="3">
        <f>IFERROR(INDEX('CAT_TURNOS'!$D$4:$D$7,MATCH($J402,'CAT_TURNOS'!$A$4:$A$7,0)),"")</f>
        <v/>
      </c>
      <c r="Q402" s="3">
        <f>IF(AND(LEFT($G402,1)="T",$H402="no"),"sí","no")</f>
        <v/>
      </c>
    </row>
    <row r="403">
      <c r="A403" s="3" t="inlineStr">
        <is>
          <t>2026-S32</t>
        </is>
      </c>
      <c r="B403" s="3" t="inlineStr">
        <is>
          <t>lunes</t>
        </is>
      </c>
      <c r="C403" s="3" t="inlineStr">
        <is>
          <t>Técnico 10</t>
        </is>
      </c>
      <c r="D403" s="3">
        <f>IFERROR(INDEX('TECNICOS'!$D$4:$D$19,MATCH($C403,'TECNICOS'!$B$4:$B$19,0)),"")</f>
        <v/>
      </c>
      <c r="E403" s="3">
        <f>IFERROR(INDEX('TECNICOS'!$C$4:$C$19,MATCH($C403,'TECNICOS'!$B$4:$B$19,0)),"")</f>
        <v/>
      </c>
      <c r="F403" s="3">
        <f>COUNTIFS('TECNICOS'!$F$4:$F$19,"SI",'TECNICOS'!$C$4:$C$19,$E403,'TECNICOS'!$D$4:$D$19,$D403)</f>
        <v/>
      </c>
      <c r="G403" s="3">
        <f>IF(OR($C403="",$A403="",$B403="domingo"),"",IF(IFERROR(INDEX('TECNICOS'!$F$4:$F$19,MATCH($C403,'TECNICOS'!$B$4:$B$19,0)),"NO")&lt;&gt;"SI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3">
        <f>IF(COUNTIFS('PLAN_VACACIONES'!$A$4:$A$103,$C403,'PLAN_VACACIONES'!$B$4:$B$103,"&lt;="&amp;$L403,'PLAN_VACACIONES'!$C$4:$C$103,"&gt;="&amp;$L403)&gt;0,"sí","no")</f>
        <v/>
      </c>
      <c r="I403" s="6" t="n"/>
      <c r="J403" s="3">
        <f>IF($I403&lt;&gt;"",$I403,IF($G403="","",IF($H403="sí","VAC",IF(LEFT($G403,1)="B","B",$G403))))</f>
        <v/>
      </c>
      <c r="K403" s="3">
        <f>IFERROR(INDEX('TECNICOS'!$E$4:$E$19,MATCH($C403,'TECNICOS'!$B$4:$B$19,0)),"")</f>
        <v/>
      </c>
      <c r="L403" s="12">
        <f>IF($A403="","",DATE(VALUE(LEFT($A403,4)),1,4)-WEEKDAY(DATE(VALUE(LEFT($A403,4)),1,4),2)+1+(VALUE(MID($A403,7,2))-1)*7+MATCH($B403,lista_dias,0)-1)</f>
        <v/>
      </c>
      <c r="M403" s="3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3">
        <f>$A403&amp;"|"&amp;$B403&amp;"|"&amp;$C403</f>
        <v/>
      </c>
      <c r="O403" s="3">
        <f>IFERROR(INDEX('CAT_TURNOS'!$C$4:$C$7,MATCH($J403,'CAT_TURNOS'!$A$4:$A$7,0)),"")</f>
        <v/>
      </c>
      <c r="P403" s="3">
        <f>IFERROR(INDEX('CAT_TURNOS'!$D$4:$D$7,MATCH($J403,'CAT_TURNOS'!$A$4:$A$7,0)),"")</f>
        <v/>
      </c>
      <c r="Q403" s="3">
        <f>IF(AND(LEFT($G403,1)="T",$H403="no"),"sí","no")</f>
        <v/>
      </c>
    </row>
    <row r="404">
      <c r="A404" s="3" t="inlineStr">
        <is>
          <t>2026-S32</t>
        </is>
      </c>
      <c r="B404" s="3" t="inlineStr">
        <is>
          <t>martes</t>
        </is>
      </c>
      <c r="C404" s="3" t="inlineStr">
        <is>
          <t>Técnico 10</t>
        </is>
      </c>
      <c r="D404" s="3">
        <f>IFERROR(INDEX('TECNICOS'!$D$4:$D$19,MATCH($C404,'TECNICOS'!$B$4:$B$19,0)),"")</f>
        <v/>
      </c>
      <c r="E404" s="3">
        <f>IFERROR(INDEX('TECNICOS'!$C$4:$C$19,MATCH($C404,'TECNICOS'!$B$4:$B$19,0)),"")</f>
        <v/>
      </c>
      <c r="F404" s="3">
        <f>COUNTIFS('TECNICOS'!$F$4:$F$19,"SI",'TECNICOS'!$C$4:$C$19,$E404,'TECNICOS'!$D$4:$D$19,$D404)</f>
        <v/>
      </c>
      <c r="G404" s="3">
        <f>IF(OR($C404="",$A404="",$B404="domingo"),"",IF(IFERROR(INDEX('TECNICOS'!$F$4:$F$19,MATCH($C404,'TECNICOS'!$B$4:$B$19,0)),"NO")&lt;&gt;"SI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3">
        <f>IF(COUNTIFS('PLAN_VACACIONES'!$A$4:$A$103,$C404,'PLAN_VACACIONES'!$B$4:$B$103,"&lt;="&amp;$L404,'PLAN_VACACIONES'!$C$4:$C$103,"&gt;="&amp;$L404)&gt;0,"sí","no")</f>
        <v/>
      </c>
      <c r="I404" s="6" t="n"/>
      <c r="J404" s="3">
        <f>IF($I404&lt;&gt;"",$I404,IF($G404="","",IF($H404="sí","VAC",IF(LEFT($G404,1)="B","B",$G404))))</f>
        <v/>
      </c>
      <c r="K404" s="3">
        <f>IFERROR(INDEX('TECNICOS'!$E$4:$E$19,MATCH($C404,'TECNICOS'!$B$4:$B$19,0)),"")</f>
        <v/>
      </c>
      <c r="L404" s="12">
        <f>IF($A404="","",DATE(VALUE(LEFT($A404,4)),1,4)-WEEKDAY(DATE(VALUE(LEFT($A404,4)),1,4),2)+1+(VALUE(MID($A404,7,2))-1)*7+MATCH($B404,lista_dias,0)-1)</f>
        <v/>
      </c>
      <c r="M404" s="3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3">
        <f>$A404&amp;"|"&amp;$B404&amp;"|"&amp;$C404</f>
        <v/>
      </c>
      <c r="O404" s="3">
        <f>IFERROR(INDEX('CAT_TURNOS'!$C$4:$C$7,MATCH($J404,'CAT_TURNOS'!$A$4:$A$7,0)),"")</f>
        <v/>
      </c>
      <c r="P404" s="3">
        <f>IFERROR(INDEX('CAT_TURNOS'!$D$4:$D$7,MATCH($J404,'CAT_TURNOS'!$A$4:$A$7,0)),"")</f>
        <v/>
      </c>
      <c r="Q404" s="3">
        <f>IF(AND(LEFT($G404,1)="T",$H404="no"),"sí","no")</f>
        <v/>
      </c>
    </row>
    <row r="405">
      <c r="A405" s="3" t="inlineStr">
        <is>
          <t>2026-S32</t>
        </is>
      </c>
      <c r="B405" s="3" t="inlineStr">
        <is>
          <t>miércoles</t>
        </is>
      </c>
      <c r="C405" s="3" t="inlineStr">
        <is>
          <t>Técnico 10</t>
        </is>
      </c>
      <c r="D405" s="3">
        <f>IFERROR(INDEX('TECNICOS'!$D$4:$D$19,MATCH($C405,'TECNICOS'!$B$4:$B$19,0)),"")</f>
        <v/>
      </c>
      <c r="E405" s="3">
        <f>IFERROR(INDEX('TECNICOS'!$C$4:$C$19,MATCH($C405,'TECNICOS'!$B$4:$B$19,0)),"")</f>
        <v/>
      </c>
      <c r="F405" s="3">
        <f>COUNTIFS('TECNICOS'!$F$4:$F$19,"SI",'TECNICOS'!$C$4:$C$19,$E405,'TECNICOS'!$D$4:$D$19,$D405)</f>
        <v/>
      </c>
      <c r="G405" s="3">
        <f>IF(OR($C405="",$A405="",$B405="domingo"),"",IF(IFERROR(INDEX('TECNICOS'!$F$4:$F$19,MATCH($C405,'TECNICOS'!$B$4:$B$19,0)),"NO")&lt;&gt;"SI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3">
        <f>IF(COUNTIFS('PLAN_VACACIONES'!$A$4:$A$103,$C405,'PLAN_VACACIONES'!$B$4:$B$103,"&lt;="&amp;$L405,'PLAN_VACACIONES'!$C$4:$C$103,"&gt;="&amp;$L405)&gt;0,"sí","no")</f>
        <v/>
      </c>
      <c r="I405" s="6" t="n"/>
      <c r="J405" s="3">
        <f>IF($I405&lt;&gt;"",$I405,IF($G405="","",IF($H405="sí","VAC",IF(LEFT($G405,1)="B","B",$G405))))</f>
        <v/>
      </c>
      <c r="K405" s="3">
        <f>IFERROR(INDEX('TECNICOS'!$E$4:$E$19,MATCH($C405,'TECNICOS'!$B$4:$B$19,0)),"")</f>
        <v/>
      </c>
      <c r="L405" s="12">
        <f>IF($A405="","",DATE(VALUE(LEFT($A405,4)),1,4)-WEEKDAY(DATE(VALUE(LEFT($A405,4)),1,4),2)+1+(VALUE(MID($A405,7,2))-1)*7+MATCH($B405,lista_dias,0)-1)</f>
        <v/>
      </c>
      <c r="M405" s="3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3">
        <f>$A405&amp;"|"&amp;$B405&amp;"|"&amp;$C405</f>
        <v/>
      </c>
      <c r="O405" s="3">
        <f>IFERROR(INDEX('CAT_TURNOS'!$C$4:$C$7,MATCH($J405,'CAT_TURNOS'!$A$4:$A$7,0)),"")</f>
        <v/>
      </c>
      <c r="P405" s="3">
        <f>IFERROR(INDEX('CAT_TURNOS'!$D$4:$D$7,MATCH($J405,'CAT_TURNOS'!$A$4:$A$7,0)),"")</f>
        <v/>
      </c>
      <c r="Q405" s="3">
        <f>IF(AND(LEFT($G405,1)="T",$H405="no"),"sí","no")</f>
        <v/>
      </c>
    </row>
    <row r="406">
      <c r="A406" s="3" t="inlineStr">
        <is>
          <t>2026-S32</t>
        </is>
      </c>
      <c r="B406" s="3" t="inlineStr">
        <is>
          <t>jueves</t>
        </is>
      </c>
      <c r="C406" s="3" t="inlineStr">
        <is>
          <t>Técnico 10</t>
        </is>
      </c>
      <c r="D406" s="3">
        <f>IFERROR(INDEX('TECNICOS'!$D$4:$D$19,MATCH($C406,'TECNICOS'!$B$4:$B$19,0)),"")</f>
        <v/>
      </c>
      <c r="E406" s="3">
        <f>IFERROR(INDEX('TECNICOS'!$C$4:$C$19,MATCH($C406,'TECNICOS'!$B$4:$B$19,0)),"")</f>
        <v/>
      </c>
      <c r="F406" s="3">
        <f>COUNTIFS('TECNICOS'!$F$4:$F$19,"SI",'TECNICOS'!$C$4:$C$19,$E406,'TECNICOS'!$D$4:$D$19,$D406)</f>
        <v/>
      </c>
      <c r="G406" s="3">
        <f>IF(OR($C406="",$A406="",$B406="domingo"),"",IF(IFERROR(INDEX('TECNICOS'!$F$4:$F$19,MATCH($C406,'TECNICOS'!$B$4:$B$19,0)),"NO")&lt;&gt;"SI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3">
        <f>IF(COUNTIFS('PLAN_VACACIONES'!$A$4:$A$103,$C406,'PLAN_VACACIONES'!$B$4:$B$103,"&lt;="&amp;$L406,'PLAN_VACACIONES'!$C$4:$C$103,"&gt;="&amp;$L406)&gt;0,"sí","no")</f>
        <v/>
      </c>
      <c r="I406" s="6" t="n"/>
      <c r="J406" s="3">
        <f>IF($I406&lt;&gt;"",$I406,IF($G406="","",IF($H406="sí","VAC",IF(LEFT($G406,1)="B","B",$G406))))</f>
        <v/>
      </c>
      <c r="K406" s="3">
        <f>IFERROR(INDEX('TECNICOS'!$E$4:$E$19,MATCH($C406,'TECNICOS'!$B$4:$B$19,0)),"")</f>
        <v/>
      </c>
      <c r="L406" s="12">
        <f>IF($A406="","",DATE(VALUE(LEFT($A406,4)),1,4)-WEEKDAY(DATE(VALUE(LEFT($A406,4)),1,4),2)+1+(VALUE(MID($A406,7,2))-1)*7+MATCH($B406,lista_dias,0)-1)</f>
        <v/>
      </c>
      <c r="M406" s="3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3">
        <f>$A406&amp;"|"&amp;$B406&amp;"|"&amp;$C406</f>
        <v/>
      </c>
      <c r="O406" s="3">
        <f>IFERROR(INDEX('CAT_TURNOS'!$C$4:$C$7,MATCH($J406,'CAT_TURNOS'!$A$4:$A$7,0)),"")</f>
        <v/>
      </c>
      <c r="P406" s="3">
        <f>IFERROR(INDEX('CAT_TURNOS'!$D$4:$D$7,MATCH($J406,'CAT_TURNOS'!$A$4:$A$7,0)),"")</f>
        <v/>
      </c>
      <c r="Q406" s="3">
        <f>IF(AND(LEFT($G406,1)="T",$H406="no"),"sí","no")</f>
        <v/>
      </c>
    </row>
    <row r="407">
      <c r="A407" s="3" t="inlineStr">
        <is>
          <t>2026-S32</t>
        </is>
      </c>
      <c r="B407" s="3" t="inlineStr">
        <is>
          <t>viernes</t>
        </is>
      </c>
      <c r="C407" s="3" t="inlineStr">
        <is>
          <t>Técnico 10</t>
        </is>
      </c>
      <c r="D407" s="3">
        <f>IFERROR(INDEX('TECNICOS'!$D$4:$D$19,MATCH($C407,'TECNICOS'!$B$4:$B$19,0)),"")</f>
        <v/>
      </c>
      <c r="E407" s="3">
        <f>IFERROR(INDEX('TECNICOS'!$C$4:$C$19,MATCH($C407,'TECNICOS'!$B$4:$B$19,0)),"")</f>
        <v/>
      </c>
      <c r="F407" s="3">
        <f>COUNTIFS('TECNICOS'!$F$4:$F$19,"SI",'TECNICOS'!$C$4:$C$19,$E407,'TECNICOS'!$D$4:$D$19,$D407)</f>
        <v/>
      </c>
      <c r="G407" s="3">
        <f>IF(OR($C407="",$A407="",$B407="domingo"),"",IF(IFERROR(INDEX('TECNICOS'!$F$4:$F$19,MATCH($C407,'TECNICOS'!$B$4:$B$19,0)),"NO")&lt;&gt;"SI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3">
        <f>IF(COUNTIFS('PLAN_VACACIONES'!$A$4:$A$103,$C407,'PLAN_VACACIONES'!$B$4:$B$103,"&lt;="&amp;$L407,'PLAN_VACACIONES'!$C$4:$C$103,"&gt;="&amp;$L407)&gt;0,"sí","no")</f>
        <v/>
      </c>
      <c r="I407" s="6" t="n"/>
      <c r="J407" s="3">
        <f>IF($I407&lt;&gt;"",$I407,IF($G407="","",IF($H407="sí","VAC",IF(LEFT($G407,1)="B","B",$G407))))</f>
        <v/>
      </c>
      <c r="K407" s="3">
        <f>IFERROR(INDEX('TECNICOS'!$E$4:$E$19,MATCH($C407,'TECNICOS'!$B$4:$B$19,0)),"")</f>
        <v/>
      </c>
      <c r="L407" s="12">
        <f>IF($A407="","",DATE(VALUE(LEFT($A407,4)),1,4)-WEEKDAY(DATE(VALUE(LEFT($A407,4)),1,4),2)+1+(VALUE(MID($A407,7,2))-1)*7+MATCH($B407,lista_dias,0)-1)</f>
        <v/>
      </c>
      <c r="M407" s="3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3">
        <f>$A407&amp;"|"&amp;$B407&amp;"|"&amp;$C407</f>
        <v/>
      </c>
      <c r="O407" s="3">
        <f>IFERROR(INDEX('CAT_TURNOS'!$C$4:$C$7,MATCH($J407,'CAT_TURNOS'!$A$4:$A$7,0)),"")</f>
        <v/>
      </c>
      <c r="P407" s="3">
        <f>IFERROR(INDEX('CAT_TURNOS'!$D$4:$D$7,MATCH($J407,'CAT_TURNOS'!$A$4:$A$7,0)),"")</f>
        <v/>
      </c>
      <c r="Q407" s="3">
        <f>IF(AND(LEFT($G407,1)="T",$H407="no"),"sí","no")</f>
        <v/>
      </c>
    </row>
    <row r="408">
      <c r="A408" s="3" t="inlineStr">
        <is>
          <t>2026-S32</t>
        </is>
      </c>
      <c r="B408" s="3" t="inlineStr">
        <is>
          <t>sábado</t>
        </is>
      </c>
      <c r="C408" s="3" t="inlineStr">
        <is>
          <t>Técnico 10</t>
        </is>
      </c>
      <c r="D408" s="3">
        <f>IFERROR(INDEX('TECNICOS'!$D$4:$D$19,MATCH($C408,'TECNICOS'!$B$4:$B$19,0)),"")</f>
        <v/>
      </c>
      <c r="E408" s="3">
        <f>IFERROR(INDEX('TECNICOS'!$C$4:$C$19,MATCH($C408,'TECNICOS'!$B$4:$B$19,0)),"")</f>
        <v/>
      </c>
      <c r="F408" s="3">
        <f>COUNTIFS('TECNICOS'!$F$4:$F$19,"SI",'TECNICOS'!$C$4:$C$19,$E408,'TECNICOS'!$D$4:$D$19,$D408)</f>
        <v/>
      </c>
      <c r="G408" s="3">
        <f>IF(OR($C408="",$A408="",$B408="domingo"),"",IF(IFERROR(INDEX('TECNICOS'!$F$4:$F$19,MATCH($C408,'TECNICOS'!$B$4:$B$19,0)),"NO")&lt;&gt;"SI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3">
        <f>IF(COUNTIFS('PLAN_VACACIONES'!$A$4:$A$103,$C408,'PLAN_VACACIONES'!$B$4:$B$103,"&lt;="&amp;$L408,'PLAN_VACACIONES'!$C$4:$C$103,"&gt;="&amp;$L408)&gt;0,"sí","no")</f>
        <v/>
      </c>
      <c r="I408" s="6" t="n"/>
      <c r="J408" s="3">
        <f>IF($I408&lt;&gt;"",$I408,IF($G408="","",IF($H408="sí","VAC",IF(LEFT($G408,1)="B","B",$G408))))</f>
        <v/>
      </c>
      <c r="K408" s="3">
        <f>IFERROR(INDEX('TECNICOS'!$E$4:$E$19,MATCH($C408,'TECNICOS'!$B$4:$B$19,0)),"")</f>
        <v/>
      </c>
      <c r="L408" s="12">
        <f>IF($A408="","",DATE(VALUE(LEFT($A408,4)),1,4)-WEEKDAY(DATE(VALUE(LEFT($A408,4)),1,4),2)+1+(VALUE(MID($A408,7,2))-1)*7+MATCH($B408,lista_dias,0)-1)</f>
        <v/>
      </c>
      <c r="M408" s="3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3">
        <f>$A408&amp;"|"&amp;$B408&amp;"|"&amp;$C408</f>
        <v/>
      </c>
      <c r="O408" s="3">
        <f>IFERROR(INDEX('CAT_TURNOS'!$C$4:$C$7,MATCH($J408,'CAT_TURNOS'!$A$4:$A$7,0)),"")</f>
        <v/>
      </c>
      <c r="P408" s="3">
        <f>IFERROR(INDEX('CAT_TURNOS'!$D$4:$D$7,MATCH($J408,'CAT_TURNOS'!$A$4:$A$7,0)),"")</f>
        <v/>
      </c>
      <c r="Q408" s="3">
        <f>IF(AND(LEFT($G408,1)="T",$H408="no"),"sí","no")</f>
        <v/>
      </c>
    </row>
    <row r="409">
      <c r="A409" s="3" t="inlineStr">
        <is>
          <t>2026-S32</t>
        </is>
      </c>
      <c r="B409" s="3" t="inlineStr">
        <is>
          <t>domingo</t>
        </is>
      </c>
      <c r="C409" s="3" t="inlineStr">
        <is>
          <t>Técnico 10</t>
        </is>
      </c>
      <c r="D409" s="3">
        <f>IFERROR(INDEX('TECNICOS'!$D$4:$D$19,MATCH($C409,'TECNICOS'!$B$4:$B$19,0)),"")</f>
        <v/>
      </c>
      <c r="E409" s="3">
        <f>IFERROR(INDEX('TECNICOS'!$C$4:$C$19,MATCH($C409,'TECNICOS'!$B$4:$B$19,0)),"")</f>
        <v/>
      </c>
      <c r="F409" s="3">
        <f>COUNTIFS('TECNICOS'!$F$4:$F$19,"SI",'TECNICOS'!$C$4:$C$19,$E409,'TECNICOS'!$D$4:$D$19,$D409)</f>
        <v/>
      </c>
      <c r="G409" s="3">
        <f>IF(OR($C409="",$A409="",$B409="domingo"),"",IF(IFERROR(INDEX('TECNICOS'!$F$4:$F$19,MATCH($C409,'TECNICOS'!$B$4:$B$19,0)),"NO")&lt;&gt;"SI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3">
        <f>IF(COUNTIFS('PLAN_VACACIONES'!$A$4:$A$103,$C409,'PLAN_VACACIONES'!$B$4:$B$103,"&lt;="&amp;$L409,'PLAN_VACACIONES'!$C$4:$C$103,"&gt;="&amp;$L409)&gt;0,"sí","no")</f>
        <v/>
      </c>
      <c r="I409" s="6" t="n"/>
      <c r="J409" s="3">
        <f>IF($I409&lt;&gt;"",$I409,IF($G409="","",IF($H409="sí","VAC",IF(LEFT($G409,1)="B","B",$G409))))</f>
        <v/>
      </c>
      <c r="K409" s="3">
        <f>IFERROR(INDEX('TECNICOS'!$E$4:$E$19,MATCH($C409,'TECNICOS'!$B$4:$B$19,0)),"")</f>
        <v/>
      </c>
      <c r="L409" s="12">
        <f>IF($A409="","",DATE(VALUE(LEFT($A409,4)),1,4)-WEEKDAY(DATE(VALUE(LEFT($A409,4)),1,4),2)+1+(VALUE(MID($A409,7,2))-1)*7+MATCH($B409,lista_dias,0)-1)</f>
        <v/>
      </c>
      <c r="M409" s="3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3">
        <f>$A409&amp;"|"&amp;$B409&amp;"|"&amp;$C409</f>
        <v/>
      </c>
      <c r="O409" s="3">
        <f>IFERROR(INDEX('CAT_TURNOS'!$C$4:$C$7,MATCH($J409,'CAT_TURNOS'!$A$4:$A$7,0)),"")</f>
        <v/>
      </c>
      <c r="P409" s="3">
        <f>IFERROR(INDEX('CAT_TURNOS'!$D$4:$D$7,MATCH($J409,'CAT_TURNOS'!$A$4:$A$7,0)),"")</f>
        <v/>
      </c>
      <c r="Q409" s="3">
        <f>IF(AND(LEFT($G409,1)="T",$H409="no"),"sí","no")</f>
        <v/>
      </c>
    </row>
    <row r="410">
      <c r="A410" s="3" t="inlineStr">
        <is>
          <t>2026-S32</t>
        </is>
      </c>
      <c r="B410" s="3" t="inlineStr">
        <is>
          <t>lunes</t>
        </is>
      </c>
      <c r="C410" s="3" t="inlineStr">
        <is>
          <t>Técnico 11</t>
        </is>
      </c>
      <c r="D410" s="3">
        <f>IFERROR(INDEX('TECNICOS'!$D$4:$D$19,MATCH($C410,'TECNICOS'!$B$4:$B$19,0)),"")</f>
        <v/>
      </c>
      <c r="E410" s="3">
        <f>IFERROR(INDEX('TECNICOS'!$C$4:$C$19,MATCH($C410,'TECNICOS'!$B$4:$B$19,0)),"")</f>
        <v/>
      </c>
      <c r="F410" s="3">
        <f>COUNTIFS('TECNICOS'!$F$4:$F$19,"SI",'TECNICOS'!$C$4:$C$19,$E410,'TECNICOS'!$D$4:$D$19,$D410)</f>
        <v/>
      </c>
      <c r="G410" s="3">
        <f>IF(OR($C410="",$A410="",$B410="domingo"),"",IF(IFERROR(INDEX('TECNICOS'!$F$4:$F$19,MATCH($C410,'TECNICOS'!$B$4:$B$19,0)),"NO")&lt;&gt;"SI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3">
        <f>IF(COUNTIFS('PLAN_VACACIONES'!$A$4:$A$103,$C410,'PLAN_VACACIONES'!$B$4:$B$103,"&lt;="&amp;$L410,'PLAN_VACACIONES'!$C$4:$C$103,"&gt;="&amp;$L410)&gt;0,"sí","no")</f>
        <v/>
      </c>
      <c r="I410" s="6" t="n"/>
      <c r="J410" s="3">
        <f>IF($I410&lt;&gt;"",$I410,IF($G410="","",IF($H410="sí","VAC",IF(LEFT($G410,1)="B","B",$G410))))</f>
        <v/>
      </c>
      <c r="K410" s="3">
        <f>IFERROR(INDEX('TECNICOS'!$E$4:$E$19,MATCH($C410,'TECNICOS'!$B$4:$B$19,0)),"")</f>
        <v/>
      </c>
      <c r="L410" s="12">
        <f>IF($A410="","",DATE(VALUE(LEFT($A410,4)),1,4)-WEEKDAY(DATE(VALUE(LEFT($A410,4)),1,4),2)+1+(VALUE(MID($A410,7,2))-1)*7+MATCH($B410,lista_dias,0)-1)</f>
        <v/>
      </c>
      <c r="M410" s="3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3">
        <f>$A410&amp;"|"&amp;$B410&amp;"|"&amp;$C410</f>
        <v/>
      </c>
      <c r="O410" s="3">
        <f>IFERROR(INDEX('CAT_TURNOS'!$C$4:$C$7,MATCH($J410,'CAT_TURNOS'!$A$4:$A$7,0)),"")</f>
        <v/>
      </c>
      <c r="P410" s="3">
        <f>IFERROR(INDEX('CAT_TURNOS'!$D$4:$D$7,MATCH($J410,'CAT_TURNOS'!$A$4:$A$7,0)),"")</f>
        <v/>
      </c>
      <c r="Q410" s="3">
        <f>IF(AND(LEFT($G410,1)="T",$H410="no"),"sí","no")</f>
        <v/>
      </c>
    </row>
    <row r="411">
      <c r="A411" s="3" t="inlineStr">
        <is>
          <t>2026-S32</t>
        </is>
      </c>
      <c r="B411" s="3" t="inlineStr">
        <is>
          <t>martes</t>
        </is>
      </c>
      <c r="C411" s="3" t="inlineStr">
        <is>
          <t>Técnico 11</t>
        </is>
      </c>
      <c r="D411" s="3">
        <f>IFERROR(INDEX('TECNICOS'!$D$4:$D$19,MATCH($C411,'TECNICOS'!$B$4:$B$19,0)),"")</f>
        <v/>
      </c>
      <c r="E411" s="3">
        <f>IFERROR(INDEX('TECNICOS'!$C$4:$C$19,MATCH($C411,'TECNICOS'!$B$4:$B$19,0)),"")</f>
        <v/>
      </c>
      <c r="F411" s="3">
        <f>COUNTIFS('TECNICOS'!$F$4:$F$19,"SI",'TECNICOS'!$C$4:$C$19,$E411,'TECNICOS'!$D$4:$D$19,$D411)</f>
        <v/>
      </c>
      <c r="G411" s="3">
        <f>IF(OR($C411="",$A411="",$B411="domingo"),"",IF(IFERROR(INDEX('TECNICOS'!$F$4:$F$19,MATCH($C411,'TECNICOS'!$B$4:$B$19,0)),"NO")&lt;&gt;"SI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3">
        <f>IF(COUNTIFS('PLAN_VACACIONES'!$A$4:$A$103,$C411,'PLAN_VACACIONES'!$B$4:$B$103,"&lt;="&amp;$L411,'PLAN_VACACIONES'!$C$4:$C$103,"&gt;="&amp;$L411)&gt;0,"sí","no")</f>
        <v/>
      </c>
      <c r="I411" s="6" t="n"/>
      <c r="J411" s="3">
        <f>IF($I411&lt;&gt;"",$I411,IF($G411="","",IF($H411="sí","VAC",IF(LEFT($G411,1)="B","B",$G411))))</f>
        <v/>
      </c>
      <c r="K411" s="3">
        <f>IFERROR(INDEX('TECNICOS'!$E$4:$E$19,MATCH($C411,'TECNICOS'!$B$4:$B$19,0)),"")</f>
        <v/>
      </c>
      <c r="L411" s="12">
        <f>IF($A411="","",DATE(VALUE(LEFT($A411,4)),1,4)-WEEKDAY(DATE(VALUE(LEFT($A411,4)),1,4),2)+1+(VALUE(MID($A411,7,2))-1)*7+MATCH($B411,lista_dias,0)-1)</f>
        <v/>
      </c>
      <c r="M411" s="3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3">
        <f>$A411&amp;"|"&amp;$B411&amp;"|"&amp;$C411</f>
        <v/>
      </c>
      <c r="O411" s="3">
        <f>IFERROR(INDEX('CAT_TURNOS'!$C$4:$C$7,MATCH($J411,'CAT_TURNOS'!$A$4:$A$7,0)),"")</f>
        <v/>
      </c>
      <c r="P411" s="3">
        <f>IFERROR(INDEX('CAT_TURNOS'!$D$4:$D$7,MATCH($J411,'CAT_TURNOS'!$A$4:$A$7,0)),"")</f>
        <v/>
      </c>
      <c r="Q411" s="3">
        <f>IF(AND(LEFT($G411,1)="T",$H411="no"),"sí","no")</f>
        <v/>
      </c>
    </row>
    <row r="412">
      <c r="A412" s="3" t="inlineStr">
        <is>
          <t>2026-S32</t>
        </is>
      </c>
      <c r="B412" s="3" t="inlineStr">
        <is>
          <t>miércoles</t>
        </is>
      </c>
      <c r="C412" s="3" t="inlineStr">
        <is>
          <t>Técnico 11</t>
        </is>
      </c>
      <c r="D412" s="3">
        <f>IFERROR(INDEX('TECNICOS'!$D$4:$D$19,MATCH($C412,'TECNICOS'!$B$4:$B$19,0)),"")</f>
        <v/>
      </c>
      <c r="E412" s="3">
        <f>IFERROR(INDEX('TECNICOS'!$C$4:$C$19,MATCH($C412,'TECNICOS'!$B$4:$B$19,0)),"")</f>
        <v/>
      </c>
      <c r="F412" s="3">
        <f>COUNTIFS('TECNICOS'!$F$4:$F$19,"SI",'TECNICOS'!$C$4:$C$19,$E412,'TECNICOS'!$D$4:$D$19,$D412)</f>
        <v/>
      </c>
      <c r="G412" s="3">
        <f>IF(OR($C412="",$A412="",$B412="domingo"),"",IF(IFERROR(INDEX('TECNICOS'!$F$4:$F$19,MATCH($C412,'TECNICOS'!$B$4:$B$19,0)),"NO")&lt;&gt;"SI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3">
        <f>IF(COUNTIFS('PLAN_VACACIONES'!$A$4:$A$103,$C412,'PLAN_VACACIONES'!$B$4:$B$103,"&lt;="&amp;$L412,'PLAN_VACACIONES'!$C$4:$C$103,"&gt;="&amp;$L412)&gt;0,"sí","no")</f>
        <v/>
      </c>
      <c r="I412" s="6" t="n"/>
      <c r="J412" s="3">
        <f>IF($I412&lt;&gt;"",$I412,IF($G412="","",IF($H412="sí","VAC",IF(LEFT($G412,1)="B","B",$G412))))</f>
        <v/>
      </c>
      <c r="K412" s="3">
        <f>IFERROR(INDEX('TECNICOS'!$E$4:$E$19,MATCH($C412,'TECNICOS'!$B$4:$B$19,0)),"")</f>
        <v/>
      </c>
      <c r="L412" s="12">
        <f>IF($A412="","",DATE(VALUE(LEFT($A412,4)),1,4)-WEEKDAY(DATE(VALUE(LEFT($A412,4)),1,4),2)+1+(VALUE(MID($A412,7,2))-1)*7+MATCH($B412,lista_dias,0)-1)</f>
        <v/>
      </c>
      <c r="M412" s="3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3">
        <f>$A412&amp;"|"&amp;$B412&amp;"|"&amp;$C412</f>
        <v/>
      </c>
      <c r="O412" s="3">
        <f>IFERROR(INDEX('CAT_TURNOS'!$C$4:$C$7,MATCH($J412,'CAT_TURNOS'!$A$4:$A$7,0)),"")</f>
        <v/>
      </c>
      <c r="P412" s="3">
        <f>IFERROR(INDEX('CAT_TURNOS'!$D$4:$D$7,MATCH($J412,'CAT_TURNOS'!$A$4:$A$7,0)),"")</f>
        <v/>
      </c>
      <c r="Q412" s="3">
        <f>IF(AND(LEFT($G412,1)="T",$H412="no"),"sí","no")</f>
        <v/>
      </c>
    </row>
    <row r="413">
      <c r="A413" s="3" t="inlineStr">
        <is>
          <t>2026-S32</t>
        </is>
      </c>
      <c r="B413" s="3" t="inlineStr">
        <is>
          <t>jueves</t>
        </is>
      </c>
      <c r="C413" s="3" t="inlineStr">
        <is>
          <t>Técnico 11</t>
        </is>
      </c>
      <c r="D413" s="3">
        <f>IFERROR(INDEX('TECNICOS'!$D$4:$D$19,MATCH($C413,'TECNICOS'!$B$4:$B$19,0)),"")</f>
        <v/>
      </c>
      <c r="E413" s="3">
        <f>IFERROR(INDEX('TECNICOS'!$C$4:$C$19,MATCH($C413,'TECNICOS'!$B$4:$B$19,0)),"")</f>
        <v/>
      </c>
      <c r="F413" s="3">
        <f>COUNTIFS('TECNICOS'!$F$4:$F$19,"SI",'TECNICOS'!$C$4:$C$19,$E413,'TECNICOS'!$D$4:$D$19,$D413)</f>
        <v/>
      </c>
      <c r="G413" s="3">
        <f>IF(OR($C413="",$A413="",$B413="domingo"),"",IF(IFERROR(INDEX('TECNICOS'!$F$4:$F$19,MATCH($C413,'TECNICOS'!$B$4:$B$19,0)),"NO")&lt;&gt;"SI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3">
        <f>IF(COUNTIFS('PLAN_VACACIONES'!$A$4:$A$103,$C413,'PLAN_VACACIONES'!$B$4:$B$103,"&lt;="&amp;$L413,'PLAN_VACACIONES'!$C$4:$C$103,"&gt;="&amp;$L413)&gt;0,"sí","no")</f>
        <v/>
      </c>
      <c r="I413" s="6" t="n"/>
      <c r="J413" s="3">
        <f>IF($I413&lt;&gt;"",$I413,IF($G413="","",IF($H413="sí","VAC",IF(LEFT($G413,1)="B","B",$G413))))</f>
        <v/>
      </c>
      <c r="K413" s="3">
        <f>IFERROR(INDEX('TECNICOS'!$E$4:$E$19,MATCH($C413,'TECNICOS'!$B$4:$B$19,0)),"")</f>
        <v/>
      </c>
      <c r="L413" s="12">
        <f>IF($A413="","",DATE(VALUE(LEFT($A413,4)),1,4)-WEEKDAY(DATE(VALUE(LEFT($A413,4)),1,4),2)+1+(VALUE(MID($A413,7,2))-1)*7+MATCH($B413,lista_dias,0)-1)</f>
        <v/>
      </c>
      <c r="M413" s="3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3">
        <f>$A413&amp;"|"&amp;$B413&amp;"|"&amp;$C413</f>
        <v/>
      </c>
      <c r="O413" s="3">
        <f>IFERROR(INDEX('CAT_TURNOS'!$C$4:$C$7,MATCH($J413,'CAT_TURNOS'!$A$4:$A$7,0)),"")</f>
        <v/>
      </c>
      <c r="P413" s="3">
        <f>IFERROR(INDEX('CAT_TURNOS'!$D$4:$D$7,MATCH($J413,'CAT_TURNOS'!$A$4:$A$7,0)),"")</f>
        <v/>
      </c>
      <c r="Q413" s="3">
        <f>IF(AND(LEFT($G413,1)="T",$H413="no"),"sí","no")</f>
        <v/>
      </c>
    </row>
    <row r="414">
      <c r="A414" s="3" t="inlineStr">
        <is>
          <t>2026-S32</t>
        </is>
      </c>
      <c r="B414" s="3" t="inlineStr">
        <is>
          <t>viernes</t>
        </is>
      </c>
      <c r="C414" s="3" t="inlineStr">
        <is>
          <t>Técnico 11</t>
        </is>
      </c>
      <c r="D414" s="3">
        <f>IFERROR(INDEX('TECNICOS'!$D$4:$D$19,MATCH($C414,'TECNICOS'!$B$4:$B$19,0)),"")</f>
        <v/>
      </c>
      <c r="E414" s="3">
        <f>IFERROR(INDEX('TECNICOS'!$C$4:$C$19,MATCH($C414,'TECNICOS'!$B$4:$B$19,0)),"")</f>
        <v/>
      </c>
      <c r="F414" s="3">
        <f>COUNTIFS('TECNICOS'!$F$4:$F$19,"SI",'TECNICOS'!$C$4:$C$19,$E414,'TECNICOS'!$D$4:$D$19,$D414)</f>
        <v/>
      </c>
      <c r="G414" s="3">
        <f>IF(OR($C414="",$A414="",$B414="domingo"),"",IF(IFERROR(INDEX('TECNICOS'!$F$4:$F$19,MATCH($C414,'TECNICOS'!$B$4:$B$19,0)),"NO")&lt;&gt;"SI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3">
        <f>IF(COUNTIFS('PLAN_VACACIONES'!$A$4:$A$103,$C414,'PLAN_VACACIONES'!$B$4:$B$103,"&lt;="&amp;$L414,'PLAN_VACACIONES'!$C$4:$C$103,"&gt;="&amp;$L414)&gt;0,"sí","no")</f>
        <v/>
      </c>
      <c r="I414" s="6" t="n"/>
      <c r="J414" s="3">
        <f>IF($I414&lt;&gt;"",$I414,IF($G414="","",IF($H414="sí","VAC",IF(LEFT($G414,1)="B","B",$G414))))</f>
        <v/>
      </c>
      <c r="K414" s="3">
        <f>IFERROR(INDEX('TECNICOS'!$E$4:$E$19,MATCH($C414,'TECNICOS'!$B$4:$B$19,0)),"")</f>
        <v/>
      </c>
      <c r="L414" s="12">
        <f>IF($A414="","",DATE(VALUE(LEFT($A414,4)),1,4)-WEEKDAY(DATE(VALUE(LEFT($A414,4)),1,4),2)+1+(VALUE(MID($A414,7,2))-1)*7+MATCH($B414,lista_dias,0)-1)</f>
        <v/>
      </c>
      <c r="M414" s="3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3">
        <f>$A414&amp;"|"&amp;$B414&amp;"|"&amp;$C414</f>
        <v/>
      </c>
      <c r="O414" s="3">
        <f>IFERROR(INDEX('CAT_TURNOS'!$C$4:$C$7,MATCH($J414,'CAT_TURNOS'!$A$4:$A$7,0)),"")</f>
        <v/>
      </c>
      <c r="P414" s="3">
        <f>IFERROR(INDEX('CAT_TURNOS'!$D$4:$D$7,MATCH($J414,'CAT_TURNOS'!$A$4:$A$7,0)),"")</f>
        <v/>
      </c>
      <c r="Q414" s="3">
        <f>IF(AND(LEFT($G414,1)="T",$H414="no"),"sí","no")</f>
        <v/>
      </c>
    </row>
    <row r="415">
      <c r="A415" s="3" t="inlineStr">
        <is>
          <t>2026-S32</t>
        </is>
      </c>
      <c r="B415" s="3" t="inlineStr">
        <is>
          <t>sábado</t>
        </is>
      </c>
      <c r="C415" s="3" t="inlineStr">
        <is>
          <t>Técnico 11</t>
        </is>
      </c>
      <c r="D415" s="3">
        <f>IFERROR(INDEX('TECNICOS'!$D$4:$D$19,MATCH($C415,'TECNICOS'!$B$4:$B$19,0)),"")</f>
        <v/>
      </c>
      <c r="E415" s="3">
        <f>IFERROR(INDEX('TECNICOS'!$C$4:$C$19,MATCH($C415,'TECNICOS'!$B$4:$B$19,0)),"")</f>
        <v/>
      </c>
      <c r="F415" s="3">
        <f>COUNTIFS('TECNICOS'!$F$4:$F$19,"SI",'TECNICOS'!$C$4:$C$19,$E415,'TECNICOS'!$D$4:$D$19,$D415)</f>
        <v/>
      </c>
      <c r="G415" s="3">
        <f>IF(OR($C415="",$A415="",$B415="domingo"),"",IF(IFERROR(INDEX('TECNICOS'!$F$4:$F$19,MATCH($C415,'TECNICOS'!$B$4:$B$19,0)),"NO")&lt;&gt;"SI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3">
        <f>IF(COUNTIFS('PLAN_VACACIONES'!$A$4:$A$103,$C415,'PLAN_VACACIONES'!$B$4:$B$103,"&lt;="&amp;$L415,'PLAN_VACACIONES'!$C$4:$C$103,"&gt;="&amp;$L415)&gt;0,"sí","no")</f>
        <v/>
      </c>
      <c r="I415" s="6" t="n"/>
      <c r="J415" s="3">
        <f>IF($I415&lt;&gt;"",$I415,IF($G415="","",IF($H415="sí","VAC",IF(LEFT($G415,1)="B","B",$G415))))</f>
        <v/>
      </c>
      <c r="K415" s="3">
        <f>IFERROR(INDEX('TECNICOS'!$E$4:$E$19,MATCH($C415,'TECNICOS'!$B$4:$B$19,0)),"")</f>
        <v/>
      </c>
      <c r="L415" s="12">
        <f>IF($A415="","",DATE(VALUE(LEFT($A415,4)),1,4)-WEEKDAY(DATE(VALUE(LEFT($A415,4)),1,4),2)+1+(VALUE(MID($A415,7,2))-1)*7+MATCH($B415,lista_dias,0)-1)</f>
        <v/>
      </c>
      <c r="M415" s="3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3">
        <f>$A415&amp;"|"&amp;$B415&amp;"|"&amp;$C415</f>
        <v/>
      </c>
      <c r="O415" s="3">
        <f>IFERROR(INDEX('CAT_TURNOS'!$C$4:$C$7,MATCH($J415,'CAT_TURNOS'!$A$4:$A$7,0)),"")</f>
        <v/>
      </c>
      <c r="P415" s="3">
        <f>IFERROR(INDEX('CAT_TURNOS'!$D$4:$D$7,MATCH($J415,'CAT_TURNOS'!$A$4:$A$7,0)),"")</f>
        <v/>
      </c>
      <c r="Q415" s="3">
        <f>IF(AND(LEFT($G415,1)="T",$H415="no"),"sí","no")</f>
        <v/>
      </c>
    </row>
    <row r="416">
      <c r="A416" s="3" t="inlineStr">
        <is>
          <t>2026-S32</t>
        </is>
      </c>
      <c r="B416" s="3" t="inlineStr">
        <is>
          <t>domingo</t>
        </is>
      </c>
      <c r="C416" s="3" t="inlineStr">
        <is>
          <t>Técnico 11</t>
        </is>
      </c>
      <c r="D416" s="3">
        <f>IFERROR(INDEX('TECNICOS'!$D$4:$D$19,MATCH($C416,'TECNICOS'!$B$4:$B$19,0)),"")</f>
        <v/>
      </c>
      <c r="E416" s="3">
        <f>IFERROR(INDEX('TECNICOS'!$C$4:$C$19,MATCH($C416,'TECNICOS'!$B$4:$B$19,0)),"")</f>
        <v/>
      </c>
      <c r="F416" s="3">
        <f>COUNTIFS('TECNICOS'!$F$4:$F$19,"SI",'TECNICOS'!$C$4:$C$19,$E416,'TECNICOS'!$D$4:$D$19,$D416)</f>
        <v/>
      </c>
      <c r="G416" s="3">
        <f>IF(OR($C416="",$A416="",$B416="domingo"),"",IF(IFERROR(INDEX('TECNICOS'!$F$4:$F$19,MATCH($C416,'TECNICOS'!$B$4:$B$19,0)),"NO")&lt;&gt;"SI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3">
        <f>IF(COUNTIFS('PLAN_VACACIONES'!$A$4:$A$103,$C416,'PLAN_VACACIONES'!$B$4:$B$103,"&lt;="&amp;$L416,'PLAN_VACACIONES'!$C$4:$C$103,"&gt;="&amp;$L416)&gt;0,"sí","no")</f>
        <v/>
      </c>
      <c r="I416" s="6" t="n"/>
      <c r="J416" s="3">
        <f>IF($I416&lt;&gt;"",$I416,IF($G416="","",IF($H416="sí","VAC",IF(LEFT($G416,1)="B","B",$G416))))</f>
        <v/>
      </c>
      <c r="K416" s="3">
        <f>IFERROR(INDEX('TECNICOS'!$E$4:$E$19,MATCH($C416,'TECNICOS'!$B$4:$B$19,0)),"")</f>
        <v/>
      </c>
      <c r="L416" s="12">
        <f>IF($A416="","",DATE(VALUE(LEFT($A416,4)),1,4)-WEEKDAY(DATE(VALUE(LEFT($A416,4)),1,4),2)+1+(VALUE(MID($A416,7,2))-1)*7+MATCH($B416,lista_dias,0)-1)</f>
        <v/>
      </c>
      <c r="M416" s="3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3">
        <f>$A416&amp;"|"&amp;$B416&amp;"|"&amp;$C416</f>
        <v/>
      </c>
      <c r="O416" s="3">
        <f>IFERROR(INDEX('CAT_TURNOS'!$C$4:$C$7,MATCH($J416,'CAT_TURNOS'!$A$4:$A$7,0)),"")</f>
        <v/>
      </c>
      <c r="P416" s="3">
        <f>IFERROR(INDEX('CAT_TURNOS'!$D$4:$D$7,MATCH($J416,'CAT_TURNOS'!$A$4:$A$7,0)),"")</f>
        <v/>
      </c>
      <c r="Q416" s="3">
        <f>IF(AND(LEFT($G416,1)="T",$H416="no"),"sí","no")</f>
        <v/>
      </c>
    </row>
    <row r="417">
      <c r="A417" s="3" t="inlineStr">
        <is>
          <t>2026-S32</t>
        </is>
      </c>
      <c r="B417" s="3" t="inlineStr">
        <is>
          <t>lunes</t>
        </is>
      </c>
      <c r="C417" s="3" t="inlineStr">
        <is>
          <t>Técnico 12</t>
        </is>
      </c>
      <c r="D417" s="3">
        <f>IFERROR(INDEX('TECNICOS'!$D$4:$D$19,MATCH($C417,'TECNICOS'!$B$4:$B$19,0)),"")</f>
        <v/>
      </c>
      <c r="E417" s="3">
        <f>IFERROR(INDEX('TECNICOS'!$C$4:$C$19,MATCH($C417,'TECNICOS'!$B$4:$B$19,0)),"")</f>
        <v/>
      </c>
      <c r="F417" s="3">
        <f>COUNTIFS('TECNICOS'!$F$4:$F$19,"SI",'TECNICOS'!$C$4:$C$19,$E417,'TECNICOS'!$D$4:$D$19,$D417)</f>
        <v/>
      </c>
      <c r="G417" s="3">
        <f>IF(OR($C417="",$A417="",$B417="domingo"),"",IF(IFERROR(INDEX('TECNICOS'!$F$4:$F$19,MATCH($C417,'TECNICOS'!$B$4:$B$19,0)),"NO")&lt;&gt;"SI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3">
        <f>IF(COUNTIFS('PLAN_VACACIONES'!$A$4:$A$103,$C417,'PLAN_VACACIONES'!$B$4:$B$103,"&lt;="&amp;$L417,'PLAN_VACACIONES'!$C$4:$C$103,"&gt;="&amp;$L417)&gt;0,"sí","no")</f>
        <v/>
      </c>
      <c r="I417" s="6" t="n"/>
      <c r="J417" s="3">
        <f>IF($I417&lt;&gt;"",$I417,IF($G417="","",IF($H417="sí","VAC",IF(LEFT($G417,1)="B","B",$G417))))</f>
        <v/>
      </c>
      <c r="K417" s="3">
        <f>IFERROR(INDEX('TECNICOS'!$E$4:$E$19,MATCH($C417,'TECNICOS'!$B$4:$B$19,0)),"")</f>
        <v/>
      </c>
      <c r="L417" s="12">
        <f>IF($A417="","",DATE(VALUE(LEFT($A417,4)),1,4)-WEEKDAY(DATE(VALUE(LEFT($A417,4)),1,4),2)+1+(VALUE(MID($A417,7,2))-1)*7+MATCH($B417,lista_dias,0)-1)</f>
        <v/>
      </c>
      <c r="M417" s="3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3">
        <f>$A417&amp;"|"&amp;$B417&amp;"|"&amp;$C417</f>
        <v/>
      </c>
      <c r="O417" s="3">
        <f>IFERROR(INDEX('CAT_TURNOS'!$C$4:$C$7,MATCH($J417,'CAT_TURNOS'!$A$4:$A$7,0)),"")</f>
        <v/>
      </c>
      <c r="P417" s="3">
        <f>IFERROR(INDEX('CAT_TURNOS'!$D$4:$D$7,MATCH($J417,'CAT_TURNOS'!$A$4:$A$7,0)),"")</f>
        <v/>
      </c>
      <c r="Q417" s="3">
        <f>IF(AND(LEFT($G417,1)="T",$H417="no"),"sí","no")</f>
        <v/>
      </c>
    </row>
    <row r="418">
      <c r="A418" s="3" t="inlineStr">
        <is>
          <t>2026-S32</t>
        </is>
      </c>
      <c r="B418" s="3" t="inlineStr">
        <is>
          <t>martes</t>
        </is>
      </c>
      <c r="C418" s="3" t="inlineStr">
        <is>
          <t>Técnico 12</t>
        </is>
      </c>
      <c r="D418" s="3">
        <f>IFERROR(INDEX('TECNICOS'!$D$4:$D$19,MATCH($C418,'TECNICOS'!$B$4:$B$19,0)),"")</f>
        <v/>
      </c>
      <c r="E418" s="3">
        <f>IFERROR(INDEX('TECNICOS'!$C$4:$C$19,MATCH($C418,'TECNICOS'!$B$4:$B$19,0)),"")</f>
        <v/>
      </c>
      <c r="F418" s="3">
        <f>COUNTIFS('TECNICOS'!$F$4:$F$19,"SI",'TECNICOS'!$C$4:$C$19,$E418,'TECNICOS'!$D$4:$D$19,$D418)</f>
        <v/>
      </c>
      <c r="G418" s="3">
        <f>IF(OR($C418="",$A418="",$B418="domingo"),"",IF(IFERROR(INDEX('TECNICOS'!$F$4:$F$19,MATCH($C418,'TECNICOS'!$B$4:$B$19,0)),"NO")&lt;&gt;"SI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3">
        <f>IF(COUNTIFS('PLAN_VACACIONES'!$A$4:$A$103,$C418,'PLAN_VACACIONES'!$B$4:$B$103,"&lt;="&amp;$L418,'PLAN_VACACIONES'!$C$4:$C$103,"&gt;="&amp;$L418)&gt;0,"sí","no")</f>
        <v/>
      </c>
      <c r="I418" s="6" t="n"/>
      <c r="J418" s="3">
        <f>IF($I418&lt;&gt;"",$I418,IF($G418="","",IF($H418="sí","VAC",IF(LEFT($G418,1)="B","B",$G418))))</f>
        <v/>
      </c>
      <c r="K418" s="3">
        <f>IFERROR(INDEX('TECNICOS'!$E$4:$E$19,MATCH($C418,'TECNICOS'!$B$4:$B$19,0)),"")</f>
        <v/>
      </c>
      <c r="L418" s="12">
        <f>IF($A418="","",DATE(VALUE(LEFT($A418,4)),1,4)-WEEKDAY(DATE(VALUE(LEFT($A418,4)),1,4),2)+1+(VALUE(MID($A418,7,2))-1)*7+MATCH($B418,lista_dias,0)-1)</f>
        <v/>
      </c>
      <c r="M418" s="3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3">
        <f>$A418&amp;"|"&amp;$B418&amp;"|"&amp;$C418</f>
        <v/>
      </c>
      <c r="O418" s="3">
        <f>IFERROR(INDEX('CAT_TURNOS'!$C$4:$C$7,MATCH($J418,'CAT_TURNOS'!$A$4:$A$7,0)),"")</f>
        <v/>
      </c>
      <c r="P418" s="3">
        <f>IFERROR(INDEX('CAT_TURNOS'!$D$4:$D$7,MATCH($J418,'CAT_TURNOS'!$A$4:$A$7,0)),"")</f>
        <v/>
      </c>
      <c r="Q418" s="3">
        <f>IF(AND(LEFT($G418,1)="T",$H418="no"),"sí","no")</f>
        <v/>
      </c>
    </row>
    <row r="419">
      <c r="A419" s="3" t="inlineStr">
        <is>
          <t>2026-S32</t>
        </is>
      </c>
      <c r="B419" s="3" t="inlineStr">
        <is>
          <t>miércoles</t>
        </is>
      </c>
      <c r="C419" s="3" t="inlineStr">
        <is>
          <t>Técnico 12</t>
        </is>
      </c>
      <c r="D419" s="3">
        <f>IFERROR(INDEX('TECNICOS'!$D$4:$D$19,MATCH($C419,'TECNICOS'!$B$4:$B$19,0)),"")</f>
        <v/>
      </c>
      <c r="E419" s="3">
        <f>IFERROR(INDEX('TECNICOS'!$C$4:$C$19,MATCH($C419,'TECNICOS'!$B$4:$B$19,0)),"")</f>
        <v/>
      </c>
      <c r="F419" s="3">
        <f>COUNTIFS('TECNICOS'!$F$4:$F$19,"SI",'TECNICOS'!$C$4:$C$19,$E419,'TECNICOS'!$D$4:$D$19,$D419)</f>
        <v/>
      </c>
      <c r="G419" s="3">
        <f>IF(OR($C419="",$A419="",$B419="domingo"),"",IF(IFERROR(INDEX('TECNICOS'!$F$4:$F$19,MATCH($C419,'TECNICOS'!$B$4:$B$19,0)),"NO")&lt;&gt;"SI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3">
        <f>IF(COUNTIFS('PLAN_VACACIONES'!$A$4:$A$103,$C419,'PLAN_VACACIONES'!$B$4:$B$103,"&lt;="&amp;$L419,'PLAN_VACACIONES'!$C$4:$C$103,"&gt;="&amp;$L419)&gt;0,"sí","no")</f>
        <v/>
      </c>
      <c r="I419" s="6" t="n"/>
      <c r="J419" s="3">
        <f>IF($I419&lt;&gt;"",$I419,IF($G419="","",IF($H419="sí","VAC",IF(LEFT($G419,1)="B","B",$G419))))</f>
        <v/>
      </c>
      <c r="K419" s="3">
        <f>IFERROR(INDEX('TECNICOS'!$E$4:$E$19,MATCH($C419,'TECNICOS'!$B$4:$B$19,0)),"")</f>
        <v/>
      </c>
      <c r="L419" s="12">
        <f>IF($A419="","",DATE(VALUE(LEFT($A419,4)),1,4)-WEEKDAY(DATE(VALUE(LEFT($A419,4)),1,4),2)+1+(VALUE(MID($A419,7,2))-1)*7+MATCH($B419,lista_dias,0)-1)</f>
        <v/>
      </c>
      <c r="M419" s="3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3">
        <f>$A419&amp;"|"&amp;$B419&amp;"|"&amp;$C419</f>
        <v/>
      </c>
      <c r="O419" s="3">
        <f>IFERROR(INDEX('CAT_TURNOS'!$C$4:$C$7,MATCH($J419,'CAT_TURNOS'!$A$4:$A$7,0)),"")</f>
        <v/>
      </c>
      <c r="P419" s="3">
        <f>IFERROR(INDEX('CAT_TURNOS'!$D$4:$D$7,MATCH($J419,'CAT_TURNOS'!$A$4:$A$7,0)),"")</f>
        <v/>
      </c>
      <c r="Q419" s="3">
        <f>IF(AND(LEFT($G419,1)="T",$H419="no"),"sí","no")</f>
        <v/>
      </c>
    </row>
    <row r="420">
      <c r="A420" s="3" t="inlineStr">
        <is>
          <t>2026-S32</t>
        </is>
      </c>
      <c r="B420" s="3" t="inlineStr">
        <is>
          <t>jueves</t>
        </is>
      </c>
      <c r="C420" s="3" t="inlineStr">
        <is>
          <t>Técnico 12</t>
        </is>
      </c>
      <c r="D420" s="3">
        <f>IFERROR(INDEX('TECNICOS'!$D$4:$D$19,MATCH($C420,'TECNICOS'!$B$4:$B$19,0)),"")</f>
        <v/>
      </c>
      <c r="E420" s="3">
        <f>IFERROR(INDEX('TECNICOS'!$C$4:$C$19,MATCH($C420,'TECNICOS'!$B$4:$B$19,0)),"")</f>
        <v/>
      </c>
      <c r="F420" s="3">
        <f>COUNTIFS('TECNICOS'!$F$4:$F$19,"SI",'TECNICOS'!$C$4:$C$19,$E420,'TECNICOS'!$D$4:$D$19,$D420)</f>
        <v/>
      </c>
      <c r="G420" s="3">
        <f>IF(OR($C420="",$A420="",$B420="domingo"),"",IF(IFERROR(INDEX('TECNICOS'!$F$4:$F$19,MATCH($C420,'TECNICOS'!$B$4:$B$19,0)),"NO")&lt;&gt;"SI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3">
        <f>IF(COUNTIFS('PLAN_VACACIONES'!$A$4:$A$103,$C420,'PLAN_VACACIONES'!$B$4:$B$103,"&lt;="&amp;$L420,'PLAN_VACACIONES'!$C$4:$C$103,"&gt;="&amp;$L420)&gt;0,"sí","no")</f>
        <v/>
      </c>
      <c r="I420" s="6" t="n"/>
      <c r="J420" s="3">
        <f>IF($I420&lt;&gt;"",$I420,IF($G420="","",IF($H420="sí","VAC",IF(LEFT($G420,1)="B","B",$G420))))</f>
        <v/>
      </c>
      <c r="K420" s="3">
        <f>IFERROR(INDEX('TECNICOS'!$E$4:$E$19,MATCH($C420,'TECNICOS'!$B$4:$B$19,0)),"")</f>
        <v/>
      </c>
      <c r="L420" s="12">
        <f>IF($A420="","",DATE(VALUE(LEFT($A420,4)),1,4)-WEEKDAY(DATE(VALUE(LEFT($A420,4)),1,4),2)+1+(VALUE(MID($A420,7,2))-1)*7+MATCH($B420,lista_dias,0)-1)</f>
        <v/>
      </c>
      <c r="M420" s="3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3">
        <f>$A420&amp;"|"&amp;$B420&amp;"|"&amp;$C420</f>
        <v/>
      </c>
      <c r="O420" s="3">
        <f>IFERROR(INDEX('CAT_TURNOS'!$C$4:$C$7,MATCH($J420,'CAT_TURNOS'!$A$4:$A$7,0)),"")</f>
        <v/>
      </c>
      <c r="P420" s="3">
        <f>IFERROR(INDEX('CAT_TURNOS'!$D$4:$D$7,MATCH($J420,'CAT_TURNOS'!$A$4:$A$7,0)),"")</f>
        <v/>
      </c>
      <c r="Q420" s="3">
        <f>IF(AND(LEFT($G420,1)="T",$H420="no"),"sí","no")</f>
        <v/>
      </c>
    </row>
    <row r="421">
      <c r="A421" s="3" t="inlineStr">
        <is>
          <t>2026-S32</t>
        </is>
      </c>
      <c r="B421" s="3" t="inlineStr">
        <is>
          <t>viernes</t>
        </is>
      </c>
      <c r="C421" s="3" t="inlineStr">
        <is>
          <t>Técnico 12</t>
        </is>
      </c>
      <c r="D421" s="3">
        <f>IFERROR(INDEX('TECNICOS'!$D$4:$D$19,MATCH($C421,'TECNICOS'!$B$4:$B$19,0)),"")</f>
        <v/>
      </c>
      <c r="E421" s="3">
        <f>IFERROR(INDEX('TECNICOS'!$C$4:$C$19,MATCH($C421,'TECNICOS'!$B$4:$B$19,0)),"")</f>
        <v/>
      </c>
      <c r="F421" s="3">
        <f>COUNTIFS('TECNICOS'!$F$4:$F$19,"SI",'TECNICOS'!$C$4:$C$19,$E421,'TECNICOS'!$D$4:$D$19,$D421)</f>
        <v/>
      </c>
      <c r="G421" s="3">
        <f>IF(OR($C421="",$A421="",$B421="domingo"),"",IF(IFERROR(INDEX('TECNICOS'!$F$4:$F$19,MATCH($C421,'TECNICOS'!$B$4:$B$19,0)),"NO")&lt;&gt;"SI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3">
        <f>IF(COUNTIFS('PLAN_VACACIONES'!$A$4:$A$103,$C421,'PLAN_VACACIONES'!$B$4:$B$103,"&lt;="&amp;$L421,'PLAN_VACACIONES'!$C$4:$C$103,"&gt;="&amp;$L421)&gt;0,"sí","no")</f>
        <v/>
      </c>
      <c r="I421" s="6" t="n"/>
      <c r="J421" s="3">
        <f>IF($I421&lt;&gt;"",$I421,IF($G421="","",IF($H421="sí","VAC",IF(LEFT($G421,1)="B","B",$G421))))</f>
        <v/>
      </c>
      <c r="K421" s="3">
        <f>IFERROR(INDEX('TECNICOS'!$E$4:$E$19,MATCH($C421,'TECNICOS'!$B$4:$B$19,0)),"")</f>
        <v/>
      </c>
      <c r="L421" s="12">
        <f>IF($A421="","",DATE(VALUE(LEFT($A421,4)),1,4)-WEEKDAY(DATE(VALUE(LEFT($A421,4)),1,4),2)+1+(VALUE(MID($A421,7,2))-1)*7+MATCH($B421,lista_dias,0)-1)</f>
        <v/>
      </c>
      <c r="M421" s="3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3">
        <f>$A421&amp;"|"&amp;$B421&amp;"|"&amp;$C421</f>
        <v/>
      </c>
      <c r="O421" s="3">
        <f>IFERROR(INDEX('CAT_TURNOS'!$C$4:$C$7,MATCH($J421,'CAT_TURNOS'!$A$4:$A$7,0)),"")</f>
        <v/>
      </c>
      <c r="P421" s="3">
        <f>IFERROR(INDEX('CAT_TURNOS'!$D$4:$D$7,MATCH($J421,'CAT_TURNOS'!$A$4:$A$7,0)),"")</f>
        <v/>
      </c>
      <c r="Q421" s="3">
        <f>IF(AND(LEFT($G421,1)="T",$H421="no"),"sí","no")</f>
        <v/>
      </c>
    </row>
    <row r="422">
      <c r="A422" s="3" t="inlineStr">
        <is>
          <t>2026-S32</t>
        </is>
      </c>
      <c r="B422" s="3" t="inlineStr">
        <is>
          <t>sábado</t>
        </is>
      </c>
      <c r="C422" s="3" t="inlineStr">
        <is>
          <t>Técnico 12</t>
        </is>
      </c>
      <c r="D422" s="3">
        <f>IFERROR(INDEX('TECNICOS'!$D$4:$D$19,MATCH($C422,'TECNICOS'!$B$4:$B$19,0)),"")</f>
        <v/>
      </c>
      <c r="E422" s="3">
        <f>IFERROR(INDEX('TECNICOS'!$C$4:$C$19,MATCH($C422,'TECNICOS'!$B$4:$B$19,0)),"")</f>
        <v/>
      </c>
      <c r="F422" s="3">
        <f>COUNTIFS('TECNICOS'!$F$4:$F$19,"SI",'TECNICOS'!$C$4:$C$19,$E422,'TECNICOS'!$D$4:$D$19,$D422)</f>
        <v/>
      </c>
      <c r="G422" s="3">
        <f>IF(OR($C422="",$A422="",$B422="domingo"),"",IF(IFERROR(INDEX('TECNICOS'!$F$4:$F$19,MATCH($C422,'TECNICOS'!$B$4:$B$19,0)),"NO")&lt;&gt;"SI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3">
        <f>IF(COUNTIFS('PLAN_VACACIONES'!$A$4:$A$103,$C422,'PLAN_VACACIONES'!$B$4:$B$103,"&lt;="&amp;$L422,'PLAN_VACACIONES'!$C$4:$C$103,"&gt;="&amp;$L422)&gt;0,"sí","no")</f>
        <v/>
      </c>
      <c r="I422" s="6" t="n"/>
      <c r="J422" s="3">
        <f>IF($I422&lt;&gt;"",$I422,IF($G422="","",IF($H422="sí","VAC",IF(LEFT($G422,1)="B","B",$G422))))</f>
        <v/>
      </c>
      <c r="K422" s="3">
        <f>IFERROR(INDEX('TECNICOS'!$E$4:$E$19,MATCH($C422,'TECNICOS'!$B$4:$B$19,0)),"")</f>
        <v/>
      </c>
      <c r="L422" s="12">
        <f>IF($A422="","",DATE(VALUE(LEFT($A422,4)),1,4)-WEEKDAY(DATE(VALUE(LEFT($A422,4)),1,4),2)+1+(VALUE(MID($A422,7,2))-1)*7+MATCH($B422,lista_dias,0)-1)</f>
        <v/>
      </c>
      <c r="M422" s="3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3">
        <f>$A422&amp;"|"&amp;$B422&amp;"|"&amp;$C422</f>
        <v/>
      </c>
      <c r="O422" s="3">
        <f>IFERROR(INDEX('CAT_TURNOS'!$C$4:$C$7,MATCH($J422,'CAT_TURNOS'!$A$4:$A$7,0)),"")</f>
        <v/>
      </c>
      <c r="P422" s="3">
        <f>IFERROR(INDEX('CAT_TURNOS'!$D$4:$D$7,MATCH($J422,'CAT_TURNOS'!$A$4:$A$7,0)),"")</f>
        <v/>
      </c>
      <c r="Q422" s="3">
        <f>IF(AND(LEFT($G422,1)="T",$H422="no"),"sí","no")</f>
        <v/>
      </c>
    </row>
    <row r="423">
      <c r="A423" s="3" t="inlineStr">
        <is>
          <t>2026-S32</t>
        </is>
      </c>
      <c r="B423" s="3" t="inlineStr">
        <is>
          <t>domingo</t>
        </is>
      </c>
      <c r="C423" s="3" t="inlineStr">
        <is>
          <t>Técnico 12</t>
        </is>
      </c>
      <c r="D423" s="3">
        <f>IFERROR(INDEX('TECNICOS'!$D$4:$D$19,MATCH($C423,'TECNICOS'!$B$4:$B$19,0)),"")</f>
        <v/>
      </c>
      <c r="E423" s="3">
        <f>IFERROR(INDEX('TECNICOS'!$C$4:$C$19,MATCH($C423,'TECNICOS'!$B$4:$B$19,0)),"")</f>
        <v/>
      </c>
      <c r="F423" s="3">
        <f>COUNTIFS('TECNICOS'!$F$4:$F$19,"SI",'TECNICOS'!$C$4:$C$19,$E423,'TECNICOS'!$D$4:$D$19,$D423)</f>
        <v/>
      </c>
      <c r="G423" s="3">
        <f>IF(OR($C423="",$A423="",$B423="domingo"),"",IF(IFERROR(INDEX('TECNICOS'!$F$4:$F$19,MATCH($C423,'TECNICOS'!$B$4:$B$19,0)),"NO")&lt;&gt;"SI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3">
        <f>IF(COUNTIFS('PLAN_VACACIONES'!$A$4:$A$103,$C423,'PLAN_VACACIONES'!$B$4:$B$103,"&lt;="&amp;$L423,'PLAN_VACACIONES'!$C$4:$C$103,"&gt;="&amp;$L423)&gt;0,"sí","no")</f>
        <v/>
      </c>
      <c r="I423" s="6" t="n"/>
      <c r="J423" s="3">
        <f>IF($I423&lt;&gt;"",$I423,IF($G423="","",IF($H423="sí","VAC",IF(LEFT($G423,1)="B","B",$G423))))</f>
        <v/>
      </c>
      <c r="K423" s="3">
        <f>IFERROR(INDEX('TECNICOS'!$E$4:$E$19,MATCH($C423,'TECNICOS'!$B$4:$B$19,0)),"")</f>
        <v/>
      </c>
      <c r="L423" s="12">
        <f>IF($A423="","",DATE(VALUE(LEFT($A423,4)),1,4)-WEEKDAY(DATE(VALUE(LEFT($A423,4)),1,4),2)+1+(VALUE(MID($A423,7,2))-1)*7+MATCH($B423,lista_dias,0)-1)</f>
        <v/>
      </c>
      <c r="M423" s="3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3">
        <f>$A423&amp;"|"&amp;$B423&amp;"|"&amp;$C423</f>
        <v/>
      </c>
      <c r="O423" s="3">
        <f>IFERROR(INDEX('CAT_TURNOS'!$C$4:$C$7,MATCH($J423,'CAT_TURNOS'!$A$4:$A$7,0)),"")</f>
        <v/>
      </c>
      <c r="P423" s="3">
        <f>IFERROR(INDEX('CAT_TURNOS'!$D$4:$D$7,MATCH($J423,'CAT_TURNOS'!$A$4:$A$7,0)),"")</f>
        <v/>
      </c>
      <c r="Q423" s="3">
        <f>IF(AND(LEFT($G423,1)="T",$H423="no"),"sí","no")</f>
        <v/>
      </c>
    </row>
    <row r="424">
      <c r="A424" s="3" t="inlineStr">
        <is>
          <t>2026-S32</t>
        </is>
      </c>
      <c r="B424" s="3" t="inlineStr">
        <is>
          <t>lunes</t>
        </is>
      </c>
      <c r="C424" s="3" t="inlineStr">
        <is>
          <t>Técnico 13</t>
        </is>
      </c>
      <c r="D424" s="3">
        <f>IFERROR(INDEX('TECNICOS'!$D$4:$D$19,MATCH($C424,'TECNICOS'!$B$4:$B$19,0)),"")</f>
        <v/>
      </c>
      <c r="E424" s="3">
        <f>IFERROR(INDEX('TECNICOS'!$C$4:$C$19,MATCH($C424,'TECNICOS'!$B$4:$B$19,0)),"")</f>
        <v/>
      </c>
      <c r="F424" s="3">
        <f>COUNTIFS('TECNICOS'!$F$4:$F$19,"SI",'TECNICOS'!$C$4:$C$19,$E424,'TECNICOS'!$D$4:$D$19,$D424)</f>
        <v/>
      </c>
      <c r="G424" s="3">
        <f>IF(OR($C424="",$A424="",$B424="domingo"),"",IF(IFERROR(INDEX('TECNICOS'!$F$4:$F$19,MATCH($C424,'TECNICOS'!$B$4:$B$19,0)),"NO")&lt;&gt;"SI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3">
        <f>IF(COUNTIFS('PLAN_VACACIONES'!$A$4:$A$103,$C424,'PLAN_VACACIONES'!$B$4:$B$103,"&lt;="&amp;$L424,'PLAN_VACACIONES'!$C$4:$C$103,"&gt;="&amp;$L424)&gt;0,"sí","no")</f>
        <v/>
      </c>
      <c r="I424" s="6" t="n"/>
      <c r="J424" s="3">
        <f>IF($I424&lt;&gt;"",$I424,IF($G424="","",IF($H424="sí","VAC",IF(LEFT($G424,1)="B","B",$G424))))</f>
        <v/>
      </c>
      <c r="K424" s="3">
        <f>IFERROR(INDEX('TECNICOS'!$E$4:$E$19,MATCH($C424,'TECNICOS'!$B$4:$B$19,0)),"")</f>
        <v/>
      </c>
      <c r="L424" s="12">
        <f>IF($A424="","",DATE(VALUE(LEFT($A424,4)),1,4)-WEEKDAY(DATE(VALUE(LEFT($A424,4)),1,4),2)+1+(VALUE(MID($A424,7,2))-1)*7+MATCH($B424,lista_dias,0)-1)</f>
        <v/>
      </c>
      <c r="M424" s="3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3">
        <f>$A424&amp;"|"&amp;$B424&amp;"|"&amp;$C424</f>
        <v/>
      </c>
      <c r="O424" s="3">
        <f>IFERROR(INDEX('CAT_TURNOS'!$C$4:$C$7,MATCH($J424,'CAT_TURNOS'!$A$4:$A$7,0)),"")</f>
        <v/>
      </c>
      <c r="P424" s="3">
        <f>IFERROR(INDEX('CAT_TURNOS'!$D$4:$D$7,MATCH($J424,'CAT_TURNOS'!$A$4:$A$7,0)),"")</f>
        <v/>
      </c>
      <c r="Q424" s="3">
        <f>IF(AND(LEFT($G424,1)="T",$H424="no"),"sí","no")</f>
        <v/>
      </c>
    </row>
    <row r="425">
      <c r="A425" s="3" t="inlineStr">
        <is>
          <t>2026-S32</t>
        </is>
      </c>
      <c r="B425" s="3" t="inlineStr">
        <is>
          <t>martes</t>
        </is>
      </c>
      <c r="C425" s="3" t="inlineStr">
        <is>
          <t>Técnico 13</t>
        </is>
      </c>
      <c r="D425" s="3">
        <f>IFERROR(INDEX('TECNICOS'!$D$4:$D$19,MATCH($C425,'TECNICOS'!$B$4:$B$19,0)),"")</f>
        <v/>
      </c>
      <c r="E425" s="3">
        <f>IFERROR(INDEX('TECNICOS'!$C$4:$C$19,MATCH($C425,'TECNICOS'!$B$4:$B$19,0)),"")</f>
        <v/>
      </c>
      <c r="F425" s="3">
        <f>COUNTIFS('TECNICOS'!$F$4:$F$19,"SI",'TECNICOS'!$C$4:$C$19,$E425,'TECNICOS'!$D$4:$D$19,$D425)</f>
        <v/>
      </c>
      <c r="G425" s="3">
        <f>IF(OR($C425="",$A425="",$B425="domingo"),"",IF(IFERROR(INDEX('TECNICOS'!$F$4:$F$19,MATCH($C425,'TECNICOS'!$B$4:$B$19,0)),"NO")&lt;&gt;"SI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3">
        <f>IF(COUNTIFS('PLAN_VACACIONES'!$A$4:$A$103,$C425,'PLAN_VACACIONES'!$B$4:$B$103,"&lt;="&amp;$L425,'PLAN_VACACIONES'!$C$4:$C$103,"&gt;="&amp;$L425)&gt;0,"sí","no")</f>
        <v/>
      </c>
      <c r="I425" s="6" t="n"/>
      <c r="J425" s="3">
        <f>IF($I425&lt;&gt;"",$I425,IF($G425="","",IF($H425="sí","VAC",IF(LEFT($G425,1)="B","B",$G425))))</f>
        <v/>
      </c>
      <c r="K425" s="3">
        <f>IFERROR(INDEX('TECNICOS'!$E$4:$E$19,MATCH($C425,'TECNICOS'!$B$4:$B$19,0)),"")</f>
        <v/>
      </c>
      <c r="L425" s="12">
        <f>IF($A425="","",DATE(VALUE(LEFT($A425,4)),1,4)-WEEKDAY(DATE(VALUE(LEFT($A425,4)),1,4),2)+1+(VALUE(MID($A425,7,2))-1)*7+MATCH($B425,lista_dias,0)-1)</f>
        <v/>
      </c>
      <c r="M425" s="3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3">
        <f>$A425&amp;"|"&amp;$B425&amp;"|"&amp;$C425</f>
        <v/>
      </c>
      <c r="O425" s="3">
        <f>IFERROR(INDEX('CAT_TURNOS'!$C$4:$C$7,MATCH($J425,'CAT_TURNOS'!$A$4:$A$7,0)),"")</f>
        <v/>
      </c>
      <c r="P425" s="3">
        <f>IFERROR(INDEX('CAT_TURNOS'!$D$4:$D$7,MATCH($J425,'CAT_TURNOS'!$A$4:$A$7,0)),"")</f>
        <v/>
      </c>
      <c r="Q425" s="3">
        <f>IF(AND(LEFT($G425,1)="T",$H425="no"),"sí","no")</f>
        <v/>
      </c>
    </row>
    <row r="426">
      <c r="A426" s="3" t="inlineStr">
        <is>
          <t>2026-S32</t>
        </is>
      </c>
      <c r="B426" s="3" t="inlineStr">
        <is>
          <t>miércoles</t>
        </is>
      </c>
      <c r="C426" s="3" t="inlineStr">
        <is>
          <t>Técnico 13</t>
        </is>
      </c>
      <c r="D426" s="3">
        <f>IFERROR(INDEX('TECNICOS'!$D$4:$D$19,MATCH($C426,'TECNICOS'!$B$4:$B$19,0)),"")</f>
        <v/>
      </c>
      <c r="E426" s="3">
        <f>IFERROR(INDEX('TECNICOS'!$C$4:$C$19,MATCH($C426,'TECNICOS'!$B$4:$B$19,0)),"")</f>
        <v/>
      </c>
      <c r="F426" s="3">
        <f>COUNTIFS('TECNICOS'!$F$4:$F$19,"SI",'TECNICOS'!$C$4:$C$19,$E426,'TECNICOS'!$D$4:$D$19,$D426)</f>
        <v/>
      </c>
      <c r="G426" s="3">
        <f>IF(OR($C426="",$A426="",$B426="domingo"),"",IF(IFERROR(INDEX('TECNICOS'!$F$4:$F$19,MATCH($C426,'TECNICOS'!$B$4:$B$19,0)),"NO")&lt;&gt;"SI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3">
        <f>IF(COUNTIFS('PLAN_VACACIONES'!$A$4:$A$103,$C426,'PLAN_VACACIONES'!$B$4:$B$103,"&lt;="&amp;$L426,'PLAN_VACACIONES'!$C$4:$C$103,"&gt;="&amp;$L426)&gt;0,"sí","no")</f>
        <v/>
      </c>
      <c r="I426" s="6" t="n"/>
      <c r="J426" s="3">
        <f>IF($I426&lt;&gt;"",$I426,IF($G426="","",IF($H426="sí","VAC",IF(LEFT($G426,1)="B","B",$G426))))</f>
        <v/>
      </c>
      <c r="K426" s="3">
        <f>IFERROR(INDEX('TECNICOS'!$E$4:$E$19,MATCH($C426,'TECNICOS'!$B$4:$B$19,0)),"")</f>
        <v/>
      </c>
      <c r="L426" s="12">
        <f>IF($A426="","",DATE(VALUE(LEFT($A426,4)),1,4)-WEEKDAY(DATE(VALUE(LEFT($A426,4)),1,4),2)+1+(VALUE(MID($A426,7,2))-1)*7+MATCH($B426,lista_dias,0)-1)</f>
        <v/>
      </c>
      <c r="M426" s="3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3">
        <f>$A426&amp;"|"&amp;$B426&amp;"|"&amp;$C426</f>
        <v/>
      </c>
      <c r="O426" s="3">
        <f>IFERROR(INDEX('CAT_TURNOS'!$C$4:$C$7,MATCH($J426,'CAT_TURNOS'!$A$4:$A$7,0)),"")</f>
        <v/>
      </c>
      <c r="P426" s="3">
        <f>IFERROR(INDEX('CAT_TURNOS'!$D$4:$D$7,MATCH($J426,'CAT_TURNOS'!$A$4:$A$7,0)),"")</f>
        <v/>
      </c>
      <c r="Q426" s="3">
        <f>IF(AND(LEFT($G426,1)="T",$H426="no"),"sí","no")</f>
        <v/>
      </c>
    </row>
    <row r="427">
      <c r="A427" s="3" t="inlineStr">
        <is>
          <t>2026-S32</t>
        </is>
      </c>
      <c r="B427" s="3" t="inlineStr">
        <is>
          <t>jueves</t>
        </is>
      </c>
      <c r="C427" s="3" t="inlineStr">
        <is>
          <t>Técnico 13</t>
        </is>
      </c>
      <c r="D427" s="3">
        <f>IFERROR(INDEX('TECNICOS'!$D$4:$D$19,MATCH($C427,'TECNICOS'!$B$4:$B$19,0)),"")</f>
        <v/>
      </c>
      <c r="E427" s="3">
        <f>IFERROR(INDEX('TECNICOS'!$C$4:$C$19,MATCH($C427,'TECNICOS'!$B$4:$B$19,0)),"")</f>
        <v/>
      </c>
      <c r="F427" s="3">
        <f>COUNTIFS('TECNICOS'!$F$4:$F$19,"SI",'TECNICOS'!$C$4:$C$19,$E427,'TECNICOS'!$D$4:$D$19,$D427)</f>
        <v/>
      </c>
      <c r="G427" s="3">
        <f>IF(OR($C427="",$A427="",$B427="domingo"),"",IF(IFERROR(INDEX('TECNICOS'!$F$4:$F$19,MATCH($C427,'TECNICOS'!$B$4:$B$19,0)),"NO")&lt;&gt;"SI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3">
        <f>IF(COUNTIFS('PLAN_VACACIONES'!$A$4:$A$103,$C427,'PLAN_VACACIONES'!$B$4:$B$103,"&lt;="&amp;$L427,'PLAN_VACACIONES'!$C$4:$C$103,"&gt;="&amp;$L427)&gt;0,"sí","no")</f>
        <v/>
      </c>
      <c r="I427" s="6" t="n"/>
      <c r="J427" s="3">
        <f>IF($I427&lt;&gt;"",$I427,IF($G427="","",IF($H427="sí","VAC",IF(LEFT($G427,1)="B","B",$G427))))</f>
        <v/>
      </c>
      <c r="K427" s="3">
        <f>IFERROR(INDEX('TECNICOS'!$E$4:$E$19,MATCH($C427,'TECNICOS'!$B$4:$B$19,0)),"")</f>
        <v/>
      </c>
      <c r="L427" s="12">
        <f>IF($A427="","",DATE(VALUE(LEFT($A427,4)),1,4)-WEEKDAY(DATE(VALUE(LEFT($A427,4)),1,4),2)+1+(VALUE(MID($A427,7,2))-1)*7+MATCH($B427,lista_dias,0)-1)</f>
        <v/>
      </c>
      <c r="M427" s="3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3">
        <f>$A427&amp;"|"&amp;$B427&amp;"|"&amp;$C427</f>
        <v/>
      </c>
      <c r="O427" s="3">
        <f>IFERROR(INDEX('CAT_TURNOS'!$C$4:$C$7,MATCH($J427,'CAT_TURNOS'!$A$4:$A$7,0)),"")</f>
        <v/>
      </c>
      <c r="P427" s="3">
        <f>IFERROR(INDEX('CAT_TURNOS'!$D$4:$D$7,MATCH($J427,'CAT_TURNOS'!$A$4:$A$7,0)),"")</f>
        <v/>
      </c>
      <c r="Q427" s="3">
        <f>IF(AND(LEFT($G427,1)="T",$H427="no"),"sí","no")</f>
        <v/>
      </c>
    </row>
    <row r="428">
      <c r="A428" s="3" t="inlineStr">
        <is>
          <t>2026-S32</t>
        </is>
      </c>
      <c r="B428" s="3" t="inlineStr">
        <is>
          <t>viernes</t>
        </is>
      </c>
      <c r="C428" s="3" t="inlineStr">
        <is>
          <t>Técnico 13</t>
        </is>
      </c>
      <c r="D428" s="3">
        <f>IFERROR(INDEX('TECNICOS'!$D$4:$D$19,MATCH($C428,'TECNICOS'!$B$4:$B$19,0)),"")</f>
        <v/>
      </c>
      <c r="E428" s="3">
        <f>IFERROR(INDEX('TECNICOS'!$C$4:$C$19,MATCH($C428,'TECNICOS'!$B$4:$B$19,0)),"")</f>
        <v/>
      </c>
      <c r="F428" s="3">
        <f>COUNTIFS('TECNICOS'!$F$4:$F$19,"SI",'TECNICOS'!$C$4:$C$19,$E428,'TECNICOS'!$D$4:$D$19,$D428)</f>
        <v/>
      </c>
      <c r="G428" s="3">
        <f>IF(OR($C428="",$A428="",$B428="domingo"),"",IF(IFERROR(INDEX('TECNICOS'!$F$4:$F$19,MATCH($C428,'TECNICOS'!$B$4:$B$19,0)),"NO")&lt;&gt;"SI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3">
        <f>IF(COUNTIFS('PLAN_VACACIONES'!$A$4:$A$103,$C428,'PLAN_VACACIONES'!$B$4:$B$103,"&lt;="&amp;$L428,'PLAN_VACACIONES'!$C$4:$C$103,"&gt;="&amp;$L428)&gt;0,"sí","no")</f>
        <v/>
      </c>
      <c r="I428" s="6" t="n"/>
      <c r="J428" s="3">
        <f>IF($I428&lt;&gt;"",$I428,IF($G428="","",IF($H428="sí","VAC",IF(LEFT($G428,1)="B","B",$G428))))</f>
        <v/>
      </c>
      <c r="K428" s="3">
        <f>IFERROR(INDEX('TECNICOS'!$E$4:$E$19,MATCH($C428,'TECNICOS'!$B$4:$B$19,0)),"")</f>
        <v/>
      </c>
      <c r="L428" s="12">
        <f>IF($A428="","",DATE(VALUE(LEFT($A428,4)),1,4)-WEEKDAY(DATE(VALUE(LEFT($A428,4)),1,4),2)+1+(VALUE(MID($A428,7,2))-1)*7+MATCH($B428,lista_dias,0)-1)</f>
        <v/>
      </c>
      <c r="M428" s="3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3">
        <f>$A428&amp;"|"&amp;$B428&amp;"|"&amp;$C428</f>
        <v/>
      </c>
      <c r="O428" s="3">
        <f>IFERROR(INDEX('CAT_TURNOS'!$C$4:$C$7,MATCH($J428,'CAT_TURNOS'!$A$4:$A$7,0)),"")</f>
        <v/>
      </c>
      <c r="P428" s="3">
        <f>IFERROR(INDEX('CAT_TURNOS'!$D$4:$D$7,MATCH($J428,'CAT_TURNOS'!$A$4:$A$7,0)),"")</f>
        <v/>
      </c>
      <c r="Q428" s="3">
        <f>IF(AND(LEFT($G428,1)="T",$H428="no"),"sí","no")</f>
        <v/>
      </c>
    </row>
    <row r="429">
      <c r="A429" s="3" t="inlineStr">
        <is>
          <t>2026-S32</t>
        </is>
      </c>
      <c r="B429" s="3" t="inlineStr">
        <is>
          <t>sábado</t>
        </is>
      </c>
      <c r="C429" s="3" t="inlineStr">
        <is>
          <t>Técnico 13</t>
        </is>
      </c>
      <c r="D429" s="3">
        <f>IFERROR(INDEX('TECNICOS'!$D$4:$D$19,MATCH($C429,'TECNICOS'!$B$4:$B$19,0)),"")</f>
        <v/>
      </c>
      <c r="E429" s="3">
        <f>IFERROR(INDEX('TECNICOS'!$C$4:$C$19,MATCH($C429,'TECNICOS'!$B$4:$B$19,0)),"")</f>
        <v/>
      </c>
      <c r="F429" s="3">
        <f>COUNTIFS('TECNICOS'!$F$4:$F$19,"SI",'TECNICOS'!$C$4:$C$19,$E429,'TECNICOS'!$D$4:$D$19,$D429)</f>
        <v/>
      </c>
      <c r="G429" s="3">
        <f>IF(OR($C429="",$A429="",$B429="domingo"),"",IF(IFERROR(INDEX('TECNICOS'!$F$4:$F$19,MATCH($C429,'TECNICOS'!$B$4:$B$19,0)),"NO")&lt;&gt;"SI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3">
        <f>IF(COUNTIFS('PLAN_VACACIONES'!$A$4:$A$103,$C429,'PLAN_VACACIONES'!$B$4:$B$103,"&lt;="&amp;$L429,'PLAN_VACACIONES'!$C$4:$C$103,"&gt;="&amp;$L429)&gt;0,"sí","no")</f>
        <v/>
      </c>
      <c r="I429" s="6" t="n"/>
      <c r="J429" s="3">
        <f>IF($I429&lt;&gt;"",$I429,IF($G429="","",IF($H429="sí","VAC",IF(LEFT($G429,1)="B","B",$G429))))</f>
        <v/>
      </c>
      <c r="K429" s="3">
        <f>IFERROR(INDEX('TECNICOS'!$E$4:$E$19,MATCH($C429,'TECNICOS'!$B$4:$B$19,0)),"")</f>
        <v/>
      </c>
      <c r="L429" s="12">
        <f>IF($A429="","",DATE(VALUE(LEFT($A429,4)),1,4)-WEEKDAY(DATE(VALUE(LEFT($A429,4)),1,4),2)+1+(VALUE(MID($A429,7,2))-1)*7+MATCH($B429,lista_dias,0)-1)</f>
        <v/>
      </c>
      <c r="M429" s="3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3">
        <f>$A429&amp;"|"&amp;$B429&amp;"|"&amp;$C429</f>
        <v/>
      </c>
      <c r="O429" s="3">
        <f>IFERROR(INDEX('CAT_TURNOS'!$C$4:$C$7,MATCH($J429,'CAT_TURNOS'!$A$4:$A$7,0)),"")</f>
        <v/>
      </c>
      <c r="P429" s="3">
        <f>IFERROR(INDEX('CAT_TURNOS'!$D$4:$D$7,MATCH($J429,'CAT_TURNOS'!$A$4:$A$7,0)),"")</f>
        <v/>
      </c>
      <c r="Q429" s="3">
        <f>IF(AND(LEFT($G429,1)="T",$H429="no"),"sí","no")</f>
        <v/>
      </c>
    </row>
    <row r="430">
      <c r="A430" s="3" t="inlineStr">
        <is>
          <t>2026-S32</t>
        </is>
      </c>
      <c r="B430" s="3" t="inlineStr">
        <is>
          <t>domingo</t>
        </is>
      </c>
      <c r="C430" s="3" t="inlineStr">
        <is>
          <t>Técnico 13</t>
        </is>
      </c>
      <c r="D430" s="3">
        <f>IFERROR(INDEX('TECNICOS'!$D$4:$D$19,MATCH($C430,'TECNICOS'!$B$4:$B$19,0)),"")</f>
        <v/>
      </c>
      <c r="E430" s="3">
        <f>IFERROR(INDEX('TECNICOS'!$C$4:$C$19,MATCH($C430,'TECNICOS'!$B$4:$B$19,0)),"")</f>
        <v/>
      </c>
      <c r="F430" s="3">
        <f>COUNTIFS('TECNICOS'!$F$4:$F$19,"SI",'TECNICOS'!$C$4:$C$19,$E430,'TECNICOS'!$D$4:$D$19,$D430)</f>
        <v/>
      </c>
      <c r="G430" s="3">
        <f>IF(OR($C430="",$A430="",$B430="domingo"),"",IF(IFERROR(INDEX('TECNICOS'!$F$4:$F$19,MATCH($C430,'TECNICOS'!$B$4:$B$19,0)),"NO")&lt;&gt;"SI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3">
        <f>IF(COUNTIFS('PLAN_VACACIONES'!$A$4:$A$103,$C430,'PLAN_VACACIONES'!$B$4:$B$103,"&lt;="&amp;$L430,'PLAN_VACACIONES'!$C$4:$C$103,"&gt;="&amp;$L430)&gt;0,"sí","no")</f>
        <v/>
      </c>
      <c r="I430" s="6" t="n"/>
      <c r="J430" s="3">
        <f>IF($I430&lt;&gt;"",$I430,IF($G430="","",IF($H430="sí","VAC",IF(LEFT($G430,1)="B","B",$G430))))</f>
        <v/>
      </c>
      <c r="K430" s="3">
        <f>IFERROR(INDEX('TECNICOS'!$E$4:$E$19,MATCH($C430,'TECNICOS'!$B$4:$B$19,0)),"")</f>
        <v/>
      </c>
      <c r="L430" s="12">
        <f>IF($A430="","",DATE(VALUE(LEFT($A430,4)),1,4)-WEEKDAY(DATE(VALUE(LEFT($A430,4)),1,4),2)+1+(VALUE(MID($A430,7,2))-1)*7+MATCH($B430,lista_dias,0)-1)</f>
        <v/>
      </c>
      <c r="M430" s="3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3">
        <f>$A430&amp;"|"&amp;$B430&amp;"|"&amp;$C430</f>
        <v/>
      </c>
      <c r="O430" s="3">
        <f>IFERROR(INDEX('CAT_TURNOS'!$C$4:$C$7,MATCH($J430,'CAT_TURNOS'!$A$4:$A$7,0)),"")</f>
        <v/>
      </c>
      <c r="P430" s="3">
        <f>IFERROR(INDEX('CAT_TURNOS'!$D$4:$D$7,MATCH($J430,'CAT_TURNOS'!$A$4:$A$7,0)),"")</f>
        <v/>
      </c>
      <c r="Q430" s="3">
        <f>IF(AND(LEFT($G430,1)="T",$H430="no"),"sí","no")</f>
        <v/>
      </c>
    </row>
    <row r="431">
      <c r="A431" s="3" t="inlineStr">
        <is>
          <t>2026-S32</t>
        </is>
      </c>
      <c r="B431" s="3" t="inlineStr">
        <is>
          <t>lunes</t>
        </is>
      </c>
      <c r="C431" s="3" t="inlineStr">
        <is>
          <t>Técnico 14</t>
        </is>
      </c>
      <c r="D431" s="3">
        <f>IFERROR(INDEX('TECNICOS'!$D$4:$D$19,MATCH($C431,'TECNICOS'!$B$4:$B$19,0)),"")</f>
        <v/>
      </c>
      <c r="E431" s="3">
        <f>IFERROR(INDEX('TECNICOS'!$C$4:$C$19,MATCH($C431,'TECNICOS'!$B$4:$B$19,0)),"")</f>
        <v/>
      </c>
      <c r="F431" s="3">
        <f>COUNTIFS('TECNICOS'!$F$4:$F$19,"SI",'TECNICOS'!$C$4:$C$19,$E431,'TECNICOS'!$D$4:$D$19,$D431)</f>
        <v/>
      </c>
      <c r="G431" s="3">
        <f>IF(OR($C431="",$A431="",$B431="domingo"),"",IF(IFERROR(INDEX('TECNICOS'!$F$4:$F$19,MATCH($C431,'TECNICOS'!$B$4:$B$19,0)),"NO")&lt;&gt;"SI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3">
        <f>IF(COUNTIFS('PLAN_VACACIONES'!$A$4:$A$103,$C431,'PLAN_VACACIONES'!$B$4:$B$103,"&lt;="&amp;$L431,'PLAN_VACACIONES'!$C$4:$C$103,"&gt;="&amp;$L431)&gt;0,"sí","no")</f>
        <v/>
      </c>
      <c r="I431" s="6" t="n"/>
      <c r="J431" s="3">
        <f>IF($I431&lt;&gt;"",$I431,IF($G431="","",IF($H431="sí","VAC",IF(LEFT($G431,1)="B","B",$G431))))</f>
        <v/>
      </c>
      <c r="K431" s="3">
        <f>IFERROR(INDEX('TECNICOS'!$E$4:$E$19,MATCH($C431,'TECNICOS'!$B$4:$B$19,0)),"")</f>
        <v/>
      </c>
      <c r="L431" s="12">
        <f>IF($A431="","",DATE(VALUE(LEFT($A431,4)),1,4)-WEEKDAY(DATE(VALUE(LEFT($A431,4)),1,4),2)+1+(VALUE(MID($A431,7,2))-1)*7+MATCH($B431,lista_dias,0)-1)</f>
        <v/>
      </c>
      <c r="M431" s="3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3">
        <f>$A431&amp;"|"&amp;$B431&amp;"|"&amp;$C431</f>
        <v/>
      </c>
      <c r="O431" s="3">
        <f>IFERROR(INDEX('CAT_TURNOS'!$C$4:$C$7,MATCH($J431,'CAT_TURNOS'!$A$4:$A$7,0)),"")</f>
        <v/>
      </c>
      <c r="P431" s="3">
        <f>IFERROR(INDEX('CAT_TURNOS'!$D$4:$D$7,MATCH($J431,'CAT_TURNOS'!$A$4:$A$7,0)),"")</f>
        <v/>
      </c>
      <c r="Q431" s="3">
        <f>IF(AND(LEFT($G431,1)="T",$H431="no"),"sí","no")</f>
        <v/>
      </c>
    </row>
    <row r="432">
      <c r="A432" s="3" t="inlineStr">
        <is>
          <t>2026-S32</t>
        </is>
      </c>
      <c r="B432" s="3" t="inlineStr">
        <is>
          <t>martes</t>
        </is>
      </c>
      <c r="C432" s="3" t="inlineStr">
        <is>
          <t>Técnico 14</t>
        </is>
      </c>
      <c r="D432" s="3">
        <f>IFERROR(INDEX('TECNICOS'!$D$4:$D$19,MATCH($C432,'TECNICOS'!$B$4:$B$19,0)),"")</f>
        <v/>
      </c>
      <c r="E432" s="3">
        <f>IFERROR(INDEX('TECNICOS'!$C$4:$C$19,MATCH($C432,'TECNICOS'!$B$4:$B$19,0)),"")</f>
        <v/>
      </c>
      <c r="F432" s="3">
        <f>COUNTIFS('TECNICOS'!$F$4:$F$19,"SI",'TECNICOS'!$C$4:$C$19,$E432,'TECNICOS'!$D$4:$D$19,$D432)</f>
        <v/>
      </c>
      <c r="G432" s="3">
        <f>IF(OR($C432="",$A432="",$B432="domingo"),"",IF(IFERROR(INDEX('TECNICOS'!$F$4:$F$19,MATCH($C432,'TECNICOS'!$B$4:$B$19,0)),"NO")&lt;&gt;"SI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3">
        <f>IF(COUNTIFS('PLAN_VACACIONES'!$A$4:$A$103,$C432,'PLAN_VACACIONES'!$B$4:$B$103,"&lt;="&amp;$L432,'PLAN_VACACIONES'!$C$4:$C$103,"&gt;="&amp;$L432)&gt;0,"sí","no")</f>
        <v/>
      </c>
      <c r="I432" s="6" t="n"/>
      <c r="J432" s="3">
        <f>IF($I432&lt;&gt;"",$I432,IF($G432="","",IF($H432="sí","VAC",IF(LEFT($G432,1)="B","B",$G432))))</f>
        <v/>
      </c>
      <c r="K432" s="3">
        <f>IFERROR(INDEX('TECNICOS'!$E$4:$E$19,MATCH($C432,'TECNICOS'!$B$4:$B$19,0)),"")</f>
        <v/>
      </c>
      <c r="L432" s="12">
        <f>IF($A432="","",DATE(VALUE(LEFT($A432,4)),1,4)-WEEKDAY(DATE(VALUE(LEFT($A432,4)),1,4),2)+1+(VALUE(MID($A432,7,2))-1)*7+MATCH($B432,lista_dias,0)-1)</f>
        <v/>
      </c>
      <c r="M432" s="3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3">
        <f>$A432&amp;"|"&amp;$B432&amp;"|"&amp;$C432</f>
        <v/>
      </c>
      <c r="O432" s="3">
        <f>IFERROR(INDEX('CAT_TURNOS'!$C$4:$C$7,MATCH($J432,'CAT_TURNOS'!$A$4:$A$7,0)),"")</f>
        <v/>
      </c>
      <c r="P432" s="3">
        <f>IFERROR(INDEX('CAT_TURNOS'!$D$4:$D$7,MATCH($J432,'CAT_TURNOS'!$A$4:$A$7,0)),"")</f>
        <v/>
      </c>
      <c r="Q432" s="3">
        <f>IF(AND(LEFT($G432,1)="T",$H432="no"),"sí","no")</f>
        <v/>
      </c>
    </row>
    <row r="433">
      <c r="A433" s="3" t="inlineStr">
        <is>
          <t>2026-S32</t>
        </is>
      </c>
      <c r="B433" s="3" t="inlineStr">
        <is>
          <t>miércoles</t>
        </is>
      </c>
      <c r="C433" s="3" t="inlineStr">
        <is>
          <t>Técnico 14</t>
        </is>
      </c>
      <c r="D433" s="3">
        <f>IFERROR(INDEX('TECNICOS'!$D$4:$D$19,MATCH($C433,'TECNICOS'!$B$4:$B$19,0)),"")</f>
        <v/>
      </c>
      <c r="E433" s="3">
        <f>IFERROR(INDEX('TECNICOS'!$C$4:$C$19,MATCH($C433,'TECNICOS'!$B$4:$B$19,0)),"")</f>
        <v/>
      </c>
      <c r="F433" s="3">
        <f>COUNTIFS('TECNICOS'!$F$4:$F$19,"SI",'TECNICOS'!$C$4:$C$19,$E433,'TECNICOS'!$D$4:$D$19,$D433)</f>
        <v/>
      </c>
      <c r="G433" s="3">
        <f>IF(OR($C433="",$A433="",$B433="domingo"),"",IF(IFERROR(INDEX('TECNICOS'!$F$4:$F$19,MATCH($C433,'TECNICOS'!$B$4:$B$19,0)),"NO")&lt;&gt;"SI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3">
        <f>IF(COUNTIFS('PLAN_VACACIONES'!$A$4:$A$103,$C433,'PLAN_VACACIONES'!$B$4:$B$103,"&lt;="&amp;$L433,'PLAN_VACACIONES'!$C$4:$C$103,"&gt;="&amp;$L433)&gt;0,"sí","no")</f>
        <v/>
      </c>
      <c r="I433" s="6" t="n"/>
      <c r="J433" s="3">
        <f>IF($I433&lt;&gt;"",$I433,IF($G433="","",IF($H433="sí","VAC",IF(LEFT($G433,1)="B","B",$G433))))</f>
        <v/>
      </c>
      <c r="K433" s="3">
        <f>IFERROR(INDEX('TECNICOS'!$E$4:$E$19,MATCH($C433,'TECNICOS'!$B$4:$B$19,0)),"")</f>
        <v/>
      </c>
      <c r="L433" s="12">
        <f>IF($A433="","",DATE(VALUE(LEFT($A433,4)),1,4)-WEEKDAY(DATE(VALUE(LEFT($A433,4)),1,4),2)+1+(VALUE(MID($A433,7,2))-1)*7+MATCH($B433,lista_dias,0)-1)</f>
        <v/>
      </c>
      <c r="M433" s="3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3">
        <f>$A433&amp;"|"&amp;$B433&amp;"|"&amp;$C433</f>
        <v/>
      </c>
      <c r="O433" s="3">
        <f>IFERROR(INDEX('CAT_TURNOS'!$C$4:$C$7,MATCH($J433,'CAT_TURNOS'!$A$4:$A$7,0)),"")</f>
        <v/>
      </c>
      <c r="P433" s="3">
        <f>IFERROR(INDEX('CAT_TURNOS'!$D$4:$D$7,MATCH($J433,'CAT_TURNOS'!$A$4:$A$7,0)),"")</f>
        <v/>
      </c>
      <c r="Q433" s="3">
        <f>IF(AND(LEFT($G433,1)="T",$H433="no"),"sí","no")</f>
        <v/>
      </c>
    </row>
    <row r="434">
      <c r="A434" s="3" t="inlineStr">
        <is>
          <t>2026-S32</t>
        </is>
      </c>
      <c r="B434" s="3" t="inlineStr">
        <is>
          <t>jueves</t>
        </is>
      </c>
      <c r="C434" s="3" t="inlineStr">
        <is>
          <t>Técnico 14</t>
        </is>
      </c>
      <c r="D434" s="3">
        <f>IFERROR(INDEX('TECNICOS'!$D$4:$D$19,MATCH($C434,'TECNICOS'!$B$4:$B$19,0)),"")</f>
        <v/>
      </c>
      <c r="E434" s="3">
        <f>IFERROR(INDEX('TECNICOS'!$C$4:$C$19,MATCH($C434,'TECNICOS'!$B$4:$B$19,0)),"")</f>
        <v/>
      </c>
      <c r="F434" s="3">
        <f>COUNTIFS('TECNICOS'!$F$4:$F$19,"SI",'TECNICOS'!$C$4:$C$19,$E434,'TECNICOS'!$D$4:$D$19,$D434)</f>
        <v/>
      </c>
      <c r="G434" s="3">
        <f>IF(OR($C434="",$A434="",$B434="domingo"),"",IF(IFERROR(INDEX('TECNICOS'!$F$4:$F$19,MATCH($C434,'TECNICOS'!$B$4:$B$19,0)),"NO")&lt;&gt;"SI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3">
        <f>IF(COUNTIFS('PLAN_VACACIONES'!$A$4:$A$103,$C434,'PLAN_VACACIONES'!$B$4:$B$103,"&lt;="&amp;$L434,'PLAN_VACACIONES'!$C$4:$C$103,"&gt;="&amp;$L434)&gt;0,"sí","no")</f>
        <v/>
      </c>
      <c r="I434" s="6" t="n"/>
      <c r="J434" s="3">
        <f>IF($I434&lt;&gt;"",$I434,IF($G434="","",IF($H434="sí","VAC",IF(LEFT($G434,1)="B","B",$G434))))</f>
        <v/>
      </c>
      <c r="K434" s="3">
        <f>IFERROR(INDEX('TECNICOS'!$E$4:$E$19,MATCH($C434,'TECNICOS'!$B$4:$B$19,0)),"")</f>
        <v/>
      </c>
      <c r="L434" s="12">
        <f>IF($A434="","",DATE(VALUE(LEFT($A434,4)),1,4)-WEEKDAY(DATE(VALUE(LEFT($A434,4)),1,4),2)+1+(VALUE(MID($A434,7,2))-1)*7+MATCH($B434,lista_dias,0)-1)</f>
        <v/>
      </c>
      <c r="M434" s="3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3">
        <f>$A434&amp;"|"&amp;$B434&amp;"|"&amp;$C434</f>
        <v/>
      </c>
      <c r="O434" s="3">
        <f>IFERROR(INDEX('CAT_TURNOS'!$C$4:$C$7,MATCH($J434,'CAT_TURNOS'!$A$4:$A$7,0)),"")</f>
        <v/>
      </c>
      <c r="P434" s="3">
        <f>IFERROR(INDEX('CAT_TURNOS'!$D$4:$D$7,MATCH($J434,'CAT_TURNOS'!$A$4:$A$7,0)),"")</f>
        <v/>
      </c>
      <c r="Q434" s="3">
        <f>IF(AND(LEFT($G434,1)="T",$H434="no"),"sí","no")</f>
        <v/>
      </c>
    </row>
    <row r="435">
      <c r="A435" s="3" t="inlineStr">
        <is>
          <t>2026-S32</t>
        </is>
      </c>
      <c r="B435" s="3" t="inlineStr">
        <is>
          <t>viernes</t>
        </is>
      </c>
      <c r="C435" s="3" t="inlineStr">
        <is>
          <t>Técnico 14</t>
        </is>
      </c>
      <c r="D435" s="3">
        <f>IFERROR(INDEX('TECNICOS'!$D$4:$D$19,MATCH($C435,'TECNICOS'!$B$4:$B$19,0)),"")</f>
        <v/>
      </c>
      <c r="E435" s="3">
        <f>IFERROR(INDEX('TECNICOS'!$C$4:$C$19,MATCH($C435,'TECNICOS'!$B$4:$B$19,0)),"")</f>
        <v/>
      </c>
      <c r="F435" s="3">
        <f>COUNTIFS('TECNICOS'!$F$4:$F$19,"SI",'TECNICOS'!$C$4:$C$19,$E435,'TECNICOS'!$D$4:$D$19,$D435)</f>
        <v/>
      </c>
      <c r="G435" s="3">
        <f>IF(OR($C435="",$A435="",$B435="domingo"),"",IF(IFERROR(INDEX('TECNICOS'!$F$4:$F$19,MATCH($C435,'TECNICOS'!$B$4:$B$19,0)),"NO")&lt;&gt;"SI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3">
        <f>IF(COUNTIFS('PLAN_VACACIONES'!$A$4:$A$103,$C435,'PLAN_VACACIONES'!$B$4:$B$103,"&lt;="&amp;$L435,'PLAN_VACACIONES'!$C$4:$C$103,"&gt;="&amp;$L435)&gt;0,"sí","no")</f>
        <v/>
      </c>
      <c r="I435" s="6" t="n"/>
      <c r="J435" s="3">
        <f>IF($I435&lt;&gt;"",$I435,IF($G435="","",IF($H435="sí","VAC",IF(LEFT($G435,1)="B","B",$G435))))</f>
        <v/>
      </c>
      <c r="K435" s="3">
        <f>IFERROR(INDEX('TECNICOS'!$E$4:$E$19,MATCH($C435,'TECNICOS'!$B$4:$B$19,0)),"")</f>
        <v/>
      </c>
      <c r="L435" s="12">
        <f>IF($A435="","",DATE(VALUE(LEFT($A435,4)),1,4)-WEEKDAY(DATE(VALUE(LEFT($A435,4)),1,4),2)+1+(VALUE(MID($A435,7,2))-1)*7+MATCH($B435,lista_dias,0)-1)</f>
        <v/>
      </c>
      <c r="M435" s="3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3">
        <f>$A435&amp;"|"&amp;$B435&amp;"|"&amp;$C435</f>
        <v/>
      </c>
      <c r="O435" s="3">
        <f>IFERROR(INDEX('CAT_TURNOS'!$C$4:$C$7,MATCH($J435,'CAT_TURNOS'!$A$4:$A$7,0)),"")</f>
        <v/>
      </c>
      <c r="P435" s="3">
        <f>IFERROR(INDEX('CAT_TURNOS'!$D$4:$D$7,MATCH($J435,'CAT_TURNOS'!$A$4:$A$7,0)),"")</f>
        <v/>
      </c>
      <c r="Q435" s="3">
        <f>IF(AND(LEFT($G435,1)="T",$H435="no"),"sí","no")</f>
        <v/>
      </c>
    </row>
    <row r="436">
      <c r="A436" s="3" t="inlineStr">
        <is>
          <t>2026-S32</t>
        </is>
      </c>
      <c r="B436" s="3" t="inlineStr">
        <is>
          <t>sábado</t>
        </is>
      </c>
      <c r="C436" s="3" t="inlineStr">
        <is>
          <t>Técnico 14</t>
        </is>
      </c>
      <c r="D436" s="3">
        <f>IFERROR(INDEX('TECNICOS'!$D$4:$D$19,MATCH($C436,'TECNICOS'!$B$4:$B$19,0)),"")</f>
        <v/>
      </c>
      <c r="E436" s="3">
        <f>IFERROR(INDEX('TECNICOS'!$C$4:$C$19,MATCH($C436,'TECNICOS'!$B$4:$B$19,0)),"")</f>
        <v/>
      </c>
      <c r="F436" s="3">
        <f>COUNTIFS('TECNICOS'!$F$4:$F$19,"SI",'TECNICOS'!$C$4:$C$19,$E436,'TECNICOS'!$D$4:$D$19,$D436)</f>
        <v/>
      </c>
      <c r="G436" s="3">
        <f>IF(OR($C436="",$A436="",$B436="domingo"),"",IF(IFERROR(INDEX('TECNICOS'!$F$4:$F$19,MATCH($C436,'TECNICOS'!$B$4:$B$19,0)),"NO")&lt;&gt;"SI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3">
        <f>IF(COUNTIFS('PLAN_VACACIONES'!$A$4:$A$103,$C436,'PLAN_VACACIONES'!$B$4:$B$103,"&lt;="&amp;$L436,'PLAN_VACACIONES'!$C$4:$C$103,"&gt;="&amp;$L436)&gt;0,"sí","no")</f>
        <v/>
      </c>
      <c r="I436" s="6" t="n"/>
      <c r="J436" s="3">
        <f>IF($I436&lt;&gt;"",$I436,IF($G436="","",IF($H436="sí","VAC",IF(LEFT($G436,1)="B","B",$G436))))</f>
        <v/>
      </c>
      <c r="K436" s="3">
        <f>IFERROR(INDEX('TECNICOS'!$E$4:$E$19,MATCH($C436,'TECNICOS'!$B$4:$B$19,0)),"")</f>
        <v/>
      </c>
      <c r="L436" s="12">
        <f>IF($A436="","",DATE(VALUE(LEFT($A436,4)),1,4)-WEEKDAY(DATE(VALUE(LEFT($A436,4)),1,4),2)+1+(VALUE(MID($A436,7,2))-1)*7+MATCH($B436,lista_dias,0)-1)</f>
        <v/>
      </c>
      <c r="M436" s="3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3">
        <f>$A436&amp;"|"&amp;$B436&amp;"|"&amp;$C436</f>
        <v/>
      </c>
      <c r="O436" s="3">
        <f>IFERROR(INDEX('CAT_TURNOS'!$C$4:$C$7,MATCH($J436,'CAT_TURNOS'!$A$4:$A$7,0)),"")</f>
        <v/>
      </c>
      <c r="P436" s="3">
        <f>IFERROR(INDEX('CAT_TURNOS'!$D$4:$D$7,MATCH($J436,'CAT_TURNOS'!$A$4:$A$7,0)),"")</f>
        <v/>
      </c>
      <c r="Q436" s="3">
        <f>IF(AND(LEFT($G436,1)="T",$H436="no"),"sí","no")</f>
        <v/>
      </c>
    </row>
    <row r="437">
      <c r="A437" s="3" t="inlineStr">
        <is>
          <t>2026-S32</t>
        </is>
      </c>
      <c r="B437" s="3" t="inlineStr">
        <is>
          <t>domingo</t>
        </is>
      </c>
      <c r="C437" s="3" t="inlineStr">
        <is>
          <t>Técnico 14</t>
        </is>
      </c>
      <c r="D437" s="3">
        <f>IFERROR(INDEX('TECNICOS'!$D$4:$D$19,MATCH($C437,'TECNICOS'!$B$4:$B$19,0)),"")</f>
        <v/>
      </c>
      <c r="E437" s="3">
        <f>IFERROR(INDEX('TECNICOS'!$C$4:$C$19,MATCH($C437,'TECNICOS'!$B$4:$B$19,0)),"")</f>
        <v/>
      </c>
      <c r="F437" s="3">
        <f>COUNTIFS('TECNICOS'!$F$4:$F$19,"SI",'TECNICOS'!$C$4:$C$19,$E437,'TECNICOS'!$D$4:$D$19,$D437)</f>
        <v/>
      </c>
      <c r="G437" s="3">
        <f>IF(OR($C437="",$A437="",$B437="domingo"),"",IF(IFERROR(INDEX('TECNICOS'!$F$4:$F$19,MATCH($C437,'TECNICOS'!$B$4:$B$19,0)),"NO")&lt;&gt;"SI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3">
        <f>IF(COUNTIFS('PLAN_VACACIONES'!$A$4:$A$103,$C437,'PLAN_VACACIONES'!$B$4:$B$103,"&lt;="&amp;$L437,'PLAN_VACACIONES'!$C$4:$C$103,"&gt;="&amp;$L437)&gt;0,"sí","no")</f>
        <v/>
      </c>
      <c r="I437" s="6" t="n"/>
      <c r="J437" s="3">
        <f>IF($I437&lt;&gt;"",$I437,IF($G437="","",IF($H437="sí","VAC",IF(LEFT($G437,1)="B","B",$G437))))</f>
        <v/>
      </c>
      <c r="K437" s="3">
        <f>IFERROR(INDEX('TECNICOS'!$E$4:$E$19,MATCH($C437,'TECNICOS'!$B$4:$B$19,0)),"")</f>
        <v/>
      </c>
      <c r="L437" s="12">
        <f>IF($A437="","",DATE(VALUE(LEFT($A437,4)),1,4)-WEEKDAY(DATE(VALUE(LEFT($A437,4)),1,4),2)+1+(VALUE(MID($A437,7,2))-1)*7+MATCH($B437,lista_dias,0)-1)</f>
        <v/>
      </c>
      <c r="M437" s="3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3">
        <f>$A437&amp;"|"&amp;$B437&amp;"|"&amp;$C437</f>
        <v/>
      </c>
      <c r="O437" s="3">
        <f>IFERROR(INDEX('CAT_TURNOS'!$C$4:$C$7,MATCH($J437,'CAT_TURNOS'!$A$4:$A$7,0)),"")</f>
        <v/>
      </c>
      <c r="P437" s="3">
        <f>IFERROR(INDEX('CAT_TURNOS'!$D$4:$D$7,MATCH($J437,'CAT_TURNOS'!$A$4:$A$7,0)),"")</f>
        <v/>
      </c>
      <c r="Q437" s="3">
        <f>IF(AND(LEFT($G437,1)="T",$H437="no"),"sí","no")</f>
        <v/>
      </c>
    </row>
    <row r="438">
      <c r="A438" s="3" t="inlineStr">
        <is>
          <t>2026-S32</t>
        </is>
      </c>
      <c r="B438" s="3" t="inlineStr">
        <is>
          <t>lunes</t>
        </is>
      </c>
      <c r="C438" s="3" t="inlineStr">
        <is>
          <t>Técnico 15</t>
        </is>
      </c>
      <c r="D438" s="3">
        <f>IFERROR(INDEX('TECNICOS'!$D$4:$D$19,MATCH($C438,'TECNICOS'!$B$4:$B$19,0)),"")</f>
        <v/>
      </c>
      <c r="E438" s="3">
        <f>IFERROR(INDEX('TECNICOS'!$C$4:$C$19,MATCH($C438,'TECNICOS'!$B$4:$B$19,0)),"")</f>
        <v/>
      </c>
      <c r="F438" s="3">
        <f>COUNTIFS('TECNICOS'!$F$4:$F$19,"SI",'TECNICOS'!$C$4:$C$19,$E438,'TECNICOS'!$D$4:$D$19,$D438)</f>
        <v/>
      </c>
      <c r="G438" s="3">
        <f>IF(OR($C438="",$A438="",$B438="domingo"),"",IF(IFERROR(INDEX('TECNICOS'!$F$4:$F$19,MATCH($C438,'TECNICOS'!$B$4:$B$19,0)),"NO")&lt;&gt;"SI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3">
        <f>IF(COUNTIFS('PLAN_VACACIONES'!$A$4:$A$103,$C438,'PLAN_VACACIONES'!$B$4:$B$103,"&lt;="&amp;$L438,'PLAN_VACACIONES'!$C$4:$C$103,"&gt;="&amp;$L438)&gt;0,"sí","no")</f>
        <v/>
      </c>
      <c r="I438" s="6" t="n"/>
      <c r="J438" s="3">
        <f>IF($I438&lt;&gt;"",$I438,IF($G438="","",IF($H438="sí","VAC",IF(LEFT($G438,1)="B","B",$G438))))</f>
        <v/>
      </c>
      <c r="K438" s="3">
        <f>IFERROR(INDEX('TECNICOS'!$E$4:$E$19,MATCH($C438,'TECNICOS'!$B$4:$B$19,0)),"")</f>
        <v/>
      </c>
      <c r="L438" s="12">
        <f>IF($A438="","",DATE(VALUE(LEFT($A438,4)),1,4)-WEEKDAY(DATE(VALUE(LEFT($A438,4)),1,4),2)+1+(VALUE(MID($A438,7,2))-1)*7+MATCH($B438,lista_dias,0)-1)</f>
        <v/>
      </c>
      <c r="M438" s="3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3">
        <f>$A438&amp;"|"&amp;$B438&amp;"|"&amp;$C438</f>
        <v/>
      </c>
      <c r="O438" s="3">
        <f>IFERROR(INDEX('CAT_TURNOS'!$C$4:$C$7,MATCH($J438,'CAT_TURNOS'!$A$4:$A$7,0)),"")</f>
        <v/>
      </c>
      <c r="P438" s="3">
        <f>IFERROR(INDEX('CAT_TURNOS'!$D$4:$D$7,MATCH($J438,'CAT_TURNOS'!$A$4:$A$7,0)),"")</f>
        <v/>
      </c>
      <c r="Q438" s="3">
        <f>IF(AND(LEFT($G438,1)="T",$H438="no"),"sí","no")</f>
        <v/>
      </c>
    </row>
    <row r="439">
      <c r="A439" s="3" t="inlineStr">
        <is>
          <t>2026-S32</t>
        </is>
      </c>
      <c r="B439" s="3" t="inlineStr">
        <is>
          <t>martes</t>
        </is>
      </c>
      <c r="C439" s="3" t="inlineStr">
        <is>
          <t>Técnico 15</t>
        </is>
      </c>
      <c r="D439" s="3">
        <f>IFERROR(INDEX('TECNICOS'!$D$4:$D$19,MATCH($C439,'TECNICOS'!$B$4:$B$19,0)),"")</f>
        <v/>
      </c>
      <c r="E439" s="3">
        <f>IFERROR(INDEX('TECNICOS'!$C$4:$C$19,MATCH($C439,'TECNICOS'!$B$4:$B$19,0)),"")</f>
        <v/>
      </c>
      <c r="F439" s="3">
        <f>COUNTIFS('TECNICOS'!$F$4:$F$19,"SI",'TECNICOS'!$C$4:$C$19,$E439,'TECNICOS'!$D$4:$D$19,$D439)</f>
        <v/>
      </c>
      <c r="G439" s="3">
        <f>IF(OR($C439="",$A439="",$B439="domingo"),"",IF(IFERROR(INDEX('TECNICOS'!$F$4:$F$19,MATCH($C439,'TECNICOS'!$B$4:$B$19,0)),"NO")&lt;&gt;"SI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3">
        <f>IF(COUNTIFS('PLAN_VACACIONES'!$A$4:$A$103,$C439,'PLAN_VACACIONES'!$B$4:$B$103,"&lt;="&amp;$L439,'PLAN_VACACIONES'!$C$4:$C$103,"&gt;="&amp;$L439)&gt;0,"sí","no")</f>
        <v/>
      </c>
      <c r="I439" s="6" t="n"/>
      <c r="J439" s="3">
        <f>IF($I439&lt;&gt;"",$I439,IF($G439="","",IF($H439="sí","VAC",IF(LEFT($G439,1)="B","B",$G439))))</f>
        <v/>
      </c>
      <c r="K439" s="3">
        <f>IFERROR(INDEX('TECNICOS'!$E$4:$E$19,MATCH($C439,'TECNICOS'!$B$4:$B$19,0)),"")</f>
        <v/>
      </c>
      <c r="L439" s="12">
        <f>IF($A439="","",DATE(VALUE(LEFT($A439,4)),1,4)-WEEKDAY(DATE(VALUE(LEFT($A439,4)),1,4),2)+1+(VALUE(MID($A439,7,2))-1)*7+MATCH($B439,lista_dias,0)-1)</f>
        <v/>
      </c>
      <c r="M439" s="3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3">
        <f>$A439&amp;"|"&amp;$B439&amp;"|"&amp;$C439</f>
        <v/>
      </c>
      <c r="O439" s="3">
        <f>IFERROR(INDEX('CAT_TURNOS'!$C$4:$C$7,MATCH($J439,'CAT_TURNOS'!$A$4:$A$7,0)),"")</f>
        <v/>
      </c>
      <c r="P439" s="3">
        <f>IFERROR(INDEX('CAT_TURNOS'!$D$4:$D$7,MATCH($J439,'CAT_TURNOS'!$A$4:$A$7,0)),"")</f>
        <v/>
      </c>
      <c r="Q439" s="3">
        <f>IF(AND(LEFT($G439,1)="T",$H439="no"),"sí","no")</f>
        <v/>
      </c>
    </row>
    <row r="440">
      <c r="A440" s="3" t="inlineStr">
        <is>
          <t>2026-S32</t>
        </is>
      </c>
      <c r="B440" s="3" t="inlineStr">
        <is>
          <t>miércoles</t>
        </is>
      </c>
      <c r="C440" s="3" t="inlineStr">
        <is>
          <t>Técnico 15</t>
        </is>
      </c>
      <c r="D440" s="3">
        <f>IFERROR(INDEX('TECNICOS'!$D$4:$D$19,MATCH($C440,'TECNICOS'!$B$4:$B$19,0)),"")</f>
        <v/>
      </c>
      <c r="E440" s="3">
        <f>IFERROR(INDEX('TECNICOS'!$C$4:$C$19,MATCH($C440,'TECNICOS'!$B$4:$B$19,0)),"")</f>
        <v/>
      </c>
      <c r="F440" s="3">
        <f>COUNTIFS('TECNICOS'!$F$4:$F$19,"SI",'TECNICOS'!$C$4:$C$19,$E440,'TECNICOS'!$D$4:$D$19,$D440)</f>
        <v/>
      </c>
      <c r="G440" s="3">
        <f>IF(OR($C440="",$A440="",$B440="domingo"),"",IF(IFERROR(INDEX('TECNICOS'!$F$4:$F$19,MATCH($C440,'TECNICOS'!$B$4:$B$19,0)),"NO")&lt;&gt;"SI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3">
        <f>IF(COUNTIFS('PLAN_VACACIONES'!$A$4:$A$103,$C440,'PLAN_VACACIONES'!$B$4:$B$103,"&lt;="&amp;$L440,'PLAN_VACACIONES'!$C$4:$C$103,"&gt;="&amp;$L440)&gt;0,"sí","no")</f>
        <v/>
      </c>
      <c r="I440" s="6" t="n"/>
      <c r="J440" s="3">
        <f>IF($I440&lt;&gt;"",$I440,IF($G440="","",IF($H440="sí","VAC",IF(LEFT($G440,1)="B","B",$G440))))</f>
        <v/>
      </c>
      <c r="K440" s="3">
        <f>IFERROR(INDEX('TECNICOS'!$E$4:$E$19,MATCH($C440,'TECNICOS'!$B$4:$B$19,0)),"")</f>
        <v/>
      </c>
      <c r="L440" s="12">
        <f>IF($A440="","",DATE(VALUE(LEFT($A440,4)),1,4)-WEEKDAY(DATE(VALUE(LEFT($A440,4)),1,4),2)+1+(VALUE(MID($A440,7,2))-1)*7+MATCH($B440,lista_dias,0)-1)</f>
        <v/>
      </c>
      <c r="M440" s="3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3">
        <f>$A440&amp;"|"&amp;$B440&amp;"|"&amp;$C440</f>
        <v/>
      </c>
      <c r="O440" s="3">
        <f>IFERROR(INDEX('CAT_TURNOS'!$C$4:$C$7,MATCH($J440,'CAT_TURNOS'!$A$4:$A$7,0)),"")</f>
        <v/>
      </c>
      <c r="P440" s="3">
        <f>IFERROR(INDEX('CAT_TURNOS'!$D$4:$D$7,MATCH($J440,'CAT_TURNOS'!$A$4:$A$7,0)),"")</f>
        <v/>
      </c>
      <c r="Q440" s="3">
        <f>IF(AND(LEFT($G440,1)="T",$H440="no"),"sí","no")</f>
        <v/>
      </c>
    </row>
    <row r="441">
      <c r="A441" s="3" t="inlineStr">
        <is>
          <t>2026-S32</t>
        </is>
      </c>
      <c r="B441" s="3" t="inlineStr">
        <is>
          <t>jueves</t>
        </is>
      </c>
      <c r="C441" s="3" t="inlineStr">
        <is>
          <t>Técnico 15</t>
        </is>
      </c>
      <c r="D441" s="3">
        <f>IFERROR(INDEX('TECNICOS'!$D$4:$D$19,MATCH($C441,'TECNICOS'!$B$4:$B$19,0)),"")</f>
        <v/>
      </c>
      <c r="E441" s="3">
        <f>IFERROR(INDEX('TECNICOS'!$C$4:$C$19,MATCH($C441,'TECNICOS'!$B$4:$B$19,0)),"")</f>
        <v/>
      </c>
      <c r="F441" s="3">
        <f>COUNTIFS('TECNICOS'!$F$4:$F$19,"SI",'TECNICOS'!$C$4:$C$19,$E441,'TECNICOS'!$D$4:$D$19,$D441)</f>
        <v/>
      </c>
      <c r="G441" s="3">
        <f>IF(OR($C441="",$A441="",$B441="domingo"),"",IF(IFERROR(INDEX('TECNICOS'!$F$4:$F$19,MATCH($C441,'TECNICOS'!$B$4:$B$19,0)),"NO")&lt;&gt;"SI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3">
        <f>IF(COUNTIFS('PLAN_VACACIONES'!$A$4:$A$103,$C441,'PLAN_VACACIONES'!$B$4:$B$103,"&lt;="&amp;$L441,'PLAN_VACACIONES'!$C$4:$C$103,"&gt;="&amp;$L441)&gt;0,"sí","no")</f>
        <v/>
      </c>
      <c r="I441" s="6" t="n"/>
      <c r="J441" s="3">
        <f>IF($I441&lt;&gt;"",$I441,IF($G441="","",IF($H441="sí","VAC",IF(LEFT($G441,1)="B","B",$G441))))</f>
        <v/>
      </c>
      <c r="K441" s="3">
        <f>IFERROR(INDEX('TECNICOS'!$E$4:$E$19,MATCH($C441,'TECNICOS'!$B$4:$B$19,0)),"")</f>
        <v/>
      </c>
      <c r="L441" s="12">
        <f>IF($A441="","",DATE(VALUE(LEFT($A441,4)),1,4)-WEEKDAY(DATE(VALUE(LEFT($A441,4)),1,4),2)+1+(VALUE(MID($A441,7,2))-1)*7+MATCH($B441,lista_dias,0)-1)</f>
        <v/>
      </c>
      <c r="M441" s="3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3">
        <f>$A441&amp;"|"&amp;$B441&amp;"|"&amp;$C441</f>
        <v/>
      </c>
      <c r="O441" s="3">
        <f>IFERROR(INDEX('CAT_TURNOS'!$C$4:$C$7,MATCH($J441,'CAT_TURNOS'!$A$4:$A$7,0)),"")</f>
        <v/>
      </c>
      <c r="P441" s="3">
        <f>IFERROR(INDEX('CAT_TURNOS'!$D$4:$D$7,MATCH($J441,'CAT_TURNOS'!$A$4:$A$7,0)),"")</f>
        <v/>
      </c>
      <c r="Q441" s="3">
        <f>IF(AND(LEFT($G441,1)="T",$H441="no"),"sí","no")</f>
        <v/>
      </c>
    </row>
    <row r="442">
      <c r="A442" s="3" t="inlineStr">
        <is>
          <t>2026-S32</t>
        </is>
      </c>
      <c r="B442" s="3" t="inlineStr">
        <is>
          <t>viernes</t>
        </is>
      </c>
      <c r="C442" s="3" t="inlineStr">
        <is>
          <t>Técnico 15</t>
        </is>
      </c>
      <c r="D442" s="3">
        <f>IFERROR(INDEX('TECNICOS'!$D$4:$D$19,MATCH($C442,'TECNICOS'!$B$4:$B$19,0)),"")</f>
        <v/>
      </c>
      <c r="E442" s="3">
        <f>IFERROR(INDEX('TECNICOS'!$C$4:$C$19,MATCH($C442,'TECNICOS'!$B$4:$B$19,0)),"")</f>
        <v/>
      </c>
      <c r="F442" s="3">
        <f>COUNTIFS('TECNICOS'!$F$4:$F$19,"SI",'TECNICOS'!$C$4:$C$19,$E442,'TECNICOS'!$D$4:$D$19,$D442)</f>
        <v/>
      </c>
      <c r="G442" s="3">
        <f>IF(OR($C442="",$A442="",$B442="domingo"),"",IF(IFERROR(INDEX('TECNICOS'!$F$4:$F$19,MATCH($C442,'TECNICOS'!$B$4:$B$19,0)),"NO")&lt;&gt;"SI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3">
        <f>IF(COUNTIFS('PLAN_VACACIONES'!$A$4:$A$103,$C442,'PLAN_VACACIONES'!$B$4:$B$103,"&lt;="&amp;$L442,'PLAN_VACACIONES'!$C$4:$C$103,"&gt;="&amp;$L442)&gt;0,"sí","no")</f>
        <v/>
      </c>
      <c r="I442" s="6" t="n"/>
      <c r="J442" s="3">
        <f>IF($I442&lt;&gt;"",$I442,IF($G442="","",IF($H442="sí","VAC",IF(LEFT($G442,1)="B","B",$G442))))</f>
        <v/>
      </c>
      <c r="K442" s="3">
        <f>IFERROR(INDEX('TECNICOS'!$E$4:$E$19,MATCH($C442,'TECNICOS'!$B$4:$B$19,0)),"")</f>
        <v/>
      </c>
      <c r="L442" s="12">
        <f>IF($A442="","",DATE(VALUE(LEFT($A442,4)),1,4)-WEEKDAY(DATE(VALUE(LEFT($A442,4)),1,4),2)+1+(VALUE(MID($A442,7,2))-1)*7+MATCH($B442,lista_dias,0)-1)</f>
        <v/>
      </c>
      <c r="M442" s="3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3">
        <f>$A442&amp;"|"&amp;$B442&amp;"|"&amp;$C442</f>
        <v/>
      </c>
      <c r="O442" s="3">
        <f>IFERROR(INDEX('CAT_TURNOS'!$C$4:$C$7,MATCH($J442,'CAT_TURNOS'!$A$4:$A$7,0)),"")</f>
        <v/>
      </c>
      <c r="P442" s="3">
        <f>IFERROR(INDEX('CAT_TURNOS'!$D$4:$D$7,MATCH($J442,'CAT_TURNOS'!$A$4:$A$7,0)),"")</f>
        <v/>
      </c>
      <c r="Q442" s="3">
        <f>IF(AND(LEFT($G442,1)="T",$H442="no"),"sí","no")</f>
        <v/>
      </c>
    </row>
    <row r="443">
      <c r="A443" s="3" t="inlineStr">
        <is>
          <t>2026-S32</t>
        </is>
      </c>
      <c r="B443" s="3" t="inlineStr">
        <is>
          <t>sábado</t>
        </is>
      </c>
      <c r="C443" s="3" t="inlineStr">
        <is>
          <t>Técnico 15</t>
        </is>
      </c>
      <c r="D443" s="3">
        <f>IFERROR(INDEX('TECNICOS'!$D$4:$D$19,MATCH($C443,'TECNICOS'!$B$4:$B$19,0)),"")</f>
        <v/>
      </c>
      <c r="E443" s="3">
        <f>IFERROR(INDEX('TECNICOS'!$C$4:$C$19,MATCH($C443,'TECNICOS'!$B$4:$B$19,0)),"")</f>
        <v/>
      </c>
      <c r="F443" s="3">
        <f>COUNTIFS('TECNICOS'!$F$4:$F$19,"SI",'TECNICOS'!$C$4:$C$19,$E443,'TECNICOS'!$D$4:$D$19,$D443)</f>
        <v/>
      </c>
      <c r="G443" s="3">
        <f>IF(OR($C443="",$A443="",$B443="domingo"),"",IF(IFERROR(INDEX('TECNICOS'!$F$4:$F$19,MATCH($C443,'TECNICOS'!$B$4:$B$19,0)),"NO")&lt;&gt;"SI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3">
        <f>IF(COUNTIFS('PLAN_VACACIONES'!$A$4:$A$103,$C443,'PLAN_VACACIONES'!$B$4:$B$103,"&lt;="&amp;$L443,'PLAN_VACACIONES'!$C$4:$C$103,"&gt;="&amp;$L443)&gt;0,"sí","no")</f>
        <v/>
      </c>
      <c r="I443" s="6" t="n"/>
      <c r="J443" s="3">
        <f>IF($I443&lt;&gt;"",$I443,IF($G443="","",IF($H443="sí","VAC",IF(LEFT($G443,1)="B","B",$G443))))</f>
        <v/>
      </c>
      <c r="K443" s="3">
        <f>IFERROR(INDEX('TECNICOS'!$E$4:$E$19,MATCH($C443,'TECNICOS'!$B$4:$B$19,0)),"")</f>
        <v/>
      </c>
      <c r="L443" s="12">
        <f>IF($A443="","",DATE(VALUE(LEFT($A443,4)),1,4)-WEEKDAY(DATE(VALUE(LEFT($A443,4)),1,4),2)+1+(VALUE(MID($A443,7,2))-1)*7+MATCH($B443,lista_dias,0)-1)</f>
        <v/>
      </c>
      <c r="M443" s="3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3">
        <f>$A443&amp;"|"&amp;$B443&amp;"|"&amp;$C443</f>
        <v/>
      </c>
      <c r="O443" s="3">
        <f>IFERROR(INDEX('CAT_TURNOS'!$C$4:$C$7,MATCH($J443,'CAT_TURNOS'!$A$4:$A$7,0)),"")</f>
        <v/>
      </c>
      <c r="P443" s="3">
        <f>IFERROR(INDEX('CAT_TURNOS'!$D$4:$D$7,MATCH($J443,'CAT_TURNOS'!$A$4:$A$7,0)),"")</f>
        <v/>
      </c>
      <c r="Q443" s="3">
        <f>IF(AND(LEFT($G443,1)="T",$H443="no"),"sí","no")</f>
        <v/>
      </c>
    </row>
    <row r="444">
      <c r="A444" s="3" t="inlineStr">
        <is>
          <t>2026-S32</t>
        </is>
      </c>
      <c r="B444" s="3" t="inlineStr">
        <is>
          <t>domingo</t>
        </is>
      </c>
      <c r="C444" s="3" t="inlineStr">
        <is>
          <t>Técnico 15</t>
        </is>
      </c>
      <c r="D444" s="3">
        <f>IFERROR(INDEX('TECNICOS'!$D$4:$D$19,MATCH($C444,'TECNICOS'!$B$4:$B$19,0)),"")</f>
        <v/>
      </c>
      <c r="E444" s="3">
        <f>IFERROR(INDEX('TECNICOS'!$C$4:$C$19,MATCH($C444,'TECNICOS'!$B$4:$B$19,0)),"")</f>
        <v/>
      </c>
      <c r="F444" s="3">
        <f>COUNTIFS('TECNICOS'!$F$4:$F$19,"SI",'TECNICOS'!$C$4:$C$19,$E444,'TECNICOS'!$D$4:$D$19,$D444)</f>
        <v/>
      </c>
      <c r="G444" s="3">
        <f>IF(OR($C444="",$A444="",$B444="domingo"),"",IF(IFERROR(INDEX('TECNICOS'!$F$4:$F$19,MATCH($C444,'TECNICOS'!$B$4:$B$19,0)),"NO")&lt;&gt;"SI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3">
        <f>IF(COUNTIFS('PLAN_VACACIONES'!$A$4:$A$103,$C444,'PLAN_VACACIONES'!$B$4:$B$103,"&lt;="&amp;$L444,'PLAN_VACACIONES'!$C$4:$C$103,"&gt;="&amp;$L444)&gt;0,"sí","no")</f>
        <v/>
      </c>
      <c r="I444" s="6" t="n"/>
      <c r="J444" s="3">
        <f>IF($I444&lt;&gt;"",$I444,IF($G444="","",IF($H444="sí","VAC",IF(LEFT($G444,1)="B","B",$G444))))</f>
        <v/>
      </c>
      <c r="K444" s="3">
        <f>IFERROR(INDEX('TECNICOS'!$E$4:$E$19,MATCH($C444,'TECNICOS'!$B$4:$B$19,0)),"")</f>
        <v/>
      </c>
      <c r="L444" s="12">
        <f>IF($A444="","",DATE(VALUE(LEFT($A444,4)),1,4)-WEEKDAY(DATE(VALUE(LEFT($A444,4)),1,4),2)+1+(VALUE(MID($A444,7,2))-1)*7+MATCH($B444,lista_dias,0)-1)</f>
        <v/>
      </c>
      <c r="M444" s="3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3">
        <f>$A444&amp;"|"&amp;$B444&amp;"|"&amp;$C444</f>
        <v/>
      </c>
      <c r="O444" s="3">
        <f>IFERROR(INDEX('CAT_TURNOS'!$C$4:$C$7,MATCH($J444,'CAT_TURNOS'!$A$4:$A$7,0)),"")</f>
        <v/>
      </c>
      <c r="P444" s="3">
        <f>IFERROR(INDEX('CAT_TURNOS'!$D$4:$D$7,MATCH($J444,'CAT_TURNOS'!$A$4:$A$7,0)),"")</f>
        <v/>
      </c>
      <c r="Q444" s="3">
        <f>IF(AND(LEFT($G444,1)="T",$H444="no"),"sí","no")</f>
        <v/>
      </c>
    </row>
    <row r="445">
      <c r="A445" s="3" t="inlineStr">
        <is>
          <t>2026-S32</t>
        </is>
      </c>
      <c r="B445" s="3" t="inlineStr">
        <is>
          <t>lunes</t>
        </is>
      </c>
      <c r="C445" s="3" t="inlineStr">
        <is>
          <t>Técnico 16</t>
        </is>
      </c>
      <c r="D445" s="3">
        <f>IFERROR(INDEX('TECNICOS'!$D$4:$D$19,MATCH($C445,'TECNICOS'!$B$4:$B$19,0)),"")</f>
        <v/>
      </c>
      <c r="E445" s="3">
        <f>IFERROR(INDEX('TECNICOS'!$C$4:$C$19,MATCH($C445,'TECNICOS'!$B$4:$B$19,0)),"")</f>
        <v/>
      </c>
      <c r="F445" s="3">
        <f>COUNTIFS('TECNICOS'!$F$4:$F$19,"SI",'TECNICOS'!$C$4:$C$19,$E445,'TECNICOS'!$D$4:$D$19,$D445)</f>
        <v/>
      </c>
      <c r="G445" s="3">
        <f>IF(OR($C445="",$A445="",$B445="domingo"),"",IF(IFERROR(INDEX('TECNICOS'!$F$4:$F$19,MATCH($C445,'TECNICOS'!$B$4:$B$19,0)),"NO")&lt;&gt;"SI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3">
        <f>IF(COUNTIFS('PLAN_VACACIONES'!$A$4:$A$103,$C445,'PLAN_VACACIONES'!$B$4:$B$103,"&lt;="&amp;$L445,'PLAN_VACACIONES'!$C$4:$C$103,"&gt;="&amp;$L445)&gt;0,"sí","no")</f>
        <v/>
      </c>
      <c r="I445" s="6" t="n"/>
      <c r="J445" s="3">
        <f>IF($I445&lt;&gt;"",$I445,IF($G445="","",IF($H445="sí","VAC",IF(LEFT($G445,1)="B","B",$G445))))</f>
        <v/>
      </c>
      <c r="K445" s="3">
        <f>IFERROR(INDEX('TECNICOS'!$E$4:$E$19,MATCH($C445,'TECNICOS'!$B$4:$B$19,0)),"")</f>
        <v/>
      </c>
      <c r="L445" s="12">
        <f>IF($A445="","",DATE(VALUE(LEFT($A445,4)),1,4)-WEEKDAY(DATE(VALUE(LEFT($A445,4)),1,4),2)+1+(VALUE(MID($A445,7,2))-1)*7+MATCH($B445,lista_dias,0)-1)</f>
        <v/>
      </c>
      <c r="M445" s="3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3">
        <f>$A445&amp;"|"&amp;$B445&amp;"|"&amp;$C445</f>
        <v/>
      </c>
      <c r="O445" s="3">
        <f>IFERROR(INDEX('CAT_TURNOS'!$C$4:$C$7,MATCH($J445,'CAT_TURNOS'!$A$4:$A$7,0)),"")</f>
        <v/>
      </c>
      <c r="P445" s="3">
        <f>IFERROR(INDEX('CAT_TURNOS'!$D$4:$D$7,MATCH($J445,'CAT_TURNOS'!$A$4:$A$7,0)),"")</f>
        <v/>
      </c>
      <c r="Q445" s="3">
        <f>IF(AND(LEFT($G445,1)="T",$H445="no"),"sí","no")</f>
        <v/>
      </c>
    </row>
    <row r="446">
      <c r="A446" s="3" t="inlineStr">
        <is>
          <t>2026-S32</t>
        </is>
      </c>
      <c r="B446" s="3" t="inlineStr">
        <is>
          <t>martes</t>
        </is>
      </c>
      <c r="C446" s="3" t="inlineStr">
        <is>
          <t>Técnico 16</t>
        </is>
      </c>
      <c r="D446" s="3">
        <f>IFERROR(INDEX('TECNICOS'!$D$4:$D$19,MATCH($C446,'TECNICOS'!$B$4:$B$19,0)),"")</f>
        <v/>
      </c>
      <c r="E446" s="3">
        <f>IFERROR(INDEX('TECNICOS'!$C$4:$C$19,MATCH($C446,'TECNICOS'!$B$4:$B$19,0)),"")</f>
        <v/>
      </c>
      <c r="F446" s="3">
        <f>COUNTIFS('TECNICOS'!$F$4:$F$19,"SI",'TECNICOS'!$C$4:$C$19,$E446,'TECNICOS'!$D$4:$D$19,$D446)</f>
        <v/>
      </c>
      <c r="G446" s="3">
        <f>IF(OR($C446="",$A446="",$B446="domingo"),"",IF(IFERROR(INDEX('TECNICOS'!$F$4:$F$19,MATCH($C446,'TECNICOS'!$B$4:$B$19,0)),"NO")&lt;&gt;"SI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3">
        <f>IF(COUNTIFS('PLAN_VACACIONES'!$A$4:$A$103,$C446,'PLAN_VACACIONES'!$B$4:$B$103,"&lt;="&amp;$L446,'PLAN_VACACIONES'!$C$4:$C$103,"&gt;="&amp;$L446)&gt;0,"sí","no")</f>
        <v/>
      </c>
      <c r="I446" s="6" t="n"/>
      <c r="J446" s="3">
        <f>IF($I446&lt;&gt;"",$I446,IF($G446="","",IF($H446="sí","VAC",IF(LEFT($G446,1)="B","B",$G446))))</f>
        <v/>
      </c>
      <c r="K446" s="3">
        <f>IFERROR(INDEX('TECNICOS'!$E$4:$E$19,MATCH($C446,'TECNICOS'!$B$4:$B$19,0)),"")</f>
        <v/>
      </c>
      <c r="L446" s="12">
        <f>IF($A446="","",DATE(VALUE(LEFT($A446,4)),1,4)-WEEKDAY(DATE(VALUE(LEFT($A446,4)),1,4),2)+1+(VALUE(MID($A446,7,2))-1)*7+MATCH($B446,lista_dias,0)-1)</f>
        <v/>
      </c>
      <c r="M446" s="3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3">
        <f>$A446&amp;"|"&amp;$B446&amp;"|"&amp;$C446</f>
        <v/>
      </c>
      <c r="O446" s="3">
        <f>IFERROR(INDEX('CAT_TURNOS'!$C$4:$C$7,MATCH($J446,'CAT_TURNOS'!$A$4:$A$7,0)),"")</f>
        <v/>
      </c>
      <c r="P446" s="3">
        <f>IFERROR(INDEX('CAT_TURNOS'!$D$4:$D$7,MATCH($J446,'CAT_TURNOS'!$A$4:$A$7,0)),"")</f>
        <v/>
      </c>
      <c r="Q446" s="3">
        <f>IF(AND(LEFT($G446,1)="T",$H446="no"),"sí","no")</f>
        <v/>
      </c>
    </row>
    <row r="447">
      <c r="A447" s="3" t="inlineStr">
        <is>
          <t>2026-S32</t>
        </is>
      </c>
      <c r="B447" s="3" t="inlineStr">
        <is>
          <t>miércoles</t>
        </is>
      </c>
      <c r="C447" s="3" t="inlineStr">
        <is>
          <t>Técnico 16</t>
        </is>
      </c>
      <c r="D447" s="3">
        <f>IFERROR(INDEX('TECNICOS'!$D$4:$D$19,MATCH($C447,'TECNICOS'!$B$4:$B$19,0)),"")</f>
        <v/>
      </c>
      <c r="E447" s="3">
        <f>IFERROR(INDEX('TECNICOS'!$C$4:$C$19,MATCH($C447,'TECNICOS'!$B$4:$B$19,0)),"")</f>
        <v/>
      </c>
      <c r="F447" s="3">
        <f>COUNTIFS('TECNICOS'!$F$4:$F$19,"SI",'TECNICOS'!$C$4:$C$19,$E447,'TECNICOS'!$D$4:$D$19,$D447)</f>
        <v/>
      </c>
      <c r="G447" s="3">
        <f>IF(OR($C447="",$A447="",$B447="domingo"),"",IF(IFERROR(INDEX('TECNICOS'!$F$4:$F$19,MATCH($C447,'TECNICOS'!$B$4:$B$19,0)),"NO")&lt;&gt;"SI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3">
        <f>IF(COUNTIFS('PLAN_VACACIONES'!$A$4:$A$103,$C447,'PLAN_VACACIONES'!$B$4:$B$103,"&lt;="&amp;$L447,'PLAN_VACACIONES'!$C$4:$C$103,"&gt;="&amp;$L447)&gt;0,"sí","no")</f>
        <v/>
      </c>
      <c r="I447" s="6" t="n"/>
      <c r="J447" s="3">
        <f>IF($I447&lt;&gt;"",$I447,IF($G447="","",IF($H447="sí","VAC",IF(LEFT($G447,1)="B","B",$G447))))</f>
        <v/>
      </c>
      <c r="K447" s="3">
        <f>IFERROR(INDEX('TECNICOS'!$E$4:$E$19,MATCH($C447,'TECNICOS'!$B$4:$B$19,0)),"")</f>
        <v/>
      </c>
      <c r="L447" s="12">
        <f>IF($A447="","",DATE(VALUE(LEFT($A447,4)),1,4)-WEEKDAY(DATE(VALUE(LEFT($A447,4)),1,4),2)+1+(VALUE(MID($A447,7,2))-1)*7+MATCH($B447,lista_dias,0)-1)</f>
        <v/>
      </c>
      <c r="M447" s="3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3">
        <f>$A447&amp;"|"&amp;$B447&amp;"|"&amp;$C447</f>
        <v/>
      </c>
      <c r="O447" s="3">
        <f>IFERROR(INDEX('CAT_TURNOS'!$C$4:$C$7,MATCH($J447,'CAT_TURNOS'!$A$4:$A$7,0)),"")</f>
        <v/>
      </c>
      <c r="P447" s="3">
        <f>IFERROR(INDEX('CAT_TURNOS'!$D$4:$D$7,MATCH($J447,'CAT_TURNOS'!$A$4:$A$7,0)),"")</f>
        <v/>
      </c>
      <c r="Q447" s="3">
        <f>IF(AND(LEFT($G447,1)="T",$H447="no"),"sí","no")</f>
        <v/>
      </c>
    </row>
    <row r="448">
      <c r="A448" s="3" t="inlineStr">
        <is>
          <t>2026-S32</t>
        </is>
      </c>
      <c r="B448" s="3" t="inlineStr">
        <is>
          <t>jueves</t>
        </is>
      </c>
      <c r="C448" s="3" t="inlineStr">
        <is>
          <t>Técnico 16</t>
        </is>
      </c>
      <c r="D448" s="3">
        <f>IFERROR(INDEX('TECNICOS'!$D$4:$D$19,MATCH($C448,'TECNICOS'!$B$4:$B$19,0)),"")</f>
        <v/>
      </c>
      <c r="E448" s="3">
        <f>IFERROR(INDEX('TECNICOS'!$C$4:$C$19,MATCH($C448,'TECNICOS'!$B$4:$B$19,0)),"")</f>
        <v/>
      </c>
      <c r="F448" s="3">
        <f>COUNTIFS('TECNICOS'!$F$4:$F$19,"SI",'TECNICOS'!$C$4:$C$19,$E448,'TECNICOS'!$D$4:$D$19,$D448)</f>
        <v/>
      </c>
      <c r="G448" s="3">
        <f>IF(OR($C448="",$A448="",$B448="domingo"),"",IF(IFERROR(INDEX('TECNICOS'!$F$4:$F$19,MATCH($C448,'TECNICOS'!$B$4:$B$19,0)),"NO")&lt;&gt;"SI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3">
        <f>IF(COUNTIFS('PLAN_VACACIONES'!$A$4:$A$103,$C448,'PLAN_VACACIONES'!$B$4:$B$103,"&lt;="&amp;$L448,'PLAN_VACACIONES'!$C$4:$C$103,"&gt;="&amp;$L448)&gt;0,"sí","no")</f>
        <v/>
      </c>
      <c r="I448" s="6" t="n"/>
      <c r="J448" s="3">
        <f>IF($I448&lt;&gt;"",$I448,IF($G448="","",IF($H448="sí","VAC",IF(LEFT($G448,1)="B","B",$G448))))</f>
        <v/>
      </c>
      <c r="K448" s="3">
        <f>IFERROR(INDEX('TECNICOS'!$E$4:$E$19,MATCH($C448,'TECNICOS'!$B$4:$B$19,0)),"")</f>
        <v/>
      </c>
      <c r="L448" s="12">
        <f>IF($A448="","",DATE(VALUE(LEFT($A448,4)),1,4)-WEEKDAY(DATE(VALUE(LEFT($A448,4)),1,4),2)+1+(VALUE(MID($A448,7,2))-1)*7+MATCH($B448,lista_dias,0)-1)</f>
        <v/>
      </c>
      <c r="M448" s="3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3">
        <f>$A448&amp;"|"&amp;$B448&amp;"|"&amp;$C448</f>
        <v/>
      </c>
      <c r="O448" s="3">
        <f>IFERROR(INDEX('CAT_TURNOS'!$C$4:$C$7,MATCH($J448,'CAT_TURNOS'!$A$4:$A$7,0)),"")</f>
        <v/>
      </c>
      <c r="P448" s="3">
        <f>IFERROR(INDEX('CAT_TURNOS'!$D$4:$D$7,MATCH($J448,'CAT_TURNOS'!$A$4:$A$7,0)),"")</f>
        <v/>
      </c>
      <c r="Q448" s="3">
        <f>IF(AND(LEFT($G448,1)="T",$H448="no"),"sí","no")</f>
        <v/>
      </c>
    </row>
    <row r="449">
      <c r="A449" s="3" t="inlineStr">
        <is>
          <t>2026-S32</t>
        </is>
      </c>
      <c r="B449" s="3" t="inlineStr">
        <is>
          <t>viernes</t>
        </is>
      </c>
      <c r="C449" s="3" t="inlineStr">
        <is>
          <t>Técnico 16</t>
        </is>
      </c>
      <c r="D449" s="3">
        <f>IFERROR(INDEX('TECNICOS'!$D$4:$D$19,MATCH($C449,'TECNICOS'!$B$4:$B$19,0)),"")</f>
        <v/>
      </c>
      <c r="E449" s="3">
        <f>IFERROR(INDEX('TECNICOS'!$C$4:$C$19,MATCH($C449,'TECNICOS'!$B$4:$B$19,0)),"")</f>
        <v/>
      </c>
      <c r="F449" s="3">
        <f>COUNTIFS('TECNICOS'!$F$4:$F$19,"SI",'TECNICOS'!$C$4:$C$19,$E449,'TECNICOS'!$D$4:$D$19,$D449)</f>
        <v/>
      </c>
      <c r="G449" s="3">
        <f>IF(OR($C449="",$A449="",$B449="domingo"),"",IF(IFERROR(INDEX('TECNICOS'!$F$4:$F$19,MATCH($C449,'TECNICOS'!$B$4:$B$19,0)),"NO")&lt;&gt;"SI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3">
        <f>IF(COUNTIFS('PLAN_VACACIONES'!$A$4:$A$103,$C449,'PLAN_VACACIONES'!$B$4:$B$103,"&lt;="&amp;$L449,'PLAN_VACACIONES'!$C$4:$C$103,"&gt;="&amp;$L449)&gt;0,"sí","no")</f>
        <v/>
      </c>
      <c r="I449" s="6" t="n"/>
      <c r="J449" s="3">
        <f>IF($I449&lt;&gt;"",$I449,IF($G449="","",IF($H449="sí","VAC",IF(LEFT($G449,1)="B","B",$G449))))</f>
        <v/>
      </c>
      <c r="K449" s="3">
        <f>IFERROR(INDEX('TECNICOS'!$E$4:$E$19,MATCH($C449,'TECNICOS'!$B$4:$B$19,0)),"")</f>
        <v/>
      </c>
      <c r="L449" s="12">
        <f>IF($A449="","",DATE(VALUE(LEFT($A449,4)),1,4)-WEEKDAY(DATE(VALUE(LEFT($A449,4)),1,4),2)+1+(VALUE(MID($A449,7,2))-1)*7+MATCH($B449,lista_dias,0)-1)</f>
        <v/>
      </c>
      <c r="M449" s="3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3">
        <f>$A449&amp;"|"&amp;$B449&amp;"|"&amp;$C449</f>
        <v/>
      </c>
      <c r="O449" s="3">
        <f>IFERROR(INDEX('CAT_TURNOS'!$C$4:$C$7,MATCH($J449,'CAT_TURNOS'!$A$4:$A$7,0)),"")</f>
        <v/>
      </c>
      <c r="P449" s="3">
        <f>IFERROR(INDEX('CAT_TURNOS'!$D$4:$D$7,MATCH($J449,'CAT_TURNOS'!$A$4:$A$7,0)),"")</f>
        <v/>
      </c>
      <c r="Q449" s="3">
        <f>IF(AND(LEFT($G449,1)="T",$H449="no"),"sí","no")</f>
        <v/>
      </c>
    </row>
    <row r="450">
      <c r="A450" s="3" t="inlineStr">
        <is>
          <t>2026-S32</t>
        </is>
      </c>
      <c r="B450" s="3" t="inlineStr">
        <is>
          <t>sábado</t>
        </is>
      </c>
      <c r="C450" s="3" t="inlineStr">
        <is>
          <t>Técnico 16</t>
        </is>
      </c>
      <c r="D450" s="3">
        <f>IFERROR(INDEX('TECNICOS'!$D$4:$D$19,MATCH($C450,'TECNICOS'!$B$4:$B$19,0)),"")</f>
        <v/>
      </c>
      <c r="E450" s="3">
        <f>IFERROR(INDEX('TECNICOS'!$C$4:$C$19,MATCH($C450,'TECNICOS'!$B$4:$B$19,0)),"")</f>
        <v/>
      </c>
      <c r="F450" s="3">
        <f>COUNTIFS('TECNICOS'!$F$4:$F$19,"SI",'TECNICOS'!$C$4:$C$19,$E450,'TECNICOS'!$D$4:$D$19,$D450)</f>
        <v/>
      </c>
      <c r="G450" s="3">
        <f>IF(OR($C450="",$A450="",$B450="domingo"),"",IF(IFERROR(INDEX('TECNICOS'!$F$4:$F$19,MATCH($C450,'TECNICOS'!$B$4:$B$19,0)),"NO")&lt;&gt;"SI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3">
        <f>IF(COUNTIFS('PLAN_VACACIONES'!$A$4:$A$103,$C450,'PLAN_VACACIONES'!$B$4:$B$103,"&lt;="&amp;$L450,'PLAN_VACACIONES'!$C$4:$C$103,"&gt;="&amp;$L450)&gt;0,"sí","no")</f>
        <v/>
      </c>
      <c r="I450" s="6" t="n"/>
      <c r="J450" s="3">
        <f>IF($I450&lt;&gt;"",$I450,IF($G450="","",IF($H450="sí","VAC",IF(LEFT($G450,1)="B","B",$G450))))</f>
        <v/>
      </c>
      <c r="K450" s="3">
        <f>IFERROR(INDEX('TECNICOS'!$E$4:$E$19,MATCH($C450,'TECNICOS'!$B$4:$B$19,0)),"")</f>
        <v/>
      </c>
      <c r="L450" s="12">
        <f>IF($A450="","",DATE(VALUE(LEFT($A450,4)),1,4)-WEEKDAY(DATE(VALUE(LEFT($A450,4)),1,4),2)+1+(VALUE(MID($A450,7,2))-1)*7+MATCH($B450,lista_dias,0)-1)</f>
        <v/>
      </c>
      <c r="M450" s="3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3">
        <f>$A450&amp;"|"&amp;$B450&amp;"|"&amp;$C450</f>
        <v/>
      </c>
      <c r="O450" s="3">
        <f>IFERROR(INDEX('CAT_TURNOS'!$C$4:$C$7,MATCH($J450,'CAT_TURNOS'!$A$4:$A$7,0)),"")</f>
        <v/>
      </c>
      <c r="P450" s="3">
        <f>IFERROR(INDEX('CAT_TURNOS'!$D$4:$D$7,MATCH($J450,'CAT_TURNOS'!$A$4:$A$7,0)),"")</f>
        <v/>
      </c>
      <c r="Q450" s="3">
        <f>IF(AND(LEFT($G450,1)="T",$H450="no"),"sí","no")</f>
        <v/>
      </c>
    </row>
    <row r="451">
      <c r="A451" s="3" t="inlineStr">
        <is>
          <t>2026-S32</t>
        </is>
      </c>
      <c r="B451" s="3" t="inlineStr">
        <is>
          <t>domingo</t>
        </is>
      </c>
      <c r="C451" s="3" t="inlineStr">
        <is>
          <t>Técnico 16</t>
        </is>
      </c>
      <c r="D451" s="3">
        <f>IFERROR(INDEX('TECNICOS'!$D$4:$D$19,MATCH($C451,'TECNICOS'!$B$4:$B$19,0)),"")</f>
        <v/>
      </c>
      <c r="E451" s="3">
        <f>IFERROR(INDEX('TECNICOS'!$C$4:$C$19,MATCH($C451,'TECNICOS'!$B$4:$B$19,0)),"")</f>
        <v/>
      </c>
      <c r="F451" s="3">
        <f>COUNTIFS('TECNICOS'!$F$4:$F$19,"SI",'TECNICOS'!$C$4:$C$19,$E451,'TECNICOS'!$D$4:$D$19,$D451)</f>
        <v/>
      </c>
      <c r="G451" s="3">
        <f>IF(OR($C451="",$A451="",$B451="domingo"),"",IF(IFERROR(INDEX('TECNICOS'!$F$4:$F$19,MATCH($C451,'TECNICOS'!$B$4:$B$19,0)),"NO")&lt;&gt;"SI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3">
        <f>IF(COUNTIFS('PLAN_VACACIONES'!$A$4:$A$103,$C451,'PLAN_VACACIONES'!$B$4:$B$103,"&lt;="&amp;$L451,'PLAN_VACACIONES'!$C$4:$C$103,"&gt;="&amp;$L451)&gt;0,"sí","no")</f>
        <v/>
      </c>
      <c r="I451" s="6" t="n"/>
      <c r="J451" s="3">
        <f>IF($I451&lt;&gt;"",$I451,IF($G451="","",IF($H451="sí","VAC",IF(LEFT($G451,1)="B","B",$G451))))</f>
        <v/>
      </c>
      <c r="K451" s="3">
        <f>IFERROR(INDEX('TECNICOS'!$E$4:$E$19,MATCH($C451,'TECNICOS'!$B$4:$B$19,0)),"")</f>
        <v/>
      </c>
      <c r="L451" s="12">
        <f>IF($A451="","",DATE(VALUE(LEFT($A451,4)),1,4)-WEEKDAY(DATE(VALUE(LEFT($A451,4)),1,4),2)+1+(VALUE(MID($A451,7,2))-1)*7+MATCH($B451,lista_dias,0)-1)</f>
        <v/>
      </c>
      <c r="M451" s="3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3">
        <f>$A451&amp;"|"&amp;$B451&amp;"|"&amp;$C451</f>
        <v/>
      </c>
      <c r="O451" s="3">
        <f>IFERROR(INDEX('CAT_TURNOS'!$C$4:$C$7,MATCH($J451,'CAT_TURNOS'!$A$4:$A$7,0)),"")</f>
        <v/>
      </c>
      <c r="P451" s="3">
        <f>IFERROR(INDEX('CAT_TURNOS'!$D$4:$D$7,MATCH($J451,'CAT_TURNOS'!$A$4:$A$7,0)),"")</f>
        <v/>
      </c>
      <c r="Q451" s="3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4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5" t="inlineStr">
        <is>
          <t>tecnico</t>
        </is>
      </c>
      <c r="B3" s="5" t="inlineStr">
        <is>
          <t>fecha_inicio</t>
        </is>
      </c>
      <c r="C3" s="5" t="inlineStr">
        <is>
          <t>fecha_fin</t>
        </is>
      </c>
      <c r="D3" s="5" t="inlineStr">
        <is>
          <t>motivo</t>
        </is>
      </c>
    </row>
    <row r="4">
      <c r="A4" s="6" t="inlineStr">
        <is>
          <t>Técnico 05</t>
        </is>
      </c>
      <c r="B4" s="8" t="n">
        <v>46223</v>
      </c>
      <c r="C4" s="8" t="n">
        <v>46250</v>
      </c>
      <c r="D4" s="6" t="inlineStr">
        <is>
          <t>Vacaciones anuales</t>
        </is>
      </c>
    </row>
    <row r="5">
      <c r="A5" s="6" t="inlineStr">
        <is>
          <t>Técnico 05</t>
        </is>
      </c>
      <c r="B5" s="8" t="n">
        <v>46272</v>
      </c>
      <c r="C5" s="8" t="n">
        <v>46278</v>
      </c>
      <c r="D5" s="6" t="inlineStr">
        <is>
          <t>Permiso</t>
        </is>
      </c>
    </row>
    <row r="6">
      <c r="A6" s="6" t="n"/>
      <c r="B6" s="8" t="n"/>
      <c r="C6" s="8" t="n"/>
      <c r="D6" s="6" t="n"/>
    </row>
    <row r="7">
      <c r="A7" s="6" t="n"/>
      <c r="B7" s="8" t="n"/>
      <c r="C7" s="8" t="n"/>
      <c r="D7" s="6" t="n"/>
    </row>
    <row r="8">
      <c r="A8" s="6" t="n"/>
      <c r="B8" s="8" t="n"/>
      <c r="C8" s="8" t="n"/>
      <c r="D8" s="6" t="n"/>
    </row>
    <row r="9">
      <c r="A9" s="6" t="n"/>
      <c r="B9" s="8" t="n"/>
      <c r="C9" s="8" t="n"/>
      <c r="D9" s="6" t="n"/>
    </row>
    <row r="10">
      <c r="A10" s="6" t="n"/>
      <c r="B10" s="8" t="n"/>
      <c r="C10" s="8" t="n"/>
      <c r="D10" s="6" t="n"/>
    </row>
    <row r="11">
      <c r="A11" s="6" t="n"/>
      <c r="B11" s="8" t="n"/>
      <c r="C11" s="8" t="n"/>
      <c r="D11" s="6" t="n"/>
    </row>
    <row r="12">
      <c r="A12" s="6" t="n"/>
      <c r="B12" s="8" t="n"/>
      <c r="C12" s="8" t="n"/>
      <c r="D12" s="6" t="n"/>
    </row>
    <row r="13">
      <c r="A13" s="6" t="n"/>
      <c r="B13" s="8" t="n"/>
      <c r="C13" s="8" t="n"/>
      <c r="D13" s="6" t="n"/>
    </row>
    <row r="14">
      <c r="A14" s="6" t="n"/>
      <c r="B14" s="8" t="n"/>
      <c r="C14" s="8" t="n"/>
      <c r="D14" s="6" t="n"/>
    </row>
    <row r="15">
      <c r="A15" s="6" t="n"/>
      <c r="B15" s="8" t="n"/>
      <c r="C15" s="8" t="n"/>
      <c r="D15" s="6" t="n"/>
    </row>
    <row r="16">
      <c r="A16" s="6" t="n"/>
      <c r="B16" s="8" t="n"/>
      <c r="C16" s="8" t="n"/>
      <c r="D16" s="6" t="n"/>
    </row>
    <row r="17">
      <c r="A17" s="6" t="n"/>
      <c r="B17" s="8" t="n"/>
      <c r="C17" s="8" t="n"/>
      <c r="D17" s="6" t="n"/>
    </row>
    <row r="18">
      <c r="A18" s="6" t="n"/>
      <c r="B18" s="8" t="n"/>
      <c r="C18" s="8" t="n"/>
      <c r="D18" s="6" t="n"/>
    </row>
    <row r="19">
      <c r="A19" s="6" t="n"/>
      <c r="B19" s="8" t="n"/>
      <c r="C19" s="8" t="n"/>
      <c r="D19" s="6" t="n"/>
    </row>
    <row r="20">
      <c r="A20" s="6" t="n"/>
      <c r="B20" s="8" t="n"/>
      <c r="C20" s="8" t="n"/>
      <c r="D20" s="6" t="n"/>
    </row>
    <row r="21">
      <c r="A21" s="6" t="n"/>
      <c r="B21" s="8" t="n"/>
      <c r="C21" s="8" t="n"/>
      <c r="D21" s="6" t="n"/>
    </row>
    <row r="22">
      <c r="A22" s="6" t="n"/>
      <c r="B22" s="8" t="n"/>
      <c r="C22" s="8" t="n"/>
      <c r="D22" s="6" t="n"/>
    </row>
    <row r="23">
      <c r="A23" s="6" t="n"/>
      <c r="B23" s="8" t="n"/>
      <c r="C23" s="8" t="n"/>
      <c r="D23" s="6" t="n"/>
    </row>
    <row r="24">
      <c r="A24" s="6" t="n"/>
      <c r="B24" s="8" t="n"/>
      <c r="C24" s="8" t="n"/>
      <c r="D24" s="6" t="n"/>
    </row>
    <row r="25">
      <c r="A25" s="6" t="n"/>
      <c r="B25" s="8" t="n"/>
      <c r="C25" s="8" t="n"/>
      <c r="D25" s="6" t="n"/>
    </row>
    <row r="26">
      <c r="A26" s="6" t="n"/>
      <c r="B26" s="8" t="n"/>
      <c r="C26" s="8" t="n"/>
      <c r="D26" s="6" t="n"/>
    </row>
    <row r="27">
      <c r="A27" s="6" t="n"/>
      <c r="B27" s="8" t="n"/>
      <c r="C27" s="8" t="n"/>
      <c r="D27" s="6" t="n"/>
    </row>
    <row r="28">
      <c r="A28" s="6" t="n"/>
      <c r="B28" s="8" t="n"/>
      <c r="C28" s="8" t="n"/>
      <c r="D28" s="6" t="n"/>
    </row>
    <row r="29">
      <c r="A29" s="6" t="n"/>
      <c r="B29" s="8" t="n"/>
      <c r="C29" s="8" t="n"/>
      <c r="D29" s="6" t="n"/>
    </row>
    <row r="30">
      <c r="A30" s="6" t="n"/>
      <c r="B30" s="8" t="n"/>
      <c r="C30" s="8" t="n"/>
      <c r="D30" s="6" t="n"/>
    </row>
    <row r="31">
      <c r="A31" s="6" t="n"/>
      <c r="B31" s="8" t="n"/>
      <c r="C31" s="8" t="n"/>
      <c r="D31" s="6" t="n"/>
    </row>
    <row r="32">
      <c r="A32" s="6" t="n"/>
      <c r="B32" s="8" t="n"/>
      <c r="C32" s="8" t="n"/>
      <c r="D32" s="6" t="n"/>
    </row>
    <row r="33">
      <c r="A33" s="6" t="n"/>
      <c r="B33" s="8" t="n"/>
      <c r="C33" s="8" t="n"/>
      <c r="D33" s="6" t="n"/>
    </row>
    <row r="34">
      <c r="A34" s="6" t="n"/>
      <c r="B34" s="8" t="n"/>
      <c r="C34" s="8" t="n"/>
      <c r="D34" s="6" t="n"/>
    </row>
    <row r="35">
      <c r="A35" s="6" t="n"/>
      <c r="B35" s="8" t="n"/>
      <c r="C35" s="8" t="n"/>
      <c r="D35" s="6" t="n"/>
    </row>
    <row r="36">
      <c r="A36" s="6" t="n"/>
      <c r="B36" s="8" t="n"/>
      <c r="C36" s="8" t="n"/>
      <c r="D36" s="6" t="n"/>
    </row>
    <row r="37">
      <c r="A37" s="6" t="n"/>
      <c r="B37" s="8" t="n"/>
      <c r="C37" s="8" t="n"/>
      <c r="D37" s="6" t="n"/>
    </row>
    <row r="38">
      <c r="A38" s="6" t="n"/>
      <c r="B38" s="8" t="n"/>
      <c r="C38" s="8" t="n"/>
      <c r="D38" s="6" t="n"/>
    </row>
    <row r="39">
      <c r="A39" s="6" t="n"/>
      <c r="B39" s="8" t="n"/>
      <c r="C39" s="8" t="n"/>
      <c r="D39" s="6" t="n"/>
    </row>
    <row r="40">
      <c r="A40" s="6" t="n"/>
      <c r="B40" s="8" t="n"/>
      <c r="C40" s="8" t="n"/>
      <c r="D40" s="6" t="n"/>
    </row>
    <row r="41">
      <c r="A41" s="6" t="n"/>
      <c r="B41" s="8" t="n"/>
      <c r="C41" s="8" t="n"/>
      <c r="D41" s="6" t="n"/>
    </row>
    <row r="42">
      <c r="A42" s="6" t="n"/>
      <c r="B42" s="8" t="n"/>
      <c r="C42" s="8" t="n"/>
      <c r="D42" s="6" t="n"/>
    </row>
    <row r="43">
      <c r="A43" s="6" t="n"/>
      <c r="B43" s="8" t="n"/>
      <c r="C43" s="8" t="n"/>
      <c r="D43" s="6" t="n"/>
    </row>
    <row r="44">
      <c r="A44" s="6" t="n"/>
      <c r="B44" s="8" t="n"/>
      <c r="C44" s="8" t="n"/>
      <c r="D44" s="6" t="n"/>
    </row>
    <row r="45">
      <c r="A45" s="6" t="n"/>
      <c r="B45" s="8" t="n"/>
      <c r="C45" s="8" t="n"/>
      <c r="D45" s="6" t="n"/>
    </row>
    <row r="46">
      <c r="A46" s="6" t="n"/>
      <c r="B46" s="8" t="n"/>
      <c r="C46" s="8" t="n"/>
      <c r="D46" s="6" t="n"/>
    </row>
    <row r="47">
      <c r="A47" s="6" t="n"/>
      <c r="B47" s="8" t="n"/>
      <c r="C47" s="8" t="n"/>
      <c r="D47" s="6" t="n"/>
    </row>
    <row r="48">
      <c r="A48" s="6" t="n"/>
      <c r="B48" s="8" t="n"/>
      <c r="C48" s="8" t="n"/>
      <c r="D48" s="6" t="n"/>
    </row>
    <row r="49">
      <c r="A49" s="6" t="n"/>
      <c r="B49" s="8" t="n"/>
      <c r="C49" s="8" t="n"/>
      <c r="D49" s="6" t="n"/>
    </row>
    <row r="50">
      <c r="A50" s="6" t="n"/>
      <c r="B50" s="8" t="n"/>
      <c r="C50" s="8" t="n"/>
      <c r="D50" s="6" t="n"/>
    </row>
    <row r="51">
      <c r="A51" s="6" t="n"/>
      <c r="B51" s="8" t="n"/>
      <c r="C51" s="8" t="n"/>
      <c r="D51" s="6" t="n"/>
    </row>
    <row r="52">
      <c r="A52" s="6" t="n"/>
      <c r="B52" s="8" t="n"/>
      <c r="C52" s="8" t="n"/>
      <c r="D52" s="6" t="n"/>
    </row>
    <row r="53">
      <c r="A53" s="6" t="n"/>
      <c r="B53" s="8" t="n"/>
      <c r="C53" s="8" t="n"/>
      <c r="D53" s="6" t="n"/>
    </row>
    <row r="54">
      <c r="A54" s="6" t="n"/>
      <c r="B54" s="8" t="n"/>
      <c r="C54" s="8" t="n"/>
      <c r="D54" s="6" t="n"/>
    </row>
    <row r="55">
      <c r="A55" s="6" t="n"/>
      <c r="B55" s="8" t="n"/>
      <c r="C55" s="8" t="n"/>
      <c r="D55" s="6" t="n"/>
    </row>
    <row r="56">
      <c r="A56" s="6" t="n"/>
      <c r="B56" s="8" t="n"/>
      <c r="C56" s="8" t="n"/>
      <c r="D56" s="6" t="n"/>
    </row>
    <row r="57">
      <c r="A57" s="6" t="n"/>
      <c r="B57" s="8" t="n"/>
      <c r="C57" s="8" t="n"/>
      <c r="D57" s="6" t="n"/>
    </row>
    <row r="58">
      <c r="A58" s="6" t="n"/>
      <c r="B58" s="8" t="n"/>
      <c r="C58" s="8" t="n"/>
      <c r="D58" s="6" t="n"/>
    </row>
    <row r="59">
      <c r="A59" s="6" t="n"/>
      <c r="B59" s="8" t="n"/>
      <c r="C59" s="8" t="n"/>
      <c r="D59" s="6" t="n"/>
    </row>
    <row r="60">
      <c r="A60" s="6" t="n"/>
      <c r="B60" s="8" t="n"/>
      <c r="C60" s="8" t="n"/>
      <c r="D60" s="6" t="n"/>
    </row>
    <row r="61">
      <c r="A61" s="6" t="n"/>
      <c r="B61" s="8" t="n"/>
      <c r="C61" s="8" t="n"/>
      <c r="D61" s="6" t="n"/>
    </row>
    <row r="62">
      <c r="A62" s="6" t="n"/>
      <c r="B62" s="8" t="n"/>
      <c r="C62" s="8" t="n"/>
      <c r="D62" s="6" t="n"/>
    </row>
    <row r="63">
      <c r="A63" s="6" t="n"/>
      <c r="B63" s="8" t="n"/>
      <c r="C63" s="8" t="n"/>
      <c r="D63" s="6" t="n"/>
    </row>
    <row r="64">
      <c r="A64" s="6" t="n"/>
      <c r="B64" s="8" t="n"/>
      <c r="C64" s="8" t="n"/>
      <c r="D64" s="6" t="n"/>
    </row>
    <row r="65">
      <c r="A65" s="6" t="n"/>
      <c r="B65" s="8" t="n"/>
      <c r="C65" s="8" t="n"/>
      <c r="D65" s="6" t="n"/>
    </row>
    <row r="66">
      <c r="A66" s="6" t="n"/>
      <c r="B66" s="8" t="n"/>
      <c r="C66" s="8" t="n"/>
      <c r="D66" s="6" t="n"/>
    </row>
    <row r="67">
      <c r="A67" s="6" t="n"/>
      <c r="B67" s="8" t="n"/>
      <c r="C67" s="8" t="n"/>
      <c r="D67" s="6" t="n"/>
    </row>
    <row r="68">
      <c r="A68" s="6" t="n"/>
      <c r="B68" s="8" t="n"/>
      <c r="C68" s="8" t="n"/>
      <c r="D68" s="6" t="n"/>
    </row>
    <row r="69">
      <c r="A69" s="6" t="n"/>
      <c r="B69" s="8" t="n"/>
      <c r="C69" s="8" t="n"/>
      <c r="D69" s="6" t="n"/>
    </row>
    <row r="70">
      <c r="A70" s="6" t="n"/>
      <c r="B70" s="8" t="n"/>
      <c r="C70" s="8" t="n"/>
      <c r="D70" s="6" t="n"/>
    </row>
    <row r="71">
      <c r="A71" s="6" t="n"/>
      <c r="B71" s="8" t="n"/>
      <c r="C71" s="8" t="n"/>
      <c r="D71" s="6" t="n"/>
    </row>
    <row r="72">
      <c r="A72" s="6" t="n"/>
      <c r="B72" s="8" t="n"/>
      <c r="C72" s="8" t="n"/>
      <c r="D72" s="6" t="n"/>
    </row>
    <row r="73">
      <c r="A73" s="6" t="n"/>
      <c r="B73" s="8" t="n"/>
      <c r="C73" s="8" t="n"/>
      <c r="D73" s="6" t="n"/>
    </row>
    <row r="74">
      <c r="A74" s="6" t="n"/>
      <c r="B74" s="8" t="n"/>
      <c r="C74" s="8" t="n"/>
      <c r="D74" s="6" t="n"/>
    </row>
    <row r="75">
      <c r="A75" s="6" t="n"/>
      <c r="B75" s="8" t="n"/>
      <c r="C75" s="8" t="n"/>
      <c r="D75" s="6" t="n"/>
    </row>
    <row r="76">
      <c r="A76" s="6" t="n"/>
      <c r="B76" s="8" t="n"/>
      <c r="C76" s="8" t="n"/>
      <c r="D76" s="6" t="n"/>
    </row>
    <row r="77">
      <c r="A77" s="6" t="n"/>
      <c r="B77" s="8" t="n"/>
      <c r="C77" s="8" t="n"/>
      <c r="D77" s="6" t="n"/>
    </row>
    <row r="78">
      <c r="A78" s="6" t="n"/>
      <c r="B78" s="8" t="n"/>
      <c r="C78" s="8" t="n"/>
      <c r="D78" s="6" t="n"/>
    </row>
    <row r="79">
      <c r="A79" s="6" t="n"/>
      <c r="B79" s="8" t="n"/>
      <c r="C79" s="8" t="n"/>
      <c r="D79" s="6" t="n"/>
    </row>
    <row r="80">
      <c r="A80" s="6" t="n"/>
      <c r="B80" s="8" t="n"/>
      <c r="C80" s="8" t="n"/>
      <c r="D80" s="6" t="n"/>
    </row>
    <row r="81">
      <c r="A81" s="6" t="n"/>
      <c r="B81" s="8" t="n"/>
      <c r="C81" s="8" t="n"/>
      <c r="D81" s="6" t="n"/>
    </row>
    <row r="82">
      <c r="A82" s="6" t="n"/>
      <c r="B82" s="8" t="n"/>
      <c r="C82" s="8" t="n"/>
      <c r="D82" s="6" t="n"/>
    </row>
    <row r="83">
      <c r="A83" s="6" t="n"/>
      <c r="B83" s="8" t="n"/>
      <c r="C83" s="8" t="n"/>
      <c r="D83" s="6" t="n"/>
    </row>
    <row r="84">
      <c r="A84" s="6" t="n"/>
      <c r="B84" s="8" t="n"/>
      <c r="C84" s="8" t="n"/>
      <c r="D84" s="6" t="n"/>
    </row>
    <row r="85">
      <c r="A85" s="6" t="n"/>
      <c r="B85" s="8" t="n"/>
      <c r="C85" s="8" t="n"/>
      <c r="D85" s="6" t="n"/>
    </row>
    <row r="86">
      <c r="A86" s="6" t="n"/>
      <c r="B86" s="8" t="n"/>
      <c r="C86" s="8" t="n"/>
      <c r="D86" s="6" t="n"/>
    </row>
    <row r="87">
      <c r="A87" s="6" t="n"/>
      <c r="B87" s="8" t="n"/>
      <c r="C87" s="8" t="n"/>
      <c r="D87" s="6" t="n"/>
    </row>
    <row r="88">
      <c r="A88" s="6" t="n"/>
      <c r="B88" s="8" t="n"/>
      <c r="C88" s="8" t="n"/>
      <c r="D88" s="6" t="n"/>
    </row>
    <row r="89">
      <c r="A89" s="6" t="n"/>
      <c r="B89" s="8" t="n"/>
      <c r="C89" s="8" t="n"/>
      <c r="D89" s="6" t="n"/>
    </row>
    <row r="90">
      <c r="A90" s="6" t="n"/>
      <c r="B90" s="8" t="n"/>
      <c r="C90" s="8" t="n"/>
      <c r="D90" s="6" t="n"/>
    </row>
    <row r="91">
      <c r="A91" s="6" t="n"/>
      <c r="B91" s="8" t="n"/>
      <c r="C91" s="8" t="n"/>
      <c r="D91" s="6" t="n"/>
    </row>
    <row r="92">
      <c r="A92" s="6" t="n"/>
      <c r="B92" s="8" t="n"/>
      <c r="C92" s="8" t="n"/>
      <c r="D92" s="6" t="n"/>
    </row>
    <row r="93">
      <c r="A93" s="6" t="n"/>
      <c r="B93" s="8" t="n"/>
      <c r="C93" s="8" t="n"/>
      <c r="D93" s="6" t="n"/>
    </row>
    <row r="94">
      <c r="A94" s="6" t="n"/>
      <c r="B94" s="8" t="n"/>
      <c r="C94" s="8" t="n"/>
      <c r="D94" s="6" t="n"/>
    </row>
    <row r="95">
      <c r="A95" s="6" t="n"/>
      <c r="B95" s="8" t="n"/>
      <c r="C95" s="8" t="n"/>
      <c r="D95" s="6" t="n"/>
    </row>
    <row r="96">
      <c r="A96" s="6" t="n"/>
      <c r="B96" s="8" t="n"/>
      <c r="C96" s="8" t="n"/>
      <c r="D96" s="6" t="n"/>
    </row>
    <row r="97">
      <c r="A97" s="6" t="n"/>
      <c r="B97" s="8" t="n"/>
      <c r="C97" s="8" t="n"/>
      <c r="D97" s="6" t="n"/>
    </row>
    <row r="98">
      <c r="A98" s="6" t="n"/>
      <c r="B98" s="8" t="n"/>
      <c r="C98" s="8" t="n"/>
      <c r="D98" s="6" t="n"/>
    </row>
    <row r="99">
      <c r="A99" s="6" t="n"/>
      <c r="B99" s="8" t="n"/>
      <c r="C99" s="8" t="n"/>
      <c r="D99" s="6" t="n"/>
    </row>
    <row r="100">
      <c r="A100" s="6" t="n"/>
      <c r="B100" s="8" t="n"/>
      <c r="C100" s="8" t="n"/>
      <c r="D100" s="6" t="n"/>
    </row>
    <row r="101">
      <c r="A101" s="6" t="n"/>
      <c r="B101" s="8" t="n"/>
      <c r="C101" s="8" t="n"/>
      <c r="D101" s="6" t="n"/>
    </row>
    <row r="102">
      <c r="A102" s="6" t="n"/>
      <c r="B102" s="8" t="n"/>
      <c r="C102" s="8" t="n"/>
      <c r="D102" s="6" t="n"/>
    </row>
    <row r="103">
      <c r="A103" s="6" t="n"/>
      <c r="B103" s="8" t="n"/>
      <c r="C103" s="8" t="n"/>
      <c r="D103" s="6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4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5" t="inlineStr">
        <is>
          <t>tecnico</t>
        </is>
      </c>
      <c r="B3" s="5" t="inlineStr">
        <is>
          <t>semana</t>
        </is>
      </c>
      <c r="C3" s="5" t="inlineStr">
        <is>
          <t>especialidad</t>
        </is>
      </c>
      <c r="D3" s="5" t="inlineStr">
        <is>
          <t>posicion</t>
        </is>
      </c>
      <c r="E3" s="5" t="inlineStr">
        <is>
          <t>horas_reales</t>
        </is>
      </c>
      <c r="F3" s="5" t="inlineStr">
        <is>
          <t>base_semanal</t>
        </is>
      </c>
      <c r="G3" s="5" t="inlineStr">
        <is>
          <t>superavit_deficit</t>
        </is>
      </c>
    </row>
    <row r="4">
      <c r="A4" s="3" t="inlineStr">
        <is>
          <t>Técnico 01</t>
        </is>
      </c>
      <c r="B4" s="3" t="inlineStr">
        <is>
          <t>2026-S29</t>
        </is>
      </c>
      <c r="C4" s="3">
        <f>IFERROR(INDEX('TECNICOS'!$C$4:$C$19,MATCH($A4,'TECNICOS'!$B$4:$B$19,0)),"")</f>
        <v/>
      </c>
      <c r="D4" s="3">
        <f>IFERROR(INDEX('ASIGNACIONES'!$G$4:$G$451,MATCH($B4&amp;"|lunes|"&amp;$A4,'ASIGNACIONES'!$N$4:$N$451,0)),"")</f>
        <v/>
      </c>
      <c r="E4" s="3">
        <f>SUMIFS('ASIGNACIONES'!$M$4:$M$451,'ASIGNACIONES'!$C$4:$C$451,$A4,'ASIGNACIONES'!$A$4:$A$451,$B4)+IF(COUNTIFS('ASIGNACIONES'!$C$4:$C$451,$A4,'ASIGNACIONES'!$A$4:$A$451,$B4,'ASIGNACIONES'!$Q$4:$Q$451,"sí")&gt;0,8,0)</f>
        <v/>
      </c>
      <c r="F4" s="3">
        <f>p_base_semanal_horas</f>
        <v/>
      </c>
      <c r="G4" s="3">
        <f>$E4-$F4</f>
        <v/>
      </c>
    </row>
    <row r="5">
      <c r="A5" s="3" t="inlineStr">
        <is>
          <t>Técnico 01</t>
        </is>
      </c>
      <c r="B5" s="3" t="inlineStr">
        <is>
          <t>2026-S30</t>
        </is>
      </c>
      <c r="C5" s="3">
        <f>IFERROR(INDEX('TECNICOS'!$C$4:$C$19,MATCH($A5,'TECNICOS'!$B$4:$B$19,0)),"")</f>
        <v/>
      </c>
      <c r="D5" s="3">
        <f>IFERROR(INDEX('ASIGNACIONES'!$G$4:$G$451,MATCH($B5&amp;"|lunes|"&amp;$A5,'ASIGNACIONES'!$N$4:$N$451,0)),"")</f>
        <v/>
      </c>
      <c r="E5" s="3">
        <f>SUMIFS('ASIGNACIONES'!$M$4:$M$451,'ASIGNACIONES'!$C$4:$C$451,$A5,'ASIGNACIONES'!$A$4:$A$451,$B5)+IF(COUNTIFS('ASIGNACIONES'!$C$4:$C$451,$A5,'ASIGNACIONES'!$A$4:$A$451,$B5,'ASIGNACIONES'!$Q$4:$Q$451,"sí")&gt;0,8,0)</f>
        <v/>
      </c>
      <c r="F5" s="3">
        <f>p_base_semanal_horas</f>
        <v/>
      </c>
      <c r="G5" s="3">
        <f>$E5-$F5</f>
        <v/>
      </c>
    </row>
    <row r="6">
      <c r="A6" s="3" t="inlineStr">
        <is>
          <t>Técnico 01</t>
        </is>
      </c>
      <c r="B6" s="3" t="inlineStr">
        <is>
          <t>2026-S31</t>
        </is>
      </c>
      <c r="C6" s="3">
        <f>IFERROR(INDEX('TECNICOS'!$C$4:$C$19,MATCH($A6,'TECNICOS'!$B$4:$B$19,0)),"")</f>
        <v/>
      </c>
      <c r="D6" s="3">
        <f>IFERROR(INDEX('ASIGNACIONES'!$G$4:$G$451,MATCH($B6&amp;"|lunes|"&amp;$A6,'ASIGNACIONES'!$N$4:$N$451,0)),"")</f>
        <v/>
      </c>
      <c r="E6" s="3">
        <f>SUMIFS('ASIGNACIONES'!$M$4:$M$451,'ASIGNACIONES'!$C$4:$C$451,$A6,'ASIGNACIONES'!$A$4:$A$451,$B6)+IF(COUNTIFS('ASIGNACIONES'!$C$4:$C$451,$A6,'ASIGNACIONES'!$A$4:$A$451,$B6,'ASIGNACIONES'!$Q$4:$Q$451,"sí")&gt;0,8,0)</f>
        <v/>
      </c>
      <c r="F6" s="3">
        <f>p_base_semanal_horas</f>
        <v/>
      </c>
      <c r="G6" s="3">
        <f>$E6-$F6</f>
        <v/>
      </c>
    </row>
    <row r="7">
      <c r="A7" s="3" t="inlineStr">
        <is>
          <t>Técnico 01</t>
        </is>
      </c>
      <c r="B7" s="3" t="inlineStr">
        <is>
          <t>2026-S32</t>
        </is>
      </c>
      <c r="C7" s="3">
        <f>IFERROR(INDEX('TECNICOS'!$C$4:$C$19,MATCH($A7,'TECNICOS'!$B$4:$B$19,0)),"")</f>
        <v/>
      </c>
      <c r="D7" s="3">
        <f>IFERROR(INDEX('ASIGNACIONES'!$G$4:$G$451,MATCH($B7&amp;"|lunes|"&amp;$A7,'ASIGNACIONES'!$N$4:$N$451,0)),"")</f>
        <v/>
      </c>
      <c r="E7" s="3">
        <f>SUMIFS('ASIGNACIONES'!$M$4:$M$451,'ASIGNACIONES'!$C$4:$C$451,$A7,'ASIGNACIONES'!$A$4:$A$451,$B7)+IF(COUNTIFS('ASIGNACIONES'!$C$4:$C$451,$A7,'ASIGNACIONES'!$A$4:$A$451,$B7,'ASIGNACIONES'!$Q$4:$Q$451,"sí")&gt;0,8,0)</f>
        <v/>
      </c>
      <c r="F7" s="3">
        <f>p_base_semanal_horas</f>
        <v/>
      </c>
      <c r="G7" s="3">
        <f>$E7-$F7</f>
        <v/>
      </c>
    </row>
    <row r="8">
      <c r="A8" s="3" t="inlineStr">
        <is>
          <t>Técnico 02</t>
        </is>
      </c>
      <c r="B8" s="3" t="inlineStr">
        <is>
          <t>2026-S29</t>
        </is>
      </c>
      <c r="C8" s="3">
        <f>IFERROR(INDEX('TECNICOS'!$C$4:$C$19,MATCH($A8,'TECNICOS'!$B$4:$B$19,0)),"")</f>
        <v/>
      </c>
      <c r="D8" s="3">
        <f>IFERROR(INDEX('ASIGNACIONES'!$G$4:$G$451,MATCH($B8&amp;"|lunes|"&amp;$A8,'ASIGNACIONES'!$N$4:$N$451,0)),"")</f>
        <v/>
      </c>
      <c r="E8" s="3">
        <f>SUMIFS('ASIGNACIONES'!$M$4:$M$451,'ASIGNACIONES'!$C$4:$C$451,$A8,'ASIGNACIONES'!$A$4:$A$451,$B8)+IF(COUNTIFS('ASIGNACIONES'!$C$4:$C$451,$A8,'ASIGNACIONES'!$A$4:$A$451,$B8,'ASIGNACIONES'!$Q$4:$Q$451,"sí")&gt;0,8,0)</f>
        <v/>
      </c>
      <c r="F8" s="3">
        <f>p_base_semanal_horas</f>
        <v/>
      </c>
      <c r="G8" s="3">
        <f>$E8-$F8</f>
        <v/>
      </c>
    </row>
    <row r="9">
      <c r="A9" s="3" t="inlineStr">
        <is>
          <t>Técnico 02</t>
        </is>
      </c>
      <c r="B9" s="3" t="inlineStr">
        <is>
          <t>2026-S30</t>
        </is>
      </c>
      <c r="C9" s="3">
        <f>IFERROR(INDEX('TECNICOS'!$C$4:$C$19,MATCH($A9,'TECNICOS'!$B$4:$B$19,0)),"")</f>
        <v/>
      </c>
      <c r="D9" s="3">
        <f>IFERROR(INDEX('ASIGNACIONES'!$G$4:$G$451,MATCH($B9&amp;"|lunes|"&amp;$A9,'ASIGNACIONES'!$N$4:$N$451,0)),"")</f>
        <v/>
      </c>
      <c r="E9" s="3">
        <f>SUMIFS('ASIGNACIONES'!$M$4:$M$451,'ASIGNACIONES'!$C$4:$C$451,$A9,'ASIGNACIONES'!$A$4:$A$451,$B9)+IF(COUNTIFS('ASIGNACIONES'!$C$4:$C$451,$A9,'ASIGNACIONES'!$A$4:$A$451,$B9,'ASIGNACIONES'!$Q$4:$Q$451,"sí")&gt;0,8,0)</f>
        <v/>
      </c>
      <c r="F9" s="3">
        <f>p_base_semanal_horas</f>
        <v/>
      </c>
      <c r="G9" s="3">
        <f>$E9-$F9</f>
        <v/>
      </c>
    </row>
    <row r="10">
      <c r="A10" s="3" t="inlineStr">
        <is>
          <t>Técnico 02</t>
        </is>
      </c>
      <c r="B10" s="3" t="inlineStr">
        <is>
          <t>2026-S31</t>
        </is>
      </c>
      <c r="C10" s="3">
        <f>IFERROR(INDEX('TECNICOS'!$C$4:$C$19,MATCH($A10,'TECNICOS'!$B$4:$B$19,0)),"")</f>
        <v/>
      </c>
      <c r="D10" s="3">
        <f>IFERROR(INDEX('ASIGNACIONES'!$G$4:$G$451,MATCH($B10&amp;"|lunes|"&amp;$A10,'ASIGNACIONES'!$N$4:$N$451,0)),"")</f>
        <v/>
      </c>
      <c r="E10" s="3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3">
        <f>p_base_semanal_horas</f>
        <v/>
      </c>
      <c r="G10" s="3">
        <f>$E10-$F10</f>
        <v/>
      </c>
    </row>
    <row r="11">
      <c r="A11" s="3" t="inlineStr">
        <is>
          <t>Técnico 02</t>
        </is>
      </c>
      <c r="B11" s="3" t="inlineStr">
        <is>
          <t>2026-S32</t>
        </is>
      </c>
      <c r="C11" s="3">
        <f>IFERROR(INDEX('TECNICOS'!$C$4:$C$19,MATCH($A11,'TECNICOS'!$B$4:$B$19,0)),"")</f>
        <v/>
      </c>
      <c r="D11" s="3">
        <f>IFERROR(INDEX('ASIGNACIONES'!$G$4:$G$451,MATCH($B11&amp;"|lunes|"&amp;$A11,'ASIGNACIONES'!$N$4:$N$451,0)),"")</f>
        <v/>
      </c>
      <c r="E11" s="3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3">
        <f>p_base_semanal_horas</f>
        <v/>
      </c>
      <c r="G11" s="3">
        <f>$E11-$F11</f>
        <v/>
      </c>
    </row>
    <row r="12">
      <c r="A12" s="3" t="inlineStr">
        <is>
          <t>Técnico 03</t>
        </is>
      </c>
      <c r="B12" s="3" t="inlineStr">
        <is>
          <t>2026-S29</t>
        </is>
      </c>
      <c r="C12" s="3">
        <f>IFERROR(INDEX('TECNICOS'!$C$4:$C$19,MATCH($A12,'TECNICOS'!$B$4:$B$19,0)),"")</f>
        <v/>
      </c>
      <c r="D12" s="3">
        <f>IFERROR(INDEX('ASIGNACIONES'!$G$4:$G$451,MATCH($B12&amp;"|lunes|"&amp;$A12,'ASIGNACIONES'!$N$4:$N$451,0)),"")</f>
        <v/>
      </c>
      <c r="E12" s="3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3">
        <f>p_base_semanal_horas</f>
        <v/>
      </c>
      <c r="G12" s="3">
        <f>$E12-$F12</f>
        <v/>
      </c>
    </row>
    <row r="13">
      <c r="A13" s="3" t="inlineStr">
        <is>
          <t>Técnico 03</t>
        </is>
      </c>
      <c r="B13" s="3" t="inlineStr">
        <is>
          <t>2026-S30</t>
        </is>
      </c>
      <c r="C13" s="3">
        <f>IFERROR(INDEX('TECNICOS'!$C$4:$C$19,MATCH($A13,'TECNICOS'!$B$4:$B$19,0)),"")</f>
        <v/>
      </c>
      <c r="D13" s="3">
        <f>IFERROR(INDEX('ASIGNACIONES'!$G$4:$G$451,MATCH($B13&amp;"|lunes|"&amp;$A13,'ASIGNACIONES'!$N$4:$N$451,0)),"")</f>
        <v/>
      </c>
      <c r="E13" s="3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3">
        <f>p_base_semanal_horas</f>
        <v/>
      </c>
      <c r="G13" s="3">
        <f>$E13-$F13</f>
        <v/>
      </c>
    </row>
    <row r="14">
      <c r="A14" s="3" t="inlineStr">
        <is>
          <t>Técnico 03</t>
        </is>
      </c>
      <c r="B14" s="3" t="inlineStr">
        <is>
          <t>2026-S31</t>
        </is>
      </c>
      <c r="C14" s="3">
        <f>IFERROR(INDEX('TECNICOS'!$C$4:$C$19,MATCH($A14,'TECNICOS'!$B$4:$B$19,0)),"")</f>
        <v/>
      </c>
      <c r="D14" s="3">
        <f>IFERROR(INDEX('ASIGNACIONES'!$G$4:$G$451,MATCH($B14&amp;"|lunes|"&amp;$A14,'ASIGNACIONES'!$N$4:$N$451,0)),"")</f>
        <v/>
      </c>
      <c r="E14" s="3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3">
        <f>p_base_semanal_horas</f>
        <v/>
      </c>
      <c r="G14" s="3">
        <f>$E14-$F14</f>
        <v/>
      </c>
    </row>
    <row r="15">
      <c r="A15" s="3" t="inlineStr">
        <is>
          <t>Técnico 03</t>
        </is>
      </c>
      <c r="B15" s="3" t="inlineStr">
        <is>
          <t>2026-S32</t>
        </is>
      </c>
      <c r="C15" s="3">
        <f>IFERROR(INDEX('TECNICOS'!$C$4:$C$19,MATCH($A15,'TECNICOS'!$B$4:$B$19,0)),"")</f>
        <v/>
      </c>
      <c r="D15" s="3">
        <f>IFERROR(INDEX('ASIGNACIONES'!$G$4:$G$451,MATCH($B15&amp;"|lunes|"&amp;$A15,'ASIGNACIONES'!$N$4:$N$451,0)),"")</f>
        <v/>
      </c>
      <c r="E15" s="3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3">
        <f>p_base_semanal_horas</f>
        <v/>
      </c>
      <c r="G15" s="3">
        <f>$E15-$F15</f>
        <v/>
      </c>
    </row>
    <row r="16">
      <c r="A16" s="3" t="inlineStr">
        <is>
          <t>Técnico 04</t>
        </is>
      </c>
      <c r="B16" s="3" t="inlineStr">
        <is>
          <t>2026-S29</t>
        </is>
      </c>
      <c r="C16" s="3">
        <f>IFERROR(INDEX('TECNICOS'!$C$4:$C$19,MATCH($A16,'TECNICOS'!$B$4:$B$19,0)),"")</f>
        <v/>
      </c>
      <c r="D16" s="3">
        <f>IFERROR(INDEX('ASIGNACIONES'!$G$4:$G$451,MATCH($B16&amp;"|lunes|"&amp;$A16,'ASIGNACIONES'!$N$4:$N$451,0)),"")</f>
        <v/>
      </c>
      <c r="E16" s="3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3">
        <f>p_base_semanal_horas</f>
        <v/>
      </c>
      <c r="G16" s="3">
        <f>$E16-$F16</f>
        <v/>
      </c>
    </row>
    <row r="17">
      <c r="A17" s="3" t="inlineStr">
        <is>
          <t>Técnico 04</t>
        </is>
      </c>
      <c r="B17" s="3" t="inlineStr">
        <is>
          <t>2026-S30</t>
        </is>
      </c>
      <c r="C17" s="3">
        <f>IFERROR(INDEX('TECNICOS'!$C$4:$C$19,MATCH($A17,'TECNICOS'!$B$4:$B$19,0)),"")</f>
        <v/>
      </c>
      <c r="D17" s="3">
        <f>IFERROR(INDEX('ASIGNACIONES'!$G$4:$G$451,MATCH($B17&amp;"|lunes|"&amp;$A17,'ASIGNACIONES'!$N$4:$N$451,0)),"")</f>
        <v/>
      </c>
      <c r="E17" s="3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3">
        <f>p_base_semanal_horas</f>
        <v/>
      </c>
      <c r="G17" s="3">
        <f>$E17-$F17</f>
        <v/>
      </c>
    </row>
    <row r="18">
      <c r="A18" s="3" t="inlineStr">
        <is>
          <t>Técnico 04</t>
        </is>
      </c>
      <c r="B18" s="3" t="inlineStr">
        <is>
          <t>2026-S31</t>
        </is>
      </c>
      <c r="C18" s="3">
        <f>IFERROR(INDEX('TECNICOS'!$C$4:$C$19,MATCH($A18,'TECNICOS'!$B$4:$B$19,0)),"")</f>
        <v/>
      </c>
      <c r="D18" s="3">
        <f>IFERROR(INDEX('ASIGNACIONES'!$G$4:$G$451,MATCH($B18&amp;"|lunes|"&amp;$A18,'ASIGNACIONES'!$N$4:$N$451,0)),"")</f>
        <v/>
      </c>
      <c r="E18" s="3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3">
        <f>p_base_semanal_horas</f>
        <v/>
      </c>
      <c r="G18" s="3">
        <f>$E18-$F18</f>
        <v/>
      </c>
    </row>
    <row r="19">
      <c r="A19" s="3" t="inlineStr">
        <is>
          <t>Técnico 04</t>
        </is>
      </c>
      <c r="B19" s="3" t="inlineStr">
        <is>
          <t>2026-S32</t>
        </is>
      </c>
      <c r="C19" s="3">
        <f>IFERROR(INDEX('TECNICOS'!$C$4:$C$19,MATCH($A19,'TECNICOS'!$B$4:$B$19,0)),"")</f>
        <v/>
      </c>
      <c r="D19" s="3">
        <f>IFERROR(INDEX('ASIGNACIONES'!$G$4:$G$451,MATCH($B19&amp;"|lunes|"&amp;$A19,'ASIGNACIONES'!$N$4:$N$451,0)),"")</f>
        <v/>
      </c>
      <c r="E19" s="3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3">
        <f>p_base_semanal_horas</f>
        <v/>
      </c>
      <c r="G19" s="3">
        <f>$E19-$F19</f>
        <v/>
      </c>
    </row>
    <row r="20">
      <c r="A20" s="3" t="inlineStr">
        <is>
          <t>Técnico 05</t>
        </is>
      </c>
      <c r="B20" s="3" t="inlineStr">
        <is>
          <t>2026-S29</t>
        </is>
      </c>
      <c r="C20" s="3">
        <f>IFERROR(INDEX('TECNICOS'!$C$4:$C$19,MATCH($A20,'TECNICOS'!$B$4:$B$19,0)),"")</f>
        <v/>
      </c>
      <c r="D20" s="3">
        <f>IFERROR(INDEX('ASIGNACIONES'!$G$4:$G$451,MATCH($B20&amp;"|lunes|"&amp;$A20,'ASIGNACIONES'!$N$4:$N$451,0)),"")</f>
        <v/>
      </c>
      <c r="E20" s="3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3">
        <f>p_base_semanal_horas</f>
        <v/>
      </c>
      <c r="G20" s="3">
        <f>$E20-$F20</f>
        <v/>
      </c>
    </row>
    <row r="21">
      <c r="A21" s="3" t="inlineStr">
        <is>
          <t>Técnico 05</t>
        </is>
      </c>
      <c r="B21" s="3" t="inlineStr">
        <is>
          <t>2026-S30</t>
        </is>
      </c>
      <c r="C21" s="3">
        <f>IFERROR(INDEX('TECNICOS'!$C$4:$C$19,MATCH($A21,'TECNICOS'!$B$4:$B$19,0)),"")</f>
        <v/>
      </c>
      <c r="D21" s="3">
        <f>IFERROR(INDEX('ASIGNACIONES'!$G$4:$G$451,MATCH($B21&amp;"|lunes|"&amp;$A21,'ASIGNACIONES'!$N$4:$N$451,0)),"")</f>
        <v/>
      </c>
      <c r="E21" s="3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3">
        <f>p_base_semanal_horas</f>
        <v/>
      </c>
      <c r="G21" s="3">
        <f>$E21-$F21</f>
        <v/>
      </c>
    </row>
    <row r="22">
      <c r="A22" s="3" t="inlineStr">
        <is>
          <t>Técnico 05</t>
        </is>
      </c>
      <c r="B22" s="3" t="inlineStr">
        <is>
          <t>2026-S31</t>
        </is>
      </c>
      <c r="C22" s="3">
        <f>IFERROR(INDEX('TECNICOS'!$C$4:$C$19,MATCH($A22,'TECNICOS'!$B$4:$B$19,0)),"")</f>
        <v/>
      </c>
      <c r="D22" s="3">
        <f>IFERROR(INDEX('ASIGNACIONES'!$G$4:$G$451,MATCH($B22&amp;"|lunes|"&amp;$A22,'ASIGNACIONES'!$N$4:$N$451,0)),"")</f>
        <v/>
      </c>
      <c r="E22" s="3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3">
        <f>p_base_semanal_horas</f>
        <v/>
      </c>
      <c r="G22" s="3">
        <f>$E22-$F22</f>
        <v/>
      </c>
    </row>
    <row r="23">
      <c r="A23" s="3" t="inlineStr">
        <is>
          <t>Técnico 05</t>
        </is>
      </c>
      <c r="B23" s="3" t="inlineStr">
        <is>
          <t>2026-S32</t>
        </is>
      </c>
      <c r="C23" s="3">
        <f>IFERROR(INDEX('TECNICOS'!$C$4:$C$19,MATCH($A23,'TECNICOS'!$B$4:$B$19,0)),"")</f>
        <v/>
      </c>
      <c r="D23" s="3">
        <f>IFERROR(INDEX('ASIGNACIONES'!$G$4:$G$451,MATCH($B23&amp;"|lunes|"&amp;$A23,'ASIGNACIONES'!$N$4:$N$451,0)),"")</f>
        <v/>
      </c>
      <c r="E23" s="3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3">
        <f>p_base_semanal_horas</f>
        <v/>
      </c>
      <c r="G23" s="3">
        <f>$E23-$F23</f>
        <v/>
      </c>
    </row>
    <row r="24">
      <c r="A24" s="3" t="inlineStr">
        <is>
          <t>Técnico 06</t>
        </is>
      </c>
      <c r="B24" s="3" t="inlineStr">
        <is>
          <t>2026-S29</t>
        </is>
      </c>
      <c r="C24" s="3">
        <f>IFERROR(INDEX('TECNICOS'!$C$4:$C$19,MATCH($A24,'TECNICOS'!$B$4:$B$19,0)),"")</f>
        <v/>
      </c>
      <c r="D24" s="3">
        <f>IFERROR(INDEX('ASIGNACIONES'!$G$4:$G$451,MATCH($B24&amp;"|lunes|"&amp;$A24,'ASIGNACIONES'!$N$4:$N$451,0)),"")</f>
        <v/>
      </c>
      <c r="E24" s="3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3">
        <f>p_base_semanal_horas</f>
        <v/>
      </c>
      <c r="G24" s="3">
        <f>$E24-$F24</f>
        <v/>
      </c>
    </row>
    <row r="25">
      <c r="A25" s="3" t="inlineStr">
        <is>
          <t>Técnico 06</t>
        </is>
      </c>
      <c r="B25" s="3" t="inlineStr">
        <is>
          <t>2026-S30</t>
        </is>
      </c>
      <c r="C25" s="3">
        <f>IFERROR(INDEX('TECNICOS'!$C$4:$C$19,MATCH($A25,'TECNICOS'!$B$4:$B$19,0)),"")</f>
        <v/>
      </c>
      <c r="D25" s="3">
        <f>IFERROR(INDEX('ASIGNACIONES'!$G$4:$G$451,MATCH($B25&amp;"|lunes|"&amp;$A25,'ASIGNACIONES'!$N$4:$N$451,0)),"")</f>
        <v/>
      </c>
      <c r="E25" s="3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3">
        <f>p_base_semanal_horas</f>
        <v/>
      </c>
      <c r="G25" s="3">
        <f>$E25-$F25</f>
        <v/>
      </c>
    </row>
    <row r="26">
      <c r="A26" s="3" t="inlineStr">
        <is>
          <t>Técnico 06</t>
        </is>
      </c>
      <c r="B26" s="3" t="inlineStr">
        <is>
          <t>2026-S31</t>
        </is>
      </c>
      <c r="C26" s="3">
        <f>IFERROR(INDEX('TECNICOS'!$C$4:$C$19,MATCH($A26,'TECNICOS'!$B$4:$B$19,0)),"")</f>
        <v/>
      </c>
      <c r="D26" s="3">
        <f>IFERROR(INDEX('ASIGNACIONES'!$G$4:$G$451,MATCH($B26&amp;"|lunes|"&amp;$A26,'ASIGNACIONES'!$N$4:$N$451,0)),"")</f>
        <v/>
      </c>
      <c r="E26" s="3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3">
        <f>p_base_semanal_horas</f>
        <v/>
      </c>
      <c r="G26" s="3">
        <f>$E26-$F26</f>
        <v/>
      </c>
    </row>
    <row r="27">
      <c r="A27" s="3" t="inlineStr">
        <is>
          <t>Técnico 06</t>
        </is>
      </c>
      <c r="B27" s="3" t="inlineStr">
        <is>
          <t>2026-S32</t>
        </is>
      </c>
      <c r="C27" s="3">
        <f>IFERROR(INDEX('TECNICOS'!$C$4:$C$19,MATCH($A27,'TECNICOS'!$B$4:$B$19,0)),"")</f>
        <v/>
      </c>
      <c r="D27" s="3">
        <f>IFERROR(INDEX('ASIGNACIONES'!$G$4:$G$451,MATCH($B27&amp;"|lunes|"&amp;$A27,'ASIGNACIONES'!$N$4:$N$451,0)),"")</f>
        <v/>
      </c>
      <c r="E27" s="3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3">
        <f>p_base_semanal_horas</f>
        <v/>
      </c>
      <c r="G27" s="3">
        <f>$E27-$F27</f>
        <v/>
      </c>
    </row>
    <row r="28">
      <c r="A28" s="3" t="inlineStr">
        <is>
          <t>Técnico 07</t>
        </is>
      </c>
      <c r="B28" s="3" t="inlineStr">
        <is>
          <t>2026-S29</t>
        </is>
      </c>
      <c r="C28" s="3">
        <f>IFERROR(INDEX('TECNICOS'!$C$4:$C$19,MATCH($A28,'TECNICOS'!$B$4:$B$19,0)),"")</f>
        <v/>
      </c>
      <c r="D28" s="3">
        <f>IFERROR(INDEX('ASIGNACIONES'!$G$4:$G$451,MATCH($B28&amp;"|lunes|"&amp;$A28,'ASIGNACIONES'!$N$4:$N$451,0)),"")</f>
        <v/>
      </c>
      <c r="E28" s="3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3">
        <f>p_base_semanal_horas</f>
        <v/>
      </c>
      <c r="G28" s="3">
        <f>$E28-$F28</f>
        <v/>
      </c>
    </row>
    <row r="29">
      <c r="A29" s="3" t="inlineStr">
        <is>
          <t>Técnico 07</t>
        </is>
      </c>
      <c r="B29" s="3" t="inlineStr">
        <is>
          <t>2026-S30</t>
        </is>
      </c>
      <c r="C29" s="3">
        <f>IFERROR(INDEX('TECNICOS'!$C$4:$C$19,MATCH($A29,'TECNICOS'!$B$4:$B$19,0)),"")</f>
        <v/>
      </c>
      <c r="D29" s="3">
        <f>IFERROR(INDEX('ASIGNACIONES'!$G$4:$G$451,MATCH($B29&amp;"|lunes|"&amp;$A29,'ASIGNACIONES'!$N$4:$N$451,0)),"")</f>
        <v/>
      </c>
      <c r="E29" s="3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3">
        <f>p_base_semanal_horas</f>
        <v/>
      </c>
      <c r="G29" s="3">
        <f>$E29-$F29</f>
        <v/>
      </c>
    </row>
    <row r="30">
      <c r="A30" s="3" t="inlineStr">
        <is>
          <t>Técnico 07</t>
        </is>
      </c>
      <c r="B30" s="3" t="inlineStr">
        <is>
          <t>2026-S31</t>
        </is>
      </c>
      <c r="C30" s="3">
        <f>IFERROR(INDEX('TECNICOS'!$C$4:$C$19,MATCH($A30,'TECNICOS'!$B$4:$B$19,0)),"")</f>
        <v/>
      </c>
      <c r="D30" s="3">
        <f>IFERROR(INDEX('ASIGNACIONES'!$G$4:$G$451,MATCH($B30&amp;"|lunes|"&amp;$A30,'ASIGNACIONES'!$N$4:$N$451,0)),"")</f>
        <v/>
      </c>
      <c r="E30" s="3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3">
        <f>p_base_semanal_horas</f>
        <v/>
      </c>
      <c r="G30" s="3">
        <f>$E30-$F30</f>
        <v/>
      </c>
    </row>
    <row r="31">
      <c r="A31" s="3" t="inlineStr">
        <is>
          <t>Técnico 07</t>
        </is>
      </c>
      <c r="B31" s="3" t="inlineStr">
        <is>
          <t>2026-S32</t>
        </is>
      </c>
      <c r="C31" s="3">
        <f>IFERROR(INDEX('TECNICOS'!$C$4:$C$19,MATCH($A31,'TECNICOS'!$B$4:$B$19,0)),"")</f>
        <v/>
      </c>
      <c r="D31" s="3">
        <f>IFERROR(INDEX('ASIGNACIONES'!$G$4:$G$451,MATCH($B31&amp;"|lunes|"&amp;$A31,'ASIGNACIONES'!$N$4:$N$451,0)),"")</f>
        <v/>
      </c>
      <c r="E31" s="3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3">
        <f>p_base_semanal_horas</f>
        <v/>
      </c>
      <c r="G31" s="3">
        <f>$E31-$F31</f>
        <v/>
      </c>
    </row>
    <row r="32">
      <c r="A32" s="3" t="inlineStr">
        <is>
          <t>Técnico 08</t>
        </is>
      </c>
      <c r="B32" s="3" t="inlineStr">
        <is>
          <t>2026-S29</t>
        </is>
      </c>
      <c r="C32" s="3">
        <f>IFERROR(INDEX('TECNICOS'!$C$4:$C$19,MATCH($A32,'TECNICOS'!$B$4:$B$19,0)),"")</f>
        <v/>
      </c>
      <c r="D32" s="3">
        <f>IFERROR(INDEX('ASIGNACIONES'!$G$4:$G$451,MATCH($B32&amp;"|lunes|"&amp;$A32,'ASIGNACIONES'!$N$4:$N$451,0)),"")</f>
        <v/>
      </c>
      <c r="E32" s="3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3">
        <f>p_base_semanal_horas</f>
        <v/>
      </c>
      <c r="G32" s="3">
        <f>$E32-$F32</f>
        <v/>
      </c>
    </row>
    <row r="33">
      <c r="A33" s="3" t="inlineStr">
        <is>
          <t>Técnico 08</t>
        </is>
      </c>
      <c r="B33" s="3" t="inlineStr">
        <is>
          <t>2026-S30</t>
        </is>
      </c>
      <c r="C33" s="3">
        <f>IFERROR(INDEX('TECNICOS'!$C$4:$C$19,MATCH($A33,'TECNICOS'!$B$4:$B$19,0)),"")</f>
        <v/>
      </c>
      <c r="D33" s="3">
        <f>IFERROR(INDEX('ASIGNACIONES'!$G$4:$G$451,MATCH($B33&amp;"|lunes|"&amp;$A33,'ASIGNACIONES'!$N$4:$N$451,0)),"")</f>
        <v/>
      </c>
      <c r="E33" s="3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3">
        <f>p_base_semanal_horas</f>
        <v/>
      </c>
      <c r="G33" s="3">
        <f>$E33-$F33</f>
        <v/>
      </c>
    </row>
    <row r="34">
      <c r="A34" s="3" t="inlineStr">
        <is>
          <t>Técnico 08</t>
        </is>
      </c>
      <c r="B34" s="3" t="inlineStr">
        <is>
          <t>2026-S31</t>
        </is>
      </c>
      <c r="C34" s="3">
        <f>IFERROR(INDEX('TECNICOS'!$C$4:$C$19,MATCH($A34,'TECNICOS'!$B$4:$B$19,0)),"")</f>
        <v/>
      </c>
      <c r="D34" s="3">
        <f>IFERROR(INDEX('ASIGNACIONES'!$G$4:$G$451,MATCH($B34&amp;"|lunes|"&amp;$A34,'ASIGNACIONES'!$N$4:$N$451,0)),"")</f>
        <v/>
      </c>
      <c r="E34" s="3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3">
        <f>p_base_semanal_horas</f>
        <v/>
      </c>
      <c r="G34" s="3">
        <f>$E34-$F34</f>
        <v/>
      </c>
    </row>
    <row r="35">
      <c r="A35" s="3" t="inlineStr">
        <is>
          <t>Técnico 08</t>
        </is>
      </c>
      <c r="B35" s="3" t="inlineStr">
        <is>
          <t>2026-S32</t>
        </is>
      </c>
      <c r="C35" s="3">
        <f>IFERROR(INDEX('TECNICOS'!$C$4:$C$19,MATCH($A35,'TECNICOS'!$B$4:$B$19,0)),"")</f>
        <v/>
      </c>
      <c r="D35" s="3">
        <f>IFERROR(INDEX('ASIGNACIONES'!$G$4:$G$451,MATCH($B35&amp;"|lunes|"&amp;$A35,'ASIGNACIONES'!$N$4:$N$451,0)),"")</f>
        <v/>
      </c>
      <c r="E35" s="3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3">
        <f>p_base_semanal_horas</f>
        <v/>
      </c>
      <c r="G35" s="3">
        <f>$E35-$F35</f>
        <v/>
      </c>
    </row>
    <row r="36">
      <c r="A36" s="3" t="inlineStr">
        <is>
          <t>Técnico 09</t>
        </is>
      </c>
      <c r="B36" s="3" t="inlineStr">
        <is>
          <t>2026-S29</t>
        </is>
      </c>
      <c r="C36" s="3">
        <f>IFERROR(INDEX('TECNICOS'!$C$4:$C$19,MATCH($A36,'TECNICOS'!$B$4:$B$19,0)),"")</f>
        <v/>
      </c>
      <c r="D36" s="3">
        <f>IFERROR(INDEX('ASIGNACIONES'!$G$4:$G$451,MATCH($B36&amp;"|lunes|"&amp;$A36,'ASIGNACIONES'!$N$4:$N$451,0)),"")</f>
        <v/>
      </c>
      <c r="E36" s="3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3">
        <f>p_base_semanal_horas</f>
        <v/>
      </c>
      <c r="G36" s="3">
        <f>$E36-$F36</f>
        <v/>
      </c>
    </row>
    <row r="37">
      <c r="A37" s="3" t="inlineStr">
        <is>
          <t>Técnico 09</t>
        </is>
      </c>
      <c r="B37" s="3" t="inlineStr">
        <is>
          <t>2026-S30</t>
        </is>
      </c>
      <c r="C37" s="3">
        <f>IFERROR(INDEX('TECNICOS'!$C$4:$C$19,MATCH($A37,'TECNICOS'!$B$4:$B$19,0)),"")</f>
        <v/>
      </c>
      <c r="D37" s="3">
        <f>IFERROR(INDEX('ASIGNACIONES'!$G$4:$G$451,MATCH($B37&amp;"|lunes|"&amp;$A37,'ASIGNACIONES'!$N$4:$N$451,0)),"")</f>
        <v/>
      </c>
      <c r="E37" s="3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3">
        <f>p_base_semanal_horas</f>
        <v/>
      </c>
      <c r="G37" s="3">
        <f>$E37-$F37</f>
        <v/>
      </c>
    </row>
    <row r="38">
      <c r="A38" s="3" t="inlineStr">
        <is>
          <t>Técnico 09</t>
        </is>
      </c>
      <c r="B38" s="3" t="inlineStr">
        <is>
          <t>2026-S31</t>
        </is>
      </c>
      <c r="C38" s="3">
        <f>IFERROR(INDEX('TECNICOS'!$C$4:$C$19,MATCH($A38,'TECNICOS'!$B$4:$B$19,0)),"")</f>
        <v/>
      </c>
      <c r="D38" s="3">
        <f>IFERROR(INDEX('ASIGNACIONES'!$G$4:$G$451,MATCH($B38&amp;"|lunes|"&amp;$A38,'ASIGNACIONES'!$N$4:$N$451,0)),"")</f>
        <v/>
      </c>
      <c r="E38" s="3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3">
        <f>p_base_semanal_horas</f>
        <v/>
      </c>
      <c r="G38" s="3">
        <f>$E38-$F38</f>
        <v/>
      </c>
    </row>
    <row r="39">
      <c r="A39" s="3" t="inlineStr">
        <is>
          <t>Técnico 09</t>
        </is>
      </c>
      <c r="B39" s="3" t="inlineStr">
        <is>
          <t>2026-S32</t>
        </is>
      </c>
      <c r="C39" s="3">
        <f>IFERROR(INDEX('TECNICOS'!$C$4:$C$19,MATCH($A39,'TECNICOS'!$B$4:$B$19,0)),"")</f>
        <v/>
      </c>
      <c r="D39" s="3">
        <f>IFERROR(INDEX('ASIGNACIONES'!$G$4:$G$451,MATCH($B39&amp;"|lunes|"&amp;$A39,'ASIGNACIONES'!$N$4:$N$451,0)),"")</f>
        <v/>
      </c>
      <c r="E39" s="3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3">
        <f>p_base_semanal_horas</f>
        <v/>
      </c>
      <c r="G39" s="3">
        <f>$E39-$F39</f>
        <v/>
      </c>
    </row>
    <row r="40">
      <c r="A40" s="3" t="inlineStr">
        <is>
          <t>Técnico 10</t>
        </is>
      </c>
      <c r="B40" s="3" t="inlineStr">
        <is>
          <t>2026-S29</t>
        </is>
      </c>
      <c r="C40" s="3">
        <f>IFERROR(INDEX('TECNICOS'!$C$4:$C$19,MATCH($A40,'TECNICOS'!$B$4:$B$19,0)),"")</f>
        <v/>
      </c>
      <c r="D40" s="3">
        <f>IFERROR(INDEX('ASIGNACIONES'!$G$4:$G$451,MATCH($B40&amp;"|lunes|"&amp;$A40,'ASIGNACIONES'!$N$4:$N$451,0)),"")</f>
        <v/>
      </c>
      <c r="E40" s="3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3">
        <f>p_base_semanal_horas</f>
        <v/>
      </c>
      <c r="G40" s="3">
        <f>$E40-$F40</f>
        <v/>
      </c>
    </row>
    <row r="41">
      <c r="A41" s="3" t="inlineStr">
        <is>
          <t>Técnico 10</t>
        </is>
      </c>
      <c r="B41" s="3" t="inlineStr">
        <is>
          <t>2026-S30</t>
        </is>
      </c>
      <c r="C41" s="3">
        <f>IFERROR(INDEX('TECNICOS'!$C$4:$C$19,MATCH($A41,'TECNICOS'!$B$4:$B$19,0)),"")</f>
        <v/>
      </c>
      <c r="D41" s="3">
        <f>IFERROR(INDEX('ASIGNACIONES'!$G$4:$G$451,MATCH($B41&amp;"|lunes|"&amp;$A41,'ASIGNACIONES'!$N$4:$N$451,0)),"")</f>
        <v/>
      </c>
      <c r="E41" s="3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3">
        <f>p_base_semanal_horas</f>
        <v/>
      </c>
      <c r="G41" s="3">
        <f>$E41-$F41</f>
        <v/>
      </c>
    </row>
    <row r="42">
      <c r="A42" s="3" t="inlineStr">
        <is>
          <t>Técnico 10</t>
        </is>
      </c>
      <c r="B42" s="3" t="inlineStr">
        <is>
          <t>2026-S31</t>
        </is>
      </c>
      <c r="C42" s="3">
        <f>IFERROR(INDEX('TECNICOS'!$C$4:$C$19,MATCH($A42,'TECNICOS'!$B$4:$B$19,0)),"")</f>
        <v/>
      </c>
      <c r="D42" s="3">
        <f>IFERROR(INDEX('ASIGNACIONES'!$G$4:$G$451,MATCH($B42&amp;"|lunes|"&amp;$A42,'ASIGNACIONES'!$N$4:$N$451,0)),"")</f>
        <v/>
      </c>
      <c r="E42" s="3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3">
        <f>p_base_semanal_horas</f>
        <v/>
      </c>
      <c r="G42" s="3">
        <f>$E42-$F42</f>
        <v/>
      </c>
    </row>
    <row r="43">
      <c r="A43" s="3" t="inlineStr">
        <is>
          <t>Técnico 10</t>
        </is>
      </c>
      <c r="B43" s="3" t="inlineStr">
        <is>
          <t>2026-S32</t>
        </is>
      </c>
      <c r="C43" s="3">
        <f>IFERROR(INDEX('TECNICOS'!$C$4:$C$19,MATCH($A43,'TECNICOS'!$B$4:$B$19,0)),"")</f>
        <v/>
      </c>
      <c r="D43" s="3">
        <f>IFERROR(INDEX('ASIGNACIONES'!$G$4:$G$451,MATCH($B43&amp;"|lunes|"&amp;$A43,'ASIGNACIONES'!$N$4:$N$451,0)),"")</f>
        <v/>
      </c>
      <c r="E43" s="3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3">
        <f>p_base_semanal_horas</f>
        <v/>
      </c>
      <c r="G43" s="3">
        <f>$E43-$F43</f>
        <v/>
      </c>
    </row>
    <row r="44">
      <c r="A44" s="3" t="inlineStr">
        <is>
          <t>Técnico 11</t>
        </is>
      </c>
      <c r="B44" s="3" t="inlineStr">
        <is>
          <t>2026-S29</t>
        </is>
      </c>
      <c r="C44" s="3">
        <f>IFERROR(INDEX('TECNICOS'!$C$4:$C$19,MATCH($A44,'TECNICOS'!$B$4:$B$19,0)),"")</f>
        <v/>
      </c>
      <c r="D44" s="3">
        <f>IFERROR(INDEX('ASIGNACIONES'!$G$4:$G$451,MATCH($B44&amp;"|lunes|"&amp;$A44,'ASIGNACIONES'!$N$4:$N$451,0)),"")</f>
        <v/>
      </c>
      <c r="E44" s="3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3">
        <f>p_base_semanal_horas</f>
        <v/>
      </c>
      <c r="G44" s="3">
        <f>$E44-$F44</f>
        <v/>
      </c>
    </row>
    <row r="45">
      <c r="A45" s="3" t="inlineStr">
        <is>
          <t>Técnico 11</t>
        </is>
      </c>
      <c r="B45" s="3" t="inlineStr">
        <is>
          <t>2026-S30</t>
        </is>
      </c>
      <c r="C45" s="3">
        <f>IFERROR(INDEX('TECNICOS'!$C$4:$C$19,MATCH($A45,'TECNICOS'!$B$4:$B$19,0)),"")</f>
        <v/>
      </c>
      <c r="D45" s="3">
        <f>IFERROR(INDEX('ASIGNACIONES'!$G$4:$G$451,MATCH($B45&amp;"|lunes|"&amp;$A45,'ASIGNACIONES'!$N$4:$N$451,0)),"")</f>
        <v/>
      </c>
      <c r="E45" s="3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3">
        <f>p_base_semanal_horas</f>
        <v/>
      </c>
      <c r="G45" s="3">
        <f>$E45-$F45</f>
        <v/>
      </c>
    </row>
    <row r="46">
      <c r="A46" s="3" t="inlineStr">
        <is>
          <t>Técnico 11</t>
        </is>
      </c>
      <c r="B46" s="3" t="inlineStr">
        <is>
          <t>2026-S31</t>
        </is>
      </c>
      <c r="C46" s="3">
        <f>IFERROR(INDEX('TECNICOS'!$C$4:$C$19,MATCH($A46,'TECNICOS'!$B$4:$B$19,0)),"")</f>
        <v/>
      </c>
      <c r="D46" s="3">
        <f>IFERROR(INDEX('ASIGNACIONES'!$G$4:$G$451,MATCH($B46&amp;"|lunes|"&amp;$A46,'ASIGNACIONES'!$N$4:$N$451,0)),"")</f>
        <v/>
      </c>
      <c r="E46" s="3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3">
        <f>p_base_semanal_horas</f>
        <v/>
      </c>
      <c r="G46" s="3">
        <f>$E46-$F46</f>
        <v/>
      </c>
    </row>
    <row r="47">
      <c r="A47" s="3" t="inlineStr">
        <is>
          <t>Técnico 11</t>
        </is>
      </c>
      <c r="B47" s="3" t="inlineStr">
        <is>
          <t>2026-S32</t>
        </is>
      </c>
      <c r="C47" s="3">
        <f>IFERROR(INDEX('TECNICOS'!$C$4:$C$19,MATCH($A47,'TECNICOS'!$B$4:$B$19,0)),"")</f>
        <v/>
      </c>
      <c r="D47" s="3">
        <f>IFERROR(INDEX('ASIGNACIONES'!$G$4:$G$451,MATCH($B47&amp;"|lunes|"&amp;$A47,'ASIGNACIONES'!$N$4:$N$451,0)),"")</f>
        <v/>
      </c>
      <c r="E47" s="3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3">
        <f>p_base_semanal_horas</f>
        <v/>
      </c>
      <c r="G47" s="3">
        <f>$E47-$F47</f>
        <v/>
      </c>
    </row>
    <row r="48">
      <c r="A48" s="3" t="inlineStr">
        <is>
          <t>Técnico 12</t>
        </is>
      </c>
      <c r="B48" s="3" t="inlineStr">
        <is>
          <t>2026-S29</t>
        </is>
      </c>
      <c r="C48" s="3">
        <f>IFERROR(INDEX('TECNICOS'!$C$4:$C$19,MATCH($A48,'TECNICOS'!$B$4:$B$19,0)),"")</f>
        <v/>
      </c>
      <c r="D48" s="3">
        <f>IFERROR(INDEX('ASIGNACIONES'!$G$4:$G$451,MATCH($B48&amp;"|lunes|"&amp;$A48,'ASIGNACIONES'!$N$4:$N$451,0)),"")</f>
        <v/>
      </c>
      <c r="E48" s="3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3">
        <f>p_base_semanal_horas</f>
        <v/>
      </c>
      <c r="G48" s="3">
        <f>$E48-$F48</f>
        <v/>
      </c>
    </row>
    <row r="49">
      <c r="A49" s="3" t="inlineStr">
        <is>
          <t>Técnico 12</t>
        </is>
      </c>
      <c r="B49" s="3" t="inlineStr">
        <is>
          <t>2026-S30</t>
        </is>
      </c>
      <c r="C49" s="3">
        <f>IFERROR(INDEX('TECNICOS'!$C$4:$C$19,MATCH($A49,'TECNICOS'!$B$4:$B$19,0)),"")</f>
        <v/>
      </c>
      <c r="D49" s="3">
        <f>IFERROR(INDEX('ASIGNACIONES'!$G$4:$G$451,MATCH($B49&amp;"|lunes|"&amp;$A49,'ASIGNACIONES'!$N$4:$N$451,0)),"")</f>
        <v/>
      </c>
      <c r="E49" s="3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3">
        <f>p_base_semanal_horas</f>
        <v/>
      </c>
      <c r="G49" s="3">
        <f>$E49-$F49</f>
        <v/>
      </c>
    </row>
    <row r="50">
      <c r="A50" s="3" t="inlineStr">
        <is>
          <t>Técnico 12</t>
        </is>
      </c>
      <c r="B50" s="3" t="inlineStr">
        <is>
          <t>2026-S31</t>
        </is>
      </c>
      <c r="C50" s="3">
        <f>IFERROR(INDEX('TECNICOS'!$C$4:$C$19,MATCH($A50,'TECNICOS'!$B$4:$B$19,0)),"")</f>
        <v/>
      </c>
      <c r="D50" s="3">
        <f>IFERROR(INDEX('ASIGNACIONES'!$G$4:$G$451,MATCH($B50&amp;"|lunes|"&amp;$A50,'ASIGNACIONES'!$N$4:$N$451,0)),"")</f>
        <v/>
      </c>
      <c r="E50" s="3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3">
        <f>p_base_semanal_horas</f>
        <v/>
      </c>
      <c r="G50" s="3">
        <f>$E50-$F50</f>
        <v/>
      </c>
    </row>
    <row r="51">
      <c r="A51" s="3" t="inlineStr">
        <is>
          <t>Técnico 12</t>
        </is>
      </c>
      <c r="B51" s="3" t="inlineStr">
        <is>
          <t>2026-S32</t>
        </is>
      </c>
      <c r="C51" s="3">
        <f>IFERROR(INDEX('TECNICOS'!$C$4:$C$19,MATCH($A51,'TECNICOS'!$B$4:$B$19,0)),"")</f>
        <v/>
      </c>
      <c r="D51" s="3">
        <f>IFERROR(INDEX('ASIGNACIONES'!$G$4:$G$451,MATCH($B51&amp;"|lunes|"&amp;$A51,'ASIGNACIONES'!$N$4:$N$451,0)),"")</f>
        <v/>
      </c>
      <c r="E51" s="3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3">
        <f>p_base_semanal_horas</f>
        <v/>
      </c>
      <c r="G51" s="3">
        <f>$E51-$F51</f>
        <v/>
      </c>
    </row>
    <row r="52">
      <c r="A52" s="3" t="inlineStr">
        <is>
          <t>Técnico 13</t>
        </is>
      </c>
      <c r="B52" s="3" t="inlineStr">
        <is>
          <t>2026-S29</t>
        </is>
      </c>
      <c r="C52" s="3">
        <f>IFERROR(INDEX('TECNICOS'!$C$4:$C$19,MATCH($A52,'TECNICOS'!$B$4:$B$19,0)),"")</f>
        <v/>
      </c>
      <c r="D52" s="3">
        <f>IFERROR(INDEX('ASIGNACIONES'!$G$4:$G$451,MATCH($B52&amp;"|lunes|"&amp;$A52,'ASIGNACIONES'!$N$4:$N$451,0)),"")</f>
        <v/>
      </c>
      <c r="E52" s="3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3">
        <f>p_base_semanal_horas</f>
        <v/>
      </c>
      <c r="G52" s="3">
        <f>$E52-$F52</f>
        <v/>
      </c>
    </row>
    <row r="53">
      <c r="A53" s="3" t="inlineStr">
        <is>
          <t>Técnico 13</t>
        </is>
      </c>
      <c r="B53" s="3" t="inlineStr">
        <is>
          <t>2026-S30</t>
        </is>
      </c>
      <c r="C53" s="3">
        <f>IFERROR(INDEX('TECNICOS'!$C$4:$C$19,MATCH($A53,'TECNICOS'!$B$4:$B$19,0)),"")</f>
        <v/>
      </c>
      <c r="D53" s="3">
        <f>IFERROR(INDEX('ASIGNACIONES'!$G$4:$G$451,MATCH($B53&amp;"|lunes|"&amp;$A53,'ASIGNACIONES'!$N$4:$N$451,0)),"")</f>
        <v/>
      </c>
      <c r="E53" s="3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3">
        <f>p_base_semanal_horas</f>
        <v/>
      </c>
      <c r="G53" s="3">
        <f>$E53-$F53</f>
        <v/>
      </c>
    </row>
    <row r="54">
      <c r="A54" s="3" t="inlineStr">
        <is>
          <t>Técnico 13</t>
        </is>
      </c>
      <c r="B54" s="3" t="inlineStr">
        <is>
          <t>2026-S31</t>
        </is>
      </c>
      <c r="C54" s="3">
        <f>IFERROR(INDEX('TECNICOS'!$C$4:$C$19,MATCH($A54,'TECNICOS'!$B$4:$B$19,0)),"")</f>
        <v/>
      </c>
      <c r="D54" s="3">
        <f>IFERROR(INDEX('ASIGNACIONES'!$G$4:$G$451,MATCH($B54&amp;"|lunes|"&amp;$A54,'ASIGNACIONES'!$N$4:$N$451,0)),"")</f>
        <v/>
      </c>
      <c r="E54" s="3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3">
        <f>p_base_semanal_horas</f>
        <v/>
      </c>
      <c r="G54" s="3">
        <f>$E54-$F54</f>
        <v/>
      </c>
    </row>
    <row r="55">
      <c r="A55" s="3" t="inlineStr">
        <is>
          <t>Técnico 13</t>
        </is>
      </c>
      <c r="B55" s="3" t="inlineStr">
        <is>
          <t>2026-S32</t>
        </is>
      </c>
      <c r="C55" s="3">
        <f>IFERROR(INDEX('TECNICOS'!$C$4:$C$19,MATCH($A55,'TECNICOS'!$B$4:$B$19,0)),"")</f>
        <v/>
      </c>
      <c r="D55" s="3">
        <f>IFERROR(INDEX('ASIGNACIONES'!$G$4:$G$451,MATCH($B55&amp;"|lunes|"&amp;$A55,'ASIGNACIONES'!$N$4:$N$451,0)),"")</f>
        <v/>
      </c>
      <c r="E55" s="3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3">
        <f>p_base_semanal_horas</f>
        <v/>
      </c>
      <c r="G55" s="3">
        <f>$E55-$F55</f>
        <v/>
      </c>
    </row>
    <row r="56">
      <c r="A56" s="3" t="inlineStr">
        <is>
          <t>Técnico 14</t>
        </is>
      </c>
      <c r="B56" s="3" t="inlineStr">
        <is>
          <t>2026-S29</t>
        </is>
      </c>
      <c r="C56" s="3">
        <f>IFERROR(INDEX('TECNICOS'!$C$4:$C$19,MATCH($A56,'TECNICOS'!$B$4:$B$19,0)),"")</f>
        <v/>
      </c>
      <c r="D56" s="3">
        <f>IFERROR(INDEX('ASIGNACIONES'!$G$4:$G$451,MATCH($B56&amp;"|lunes|"&amp;$A56,'ASIGNACIONES'!$N$4:$N$451,0)),"")</f>
        <v/>
      </c>
      <c r="E56" s="3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3">
        <f>p_base_semanal_horas</f>
        <v/>
      </c>
      <c r="G56" s="3">
        <f>$E56-$F56</f>
        <v/>
      </c>
    </row>
    <row r="57">
      <c r="A57" s="3" t="inlineStr">
        <is>
          <t>Técnico 14</t>
        </is>
      </c>
      <c r="B57" s="3" t="inlineStr">
        <is>
          <t>2026-S30</t>
        </is>
      </c>
      <c r="C57" s="3">
        <f>IFERROR(INDEX('TECNICOS'!$C$4:$C$19,MATCH($A57,'TECNICOS'!$B$4:$B$19,0)),"")</f>
        <v/>
      </c>
      <c r="D57" s="3">
        <f>IFERROR(INDEX('ASIGNACIONES'!$G$4:$G$451,MATCH($B57&amp;"|lunes|"&amp;$A57,'ASIGNACIONES'!$N$4:$N$451,0)),"")</f>
        <v/>
      </c>
      <c r="E57" s="3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3">
        <f>p_base_semanal_horas</f>
        <v/>
      </c>
      <c r="G57" s="3">
        <f>$E57-$F57</f>
        <v/>
      </c>
    </row>
    <row r="58">
      <c r="A58" s="3" t="inlineStr">
        <is>
          <t>Técnico 14</t>
        </is>
      </c>
      <c r="B58" s="3" t="inlineStr">
        <is>
          <t>2026-S31</t>
        </is>
      </c>
      <c r="C58" s="3">
        <f>IFERROR(INDEX('TECNICOS'!$C$4:$C$19,MATCH($A58,'TECNICOS'!$B$4:$B$19,0)),"")</f>
        <v/>
      </c>
      <c r="D58" s="3">
        <f>IFERROR(INDEX('ASIGNACIONES'!$G$4:$G$451,MATCH($B58&amp;"|lunes|"&amp;$A58,'ASIGNACIONES'!$N$4:$N$451,0)),"")</f>
        <v/>
      </c>
      <c r="E58" s="3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3">
        <f>p_base_semanal_horas</f>
        <v/>
      </c>
      <c r="G58" s="3">
        <f>$E58-$F58</f>
        <v/>
      </c>
    </row>
    <row r="59">
      <c r="A59" s="3" t="inlineStr">
        <is>
          <t>Técnico 14</t>
        </is>
      </c>
      <c r="B59" s="3" t="inlineStr">
        <is>
          <t>2026-S32</t>
        </is>
      </c>
      <c r="C59" s="3">
        <f>IFERROR(INDEX('TECNICOS'!$C$4:$C$19,MATCH($A59,'TECNICOS'!$B$4:$B$19,0)),"")</f>
        <v/>
      </c>
      <c r="D59" s="3">
        <f>IFERROR(INDEX('ASIGNACIONES'!$G$4:$G$451,MATCH($B59&amp;"|lunes|"&amp;$A59,'ASIGNACIONES'!$N$4:$N$451,0)),"")</f>
        <v/>
      </c>
      <c r="E59" s="3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3">
        <f>p_base_semanal_horas</f>
        <v/>
      </c>
      <c r="G59" s="3">
        <f>$E59-$F59</f>
        <v/>
      </c>
    </row>
    <row r="60">
      <c r="A60" s="3" t="inlineStr">
        <is>
          <t>Técnico 15</t>
        </is>
      </c>
      <c r="B60" s="3" t="inlineStr">
        <is>
          <t>2026-S29</t>
        </is>
      </c>
      <c r="C60" s="3">
        <f>IFERROR(INDEX('TECNICOS'!$C$4:$C$19,MATCH($A60,'TECNICOS'!$B$4:$B$19,0)),"")</f>
        <v/>
      </c>
      <c r="D60" s="3">
        <f>IFERROR(INDEX('ASIGNACIONES'!$G$4:$G$451,MATCH($B60&amp;"|lunes|"&amp;$A60,'ASIGNACIONES'!$N$4:$N$451,0)),"")</f>
        <v/>
      </c>
      <c r="E60" s="3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3">
        <f>p_base_semanal_horas</f>
        <v/>
      </c>
      <c r="G60" s="3">
        <f>$E60-$F60</f>
        <v/>
      </c>
    </row>
    <row r="61">
      <c r="A61" s="3" t="inlineStr">
        <is>
          <t>Técnico 15</t>
        </is>
      </c>
      <c r="B61" s="3" t="inlineStr">
        <is>
          <t>2026-S30</t>
        </is>
      </c>
      <c r="C61" s="3">
        <f>IFERROR(INDEX('TECNICOS'!$C$4:$C$19,MATCH($A61,'TECNICOS'!$B$4:$B$19,0)),"")</f>
        <v/>
      </c>
      <c r="D61" s="3">
        <f>IFERROR(INDEX('ASIGNACIONES'!$G$4:$G$451,MATCH($B61&amp;"|lunes|"&amp;$A61,'ASIGNACIONES'!$N$4:$N$451,0)),"")</f>
        <v/>
      </c>
      <c r="E61" s="3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3">
        <f>p_base_semanal_horas</f>
        <v/>
      </c>
      <c r="G61" s="3">
        <f>$E61-$F61</f>
        <v/>
      </c>
    </row>
    <row r="62">
      <c r="A62" s="3" t="inlineStr">
        <is>
          <t>Técnico 15</t>
        </is>
      </c>
      <c r="B62" s="3" t="inlineStr">
        <is>
          <t>2026-S31</t>
        </is>
      </c>
      <c r="C62" s="3">
        <f>IFERROR(INDEX('TECNICOS'!$C$4:$C$19,MATCH($A62,'TECNICOS'!$B$4:$B$19,0)),"")</f>
        <v/>
      </c>
      <c r="D62" s="3">
        <f>IFERROR(INDEX('ASIGNACIONES'!$G$4:$G$451,MATCH($B62&amp;"|lunes|"&amp;$A62,'ASIGNACIONES'!$N$4:$N$451,0)),"")</f>
        <v/>
      </c>
      <c r="E62" s="3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3">
        <f>p_base_semanal_horas</f>
        <v/>
      </c>
      <c r="G62" s="3">
        <f>$E62-$F62</f>
        <v/>
      </c>
    </row>
    <row r="63">
      <c r="A63" s="3" t="inlineStr">
        <is>
          <t>Técnico 15</t>
        </is>
      </c>
      <c r="B63" s="3" t="inlineStr">
        <is>
          <t>2026-S32</t>
        </is>
      </c>
      <c r="C63" s="3">
        <f>IFERROR(INDEX('TECNICOS'!$C$4:$C$19,MATCH($A63,'TECNICOS'!$B$4:$B$19,0)),"")</f>
        <v/>
      </c>
      <c r="D63" s="3">
        <f>IFERROR(INDEX('ASIGNACIONES'!$G$4:$G$451,MATCH($B63&amp;"|lunes|"&amp;$A63,'ASIGNACIONES'!$N$4:$N$451,0)),"")</f>
        <v/>
      </c>
      <c r="E63" s="3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3">
        <f>p_base_semanal_horas</f>
        <v/>
      </c>
      <c r="G63" s="3">
        <f>$E63-$F63</f>
        <v/>
      </c>
    </row>
    <row r="64">
      <c r="A64" s="3" t="inlineStr">
        <is>
          <t>Técnico 16</t>
        </is>
      </c>
      <c r="B64" s="3" t="inlineStr">
        <is>
          <t>2026-S29</t>
        </is>
      </c>
      <c r="C64" s="3">
        <f>IFERROR(INDEX('TECNICOS'!$C$4:$C$19,MATCH($A64,'TECNICOS'!$B$4:$B$19,0)),"")</f>
        <v/>
      </c>
      <c r="D64" s="3">
        <f>IFERROR(INDEX('ASIGNACIONES'!$G$4:$G$451,MATCH($B64&amp;"|lunes|"&amp;$A64,'ASIGNACIONES'!$N$4:$N$451,0)),"")</f>
        <v/>
      </c>
      <c r="E64" s="3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3">
        <f>p_base_semanal_horas</f>
        <v/>
      </c>
      <c r="G64" s="3">
        <f>$E64-$F64</f>
        <v/>
      </c>
    </row>
    <row r="65">
      <c r="A65" s="3" t="inlineStr">
        <is>
          <t>Técnico 16</t>
        </is>
      </c>
      <c r="B65" s="3" t="inlineStr">
        <is>
          <t>2026-S30</t>
        </is>
      </c>
      <c r="C65" s="3">
        <f>IFERROR(INDEX('TECNICOS'!$C$4:$C$19,MATCH($A65,'TECNICOS'!$B$4:$B$19,0)),"")</f>
        <v/>
      </c>
      <c r="D65" s="3">
        <f>IFERROR(INDEX('ASIGNACIONES'!$G$4:$G$451,MATCH($B65&amp;"|lunes|"&amp;$A65,'ASIGNACIONES'!$N$4:$N$451,0)),"")</f>
        <v/>
      </c>
      <c r="E65" s="3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3">
        <f>p_base_semanal_horas</f>
        <v/>
      </c>
      <c r="G65" s="3">
        <f>$E65-$F65</f>
        <v/>
      </c>
    </row>
    <row r="66">
      <c r="A66" s="3" t="inlineStr">
        <is>
          <t>Técnico 16</t>
        </is>
      </c>
      <c r="B66" s="3" t="inlineStr">
        <is>
          <t>2026-S31</t>
        </is>
      </c>
      <c r="C66" s="3">
        <f>IFERROR(INDEX('TECNICOS'!$C$4:$C$19,MATCH($A66,'TECNICOS'!$B$4:$B$19,0)),"")</f>
        <v/>
      </c>
      <c r="D66" s="3">
        <f>IFERROR(INDEX('ASIGNACIONES'!$G$4:$G$451,MATCH($B66&amp;"|lunes|"&amp;$A66,'ASIGNACIONES'!$N$4:$N$451,0)),"")</f>
        <v/>
      </c>
      <c r="E66" s="3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3">
        <f>p_base_semanal_horas</f>
        <v/>
      </c>
      <c r="G66" s="3">
        <f>$E66-$F66</f>
        <v/>
      </c>
    </row>
    <row r="67">
      <c r="A67" s="3" t="inlineStr">
        <is>
          <t>Técnico 16</t>
        </is>
      </c>
      <c r="B67" s="3" t="inlineStr">
        <is>
          <t>2026-S32</t>
        </is>
      </c>
      <c r="C67" s="3">
        <f>IFERROR(INDEX('TECNICOS'!$C$4:$C$19,MATCH($A67,'TECNICOS'!$B$4:$B$19,0)),"")</f>
        <v/>
      </c>
      <c r="D67" s="3">
        <f>IFERROR(INDEX('ASIGNACIONES'!$G$4:$G$451,MATCH($B67&amp;"|lunes|"&amp;$A67,'ASIGNACIONES'!$N$4:$N$451,0)),"")</f>
        <v/>
      </c>
      <c r="E67" s="3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3">
        <f>p_base_semanal_horas</f>
        <v/>
      </c>
      <c r="G67" s="3">
        <f>$E67-$F67</f>
        <v/>
      </c>
    </row>
    <row r="70">
      <c r="A70" s="4" t="inlineStr">
        <is>
          <t>DÉFICIT DE CAPACIDAD POR VACACIONES (esp × semana) — informativo, no cambia la capacidad base</t>
        </is>
      </c>
    </row>
    <row r="71">
      <c r="A71" s="5" t="inlineStr">
        <is>
          <t>especialidad</t>
        </is>
      </c>
      <c r="B71" s="5" t="inlineStr">
        <is>
          <t>semana</t>
        </is>
      </c>
      <c r="C71" s="5" t="inlineStr">
        <is>
          <t>tecnicos_vac</t>
        </is>
      </c>
      <c r="D71" s="5" t="inlineStr">
        <is>
          <t>deficit_horas</t>
        </is>
      </c>
    </row>
    <row r="72">
      <c r="A72" s="3" t="inlineStr">
        <is>
          <t>MEC</t>
        </is>
      </c>
      <c r="B72" s="3" t="inlineStr">
        <is>
          <t>2026-S29</t>
        </is>
      </c>
      <c r="C72" s="3">
        <f>COUNTIFS('ASIGNACIONES'!$E$4:$E$451,"MEC",'ASIGNACIONES'!$A$4:$A$451,"2026-S29",'ASIGNACIONES'!$B$4:$B$451,"lunes",'ASIGNACIONES'!$H$4:$H$451,"sí")</f>
        <v/>
      </c>
      <c r="D72" s="3">
        <f>C72*p_base_semanal_horas</f>
        <v/>
      </c>
    </row>
    <row r="73">
      <c r="A73" s="3" t="inlineStr">
        <is>
          <t>MEC</t>
        </is>
      </c>
      <c r="B73" s="3" t="inlineStr">
        <is>
          <t>2026-S30</t>
        </is>
      </c>
      <c r="C73" s="3">
        <f>COUNTIFS('ASIGNACIONES'!$E$4:$E$451,"MEC",'ASIGNACIONES'!$A$4:$A$451,"2026-S30",'ASIGNACIONES'!$B$4:$B$451,"lunes",'ASIGNACIONES'!$H$4:$H$451,"sí")</f>
        <v/>
      </c>
      <c r="D73" s="3">
        <f>C73*p_base_semanal_horas</f>
        <v/>
      </c>
    </row>
    <row r="74">
      <c r="A74" s="3" t="inlineStr">
        <is>
          <t>MEC</t>
        </is>
      </c>
      <c r="B74" s="3" t="inlineStr">
        <is>
          <t>2026-S31</t>
        </is>
      </c>
      <c r="C74" s="3">
        <f>COUNTIFS('ASIGNACIONES'!$E$4:$E$451,"MEC",'ASIGNACIONES'!$A$4:$A$451,"2026-S31",'ASIGNACIONES'!$B$4:$B$451,"lunes",'ASIGNACIONES'!$H$4:$H$451,"sí")</f>
        <v/>
      </c>
      <c r="D74" s="3">
        <f>C74*p_base_semanal_horas</f>
        <v/>
      </c>
    </row>
    <row r="75">
      <c r="A75" s="3" t="inlineStr">
        <is>
          <t>MEC</t>
        </is>
      </c>
      <c r="B75" s="3" t="inlineStr">
        <is>
          <t>2026-S32</t>
        </is>
      </c>
      <c r="C75" s="3">
        <f>COUNTIFS('ASIGNACIONES'!$E$4:$E$451,"MEC",'ASIGNACIONES'!$A$4:$A$451,"2026-S32",'ASIGNACIONES'!$B$4:$B$451,"lunes",'ASIGNACIONES'!$H$4:$H$451,"sí")</f>
        <v/>
      </c>
      <c r="D75" s="3">
        <f>C75*p_base_semanal_horas</f>
        <v/>
      </c>
    </row>
    <row r="76">
      <c r="A76" s="3" t="inlineStr">
        <is>
          <t>ELE</t>
        </is>
      </c>
      <c r="B76" s="3" t="inlineStr">
        <is>
          <t>2026-S29</t>
        </is>
      </c>
      <c r="C76" s="3">
        <f>COUNTIFS('ASIGNACIONES'!$E$4:$E$451,"ELE",'ASIGNACIONES'!$A$4:$A$451,"2026-S29",'ASIGNACIONES'!$B$4:$B$451,"lunes",'ASIGNACIONES'!$H$4:$H$451,"sí")</f>
        <v/>
      </c>
      <c r="D76" s="3">
        <f>C76*p_base_semanal_horas</f>
        <v/>
      </c>
    </row>
    <row r="77">
      <c r="A77" s="3" t="inlineStr">
        <is>
          <t>ELE</t>
        </is>
      </c>
      <c r="B77" s="3" t="inlineStr">
        <is>
          <t>2026-S30</t>
        </is>
      </c>
      <c r="C77" s="3">
        <f>COUNTIFS('ASIGNACIONES'!$E$4:$E$451,"ELE",'ASIGNACIONES'!$A$4:$A$451,"2026-S30",'ASIGNACIONES'!$B$4:$B$451,"lunes",'ASIGNACIONES'!$H$4:$H$451,"sí")</f>
        <v/>
      </c>
      <c r="D77" s="3">
        <f>C77*p_base_semanal_horas</f>
        <v/>
      </c>
    </row>
    <row r="78">
      <c r="A78" s="3" t="inlineStr">
        <is>
          <t>ELE</t>
        </is>
      </c>
      <c r="B78" s="3" t="inlineStr">
        <is>
          <t>2026-S31</t>
        </is>
      </c>
      <c r="C78" s="3">
        <f>COUNTIFS('ASIGNACIONES'!$E$4:$E$451,"ELE",'ASIGNACIONES'!$A$4:$A$451,"2026-S31",'ASIGNACIONES'!$B$4:$B$451,"lunes",'ASIGNACIONES'!$H$4:$H$451,"sí")</f>
        <v/>
      </c>
      <c r="D78" s="3">
        <f>C78*p_base_semanal_horas</f>
        <v/>
      </c>
    </row>
    <row r="79">
      <c r="A79" s="3" t="inlineStr">
        <is>
          <t>ELE</t>
        </is>
      </c>
      <c r="B79" s="3" t="inlineStr">
        <is>
          <t>2026-S32</t>
        </is>
      </c>
      <c r="C79" s="3">
        <f>COUNTIFS('ASIGNACIONES'!$E$4:$E$451,"ELE",'ASIGNACIONES'!$A$4:$A$451,"2026-S32",'ASIGNACIONES'!$B$4:$B$451,"lunes",'ASIGNACIONES'!$H$4:$H$451,"sí")</f>
        <v/>
      </c>
      <c r="D79" s="3">
        <f>C79*p_base_semanal_horas</f>
        <v/>
      </c>
    </row>
    <row r="80">
      <c r="A80" s="3" t="inlineStr">
        <is>
          <t>AUT</t>
        </is>
      </c>
      <c r="B80" s="3" t="inlineStr">
        <is>
          <t>2026-S29</t>
        </is>
      </c>
      <c r="C80" s="3">
        <f>COUNTIFS('ASIGNACIONES'!$E$4:$E$451,"AUT",'ASIGNACIONES'!$A$4:$A$451,"2026-S29",'ASIGNACIONES'!$B$4:$B$451,"lunes",'ASIGNACIONES'!$H$4:$H$451,"sí")</f>
        <v/>
      </c>
      <c r="D80" s="3">
        <f>C80*p_base_semanal_horas</f>
        <v/>
      </c>
    </row>
    <row r="81">
      <c r="A81" s="3" t="inlineStr">
        <is>
          <t>AUT</t>
        </is>
      </c>
      <c r="B81" s="3" t="inlineStr">
        <is>
          <t>2026-S30</t>
        </is>
      </c>
      <c r="C81" s="3">
        <f>COUNTIFS('ASIGNACIONES'!$E$4:$E$451,"AUT",'ASIGNACIONES'!$A$4:$A$451,"2026-S30",'ASIGNACIONES'!$B$4:$B$451,"lunes",'ASIGNACIONES'!$H$4:$H$451,"sí")</f>
        <v/>
      </c>
      <c r="D81" s="3">
        <f>C81*p_base_semanal_horas</f>
        <v/>
      </c>
    </row>
    <row r="82">
      <c r="A82" s="3" t="inlineStr">
        <is>
          <t>AUT</t>
        </is>
      </c>
      <c r="B82" s="3" t="inlineStr">
        <is>
          <t>2026-S31</t>
        </is>
      </c>
      <c r="C82" s="3">
        <f>COUNTIFS('ASIGNACIONES'!$E$4:$E$451,"AUT",'ASIGNACIONES'!$A$4:$A$451,"2026-S31",'ASIGNACIONES'!$B$4:$B$451,"lunes",'ASIGNACIONES'!$H$4:$H$451,"sí")</f>
        <v/>
      </c>
      <c r="D82" s="3">
        <f>C82*p_base_semanal_horas</f>
        <v/>
      </c>
    </row>
    <row r="83">
      <c r="A83" s="3" t="inlineStr">
        <is>
          <t>AUT</t>
        </is>
      </c>
      <c r="B83" s="3" t="inlineStr">
        <is>
          <t>2026-S32</t>
        </is>
      </c>
      <c r="C83" s="3">
        <f>COUNTIFS('ASIGNACIONES'!$E$4:$E$451,"AUT",'ASIGNACIONES'!$A$4:$A$451,"2026-S32",'ASIGNACIONES'!$B$4:$B$451,"lunes",'ASIGNACIONES'!$H$4:$H$451,"sí")</f>
        <v/>
      </c>
      <c r="D83" s="3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4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5" t="inlineStr">
        <is>
          <t>tecnico</t>
        </is>
      </c>
      <c r="B3" s="5" t="inlineStr">
        <is>
          <t>mes</t>
        </is>
      </c>
      <c r="C3" s="5" t="inlineStr">
        <is>
          <t>horas_reales_mes</t>
        </is>
      </c>
      <c r="D3" s="5" t="inlineStr">
        <is>
          <t>horas_requeridas_mes</t>
        </is>
      </c>
      <c r="E3" s="5" t="inlineStr">
        <is>
          <t>cumple</t>
        </is>
      </c>
      <c r="F3" s="5" t="inlineStr">
        <is>
          <t>brecha</t>
        </is>
      </c>
    </row>
    <row r="4">
      <c r="A4" s="3" t="inlineStr">
        <is>
          <t>Técnico 01</t>
        </is>
      </c>
      <c r="B4" s="3" t="inlineStr">
        <is>
          <t>2026-07</t>
        </is>
      </c>
      <c r="C4" s="3">
        <f>SUMIFS('SEGUIMIENTO_HH'!$E$4:$E$67,'SEGUIMIENTO_HH'!$A$4:$A$67,$A4,'SEGUIMIENTO_HH'!$B$4:$B$67,"2026-S29")+SUMIFS('SEGUIMIENTO_HH'!$E$4:$E$67,'SEGUIMIENTO_HH'!$A$4:$A$67,$A4,'SEGUIMIENTO_HH'!$B$4:$B$67,"2026-S30")+SUMIFS('SEGUIMIENTO_HH'!$E$4:$E$67,'SEGUIMIENTO_HH'!$A$4:$A$67,$A4,'SEGUIMIENTO_HH'!$B$4:$B$67,"2026-S31")</f>
        <v/>
      </c>
      <c r="D4" s="3">
        <f>3*p_base_semanal_horas</f>
        <v/>
      </c>
      <c r="E4" s="3">
        <f>IF($C4&gt;=$D4-p_tolerancia_horas_bono,"sí","no")</f>
        <v/>
      </c>
      <c r="F4" s="3">
        <f>$C4-$D4</f>
        <v/>
      </c>
    </row>
    <row r="5">
      <c r="A5" s="3" t="inlineStr">
        <is>
          <t>Técnico 01</t>
        </is>
      </c>
      <c r="B5" s="3" t="inlineStr">
        <is>
          <t>2026-08</t>
        </is>
      </c>
      <c r="C5" s="3">
        <f>SUMIFS('SEGUIMIENTO_HH'!$E$4:$E$67,'SEGUIMIENTO_HH'!$A$4:$A$67,$A5,'SEGUIMIENTO_HH'!$B$4:$B$67,"2026-S32")</f>
        <v/>
      </c>
      <c r="D5" s="3">
        <f>1*p_base_semanal_horas</f>
        <v/>
      </c>
      <c r="E5" s="3">
        <f>IF($C5&gt;=$D5-p_tolerancia_horas_bono,"sí","no")</f>
        <v/>
      </c>
      <c r="F5" s="3">
        <f>$C5-$D5</f>
        <v/>
      </c>
    </row>
    <row r="6">
      <c r="A6" s="3" t="inlineStr">
        <is>
          <t>Técnico 02</t>
        </is>
      </c>
      <c r="B6" s="3" t="inlineStr">
        <is>
          <t>2026-07</t>
        </is>
      </c>
      <c r="C6" s="3">
        <f>SUMIFS('SEGUIMIENTO_HH'!$E$4:$E$67,'SEGUIMIENTO_HH'!$A$4:$A$67,$A6,'SEGUIMIENTO_HH'!$B$4:$B$67,"2026-S29")+SUMIFS('SEGUIMIENTO_HH'!$E$4:$E$67,'SEGUIMIENTO_HH'!$A$4:$A$67,$A6,'SEGUIMIENTO_HH'!$B$4:$B$67,"2026-S30")+SUMIFS('SEGUIMIENTO_HH'!$E$4:$E$67,'SEGUIMIENTO_HH'!$A$4:$A$67,$A6,'SEGUIMIENTO_HH'!$B$4:$B$67,"2026-S31")</f>
        <v/>
      </c>
      <c r="D6" s="3">
        <f>3*p_base_semanal_horas</f>
        <v/>
      </c>
      <c r="E6" s="3">
        <f>IF($C6&gt;=$D6-p_tolerancia_horas_bono,"sí","no")</f>
        <v/>
      </c>
      <c r="F6" s="3">
        <f>$C6-$D6</f>
        <v/>
      </c>
    </row>
    <row r="7">
      <c r="A7" s="3" t="inlineStr">
        <is>
          <t>Técnico 02</t>
        </is>
      </c>
      <c r="B7" s="3" t="inlineStr">
        <is>
          <t>2026-08</t>
        </is>
      </c>
      <c r="C7" s="3">
        <f>SUMIFS('SEGUIMIENTO_HH'!$E$4:$E$67,'SEGUIMIENTO_HH'!$A$4:$A$67,$A7,'SEGUIMIENTO_HH'!$B$4:$B$67,"2026-S32")</f>
        <v/>
      </c>
      <c r="D7" s="3">
        <f>1*p_base_semanal_horas</f>
        <v/>
      </c>
      <c r="E7" s="3">
        <f>IF($C7&gt;=$D7-p_tolerancia_horas_bono,"sí","no")</f>
        <v/>
      </c>
      <c r="F7" s="3">
        <f>$C7-$D7</f>
        <v/>
      </c>
    </row>
    <row r="8">
      <c r="A8" s="3" t="inlineStr">
        <is>
          <t>Técnico 03</t>
        </is>
      </c>
      <c r="B8" s="3" t="inlineStr">
        <is>
          <t>2026-07</t>
        </is>
      </c>
      <c r="C8" s="3">
        <f>SUMIFS('SEGUIMIENTO_HH'!$E$4:$E$67,'SEGUIMIENTO_HH'!$A$4:$A$67,$A8,'SEGUIMIENTO_HH'!$B$4:$B$67,"2026-S29")+SUMIFS('SEGUIMIENTO_HH'!$E$4:$E$67,'SEGUIMIENTO_HH'!$A$4:$A$67,$A8,'SEGUIMIENTO_HH'!$B$4:$B$67,"2026-S30")+SUMIFS('SEGUIMIENTO_HH'!$E$4:$E$67,'SEGUIMIENTO_HH'!$A$4:$A$67,$A8,'SEGUIMIENTO_HH'!$B$4:$B$67,"2026-S31")</f>
        <v/>
      </c>
      <c r="D8" s="3">
        <f>3*p_base_semanal_horas</f>
        <v/>
      </c>
      <c r="E8" s="3">
        <f>IF($C8&gt;=$D8-p_tolerancia_horas_bono,"sí","no")</f>
        <v/>
      </c>
      <c r="F8" s="3">
        <f>$C8-$D8</f>
        <v/>
      </c>
    </row>
    <row r="9">
      <c r="A9" s="3" t="inlineStr">
        <is>
          <t>Técnico 03</t>
        </is>
      </c>
      <c r="B9" s="3" t="inlineStr">
        <is>
          <t>2026-08</t>
        </is>
      </c>
      <c r="C9" s="3">
        <f>SUMIFS('SEGUIMIENTO_HH'!$E$4:$E$67,'SEGUIMIENTO_HH'!$A$4:$A$67,$A9,'SEGUIMIENTO_HH'!$B$4:$B$67,"2026-S32")</f>
        <v/>
      </c>
      <c r="D9" s="3">
        <f>1*p_base_semanal_horas</f>
        <v/>
      </c>
      <c r="E9" s="3">
        <f>IF($C9&gt;=$D9-p_tolerancia_horas_bono,"sí","no")</f>
        <v/>
      </c>
      <c r="F9" s="3">
        <f>$C9-$D9</f>
        <v/>
      </c>
    </row>
    <row r="10">
      <c r="A10" s="3" t="inlineStr">
        <is>
          <t>Técnico 04</t>
        </is>
      </c>
      <c r="B10" s="3" t="inlineStr">
        <is>
          <t>2026-07</t>
        </is>
      </c>
      <c r="C10" s="3">
        <f>SUMIFS('SEGUIMIENTO_HH'!$E$4:$E$67,'SEGUIMIENTO_HH'!$A$4:$A$67,$A10,'SEGUIMIENTO_HH'!$B$4:$B$67,"2026-S29")+SUMIFS('SEGUIMIENTO_HH'!$E$4:$E$67,'SEGUIMIENTO_HH'!$A$4:$A$67,$A10,'SEGUIMIENTO_HH'!$B$4:$B$67,"2026-S30")+SUMIFS('SEGUIMIENTO_HH'!$E$4:$E$67,'SEGUIMIENTO_HH'!$A$4:$A$67,$A10,'SEGUIMIENTO_HH'!$B$4:$B$67,"2026-S31")</f>
        <v/>
      </c>
      <c r="D10" s="3">
        <f>3*p_base_semanal_horas</f>
        <v/>
      </c>
      <c r="E10" s="3">
        <f>IF($C10&gt;=$D10-p_tolerancia_horas_bono,"sí","no")</f>
        <v/>
      </c>
      <c r="F10" s="3">
        <f>$C10-$D10</f>
        <v/>
      </c>
    </row>
    <row r="11">
      <c r="A11" s="3" t="inlineStr">
        <is>
          <t>Técnico 04</t>
        </is>
      </c>
      <c r="B11" s="3" t="inlineStr">
        <is>
          <t>2026-08</t>
        </is>
      </c>
      <c r="C11" s="3">
        <f>SUMIFS('SEGUIMIENTO_HH'!$E$4:$E$67,'SEGUIMIENTO_HH'!$A$4:$A$67,$A11,'SEGUIMIENTO_HH'!$B$4:$B$67,"2026-S32")</f>
        <v/>
      </c>
      <c r="D11" s="3">
        <f>1*p_base_semanal_horas</f>
        <v/>
      </c>
      <c r="E11" s="3">
        <f>IF($C11&gt;=$D11-p_tolerancia_horas_bono,"sí","no")</f>
        <v/>
      </c>
      <c r="F11" s="3">
        <f>$C11-$D11</f>
        <v/>
      </c>
    </row>
    <row r="12">
      <c r="A12" s="3" t="inlineStr">
        <is>
          <t>Técnico 05</t>
        </is>
      </c>
      <c r="B12" s="3" t="inlineStr">
        <is>
          <t>2026-07</t>
        </is>
      </c>
      <c r="C12" s="3">
        <f>SUMIFS('SEGUIMIENTO_HH'!$E$4:$E$67,'SEGUIMIENTO_HH'!$A$4:$A$67,$A12,'SEGUIMIENTO_HH'!$B$4:$B$67,"2026-S29")+SUMIFS('SEGUIMIENTO_HH'!$E$4:$E$67,'SEGUIMIENTO_HH'!$A$4:$A$67,$A12,'SEGUIMIENTO_HH'!$B$4:$B$67,"2026-S30")+SUMIFS('SEGUIMIENTO_HH'!$E$4:$E$67,'SEGUIMIENTO_HH'!$A$4:$A$67,$A12,'SEGUIMIENTO_HH'!$B$4:$B$67,"2026-S31")</f>
        <v/>
      </c>
      <c r="D12" s="3">
        <f>3*p_base_semanal_horas</f>
        <v/>
      </c>
      <c r="E12" s="3">
        <f>IF($C12&gt;=$D12-p_tolerancia_horas_bono,"sí","no")</f>
        <v/>
      </c>
      <c r="F12" s="3">
        <f>$C12-$D12</f>
        <v/>
      </c>
    </row>
    <row r="13">
      <c r="A13" s="3" t="inlineStr">
        <is>
          <t>Técnico 05</t>
        </is>
      </c>
      <c r="B13" s="3" t="inlineStr">
        <is>
          <t>2026-08</t>
        </is>
      </c>
      <c r="C13" s="3">
        <f>SUMIFS('SEGUIMIENTO_HH'!$E$4:$E$67,'SEGUIMIENTO_HH'!$A$4:$A$67,$A13,'SEGUIMIENTO_HH'!$B$4:$B$67,"2026-S32")</f>
        <v/>
      </c>
      <c r="D13" s="3">
        <f>1*p_base_semanal_horas</f>
        <v/>
      </c>
      <c r="E13" s="3">
        <f>IF($C13&gt;=$D13-p_tolerancia_horas_bono,"sí","no")</f>
        <v/>
      </c>
      <c r="F13" s="3">
        <f>$C13-$D13</f>
        <v/>
      </c>
    </row>
    <row r="14">
      <c r="A14" s="3" t="inlineStr">
        <is>
          <t>Técnico 06</t>
        </is>
      </c>
      <c r="B14" s="3" t="inlineStr">
        <is>
          <t>2026-07</t>
        </is>
      </c>
      <c r="C14" s="3">
        <f>SUMIFS('SEGUIMIENTO_HH'!$E$4:$E$67,'SEGUIMIENTO_HH'!$A$4:$A$67,$A14,'SEGUIMIENTO_HH'!$B$4:$B$67,"2026-S29")+SUMIFS('SEGUIMIENTO_HH'!$E$4:$E$67,'SEGUIMIENTO_HH'!$A$4:$A$67,$A14,'SEGUIMIENTO_HH'!$B$4:$B$67,"2026-S30")+SUMIFS('SEGUIMIENTO_HH'!$E$4:$E$67,'SEGUIMIENTO_HH'!$A$4:$A$67,$A14,'SEGUIMIENTO_HH'!$B$4:$B$67,"2026-S31")</f>
        <v/>
      </c>
      <c r="D14" s="3">
        <f>3*p_base_semanal_horas</f>
        <v/>
      </c>
      <c r="E14" s="3">
        <f>IF($C14&gt;=$D14-p_tolerancia_horas_bono,"sí","no")</f>
        <v/>
      </c>
      <c r="F14" s="3">
        <f>$C14-$D14</f>
        <v/>
      </c>
    </row>
    <row r="15">
      <c r="A15" s="3" t="inlineStr">
        <is>
          <t>Técnico 06</t>
        </is>
      </c>
      <c r="B15" s="3" t="inlineStr">
        <is>
          <t>2026-08</t>
        </is>
      </c>
      <c r="C15" s="3">
        <f>SUMIFS('SEGUIMIENTO_HH'!$E$4:$E$67,'SEGUIMIENTO_HH'!$A$4:$A$67,$A15,'SEGUIMIENTO_HH'!$B$4:$B$67,"2026-S32")</f>
        <v/>
      </c>
      <c r="D15" s="3">
        <f>1*p_base_semanal_horas</f>
        <v/>
      </c>
      <c r="E15" s="3">
        <f>IF($C15&gt;=$D15-p_tolerancia_horas_bono,"sí","no")</f>
        <v/>
      </c>
      <c r="F15" s="3">
        <f>$C15-$D15</f>
        <v/>
      </c>
    </row>
    <row r="16">
      <c r="A16" s="3" t="inlineStr">
        <is>
          <t>Técnico 07</t>
        </is>
      </c>
      <c r="B16" s="3" t="inlineStr">
        <is>
          <t>2026-07</t>
        </is>
      </c>
      <c r="C16" s="3">
        <f>SUMIFS('SEGUIMIENTO_HH'!$E$4:$E$67,'SEGUIMIENTO_HH'!$A$4:$A$67,$A16,'SEGUIMIENTO_HH'!$B$4:$B$67,"2026-S29")+SUMIFS('SEGUIMIENTO_HH'!$E$4:$E$67,'SEGUIMIENTO_HH'!$A$4:$A$67,$A16,'SEGUIMIENTO_HH'!$B$4:$B$67,"2026-S30")+SUMIFS('SEGUIMIENTO_HH'!$E$4:$E$67,'SEGUIMIENTO_HH'!$A$4:$A$67,$A16,'SEGUIMIENTO_HH'!$B$4:$B$67,"2026-S31")</f>
        <v/>
      </c>
      <c r="D16" s="3">
        <f>3*p_base_semanal_horas</f>
        <v/>
      </c>
      <c r="E16" s="3">
        <f>IF($C16&gt;=$D16-p_tolerancia_horas_bono,"sí","no")</f>
        <v/>
      </c>
      <c r="F16" s="3">
        <f>$C16-$D16</f>
        <v/>
      </c>
    </row>
    <row r="17">
      <c r="A17" s="3" t="inlineStr">
        <is>
          <t>Técnico 07</t>
        </is>
      </c>
      <c r="B17" s="3" t="inlineStr">
        <is>
          <t>2026-08</t>
        </is>
      </c>
      <c r="C17" s="3">
        <f>SUMIFS('SEGUIMIENTO_HH'!$E$4:$E$67,'SEGUIMIENTO_HH'!$A$4:$A$67,$A17,'SEGUIMIENTO_HH'!$B$4:$B$67,"2026-S32")</f>
        <v/>
      </c>
      <c r="D17" s="3">
        <f>1*p_base_semanal_horas</f>
        <v/>
      </c>
      <c r="E17" s="3">
        <f>IF($C17&gt;=$D17-p_tolerancia_horas_bono,"sí","no")</f>
        <v/>
      </c>
      <c r="F17" s="3">
        <f>$C17-$D17</f>
        <v/>
      </c>
    </row>
    <row r="18">
      <c r="A18" s="3" t="inlineStr">
        <is>
          <t>Técnico 08</t>
        </is>
      </c>
      <c r="B18" s="3" t="inlineStr">
        <is>
          <t>2026-07</t>
        </is>
      </c>
      <c r="C18" s="3">
        <f>SUMIFS('SEGUIMIENTO_HH'!$E$4:$E$67,'SEGUIMIENTO_HH'!$A$4:$A$67,$A18,'SEGUIMIENTO_HH'!$B$4:$B$67,"2026-S29")+SUMIFS('SEGUIMIENTO_HH'!$E$4:$E$67,'SEGUIMIENTO_HH'!$A$4:$A$67,$A18,'SEGUIMIENTO_HH'!$B$4:$B$67,"2026-S30")+SUMIFS('SEGUIMIENTO_HH'!$E$4:$E$67,'SEGUIMIENTO_HH'!$A$4:$A$67,$A18,'SEGUIMIENTO_HH'!$B$4:$B$67,"2026-S31")</f>
        <v/>
      </c>
      <c r="D18" s="3">
        <f>3*p_base_semanal_horas</f>
        <v/>
      </c>
      <c r="E18" s="3">
        <f>IF($C18&gt;=$D18-p_tolerancia_horas_bono,"sí","no")</f>
        <v/>
      </c>
      <c r="F18" s="3">
        <f>$C18-$D18</f>
        <v/>
      </c>
    </row>
    <row r="19">
      <c r="A19" s="3" t="inlineStr">
        <is>
          <t>Técnico 08</t>
        </is>
      </c>
      <c r="B19" s="3" t="inlineStr">
        <is>
          <t>2026-08</t>
        </is>
      </c>
      <c r="C19" s="3">
        <f>SUMIFS('SEGUIMIENTO_HH'!$E$4:$E$67,'SEGUIMIENTO_HH'!$A$4:$A$67,$A19,'SEGUIMIENTO_HH'!$B$4:$B$67,"2026-S32")</f>
        <v/>
      </c>
      <c r="D19" s="3">
        <f>1*p_base_semanal_horas</f>
        <v/>
      </c>
      <c r="E19" s="3">
        <f>IF($C19&gt;=$D19-p_tolerancia_horas_bono,"sí","no")</f>
        <v/>
      </c>
      <c r="F19" s="3">
        <f>$C19-$D19</f>
        <v/>
      </c>
    </row>
    <row r="20">
      <c r="A20" s="3" t="inlineStr">
        <is>
          <t>Técnico 09</t>
        </is>
      </c>
      <c r="B20" s="3" t="inlineStr">
        <is>
          <t>2026-07</t>
        </is>
      </c>
      <c r="C20" s="3">
        <f>SUMIFS('SEGUIMIENTO_HH'!$E$4:$E$67,'SEGUIMIENTO_HH'!$A$4:$A$67,$A20,'SEGUIMIENTO_HH'!$B$4:$B$67,"2026-S29")+SUMIFS('SEGUIMIENTO_HH'!$E$4:$E$67,'SEGUIMIENTO_HH'!$A$4:$A$67,$A20,'SEGUIMIENTO_HH'!$B$4:$B$67,"2026-S30")+SUMIFS('SEGUIMIENTO_HH'!$E$4:$E$67,'SEGUIMIENTO_HH'!$A$4:$A$67,$A20,'SEGUIMIENTO_HH'!$B$4:$B$67,"2026-S31")</f>
        <v/>
      </c>
      <c r="D20" s="3">
        <f>3*p_base_semanal_horas</f>
        <v/>
      </c>
      <c r="E20" s="3">
        <f>IF($C20&gt;=$D20-p_tolerancia_horas_bono,"sí","no")</f>
        <v/>
      </c>
      <c r="F20" s="3">
        <f>$C20-$D20</f>
        <v/>
      </c>
    </row>
    <row r="21">
      <c r="A21" s="3" t="inlineStr">
        <is>
          <t>Técnico 09</t>
        </is>
      </c>
      <c r="B21" s="3" t="inlineStr">
        <is>
          <t>2026-08</t>
        </is>
      </c>
      <c r="C21" s="3">
        <f>SUMIFS('SEGUIMIENTO_HH'!$E$4:$E$67,'SEGUIMIENTO_HH'!$A$4:$A$67,$A21,'SEGUIMIENTO_HH'!$B$4:$B$67,"2026-S32")</f>
        <v/>
      </c>
      <c r="D21" s="3">
        <f>1*p_base_semanal_horas</f>
        <v/>
      </c>
      <c r="E21" s="3">
        <f>IF($C21&gt;=$D21-p_tolerancia_horas_bono,"sí","no")</f>
        <v/>
      </c>
      <c r="F21" s="3">
        <f>$C21-$D21</f>
        <v/>
      </c>
    </row>
    <row r="22">
      <c r="A22" s="3" t="inlineStr">
        <is>
          <t>Técnico 10</t>
        </is>
      </c>
      <c r="B22" s="3" t="inlineStr">
        <is>
          <t>2026-07</t>
        </is>
      </c>
      <c r="C22" s="3">
        <f>SUMIFS('SEGUIMIENTO_HH'!$E$4:$E$67,'SEGUIMIENTO_HH'!$A$4:$A$67,$A22,'SEGUIMIENTO_HH'!$B$4:$B$67,"2026-S29")+SUMIFS('SEGUIMIENTO_HH'!$E$4:$E$67,'SEGUIMIENTO_HH'!$A$4:$A$67,$A22,'SEGUIMIENTO_HH'!$B$4:$B$67,"2026-S30")+SUMIFS('SEGUIMIENTO_HH'!$E$4:$E$67,'SEGUIMIENTO_HH'!$A$4:$A$67,$A22,'SEGUIMIENTO_HH'!$B$4:$B$67,"2026-S31")</f>
        <v/>
      </c>
      <c r="D22" s="3">
        <f>3*p_base_semanal_horas</f>
        <v/>
      </c>
      <c r="E22" s="3">
        <f>IF($C22&gt;=$D22-p_tolerancia_horas_bono,"sí","no")</f>
        <v/>
      </c>
      <c r="F22" s="3">
        <f>$C22-$D22</f>
        <v/>
      </c>
    </row>
    <row r="23">
      <c r="A23" s="3" t="inlineStr">
        <is>
          <t>Técnico 10</t>
        </is>
      </c>
      <c r="B23" s="3" t="inlineStr">
        <is>
          <t>2026-08</t>
        </is>
      </c>
      <c r="C23" s="3">
        <f>SUMIFS('SEGUIMIENTO_HH'!$E$4:$E$67,'SEGUIMIENTO_HH'!$A$4:$A$67,$A23,'SEGUIMIENTO_HH'!$B$4:$B$67,"2026-S32")</f>
        <v/>
      </c>
      <c r="D23" s="3">
        <f>1*p_base_semanal_horas</f>
        <v/>
      </c>
      <c r="E23" s="3">
        <f>IF($C23&gt;=$D23-p_tolerancia_horas_bono,"sí","no")</f>
        <v/>
      </c>
      <c r="F23" s="3">
        <f>$C23-$D23</f>
        <v/>
      </c>
    </row>
    <row r="24">
      <c r="A24" s="3" t="inlineStr">
        <is>
          <t>Técnico 11</t>
        </is>
      </c>
      <c r="B24" s="3" t="inlineStr">
        <is>
          <t>2026-07</t>
        </is>
      </c>
      <c r="C24" s="3">
        <f>SUMIFS('SEGUIMIENTO_HH'!$E$4:$E$67,'SEGUIMIENTO_HH'!$A$4:$A$67,$A24,'SEGUIMIENTO_HH'!$B$4:$B$67,"2026-S29")+SUMIFS('SEGUIMIENTO_HH'!$E$4:$E$67,'SEGUIMIENTO_HH'!$A$4:$A$67,$A24,'SEGUIMIENTO_HH'!$B$4:$B$67,"2026-S30")+SUMIFS('SEGUIMIENTO_HH'!$E$4:$E$67,'SEGUIMIENTO_HH'!$A$4:$A$67,$A24,'SEGUIMIENTO_HH'!$B$4:$B$67,"2026-S31")</f>
        <v/>
      </c>
      <c r="D24" s="3">
        <f>3*p_base_semanal_horas</f>
        <v/>
      </c>
      <c r="E24" s="3">
        <f>IF($C24&gt;=$D24-p_tolerancia_horas_bono,"sí","no")</f>
        <v/>
      </c>
      <c r="F24" s="3">
        <f>$C24-$D24</f>
        <v/>
      </c>
    </row>
    <row r="25">
      <c r="A25" s="3" t="inlineStr">
        <is>
          <t>Técnico 11</t>
        </is>
      </c>
      <c r="B25" s="3" t="inlineStr">
        <is>
          <t>2026-08</t>
        </is>
      </c>
      <c r="C25" s="3">
        <f>SUMIFS('SEGUIMIENTO_HH'!$E$4:$E$67,'SEGUIMIENTO_HH'!$A$4:$A$67,$A25,'SEGUIMIENTO_HH'!$B$4:$B$67,"2026-S32")</f>
        <v/>
      </c>
      <c r="D25" s="3">
        <f>1*p_base_semanal_horas</f>
        <v/>
      </c>
      <c r="E25" s="3">
        <f>IF($C25&gt;=$D25-p_tolerancia_horas_bono,"sí","no")</f>
        <v/>
      </c>
      <c r="F25" s="3">
        <f>$C25-$D25</f>
        <v/>
      </c>
    </row>
    <row r="26">
      <c r="A26" s="3" t="inlineStr">
        <is>
          <t>Técnico 12</t>
        </is>
      </c>
      <c r="B26" s="3" t="inlineStr">
        <is>
          <t>2026-07</t>
        </is>
      </c>
      <c r="C26" s="3">
        <f>SUMIFS('SEGUIMIENTO_HH'!$E$4:$E$67,'SEGUIMIENTO_HH'!$A$4:$A$67,$A26,'SEGUIMIENTO_HH'!$B$4:$B$67,"2026-S29")+SUMIFS('SEGUIMIENTO_HH'!$E$4:$E$67,'SEGUIMIENTO_HH'!$A$4:$A$67,$A26,'SEGUIMIENTO_HH'!$B$4:$B$67,"2026-S30")+SUMIFS('SEGUIMIENTO_HH'!$E$4:$E$67,'SEGUIMIENTO_HH'!$A$4:$A$67,$A26,'SEGUIMIENTO_HH'!$B$4:$B$67,"2026-S31")</f>
        <v/>
      </c>
      <c r="D26" s="3">
        <f>3*p_base_semanal_horas</f>
        <v/>
      </c>
      <c r="E26" s="3">
        <f>IF($C26&gt;=$D26-p_tolerancia_horas_bono,"sí","no")</f>
        <v/>
      </c>
      <c r="F26" s="3">
        <f>$C26-$D26</f>
        <v/>
      </c>
    </row>
    <row r="27">
      <c r="A27" s="3" t="inlineStr">
        <is>
          <t>Técnico 12</t>
        </is>
      </c>
      <c r="B27" s="3" t="inlineStr">
        <is>
          <t>2026-08</t>
        </is>
      </c>
      <c r="C27" s="3">
        <f>SUMIFS('SEGUIMIENTO_HH'!$E$4:$E$67,'SEGUIMIENTO_HH'!$A$4:$A$67,$A27,'SEGUIMIENTO_HH'!$B$4:$B$67,"2026-S32")</f>
        <v/>
      </c>
      <c r="D27" s="3">
        <f>1*p_base_semanal_horas</f>
        <v/>
      </c>
      <c r="E27" s="3">
        <f>IF($C27&gt;=$D27-p_tolerancia_horas_bono,"sí","no")</f>
        <v/>
      </c>
      <c r="F27" s="3">
        <f>$C27-$D27</f>
        <v/>
      </c>
    </row>
    <row r="28">
      <c r="A28" s="3" t="inlineStr">
        <is>
          <t>Técnico 13</t>
        </is>
      </c>
      <c r="B28" s="3" t="inlineStr">
        <is>
          <t>2026-07</t>
        </is>
      </c>
      <c r="C28" s="3">
        <f>SUMIFS('SEGUIMIENTO_HH'!$E$4:$E$67,'SEGUIMIENTO_HH'!$A$4:$A$67,$A28,'SEGUIMIENTO_HH'!$B$4:$B$67,"2026-S29")+SUMIFS('SEGUIMIENTO_HH'!$E$4:$E$67,'SEGUIMIENTO_HH'!$A$4:$A$67,$A28,'SEGUIMIENTO_HH'!$B$4:$B$67,"2026-S30")+SUMIFS('SEGUIMIENTO_HH'!$E$4:$E$67,'SEGUIMIENTO_HH'!$A$4:$A$67,$A28,'SEGUIMIENTO_HH'!$B$4:$B$67,"2026-S31")</f>
        <v/>
      </c>
      <c r="D28" s="3">
        <f>3*p_base_semanal_horas</f>
        <v/>
      </c>
      <c r="E28" s="3">
        <f>IF($C28&gt;=$D28-p_tolerancia_horas_bono,"sí","no")</f>
        <v/>
      </c>
      <c r="F28" s="3">
        <f>$C28-$D28</f>
        <v/>
      </c>
    </row>
    <row r="29">
      <c r="A29" s="3" t="inlineStr">
        <is>
          <t>Técnico 13</t>
        </is>
      </c>
      <c r="B29" s="3" t="inlineStr">
        <is>
          <t>2026-08</t>
        </is>
      </c>
      <c r="C29" s="3">
        <f>SUMIFS('SEGUIMIENTO_HH'!$E$4:$E$67,'SEGUIMIENTO_HH'!$A$4:$A$67,$A29,'SEGUIMIENTO_HH'!$B$4:$B$67,"2026-S32")</f>
        <v/>
      </c>
      <c r="D29" s="3">
        <f>1*p_base_semanal_horas</f>
        <v/>
      </c>
      <c r="E29" s="3">
        <f>IF($C29&gt;=$D29-p_tolerancia_horas_bono,"sí","no")</f>
        <v/>
      </c>
      <c r="F29" s="3">
        <f>$C29-$D29</f>
        <v/>
      </c>
    </row>
    <row r="30">
      <c r="A30" s="3" t="inlineStr">
        <is>
          <t>Técnico 14</t>
        </is>
      </c>
      <c r="B30" s="3" t="inlineStr">
        <is>
          <t>2026-07</t>
        </is>
      </c>
      <c r="C30" s="3">
        <f>SUMIFS('SEGUIMIENTO_HH'!$E$4:$E$67,'SEGUIMIENTO_HH'!$A$4:$A$67,$A30,'SEGUIMIENTO_HH'!$B$4:$B$67,"2026-S29")+SUMIFS('SEGUIMIENTO_HH'!$E$4:$E$67,'SEGUIMIENTO_HH'!$A$4:$A$67,$A30,'SEGUIMIENTO_HH'!$B$4:$B$67,"2026-S30")+SUMIFS('SEGUIMIENTO_HH'!$E$4:$E$67,'SEGUIMIENTO_HH'!$A$4:$A$67,$A30,'SEGUIMIENTO_HH'!$B$4:$B$67,"2026-S31")</f>
        <v/>
      </c>
      <c r="D30" s="3">
        <f>3*p_base_semanal_horas</f>
        <v/>
      </c>
      <c r="E30" s="3">
        <f>IF($C30&gt;=$D30-p_tolerancia_horas_bono,"sí","no")</f>
        <v/>
      </c>
      <c r="F30" s="3">
        <f>$C30-$D30</f>
        <v/>
      </c>
    </row>
    <row r="31">
      <c r="A31" s="3" t="inlineStr">
        <is>
          <t>Técnico 14</t>
        </is>
      </c>
      <c r="B31" s="3" t="inlineStr">
        <is>
          <t>2026-08</t>
        </is>
      </c>
      <c r="C31" s="3">
        <f>SUMIFS('SEGUIMIENTO_HH'!$E$4:$E$67,'SEGUIMIENTO_HH'!$A$4:$A$67,$A31,'SEGUIMIENTO_HH'!$B$4:$B$67,"2026-S32")</f>
        <v/>
      </c>
      <c r="D31" s="3">
        <f>1*p_base_semanal_horas</f>
        <v/>
      </c>
      <c r="E31" s="3">
        <f>IF($C31&gt;=$D31-p_tolerancia_horas_bono,"sí","no")</f>
        <v/>
      </c>
      <c r="F31" s="3">
        <f>$C31-$D31</f>
        <v/>
      </c>
    </row>
    <row r="32">
      <c r="A32" s="3" t="inlineStr">
        <is>
          <t>Técnico 15</t>
        </is>
      </c>
      <c r="B32" s="3" t="inlineStr">
        <is>
          <t>2026-07</t>
        </is>
      </c>
      <c r="C32" s="3">
        <f>SUMIFS('SEGUIMIENTO_HH'!$E$4:$E$67,'SEGUIMIENTO_HH'!$A$4:$A$67,$A32,'SEGUIMIENTO_HH'!$B$4:$B$67,"2026-S29")+SUMIFS('SEGUIMIENTO_HH'!$E$4:$E$67,'SEGUIMIENTO_HH'!$A$4:$A$67,$A32,'SEGUIMIENTO_HH'!$B$4:$B$67,"2026-S30")+SUMIFS('SEGUIMIENTO_HH'!$E$4:$E$67,'SEGUIMIENTO_HH'!$A$4:$A$67,$A32,'SEGUIMIENTO_HH'!$B$4:$B$67,"2026-S31")</f>
        <v/>
      </c>
      <c r="D32" s="3">
        <f>3*p_base_semanal_horas</f>
        <v/>
      </c>
      <c r="E32" s="3">
        <f>IF($C32&gt;=$D32-p_tolerancia_horas_bono,"sí","no")</f>
        <v/>
      </c>
      <c r="F32" s="3">
        <f>$C32-$D32</f>
        <v/>
      </c>
    </row>
    <row r="33">
      <c r="A33" s="3" t="inlineStr">
        <is>
          <t>Técnico 15</t>
        </is>
      </c>
      <c r="B33" s="3" t="inlineStr">
        <is>
          <t>2026-08</t>
        </is>
      </c>
      <c r="C33" s="3">
        <f>SUMIFS('SEGUIMIENTO_HH'!$E$4:$E$67,'SEGUIMIENTO_HH'!$A$4:$A$67,$A33,'SEGUIMIENTO_HH'!$B$4:$B$67,"2026-S32")</f>
        <v/>
      </c>
      <c r="D33" s="3">
        <f>1*p_base_semanal_horas</f>
        <v/>
      </c>
      <c r="E33" s="3">
        <f>IF($C33&gt;=$D33-p_tolerancia_horas_bono,"sí","no")</f>
        <v/>
      </c>
      <c r="F33" s="3">
        <f>$C33-$D33</f>
        <v/>
      </c>
    </row>
    <row r="34">
      <c r="A34" s="3" t="inlineStr">
        <is>
          <t>Técnico 16</t>
        </is>
      </c>
      <c r="B34" s="3" t="inlineStr">
        <is>
          <t>2026-07</t>
        </is>
      </c>
      <c r="C34" s="3">
        <f>SUMIFS('SEGUIMIENTO_HH'!$E$4:$E$67,'SEGUIMIENTO_HH'!$A$4:$A$67,$A34,'SEGUIMIENTO_HH'!$B$4:$B$67,"2026-S29")+SUMIFS('SEGUIMIENTO_HH'!$E$4:$E$67,'SEGUIMIENTO_HH'!$A$4:$A$67,$A34,'SEGUIMIENTO_HH'!$B$4:$B$67,"2026-S30")+SUMIFS('SEGUIMIENTO_HH'!$E$4:$E$67,'SEGUIMIENTO_HH'!$A$4:$A$67,$A34,'SEGUIMIENTO_HH'!$B$4:$B$67,"2026-S31")</f>
        <v/>
      </c>
      <c r="D34" s="3">
        <f>3*p_base_semanal_horas</f>
        <v/>
      </c>
      <c r="E34" s="3">
        <f>IF($C34&gt;=$D34-p_tolerancia_horas_bono,"sí","no")</f>
        <v/>
      </c>
      <c r="F34" s="3">
        <f>$C34-$D34</f>
        <v/>
      </c>
    </row>
    <row r="35">
      <c r="A35" s="3" t="inlineStr">
        <is>
          <t>Técnico 16</t>
        </is>
      </c>
      <c r="B35" s="3" t="inlineStr">
        <is>
          <t>2026-08</t>
        </is>
      </c>
      <c r="C35" s="3">
        <f>SUMIFS('SEGUIMIENTO_HH'!$E$4:$E$67,'SEGUIMIENTO_HH'!$A$4:$A$67,$A35,'SEGUIMIENTO_HH'!$B$4:$B$67,"2026-S32")</f>
        <v/>
      </c>
      <c r="D35" s="3">
        <f>1*p_base_semanal_horas</f>
        <v/>
      </c>
      <c r="E35" s="3">
        <f>IF($C35&gt;=$D35-p_tolerancia_horas_bono,"sí","no")</f>
        <v/>
      </c>
      <c r="F35" s="3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46227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46227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46227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46227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5" t="n"/>
      <c r="C8" s="6" t="n"/>
      <c r="D8" s="8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5" t="n"/>
      <c r="C9" s="6" t="n"/>
      <c r="D9" s="8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5" t="n"/>
      <c r="C10" s="6" t="n"/>
      <c r="D10" s="8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5" t="n"/>
      <c r="C11" s="6" t="n"/>
      <c r="D11" s="8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5" t="n"/>
      <c r="C12" s="6" t="n"/>
      <c r="D12" s="8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5" t="n"/>
      <c r="C13" s="6" t="n"/>
      <c r="D13" s="8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5" t="n"/>
      <c r="C14" s="6" t="n"/>
      <c r="D14" s="8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5" t="n"/>
      <c r="C15" s="6" t="n"/>
      <c r="D15" s="8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5" t="n"/>
      <c r="C16" s="6" t="n"/>
      <c r="D16" s="8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5" t="n"/>
      <c r="C17" s="6" t="n"/>
      <c r="D17" s="8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5" t="n"/>
      <c r="C18" s="6" t="n"/>
      <c r="D18" s="8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5" t="n"/>
      <c r="C19" s="6" t="n"/>
      <c r="D19" s="8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5" t="n"/>
      <c r="C20" s="6" t="n"/>
      <c r="D20" s="8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5" t="n"/>
      <c r="C21" s="6" t="n"/>
      <c r="D21" s="8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5" t="n"/>
      <c r="C22" s="6" t="n"/>
      <c r="D22" s="8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5" t="n"/>
      <c r="C23" s="6" t="n"/>
      <c r="D23" s="8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5" t="n"/>
      <c r="C24" s="6" t="n"/>
      <c r="D24" s="8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5" t="n"/>
      <c r="C25" s="6" t="n"/>
      <c r="D25" s="8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5" t="n"/>
      <c r="C26" s="6" t="n"/>
      <c r="D26" s="8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5" t="n"/>
      <c r="C27" s="6" t="n"/>
      <c r="D27" s="8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5" t="n"/>
      <c r="C28" s="6" t="n"/>
      <c r="D28" s="8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5" t="n"/>
      <c r="C29" s="6" t="n"/>
      <c r="D29" s="8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5" t="n"/>
      <c r="C30" s="6" t="n"/>
      <c r="D30" s="8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5" t="n"/>
      <c r="C31" s="6" t="n"/>
      <c r="D31" s="8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5" t="n"/>
      <c r="C32" s="6" t="n"/>
      <c r="D32" s="8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5" t="n"/>
      <c r="C33" s="6" t="n"/>
      <c r="D33" s="8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5" t="n"/>
      <c r="C34" s="6" t="n"/>
      <c r="D34" s="8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5" t="n"/>
      <c r="C35" s="6" t="n"/>
      <c r="D35" s="8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5" t="n"/>
      <c r="C36" s="6" t="n"/>
      <c r="D36" s="8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5" t="n"/>
      <c r="C37" s="6" t="n"/>
      <c r="D37" s="8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5" t="n"/>
      <c r="C38" s="6" t="n"/>
      <c r="D38" s="8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5" t="n"/>
      <c r="C39" s="6" t="n"/>
      <c r="D39" s="8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5" t="n"/>
      <c r="C40" s="6" t="n"/>
      <c r="D40" s="8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5" t="n"/>
      <c r="C41" s="6" t="n"/>
      <c r="D41" s="8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5" t="n"/>
      <c r="C42" s="6" t="n"/>
      <c r="D42" s="8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5" t="n"/>
      <c r="C43" s="6" t="n"/>
      <c r="D43" s="8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5" t="n"/>
      <c r="C44" s="6" t="n"/>
      <c r="D44" s="8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5" t="n"/>
      <c r="C45" s="6" t="n"/>
      <c r="D45" s="8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5" t="n"/>
      <c r="C46" s="6" t="n"/>
      <c r="D46" s="8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5" t="n"/>
      <c r="C47" s="6" t="n"/>
      <c r="D47" s="8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5" t="n"/>
      <c r="C48" s="6" t="n"/>
      <c r="D48" s="8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5" t="n"/>
      <c r="C49" s="6" t="n"/>
      <c r="D49" s="8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5" t="n"/>
      <c r="C50" s="6" t="n"/>
      <c r="D50" s="8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5" t="n"/>
      <c r="C51" s="6" t="n"/>
      <c r="D51" s="8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5" t="n"/>
      <c r="C52" s="6" t="n"/>
      <c r="D52" s="8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5" t="n"/>
      <c r="C53" s="6" t="n"/>
      <c r="D53" s="8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5" t="n"/>
      <c r="C54" s="6" t="n"/>
      <c r="D54" s="8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5" t="n"/>
      <c r="C55" s="6" t="n"/>
      <c r="D55" s="8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5" t="n"/>
      <c r="C56" s="6" t="n"/>
      <c r="D56" s="8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5" t="n"/>
      <c r="C57" s="6" t="n"/>
      <c r="D57" s="8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5" t="n"/>
      <c r="C58" s="6" t="n"/>
      <c r="D58" s="8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5" t="n"/>
      <c r="C59" s="6" t="n"/>
      <c r="D59" s="8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5" t="n"/>
      <c r="C60" s="6" t="n"/>
      <c r="D60" s="8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5" t="n"/>
      <c r="C61" s="6" t="n"/>
      <c r="D61" s="8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5" t="n"/>
      <c r="C62" s="6" t="n"/>
      <c r="D62" s="8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5" t="n"/>
      <c r="C63" s="6" t="n"/>
      <c r="D63" s="8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5" t="n"/>
      <c r="C64" s="6" t="n"/>
      <c r="D64" s="8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5" t="n"/>
      <c r="C65" s="6" t="n"/>
      <c r="D65" s="8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5" t="n"/>
      <c r="C66" s="6" t="n"/>
      <c r="D66" s="8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5" t="n"/>
      <c r="C67" s="6" t="n"/>
      <c r="D67" s="8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5" t="n"/>
      <c r="C68" s="6" t="n"/>
      <c r="D68" s="8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5" t="n"/>
      <c r="C69" s="6" t="n"/>
      <c r="D69" s="8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5" t="n"/>
      <c r="C70" s="6" t="n"/>
      <c r="D70" s="8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5" t="n"/>
      <c r="C71" s="6" t="n"/>
      <c r="D71" s="8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5" t="n"/>
      <c r="C72" s="6" t="n"/>
      <c r="D72" s="8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5" t="n"/>
      <c r="C73" s="6" t="n"/>
      <c r="D73" s="8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5" t="n"/>
      <c r="C74" s="6" t="n"/>
      <c r="D74" s="8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5" t="n"/>
      <c r="C75" s="6" t="n"/>
      <c r="D75" s="8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5" t="n"/>
      <c r="C76" s="6" t="n"/>
      <c r="D76" s="8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5" t="n"/>
      <c r="C77" s="6" t="n"/>
      <c r="D77" s="8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5" t="n"/>
      <c r="C78" s="6" t="n"/>
      <c r="D78" s="8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5" t="n"/>
      <c r="C79" s="6" t="n"/>
      <c r="D79" s="8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5" t="n"/>
      <c r="C80" s="6" t="n"/>
      <c r="D80" s="8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5" t="n"/>
      <c r="C81" s="6" t="n"/>
      <c r="D81" s="8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5" t="n"/>
      <c r="C82" s="6" t="n"/>
      <c r="D82" s="8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5" t="n"/>
      <c r="C83" s="6" t="n"/>
      <c r="D83" s="8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5" t="n"/>
      <c r="C84" s="6" t="n"/>
      <c r="D84" s="8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5" t="n"/>
      <c r="C85" s="6" t="n"/>
      <c r="D85" s="8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5" t="n"/>
      <c r="C86" s="6" t="n"/>
      <c r="D86" s="8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5" t="n"/>
      <c r="C87" s="6" t="n"/>
      <c r="D87" s="8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5" t="n"/>
      <c r="C88" s="6" t="n"/>
      <c r="D88" s="8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5" t="n"/>
      <c r="C89" s="6" t="n"/>
      <c r="D89" s="8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5" t="n"/>
      <c r="C90" s="6" t="n"/>
      <c r="D90" s="8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5" t="n"/>
      <c r="C91" s="6" t="n"/>
      <c r="D91" s="8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5" t="n"/>
      <c r="C92" s="6" t="n"/>
      <c r="D92" s="8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5" t="n"/>
      <c r="C93" s="6" t="n"/>
      <c r="D93" s="8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5" t="n"/>
      <c r="C94" s="6" t="n"/>
      <c r="D94" s="8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5" t="n"/>
      <c r="C95" s="6" t="n"/>
      <c r="D95" s="8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5" t="n"/>
      <c r="C96" s="6" t="n"/>
      <c r="D96" s="8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5" t="n"/>
      <c r="C97" s="6" t="n"/>
      <c r="D97" s="8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5" t="n"/>
      <c r="C98" s="6" t="n"/>
      <c r="D98" s="8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5" t="n"/>
      <c r="C99" s="6" t="n"/>
      <c r="D99" s="8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5" t="n"/>
      <c r="C100" s="6" t="n"/>
      <c r="D100" s="8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5" t="n"/>
      <c r="C101" s="6" t="n"/>
      <c r="D101" s="8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5" t="n"/>
      <c r="C102" s="6" t="n"/>
      <c r="D102" s="8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5" t="n"/>
      <c r="C103" s="6" t="n"/>
      <c r="D103" s="8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5" t="n"/>
      <c r="C104" s="6" t="n"/>
      <c r="D104" s="8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5" t="n"/>
      <c r="C105" s="6" t="n"/>
      <c r="D105" s="8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5" t="n"/>
      <c r="C106" s="6" t="n"/>
      <c r="D106" s="8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5" t="n"/>
      <c r="C107" s="6" t="n"/>
      <c r="D107" s="8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5" t="n"/>
      <c r="C108" s="6" t="n"/>
      <c r="D108" s="8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5" t="n"/>
      <c r="C109" s="6" t="n"/>
      <c r="D109" s="8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5" t="n"/>
      <c r="C110" s="6" t="n"/>
      <c r="D110" s="8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5" t="n"/>
      <c r="C111" s="6" t="n"/>
      <c r="D111" s="8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5" t="n"/>
      <c r="C112" s="6" t="n"/>
      <c r="D112" s="8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5" t="n"/>
      <c r="C113" s="6" t="n"/>
      <c r="D113" s="8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5" t="n"/>
      <c r="C114" s="6" t="n"/>
      <c r="D114" s="8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5" t="n"/>
      <c r="C115" s="6" t="n"/>
      <c r="D115" s="8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5" t="n"/>
      <c r="C116" s="6" t="n"/>
      <c r="D116" s="8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5" t="n"/>
      <c r="C117" s="6" t="n"/>
      <c r="D117" s="8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5" t="n"/>
      <c r="C118" s="6" t="n"/>
      <c r="D118" s="8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5" t="n"/>
      <c r="C119" s="6" t="n"/>
      <c r="D119" s="8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5" t="n"/>
      <c r="C120" s="6" t="n"/>
      <c r="D120" s="8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5" t="n"/>
      <c r="C121" s="6" t="n"/>
      <c r="D121" s="8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5" t="n"/>
      <c r="C122" s="6" t="n"/>
      <c r="D122" s="8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5" t="n"/>
      <c r="C123" s="6" t="n"/>
      <c r="D123" s="8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5" t="n"/>
      <c r="C124" s="6" t="n"/>
      <c r="D124" s="8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5" t="n"/>
      <c r="C125" s="6" t="n"/>
      <c r="D125" s="8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5" t="n"/>
      <c r="C126" s="6" t="n"/>
      <c r="D126" s="8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5" t="n"/>
      <c r="C127" s="6" t="n"/>
      <c r="D127" s="8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5" t="n"/>
      <c r="C128" s="6" t="n"/>
      <c r="D128" s="8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5" t="n"/>
      <c r="C129" s="6" t="n"/>
      <c r="D129" s="8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5" t="n"/>
      <c r="C130" s="6" t="n"/>
      <c r="D130" s="8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5" t="n"/>
      <c r="C131" s="6" t="n"/>
      <c r="D131" s="8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5" t="n"/>
      <c r="C132" s="6" t="n"/>
      <c r="D132" s="8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5" t="n"/>
      <c r="C133" s="6" t="n"/>
      <c r="D133" s="8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5" t="n"/>
      <c r="C134" s="6" t="n"/>
      <c r="D134" s="8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5" t="n"/>
      <c r="C135" s="6" t="n"/>
      <c r="D135" s="8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5" t="n"/>
      <c r="C136" s="6" t="n"/>
      <c r="D136" s="8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5" t="n"/>
      <c r="C137" s="6" t="n"/>
      <c r="D137" s="8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5" t="n"/>
      <c r="C138" s="6" t="n"/>
      <c r="D138" s="8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5" t="n"/>
      <c r="C139" s="6" t="n"/>
      <c r="D139" s="8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5" t="n"/>
      <c r="C140" s="6" t="n"/>
      <c r="D140" s="8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5" t="n"/>
      <c r="C141" s="6" t="n"/>
      <c r="D141" s="8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5" t="n"/>
      <c r="C142" s="6" t="n"/>
      <c r="D142" s="8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5" t="n"/>
      <c r="C143" s="6" t="n"/>
      <c r="D143" s="8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5" t="n"/>
      <c r="C144" s="6" t="n"/>
      <c r="D144" s="8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5" t="n"/>
      <c r="C145" s="6" t="n"/>
      <c r="D145" s="8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5" t="n"/>
      <c r="C146" s="6" t="n"/>
      <c r="D146" s="8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5" t="n"/>
      <c r="C147" s="6" t="n"/>
      <c r="D147" s="8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5" t="n"/>
      <c r="C148" s="6" t="n"/>
      <c r="D148" s="8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5" t="n"/>
      <c r="C149" s="6" t="n"/>
      <c r="D149" s="8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5" t="n"/>
      <c r="C150" s="6" t="n"/>
      <c r="D150" s="8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5" t="n"/>
      <c r="C151" s="6" t="n"/>
      <c r="D151" s="8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5" t="n"/>
      <c r="C152" s="6" t="n"/>
      <c r="D152" s="8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5" t="n"/>
      <c r="C153" s="6" t="n"/>
      <c r="D153" s="8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5" t="n"/>
      <c r="C154" s="6" t="n"/>
      <c r="D154" s="8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5" t="n"/>
      <c r="C155" s="6" t="n"/>
      <c r="D155" s="8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5" t="n"/>
      <c r="C156" s="6" t="n"/>
      <c r="D156" s="8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5" t="n"/>
      <c r="C157" s="6" t="n"/>
      <c r="D157" s="8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5" t="n"/>
      <c r="C158" s="6" t="n"/>
      <c r="D158" s="8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5" t="n"/>
      <c r="C159" s="6" t="n"/>
      <c r="D159" s="8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5" t="n"/>
      <c r="C160" s="6" t="n"/>
      <c r="D160" s="8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5" t="n"/>
      <c r="C161" s="6" t="n"/>
      <c r="D161" s="8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5" t="n"/>
      <c r="C162" s="6" t="n"/>
      <c r="D162" s="8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5" t="n"/>
      <c r="C163" s="6" t="n"/>
      <c r="D163" s="8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5" t="n"/>
      <c r="C164" s="6" t="n"/>
      <c r="D164" s="8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5" t="n"/>
      <c r="C165" s="6" t="n"/>
      <c r="D165" s="8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5" t="n"/>
      <c r="C166" s="6" t="n"/>
      <c r="D166" s="8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5" t="n"/>
      <c r="C167" s="6" t="n"/>
      <c r="D167" s="8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5" t="n"/>
      <c r="C168" s="6" t="n"/>
      <c r="D168" s="8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5" t="n"/>
      <c r="C169" s="6" t="n"/>
      <c r="D169" s="8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5" t="n"/>
      <c r="C170" s="6" t="n"/>
      <c r="D170" s="8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5" t="n"/>
      <c r="C171" s="6" t="n"/>
      <c r="D171" s="8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5" t="n"/>
      <c r="C172" s="6" t="n"/>
      <c r="D172" s="8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5" t="n"/>
      <c r="C173" s="6" t="n"/>
      <c r="D173" s="8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5" t="n"/>
      <c r="C174" s="6" t="n"/>
      <c r="D174" s="8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5" t="n"/>
      <c r="C175" s="6" t="n"/>
      <c r="D175" s="8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5" t="n"/>
      <c r="C176" s="6" t="n"/>
      <c r="D176" s="8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5" t="n"/>
      <c r="C177" s="6" t="n"/>
      <c r="D177" s="8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5" t="n"/>
      <c r="C178" s="6" t="n"/>
      <c r="D178" s="8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5" t="n"/>
      <c r="C179" s="6" t="n"/>
      <c r="D179" s="8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5" t="n"/>
      <c r="C180" s="6" t="n"/>
      <c r="D180" s="8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5" t="n"/>
      <c r="C181" s="6" t="n"/>
      <c r="D181" s="8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5" t="n"/>
      <c r="C182" s="6" t="n"/>
      <c r="D182" s="8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5" t="n"/>
      <c r="C183" s="6" t="n"/>
      <c r="D183" s="8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5" t="n"/>
      <c r="C184" s="6" t="n"/>
      <c r="D184" s="8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5" t="n"/>
      <c r="C185" s="6" t="n"/>
      <c r="D185" s="8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5" t="n"/>
      <c r="C186" s="6" t="n"/>
      <c r="D186" s="8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5" t="n"/>
      <c r="C187" s="6" t="n"/>
      <c r="D187" s="8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5" t="n"/>
      <c r="C188" s="6" t="n"/>
      <c r="D188" s="8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5" t="n"/>
      <c r="C189" s="6" t="n"/>
      <c r="D189" s="8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5" t="n"/>
      <c r="C190" s="6" t="n"/>
      <c r="D190" s="8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5" t="n"/>
      <c r="C191" s="6" t="n"/>
      <c r="D191" s="8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5" t="n"/>
      <c r="C192" s="6" t="n"/>
      <c r="D192" s="8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5" t="n"/>
      <c r="C193" s="6" t="n"/>
      <c r="D193" s="8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5" t="n"/>
      <c r="C194" s="6" t="n"/>
      <c r="D194" s="8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5" t="n"/>
      <c r="C195" s="6" t="n"/>
      <c r="D195" s="8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5" t="n"/>
      <c r="C196" s="6" t="n"/>
      <c r="D196" s="8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5" t="n"/>
      <c r="C197" s="6" t="n"/>
      <c r="D197" s="8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5" t="n"/>
      <c r="C198" s="6" t="n"/>
      <c r="D198" s="8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5" t="n"/>
      <c r="C199" s="6" t="n"/>
      <c r="D199" s="8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5" t="n"/>
      <c r="C200" s="6" t="n"/>
      <c r="D200" s="8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5" t="n"/>
      <c r="C201" s="6" t="n"/>
      <c r="D201" s="8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5" t="n"/>
      <c r="C202" s="6" t="n"/>
      <c r="D202" s="8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5" t="n"/>
      <c r="C203" s="6" t="n"/>
      <c r="D203" s="8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5" t="n"/>
      <c r="C204" s="6" t="n"/>
      <c r="D204" s="8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5" t="n"/>
      <c r="C205" s="6" t="n"/>
      <c r="D205" s="8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5" t="n"/>
      <c r="C206" s="6" t="n"/>
      <c r="D206" s="8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5" t="n"/>
      <c r="C207" s="6" t="n"/>
      <c r="D207" s="8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5" t="n"/>
      <c r="C208" s="6" t="n"/>
      <c r="D208" s="8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5" t="n"/>
      <c r="C209" s="6" t="n"/>
      <c r="D209" s="8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5" t="n"/>
      <c r="C210" s="6" t="n"/>
      <c r="D210" s="8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5" t="n"/>
      <c r="C211" s="6" t="n"/>
      <c r="D211" s="8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5" t="n"/>
      <c r="C212" s="6" t="n"/>
      <c r="D212" s="8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5" t="n"/>
      <c r="C213" s="6" t="n"/>
      <c r="D213" s="8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5" t="n"/>
      <c r="C214" s="6" t="n"/>
      <c r="D214" s="8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5" t="n"/>
      <c r="C215" s="6" t="n"/>
      <c r="D215" s="8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5" t="n"/>
      <c r="C216" s="6" t="n"/>
      <c r="D216" s="8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5" t="n"/>
      <c r="C217" s="6" t="n"/>
      <c r="D217" s="8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5" t="n"/>
      <c r="C218" s="6" t="n"/>
      <c r="D218" s="8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5" t="n"/>
      <c r="C219" s="6" t="n"/>
      <c r="D219" s="8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5" t="n"/>
      <c r="C220" s="6" t="n"/>
      <c r="D220" s="8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5" t="n"/>
      <c r="C221" s="6" t="n"/>
      <c r="D221" s="8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5" t="n"/>
      <c r="C222" s="6" t="n"/>
      <c r="D222" s="8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5" t="n"/>
      <c r="C223" s="6" t="n"/>
      <c r="D223" s="8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5" t="n"/>
      <c r="C224" s="6" t="n"/>
      <c r="D224" s="8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5" t="n"/>
      <c r="C225" s="6" t="n"/>
      <c r="D225" s="8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5" t="n"/>
      <c r="C226" s="6" t="n"/>
      <c r="D226" s="8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5" t="n"/>
      <c r="C227" s="6" t="n"/>
      <c r="D227" s="8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5" t="n"/>
      <c r="C228" s="6" t="n"/>
      <c r="D228" s="8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5" t="n"/>
      <c r="C229" s="6" t="n"/>
      <c r="D229" s="8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5" t="n"/>
      <c r="C230" s="6" t="n"/>
      <c r="D230" s="8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5" t="n"/>
      <c r="C231" s="6" t="n"/>
      <c r="D231" s="8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5" t="n"/>
      <c r="C232" s="6" t="n"/>
      <c r="D232" s="8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5" t="n"/>
      <c r="C233" s="6" t="n"/>
      <c r="D233" s="8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5" t="n"/>
      <c r="C234" s="6" t="n"/>
      <c r="D234" s="8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5" t="n"/>
      <c r="C235" s="6" t="n"/>
      <c r="D235" s="8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5" t="n"/>
      <c r="C236" s="6" t="n"/>
      <c r="D236" s="8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5" t="n"/>
      <c r="C237" s="6" t="n"/>
      <c r="D237" s="8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5" t="n"/>
      <c r="C238" s="6" t="n"/>
      <c r="D238" s="8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5" t="n"/>
      <c r="C239" s="6" t="n"/>
      <c r="D239" s="8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5" t="n"/>
      <c r="C240" s="6" t="n"/>
      <c r="D240" s="8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5" t="n"/>
      <c r="C241" s="6" t="n"/>
      <c r="D241" s="8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5" t="n"/>
      <c r="C242" s="6" t="n"/>
      <c r="D242" s="8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5" t="n"/>
      <c r="C243" s="6" t="n"/>
      <c r="D243" s="8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5" t="n"/>
      <c r="C244" s="6" t="n"/>
      <c r="D244" s="8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5" t="n"/>
      <c r="C245" s="6" t="n"/>
      <c r="D245" s="8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5" t="n"/>
      <c r="C246" s="6" t="n"/>
      <c r="D246" s="8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5" t="n"/>
      <c r="C247" s="6" t="n"/>
      <c r="D247" s="8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5" t="n"/>
      <c r="C248" s="6" t="n"/>
      <c r="D248" s="8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5" t="n"/>
      <c r="C249" s="6" t="n"/>
      <c r="D249" s="8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5" t="n"/>
      <c r="C250" s="6" t="n"/>
      <c r="D250" s="8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5" t="n"/>
      <c r="C251" s="6" t="n"/>
      <c r="D251" s="8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5" t="n"/>
      <c r="C252" s="6" t="n"/>
      <c r="D252" s="8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5" t="n"/>
      <c r="C253" s="6" t="n"/>
      <c r="D253" s="8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5" t="n"/>
      <c r="C254" s="6" t="n"/>
      <c r="D254" s="8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5" t="n"/>
      <c r="C255" s="6" t="n"/>
      <c r="D255" s="8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5" t="n"/>
      <c r="C256" s="6" t="n"/>
      <c r="D256" s="8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5" t="n"/>
      <c r="C257" s="6" t="n"/>
      <c r="D257" s="8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5" t="n"/>
      <c r="C258" s="6" t="n"/>
      <c r="D258" s="8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5" t="n"/>
      <c r="C259" s="6" t="n"/>
      <c r="D259" s="8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5" t="n"/>
      <c r="C260" s="6" t="n"/>
      <c r="D260" s="8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5" t="n"/>
      <c r="C261" s="6" t="n"/>
      <c r="D261" s="8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5" t="n"/>
      <c r="C262" s="6" t="n"/>
      <c r="D262" s="8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5" t="n"/>
      <c r="C263" s="6" t="n"/>
      <c r="D263" s="8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5" t="n"/>
      <c r="C264" s="6" t="n"/>
      <c r="D264" s="8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5" t="n"/>
      <c r="C265" s="6" t="n"/>
      <c r="D265" s="8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5" t="n"/>
      <c r="C266" s="6" t="n"/>
      <c r="D266" s="8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5" t="n"/>
      <c r="C267" s="6" t="n"/>
      <c r="D267" s="8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5" t="n"/>
      <c r="C268" s="6" t="n"/>
      <c r="D268" s="8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5" t="n"/>
      <c r="C269" s="6" t="n"/>
      <c r="D269" s="8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5" t="n"/>
      <c r="C270" s="6" t="n"/>
      <c r="D270" s="8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5" t="n"/>
      <c r="C271" s="6" t="n"/>
      <c r="D271" s="8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5" t="n"/>
      <c r="C272" s="6" t="n"/>
      <c r="D272" s="8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5" t="n"/>
      <c r="C273" s="6" t="n"/>
      <c r="D273" s="8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5" t="n"/>
      <c r="C274" s="6" t="n"/>
      <c r="D274" s="8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5" t="n"/>
      <c r="C275" s="6" t="n"/>
      <c r="D275" s="8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5" t="n"/>
      <c r="C276" s="6" t="n"/>
      <c r="D276" s="8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5" t="n"/>
      <c r="C277" s="6" t="n"/>
      <c r="D277" s="8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5" t="n"/>
      <c r="C278" s="6" t="n"/>
      <c r="D278" s="8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5" t="n"/>
      <c r="C279" s="6" t="n"/>
      <c r="D279" s="8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5" t="n"/>
      <c r="C280" s="6" t="n"/>
      <c r="D280" s="8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5" t="n"/>
      <c r="C281" s="6" t="n"/>
      <c r="D281" s="8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5" t="n"/>
      <c r="C282" s="6" t="n"/>
      <c r="D282" s="8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5" t="n"/>
      <c r="C283" s="6" t="n"/>
      <c r="D283" s="8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5" t="n"/>
      <c r="C284" s="6" t="n"/>
      <c r="D284" s="8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5" t="n"/>
      <c r="C285" s="6" t="n"/>
      <c r="D285" s="8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5" t="n"/>
      <c r="C286" s="6" t="n"/>
      <c r="D286" s="8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5" t="n"/>
      <c r="C287" s="6" t="n"/>
      <c r="D287" s="8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5" t="n"/>
      <c r="C288" s="6" t="n"/>
      <c r="D288" s="8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5" t="n"/>
      <c r="C289" s="6" t="n"/>
      <c r="D289" s="8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5" t="n"/>
      <c r="C290" s="6" t="n"/>
      <c r="D290" s="8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5" t="n"/>
      <c r="C291" s="6" t="n"/>
      <c r="D291" s="8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5" t="n"/>
      <c r="C292" s="6" t="n"/>
      <c r="D292" s="8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5" t="n"/>
      <c r="C293" s="6" t="n"/>
      <c r="D293" s="8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5" t="n"/>
      <c r="C294" s="6" t="n"/>
      <c r="D294" s="8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5" t="n"/>
      <c r="C295" s="6" t="n"/>
      <c r="D295" s="8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5" t="n"/>
      <c r="C296" s="6" t="n"/>
      <c r="D296" s="8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5" t="n"/>
      <c r="C297" s="6" t="n"/>
      <c r="D297" s="8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5" t="n"/>
      <c r="C298" s="6" t="n"/>
      <c r="D298" s="8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5" t="n"/>
      <c r="C299" s="6" t="n"/>
      <c r="D299" s="8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5" t="n"/>
      <c r="C300" s="6" t="n"/>
      <c r="D300" s="8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5" t="n"/>
      <c r="C301" s="6" t="n"/>
      <c r="D301" s="8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5" t="n"/>
      <c r="C302" s="6" t="n"/>
      <c r="D302" s="8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5" t="n"/>
      <c r="C303" s="6" t="n"/>
      <c r="D303" s="8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2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2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2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2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2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2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2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2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2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2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2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2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2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8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2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8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2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8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2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2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2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2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2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2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2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2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2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2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2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2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2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2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2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2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2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2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2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2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2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2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2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2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2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2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2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2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2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2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2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2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2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2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2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2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2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2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2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2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2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2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2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2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2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2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2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2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2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2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2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2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2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2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2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2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2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2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2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2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2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2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2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2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2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2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2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2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2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2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2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2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2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2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2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2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2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2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2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2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2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2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2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2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2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2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2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2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2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2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2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2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2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2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2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2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2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2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2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2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2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2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2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2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2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2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2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2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2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2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2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2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2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2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2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2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2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2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2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2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2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2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2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2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2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2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2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2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2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2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2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2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2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2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2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2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2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2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2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2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2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2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2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2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2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2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2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2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2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2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2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2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2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2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2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2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2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2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2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2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2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2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2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2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2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2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2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2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2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2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2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2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2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2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2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2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2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2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2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2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2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2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2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2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2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2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2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2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2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2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2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2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2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2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2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2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2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2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2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2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2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2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2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2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2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2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2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2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2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2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2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2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2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2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2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2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2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2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2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2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2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2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2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2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2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2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2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2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2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2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2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2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2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2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2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2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2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2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2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2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2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2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2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2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2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2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2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2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2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2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2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2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2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2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2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2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2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2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2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2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2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2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2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2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2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2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2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2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2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2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2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2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2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2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2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2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2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2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2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2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2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2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2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2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2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2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2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2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2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2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2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2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2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2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2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2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2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2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2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2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2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2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2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2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2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2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2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2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2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2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2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2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2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2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2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2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2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2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2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2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2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2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2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2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2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2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2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2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2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2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2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2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2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2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2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2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2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2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2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2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2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2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2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2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2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2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2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2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2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2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2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2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2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2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2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2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2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2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2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2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2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2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2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2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2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2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2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2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2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2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2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2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2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2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2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2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2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2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2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2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2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2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2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2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2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2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2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2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2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2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2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2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2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2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2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2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2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2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2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2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2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2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2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2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2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2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2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2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2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2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2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2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2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2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2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2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2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2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2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2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2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2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2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2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2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2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2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2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2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2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2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2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2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2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2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2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2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2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2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2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2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2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2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2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2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2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2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2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2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2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2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2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2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2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2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2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2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2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2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2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2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2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2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2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2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2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2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2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2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2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2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2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2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2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2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2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2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2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2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2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2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2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2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2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2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2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2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2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2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2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2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2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2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2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2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2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2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2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2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2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2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2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2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2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2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2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2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2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2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2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2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2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2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2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2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2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2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2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2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2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2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2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2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2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2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2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2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2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2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2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2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2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2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2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2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2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2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2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2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2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2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2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2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2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2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2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2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2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2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2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2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2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2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2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2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2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2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2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2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2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2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2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2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2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2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2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2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2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2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2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2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2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2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2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2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2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2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2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2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2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2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2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2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2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2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2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2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2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2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2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2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2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2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2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2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2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2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2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2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2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2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2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2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2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2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2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2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2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2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2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2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2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2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2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2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2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2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2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2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2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2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2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2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2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2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2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2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2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2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2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2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2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2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2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2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2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2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2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2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2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2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2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2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2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2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2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2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2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2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2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2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2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2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2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2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2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2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2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2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2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2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2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2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2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2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2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2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2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2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2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2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2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2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2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2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2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2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2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2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2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2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2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2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2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2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2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2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2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2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2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2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2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2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2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2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2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2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2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2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2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2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2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2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2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2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2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2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2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2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2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2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2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2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2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2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2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2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2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2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2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2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2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2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2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2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2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2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2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2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2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2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2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2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2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2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2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SUMIFS('ASIGNACIONES'!$M$4:$M$451,'ASIGNACIONES'!$E$4:$E$451,$A4,'ASIGNACIONES'!$A$4:$A$451,$B4)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SUMIFS('ASIGNACIONES'!$M$4:$M$451,'ASIGNACIONES'!$E$4:$E$451,$A5,'ASIGNACIONES'!$A$4:$A$451,$B5)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SUMIFS('ASIGNACIONES'!$M$4:$M$451,'ASIGNACIONES'!$E$4:$E$451,$A6,'ASIGNACIONES'!$A$4:$A$451,$B6)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SUMIFS('ASIGNACIONES'!$M$4:$M$451,'ASIGNACIONES'!$E$4:$E$451,$A7,'ASIGNACIONES'!$A$4:$A$451,$B7)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MEC</t>
        </is>
      </c>
      <c r="B8" s="3">
        <f>$O$5</f>
        <v/>
      </c>
      <c r="C8" s="17">
        <f>SUMIFS('ASIGNACIONES'!$M$4:$M$451,'ASIGNACIONES'!$E$4:$E$451,$A8,'ASIGNACIONES'!$A$4:$A$451,$B8)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IF(N7="","",IF(N7+7&gt;MAX('ORDENES'!$J$4:$J$1203),"",N7+7))</f>
        <v/>
      </c>
      <c r="O8" s="3">
        <f>IF(N8="","",YEAR(N8+4-WEEKDAY(N8,2))&amp;"-S"&amp;TEXT(_xlfn.ISOWEEKNUM(N8),"00"))</f>
        <v/>
      </c>
    </row>
    <row r="9">
      <c r="A9" s="3" t="inlineStr">
        <is>
          <t>ELE</t>
        </is>
      </c>
      <c r="B9" s="3">
        <f>$O$5</f>
        <v/>
      </c>
      <c r="C9" s="17">
        <f>SUMIFS('ASIGNACIONES'!$M$4:$M$451,'ASIGNACIONES'!$E$4:$E$451,$A9,'ASIGNACIONES'!$A$4:$A$451,$B9)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IF(N8="","",IF(N8+7&gt;MAX('ORDENES'!$J$4:$J$1203),"",N8+7))</f>
        <v/>
      </c>
      <c r="O9" s="3">
        <f>IF(N9="","",YEAR(N9+4-WEEKDAY(N9,2))&amp;"-S"&amp;TEXT(_xlfn.ISOWEEKNUM(N9),"00"))</f>
        <v/>
      </c>
    </row>
    <row r="10">
      <c r="A10" s="3" t="inlineStr">
        <is>
          <t>AUT</t>
        </is>
      </c>
      <c r="B10" s="3">
        <f>$O$5</f>
        <v/>
      </c>
      <c r="C10" s="17">
        <f>SUMIFS('ASIGNACIONES'!$M$4:$M$451,'ASIGNACIONES'!$E$4:$E$451,$A10,'ASIGNACIONES'!$A$4:$A$451,$B10)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IF(N9="","",IF(N9+7&gt;MAX('ORDENES'!$J$4:$J$1203),"",N9+7))</f>
        <v/>
      </c>
      <c r="O10" s="3">
        <f>IF(N10="","",YEAR(N10+4-WEEKDAY(N10,2))&amp;"-S"&amp;TEXT(_xlfn.ISOWEEKNUM(N10),"00"))</f>
        <v/>
      </c>
    </row>
    <row r="11">
      <c r="A11" s="3" t="inlineStr">
        <is>
          <t>TERCERO</t>
        </is>
      </c>
      <c r="B11" s="3">
        <f>$O$5</f>
        <v/>
      </c>
      <c r="C11" s="17">
        <f>SUMIFS('ASIGNACIONES'!$M$4:$M$451,'ASIGNACIONES'!$E$4:$E$451,$A11,'ASIGNACIONES'!$A$4:$A$451,$B11)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SUMIFS('ASIGNACIONES'!$M$4:$M$451,'ASIGNACIONES'!$E$4:$E$451,$A12,'ASIGNACIONES'!$A$4:$A$451,$B12)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SUMIFS('ASIGNACIONES'!$M$4:$M$451,'ASIGNACIONES'!$E$4:$E$451,$A13,'ASIGNACIONES'!$A$4:$A$451,$B13)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SUMIFS('ASIGNACIONES'!$M$4:$M$451,'ASIGNACIONES'!$E$4:$E$451,$A14,'ASIGNACIONES'!$A$4:$A$451,$B14)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SUMIFS('ASIGNACIONES'!$M$4:$M$451,'ASIGNACIONES'!$E$4:$E$451,$A15,'ASIGNACIONES'!$A$4:$A$451,$B15)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SUMIFS('ASIGNACIONES'!$M$4:$M$451,'ASIGNACIONES'!$E$4:$E$451,$A16,'ASIGNACIONES'!$A$4:$A$451,$B16)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SUMIFS('ASIGNACIONES'!$M$4:$M$451,'ASIGNACIONES'!$E$4:$E$451,$A17,'ASIGNACIONES'!$A$4:$A$451,$B17)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SUMIFS('ASIGNACIONES'!$M$4:$M$451,'ASIGNACIONES'!$E$4:$E$451,$A18,'ASIGNACIONES'!$A$4:$A$451,$B18)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SUMIFS('ASIGNACIONES'!$M$4:$M$451,'ASIGNACIONES'!$E$4:$E$451,$A19,'ASIGNACIONES'!$A$4:$A$451,$B19)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SUMIFS('ASIGNACIONES'!$M$4:$M$451,'ASIGNACIONES'!$E$4:$E$451,$A20,'ASIGNACIONES'!$A$4:$A$451,$B20)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SUMIFS('ASIGNACIONES'!$M$4:$M$451,'ASIGNACIONES'!$E$4:$E$451,$A21,'ASIGNACIONES'!$A$4:$A$451,$B21)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SUMIFS('ASIGNACIONES'!$M$4:$M$451,'ASIGNACIONES'!$E$4:$E$451,$A22,'ASIGNACIONES'!$A$4:$A$451,$B22)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SUMIFS('ASIGNACIONES'!$M$4:$M$451,'ASIGNACIONES'!$E$4:$E$451,$A23,'ASIGNACIONES'!$A$4:$A$451,$B23)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SUMIFS('ASIGNACIONES'!$M$4:$M$451,'ASIGNACIONES'!$E$4:$E$451,$A24,'ASIGNACIONES'!$A$4:$A$451,$B24)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SUMIFS('ASIGNACIONES'!$M$4:$M$451,'ASIGNACIONES'!$E$4:$E$451,$A25,'ASIGNACIONES'!$A$4:$A$451,$B25)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SUMIFS('ASIGNACIONES'!$M$4:$M$451,'ASIGNACIONES'!$E$4:$E$451,$A26,'ASIGNACIONES'!$A$4:$A$451,$B26)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SUMIFS('ASIGNACIONES'!$M$4:$M$451,'ASIGNACIONES'!$E$4:$E$451,$A27,'ASIGNACIONES'!$A$4:$A$451,$B27)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SUMIFS('ASIGNACIONES'!$M$4:$M$451,'ASIGNACIONES'!$E$4:$E$451,$A28,'ASIGNACIONES'!$A$4:$A$451,$B28)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SUMIFS('ASIGNACIONES'!$M$4:$M$451,'ASIGNACIONES'!$E$4:$E$451,$A29,'ASIGNACIONES'!$A$4:$A$451,$B29)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SUMIFS('ASIGNACIONES'!$M$4:$M$451,'ASIGNACIONES'!$E$4:$E$451,$A30,'ASIGNACIONES'!$A$4:$A$451,$B30)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SUMIFS('ASIGNACIONES'!$M$4:$M$451,'ASIGNACIONES'!$E$4:$E$451,$A31,'ASIGNACIONES'!$A$4:$A$451,$B31)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SUMIFS('ASIGNACIONES'!$M$4:$M$451,'ASIGNACIONES'!$E$4:$E$451,$A32,'ASIGNACIONES'!$A$4:$A$451,$B32)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SUMIFS('ASIGNACIONES'!$M$4:$M$451,'ASIGNACIONES'!$E$4:$E$451,$A33,'ASIGNACIONES'!$A$4:$A$451,$B33)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SUMIFS('ASIGNACIONES'!$M$4:$M$451,'ASIGNACIONES'!$E$4:$E$451,$A34,'ASIGNACIONES'!$A$4:$A$451,$B34)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SUMIFS('ASIGNACIONES'!$M$4:$M$451,'ASIGNACIONES'!$E$4:$E$451,$A35,'ASIGNACIONES'!$A$4:$A$451,$B35)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SUMIFS('ASIGNACIONES'!$M$4:$M$451,'ASIGNACIONES'!$E$4:$E$451,$A36,'ASIGNACIONES'!$A$4:$A$451,$B36)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SUMIFS('ASIGNACIONES'!$M$4:$M$451,'ASIGNACIONES'!$E$4:$E$451,$A37,'ASIGNACIONES'!$A$4:$A$451,$B37)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SUMIFS('ASIGNACIONES'!$M$4:$M$451,'ASIGNACIONES'!$E$4:$E$451,$A38,'ASIGNACIONES'!$A$4:$A$451,$B38)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SUMIFS('ASIGNACIONES'!$M$4:$M$451,'ASIGNACIONES'!$E$4:$E$451,$A39,'ASIGNACIONES'!$A$4:$A$451,$B39)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SUMIFS('ASIGNACIONES'!$M$4:$M$451,'ASIGNACIONES'!$E$4:$E$451,$A40,'ASIGNACIONES'!$A$4:$A$451,$B40)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SUMIFS('ASIGNACIONES'!$M$4:$M$451,'ASIGNACIONES'!$E$4:$E$451,$A41,'ASIGNACIONES'!$A$4:$A$451,$B41)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SUMIFS('ASIGNACIONES'!$M$4:$M$451,'ASIGNACIONES'!$E$4:$E$451,$A42,'ASIGNACIONES'!$A$4:$A$451,$B42)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SUMIFS('ASIGNACIONES'!$M$4:$M$451,'ASIGNACIONES'!$E$4:$E$451,$A43,'ASIGNACIONES'!$A$4:$A$451,$B43)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SUMIFS('ASIGNACIONES'!$M$4:$M$451,'ASIGNACIONES'!$E$4:$E$451,$A44,'ASIGNACIONES'!$A$4:$A$451,$B44)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SUMIFS('ASIGNACIONES'!$M$4:$M$451,'ASIGNACIONES'!$E$4:$E$451,$A45,'ASIGNACIONES'!$A$4:$A$451,$B45)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SUMIFS('ASIGNACIONES'!$M$4:$M$451,'ASIGNACIONES'!$E$4:$E$451,$A46,'ASIGNACIONES'!$A$4:$A$451,$B46)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SUMIFS('ASIGNACIONES'!$M$4:$M$451,'ASIGNACIONES'!$E$4:$E$451,$A47,'ASIGNACIONES'!$A$4:$A$451,$B47)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SUMIFS('ASIGNACIONES'!$M$4:$M$451,'ASIGNACIONES'!$E$4:$E$451,$A48,'ASIGNACIONES'!$A$4:$A$451,$B48)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SUMIFS('ASIGNACIONES'!$M$4:$M$451,'ASIGNACIONES'!$E$4:$E$451,$A49,'ASIGNACIONES'!$A$4:$A$451,$B49)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SUMIFS('ASIGNACIONES'!$M$4:$M$451,'ASIGNACIONES'!$E$4:$E$451,$A50,'ASIGNACIONES'!$A$4:$A$451,$B50)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SUMIFS('ASIGNACIONES'!$M$4:$M$451,'ASIGNACIONES'!$E$4:$E$451,$A51,'ASIGNACIONES'!$A$4:$A$451,$B51)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SUMIFS('ASIGNACIONES'!$M$4:$M$451,'ASIGNACIONES'!$E$4:$E$451,$A52,'ASIGNACIONES'!$A$4:$A$451,$B52)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SUMIFS('ASIGNACIONES'!$M$4:$M$451,'ASIGNACIONES'!$E$4:$E$451,$A53,'ASIGNACIONES'!$A$4:$A$451,$B53)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SUMIFS('ASIGNACIONES'!$M$4:$M$451,'ASIGNACIONES'!$E$4:$E$451,$A54,'ASIGNACIONES'!$A$4:$A$451,$B54)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SUMIFS('ASIGNACIONES'!$M$4:$M$451,'ASIGNACIONES'!$E$4:$E$451,$A55,'ASIGNACIONES'!$A$4:$A$451,$B55)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SUMIFS('ASIGNACIONES'!$M$4:$M$451,'ASIGNACIONES'!$E$4:$E$451,$A56,'ASIGNACIONES'!$A$4:$A$451,$B56)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SUMIFS('ASIGNACIONES'!$M$4:$M$451,'ASIGNACIONES'!$E$4:$E$451,$A57,'ASIGNACIONES'!$A$4:$A$451,$B57)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SUMIFS('ASIGNACIONES'!$M$4:$M$451,'ASIGNACIONES'!$E$4:$E$451,$A58,'ASIGNACIONES'!$A$4:$A$451,$B58)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SUMIFS('ASIGNACIONES'!$M$4:$M$451,'ASIGNACIONES'!$E$4:$E$451,$A59,'ASIGNACIONES'!$A$4:$A$451,$B59)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SUMIFS('ASIGNACIONES'!$M$4:$M$451,'ASIGNACIONES'!$E$4:$E$451,$A60,'ASIGNACIONES'!$A$4:$A$451,$B60)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SUMIFS('ASIGNACIONES'!$M$4:$M$451,'ASIGNACIONES'!$E$4:$E$451,$A61,'ASIGNACIONES'!$A$4:$A$451,$B61)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SUMIFS('ASIGNACIONES'!$M$4:$M$451,'ASIGNACIONES'!$E$4:$E$451,$A62,'ASIGNACIONES'!$A$4:$A$451,$B62)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SUMIFS('ASIGNACIONES'!$M$4:$M$451,'ASIGNACIONES'!$E$4:$E$451,$A63,'ASIGNACIONES'!$A$4:$A$451,$B63)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SUMIFS('ASIGNACIONES'!$M$4:$M$451,'ASIGNACIONES'!$E$4:$E$451,$A64,'ASIGNACIONES'!$A$4:$A$451,$B64)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SUMIFS('ASIGNACIONES'!$M$4:$M$451,'ASIGNACIONES'!$E$4:$E$451,$A65,'ASIGNACIONES'!$A$4:$A$451,$B65)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SUMIFS('ASIGNACIONES'!$M$4:$M$451,'ASIGNACIONES'!$E$4:$E$451,$A66,'ASIGNACIONES'!$A$4:$A$451,$B66)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SUMIFS('ASIGNACIONES'!$M$4:$M$451,'ASIGNACIONES'!$E$4:$E$451,$A67,'ASIGNACIONES'!$A$4:$A$451,$B67)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SUMIFS('ASIGNACIONES'!$M$4:$M$451,'ASIGNACIONES'!$E$4:$E$451,$A68,'ASIGNACIONES'!$A$4:$A$451,$B68)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SUMIFS('ASIGNACIONES'!$M$4:$M$451,'ASIGNACIONES'!$E$4:$E$451,$A69,'ASIGNACIONES'!$A$4:$A$451,$B69)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SUMIFS('ASIGNACIONES'!$M$4:$M$451,'ASIGNACIONES'!$E$4:$E$451,$A70,'ASIGNACIONES'!$A$4:$A$451,$B70)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SUMIFS('ASIGNACIONES'!$M$4:$M$451,'ASIGNACIONES'!$E$4:$E$451,$A71,'ASIGNACIONES'!$A$4:$A$451,$B71)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 hidden="1">
      <c r="A72" s="3" t="inlineStr">
        <is>
          <t>MEC</t>
        </is>
      </c>
      <c r="B72" s="3">
        <f>$O$21</f>
        <v/>
      </c>
      <c r="C72" s="17">
        <f>SUMIFS('ASIGNACIONES'!$M$4:$M$451,'ASIGNACIONES'!$E$4:$E$451,$A72,'ASIGNACIONES'!$A$4:$A$451,$B72)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 hidden="1">
      <c r="A73" s="3" t="inlineStr">
        <is>
          <t>ELE</t>
        </is>
      </c>
      <c r="B73" s="3">
        <f>$O$21</f>
        <v/>
      </c>
      <c r="C73" s="17">
        <f>SUMIFS('ASIGNACIONES'!$M$4:$M$451,'ASIGNACIONES'!$E$4:$E$451,$A73,'ASIGNACIONES'!$A$4:$A$451,$B73)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 hidden="1">
      <c r="A74" s="3" t="inlineStr">
        <is>
          <t>AUT</t>
        </is>
      </c>
      <c r="B74" s="3">
        <f>$O$21</f>
        <v/>
      </c>
      <c r="C74" s="17">
        <f>SUMIFS('ASIGNACIONES'!$M$4:$M$451,'ASIGNACIONES'!$E$4:$E$451,$A74,'ASIGNACIONES'!$A$4:$A$451,$B74)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 hidden="1">
      <c r="A75" s="3" t="inlineStr">
        <is>
          <t>TERCERO</t>
        </is>
      </c>
      <c r="B75" s="3">
        <f>$O$21</f>
        <v/>
      </c>
      <c r="C75" s="17">
        <f>SUMIFS('ASIGNACIONES'!$M$4:$M$451,'ASIGNACIONES'!$E$4:$E$451,$A75,'ASIGNACIONES'!$A$4:$A$451,$B75)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SUMIFS('ASIGNACIONES'!$M$4:$M$451,'ASIGNACIONES'!$E$4:$E$451,$A76,'ASIGNACIONES'!$A$4:$A$451,$B76)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SUMIFS('ASIGNACIONES'!$M$4:$M$451,'ASIGNACIONES'!$E$4:$E$451,$A77,'ASIGNACIONES'!$A$4:$A$451,$B77)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SUMIFS('ASIGNACIONES'!$M$4:$M$451,'ASIGNACIONES'!$E$4:$E$451,$A78,'ASIGNACIONES'!$A$4:$A$451,$B78)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SUMIFS('ASIGNACIONES'!$M$4:$M$451,'ASIGNACIONES'!$E$4:$E$451,$A79,'ASIGNACIONES'!$A$4:$A$451,$B79)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SUMIFS('ASIGNACIONES'!$M$4:$M$451,'ASIGNACIONES'!$E$4:$E$451,$A80,'ASIGNACIONES'!$A$4:$A$451,$B80)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SUMIFS('ASIGNACIONES'!$M$4:$M$451,'ASIGNACIONES'!$E$4:$E$451,$A81,'ASIGNACIONES'!$A$4:$A$451,$B81)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SUMIFS('ASIGNACIONES'!$M$4:$M$451,'ASIGNACIONES'!$E$4:$E$451,$A82,'ASIGNACIONES'!$A$4:$A$451,$B82)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SUMIFS('ASIGNACIONES'!$M$4:$M$451,'ASIGNACIONES'!$E$4:$E$451,$A83,'ASIGNACIONES'!$A$4:$A$451,$B83)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$O$24</f>
        <v/>
      </c>
      <c r="C84" s="17">
        <f>SUMIFS('ASIGNACIONES'!$M$4:$M$451,'ASIGNACIONES'!$E$4:$E$451,$A84,'ASIGNACIONES'!$A$4:$A$451,$B84)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$O$24</f>
        <v/>
      </c>
      <c r="C85" s="17">
        <f>SUMIFS('ASIGNACIONES'!$M$4:$M$451,'ASIGNACIONES'!$E$4:$E$451,$A85,'ASIGNACIONES'!$A$4:$A$451,$B85)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$O$24</f>
        <v/>
      </c>
      <c r="C86" s="17">
        <f>SUMIFS('ASIGNACIONES'!$M$4:$M$451,'ASIGNACIONES'!$E$4:$E$451,$A86,'ASIGNACIONES'!$A$4:$A$451,$B86)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TERCERO</t>
        </is>
      </c>
      <c r="B87" s="3">
        <f>$O$24</f>
        <v/>
      </c>
      <c r="C87" s="17">
        <f>SUMIFS('ASIGNACIONES'!$M$4:$M$451,'ASIGNACIONES'!$E$4:$E$451,$A87,'ASIGNACIONES'!$A$4:$A$451,$B87)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SUMIFS('ASIGNACIONES'!$M$4:$M$451,'ASIGNACIONES'!$E$4:$E$451,$A88,'ASIGNACIONES'!$A$4:$A$451,$B88)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SUMIFS('ASIGNACIONES'!$M$4:$M$451,'ASIGNACIONES'!$E$4:$E$451,$A89,'ASIGNACIONES'!$A$4:$A$451,$B89)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SUMIFS('ASIGNACIONES'!$M$4:$M$451,'ASIGNACIONES'!$E$4:$E$451,$A90,'ASIGNACIONES'!$A$4:$A$451,$B90)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SUMIFS('ASIGNACIONES'!$M$4:$M$451,'ASIGNACIONES'!$E$4:$E$451,$A91,'ASIGNACIONES'!$A$4:$A$451,$B91)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SUMIFS('ASIGNACIONES'!$M$4:$M$451,'ASIGNACIONES'!$E$4:$E$451,$A92,'ASIGNACIONES'!$A$4:$A$451,$B92)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SUMIFS('ASIGNACIONES'!$M$4:$M$451,'ASIGNACIONES'!$E$4:$E$451,$A93,'ASIGNACIONES'!$A$4:$A$451,$B93)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SUMIFS('ASIGNACIONES'!$M$4:$M$451,'ASIGNACIONES'!$E$4:$E$451,$A94,'ASIGNACIONES'!$A$4:$A$451,$B94)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SUMIFS('ASIGNACIONES'!$M$4:$M$451,'ASIGNACIONES'!$E$4:$E$451,$A95,'ASIGNACIONES'!$A$4:$A$451,$B95)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SUMIFS('ASIGNACIONES'!$M$4:$M$451,'ASIGNACIONES'!$E$4:$E$451,$A96,'ASIGNACIONES'!$A$4:$A$451,$B96)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SUMIFS('ASIGNACIONES'!$M$4:$M$451,'ASIGNACIONES'!$E$4:$E$451,$A97,'ASIGNACIONES'!$A$4:$A$451,$B97)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SUMIFS('ASIGNACIONES'!$M$4:$M$451,'ASIGNACIONES'!$E$4:$E$451,$A98,'ASIGNACIONES'!$A$4:$A$451,$B98)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SUMIFS('ASIGNACIONES'!$M$4:$M$451,'ASIGNACIONES'!$E$4:$E$451,$A99,'ASIGNACIONES'!$A$4:$A$451,$B99)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MEC</t>
        </is>
      </c>
      <c r="B100" s="3">
        <f>$O$28</f>
        <v/>
      </c>
      <c r="C100" s="17">
        <f>SUMIFS('ASIGNACIONES'!$M$4:$M$451,'ASIGNACIONES'!$E$4:$E$451,$A100,'ASIGNACIONES'!$A$4:$A$451,$B100)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ELE</t>
        </is>
      </c>
      <c r="B101" s="3">
        <f>$O$28</f>
        <v/>
      </c>
      <c r="C101" s="17">
        <f>SUMIFS('ASIGNACIONES'!$M$4:$M$451,'ASIGNACIONES'!$E$4:$E$451,$A101,'ASIGNACIONES'!$A$4:$A$451,$B101)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AUT</t>
        </is>
      </c>
      <c r="B102" s="3">
        <f>$O$28</f>
        <v/>
      </c>
      <c r="C102" s="17">
        <f>SUMIFS('ASIGNACIONES'!$M$4:$M$451,'ASIGNACIONES'!$E$4:$E$451,$A102,'ASIGNACIONES'!$A$4:$A$451,$B102)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$O$28</f>
        <v/>
      </c>
      <c r="C103" s="17">
        <f>SUMIFS('ASIGNACIONES'!$M$4:$M$451,'ASIGNACIONES'!$E$4:$E$451,$A103,'ASIGNACIONES'!$A$4:$A$451,$B103)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SUMIFS('ASIGNACIONES'!$M$4:$M$451,'ASIGNACIONES'!$E$4:$E$451,$A104,'ASIGNACIONES'!$A$4:$A$451,$B104)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SUMIFS('ASIGNACIONES'!$M$4:$M$451,'ASIGNACIONES'!$E$4:$E$451,$A105,'ASIGNACIONES'!$A$4:$A$451,$B105)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SUMIFS('ASIGNACIONES'!$M$4:$M$451,'ASIGNACIONES'!$E$4:$E$451,$A106,'ASIGNACIONES'!$A$4:$A$451,$B106)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SUMIFS('ASIGNACIONES'!$M$4:$M$451,'ASIGNACIONES'!$E$4:$E$451,$A107,'ASIGNACIONES'!$A$4:$A$451,$B107)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SUMIFS('ASIGNACIONES'!$M$4:$M$451,'ASIGNACIONES'!$E$4:$E$451,$A108,'ASIGNACIONES'!$A$4:$A$451,$B108)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SUMIFS('ASIGNACIONES'!$M$4:$M$451,'ASIGNACIONES'!$E$4:$E$451,$A109,'ASIGNACIONES'!$A$4:$A$451,$B109)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SUMIFS('ASIGNACIONES'!$M$4:$M$451,'ASIGNACIONES'!$E$4:$E$451,$A110,'ASIGNACIONES'!$A$4:$A$451,$B110)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SUMIFS('ASIGNACIONES'!$M$4:$M$451,'ASIGNACIONES'!$E$4:$E$451,$A111,'ASIGNACIONES'!$A$4:$A$451,$B111)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SUMIFS('ASIGNACIONES'!$M$4:$M$451,'ASIGNACIONES'!$E$4:$E$451,$A112,'ASIGNACIONES'!$A$4:$A$451,$B112)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SUMIFS('ASIGNACIONES'!$M$4:$M$451,'ASIGNACIONES'!$E$4:$E$451,$A113,'ASIGNACIONES'!$A$4:$A$451,$B113)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SUMIFS('ASIGNACIONES'!$M$4:$M$451,'ASIGNACIONES'!$E$4:$E$451,$A114,'ASIGNACIONES'!$A$4:$A$451,$B114)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SUMIFS('ASIGNACIONES'!$M$4:$M$451,'ASIGNACIONES'!$E$4:$E$451,$A115,'ASIGNACIONES'!$A$4:$A$451,$B115)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SUMIFS('ASIGNACIONES'!$M$4:$M$451,'ASIGNACIONES'!$E$4:$E$451,$A116,'ASIGNACIONES'!$A$4:$A$451,$B116)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SUMIFS('ASIGNACIONES'!$M$4:$M$451,'ASIGNACIONES'!$E$4:$E$451,$A117,'ASIGNACIONES'!$A$4:$A$451,$B117)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SUMIFS('ASIGNACIONES'!$M$4:$M$451,'ASIGNACIONES'!$E$4:$E$451,$A118,'ASIGNACIONES'!$A$4:$A$451,$B118)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SUMIFS('ASIGNACIONES'!$M$4:$M$451,'ASIGNACIONES'!$E$4:$E$451,$A119,'ASIGNACIONES'!$A$4:$A$451,$B119)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SUMIFS('ASIGNACIONES'!$M$4:$M$451,'ASIGNACIONES'!$E$4:$E$451,$A120,'ASIGNACIONES'!$A$4:$A$451,$B120)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SUMIFS('ASIGNACIONES'!$M$4:$M$451,'ASIGNACIONES'!$E$4:$E$451,$A121,'ASIGNACIONES'!$A$4:$A$451,$B121)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SUMIFS('ASIGNACIONES'!$M$4:$M$451,'ASIGNACIONES'!$E$4:$E$451,$A122,'ASIGNACIONES'!$A$4:$A$451,$B122)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SUMIFS('ASIGNACIONES'!$M$4:$M$451,'ASIGNACIONES'!$E$4:$E$451,$A123,'ASIGNACIONES'!$A$4:$A$451,$B123)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SUMIFS('ASIGNACIONES'!$M$4:$M$451,'ASIGNACIONES'!$E$4:$E$451,$A124,'ASIGNACIONES'!$A$4:$A$451,$B124)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SUMIFS('ASIGNACIONES'!$M$4:$M$451,'ASIGNACIONES'!$E$4:$E$451,$A125,'ASIGNACIONES'!$A$4:$A$451,$B125)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SUMIFS('ASIGNACIONES'!$M$4:$M$451,'ASIGNACIONES'!$E$4:$E$451,$A126,'ASIGNACIONES'!$A$4:$A$451,$B126)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SUMIFS('ASIGNACIONES'!$M$4:$M$451,'ASIGNACIONES'!$E$4:$E$451,$A127,'ASIGNACIONES'!$A$4:$A$451,$B127)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SUMIFS('ASIGNACIONES'!$M$4:$M$451,'ASIGNACIONES'!$E$4:$E$451,$A128,'ASIGNACIONES'!$A$4:$A$451,$B128)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SUMIFS('ASIGNACIONES'!$M$4:$M$451,'ASIGNACIONES'!$E$4:$E$451,$A129,'ASIGNACIONES'!$A$4:$A$451,$B129)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SUMIFS('ASIGNACIONES'!$M$4:$M$451,'ASIGNACIONES'!$E$4:$E$451,$A130,'ASIGNACIONES'!$A$4:$A$451,$B130)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SUMIFS('ASIGNACIONES'!$M$4:$M$451,'ASIGNACIONES'!$E$4:$E$451,$A131,'ASIGNACIONES'!$A$4:$A$451,$B131)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SUMIFS('ASIGNACIONES'!$M$4:$M$451,'ASIGNACIONES'!$E$4:$E$451,$A132,'ASIGNACIONES'!$A$4:$A$451,$B132)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SUMIFS('ASIGNACIONES'!$M$4:$M$451,'ASIGNACIONES'!$E$4:$E$451,$A133,'ASIGNACIONES'!$A$4:$A$451,$B133)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SUMIFS('ASIGNACIONES'!$M$4:$M$451,'ASIGNACIONES'!$E$4:$E$451,$A134,'ASIGNACIONES'!$A$4:$A$451,$B134)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SUMIFS('ASIGNACIONES'!$M$4:$M$451,'ASIGNACIONES'!$E$4:$E$451,$A135,'ASIGNACIONES'!$A$4:$A$451,$B135)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SUMIFS('ASIGNACIONES'!$M$4:$M$451,'ASIGNACIONES'!$E$4:$E$451,$A136,'ASIGNACIONES'!$A$4:$A$451,$B136)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SUMIFS('ASIGNACIONES'!$M$4:$M$451,'ASIGNACIONES'!$E$4:$E$451,$A137,'ASIGNACIONES'!$A$4:$A$451,$B137)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SUMIFS('ASIGNACIONES'!$M$4:$M$451,'ASIGNACIONES'!$E$4:$E$451,$A138,'ASIGNACIONES'!$A$4:$A$451,$B138)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SUMIFS('ASIGNACIONES'!$M$4:$M$451,'ASIGNACIONES'!$E$4:$E$451,$A139,'ASIGNACIONES'!$A$4:$A$451,$B139)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SUMIFS('ASIGNACIONES'!$M$4:$M$451,'ASIGNACIONES'!$E$4:$E$451,$A140,'ASIGNACIONES'!$A$4:$A$451,$B140)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SUMIFS('ASIGNACIONES'!$M$4:$M$451,'ASIGNACIONES'!$E$4:$E$451,$A141,'ASIGNACIONES'!$A$4:$A$451,$B141)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SUMIFS('ASIGNACIONES'!$M$4:$M$451,'ASIGNACIONES'!$E$4:$E$451,$A142,'ASIGNACIONES'!$A$4:$A$451,$B142)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SUMIFS('ASIGNACIONES'!$M$4:$M$451,'ASIGNACIONES'!$E$4:$E$451,$A143,'ASIGNACIONES'!$A$4:$A$451,$B143)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$O$39</f>
        <v/>
      </c>
      <c r="C144" s="17">
        <f>SUMIFS('ASIGNACIONES'!$M$4:$M$451,'ASIGNACIONES'!$E$4:$E$451,$A144,'ASIGNACIONES'!$A$4:$A$451,$B144)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$O$39</f>
        <v/>
      </c>
      <c r="C145" s="17">
        <f>SUMIFS('ASIGNACIONES'!$M$4:$M$451,'ASIGNACIONES'!$E$4:$E$451,$A145,'ASIGNACIONES'!$A$4:$A$451,$B145)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$O$39</f>
        <v/>
      </c>
      <c r="C146" s="17">
        <f>SUMIFS('ASIGNACIONES'!$M$4:$M$451,'ASIGNACIONES'!$E$4:$E$451,$A146,'ASIGNACIONES'!$A$4:$A$451,$B146)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TERCERO</t>
        </is>
      </c>
      <c r="B147" s="3">
        <f>$O$39</f>
        <v/>
      </c>
      <c r="C147" s="17">
        <f>SUMIFS('ASIGNACIONES'!$M$4:$M$451,'ASIGNACIONES'!$E$4:$E$451,$A147,'ASIGNACIONES'!$A$4:$A$451,$B147)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MEC</t>
        </is>
      </c>
      <c r="B148" s="3">
        <f>$O$40</f>
        <v/>
      </c>
      <c r="C148" s="17">
        <f>SUMIFS('ASIGNACIONES'!$M$4:$M$451,'ASIGNACIONES'!$E$4:$E$451,$A148,'ASIGNACIONES'!$A$4:$A$451,$B148)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ELE</t>
        </is>
      </c>
      <c r="B149" s="3">
        <f>$O$40</f>
        <v/>
      </c>
      <c r="C149" s="17">
        <f>SUMIFS('ASIGNACIONES'!$M$4:$M$451,'ASIGNACIONES'!$E$4:$E$451,$A149,'ASIGNACIONES'!$A$4:$A$451,$B149)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AUT</t>
        </is>
      </c>
      <c r="B150" s="3">
        <f>$O$40</f>
        <v/>
      </c>
      <c r="C150" s="17">
        <f>SUMIFS('ASIGNACIONES'!$M$4:$M$451,'ASIGNACIONES'!$E$4:$E$451,$A150,'ASIGNACIONES'!$A$4:$A$451,$B150)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TERCERO</t>
        </is>
      </c>
      <c r="B151" s="3">
        <f>$O$40</f>
        <v/>
      </c>
      <c r="C151" s="17">
        <f>SUMIFS('ASIGNACIONES'!$M$4:$M$451,'ASIGNACIONES'!$E$4:$E$451,$A151,'ASIGNACIONES'!$A$4:$A$451,$B151)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SUMIFS('ASIGNACIONES'!$M$4:$M$451,'ASIGNACIONES'!$E$4:$E$451,$A152,'ASIGNACIONES'!$A$4:$A$451,$B152)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SUMIFS('ASIGNACIONES'!$M$4:$M$451,'ASIGNACIONES'!$E$4:$E$451,$A153,'ASIGNACIONES'!$A$4:$A$451,$B153)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SUMIFS('ASIGNACIONES'!$M$4:$M$451,'ASIGNACIONES'!$E$4:$E$451,$A154,'ASIGNACIONES'!$A$4:$A$451,$B154)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SUMIFS('ASIGNACIONES'!$M$4:$M$451,'ASIGNACIONES'!$E$4:$E$451,$A155,'ASIGNACIONES'!$A$4:$A$451,$B155)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SUMIFS('ASIGNACIONES'!$M$4:$M$451,'ASIGNACIONES'!$E$4:$E$451,$A156,'ASIGNACIONES'!$A$4:$A$451,$B156)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SUMIFS('ASIGNACIONES'!$M$4:$M$451,'ASIGNACIONES'!$E$4:$E$451,$A157,'ASIGNACIONES'!$A$4:$A$451,$B157)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SUMIFS('ASIGNACIONES'!$M$4:$M$451,'ASIGNACIONES'!$E$4:$E$451,$A158,'ASIGNACIONES'!$A$4:$A$451,$B158)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SUMIFS('ASIGNACIONES'!$M$4:$M$451,'ASIGNACIONES'!$E$4:$E$451,$A159,'ASIGNACIONES'!$A$4:$A$451,$B159)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SUMIFS('ASIGNACIONES'!$M$4:$M$451,'ASIGNACIONES'!$E$4:$E$451,$A160,'ASIGNACIONES'!$A$4:$A$451,$B160)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SUMIFS('ASIGNACIONES'!$M$4:$M$451,'ASIGNACIONES'!$E$4:$E$451,$A161,'ASIGNACIONES'!$A$4:$A$451,$B161)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SUMIFS('ASIGNACIONES'!$M$4:$M$451,'ASIGNACIONES'!$E$4:$E$451,$A162,'ASIGNACIONES'!$A$4:$A$451,$B162)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SUMIFS('ASIGNACIONES'!$M$4:$M$451,'ASIGNACIONES'!$E$4:$E$451,$A163,'ASIGNACIONES'!$A$4:$A$451,$B163)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SUMIFS('ASIGNACIONES'!$M$4:$M$451,'ASIGNACIONES'!$E$4:$E$451,$A164,'ASIGNACIONES'!$A$4:$A$451,$B164)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SUMIFS('ASIGNACIONES'!$M$4:$M$451,'ASIGNACIONES'!$E$4:$E$451,$A165,'ASIGNACIONES'!$A$4:$A$451,$B165)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SUMIFS('ASIGNACIONES'!$M$4:$M$451,'ASIGNACIONES'!$E$4:$E$451,$A166,'ASIGNACIONES'!$A$4:$A$451,$B166)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SUMIFS('ASIGNACIONES'!$M$4:$M$451,'ASIGNACIONES'!$E$4:$E$451,$A167,'ASIGNACIONES'!$A$4:$A$451,$B167)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SUMIFS('ASIGNACIONES'!$M$4:$M$451,'ASIGNACIONES'!$E$4:$E$451,$A168,'ASIGNACIONES'!$A$4:$A$451,$B168)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SUMIFS('ASIGNACIONES'!$M$4:$M$451,'ASIGNACIONES'!$E$4:$E$451,$A169,'ASIGNACIONES'!$A$4:$A$451,$B169)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SUMIFS('ASIGNACIONES'!$M$4:$M$451,'ASIGNACIONES'!$E$4:$E$451,$A170,'ASIGNACIONES'!$A$4:$A$451,$B170)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SUMIFS('ASIGNACIONES'!$M$4:$M$451,'ASIGNACIONES'!$E$4:$E$451,$A171,'ASIGNACIONES'!$A$4:$A$451,$B171)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SUMIFS('ASIGNACIONES'!$M$4:$M$451,'ASIGNACIONES'!$E$4:$E$451,$A172,'ASIGNACIONES'!$A$4:$A$451,$B172)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SUMIFS('ASIGNACIONES'!$M$4:$M$451,'ASIGNACIONES'!$E$4:$E$451,$A173,'ASIGNACIONES'!$A$4:$A$451,$B173)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SUMIFS('ASIGNACIONES'!$M$4:$M$451,'ASIGNACIONES'!$E$4:$E$451,$A174,'ASIGNACIONES'!$A$4:$A$451,$B174)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SUMIFS('ASIGNACIONES'!$M$4:$M$451,'ASIGNACIONES'!$E$4:$E$451,$A175,'ASIGNACIONES'!$A$4:$A$451,$B175)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SUMIFS('ASIGNACIONES'!$M$4:$M$451,'ASIGNACIONES'!$E$4:$E$451,$A176,'ASIGNACIONES'!$A$4:$A$451,$B176)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SUMIFS('ASIGNACIONES'!$M$4:$M$451,'ASIGNACIONES'!$E$4:$E$451,$A177,'ASIGNACIONES'!$A$4:$A$451,$B177)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SUMIFS('ASIGNACIONES'!$M$4:$M$451,'ASIGNACIONES'!$E$4:$E$451,$A178,'ASIGNACIONES'!$A$4:$A$451,$B178)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SUMIFS('ASIGNACIONES'!$M$4:$M$451,'ASIGNACIONES'!$E$4:$E$451,$A179,'ASIGNACIONES'!$A$4:$A$451,$B179)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SUMIFS('ASIGNACIONES'!$M$4:$M$451,'ASIGNACIONES'!$E$4:$E$451,$A180,'ASIGNACIONES'!$A$4:$A$451,$B180)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SUMIFS('ASIGNACIONES'!$M$4:$M$451,'ASIGNACIONES'!$E$4:$E$451,$A181,'ASIGNACIONES'!$A$4:$A$451,$B181)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SUMIFS('ASIGNACIONES'!$M$4:$M$451,'ASIGNACIONES'!$E$4:$E$451,$A182,'ASIGNACIONES'!$A$4:$A$451,$B182)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SUMIFS('ASIGNACIONES'!$M$4:$M$451,'ASIGNACIONES'!$E$4:$E$451,$A183,'ASIGNACIONES'!$A$4:$A$451,$B183)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SUMIFS('ASIGNACIONES'!$M$4:$M$451,'ASIGNACIONES'!$E$4:$E$451,$A184,'ASIGNACIONES'!$A$4:$A$451,$B184)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SUMIFS('ASIGNACIONES'!$M$4:$M$451,'ASIGNACIONES'!$E$4:$E$451,$A185,'ASIGNACIONES'!$A$4:$A$451,$B185)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SUMIFS('ASIGNACIONES'!$M$4:$M$451,'ASIGNACIONES'!$E$4:$E$451,$A186,'ASIGNACIONES'!$A$4:$A$451,$B186)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SUMIFS('ASIGNACIONES'!$M$4:$M$451,'ASIGNACIONES'!$E$4:$E$451,$A187,'ASIGNACIONES'!$A$4:$A$451,$B187)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SUMIFS('ASIGNACIONES'!$M$4:$M$451,'ASIGNACIONES'!$E$4:$E$451,$A188,'ASIGNACIONES'!$A$4:$A$451,$B188)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SUMIFS('ASIGNACIONES'!$M$4:$M$451,'ASIGNACIONES'!$E$4:$E$451,$A189,'ASIGNACIONES'!$A$4:$A$451,$B189)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SUMIFS('ASIGNACIONES'!$M$4:$M$451,'ASIGNACIONES'!$E$4:$E$451,$A190,'ASIGNACIONES'!$A$4:$A$451,$B190)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SUMIFS('ASIGNACIONES'!$M$4:$M$451,'ASIGNACIONES'!$E$4:$E$451,$A191,'ASIGNACIONES'!$A$4:$A$451,$B191)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SUMIFS('ASIGNACIONES'!$M$4:$M$451,'ASIGNACIONES'!$E$4:$E$451,$A192,'ASIGNACIONES'!$A$4:$A$451,$B192)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SUMIFS('ASIGNACIONES'!$M$4:$M$451,'ASIGNACIONES'!$E$4:$E$451,$A193,'ASIGNACIONES'!$A$4:$A$451,$B193)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SUMIFS('ASIGNACIONES'!$M$4:$M$451,'ASIGNACIONES'!$E$4:$E$451,$A194,'ASIGNACIONES'!$A$4:$A$451,$B194)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SUMIFS('ASIGNACIONES'!$M$4:$M$451,'ASIGNACIONES'!$E$4:$E$451,$A195,'ASIGNACIONES'!$A$4:$A$451,$B195)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SUMIFS('ASIGNACIONES'!$M$4:$M$451,'ASIGNACIONES'!$E$4:$E$451,$A196,'ASIGNACIONES'!$A$4:$A$451,$B196)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SUMIFS('ASIGNACIONES'!$M$4:$M$451,'ASIGNACIONES'!$E$4:$E$451,$A197,'ASIGNACIONES'!$A$4:$A$451,$B197)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SUMIFS('ASIGNACIONES'!$M$4:$M$451,'ASIGNACIONES'!$E$4:$E$451,$A198,'ASIGNACIONES'!$A$4:$A$451,$B198)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SUMIFS('ASIGNACIONES'!$M$4:$M$451,'ASIGNACIONES'!$E$4:$E$451,$A199,'ASIGNACIONES'!$A$4:$A$451,$B199)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SUMIFS('ASIGNACIONES'!$M$4:$M$451,'ASIGNACIONES'!$E$4:$E$451,$A200,'ASIGNACIONES'!$A$4:$A$451,$B200)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SUMIFS('ASIGNACIONES'!$M$4:$M$451,'ASIGNACIONES'!$E$4:$E$451,$A201,'ASIGNACIONES'!$A$4:$A$451,$B201)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SUMIFS('ASIGNACIONES'!$M$4:$M$451,'ASIGNACIONES'!$E$4:$E$451,$A202,'ASIGNACIONES'!$A$4:$A$451,$B202)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SUMIFS('ASIGNACIONES'!$M$4:$M$451,'ASIGNACIONES'!$E$4:$E$451,$A203,'ASIGNACIONES'!$A$4:$A$451,$B203)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SUMIFS('ASIGNACIONES'!$M$4:$M$451,'ASIGNACIONES'!$E$4:$E$451,$A204,'ASIGNACIONES'!$A$4:$A$451,$B204)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SUMIFS('ASIGNACIONES'!$M$4:$M$451,'ASIGNACIONES'!$E$4:$E$451,$A205,'ASIGNACIONES'!$A$4:$A$451,$B205)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SUMIFS('ASIGNACIONES'!$M$4:$M$451,'ASIGNACIONES'!$E$4:$E$451,$A206,'ASIGNACIONES'!$A$4:$A$451,$B206)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SUMIFS('ASIGNACIONES'!$M$4:$M$451,'ASIGNACIONES'!$E$4:$E$451,$A207,'ASIGNACIONES'!$A$4:$A$451,$B207)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SUMIFS('ASIGNACIONES'!$M$4:$M$451,'ASIGNACIONES'!$E$4:$E$451,$A208,'ASIGNACIONES'!$A$4:$A$451,$B208)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SUMIFS('ASIGNACIONES'!$M$4:$M$451,'ASIGNACIONES'!$E$4:$E$451,$A209,'ASIGNACIONES'!$A$4:$A$451,$B209)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SUMIFS('ASIGNACIONES'!$M$4:$M$451,'ASIGNACIONES'!$E$4:$E$451,$A210,'ASIGNACIONES'!$A$4:$A$451,$B210)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SUMIFS('ASIGNACIONES'!$M$4:$M$451,'ASIGNACIONES'!$E$4:$E$451,$A211,'ASIGNACIONES'!$A$4:$A$451,$B211)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SUMIFS('ASIGNACIONES'!$M$4:$M$451,'ASIGNACIONES'!$E$4:$E$451,$A212,'ASIGNACIONES'!$A$4:$A$451,$B212)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SUMIFS('ASIGNACIONES'!$M$4:$M$451,'ASIGNACIONES'!$E$4:$E$451,$A213,'ASIGNACIONES'!$A$4:$A$451,$B213)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SUMIFS('ASIGNACIONES'!$M$4:$M$451,'ASIGNACIONES'!$E$4:$E$451,$A214,'ASIGNACIONES'!$A$4:$A$451,$B214)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SUMIFS('ASIGNACIONES'!$M$4:$M$451,'ASIGNACIONES'!$E$4:$E$451,$A215,'ASIGNACIONES'!$A$4:$A$451,$B215)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SUMIFS('ASIGNACIONES'!$M$4:$M$451,'ASIGNACIONES'!$E$4:$E$451,$A216,'ASIGNACIONES'!$A$4:$A$451,$B216)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SUMIFS('ASIGNACIONES'!$M$4:$M$451,'ASIGNACIONES'!$E$4:$E$451,$A217,'ASIGNACIONES'!$A$4:$A$451,$B217)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SUMIFS('ASIGNACIONES'!$M$4:$M$451,'ASIGNACIONES'!$E$4:$E$451,$A218,'ASIGNACIONES'!$A$4:$A$451,$B218)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SUMIFS('ASIGNACIONES'!$M$4:$M$451,'ASIGNACIONES'!$E$4:$E$451,$A219,'ASIGNACIONES'!$A$4:$A$451,$B219)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SUMIFS('ASIGNACIONES'!$M$4:$M$451,'ASIGNACIONES'!$E$4:$E$451,$A220,'ASIGNACIONES'!$A$4:$A$451,$B220)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SUMIFS('ASIGNACIONES'!$M$4:$M$451,'ASIGNACIONES'!$E$4:$E$451,$A221,'ASIGNACIONES'!$A$4:$A$451,$B221)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SUMIFS('ASIGNACIONES'!$M$4:$M$451,'ASIGNACIONES'!$E$4:$E$451,$A222,'ASIGNACIONES'!$A$4:$A$451,$B222)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SUMIFS('ASIGNACIONES'!$M$4:$M$451,'ASIGNACIONES'!$E$4:$E$451,$A223,'ASIGNACIONES'!$A$4:$A$451,$B223)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SUMIFS('ASIGNACIONES'!$M$4:$M$451,'ASIGNACIONES'!$E$4:$E$451,$A224,'ASIGNACIONES'!$A$4:$A$451,$B224)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SUMIFS('ASIGNACIONES'!$M$4:$M$451,'ASIGNACIONES'!$E$4:$E$451,$A225,'ASIGNACIONES'!$A$4:$A$451,$B225)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SUMIFS('ASIGNACIONES'!$M$4:$M$451,'ASIGNACIONES'!$E$4:$E$451,$A226,'ASIGNACIONES'!$A$4:$A$451,$B226)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SUMIFS('ASIGNACIONES'!$M$4:$M$451,'ASIGNACIONES'!$E$4:$E$451,$A227,'ASIGNACIONES'!$A$4:$A$451,$B227)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SUMIFS('ASIGNACIONES'!$M$4:$M$451,'ASIGNACIONES'!$E$4:$E$451,$A228,'ASIGNACIONES'!$A$4:$A$451,$B228)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SUMIFS('ASIGNACIONES'!$M$4:$M$451,'ASIGNACIONES'!$E$4:$E$451,$A229,'ASIGNACIONES'!$A$4:$A$451,$B229)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SUMIFS('ASIGNACIONES'!$M$4:$M$451,'ASIGNACIONES'!$E$4:$E$451,$A230,'ASIGNACIONES'!$A$4:$A$451,$B230)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SUMIFS('ASIGNACIONES'!$M$4:$M$451,'ASIGNACIONES'!$E$4:$E$451,$A231,'ASIGNACIONES'!$A$4:$A$451,$B231)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SUMIFS('ASIGNACIONES'!$M$4:$M$451,'ASIGNACIONES'!$E$4:$E$451,$A232,'ASIGNACIONES'!$A$4:$A$451,$B232)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SUMIFS('ASIGNACIONES'!$M$4:$M$451,'ASIGNACIONES'!$E$4:$E$451,$A233,'ASIGNACIONES'!$A$4:$A$451,$B233)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SUMIFS('ASIGNACIONES'!$M$4:$M$451,'ASIGNACIONES'!$E$4:$E$451,$A234,'ASIGNACIONES'!$A$4:$A$451,$B234)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SUMIFS('ASIGNACIONES'!$M$4:$M$451,'ASIGNACIONES'!$E$4:$E$451,$A235,'ASIGNACIONES'!$A$4:$A$451,$B235)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SUMIFS('ASIGNACIONES'!$M$4:$M$451,'ASIGNACIONES'!$E$4:$E$451,$A236,'ASIGNACIONES'!$A$4:$A$451,$B236)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SUMIFS('ASIGNACIONES'!$M$4:$M$451,'ASIGNACIONES'!$E$4:$E$451,$A237,'ASIGNACIONES'!$A$4:$A$451,$B237)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SUMIFS('ASIGNACIONES'!$M$4:$M$451,'ASIGNACIONES'!$E$4:$E$451,$A238,'ASIGNACIONES'!$A$4:$A$451,$B238)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SUMIFS('ASIGNACIONES'!$M$4:$M$451,'ASIGNACIONES'!$E$4:$E$451,$A239,'ASIGNACIONES'!$A$4:$A$451,$B239)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SUMIFS('ASIGNACIONES'!$M$4:$M$451,'ASIGNACIONES'!$E$4:$E$451,$A240,'ASIGNACIONES'!$A$4:$A$451,$B240)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SUMIFS('ASIGNACIONES'!$M$4:$M$451,'ASIGNACIONES'!$E$4:$E$451,$A241,'ASIGNACIONES'!$A$4:$A$451,$B241)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SUMIFS('ASIGNACIONES'!$M$4:$M$451,'ASIGNACIONES'!$E$4:$E$451,$A242,'ASIGNACIONES'!$A$4:$A$451,$B242)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SUMIFS('ASIGNACIONES'!$M$4:$M$451,'ASIGNACIONES'!$E$4:$E$451,$A243,'ASIGNACIONES'!$A$4:$A$451,$B243)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 hidden="1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 hidden="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 hidden="1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SUMIFS('ORDENES'!$M$4:$M$1203,'ORDENES'!$O$4:$O$1203,$A310,'ORDENES'!$T$4:$T$1203,"preventiva")</f>
        <v/>
      </c>
      <c r="C310" s="17">
        <f>SUMIFS('ORDENES'!$M$4:$M$1203,'ORDENES'!$O$4:$O$1203,$A310,'ORDENES'!$T$4:$T$1203,"correctiva")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>
      <c r="A311" s="3">
        <f>$O$5</f>
        <v/>
      </c>
      <c r="B311" s="17">
        <f>SUMIFS('ORDENES'!$M$4:$M$1203,'ORDENES'!$O$4:$O$1203,$A311,'ORDENES'!$T$4:$T$1203,"preventiva")</f>
        <v/>
      </c>
      <c r="C311" s="17">
        <f>SUMIFS('ORDENES'!$M$4:$M$1203,'ORDENES'!$O$4:$O$1203,$A311,'ORDENES'!$T$4:$T$1203,"correctiva")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SUMIFS('ORDENES'!$M$4:$M$1203,'ORDENES'!$O$4:$O$1203,$A312,'ORDENES'!$T$4:$T$1203,"preventiva")</f>
        <v/>
      </c>
      <c r="C312" s="17">
        <f>SUMIFS('ORDENES'!$M$4:$M$1203,'ORDENES'!$O$4:$O$1203,$A312,'ORDENES'!$T$4:$T$1203,"correctiva")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SUMIFS('ORDENES'!$M$4:$M$1203,'ORDENES'!$O$4:$O$1203,$A313,'ORDENES'!$T$4:$T$1203,"preventiva")</f>
        <v/>
      </c>
      <c r="C313" s="17">
        <f>SUMIFS('ORDENES'!$M$4:$M$1203,'ORDENES'!$O$4:$O$1203,$A313,'ORDENES'!$T$4:$T$1203,"correctiva")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SUMIFS('ORDENES'!$M$4:$M$1203,'ORDENES'!$O$4:$O$1203,$A314,'ORDENES'!$T$4:$T$1203,"preventiva")</f>
        <v/>
      </c>
      <c r="C314" s="17">
        <f>SUMIFS('ORDENES'!$M$4:$M$1203,'ORDENES'!$O$4:$O$1203,$A314,'ORDENES'!$T$4:$T$1203,"correctiva")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SUMIFS('ORDENES'!$M$4:$M$1203,'ORDENES'!$O$4:$O$1203,$A315,'ORDENES'!$T$4:$T$1203,"preventiva")</f>
        <v/>
      </c>
      <c r="C315" s="17">
        <f>SUMIFS('ORDENES'!$M$4:$M$1203,'ORDENES'!$O$4:$O$1203,$A315,'ORDENES'!$T$4:$T$1203,"correctiva")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SUMIFS('ORDENES'!$M$4:$M$1203,'ORDENES'!$O$4:$O$1203,$A316,'ORDENES'!$T$4:$T$1203,"preventiva")</f>
        <v/>
      </c>
      <c r="C316" s="17">
        <f>SUMIFS('ORDENES'!$M$4:$M$1203,'ORDENES'!$O$4:$O$1203,$A316,'ORDENES'!$T$4:$T$1203,"correctiva")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SUMIFS('ORDENES'!$M$4:$M$1203,'ORDENES'!$O$4:$O$1203,$A317,'ORDENES'!$T$4:$T$1203,"preventiva")</f>
        <v/>
      </c>
      <c r="C317" s="17">
        <f>SUMIFS('ORDENES'!$M$4:$M$1203,'ORDENES'!$O$4:$O$1203,$A317,'ORDENES'!$T$4:$T$1203,"correctiva")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SUMIFS('ORDENES'!$M$4:$M$1203,'ORDENES'!$O$4:$O$1203,$A318,'ORDENES'!$T$4:$T$1203,"preventiva")</f>
        <v/>
      </c>
      <c r="C318" s="17">
        <f>SUMIFS('ORDENES'!$M$4:$M$1203,'ORDENES'!$O$4:$O$1203,$A318,'ORDENES'!$T$4:$T$1203,"correctiva")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SUMIFS('ORDENES'!$M$4:$M$1203,'ORDENES'!$O$4:$O$1203,$A319,'ORDENES'!$T$4:$T$1203,"preventiva")</f>
        <v/>
      </c>
      <c r="C319" s="17">
        <f>SUMIFS('ORDENES'!$M$4:$M$1203,'ORDENES'!$O$4:$O$1203,$A319,'ORDENES'!$T$4:$T$1203,"correctiva")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SUMIFS('ORDENES'!$M$4:$M$1203,'ORDENES'!$O$4:$O$1203,$A320,'ORDENES'!$T$4:$T$1203,"preventiva")</f>
        <v/>
      </c>
      <c r="C320" s="17">
        <f>SUMIFS('ORDENES'!$M$4:$M$1203,'ORDENES'!$O$4:$O$1203,$A320,'ORDENES'!$T$4:$T$1203,"correctiva")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SUMIFS('ORDENES'!$M$4:$M$1203,'ORDENES'!$O$4:$O$1203,$A321,'ORDENES'!$T$4:$T$1203,"preventiva")</f>
        <v/>
      </c>
      <c r="C321" s="17">
        <f>SUMIFS('ORDENES'!$M$4:$M$1203,'ORDENES'!$O$4:$O$1203,$A321,'ORDENES'!$T$4:$T$1203,"correctiva")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SUMIFS('ORDENES'!$M$4:$M$1203,'ORDENES'!$O$4:$O$1203,$A322,'ORDENES'!$T$4:$T$1203,"preventiva")</f>
        <v/>
      </c>
      <c r="C322" s="17">
        <f>SUMIFS('ORDENES'!$M$4:$M$1203,'ORDENES'!$O$4:$O$1203,$A322,'ORDENES'!$T$4:$T$1203,"correctiva")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SUMIFS('ORDENES'!$M$4:$M$1203,'ORDENES'!$O$4:$O$1203,$A323,'ORDENES'!$T$4:$T$1203,"preventiva")</f>
        <v/>
      </c>
      <c r="C323" s="17">
        <f>SUMIFS('ORDENES'!$M$4:$M$1203,'ORDENES'!$O$4:$O$1203,$A323,'ORDENES'!$T$4:$T$1203,"correctiva")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SUMIFS('ORDENES'!$M$4:$M$1203,'ORDENES'!$O$4:$O$1203,$A324,'ORDENES'!$T$4:$T$1203,"preventiva")</f>
        <v/>
      </c>
      <c r="C324" s="17">
        <f>SUMIFS('ORDENES'!$M$4:$M$1203,'ORDENES'!$O$4:$O$1203,$A324,'ORDENES'!$T$4:$T$1203,"correctiva")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SUMIFS('ORDENES'!$M$4:$M$1203,'ORDENES'!$O$4:$O$1203,$A325,'ORDENES'!$T$4:$T$1203,"preventiva")</f>
        <v/>
      </c>
      <c r="C325" s="17">
        <f>SUMIFS('ORDENES'!$M$4:$M$1203,'ORDENES'!$O$4:$O$1203,$A325,'ORDENES'!$T$4:$T$1203,"correctiva")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SUMIFS('ORDENES'!$M$4:$M$1203,'ORDENES'!$O$4:$O$1203,$A326,'ORDENES'!$T$4:$T$1203,"preventiva")</f>
        <v/>
      </c>
      <c r="C326" s="17">
        <f>SUMIFS('ORDENES'!$M$4:$M$1203,'ORDENES'!$O$4:$O$1203,$A326,'ORDENES'!$T$4:$T$1203,"correctiva")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 hidden="1">
      <c r="A327" s="3">
        <f>$O$21</f>
        <v/>
      </c>
      <c r="B327" s="17">
        <f>SUMIFS('ORDENES'!$M$4:$M$1203,'ORDENES'!$O$4:$O$1203,$A327,'ORDENES'!$T$4:$T$1203,"preventiva")</f>
        <v/>
      </c>
      <c r="C327" s="17">
        <f>SUMIFS('ORDENES'!$M$4:$M$1203,'ORDENES'!$O$4:$O$1203,$A327,'ORDENES'!$T$4:$T$1203,"correctiva")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SUMIFS('ORDENES'!$M$4:$M$1203,'ORDENES'!$O$4:$O$1203,$A328,'ORDENES'!$T$4:$T$1203,"preventiva")</f>
        <v/>
      </c>
      <c r="C328" s="17">
        <f>SUMIFS('ORDENES'!$M$4:$M$1203,'ORDENES'!$O$4:$O$1203,$A328,'ORDENES'!$T$4:$T$1203,"correctiva")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SUMIFS('ORDENES'!$M$4:$M$1203,'ORDENES'!$O$4:$O$1203,$A329,'ORDENES'!$T$4:$T$1203,"preventiva")</f>
        <v/>
      </c>
      <c r="C329" s="17">
        <f>SUMIFS('ORDENES'!$M$4:$M$1203,'ORDENES'!$O$4:$O$1203,$A329,'ORDENES'!$T$4:$T$1203,"correctiva")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>
      <c r="A330" s="3">
        <f>$O$24</f>
        <v/>
      </c>
      <c r="B330" s="17">
        <f>SUMIFS('ORDENES'!$M$4:$M$1203,'ORDENES'!$O$4:$O$1203,$A330,'ORDENES'!$T$4:$T$1203,"preventiva")</f>
        <v/>
      </c>
      <c r="C330" s="17">
        <f>SUMIFS('ORDENES'!$M$4:$M$1203,'ORDENES'!$O$4:$O$1203,$A330,'ORDENES'!$T$4:$T$1203,"correctiva")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SUMIFS('ORDENES'!$M$4:$M$1203,'ORDENES'!$O$4:$O$1203,$A331,'ORDENES'!$T$4:$T$1203,"preventiva")</f>
        <v/>
      </c>
      <c r="C331" s="17">
        <f>SUMIFS('ORDENES'!$M$4:$M$1203,'ORDENES'!$O$4:$O$1203,$A331,'ORDENES'!$T$4:$T$1203,"correctiva")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SUMIFS('ORDENES'!$M$4:$M$1203,'ORDENES'!$O$4:$O$1203,$A332,'ORDENES'!$T$4:$T$1203,"preventiva")</f>
        <v/>
      </c>
      <c r="C332" s="17">
        <f>SUMIFS('ORDENES'!$M$4:$M$1203,'ORDENES'!$O$4:$O$1203,$A332,'ORDENES'!$T$4:$T$1203,"correctiva")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SUMIFS('ORDENES'!$M$4:$M$1203,'ORDENES'!$O$4:$O$1203,$A333,'ORDENES'!$T$4:$T$1203,"preventiva")</f>
        <v/>
      </c>
      <c r="C333" s="17">
        <f>SUMIFS('ORDENES'!$M$4:$M$1203,'ORDENES'!$O$4:$O$1203,$A333,'ORDENES'!$T$4:$T$1203,"correctiva")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 hidden="1">
      <c r="A334" s="3">
        <f>$O$28</f>
        <v/>
      </c>
      <c r="B334" s="17">
        <f>SUMIFS('ORDENES'!$M$4:$M$1203,'ORDENES'!$O$4:$O$1203,$A334,'ORDENES'!$T$4:$T$1203,"preventiva")</f>
        <v/>
      </c>
      <c r="C334" s="17">
        <f>SUMIFS('ORDENES'!$M$4:$M$1203,'ORDENES'!$O$4:$O$1203,$A334,'ORDENES'!$T$4:$T$1203,"correctiva")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SUMIFS('ORDENES'!$M$4:$M$1203,'ORDENES'!$O$4:$O$1203,$A335,'ORDENES'!$T$4:$T$1203,"preventiva")</f>
        <v/>
      </c>
      <c r="C335" s="17">
        <f>SUMIFS('ORDENES'!$M$4:$M$1203,'ORDENES'!$O$4:$O$1203,$A335,'ORDENES'!$T$4:$T$1203,"correctiva")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SUMIFS('ORDENES'!$M$4:$M$1203,'ORDENES'!$O$4:$O$1203,$A336,'ORDENES'!$T$4:$T$1203,"preventiva")</f>
        <v/>
      </c>
      <c r="C336" s="17">
        <f>SUMIFS('ORDENES'!$M$4:$M$1203,'ORDENES'!$O$4:$O$1203,$A336,'ORDENES'!$T$4:$T$1203,"correctiva")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SUMIFS('ORDENES'!$M$4:$M$1203,'ORDENES'!$O$4:$O$1203,$A337,'ORDENES'!$T$4:$T$1203,"preventiva")</f>
        <v/>
      </c>
      <c r="C337" s="17">
        <f>SUMIFS('ORDENES'!$M$4:$M$1203,'ORDENES'!$O$4:$O$1203,$A337,'ORDENES'!$T$4:$T$1203,"correctiva")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SUMIFS('ORDENES'!$M$4:$M$1203,'ORDENES'!$O$4:$O$1203,$A338,'ORDENES'!$T$4:$T$1203,"preventiva")</f>
        <v/>
      </c>
      <c r="C338" s="17">
        <f>SUMIFS('ORDENES'!$M$4:$M$1203,'ORDENES'!$O$4:$O$1203,$A338,'ORDENES'!$T$4:$T$1203,"correctiva")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SUMIFS('ORDENES'!$M$4:$M$1203,'ORDENES'!$O$4:$O$1203,$A339,'ORDENES'!$T$4:$T$1203,"preventiva")</f>
        <v/>
      </c>
      <c r="C339" s="17">
        <f>SUMIFS('ORDENES'!$M$4:$M$1203,'ORDENES'!$O$4:$O$1203,$A339,'ORDENES'!$T$4:$T$1203,"correctiva")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SUMIFS('ORDENES'!$M$4:$M$1203,'ORDENES'!$O$4:$O$1203,$A340,'ORDENES'!$T$4:$T$1203,"preventiva")</f>
        <v/>
      </c>
      <c r="C340" s="17">
        <f>SUMIFS('ORDENES'!$M$4:$M$1203,'ORDENES'!$O$4:$O$1203,$A340,'ORDENES'!$T$4:$T$1203,"correctiva")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SUMIFS('ORDENES'!$M$4:$M$1203,'ORDENES'!$O$4:$O$1203,$A341,'ORDENES'!$T$4:$T$1203,"preventiva")</f>
        <v/>
      </c>
      <c r="C341" s="17">
        <f>SUMIFS('ORDENES'!$M$4:$M$1203,'ORDENES'!$O$4:$O$1203,$A341,'ORDENES'!$T$4:$T$1203,"correctiva")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SUMIFS('ORDENES'!$M$4:$M$1203,'ORDENES'!$O$4:$O$1203,$A342,'ORDENES'!$T$4:$T$1203,"preventiva")</f>
        <v/>
      </c>
      <c r="C342" s="17">
        <f>SUMIFS('ORDENES'!$M$4:$M$1203,'ORDENES'!$O$4:$O$1203,$A342,'ORDENES'!$T$4:$T$1203,"correctiva")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SUMIFS('ORDENES'!$M$4:$M$1203,'ORDENES'!$O$4:$O$1203,$A343,'ORDENES'!$T$4:$T$1203,"preventiva")</f>
        <v/>
      </c>
      <c r="C343" s="17">
        <f>SUMIFS('ORDENES'!$M$4:$M$1203,'ORDENES'!$O$4:$O$1203,$A343,'ORDENES'!$T$4:$T$1203,"correctiva")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SUMIFS('ORDENES'!$M$4:$M$1203,'ORDENES'!$O$4:$O$1203,$A344,'ORDENES'!$T$4:$T$1203,"preventiva")</f>
        <v/>
      </c>
      <c r="C344" s="17">
        <f>SUMIFS('ORDENES'!$M$4:$M$1203,'ORDENES'!$O$4:$O$1203,$A344,'ORDENES'!$T$4:$T$1203,"correctiva")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>
      <c r="A345" s="3">
        <f>$O$39</f>
        <v/>
      </c>
      <c r="B345" s="17">
        <f>SUMIFS('ORDENES'!$M$4:$M$1203,'ORDENES'!$O$4:$O$1203,$A345,'ORDENES'!$T$4:$T$1203,"preventiva")</f>
        <v/>
      </c>
      <c r="C345" s="17">
        <f>SUMIFS('ORDENES'!$M$4:$M$1203,'ORDENES'!$O$4:$O$1203,$A345,'ORDENES'!$T$4:$T$1203,"correctiva")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 hidden="1">
      <c r="A346" s="3">
        <f>$O$40</f>
        <v/>
      </c>
      <c r="B346" s="17">
        <f>SUMIFS('ORDENES'!$M$4:$M$1203,'ORDENES'!$O$4:$O$1203,$A346,'ORDENES'!$T$4:$T$1203,"preventiva")</f>
        <v/>
      </c>
      <c r="C346" s="17">
        <f>SUMIFS('ORDENES'!$M$4:$M$1203,'ORDENES'!$O$4:$O$1203,$A346,'ORDENES'!$T$4:$T$1203,"correctiva")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SUMIFS('ORDENES'!$M$4:$M$1203,'ORDENES'!$O$4:$O$1203,$A347,'ORDENES'!$T$4:$T$1203,"preventiva")</f>
        <v/>
      </c>
      <c r="C347" s="17">
        <f>SUMIFS('ORDENES'!$M$4:$M$1203,'ORDENES'!$O$4:$O$1203,$A347,'ORDENES'!$T$4:$T$1203,"correctiva")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SUMIFS('ORDENES'!$M$4:$M$1203,'ORDENES'!$O$4:$O$1203,$A348,'ORDENES'!$T$4:$T$1203,"preventiva")</f>
        <v/>
      </c>
      <c r="C348" s="17">
        <f>SUMIFS('ORDENES'!$M$4:$M$1203,'ORDENES'!$O$4:$O$1203,$A348,'ORDENES'!$T$4:$T$1203,"correctiva")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SUMIFS('ORDENES'!$M$4:$M$1203,'ORDENES'!$O$4:$O$1203,$A349,'ORDENES'!$T$4:$T$1203,"preventiva")</f>
        <v/>
      </c>
      <c r="C349" s="17">
        <f>SUMIFS('ORDENES'!$M$4:$M$1203,'ORDENES'!$O$4:$O$1203,$A349,'ORDENES'!$T$4:$T$1203,"correctiva")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SUMIFS('ORDENES'!$M$4:$M$1203,'ORDENES'!$O$4:$O$1203,$A350,'ORDENES'!$T$4:$T$1203,"preventiva")</f>
        <v/>
      </c>
      <c r="C350" s="17">
        <f>SUMIFS('ORDENES'!$M$4:$M$1203,'ORDENES'!$O$4:$O$1203,$A350,'ORDENES'!$T$4:$T$1203,"correctiva")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SUMIFS('ORDENES'!$M$4:$M$1203,'ORDENES'!$O$4:$O$1203,$A351,'ORDENES'!$T$4:$T$1203,"preventiva")</f>
        <v/>
      </c>
      <c r="C351" s="17">
        <f>SUMIFS('ORDENES'!$M$4:$M$1203,'ORDENES'!$O$4:$O$1203,$A351,'ORDENES'!$T$4:$T$1203,"correctiva")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SUMIFS('ORDENES'!$M$4:$M$1203,'ORDENES'!$O$4:$O$1203,$A352,'ORDENES'!$T$4:$T$1203,"preventiva")</f>
        <v/>
      </c>
      <c r="C352" s="17">
        <f>SUMIFS('ORDENES'!$M$4:$M$1203,'ORDENES'!$O$4:$O$1203,$A352,'ORDENES'!$T$4:$T$1203,"correctiva")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SUMIFS('ORDENES'!$M$4:$M$1203,'ORDENES'!$O$4:$O$1203,$A353,'ORDENES'!$T$4:$T$1203,"preventiva")</f>
        <v/>
      </c>
      <c r="C353" s="17">
        <f>SUMIFS('ORDENES'!$M$4:$M$1203,'ORDENES'!$O$4:$O$1203,$A353,'ORDENES'!$T$4:$T$1203,"correctiva")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SUMIFS('ORDENES'!$M$4:$M$1203,'ORDENES'!$O$4:$O$1203,$A354,'ORDENES'!$T$4:$T$1203,"preventiva")</f>
        <v/>
      </c>
      <c r="C354" s="17">
        <f>SUMIFS('ORDENES'!$M$4:$M$1203,'ORDENES'!$O$4:$O$1203,$A354,'ORDENES'!$T$4:$T$1203,"correctiva")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SUMIFS('ORDENES'!$M$4:$M$1203,'ORDENES'!$O$4:$O$1203,$A355,'ORDENES'!$T$4:$T$1203,"preventiva")</f>
        <v/>
      </c>
      <c r="C355" s="17">
        <f>SUMIFS('ORDENES'!$M$4:$M$1203,'ORDENES'!$O$4:$O$1203,$A355,'ORDENES'!$T$4:$T$1203,"correctiva")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SUMIFS('ORDENES'!$M$4:$M$1203,'ORDENES'!$O$4:$O$1203,$A356,'ORDENES'!$T$4:$T$1203,"preventiva")</f>
        <v/>
      </c>
      <c r="C356" s="17">
        <f>SUMIFS('ORDENES'!$M$4:$M$1203,'ORDENES'!$O$4:$O$1203,$A356,'ORDENES'!$T$4:$T$1203,"correctiva")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SUMIFS('ORDENES'!$M$4:$M$1203,'ORDENES'!$O$4:$O$1203,$A357,'ORDENES'!$T$4:$T$1203,"preventiva")</f>
        <v/>
      </c>
      <c r="C357" s="17">
        <f>SUMIFS('ORDENES'!$M$4:$M$1203,'ORDENES'!$O$4:$O$1203,$A357,'ORDENES'!$T$4:$T$1203,"correctiva")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SUMIFS('ORDENES'!$M$4:$M$1203,'ORDENES'!$O$4:$O$1203,$A358,'ORDENES'!$T$4:$T$1203,"preventiva")</f>
        <v/>
      </c>
      <c r="C358" s="17">
        <f>SUMIFS('ORDENES'!$M$4:$M$1203,'ORDENES'!$O$4:$O$1203,$A358,'ORDENES'!$T$4:$T$1203,"correctiva")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SUMIFS('ORDENES'!$M$4:$M$1203,'ORDENES'!$O$4:$O$1203,$A359,'ORDENES'!$T$4:$T$1203,"preventiva")</f>
        <v/>
      </c>
      <c r="C359" s="17">
        <f>SUMIFS('ORDENES'!$M$4:$M$1203,'ORDENES'!$O$4:$O$1203,$A359,'ORDENES'!$T$4:$T$1203,"correctiva")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SUMIFS('ORDENES'!$M$4:$M$1203,'ORDENES'!$O$4:$O$1203,$A360,'ORDENES'!$T$4:$T$1203,"preventiva")</f>
        <v/>
      </c>
      <c r="C360" s="17">
        <f>SUMIFS('ORDENES'!$M$4:$M$1203,'ORDENES'!$O$4:$O$1203,$A360,'ORDENES'!$T$4:$T$1203,"correctiva")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SUMIFS('ORDENES'!$M$4:$M$1203,'ORDENES'!$O$4:$O$1203,$A361,'ORDENES'!$T$4:$T$1203,"preventiva")</f>
        <v/>
      </c>
      <c r="C361" s="17">
        <f>SUMIFS('ORDENES'!$M$4:$M$1203,'ORDENES'!$O$4:$O$1203,$A361,'ORDENES'!$T$4:$T$1203,"correctiva")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SUMIFS('ORDENES'!$M$4:$M$1203,'ORDENES'!$O$4:$O$1203,$A362,'ORDENES'!$T$4:$T$1203,"preventiva")</f>
        <v/>
      </c>
      <c r="C362" s="17">
        <f>SUMIFS('ORDENES'!$M$4:$M$1203,'ORDENES'!$O$4:$O$1203,$A362,'ORDENES'!$T$4:$T$1203,"correctiva")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SUMIFS('ORDENES'!$M$4:$M$1203,'ORDENES'!$O$4:$O$1203,$A363,'ORDENES'!$T$4:$T$1203,"preventiva")</f>
        <v/>
      </c>
      <c r="C363" s="17">
        <f>SUMIFS('ORDENES'!$M$4:$M$1203,'ORDENES'!$O$4:$O$1203,$A363,'ORDENES'!$T$4:$T$1203,"correctiva")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SUMIFS('ORDENES'!$M$4:$M$1203,'ORDENES'!$O$4:$O$1203,$A364,'ORDENES'!$T$4:$T$1203,"preventiva")</f>
        <v/>
      </c>
      <c r="C364" s="17">
        <f>SUMIFS('ORDENES'!$M$4:$M$1203,'ORDENES'!$O$4:$O$1203,$A364,'ORDENES'!$T$4:$T$1203,"correctiva")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SUMIFS('ORDENES'!$M$4:$M$1203,'ORDENES'!$O$4:$O$1203,$A365,'ORDENES'!$T$4:$T$1203,"preventiva")</f>
        <v/>
      </c>
      <c r="C365" s="17">
        <f>SUMIFS('ORDENES'!$M$4:$M$1203,'ORDENES'!$O$4:$O$1203,$A365,'ORDENES'!$T$4:$T$1203,"correctiva")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SUMIFS('ORDENES'!$M$4:$M$1203,'ORDENES'!$O$4:$O$1203,$A366,'ORDENES'!$T$4:$T$1203,"preventiva")</f>
        <v/>
      </c>
      <c r="C366" s="17">
        <f>SUMIFS('ORDENES'!$M$4:$M$1203,'ORDENES'!$O$4:$O$1203,$A366,'ORDENES'!$T$4:$T$1203,"correctiva")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SUMIFS('ORDENES'!$M$4:$M$1203,'ORDENES'!$O$4:$O$1203,$A367,'ORDENES'!$T$4:$T$1203,"preventiva")</f>
        <v/>
      </c>
      <c r="C367" s="17">
        <f>SUMIFS('ORDENES'!$M$4:$M$1203,'ORDENES'!$O$4:$O$1203,$A367,'ORDENES'!$T$4:$T$1203,"correctiva")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SUMIFS('ORDENES'!$M$4:$M$1203,'ORDENES'!$O$4:$O$1203,$A368,'ORDENES'!$T$4:$T$1203,"preventiva")</f>
        <v/>
      </c>
      <c r="C368" s="17">
        <f>SUMIFS('ORDENES'!$M$4:$M$1203,'ORDENES'!$O$4:$O$1203,$A368,'ORDENES'!$T$4:$T$1203,"correctiva")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SUMIFS('ORDENES'!$M$4:$M$1203,'ORDENES'!$O$4:$O$1203,$A369,'ORDENES'!$T$4:$T$1203,"preventiva")</f>
        <v/>
      </c>
      <c r="C369" s="17">
        <f>SUMIFS('ORDENES'!$M$4:$M$1203,'ORDENES'!$O$4:$O$1203,$A369,'ORDENES'!$T$4:$T$1203,"correctiva")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("&amp;IFERROR(INDEX('ASIGNACIONES'!$J$4:$J$451,MATCH($B$3&amp;"|"&amp;$D$3&amp;"|"&amp;$P4,'ASIGNACIONES'!$N$4:$N$451,0)),"")&amp;")")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("&amp;IFERROR(INDEX('ASIGNACIONES'!$J$4:$J$451,MATCH($B$3&amp;"|"&amp;$D$3&amp;"|"&amp;$P5,'ASIGNACIONES'!$N$4:$N$451,0)),"")&amp;")")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("&amp;IFERROR(INDEX('ASIGNACIONES'!$J$4:$J$451,MATCH($B$3&amp;"|"&amp;$D$3&amp;"|"&amp;$P6,'ASIGNACIONES'!$N$4:$N$451,0)),"")&amp;")")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("&amp;IFERROR(INDEX('ASIGNACIONES'!$J$4:$J$451,MATCH($B$3&amp;"|"&amp;$D$3&amp;"|"&amp;$P7,'ASIGNACIONES'!$N$4:$N$451,0)),"")&amp;")")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("&amp;IFERROR(INDEX('ASIGNACIONES'!$J$4:$J$451,MATCH($B$3&amp;"|"&amp;$D$3&amp;"|"&amp;$P8,'ASIGNACIONES'!$N$4:$N$451,0)),"")&amp;")")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("&amp;IFERROR(INDEX('ASIGNACIONES'!$J$4:$J$451,MATCH($B$3&amp;"|"&amp;$D$3&amp;"|"&amp;$P9,'ASIGNACIONES'!$N$4:$N$451,0)),"")&amp;")")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("&amp;IFERROR(INDEX('ASIGNACIONES'!$J$4:$J$451,MATCH($B$3&amp;"|"&amp;$D$3&amp;"|"&amp;$P10,'ASIGNACIONES'!$N$4:$N$451,0)),"")&amp;")")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("&amp;IFERROR(INDEX('ASIGNACIONES'!$J$4:$J$451,MATCH($B$3&amp;"|"&amp;$D$3&amp;"|"&amp;$P11,'ASIGNACIONES'!$N$4:$N$451,0)),"")&amp;")")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("&amp;IFERROR(INDEX('ASIGNACIONES'!$J$4:$J$451,MATCH($B$3&amp;"|"&amp;$D$3&amp;"|"&amp;$P12,'ASIGNACIONES'!$N$4:$N$451,0)),"")&amp;")")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("&amp;IFERROR(INDEX('ASIGNACIONES'!$J$4:$J$451,MATCH($B$3&amp;"|"&amp;$D$3&amp;"|"&amp;$P13,'ASIGNACIONES'!$N$4:$N$451,0)),"")&amp;")")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("&amp;IFERROR(INDEX('ASIGNACIONES'!$J$4:$J$451,MATCH($B$3&amp;"|"&amp;$D$3&amp;"|"&amp;$P14,'ASIGNACIONES'!$N$4:$N$451,0)),"")&amp;")")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("&amp;IFERROR(INDEX('ASIGNACIONES'!$J$4:$J$451,MATCH($B$3&amp;"|"&amp;$D$3&amp;"|"&amp;$P15,'ASIGNACIONES'!$N$4:$N$451,0)),"")&amp;")")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("&amp;IFERROR(INDEX('ASIGNACIONES'!$J$4:$J$451,MATCH($B$3&amp;"|"&amp;$D$3&amp;"|"&amp;$P16,'ASIGNACIONES'!$N$4:$N$451,0)),"")&amp;")")</f>
        <v/>
      </c>
      <c r="S16" s="17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("&amp;IFERROR(INDEX('ASIGNACIONES'!$J$4:$J$451,MATCH($B$3&amp;"|"&amp;$D$3&amp;"|"&amp;$P17,'ASIGNACIONES'!$N$4:$N$451,0)),"")&amp;")")</f>
        <v/>
      </c>
      <c r="S17" s="17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("&amp;IFERROR(INDEX('ASIGNACIONES'!$J$4:$J$451,MATCH($B$3&amp;"|"&amp;$D$3&amp;"|"&amp;$P18,'ASIGNACIONES'!$N$4:$N$451,0)),"")&amp;")")</f>
        <v/>
      </c>
      <c r="S18" s="17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("&amp;IFERROR(INDEX('ASIGNACIONES'!$J$4:$J$451,MATCH($B$3&amp;"|"&amp;$D$3&amp;"|"&amp;$P19,'ASIGNACIONES'!$N$4:$N$451,0)),"")&amp;")")</f>
        <v/>
      </c>
      <c r="S19" s="17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 hidden="1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 hidden="1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 hidden="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COUNTIFS('ORDENES'!$X$4:$X$1203,$A90,'ORDENES'!$S$4:$S$1203,"sí")</f>
        <v/>
      </c>
      <c r="C90" s="3">
        <f>COUNTIFS('ORDENES'!$X$4:$X$1203,$A90,'ORDENES'!$N$4:$N$1203,"Cerrada",'ORDENES'!$S$4:$S$1203,"sí")</f>
        <v/>
      </c>
      <c r="D90" s="18">
        <f>IF(B90=0,"",C90/B90)</f>
        <v/>
      </c>
      <c r="E90" s="17">
        <f>SUMIFS('ORDENES'!$M$4:$M$1203,'ORDENES'!$X$4:$X$1203,$A90,'ORDENES'!$S$4:$S$1203,"sí")</f>
        <v/>
      </c>
      <c r="F90" s="17">
        <f>SUMIFS('ORDENES'!$M$4:$M$1203,'ORDENES'!$X$4:$X$1203,$A90,'ORDENES'!$N$4:$N$1203,"Cerrada",'ORDENES'!$S$4:$S$1203,"sí")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COUNTIFS('ORDENES'!$T$4:$T$1203,$A96,'ORDENES'!$S$4:$S$1203,"sí")</f>
        <v/>
      </c>
      <c r="C96" s="3">
        <f>COUNTIFS('ORDENES'!$T$4:$T$1203,$A96,'ORDENES'!$N$4:$N$1203,"Cerrada",'ORDENES'!$S$4:$S$1203,"sí")</f>
        <v/>
      </c>
      <c r="D96" s="18">
        <f>IF(B96=0,"",C96/B96)</f>
        <v/>
      </c>
      <c r="E96" s="17">
        <f>SUMIFS('ORDENES'!$M$4:$M$1203,'ORDENES'!$T$4:$T$1203,$A96,'ORDENES'!$S$4:$S$1203,"sí")</f>
        <v/>
      </c>
      <c r="F96" s="17">
        <f>SUMIFS('ORDENES'!$M$4:$M$1203,'ORDENES'!$T$4:$T$1203,$A96,'ORDENES'!$N$4:$N$1203,"Cerrada",'ORDENES'!$S$4:$S$1203,"sí")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COUNTIFS('ORDENES'!$AE$4:$AE$1203,$A102,'ORDENES'!$S$4:$S$1203,"sí")</f>
        <v/>
      </c>
      <c r="C102" s="3">
        <f>COUNTIFS('ORDENES'!$AE$4:$AE$1203,$A102,'ORDENES'!$N$4:$N$1203,"Cerrada",'ORDENES'!$S$4:$S$1203,"sí")</f>
        <v/>
      </c>
      <c r="D102" s="18">
        <f>IF(B102=0,"",C102/B102)</f>
        <v/>
      </c>
      <c r="E102" s="17">
        <f>SUMIFS('ORDENES'!$M$4:$M$1203,'ORDENES'!$AE$4:$AE$1203,$A102,'ORDENES'!$S$4:$S$1203,"sí")</f>
        <v/>
      </c>
      <c r="F102" s="17">
        <f>SUMIFS('ORDENES'!$M$4:$M$1203,'ORDENES'!$AE$4:$AE$1203,$A102,'ORDENES'!$N$4:$N$1203,"Cerrada",'ORDENES'!$S$4:$S$1203,"sí")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COUNTIFS('ORDENES'!$AE$4:$AE$1203,$A115,'ORDENES'!$S$4:$S$1203,"sí")</f>
        <v/>
      </c>
      <c r="C115" s="3">
        <f>COUNTIFS('ORDENES'!$AE$4:$AE$1203,$A115,'ORDENES'!$N$4:$N$1203,"Cerrada",'ORDENES'!$S$4:$S$1203,"sí")</f>
        <v/>
      </c>
      <c r="D115" s="18">
        <f>IF(B115=0,"",C115/B115)</f>
        <v/>
      </c>
      <c r="E115" s="17">
        <f>SUMIFS('ORDENES'!$M$4:$M$1203,'ORDENES'!$AE$4:$AE$1203,$A115,'ORDENES'!$S$4:$S$1203,"sí")</f>
        <v/>
      </c>
      <c r="F115" s="17">
        <f>SUMIFS('ORDENES'!$M$4:$M$1203,'ORDENES'!$AE$4:$AE$1203,$A115,'ORDENES'!$N$4:$N$1203,"Cerrada",'ORDENES'!$S$4:$S$1203,"sí")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COUNTIFS('ORDENES'!$AE$4:$AE$1203,$A116,'ORDENES'!$S$4:$S$1203,"sí")</f>
        <v/>
      </c>
      <c r="C116" s="3">
        <f>COUNTIFS('ORDENES'!$AE$4:$AE$1203,$A116,'ORDENES'!$N$4:$N$1203,"Cerrada",'ORDENES'!$S$4:$S$1203,"sí")</f>
        <v/>
      </c>
      <c r="D116" s="18">
        <f>IF(B116=0,"",C116/B116)</f>
        <v/>
      </c>
      <c r="E116" s="17">
        <f>SUMIFS('ORDENES'!$M$4:$M$1203,'ORDENES'!$AE$4:$AE$1203,$A116,'ORDENES'!$S$4:$S$1203,"sí")</f>
        <v/>
      </c>
      <c r="F116" s="17">
        <f>SUMIFS('ORDENES'!$M$4:$M$1203,'ORDENES'!$AE$4:$AE$1203,$A116,'ORDENES'!$N$4:$N$1203,"Cerrada",'ORDENES'!$S$4:$S$1203,"sí")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COUNTIFS('ORDENES'!$AE$4:$AE$1203,$A117,'ORDENES'!$S$4:$S$1203,"sí")</f>
        <v/>
      </c>
      <c r="C117" s="3">
        <f>COUNTIFS('ORDENES'!$AE$4:$AE$1203,$A117,'ORDENES'!$N$4:$N$1203,"Cerrada",'ORDENES'!$S$4:$S$1203,"sí")</f>
        <v/>
      </c>
      <c r="D117" s="18">
        <f>IF(B117=0,"",C117/B117)</f>
        <v/>
      </c>
      <c r="E117" s="17">
        <f>SUMIFS('ORDENES'!$M$4:$M$1203,'ORDENES'!$AE$4:$AE$1203,$A117,'ORDENES'!$S$4:$S$1203,"sí")</f>
        <v/>
      </c>
      <c r="F117" s="17">
        <f>SUMIFS('ORDENES'!$M$4:$M$1203,'ORDENES'!$AE$4:$AE$1203,$A117,'ORDENES'!$N$4:$N$1203,"Cerrada",'ORDENES'!$S$4:$S$1203,"sí")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11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SUMIFS('ORDENES'!$L$4:$L$1203,'ORDENES'!$V$4:$V$1203,$A6,'ORDENES'!$P$4:$P$1203,B$4,'ORDENES'!$Q$4:$Q$1203,B$5)</f>
        <v/>
      </c>
      <c r="C6" s="11">
        <f>SUMIFS('ORDENES'!$L$4:$L$1203,'ORDENES'!$V$4:$V$1203,$A6,'ORDENES'!$P$4:$P$1203,C$4,'ORDENES'!$Q$4:$Q$1203,C$5)</f>
        <v/>
      </c>
      <c r="D6" s="11">
        <f>SUMIFS('ORDENES'!$L$4:$L$1203,'ORDENES'!$V$4:$V$1203,$A6,'ORDENES'!$P$4:$P$1203,D$4,'ORDENES'!$Q$4:$Q$1203,D$5)</f>
        <v/>
      </c>
      <c r="E6" s="11">
        <f>SUMIFS('ORDENES'!$L$4:$L$1203,'ORDENES'!$V$4:$V$1203,$A6,'ORDENES'!$P$4:$P$1203,E$4,'ORDENES'!$Q$4:$Q$1203,E$5)</f>
        <v/>
      </c>
      <c r="F6" s="11">
        <f>SUMIFS('ORDENES'!$L$4:$L$1203,'ORDENES'!$V$4:$V$1203,$A6,'ORDENES'!$P$4:$P$1203,F$4,'ORDENES'!$Q$4:$Q$1203,F$5)</f>
        <v/>
      </c>
      <c r="G6" s="11">
        <f>SUMIFS('ORDENES'!$L$4:$L$1203,'ORDENES'!$V$4:$V$1203,$A6,'ORDENES'!$P$4:$P$1203,G$4,'ORDENES'!$Q$4:$Q$1203,G$5)</f>
        <v/>
      </c>
      <c r="H6" s="11">
        <f>SUMIFS('ORDENES'!$L$4:$L$1203,'ORDENES'!$V$4:$V$1203,$A6,'ORDENES'!$P$4:$P$1203,H$4,'ORDENES'!$Q$4:$Q$1203,H$5)</f>
        <v/>
      </c>
      <c r="I6" s="11">
        <f>SUMIFS('ORDENES'!$L$4:$L$1203,'ORDENES'!$V$4:$V$1203,$A6,'ORDENES'!$P$4:$P$1203,I$4,'ORDENES'!$Q$4:$Q$1203,I$5)</f>
        <v/>
      </c>
      <c r="J6" s="11">
        <f>SUMIFS('ORDENES'!$L$4:$L$1203,'ORDENES'!$V$4:$V$1203,$A6,'ORDENES'!$P$4:$P$1203,J$4,'ORDENES'!$Q$4:$Q$1203,J$5)</f>
        <v/>
      </c>
      <c r="K6" s="11">
        <f>SUMIFS('ORDENES'!$L$4:$L$1203,'ORDENES'!$V$4:$V$1203,$A6,'ORDENES'!$P$4:$P$1203,K$4,'ORDENES'!$Q$4:$Q$1203,K$5)</f>
        <v/>
      </c>
      <c r="L6" s="11">
        <f>SUMIFS('ORDENES'!$L$4:$L$1203,'ORDENES'!$V$4:$V$1203,$A6,'ORDENES'!$P$4:$P$1203,L$4,'ORDENES'!$Q$4:$Q$1203,L$5)</f>
        <v/>
      </c>
      <c r="M6" s="11">
        <f>SUM(B6:L6)</f>
        <v/>
      </c>
    </row>
    <row r="7">
      <c r="A7" s="3" t="inlineStr">
        <is>
          <t>EMPAQUE</t>
        </is>
      </c>
      <c r="B7" s="11">
        <f>SUMIFS('ORDENES'!$L$4:$L$1203,'ORDENES'!$V$4:$V$1203,$A7,'ORDENES'!$P$4:$P$1203,B$4,'ORDENES'!$Q$4:$Q$1203,B$5)</f>
        <v/>
      </c>
      <c r="C7" s="11">
        <f>SUMIFS('ORDENES'!$L$4:$L$1203,'ORDENES'!$V$4:$V$1203,$A7,'ORDENES'!$P$4:$P$1203,C$4,'ORDENES'!$Q$4:$Q$1203,C$5)</f>
        <v/>
      </c>
      <c r="D7" s="11">
        <f>SUMIFS('ORDENES'!$L$4:$L$1203,'ORDENES'!$V$4:$V$1203,$A7,'ORDENES'!$P$4:$P$1203,D$4,'ORDENES'!$Q$4:$Q$1203,D$5)</f>
        <v/>
      </c>
      <c r="E7" s="11">
        <f>SUMIFS('ORDENES'!$L$4:$L$1203,'ORDENES'!$V$4:$V$1203,$A7,'ORDENES'!$P$4:$P$1203,E$4,'ORDENES'!$Q$4:$Q$1203,E$5)</f>
        <v/>
      </c>
      <c r="F7" s="11">
        <f>SUMIFS('ORDENES'!$L$4:$L$1203,'ORDENES'!$V$4:$V$1203,$A7,'ORDENES'!$P$4:$P$1203,F$4,'ORDENES'!$Q$4:$Q$1203,F$5)</f>
        <v/>
      </c>
      <c r="G7" s="11">
        <f>SUMIFS('ORDENES'!$L$4:$L$1203,'ORDENES'!$V$4:$V$1203,$A7,'ORDENES'!$P$4:$P$1203,G$4,'ORDENES'!$Q$4:$Q$1203,G$5)</f>
        <v/>
      </c>
      <c r="H7" s="11">
        <f>SUMIFS('ORDENES'!$L$4:$L$1203,'ORDENES'!$V$4:$V$1203,$A7,'ORDENES'!$P$4:$P$1203,H$4,'ORDENES'!$Q$4:$Q$1203,H$5)</f>
        <v/>
      </c>
      <c r="I7" s="11">
        <f>SUMIFS('ORDENES'!$L$4:$L$1203,'ORDENES'!$V$4:$V$1203,$A7,'ORDENES'!$P$4:$P$1203,I$4,'ORDENES'!$Q$4:$Q$1203,I$5)</f>
        <v/>
      </c>
      <c r="J7" s="11">
        <f>SUMIFS('ORDENES'!$L$4:$L$1203,'ORDENES'!$V$4:$V$1203,$A7,'ORDENES'!$P$4:$P$1203,J$4,'ORDENES'!$Q$4:$Q$1203,J$5)</f>
        <v/>
      </c>
      <c r="K7" s="11">
        <f>SUMIFS('ORDENES'!$L$4:$L$1203,'ORDENES'!$V$4:$V$1203,$A7,'ORDENES'!$P$4:$P$1203,K$4,'ORDENES'!$Q$4:$Q$1203,K$5)</f>
        <v/>
      </c>
      <c r="L7" s="11">
        <f>SUMIFS('ORDENES'!$L$4:$L$1203,'ORDENES'!$V$4:$V$1203,$A7,'ORDENES'!$P$4:$P$1203,L$4,'ORDENES'!$Q$4:$Q$1203,L$5)</f>
        <v/>
      </c>
      <c r="M7" s="11">
        <f>SUM(B7:L7)</f>
        <v/>
      </c>
    </row>
    <row r="8">
      <c r="A8" s="3" t="inlineStr">
        <is>
          <t>SERVICIOS</t>
        </is>
      </c>
      <c r="B8" s="11">
        <f>SUMIFS('ORDENES'!$L$4:$L$1203,'ORDENES'!$V$4:$V$1203,$A8,'ORDENES'!$P$4:$P$1203,B$4,'ORDENES'!$Q$4:$Q$1203,B$5)</f>
        <v/>
      </c>
      <c r="C8" s="11">
        <f>SUMIFS('ORDENES'!$L$4:$L$1203,'ORDENES'!$V$4:$V$1203,$A8,'ORDENES'!$P$4:$P$1203,C$4,'ORDENES'!$Q$4:$Q$1203,C$5)</f>
        <v/>
      </c>
      <c r="D8" s="11">
        <f>SUMIFS('ORDENES'!$L$4:$L$1203,'ORDENES'!$V$4:$V$1203,$A8,'ORDENES'!$P$4:$P$1203,D$4,'ORDENES'!$Q$4:$Q$1203,D$5)</f>
        <v/>
      </c>
      <c r="E8" s="11">
        <f>SUMIFS('ORDENES'!$L$4:$L$1203,'ORDENES'!$V$4:$V$1203,$A8,'ORDENES'!$P$4:$P$1203,E$4,'ORDENES'!$Q$4:$Q$1203,E$5)</f>
        <v/>
      </c>
      <c r="F8" s="11">
        <f>SUMIFS('ORDENES'!$L$4:$L$1203,'ORDENES'!$V$4:$V$1203,$A8,'ORDENES'!$P$4:$P$1203,F$4,'ORDENES'!$Q$4:$Q$1203,F$5)</f>
        <v/>
      </c>
      <c r="G8" s="11">
        <f>SUMIFS('ORDENES'!$L$4:$L$1203,'ORDENES'!$V$4:$V$1203,$A8,'ORDENES'!$P$4:$P$1203,G$4,'ORDENES'!$Q$4:$Q$1203,G$5)</f>
        <v/>
      </c>
      <c r="H8" s="11">
        <f>SUMIFS('ORDENES'!$L$4:$L$1203,'ORDENES'!$V$4:$V$1203,$A8,'ORDENES'!$P$4:$P$1203,H$4,'ORDENES'!$Q$4:$Q$1203,H$5)</f>
        <v/>
      </c>
      <c r="I8" s="11">
        <f>SUMIFS('ORDENES'!$L$4:$L$1203,'ORDENES'!$V$4:$V$1203,$A8,'ORDENES'!$P$4:$P$1203,I$4,'ORDENES'!$Q$4:$Q$1203,I$5)</f>
        <v/>
      </c>
      <c r="J8" s="11">
        <f>SUMIFS('ORDENES'!$L$4:$L$1203,'ORDENES'!$V$4:$V$1203,$A8,'ORDENES'!$P$4:$P$1203,J$4,'ORDENES'!$Q$4:$Q$1203,J$5)</f>
        <v/>
      </c>
      <c r="K8" s="11">
        <f>SUMIFS('ORDENES'!$L$4:$L$1203,'ORDENES'!$V$4:$V$1203,$A8,'ORDENES'!$P$4:$P$1203,K$4,'ORDENES'!$Q$4:$Q$1203,K$5)</f>
        <v/>
      </c>
      <c r="L8" s="11">
        <f>SUMIFS('ORDENES'!$L$4:$L$1203,'ORDENES'!$V$4:$V$1203,$A8,'ORDENES'!$P$4:$P$1203,L$4,'ORDENES'!$Q$4:$Q$1203,L$5)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11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SUMIFS('ORDENES'!$AK$4:$AK$1203,'ORDENES'!$V$4:$V$1203,$A14,'ORDENES'!$P$4:$P$1203,B$12,'ORDENES'!$Q$4:$Q$1203,B$13)</f>
        <v/>
      </c>
      <c r="C14" s="11">
        <f>SUMIFS('ORDENES'!$AK$4:$AK$1203,'ORDENES'!$V$4:$V$1203,$A14,'ORDENES'!$P$4:$P$1203,C$12,'ORDENES'!$Q$4:$Q$1203,C$13)</f>
        <v/>
      </c>
      <c r="D14" s="11">
        <f>SUMIFS('ORDENES'!$AK$4:$AK$1203,'ORDENES'!$V$4:$V$1203,$A14,'ORDENES'!$P$4:$P$1203,D$12,'ORDENES'!$Q$4:$Q$1203,D$13)</f>
        <v/>
      </c>
      <c r="E14" s="11">
        <f>SUMIFS('ORDENES'!$AK$4:$AK$1203,'ORDENES'!$V$4:$V$1203,$A14,'ORDENES'!$P$4:$P$1203,E$12,'ORDENES'!$Q$4:$Q$1203,E$13)</f>
        <v/>
      </c>
      <c r="F14" s="11">
        <f>SUMIFS('ORDENES'!$AK$4:$AK$1203,'ORDENES'!$V$4:$V$1203,$A14,'ORDENES'!$P$4:$P$1203,F$12,'ORDENES'!$Q$4:$Q$1203,F$13)</f>
        <v/>
      </c>
      <c r="G14" s="11">
        <f>SUMIFS('ORDENES'!$AK$4:$AK$1203,'ORDENES'!$V$4:$V$1203,$A14,'ORDENES'!$P$4:$P$1203,G$12,'ORDENES'!$Q$4:$Q$1203,G$13)</f>
        <v/>
      </c>
      <c r="H14" s="11">
        <f>SUMIFS('ORDENES'!$AK$4:$AK$1203,'ORDENES'!$V$4:$V$1203,$A14,'ORDENES'!$P$4:$P$1203,H$12,'ORDENES'!$Q$4:$Q$1203,H$13)</f>
        <v/>
      </c>
      <c r="I14" s="11">
        <f>SUMIFS('ORDENES'!$AK$4:$AK$1203,'ORDENES'!$V$4:$V$1203,$A14,'ORDENES'!$P$4:$P$1203,I$12,'ORDENES'!$Q$4:$Q$1203,I$13)</f>
        <v/>
      </c>
      <c r="J14" s="11">
        <f>SUMIFS('ORDENES'!$AK$4:$AK$1203,'ORDENES'!$V$4:$V$1203,$A14,'ORDENES'!$P$4:$P$1203,J$12,'ORDENES'!$Q$4:$Q$1203,J$13)</f>
        <v/>
      </c>
      <c r="K14" s="11">
        <f>SUMIFS('ORDENES'!$AK$4:$AK$1203,'ORDENES'!$V$4:$V$1203,$A14,'ORDENES'!$P$4:$P$1203,K$12,'ORDENES'!$Q$4:$Q$1203,K$13)</f>
        <v/>
      </c>
      <c r="L14" s="11">
        <f>SUMIFS('ORDENES'!$AK$4:$AK$1203,'ORDENES'!$V$4:$V$1203,$A14,'ORDENES'!$P$4:$P$1203,L$12,'ORDENES'!$Q$4:$Q$1203,L$13)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SUMIFS('ORDENES'!$AK$4:$AK$1203,'ORDENES'!$V$4:$V$1203,$A15,'ORDENES'!$P$4:$P$1203,B$12,'ORDENES'!$Q$4:$Q$1203,B$13)</f>
        <v/>
      </c>
      <c r="C15" s="11">
        <f>SUMIFS('ORDENES'!$AK$4:$AK$1203,'ORDENES'!$V$4:$V$1203,$A15,'ORDENES'!$P$4:$P$1203,C$12,'ORDENES'!$Q$4:$Q$1203,C$13)</f>
        <v/>
      </c>
      <c r="D15" s="11">
        <f>SUMIFS('ORDENES'!$AK$4:$AK$1203,'ORDENES'!$V$4:$V$1203,$A15,'ORDENES'!$P$4:$P$1203,D$12,'ORDENES'!$Q$4:$Q$1203,D$13)</f>
        <v/>
      </c>
      <c r="E15" s="11">
        <f>SUMIFS('ORDENES'!$AK$4:$AK$1203,'ORDENES'!$V$4:$V$1203,$A15,'ORDENES'!$P$4:$P$1203,E$12,'ORDENES'!$Q$4:$Q$1203,E$13)</f>
        <v/>
      </c>
      <c r="F15" s="11">
        <f>SUMIFS('ORDENES'!$AK$4:$AK$1203,'ORDENES'!$V$4:$V$1203,$A15,'ORDENES'!$P$4:$P$1203,F$12,'ORDENES'!$Q$4:$Q$1203,F$13)</f>
        <v/>
      </c>
      <c r="G15" s="11">
        <f>SUMIFS('ORDENES'!$AK$4:$AK$1203,'ORDENES'!$V$4:$V$1203,$A15,'ORDENES'!$P$4:$P$1203,G$12,'ORDENES'!$Q$4:$Q$1203,G$13)</f>
        <v/>
      </c>
      <c r="H15" s="11">
        <f>SUMIFS('ORDENES'!$AK$4:$AK$1203,'ORDENES'!$V$4:$V$1203,$A15,'ORDENES'!$P$4:$P$1203,H$12,'ORDENES'!$Q$4:$Q$1203,H$13)</f>
        <v/>
      </c>
      <c r="I15" s="11">
        <f>SUMIFS('ORDENES'!$AK$4:$AK$1203,'ORDENES'!$V$4:$V$1203,$A15,'ORDENES'!$P$4:$P$1203,I$12,'ORDENES'!$Q$4:$Q$1203,I$13)</f>
        <v/>
      </c>
      <c r="J15" s="11">
        <f>SUMIFS('ORDENES'!$AK$4:$AK$1203,'ORDENES'!$V$4:$V$1203,$A15,'ORDENES'!$P$4:$P$1203,J$12,'ORDENES'!$Q$4:$Q$1203,J$13)</f>
        <v/>
      </c>
      <c r="K15" s="11">
        <f>SUMIFS('ORDENES'!$AK$4:$AK$1203,'ORDENES'!$V$4:$V$1203,$A15,'ORDENES'!$P$4:$P$1203,K$12,'ORDENES'!$Q$4:$Q$1203,K$13)</f>
        <v/>
      </c>
      <c r="L15" s="11">
        <f>SUMIFS('ORDENES'!$AK$4:$AK$1203,'ORDENES'!$V$4:$V$1203,$A15,'ORDENES'!$P$4:$P$1203,L$12,'ORDENES'!$Q$4:$Q$1203,L$13)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SUMIFS('ORDENES'!$AK$4:$AK$1203,'ORDENES'!$V$4:$V$1203,$A16,'ORDENES'!$P$4:$P$1203,B$12,'ORDENES'!$Q$4:$Q$1203,B$13)</f>
        <v/>
      </c>
      <c r="C16" s="11">
        <f>SUMIFS('ORDENES'!$AK$4:$AK$1203,'ORDENES'!$V$4:$V$1203,$A16,'ORDENES'!$P$4:$P$1203,C$12,'ORDENES'!$Q$4:$Q$1203,C$13)</f>
        <v/>
      </c>
      <c r="D16" s="11">
        <f>SUMIFS('ORDENES'!$AK$4:$AK$1203,'ORDENES'!$V$4:$V$1203,$A16,'ORDENES'!$P$4:$P$1203,D$12,'ORDENES'!$Q$4:$Q$1203,D$13)</f>
        <v/>
      </c>
      <c r="E16" s="11">
        <f>SUMIFS('ORDENES'!$AK$4:$AK$1203,'ORDENES'!$V$4:$V$1203,$A16,'ORDENES'!$P$4:$P$1203,E$12,'ORDENES'!$Q$4:$Q$1203,E$13)</f>
        <v/>
      </c>
      <c r="F16" s="11">
        <f>SUMIFS('ORDENES'!$AK$4:$AK$1203,'ORDENES'!$V$4:$V$1203,$A16,'ORDENES'!$P$4:$P$1203,F$12,'ORDENES'!$Q$4:$Q$1203,F$13)</f>
        <v/>
      </c>
      <c r="G16" s="11">
        <f>SUMIFS('ORDENES'!$AK$4:$AK$1203,'ORDENES'!$V$4:$V$1203,$A16,'ORDENES'!$P$4:$P$1203,G$12,'ORDENES'!$Q$4:$Q$1203,G$13)</f>
        <v/>
      </c>
      <c r="H16" s="11">
        <f>SUMIFS('ORDENES'!$AK$4:$AK$1203,'ORDENES'!$V$4:$V$1203,$A16,'ORDENES'!$P$4:$P$1203,H$12,'ORDENES'!$Q$4:$Q$1203,H$13)</f>
        <v/>
      </c>
      <c r="I16" s="11">
        <f>SUMIFS('ORDENES'!$AK$4:$AK$1203,'ORDENES'!$V$4:$V$1203,$A16,'ORDENES'!$P$4:$P$1203,I$12,'ORDENES'!$Q$4:$Q$1203,I$13)</f>
        <v/>
      </c>
      <c r="J16" s="11">
        <f>SUMIFS('ORDENES'!$AK$4:$AK$1203,'ORDENES'!$V$4:$V$1203,$A16,'ORDENES'!$P$4:$P$1203,J$12,'ORDENES'!$Q$4:$Q$1203,J$13)</f>
        <v/>
      </c>
      <c r="K16" s="11">
        <f>SUMIFS('ORDENES'!$AK$4:$AK$1203,'ORDENES'!$V$4:$V$1203,$A16,'ORDENES'!$P$4:$P$1203,K$12,'ORDENES'!$Q$4:$Q$1203,K$13)</f>
        <v/>
      </c>
      <c r="L16" s="11">
        <f>SUMIFS('ORDENES'!$AK$4:$AK$1203,'ORDENES'!$V$4:$V$1203,$A16,'ORDENES'!$P$4:$P$1203,L$12,'ORDENES'!$Q$4:$Q$1203,L$13)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11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SUMIFS('ORDENES'!$AK$4:$AK$1203,'ORDENES'!$W$4:$W$1203,$A28,'ORDENES'!$P$4:$P$1203,B$26,'ORDENES'!$Q$4:$Q$1203,B$27)</f>
        <v/>
      </c>
      <c r="C28" s="11">
        <f>SUMIFS('ORDENES'!$AK$4:$AK$1203,'ORDENES'!$W$4:$W$1203,$A28,'ORDENES'!$P$4:$P$1203,C$26,'ORDENES'!$Q$4:$Q$1203,C$27)</f>
        <v/>
      </c>
      <c r="D28" s="11">
        <f>SUMIFS('ORDENES'!$AK$4:$AK$1203,'ORDENES'!$W$4:$W$1203,$A28,'ORDENES'!$P$4:$P$1203,D$26,'ORDENES'!$Q$4:$Q$1203,D$27)</f>
        <v/>
      </c>
      <c r="E28" s="11">
        <f>SUMIFS('ORDENES'!$AK$4:$AK$1203,'ORDENES'!$W$4:$W$1203,$A28,'ORDENES'!$P$4:$P$1203,E$26,'ORDENES'!$Q$4:$Q$1203,E$27)</f>
        <v/>
      </c>
      <c r="F28" s="11">
        <f>SUMIFS('ORDENES'!$AK$4:$AK$1203,'ORDENES'!$W$4:$W$1203,$A28,'ORDENES'!$P$4:$P$1203,F$26,'ORDENES'!$Q$4:$Q$1203,F$27)</f>
        <v/>
      </c>
      <c r="G28" s="11">
        <f>SUMIFS('ORDENES'!$AK$4:$AK$1203,'ORDENES'!$W$4:$W$1203,$A28,'ORDENES'!$P$4:$P$1203,G$26,'ORDENES'!$Q$4:$Q$1203,G$27)</f>
        <v/>
      </c>
      <c r="H28" s="11">
        <f>SUMIFS('ORDENES'!$AK$4:$AK$1203,'ORDENES'!$W$4:$W$1203,$A28,'ORDENES'!$P$4:$P$1203,H$26,'ORDENES'!$Q$4:$Q$1203,H$27)</f>
        <v/>
      </c>
      <c r="I28" s="11">
        <f>SUMIFS('ORDENES'!$AK$4:$AK$1203,'ORDENES'!$W$4:$W$1203,$A28,'ORDENES'!$P$4:$P$1203,I$26,'ORDENES'!$Q$4:$Q$1203,I$27)</f>
        <v/>
      </c>
      <c r="J28" s="11">
        <f>SUMIFS('ORDENES'!$AK$4:$AK$1203,'ORDENES'!$W$4:$W$1203,$A28,'ORDENES'!$P$4:$P$1203,J$26,'ORDENES'!$Q$4:$Q$1203,J$27)</f>
        <v/>
      </c>
      <c r="K28" s="11">
        <f>SUMIFS('ORDENES'!$AK$4:$AK$1203,'ORDENES'!$W$4:$W$1203,$A28,'ORDENES'!$P$4:$P$1203,K$26,'ORDENES'!$Q$4:$Q$1203,K$27)</f>
        <v/>
      </c>
      <c r="L28" s="11">
        <f>SUMIFS('ORDENES'!$AK$4:$AK$1203,'ORDENES'!$W$4:$W$1203,$A28,'ORDENES'!$P$4:$P$1203,L$26,'ORDENES'!$Q$4:$Q$1203,L$27)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SUMIFS('ORDENES'!$AK$4:$AK$1203,'ORDENES'!$W$4:$W$1203,$A29,'ORDENES'!$P$4:$P$1203,B$26,'ORDENES'!$Q$4:$Q$1203,B$27)</f>
        <v/>
      </c>
      <c r="C29" s="11">
        <f>SUMIFS('ORDENES'!$AK$4:$AK$1203,'ORDENES'!$W$4:$W$1203,$A29,'ORDENES'!$P$4:$P$1203,C$26,'ORDENES'!$Q$4:$Q$1203,C$27)</f>
        <v/>
      </c>
      <c r="D29" s="11">
        <f>SUMIFS('ORDENES'!$AK$4:$AK$1203,'ORDENES'!$W$4:$W$1203,$A29,'ORDENES'!$P$4:$P$1203,D$26,'ORDENES'!$Q$4:$Q$1203,D$27)</f>
        <v/>
      </c>
      <c r="E29" s="11">
        <f>SUMIFS('ORDENES'!$AK$4:$AK$1203,'ORDENES'!$W$4:$W$1203,$A29,'ORDENES'!$P$4:$P$1203,E$26,'ORDENES'!$Q$4:$Q$1203,E$27)</f>
        <v/>
      </c>
      <c r="F29" s="11">
        <f>SUMIFS('ORDENES'!$AK$4:$AK$1203,'ORDENES'!$W$4:$W$1203,$A29,'ORDENES'!$P$4:$P$1203,F$26,'ORDENES'!$Q$4:$Q$1203,F$27)</f>
        <v/>
      </c>
      <c r="G29" s="11">
        <f>SUMIFS('ORDENES'!$AK$4:$AK$1203,'ORDENES'!$W$4:$W$1203,$A29,'ORDENES'!$P$4:$P$1203,G$26,'ORDENES'!$Q$4:$Q$1203,G$27)</f>
        <v/>
      </c>
      <c r="H29" s="11">
        <f>SUMIFS('ORDENES'!$AK$4:$AK$1203,'ORDENES'!$W$4:$W$1203,$A29,'ORDENES'!$P$4:$P$1203,H$26,'ORDENES'!$Q$4:$Q$1203,H$27)</f>
        <v/>
      </c>
      <c r="I29" s="11">
        <f>SUMIFS('ORDENES'!$AK$4:$AK$1203,'ORDENES'!$W$4:$W$1203,$A29,'ORDENES'!$P$4:$P$1203,I$26,'ORDENES'!$Q$4:$Q$1203,I$27)</f>
        <v/>
      </c>
      <c r="J29" s="11">
        <f>SUMIFS('ORDENES'!$AK$4:$AK$1203,'ORDENES'!$W$4:$W$1203,$A29,'ORDENES'!$P$4:$P$1203,J$26,'ORDENES'!$Q$4:$Q$1203,J$27)</f>
        <v/>
      </c>
      <c r="K29" s="11">
        <f>SUMIFS('ORDENES'!$AK$4:$AK$1203,'ORDENES'!$W$4:$W$1203,$A29,'ORDENES'!$P$4:$P$1203,K$26,'ORDENES'!$Q$4:$Q$1203,K$27)</f>
        <v/>
      </c>
      <c r="L29" s="11">
        <f>SUMIFS('ORDENES'!$AK$4:$AK$1203,'ORDENES'!$W$4:$W$1203,$A29,'ORDENES'!$P$4:$P$1203,L$26,'ORDENES'!$Q$4:$Q$1203,L$27)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SUMIFS('ORDENES'!$AK$4:$AK$1203,'ORDENES'!$W$4:$W$1203,$A30,'ORDENES'!$P$4:$P$1203,B$26,'ORDENES'!$Q$4:$Q$1203,B$27)</f>
        <v/>
      </c>
      <c r="C30" s="11">
        <f>SUMIFS('ORDENES'!$AK$4:$AK$1203,'ORDENES'!$W$4:$W$1203,$A30,'ORDENES'!$P$4:$P$1203,C$26,'ORDENES'!$Q$4:$Q$1203,C$27)</f>
        <v/>
      </c>
      <c r="D30" s="11">
        <f>SUMIFS('ORDENES'!$AK$4:$AK$1203,'ORDENES'!$W$4:$W$1203,$A30,'ORDENES'!$P$4:$P$1203,D$26,'ORDENES'!$Q$4:$Q$1203,D$27)</f>
        <v/>
      </c>
      <c r="E30" s="11">
        <f>SUMIFS('ORDENES'!$AK$4:$AK$1203,'ORDENES'!$W$4:$W$1203,$A30,'ORDENES'!$P$4:$P$1203,E$26,'ORDENES'!$Q$4:$Q$1203,E$27)</f>
        <v/>
      </c>
      <c r="F30" s="11">
        <f>SUMIFS('ORDENES'!$AK$4:$AK$1203,'ORDENES'!$W$4:$W$1203,$A30,'ORDENES'!$P$4:$P$1203,F$26,'ORDENES'!$Q$4:$Q$1203,F$27)</f>
        <v/>
      </c>
      <c r="G30" s="11">
        <f>SUMIFS('ORDENES'!$AK$4:$AK$1203,'ORDENES'!$W$4:$W$1203,$A30,'ORDENES'!$P$4:$P$1203,G$26,'ORDENES'!$Q$4:$Q$1203,G$27)</f>
        <v/>
      </c>
      <c r="H30" s="11">
        <f>SUMIFS('ORDENES'!$AK$4:$AK$1203,'ORDENES'!$W$4:$W$1203,$A30,'ORDENES'!$P$4:$P$1203,H$26,'ORDENES'!$Q$4:$Q$1203,H$27)</f>
        <v/>
      </c>
      <c r="I30" s="11">
        <f>SUMIFS('ORDENES'!$AK$4:$AK$1203,'ORDENES'!$W$4:$W$1203,$A30,'ORDENES'!$P$4:$P$1203,I$26,'ORDENES'!$Q$4:$Q$1203,I$27)</f>
        <v/>
      </c>
      <c r="J30" s="11">
        <f>SUMIFS('ORDENES'!$AK$4:$AK$1203,'ORDENES'!$W$4:$W$1203,$A30,'ORDENES'!$P$4:$P$1203,J$26,'ORDENES'!$Q$4:$Q$1203,J$27)</f>
        <v/>
      </c>
      <c r="K30" s="11">
        <f>SUMIFS('ORDENES'!$AK$4:$AK$1203,'ORDENES'!$W$4:$W$1203,$A30,'ORDENES'!$P$4:$P$1203,K$26,'ORDENES'!$Q$4:$Q$1203,K$27)</f>
        <v/>
      </c>
      <c r="L30" s="11">
        <f>SUMIFS('ORDENES'!$AK$4:$AK$1203,'ORDENES'!$W$4:$W$1203,$A30,'ORDENES'!$P$4:$P$1203,L$26,'ORDENES'!$Q$4:$Q$1203,L$27)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SUMIFS('ORDENES'!$AK$4:$AK$1203,'ORDENES'!$W$4:$W$1203,$A31,'ORDENES'!$P$4:$P$1203,B$26,'ORDENES'!$Q$4:$Q$1203,B$27)</f>
        <v/>
      </c>
      <c r="C31" s="11">
        <f>SUMIFS('ORDENES'!$AK$4:$AK$1203,'ORDENES'!$W$4:$W$1203,$A31,'ORDENES'!$P$4:$P$1203,C$26,'ORDENES'!$Q$4:$Q$1203,C$27)</f>
        <v/>
      </c>
      <c r="D31" s="11">
        <f>SUMIFS('ORDENES'!$AK$4:$AK$1203,'ORDENES'!$W$4:$W$1203,$A31,'ORDENES'!$P$4:$P$1203,D$26,'ORDENES'!$Q$4:$Q$1203,D$27)</f>
        <v/>
      </c>
      <c r="E31" s="11">
        <f>SUMIFS('ORDENES'!$AK$4:$AK$1203,'ORDENES'!$W$4:$W$1203,$A31,'ORDENES'!$P$4:$P$1203,E$26,'ORDENES'!$Q$4:$Q$1203,E$27)</f>
        <v/>
      </c>
      <c r="F31" s="11">
        <f>SUMIFS('ORDENES'!$AK$4:$AK$1203,'ORDENES'!$W$4:$W$1203,$A31,'ORDENES'!$P$4:$P$1203,F$26,'ORDENES'!$Q$4:$Q$1203,F$27)</f>
        <v/>
      </c>
      <c r="G31" s="11">
        <f>SUMIFS('ORDENES'!$AK$4:$AK$1203,'ORDENES'!$W$4:$W$1203,$A31,'ORDENES'!$P$4:$P$1203,G$26,'ORDENES'!$Q$4:$Q$1203,G$27)</f>
        <v/>
      </c>
      <c r="H31" s="11">
        <f>SUMIFS('ORDENES'!$AK$4:$AK$1203,'ORDENES'!$W$4:$W$1203,$A31,'ORDENES'!$P$4:$P$1203,H$26,'ORDENES'!$Q$4:$Q$1203,H$27)</f>
        <v/>
      </c>
      <c r="I31" s="11">
        <f>SUMIFS('ORDENES'!$AK$4:$AK$1203,'ORDENES'!$W$4:$W$1203,$A31,'ORDENES'!$P$4:$P$1203,I$26,'ORDENES'!$Q$4:$Q$1203,I$27)</f>
        <v/>
      </c>
      <c r="J31" s="11">
        <f>SUMIFS('ORDENES'!$AK$4:$AK$1203,'ORDENES'!$W$4:$W$1203,$A31,'ORDENES'!$P$4:$P$1203,J$26,'ORDENES'!$Q$4:$Q$1203,J$27)</f>
        <v/>
      </c>
      <c r="K31" s="11">
        <f>SUMIFS('ORDENES'!$AK$4:$AK$1203,'ORDENES'!$W$4:$W$1203,$A31,'ORDENES'!$P$4:$P$1203,K$26,'ORDENES'!$Q$4:$Q$1203,K$27)</f>
        <v/>
      </c>
      <c r="L31" s="11">
        <f>SUMIFS('ORDENES'!$AK$4:$AK$1203,'ORDENES'!$W$4:$W$1203,$A31,'ORDENES'!$P$4:$P$1203,L$26,'ORDENES'!$Q$4:$Q$1203,L$27)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SUMIFS('ORDENES'!$AK$4:$AK$1203,'ORDENES'!$W$4:$W$1203,$A32,'ORDENES'!$P$4:$P$1203,B$26,'ORDENES'!$Q$4:$Q$1203,B$27)</f>
        <v/>
      </c>
      <c r="C32" s="11">
        <f>SUMIFS('ORDENES'!$AK$4:$AK$1203,'ORDENES'!$W$4:$W$1203,$A32,'ORDENES'!$P$4:$P$1203,C$26,'ORDENES'!$Q$4:$Q$1203,C$27)</f>
        <v/>
      </c>
      <c r="D32" s="11">
        <f>SUMIFS('ORDENES'!$AK$4:$AK$1203,'ORDENES'!$W$4:$W$1203,$A32,'ORDENES'!$P$4:$P$1203,D$26,'ORDENES'!$Q$4:$Q$1203,D$27)</f>
        <v/>
      </c>
      <c r="E32" s="11">
        <f>SUMIFS('ORDENES'!$AK$4:$AK$1203,'ORDENES'!$W$4:$W$1203,$A32,'ORDENES'!$P$4:$P$1203,E$26,'ORDENES'!$Q$4:$Q$1203,E$27)</f>
        <v/>
      </c>
      <c r="F32" s="11">
        <f>SUMIFS('ORDENES'!$AK$4:$AK$1203,'ORDENES'!$W$4:$W$1203,$A32,'ORDENES'!$P$4:$P$1203,F$26,'ORDENES'!$Q$4:$Q$1203,F$27)</f>
        <v/>
      </c>
      <c r="G32" s="11">
        <f>SUMIFS('ORDENES'!$AK$4:$AK$1203,'ORDENES'!$W$4:$W$1203,$A32,'ORDENES'!$P$4:$P$1203,G$26,'ORDENES'!$Q$4:$Q$1203,G$27)</f>
        <v/>
      </c>
      <c r="H32" s="11">
        <f>SUMIFS('ORDENES'!$AK$4:$AK$1203,'ORDENES'!$W$4:$W$1203,$A32,'ORDENES'!$P$4:$P$1203,H$26,'ORDENES'!$Q$4:$Q$1203,H$27)</f>
        <v/>
      </c>
      <c r="I32" s="11">
        <f>SUMIFS('ORDENES'!$AK$4:$AK$1203,'ORDENES'!$W$4:$W$1203,$A32,'ORDENES'!$P$4:$P$1203,I$26,'ORDENES'!$Q$4:$Q$1203,I$27)</f>
        <v/>
      </c>
      <c r="J32" s="11">
        <f>SUMIFS('ORDENES'!$AK$4:$AK$1203,'ORDENES'!$W$4:$W$1203,$A32,'ORDENES'!$P$4:$P$1203,J$26,'ORDENES'!$Q$4:$Q$1203,J$27)</f>
        <v/>
      </c>
      <c r="K32" s="11">
        <f>SUMIFS('ORDENES'!$AK$4:$AK$1203,'ORDENES'!$W$4:$W$1203,$A32,'ORDENES'!$P$4:$P$1203,K$26,'ORDENES'!$Q$4:$Q$1203,K$27)</f>
        <v/>
      </c>
      <c r="L32" s="11">
        <f>SUMIFS('ORDENES'!$AK$4:$AK$1203,'ORDENES'!$W$4:$W$1203,$A32,'ORDENES'!$P$4:$P$1203,L$26,'ORDENES'!$Q$4:$Q$1203,L$27)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SUMIFS('ORDENES'!$AK$4:$AK$1203,'ORDENES'!$W$4:$W$1203,$A33,'ORDENES'!$P$4:$P$1203,B$26,'ORDENES'!$Q$4:$Q$1203,B$27)</f>
        <v/>
      </c>
      <c r="C33" s="11">
        <f>SUMIFS('ORDENES'!$AK$4:$AK$1203,'ORDENES'!$W$4:$W$1203,$A33,'ORDENES'!$P$4:$P$1203,C$26,'ORDENES'!$Q$4:$Q$1203,C$27)</f>
        <v/>
      </c>
      <c r="D33" s="11">
        <f>SUMIFS('ORDENES'!$AK$4:$AK$1203,'ORDENES'!$W$4:$W$1203,$A33,'ORDENES'!$P$4:$P$1203,D$26,'ORDENES'!$Q$4:$Q$1203,D$27)</f>
        <v/>
      </c>
      <c r="E33" s="11">
        <f>SUMIFS('ORDENES'!$AK$4:$AK$1203,'ORDENES'!$W$4:$W$1203,$A33,'ORDENES'!$P$4:$P$1203,E$26,'ORDENES'!$Q$4:$Q$1203,E$27)</f>
        <v/>
      </c>
      <c r="F33" s="11">
        <f>SUMIFS('ORDENES'!$AK$4:$AK$1203,'ORDENES'!$W$4:$W$1203,$A33,'ORDENES'!$P$4:$P$1203,F$26,'ORDENES'!$Q$4:$Q$1203,F$27)</f>
        <v/>
      </c>
      <c r="G33" s="11">
        <f>SUMIFS('ORDENES'!$AK$4:$AK$1203,'ORDENES'!$W$4:$W$1203,$A33,'ORDENES'!$P$4:$P$1203,G$26,'ORDENES'!$Q$4:$Q$1203,G$27)</f>
        <v/>
      </c>
      <c r="H33" s="11">
        <f>SUMIFS('ORDENES'!$AK$4:$AK$1203,'ORDENES'!$W$4:$W$1203,$A33,'ORDENES'!$P$4:$P$1203,H$26,'ORDENES'!$Q$4:$Q$1203,H$27)</f>
        <v/>
      </c>
      <c r="I33" s="11">
        <f>SUMIFS('ORDENES'!$AK$4:$AK$1203,'ORDENES'!$W$4:$W$1203,$A33,'ORDENES'!$P$4:$P$1203,I$26,'ORDENES'!$Q$4:$Q$1203,I$27)</f>
        <v/>
      </c>
      <c r="J33" s="11">
        <f>SUMIFS('ORDENES'!$AK$4:$AK$1203,'ORDENES'!$W$4:$W$1203,$A33,'ORDENES'!$P$4:$P$1203,J$26,'ORDENES'!$Q$4:$Q$1203,J$27)</f>
        <v/>
      </c>
      <c r="K33" s="11">
        <f>SUMIFS('ORDENES'!$AK$4:$AK$1203,'ORDENES'!$W$4:$W$1203,$A33,'ORDENES'!$P$4:$P$1203,K$26,'ORDENES'!$Q$4:$Q$1203,K$27)</f>
        <v/>
      </c>
      <c r="L33" s="11">
        <f>SUMIFS('ORDENES'!$AK$4:$AK$1203,'ORDENES'!$W$4:$W$1203,$A33,'ORDENES'!$P$4:$P$1203,L$26,'ORDENES'!$Q$4:$Q$1203,L$27)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11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SUMIFS('ORDENES'!$AK$4:$AK$1203,'ORDENES'!$U$4:$U$1203,$A39,'ORDENES'!$P$4:$P$1203,B$37,'ORDENES'!$Q$4:$Q$1203,B$38)</f>
        <v/>
      </c>
      <c r="C39" s="11">
        <f>SUMIFS('ORDENES'!$AK$4:$AK$1203,'ORDENES'!$U$4:$U$1203,$A39,'ORDENES'!$P$4:$P$1203,C$37,'ORDENES'!$Q$4:$Q$1203,C$38)</f>
        <v/>
      </c>
      <c r="D39" s="11">
        <f>SUMIFS('ORDENES'!$AK$4:$AK$1203,'ORDENES'!$U$4:$U$1203,$A39,'ORDENES'!$P$4:$P$1203,D$37,'ORDENES'!$Q$4:$Q$1203,D$38)</f>
        <v/>
      </c>
      <c r="E39" s="11">
        <f>SUMIFS('ORDENES'!$AK$4:$AK$1203,'ORDENES'!$U$4:$U$1203,$A39,'ORDENES'!$P$4:$P$1203,E$37,'ORDENES'!$Q$4:$Q$1203,E$38)</f>
        <v/>
      </c>
      <c r="F39" s="11">
        <f>SUMIFS('ORDENES'!$AK$4:$AK$1203,'ORDENES'!$U$4:$U$1203,$A39,'ORDENES'!$P$4:$P$1203,F$37,'ORDENES'!$Q$4:$Q$1203,F$38)</f>
        <v/>
      </c>
      <c r="G39" s="11">
        <f>SUMIFS('ORDENES'!$AK$4:$AK$1203,'ORDENES'!$U$4:$U$1203,$A39,'ORDENES'!$P$4:$P$1203,G$37,'ORDENES'!$Q$4:$Q$1203,G$38)</f>
        <v/>
      </c>
      <c r="H39" s="11">
        <f>SUMIFS('ORDENES'!$AK$4:$AK$1203,'ORDENES'!$U$4:$U$1203,$A39,'ORDENES'!$P$4:$P$1203,H$37,'ORDENES'!$Q$4:$Q$1203,H$38)</f>
        <v/>
      </c>
      <c r="I39" s="11">
        <f>SUMIFS('ORDENES'!$AK$4:$AK$1203,'ORDENES'!$U$4:$U$1203,$A39,'ORDENES'!$P$4:$P$1203,I$37,'ORDENES'!$Q$4:$Q$1203,I$38)</f>
        <v/>
      </c>
      <c r="J39" s="11">
        <f>SUMIFS('ORDENES'!$AK$4:$AK$1203,'ORDENES'!$U$4:$U$1203,$A39,'ORDENES'!$P$4:$P$1203,J$37,'ORDENES'!$Q$4:$Q$1203,J$38)</f>
        <v/>
      </c>
      <c r="K39" s="11">
        <f>SUMIFS('ORDENES'!$AK$4:$AK$1203,'ORDENES'!$U$4:$U$1203,$A39,'ORDENES'!$P$4:$P$1203,K$37,'ORDENES'!$Q$4:$Q$1203,K$38)</f>
        <v/>
      </c>
      <c r="L39" s="11">
        <f>SUMIFS('ORDENES'!$AK$4:$AK$1203,'ORDENES'!$U$4:$U$1203,$A39,'ORDENES'!$P$4:$P$1203,L$37,'ORDENES'!$Q$4:$Q$1203,L$38)</f>
        <v/>
      </c>
      <c r="M39" s="11">
        <f>SUM(B39:L39)</f>
        <v/>
      </c>
    </row>
    <row r="40">
      <c r="A40" s="3" t="inlineStr">
        <is>
          <t>L2</t>
        </is>
      </c>
      <c r="B40" s="11">
        <f>SUMIFS('ORDENES'!$AK$4:$AK$1203,'ORDENES'!$U$4:$U$1203,$A40,'ORDENES'!$P$4:$P$1203,B$37,'ORDENES'!$Q$4:$Q$1203,B$38)</f>
        <v/>
      </c>
      <c r="C40" s="11">
        <f>SUMIFS('ORDENES'!$AK$4:$AK$1203,'ORDENES'!$U$4:$U$1203,$A40,'ORDENES'!$P$4:$P$1203,C$37,'ORDENES'!$Q$4:$Q$1203,C$38)</f>
        <v/>
      </c>
      <c r="D40" s="11">
        <f>SUMIFS('ORDENES'!$AK$4:$AK$1203,'ORDENES'!$U$4:$U$1203,$A40,'ORDENES'!$P$4:$P$1203,D$37,'ORDENES'!$Q$4:$Q$1203,D$38)</f>
        <v/>
      </c>
      <c r="E40" s="11">
        <f>SUMIFS('ORDENES'!$AK$4:$AK$1203,'ORDENES'!$U$4:$U$1203,$A40,'ORDENES'!$P$4:$P$1203,E$37,'ORDENES'!$Q$4:$Q$1203,E$38)</f>
        <v/>
      </c>
      <c r="F40" s="11">
        <f>SUMIFS('ORDENES'!$AK$4:$AK$1203,'ORDENES'!$U$4:$U$1203,$A40,'ORDENES'!$P$4:$P$1203,F$37,'ORDENES'!$Q$4:$Q$1203,F$38)</f>
        <v/>
      </c>
      <c r="G40" s="11">
        <f>SUMIFS('ORDENES'!$AK$4:$AK$1203,'ORDENES'!$U$4:$U$1203,$A40,'ORDENES'!$P$4:$P$1203,G$37,'ORDENES'!$Q$4:$Q$1203,G$38)</f>
        <v/>
      </c>
      <c r="H40" s="11">
        <f>SUMIFS('ORDENES'!$AK$4:$AK$1203,'ORDENES'!$U$4:$U$1203,$A40,'ORDENES'!$P$4:$P$1203,H$37,'ORDENES'!$Q$4:$Q$1203,H$38)</f>
        <v/>
      </c>
      <c r="I40" s="11">
        <f>SUMIFS('ORDENES'!$AK$4:$AK$1203,'ORDENES'!$U$4:$U$1203,$A40,'ORDENES'!$P$4:$P$1203,I$37,'ORDENES'!$Q$4:$Q$1203,I$38)</f>
        <v/>
      </c>
      <c r="J40" s="11">
        <f>SUMIFS('ORDENES'!$AK$4:$AK$1203,'ORDENES'!$U$4:$U$1203,$A40,'ORDENES'!$P$4:$P$1203,J$37,'ORDENES'!$Q$4:$Q$1203,J$38)</f>
        <v/>
      </c>
      <c r="K40" s="11">
        <f>SUMIFS('ORDENES'!$AK$4:$AK$1203,'ORDENES'!$U$4:$U$1203,$A40,'ORDENES'!$P$4:$P$1203,K$37,'ORDENES'!$Q$4:$Q$1203,K$38)</f>
        <v/>
      </c>
      <c r="L40" s="11">
        <f>SUMIFS('ORDENES'!$AK$4:$AK$1203,'ORDENES'!$U$4:$U$1203,$A40,'ORDENES'!$P$4:$P$1203,L$37,'ORDENES'!$Q$4:$Q$1203,L$38)</f>
        <v/>
      </c>
      <c r="M40" s="11">
        <f>SUM(B40:L40)</f>
        <v/>
      </c>
    </row>
    <row r="41">
      <c r="A41" s="3" t="inlineStr">
        <is>
          <t>L3</t>
        </is>
      </c>
      <c r="B41" s="11">
        <f>SUMIFS('ORDENES'!$AK$4:$AK$1203,'ORDENES'!$U$4:$U$1203,$A41,'ORDENES'!$P$4:$P$1203,B$37,'ORDENES'!$Q$4:$Q$1203,B$38)</f>
        <v/>
      </c>
      <c r="C41" s="11">
        <f>SUMIFS('ORDENES'!$AK$4:$AK$1203,'ORDENES'!$U$4:$U$1203,$A41,'ORDENES'!$P$4:$P$1203,C$37,'ORDENES'!$Q$4:$Q$1203,C$38)</f>
        <v/>
      </c>
      <c r="D41" s="11">
        <f>SUMIFS('ORDENES'!$AK$4:$AK$1203,'ORDENES'!$U$4:$U$1203,$A41,'ORDENES'!$P$4:$P$1203,D$37,'ORDENES'!$Q$4:$Q$1203,D$38)</f>
        <v/>
      </c>
      <c r="E41" s="11">
        <f>SUMIFS('ORDENES'!$AK$4:$AK$1203,'ORDENES'!$U$4:$U$1203,$A41,'ORDENES'!$P$4:$P$1203,E$37,'ORDENES'!$Q$4:$Q$1203,E$38)</f>
        <v/>
      </c>
      <c r="F41" s="11">
        <f>SUMIFS('ORDENES'!$AK$4:$AK$1203,'ORDENES'!$U$4:$U$1203,$A41,'ORDENES'!$P$4:$P$1203,F$37,'ORDENES'!$Q$4:$Q$1203,F$38)</f>
        <v/>
      </c>
      <c r="G41" s="11">
        <f>SUMIFS('ORDENES'!$AK$4:$AK$1203,'ORDENES'!$U$4:$U$1203,$A41,'ORDENES'!$P$4:$P$1203,G$37,'ORDENES'!$Q$4:$Q$1203,G$38)</f>
        <v/>
      </c>
      <c r="H41" s="11">
        <f>SUMIFS('ORDENES'!$AK$4:$AK$1203,'ORDENES'!$U$4:$U$1203,$A41,'ORDENES'!$P$4:$P$1203,H$37,'ORDENES'!$Q$4:$Q$1203,H$38)</f>
        <v/>
      </c>
      <c r="I41" s="11">
        <f>SUMIFS('ORDENES'!$AK$4:$AK$1203,'ORDENES'!$U$4:$U$1203,$A41,'ORDENES'!$P$4:$P$1203,I$37,'ORDENES'!$Q$4:$Q$1203,I$38)</f>
        <v/>
      </c>
      <c r="J41" s="11">
        <f>SUMIFS('ORDENES'!$AK$4:$AK$1203,'ORDENES'!$U$4:$U$1203,$A41,'ORDENES'!$P$4:$P$1203,J$37,'ORDENES'!$Q$4:$Q$1203,J$38)</f>
        <v/>
      </c>
      <c r="K41" s="11">
        <f>SUMIFS('ORDENES'!$AK$4:$AK$1203,'ORDENES'!$U$4:$U$1203,$A41,'ORDENES'!$P$4:$P$1203,K$37,'ORDENES'!$Q$4:$Q$1203,K$38)</f>
        <v/>
      </c>
      <c r="L41" s="11">
        <f>SUMIFS('ORDENES'!$AK$4:$AK$1203,'ORDENES'!$U$4:$U$1203,$A41,'ORDENES'!$P$4:$P$1203,L$37,'ORDENES'!$Q$4:$Q$1203,L$38)</f>
        <v/>
      </c>
      <c r="M41" s="11">
        <f>SUM(B41:L41)</f>
        <v/>
      </c>
    </row>
    <row r="42">
      <c r="A42" s="3" t="inlineStr">
        <is>
          <t>L4</t>
        </is>
      </c>
      <c r="B42" s="11">
        <f>SUMIFS('ORDENES'!$AK$4:$AK$1203,'ORDENES'!$U$4:$U$1203,$A42,'ORDENES'!$P$4:$P$1203,B$37,'ORDENES'!$Q$4:$Q$1203,B$38)</f>
        <v/>
      </c>
      <c r="C42" s="11">
        <f>SUMIFS('ORDENES'!$AK$4:$AK$1203,'ORDENES'!$U$4:$U$1203,$A42,'ORDENES'!$P$4:$P$1203,C$37,'ORDENES'!$Q$4:$Q$1203,C$38)</f>
        <v/>
      </c>
      <c r="D42" s="11">
        <f>SUMIFS('ORDENES'!$AK$4:$AK$1203,'ORDENES'!$U$4:$U$1203,$A42,'ORDENES'!$P$4:$P$1203,D$37,'ORDENES'!$Q$4:$Q$1203,D$38)</f>
        <v/>
      </c>
      <c r="E42" s="11">
        <f>SUMIFS('ORDENES'!$AK$4:$AK$1203,'ORDENES'!$U$4:$U$1203,$A42,'ORDENES'!$P$4:$P$1203,E$37,'ORDENES'!$Q$4:$Q$1203,E$38)</f>
        <v/>
      </c>
      <c r="F42" s="11">
        <f>SUMIFS('ORDENES'!$AK$4:$AK$1203,'ORDENES'!$U$4:$U$1203,$A42,'ORDENES'!$P$4:$P$1203,F$37,'ORDENES'!$Q$4:$Q$1203,F$38)</f>
        <v/>
      </c>
      <c r="G42" s="11">
        <f>SUMIFS('ORDENES'!$AK$4:$AK$1203,'ORDENES'!$U$4:$U$1203,$A42,'ORDENES'!$P$4:$P$1203,G$37,'ORDENES'!$Q$4:$Q$1203,G$38)</f>
        <v/>
      </c>
      <c r="H42" s="11">
        <f>SUMIFS('ORDENES'!$AK$4:$AK$1203,'ORDENES'!$U$4:$U$1203,$A42,'ORDENES'!$P$4:$P$1203,H$37,'ORDENES'!$Q$4:$Q$1203,H$38)</f>
        <v/>
      </c>
      <c r="I42" s="11">
        <f>SUMIFS('ORDENES'!$AK$4:$AK$1203,'ORDENES'!$U$4:$U$1203,$A42,'ORDENES'!$P$4:$P$1203,I$37,'ORDENES'!$Q$4:$Q$1203,I$38)</f>
        <v/>
      </c>
      <c r="J42" s="11">
        <f>SUMIFS('ORDENES'!$AK$4:$AK$1203,'ORDENES'!$U$4:$U$1203,$A42,'ORDENES'!$P$4:$P$1203,J$37,'ORDENES'!$Q$4:$Q$1203,J$38)</f>
        <v/>
      </c>
      <c r="K42" s="11">
        <f>SUMIFS('ORDENES'!$AK$4:$AK$1203,'ORDENES'!$U$4:$U$1203,$A42,'ORDENES'!$P$4:$P$1203,K$37,'ORDENES'!$Q$4:$Q$1203,K$38)</f>
        <v/>
      </c>
      <c r="L42" s="11">
        <f>SUMIFS('ORDENES'!$AK$4:$AK$1203,'ORDENES'!$U$4:$U$1203,$A42,'ORDENES'!$P$4:$P$1203,L$37,'ORDENES'!$Q$4:$Q$1203,L$38)</f>
        <v/>
      </c>
      <c r="M42" s="11">
        <f>SUM(B42:L42)</f>
        <v/>
      </c>
    </row>
    <row r="43">
      <c r="A43" s="3" t="inlineStr">
        <is>
          <t>SG</t>
        </is>
      </c>
      <c r="B43" s="11">
        <f>SUMIFS('ORDENES'!$AK$4:$AK$1203,'ORDENES'!$U$4:$U$1203,$A43,'ORDENES'!$P$4:$P$1203,B$37,'ORDENES'!$Q$4:$Q$1203,B$38)</f>
        <v/>
      </c>
      <c r="C43" s="11">
        <f>SUMIFS('ORDENES'!$AK$4:$AK$1203,'ORDENES'!$U$4:$U$1203,$A43,'ORDENES'!$P$4:$P$1203,C$37,'ORDENES'!$Q$4:$Q$1203,C$38)</f>
        <v/>
      </c>
      <c r="D43" s="11">
        <f>SUMIFS('ORDENES'!$AK$4:$AK$1203,'ORDENES'!$U$4:$U$1203,$A43,'ORDENES'!$P$4:$P$1203,D$37,'ORDENES'!$Q$4:$Q$1203,D$38)</f>
        <v/>
      </c>
      <c r="E43" s="11">
        <f>SUMIFS('ORDENES'!$AK$4:$AK$1203,'ORDENES'!$U$4:$U$1203,$A43,'ORDENES'!$P$4:$P$1203,E$37,'ORDENES'!$Q$4:$Q$1203,E$38)</f>
        <v/>
      </c>
      <c r="F43" s="11">
        <f>SUMIFS('ORDENES'!$AK$4:$AK$1203,'ORDENES'!$U$4:$U$1203,$A43,'ORDENES'!$P$4:$P$1203,F$37,'ORDENES'!$Q$4:$Q$1203,F$38)</f>
        <v/>
      </c>
      <c r="G43" s="11">
        <f>SUMIFS('ORDENES'!$AK$4:$AK$1203,'ORDENES'!$U$4:$U$1203,$A43,'ORDENES'!$P$4:$P$1203,G$37,'ORDENES'!$Q$4:$Q$1203,G$38)</f>
        <v/>
      </c>
      <c r="H43" s="11">
        <f>SUMIFS('ORDENES'!$AK$4:$AK$1203,'ORDENES'!$U$4:$U$1203,$A43,'ORDENES'!$P$4:$P$1203,H$37,'ORDENES'!$Q$4:$Q$1203,H$38)</f>
        <v/>
      </c>
      <c r="I43" s="11">
        <f>SUMIFS('ORDENES'!$AK$4:$AK$1203,'ORDENES'!$U$4:$U$1203,$A43,'ORDENES'!$P$4:$P$1203,I$37,'ORDENES'!$Q$4:$Q$1203,I$38)</f>
        <v/>
      </c>
      <c r="J43" s="11">
        <f>SUMIFS('ORDENES'!$AK$4:$AK$1203,'ORDENES'!$U$4:$U$1203,$A43,'ORDENES'!$P$4:$P$1203,J$37,'ORDENES'!$Q$4:$Q$1203,J$38)</f>
        <v/>
      </c>
      <c r="K43" s="11">
        <f>SUMIFS('ORDENES'!$AK$4:$AK$1203,'ORDENES'!$U$4:$U$1203,$A43,'ORDENES'!$P$4:$P$1203,K$37,'ORDENES'!$Q$4:$Q$1203,K$38)</f>
        <v/>
      </c>
      <c r="L43" s="11">
        <f>SUMIFS('ORDENES'!$AK$4:$AK$1203,'ORDENES'!$U$4:$U$1203,$A43,'ORDENES'!$P$4:$P$1203,L$37,'ORDENES'!$Q$4:$Q$1203,L$38)</f>
        <v/>
      </c>
      <c r="M43" s="11">
        <f>SUM(B43:L43)</f>
        <v/>
      </c>
    </row>
    <row r="44">
      <c r="A44" s="3" t="inlineStr">
        <is>
          <t>SG</t>
        </is>
      </c>
      <c r="B44" s="11">
        <f>SUMIFS('ORDENES'!$AK$4:$AK$1203,'ORDENES'!$U$4:$U$1203,$A44,'ORDENES'!$P$4:$P$1203,B$37,'ORDENES'!$Q$4:$Q$1203,B$38)</f>
        <v/>
      </c>
      <c r="C44" s="11">
        <f>SUMIFS('ORDENES'!$AK$4:$AK$1203,'ORDENES'!$U$4:$U$1203,$A44,'ORDENES'!$P$4:$P$1203,C$37,'ORDENES'!$Q$4:$Q$1203,C$38)</f>
        <v/>
      </c>
      <c r="D44" s="11">
        <f>SUMIFS('ORDENES'!$AK$4:$AK$1203,'ORDENES'!$U$4:$U$1203,$A44,'ORDENES'!$P$4:$P$1203,D$37,'ORDENES'!$Q$4:$Q$1203,D$38)</f>
        <v/>
      </c>
      <c r="E44" s="11">
        <f>SUMIFS('ORDENES'!$AK$4:$AK$1203,'ORDENES'!$U$4:$U$1203,$A44,'ORDENES'!$P$4:$P$1203,E$37,'ORDENES'!$Q$4:$Q$1203,E$38)</f>
        <v/>
      </c>
      <c r="F44" s="11">
        <f>SUMIFS('ORDENES'!$AK$4:$AK$1203,'ORDENES'!$U$4:$U$1203,$A44,'ORDENES'!$P$4:$P$1203,F$37,'ORDENES'!$Q$4:$Q$1203,F$38)</f>
        <v/>
      </c>
      <c r="G44" s="11">
        <f>SUMIFS('ORDENES'!$AK$4:$AK$1203,'ORDENES'!$U$4:$U$1203,$A44,'ORDENES'!$P$4:$P$1203,G$37,'ORDENES'!$Q$4:$Q$1203,G$38)</f>
        <v/>
      </c>
      <c r="H44" s="11">
        <f>SUMIFS('ORDENES'!$AK$4:$AK$1203,'ORDENES'!$U$4:$U$1203,$A44,'ORDENES'!$P$4:$P$1203,H$37,'ORDENES'!$Q$4:$Q$1203,H$38)</f>
        <v/>
      </c>
      <c r="I44" s="11">
        <f>SUMIFS('ORDENES'!$AK$4:$AK$1203,'ORDENES'!$U$4:$U$1203,$A44,'ORDENES'!$P$4:$P$1203,I$37,'ORDENES'!$Q$4:$Q$1203,I$38)</f>
        <v/>
      </c>
      <c r="J44" s="11">
        <f>SUMIFS('ORDENES'!$AK$4:$AK$1203,'ORDENES'!$U$4:$U$1203,$A44,'ORDENES'!$P$4:$P$1203,J$37,'ORDENES'!$Q$4:$Q$1203,J$38)</f>
        <v/>
      </c>
      <c r="K44" s="11">
        <f>SUMIFS('ORDENES'!$AK$4:$AK$1203,'ORDENES'!$U$4:$U$1203,$A44,'ORDENES'!$P$4:$P$1203,K$37,'ORDENES'!$Q$4:$Q$1203,K$38)</f>
        <v/>
      </c>
      <c r="L44" s="11">
        <f>SUMIFS('ORDENES'!$AK$4:$AK$1203,'ORDENES'!$U$4:$U$1203,$A44,'ORDENES'!$P$4:$P$1203,L$37,'ORDENES'!$Q$4:$Q$1203,L$38)</f>
        <v/>
      </c>
      <c r="M44" s="11">
        <f>SUM(B44:L44)</f>
        <v/>
      </c>
    </row>
    <row r="45">
      <c r="A45" s="3" t="inlineStr">
        <is>
          <t>TC</t>
        </is>
      </c>
      <c r="B45" s="11">
        <f>SUMIFS('ORDENES'!$AK$4:$AK$1203,'ORDENES'!$U$4:$U$1203,$A45,'ORDENES'!$P$4:$P$1203,B$37,'ORDENES'!$Q$4:$Q$1203,B$38)</f>
        <v/>
      </c>
      <c r="C45" s="11">
        <f>SUMIFS('ORDENES'!$AK$4:$AK$1203,'ORDENES'!$U$4:$U$1203,$A45,'ORDENES'!$P$4:$P$1203,C$37,'ORDENES'!$Q$4:$Q$1203,C$38)</f>
        <v/>
      </c>
      <c r="D45" s="11">
        <f>SUMIFS('ORDENES'!$AK$4:$AK$1203,'ORDENES'!$U$4:$U$1203,$A45,'ORDENES'!$P$4:$P$1203,D$37,'ORDENES'!$Q$4:$Q$1203,D$38)</f>
        <v/>
      </c>
      <c r="E45" s="11">
        <f>SUMIFS('ORDENES'!$AK$4:$AK$1203,'ORDENES'!$U$4:$U$1203,$A45,'ORDENES'!$P$4:$P$1203,E$37,'ORDENES'!$Q$4:$Q$1203,E$38)</f>
        <v/>
      </c>
      <c r="F45" s="11">
        <f>SUMIFS('ORDENES'!$AK$4:$AK$1203,'ORDENES'!$U$4:$U$1203,$A45,'ORDENES'!$P$4:$P$1203,F$37,'ORDENES'!$Q$4:$Q$1203,F$38)</f>
        <v/>
      </c>
      <c r="G45" s="11">
        <f>SUMIFS('ORDENES'!$AK$4:$AK$1203,'ORDENES'!$U$4:$U$1203,$A45,'ORDENES'!$P$4:$P$1203,G$37,'ORDENES'!$Q$4:$Q$1203,G$38)</f>
        <v/>
      </c>
      <c r="H45" s="11">
        <f>SUMIFS('ORDENES'!$AK$4:$AK$1203,'ORDENES'!$U$4:$U$1203,$A45,'ORDENES'!$P$4:$P$1203,H$37,'ORDENES'!$Q$4:$Q$1203,H$38)</f>
        <v/>
      </c>
      <c r="I45" s="11">
        <f>SUMIFS('ORDENES'!$AK$4:$AK$1203,'ORDENES'!$U$4:$U$1203,$A45,'ORDENES'!$P$4:$P$1203,I$37,'ORDENES'!$Q$4:$Q$1203,I$38)</f>
        <v/>
      </c>
      <c r="J45" s="11">
        <f>SUMIFS('ORDENES'!$AK$4:$AK$1203,'ORDENES'!$U$4:$U$1203,$A45,'ORDENES'!$P$4:$P$1203,J$37,'ORDENES'!$Q$4:$Q$1203,J$38)</f>
        <v/>
      </c>
      <c r="K45" s="11">
        <f>SUMIFS('ORDENES'!$AK$4:$AK$1203,'ORDENES'!$U$4:$U$1203,$A45,'ORDENES'!$P$4:$P$1203,K$37,'ORDENES'!$Q$4:$Q$1203,K$38)</f>
        <v/>
      </c>
      <c r="L45" s="11">
        <f>SUMIFS('ORDENES'!$AK$4:$AK$1203,'ORDENES'!$U$4:$U$1203,$A45,'ORDENES'!$P$4:$P$1203,L$37,'ORDENES'!$Q$4:$Q$1203,L$38)</f>
        <v/>
      </c>
      <c r="M45" s="11">
        <f>SUM(B45:L45)</f>
        <v/>
      </c>
    </row>
    <row r="46">
      <c r="A46" s="3" t="inlineStr">
        <is>
          <t>TC</t>
        </is>
      </c>
      <c r="B46" s="11">
        <f>SUMIFS('ORDENES'!$AK$4:$AK$1203,'ORDENES'!$U$4:$U$1203,$A46,'ORDENES'!$P$4:$P$1203,B$37,'ORDENES'!$Q$4:$Q$1203,B$38)</f>
        <v/>
      </c>
      <c r="C46" s="11">
        <f>SUMIFS('ORDENES'!$AK$4:$AK$1203,'ORDENES'!$U$4:$U$1203,$A46,'ORDENES'!$P$4:$P$1203,C$37,'ORDENES'!$Q$4:$Q$1203,C$38)</f>
        <v/>
      </c>
      <c r="D46" s="11">
        <f>SUMIFS('ORDENES'!$AK$4:$AK$1203,'ORDENES'!$U$4:$U$1203,$A46,'ORDENES'!$P$4:$P$1203,D$37,'ORDENES'!$Q$4:$Q$1203,D$38)</f>
        <v/>
      </c>
      <c r="E46" s="11">
        <f>SUMIFS('ORDENES'!$AK$4:$AK$1203,'ORDENES'!$U$4:$U$1203,$A46,'ORDENES'!$P$4:$P$1203,E$37,'ORDENES'!$Q$4:$Q$1203,E$38)</f>
        <v/>
      </c>
      <c r="F46" s="11">
        <f>SUMIFS('ORDENES'!$AK$4:$AK$1203,'ORDENES'!$U$4:$U$1203,$A46,'ORDENES'!$P$4:$P$1203,F$37,'ORDENES'!$Q$4:$Q$1203,F$38)</f>
        <v/>
      </c>
      <c r="G46" s="11">
        <f>SUMIFS('ORDENES'!$AK$4:$AK$1203,'ORDENES'!$U$4:$U$1203,$A46,'ORDENES'!$P$4:$P$1203,G$37,'ORDENES'!$Q$4:$Q$1203,G$38)</f>
        <v/>
      </c>
      <c r="H46" s="11">
        <f>SUMIFS('ORDENES'!$AK$4:$AK$1203,'ORDENES'!$U$4:$U$1203,$A46,'ORDENES'!$P$4:$P$1203,H$37,'ORDENES'!$Q$4:$Q$1203,H$38)</f>
        <v/>
      </c>
      <c r="I46" s="11">
        <f>SUMIFS('ORDENES'!$AK$4:$AK$1203,'ORDENES'!$U$4:$U$1203,$A46,'ORDENES'!$P$4:$P$1203,I$37,'ORDENES'!$Q$4:$Q$1203,I$38)</f>
        <v/>
      </c>
      <c r="J46" s="11">
        <f>SUMIFS('ORDENES'!$AK$4:$AK$1203,'ORDENES'!$U$4:$U$1203,$A46,'ORDENES'!$P$4:$P$1203,J$37,'ORDENES'!$Q$4:$Q$1203,J$38)</f>
        <v/>
      </c>
      <c r="K46" s="11">
        <f>SUMIFS('ORDENES'!$AK$4:$AK$1203,'ORDENES'!$U$4:$U$1203,$A46,'ORDENES'!$P$4:$P$1203,K$37,'ORDENES'!$Q$4:$Q$1203,K$38)</f>
        <v/>
      </c>
      <c r="L46" s="11">
        <f>SUMIFS('ORDENES'!$AK$4:$AK$1203,'ORDENES'!$U$4:$U$1203,$A46,'ORDENES'!$P$4:$P$1203,L$37,'ORDENES'!$Q$4:$Q$1203,L$38)</f>
        <v/>
      </c>
      <c r="M46" s="11">
        <f>SUM(B46:L46)</f>
        <v/>
      </c>
    </row>
    <row r="47">
      <c r="A47" s="3" t="inlineStr">
        <is>
          <t>CO</t>
        </is>
      </c>
      <c r="B47" s="11">
        <f>SUMIFS('ORDENES'!$AK$4:$AK$1203,'ORDENES'!$U$4:$U$1203,$A47,'ORDENES'!$P$4:$P$1203,B$37,'ORDENES'!$Q$4:$Q$1203,B$38)</f>
        <v/>
      </c>
      <c r="C47" s="11">
        <f>SUMIFS('ORDENES'!$AK$4:$AK$1203,'ORDENES'!$U$4:$U$1203,$A47,'ORDENES'!$P$4:$P$1203,C$37,'ORDENES'!$Q$4:$Q$1203,C$38)</f>
        <v/>
      </c>
      <c r="D47" s="11">
        <f>SUMIFS('ORDENES'!$AK$4:$AK$1203,'ORDENES'!$U$4:$U$1203,$A47,'ORDENES'!$P$4:$P$1203,D$37,'ORDENES'!$Q$4:$Q$1203,D$38)</f>
        <v/>
      </c>
      <c r="E47" s="11">
        <f>SUMIFS('ORDENES'!$AK$4:$AK$1203,'ORDENES'!$U$4:$U$1203,$A47,'ORDENES'!$P$4:$P$1203,E$37,'ORDENES'!$Q$4:$Q$1203,E$38)</f>
        <v/>
      </c>
      <c r="F47" s="11">
        <f>SUMIFS('ORDENES'!$AK$4:$AK$1203,'ORDENES'!$U$4:$U$1203,$A47,'ORDENES'!$P$4:$P$1203,F$37,'ORDENES'!$Q$4:$Q$1203,F$38)</f>
        <v/>
      </c>
      <c r="G47" s="11">
        <f>SUMIFS('ORDENES'!$AK$4:$AK$1203,'ORDENES'!$U$4:$U$1203,$A47,'ORDENES'!$P$4:$P$1203,G$37,'ORDENES'!$Q$4:$Q$1203,G$38)</f>
        <v/>
      </c>
      <c r="H47" s="11">
        <f>SUMIFS('ORDENES'!$AK$4:$AK$1203,'ORDENES'!$U$4:$U$1203,$A47,'ORDENES'!$P$4:$P$1203,H$37,'ORDENES'!$Q$4:$Q$1203,H$38)</f>
        <v/>
      </c>
      <c r="I47" s="11">
        <f>SUMIFS('ORDENES'!$AK$4:$AK$1203,'ORDENES'!$U$4:$U$1203,$A47,'ORDENES'!$P$4:$P$1203,I$37,'ORDENES'!$Q$4:$Q$1203,I$38)</f>
        <v/>
      </c>
      <c r="J47" s="11">
        <f>SUMIFS('ORDENES'!$AK$4:$AK$1203,'ORDENES'!$U$4:$U$1203,$A47,'ORDENES'!$P$4:$P$1203,J$37,'ORDENES'!$Q$4:$Q$1203,J$38)</f>
        <v/>
      </c>
      <c r="K47" s="11">
        <f>SUMIFS('ORDENES'!$AK$4:$AK$1203,'ORDENES'!$U$4:$U$1203,$A47,'ORDENES'!$P$4:$P$1203,K$37,'ORDENES'!$Q$4:$Q$1203,K$38)</f>
        <v/>
      </c>
      <c r="L47" s="11">
        <f>SUMIFS('ORDENES'!$AK$4:$AK$1203,'ORDENES'!$U$4:$U$1203,$A47,'ORDENES'!$P$4:$P$1203,L$37,'ORDENES'!$Q$4:$Q$1203,L$38)</f>
        <v/>
      </c>
      <c r="M47" s="11">
        <f>SUM(B47:L47)</f>
        <v/>
      </c>
    </row>
    <row r="48">
      <c r="A48" s="3" t="inlineStr">
        <is>
          <t>AC</t>
        </is>
      </c>
      <c r="B48" s="11">
        <f>SUMIFS('ORDENES'!$AK$4:$AK$1203,'ORDENES'!$U$4:$U$1203,$A48,'ORDENES'!$P$4:$P$1203,B$37,'ORDENES'!$Q$4:$Q$1203,B$38)</f>
        <v/>
      </c>
      <c r="C48" s="11">
        <f>SUMIFS('ORDENES'!$AK$4:$AK$1203,'ORDENES'!$U$4:$U$1203,$A48,'ORDENES'!$P$4:$P$1203,C$37,'ORDENES'!$Q$4:$Q$1203,C$38)</f>
        <v/>
      </c>
      <c r="D48" s="11">
        <f>SUMIFS('ORDENES'!$AK$4:$AK$1203,'ORDENES'!$U$4:$U$1203,$A48,'ORDENES'!$P$4:$P$1203,D$37,'ORDENES'!$Q$4:$Q$1203,D$38)</f>
        <v/>
      </c>
      <c r="E48" s="11">
        <f>SUMIFS('ORDENES'!$AK$4:$AK$1203,'ORDENES'!$U$4:$U$1203,$A48,'ORDENES'!$P$4:$P$1203,E$37,'ORDENES'!$Q$4:$Q$1203,E$38)</f>
        <v/>
      </c>
      <c r="F48" s="11">
        <f>SUMIFS('ORDENES'!$AK$4:$AK$1203,'ORDENES'!$U$4:$U$1203,$A48,'ORDENES'!$P$4:$P$1203,F$37,'ORDENES'!$Q$4:$Q$1203,F$38)</f>
        <v/>
      </c>
      <c r="G48" s="11">
        <f>SUMIFS('ORDENES'!$AK$4:$AK$1203,'ORDENES'!$U$4:$U$1203,$A48,'ORDENES'!$P$4:$P$1203,G$37,'ORDENES'!$Q$4:$Q$1203,G$38)</f>
        <v/>
      </c>
      <c r="H48" s="11">
        <f>SUMIFS('ORDENES'!$AK$4:$AK$1203,'ORDENES'!$U$4:$U$1203,$A48,'ORDENES'!$P$4:$P$1203,H$37,'ORDENES'!$Q$4:$Q$1203,H$38)</f>
        <v/>
      </c>
      <c r="I48" s="11">
        <f>SUMIFS('ORDENES'!$AK$4:$AK$1203,'ORDENES'!$U$4:$U$1203,$A48,'ORDENES'!$P$4:$P$1203,I$37,'ORDENES'!$Q$4:$Q$1203,I$38)</f>
        <v/>
      </c>
      <c r="J48" s="11">
        <f>SUMIFS('ORDENES'!$AK$4:$AK$1203,'ORDENES'!$U$4:$U$1203,$A48,'ORDENES'!$P$4:$P$1203,J$37,'ORDENES'!$Q$4:$Q$1203,J$38)</f>
        <v/>
      </c>
      <c r="K48" s="11">
        <f>SUMIFS('ORDENES'!$AK$4:$AK$1203,'ORDENES'!$U$4:$U$1203,$A48,'ORDENES'!$P$4:$P$1203,K$37,'ORDENES'!$Q$4:$Q$1203,K$38)</f>
        <v/>
      </c>
      <c r="L48" s="11">
        <f>SUMIFS('ORDENES'!$AK$4:$AK$1203,'ORDENES'!$U$4:$U$1203,$A48,'ORDENES'!$P$4:$P$1203,L$37,'ORDENES'!$Q$4:$Q$1203,L$38)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TERCERO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COUNTIFS('ORDENES'!$N$4:$N$1203,"Pendiente",'ORDENES'!$AA$4:$AA$1203,"&gt;=0",'ORDENES'!$AA$4:$AA$1203,"&lt;=30",'ORDENES'!$V$4:$V$1203,$A19)</f>
        <v/>
      </c>
      <c r="C19" s="3">
        <f>COUNTIFS('ORDENES'!$N$4:$N$1203,"Pendiente",'ORDENES'!$AA$4:$AA$1203,"&gt;=31",'ORDENES'!$AA$4:$AA$1203,"&lt;=60",'ORDENES'!$V$4:$V$1203,$A19)</f>
        <v/>
      </c>
      <c r="D19" s="3">
        <f>COUNTIFS('ORDENES'!$N$4:$N$1203,"Pendiente",'ORDENES'!$AA$4:$AA$1203,"&gt;=61",'ORDENES'!$AA$4:$AA$1203,"&lt;=90",'ORDENES'!$V$4:$V$1203,$A19)</f>
        <v/>
      </c>
      <c r="E19" s="3">
        <f>COUNTIFS('ORDENES'!$N$4:$N$1203,"Pendiente",'ORDENES'!$AA$4:$AA$1203,"&gt;90",'ORDENES'!$V$4:$V$1203,$A19)</f>
        <v/>
      </c>
    </row>
    <row r="20">
      <c r="A20" s="3" t="inlineStr">
        <is>
          <t>EMPAQUE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SERVICIOS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COUNTIFS('ORDENES'!$N$4:$N$1203,"Pendiente",'ORDENES'!$AA$4:$AA$1203,"&gt;=0",'ORDENES'!$AA$4:$AA$1203,"&lt;=30",'ORDENES'!$W$4:$W$1203,$A25)</f>
        <v/>
      </c>
      <c r="C25" s="3">
        <f>COUNTIFS('ORDENES'!$N$4:$N$1203,"Pendiente",'ORDENES'!$AA$4:$AA$1203,"&gt;=31",'ORDENES'!$AA$4:$AA$1203,"&lt;=60",'ORDENES'!$W$4:$W$1203,$A25)</f>
        <v/>
      </c>
      <c r="D25" s="3">
        <f>COUNTIFS('ORDENES'!$N$4:$N$1203,"Pendiente",'ORDENES'!$AA$4:$AA$1203,"&gt;=61",'ORDENES'!$AA$4:$AA$1203,"&lt;=90",'ORDENES'!$W$4:$W$1203,$A25)</f>
        <v/>
      </c>
      <c r="E25" s="3">
        <f>COUNTIFS('ORDENES'!$N$4:$N$1203,"Pendiente",'ORDENES'!$AA$4:$AA$1203,"&gt;90",'ORDENES'!$W$4:$W$1203,$A25)</f>
        <v/>
      </c>
    </row>
    <row r="26">
      <c r="A26" s="3" t="inlineStr">
        <is>
          <t>EMPAQUE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Vapor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Refrigeración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CO2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Aire comprimido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11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SUMIFS('ORDENES'!$AK$4:$AK$1203,'ORDENES'!$E$4:$E$1203,$A5,'ORDENES'!$P$4:$P$1203,B$3,'ORDENES'!$Q$4:$Q$1203,B$4)</f>
        <v/>
      </c>
      <c r="C5" s="11">
        <f>SUMIFS('ORDENES'!$AK$4:$AK$1203,'ORDENES'!$E$4:$E$1203,$A5,'ORDENES'!$P$4:$P$1203,C$3,'ORDENES'!$Q$4:$Q$1203,C$4)</f>
        <v/>
      </c>
      <c r="D5" s="11">
        <f>SUMIFS('ORDENES'!$AK$4:$AK$1203,'ORDENES'!$E$4:$E$1203,$A5,'ORDENES'!$P$4:$P$1203,D$3,'ORDENES'!$Q$4:$Q$1203,D$4)</f>
        <v/>
      </c>
      <c r="E5" s="11">
        <f>SUMIFS('ORDENES'!$AK$4:$AK$1203,'ORDENES'!$E$4:$E$1203,$A5,'ORDENES'!$P$4:$P$1203,E$3,'ORDENES'!$Q$4:$Q$1203,E$4)</f>
        <v/>
      </c>
      <c r="F5" s="11">
        <f>SUMIFS('ORDENES'!$AK$4:$AK$1203,'ORDENES'!$E$4:$E$1203,$A5,'ORDENES'!$P$4:$P$1203,F$3,'ORDENES'!$Q$4:$Q$1203,F$4)</f>
        <v/>
      </c>
      <c r="G5" s="11">
        <f>SUMIFS('ORDENES'!$AK$4:$AK$1203,'ORDENES'!$E$4:$E$1203,$A5,'ORDENES'!$P$4:$P$1203,G$3,'ORDENES'!$Q$4:$Q$1203,G$4)</f>
        <v/>
      </c>
      <c r="H5" s="11">
        <f>SUMIFS('ORDENES'!$AK$4:$AK$1203,'ORDENES'!$E$4:$E$1203,$A5,'ORDENES'!$P$4:$P$1203,H$3,'ORDENES'!$Q$4:$Q$1203,H$4)</f>
        <v/>
      </c>
      <c r="I5" s="11">
        <f>SUMIFS('ORDENES'!$AK$4:$AK$1203,'ORDENES'!$E$4:$E$1203,$A5,'ORDENES'!$P$4:$P$1203,I$3,'ORDENES'!$Q$4:$Q$1203,I$4)</f>
        <v/>
      </c>
      <c r="J5" s="11">
        <f>SUMIFS('ORDENES'!$AK$4:$AK$1203,'ORDENES'!$E$4:$E$1203,$A5,'ORDENES'!$P$4:$P$1203,J$3,'ORDENES'!$Q$4:$Q$1203,J$4)</f>
        <v/>
      </c>
      <c r="K5" s="11">
        <f>SUMIFS('ORDENES'!$AK$4:$AK$1203,'ORDENES'!$E$4:$E$1203,$A5,'ORDENES'!$P$4:$P$1203,K$3,'ORDENES'!$Q$4:$Q$1203,K$4)</f>
        <v/>
      </c>
      <c r="L5" s="11">
        <f>SUMIFS('ORDENES'!$AK$4:$AK$1203,'ORDENES'!$E$4:$E$1203,$A5,'ORDENES'!$P$4:$P$1203,L$3,'ORDENES'!$Q$4:$Q$1203,L$4)</f>
        <v/>
      </c>
      <c r="M5" s="11">
        <f>SUM(B5:L5)</f>
        <v/>
      </c>
    </row>
    <row r="6">
      <c r="A6" s="3" t="inlineStr">
        <is>
          <t>EQ-106</t>
        </is>
      </c>
      <c r="B6" s="11">
        <f>SUMIFS('ORDENES'!$AK$4:$AK$1203,'ORDENES'!$E$4:$E$1203,$A6,'ORDENES'!$P$4:$P$1203,B$3,'ORDENES'!$Q$4:$Q$1203,B$4)</f>
        <v/>
      </c>
      <c r="C6" s="11">
        <f>SUMIFS('ORDENES'!$AK$4:$AK$1203,'ORDENES'!$E$4:$E$1203,$A6,'ORDENES'!$P$4:$P$1203,C$3,'ORDENES'!$Q$4:$Q$1203,C$4)</f>
        <v/>
      </c>
      <c r="D6" s="11">
        <f>SUMIFS('ORDENES'!$AK$4:$AK$1203,'ORDENES'!$E$4:$E$1203,$A6,'ORDENES'!$P$4:$P$1203,D$3,'ORDENES'!$Q$4:$Q$1203,D$4)</f>
        <v/>
      </c>
      <c r="E6" s="11">
        <f>SUMIFS('ORDENES'!$AK$4:$AK$1203,'ORDENES'!$E$4:$E$1203,$A6,'ORDENES'!$P$4:$P$1203,E$3,'ORDENES'!$Q$4:$Q$1203,E$4)</f>
        <v/>
      </c>
      <c r="F6" s="11">
        <f>SUMIFS('ORDENES'!$AK$4:$AK$1203,'ORDENES'!$E$4:$E$1203,$A6,'ORDENES'!$P$4:$P$1203,F$3,'ORDENES'!$Q$4:$Q$1203,F$4)</f>
        <v/>
      </c>
      <c r="G6" s="11">
        <f>SUMIFS('ORDENES'!$AK$4:$AK$1203,'ORDENES'!$E$4:$E$1203,$A6,'ORDENES'!$P$4:$P$1203,G$3,'ORDENES'!$Q$4:$Q$1203,G$4)</f>
        <v/>
      </c>
      <c r="H6" s="11">
        <f>SUMIFS('ORDENES'!$AK$4:$AK$1203,'ORDENES'!$E$4:$E$1203,$A6,'ORDENES'!$P$4:$P$1203,H$3,'ORDENES'!$Q$4:$Q$1203,H$4)</f>
        <v/>
      </c>
      <c r="I6" s="11">
        <f>SUMIFS('ORDENES'!$AK$4:$AK$1203,'ORDENES'!$E$4:$E$1203,$A6,'ORDENES'!$P$4:$P$1203,I$3,'ORDENES'!$Q$4:$Q$1203,I$4)</f>
        <v/>
      </c>
      <c r="J6" s="11">
        <f>SUMIFS('ORDENES'!$AK$4:$AK$1203,'ORDENES'!$E$4:$E$1203,$A6,'ORDENES'!$P$4:$P$1203,J$3,'ORDENES'!$Q$4:$Q$1203,J$4)</f>
        <v/>
      </c>
      <c r="K6" s="11">
        <f>SUMIFS('ORDENES'!$AK$4:$AK$1203,'ORDENES'!$E$4:$E$1203,$A6,'ORDENES'!$P$4:$P$1203,K$3,'ORDENES'!$Q$4:$Q$1203,K$4)</f>
        <v/>
      </c>
      <c r="L6" s="11">
        <f>SUMIFS('ORDENES'!$AK$4:$AK$1203,'ORDENES'!$E$4:$E$1203,$A6,'ORDENES'!$P$4:$P$1203,L$3,'ORDENES'!$Q$4:$Q$1203,L$4)</f>
        <v/>
      </c>
      <c r="M6" s="11">
        <f>SUM(B6:L6)</f>
        <v/>
      </c>
    </row>
    <row r="7">
      <c r="A7" s="3" t="inlineStr">
        <is>
          <t>EQ-108</t>
        </is>
      </c>
      <c r="B7" s="11">
        <f>SUMIFS('ORDENES'!$AK$4:$AK$1203,'ORDENES'!$E$4:$E$1203,$A7,'ORDENES'!$P$4:$P$1203,B$3,'ORDENES'!$Q$4:$Q$1203,B$4)</f>
        <v/>
      </c>
      <c r="C7" s="11">
        <f>SUMIFS('ORDENES'!$AK$4:$AK$1203,'ORDENES'!$E$4:$E$1203,$A7,'ORDENES'!$P$4:$P$1203,C$3,'ORDENES'!$Q$4:$Q$1203,C$4)</f>
        <v/>
      </c>
      <c r="D7" s="11">
        <f>SUMIFS('ORDENES'!$AK$4:$AK$1203,'ORDENES'!$E$4:$E$1203,$A7,'ORDENES'!$P$4:$P$1203,D$3,'ORDENES'!$Q$4:$Q$1203,D$4)</f>
        <v/>
      </c>
      <c r="E7" s="11">
        <f>SUMIFS('ORDENES'!$AK$4:$AK$1203,'ORDENES'!$E$4:$E$1203,$A7,'ORDENES'!$P$4:$P$1203,E$3,'ORDENES'!$Q$4:$Q$1203,E$4)</f>
        <v/>
      </c>
      <c r="F7" s="11">
        <f>SUMIFS('ORDENES'!$AK$4:$AK$1203,'ORDENES'!$E$4:$E$1203,$A7,'ORDENES'!$P$4:$P$1203,F$3,'ORDENES'!$Q$4:$Q$1203,F$4)</f>
        <v/>
      </c>
      <c r="G7" s="11">
        <f>SUMIFS('ORDENES'!$AK$4:$AK$1203,'ORDENES'!$E$4:$E$1203,$A7,'ORDENES'!$P$4:$P$1203,G$3,'ORDENES'!$Q$4:$Q$1203,G$4)</f>
        <v/>
      </c>
      <c r="H7" s="11">
        <f>SUMIFS('ORDENES'!$AK$4:$AK$1203,'ORDENES'!$E$4:$E$1203,$A7,'ORDENES'!$P$4:$P$1203,H$3,'ORDENES'!$Q$4:$Q$1203,H$4)</f>
        <v/>
      </c>
      <c r="I7" s="11">
        <f>SUMIFS('ORDENES'!$AK$4:$AK$1203,'ORDENES'!$E$4:$E$1203,$A7,'ORDENES'!$P$4:$P$1203,I$3,'ORDENES'!$Q$4:$Q$1203,I$4)</f>
        <v/>
      </c>
      <c r="J7" s="11">
        <f>SUMIFS('ORDENES'!$AK$4:$AK$1203,'ORDENES'!$E$4:$E$1203,$A7,'ORDENES'!$P$4:$P$1203,J$3,'ORDENES'!$Q$4:$Q$1203,J$4)</f>
        <v/>
      </c>
      <c r="K7" s="11">
        <f>SUMIFS('ORDENES'!$AK$4:$AK$1203,'ORDENES'!$E$4:$E$1203,$A7,'ORDENES'!$P$4:$P$1203,K$3,'ORDENES'!$Q$4:$Q$1203,K$4)</f>
        <v/>
      </c>
      <c r="L7" s="11">
        <f>SUMIFS('ORDENES'!$AK$4:$AK$1203,'ORDENES'!$E$4:$E$1203,$A7,'ORDENES'!$P$4:$P$1203,L$3,'ORDENES'!$Q$4:$Q$1203,L$4)</f>
        <v/>
      </c>
      <c r="M7" s="11">
        <f>SUM(B7:L7)</f>
        <v/>
      </c>
    </row>
    <row r="8">
      <c r="A8" s="3" t="inlineStr">
        <is>
          <t>EQ-109</t>
        </is>
      </c>
      <c r="B8" s="11">
        <f>SUMIFS('ORDENES'!$AK$4:$AK$1203,'ORDENES'!$E$4:$E$1203,$A8,'ORDENES'!$P$4:$P$1203,B$3,'ORDENES'!$Q$4:$Q$1203,B$4)</f>
        <v/>
      </c>
      <c r="C8" s="11">
        <f>SUMIFS('ORDENES'!$AK$4:$AK$1203,'ORDENES'!$E$4:$E$1203,$A8,'ORDENES'!$P$4:$P$1203,C$3,'ORDENES'!$Q$4:$Q$1203,C$4)</f>
        <v/>
      </c>
      <c r="D8" s="11">
        <f>SUMIFS('ORDENES'!$AK$4:$AK$1203,'ORDENES'!$E$4:$E$1203,$A8,'ORDENES'!$P$4:$P$1203,D$3,'ORDENES'!$Q$4:$Q$1203,D$4)</f>
        <v/>
      </c>
      <c r="E8" s="11">
        <f>SUMIFS('ORDENES'!$AK$4:$AK$1203,'ORDENES'!$E$4:$E$1203,$A8,'ORDENES'!$P$4:$P$1203,E$3,'ORDENES'!$Q$4:$Q$1203,E$4)</f>
        <v/>
      </c>
      <c r="F8" s="11">
        <f>SUMIFS('ORDENES'!$AK$4:$AK$1203,'ORDENES'!$E$4:$E$1203,$A8,'ORDENES'!$P$4:$P$1203,F$3,'ORDENES'!$Q$4:$Q$1203,F$4)</f>
        <v/>
      </c>
      <c r="G8" s="11">
        <f>SUMIFS('ORDENES'!$AK$4:$AK$1203,'ORDENES'!$E$4:$E$1203,$A8,'ORDENES'!$P$4:$P$1203,G$3,'ORDENES'!$Q$4:$Q$1203,G$4)</f>
        <v/>
      </c>
      <c r="H8" s="11">
        <f>SUMIFS('ORDENES'!$AK$4:$AK$1203,'ORDENES'!$E$4:$E$1203,$A8,'ORDENES'!$P$4:$P$1203,H$3,'ORDENES'!$Q$4:$Q$1203,H$4)</f>
        <v/>
      </c>
      <c r="I8" s="11">
        <f>SUMIFS('ORDENES'!$AK$4:$AK$1203,'ORDENES'!$E$4:$E$1203,$A8,'ORDENES'!$P$4:$P$1203,I$3,'ORDENES'!$Q$4:$Q$1203,I$4)</f>
        <v/>
      </c>
      <c r="J8" s="11">
        <f>SUMIFS('ORDENES'!$AK$4:$AK$1203,'ORDENES'!$E$4:$E$1203,$A8,'ORDENES'!$P$4:$P$1203,J$3,'ORDENES'!$Q$4:$Q$1203,J$4)</f>
        <v/>
      </c>
      <c r="K8" s="11">
        <f>SUMIFS('ORDENES'!$AK$4:$AK$1203,'ORDENES'!$E$4:$E$1203,$A8,'ORDENES'!$P$4:$P$1203,K$3,'ORDENES'!$Q$4:$Q$1203,K$4)</f>
        <v/>
      </c>
      <c r="L8" s="11">
        <f>SUMIFS('ORDENES'!$AK$4:$AK$1203,'ORDENES'!$E$4:$E$1203,$A8,'ORDENES'!$P$4:$P$1203,L$3,'ORDENES'!$Q$4:$Q$1203,L$4)</f>
        <v/>
      </c>
      <c r="M8" s="11">
        <f>SUM(B8:L8)</f>
        <v/>
      </c>
    </row>
    <row r="9">
      <c r="A9" s="3" t="inlineStr">
        <is>
          <t>EQ-103</t>
        </is>
      </c>
      <c r="B9" s="11">
        <f>SUMIFS('ORDENES'!$AK$4:$AK$1203,'ORDENES'!$E$4:$E$1203,$A9,'ORDENES'!$P$4:$P$1203,B$3,'ORDENES'!$Q$4:$Q$1203,B$4)</f>
        <v/>
      </c>
      <c r="C9" s="11">
        <f>SUMIFS('ORDENES'!$AK$4:$AK$1203,'ORDENES'!$E$4:$E$1203,$A9,'ORDENES'!$P$4:$P$1203,C$3,'ORDENES'!$Q$4:$Q$1203,C$4)</f>
        <v/>
      </c>
      <c r="D9" s="11">
        <f>SUMIFS('ORDENES'!$AK$4:$AK$1203,'ORDENES'!$E$4:$E$1203,$A9,'ORDENES'!$P$4:$P$1203,D$3,'ORDENES'!$Q$4:$Q$1203,D$4)</f>
        <v/>
      </c>
      <c r="E9" s="11">
        <f>SUMIFS('ORDENES'!$AK$4:$AK$1203,'ORDENES'!$E$4:$E$1203,$A9,'ORDENES'!$P$4:$P$1203,E$3,'ORDENES'!$Q$4:$Q$1203,E$4)</f>
        <v/>
      </c>
      <c r="F9" s="11">
        <f>SUMIFS('ORDENES'!$AK$4:$AK$1203,'ORDENES'!$E$4:$E$1203,$A9,'ORDENES'!$P$4:$P$1203,F$3,'ORDENES'!$Q$4:$Q$1203,F$4)</f>
        <v/>
      </c>
      <c r="G9" s="11">
        <f>SUMIFS('ORDENES'!$AK$4:$AK$1203,'ORDENES'!$E$4:$E$1203,$A9,'ORDENES'!$P$4:$P$1203,G$3,'ORDENES'!$Q$4:$Q$1203,G$4)</f>
        <v/>
      </c>
      <c r="H9" s="11">
        <f>SUMIFS('ORDENES'!$AK$4:$AK$1203,'ORDENES'!$E$4:$E$1203,$A9,'ORDENES'!$P$4:$P$1203,H$3,'ORDENES'!$Q$4:$Q$1203,H$4)</f>
        <v/>
      </c>
      <c r="I9" s="11">
        <f>SUMIFS('ORDENES'!$AK$4:$AK$1203,'ORDENES'!$E$4:$E$1203,$A9,'ORDENES'!$P$4:$P$1203,I$3,'ORDENES'!$Q$4:$Q$1203,I$4)</f>
        <v/>
      </c>
      <c r="J9" s="11">
        <f>SUMIFS('ORDENES'!$AK$4:$AK$1203,'ORDENES'!$E$4:$E$1203,$A9,'ORDENES'!$P$4:$P$1203,J$3,'ORDENES'!$Q$4:$Q$1203,J$4)</f>
        <v/>
      </c>
      <c r="K9" s="11">
        <f>SUMIFS('ORDENES'!$AK$4:$AK$1203,'ORDENES'!$E$4:$E$1203,$A9,'ORDENES'!$P$4:$P$1203,K$3,'ORDENES'!$Q$4:$Q$1203,K$4)</f>
        <v/>
      </c>
      <c r="L9" s="11">
        <f>SUMIFS('ORDENES'!$AK$4:$AK$1203,'ORDENES'!$E$4:$E$1203,$A9,'ORDENES'!$P$4:$P$1203,L$3,'ORDENES'!$Q$4:$Q$1203,L$4)</f>
        <v/>
      </c>
      <c r="M9" s="11">
        <f>SUM(B9:L9)</f>
        <v/>
      </c>
    </row>
    <row r="10">
      <c r="A10" s="3" t="inlineStr">
        <is>
          <t>EQ-102</t>
        </is>
      </c>
      <c r="B10" s="11">
        <f>SUMIFS('ORDENES'!$AK$4:$AK$1203,'ORDENES'!$E$4:$E$1203,$A10,'ORDENES'!$P$4:$P$1203,B$3,'ORDENES'!$Q$4:$Q$1203,B$4)</f>
        <v/>
      </c>
      <c r="C10" s="11">
        <f>SUMIFS('ORDENES'!$AK$4:$AK$1203,'ORDENES'!$E$4:$E$1203,$A10,'ORDENES'!$P$4:$P$1203,C$3,'ORDENES'!$Q$4:$Q$1203,C$4)</f>
        <v/>
      </c>
      <c r="D10" s="11">
        <f>SUMIFS('ORDENES'!$AK$4:$AK$1203,'ORDENES'!$E$4:$E$1203,$A10,'ORDENES'!$P$4:$P$1203,D$3,'ORDENES'!$Q$4:$Q$1203,D$4)</f>
        <v/>
      </c>
      <c r="E10" s="11">
        <f>SUMIFS('ORDENES'!$AK$4:$AK$1203,'ORDENES'!$E$4:$E$1203,$A10,'ORDENES'!$P$4:$P$1203,E$3,'ORDENES'!$Q$4:$Q$1203,E$4)</f>
        <v/>
      </c>
      <c r="F10" s="11">
        <f>SUMIFS('ORDENES'!$AK$4:$AK$1203,'ORDENES'!$E$4:$E$1203,$A10,'ORDENES'!$P$4:$P$1203,F$3,'ORDENES'!$Q$4:$Q$1203,F$4)</f>
        <v/>
      </c>
      <c r="G10" s="11">
        <f>SUMIFS('ORDENES'!$AK$4:$AK$1203,'ORDENES'!$E$4:$E$1203,$A10,'ORDENES'!$P$4:$P$1203,G$3,'ORDENES'!$Q$4:$Q$1203,G$4)</f>
        <v/>
      </c>
      <c r="H10" s="11">
        <f>SUMIFS('ORDENES'!$AK$4:$AK$1203,'ORDENES'!$E$4:$E$1203,$A10,'ORDENES'!$P$4:$P$1203,H$3,'ORDENES'!$Q$4:$Q$1203,H$4)</f>
        <v/>
      </c>
      <c r="I10" s="11">
        <f>SUMIFS('ORDENES'!$AK$4:$AK$1203,'ORDENES'!$E$4:$E$1203,$A10,'ORDENES'!$P$4:$P$1203,I$3,'ORDENES'!$Q$4:$Q$1203,I$4)</f>
        <v/>
      </c>
      <c r="J10" s="11">
        <f>SUMIFS('ORDENES'!$AK$4:$AK$1203,'ORDENES'!$E$4:$E$1203,$A10,'ORDENES'!$P$4:$P$1203,J$3,'ORDENES'!$Q$4:$Q$1203,J$4)</f>
        <v/>
      </c>
      <c r="K10" s="11">
        <f>SUMIFS('ORDENES'!$AK$4:$AK$1203,'ORDENES'!$E$4:$E$1203,$A10,'ORDENES'!$P$4:$P$1203,K$3,'ORDENES'!$Q$4:$Q$1203,K$4)</f>
        <v/>
      </c>
      <c r="L10" s="11">
        <f>SUMIFS('ORDENES'!$AK$4:$AK$1203,'ORDENES'!$E$4:$E$1203,$A10,'ORDENES'!$P$4:$P$1203,L$3,'ORDENES'!$Q$4:$Q$1203,L$4)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SUMIFS('ORDENES'!$AK$4:$AK$1203,'ORDENES'!$E$4:$E$1203,$A11,'ORDENES'!$P$4:$P$1203,B$3,'ORDENES'!$Q$4:$Q$1203,B$4)</f>
        <v/>
      </c>
      <c r="C11" s="11">
        <f>SUMIFS('ORDENES'!$AK$4:$AK$1203,'ORDENES'!$E$4:$E$1203,$A11,'ORDENES'!$P$4:$P$1203,C$3,'ORDENES'!$Q$4:$Q$1203,C$4)</f>
        <v/>
      </c>
      <c r="D11" s="11">
        <f>SUMIFS('ORDENES'!$AK$4:$AK$1203,'ORDENES'!$E$4:$E$1203,$A11,'ORDENES'!$P$4:$P$1203,D$3,'ORDENES'!$Q$4:$Q$1203,D$4)</f>
        <v/>
      </c>
      <c r="E11" s="11">
        <f>SUMIFS('ORDENES'!$AK$4:$AK$1203,'ORDENES'!$E$4:$E$1203,$A11,'ORDENES'!$P$4:$P$1203,E$3,'ORDENES'!$Q$4:$Q$1203,E$4)</f>
        <v/>
      </c>
      <c r="F11" s="11">
        <f>SUMIFS('ORDENES'!$AK$4:$AK$1203,'ORDENES'!$E$4:$E$1203,$A11,'ORDENES'!$P$4:$P$1203,F$3,'ORDENES'!$Q$4:$Q$1203,F$4)</f>
        <v/>
      </c>
      <c r="G11" s="11">
        <f>SUMIFS('ORDENES'!$AK$4:$AK$1203,'ORDENES'!$E$4:$E$1203,$A11,'ORDENES'!$P$4:$P$1203,G$3,'ORDENES'!$Q$4:$Q$1203,G$4)</f>
        <v/>
      </c>
      <c r="H11" s="11">
        <f>SUMIFS('ORDENES'!$AK$4:$AK$1203,'ORDENES'!$E$4:$E$1203,$A11,'ORDENES'!$P$4:$P$1203,H$3,'ORDENES'!$Q$4:$Q$1203,H$4)</f>
        <v/>
      </c>
      <c r="I11" s="11">
        <f>SUMIFS('ORDENES'!$AK$4:$AK$1203,'ORDENES'!$E$4:$E$1203,$A11,'ORDENES'!$P$4:$P$1203,I$3,'ORDENES'!$Q$4:$Q$1203,I$4)</f>
        <v/>
      </c>
      <c r="J11" s="11">
        <f>SUMIFS('ORDENES'!$AK$4:$AK$1203,'ORDENES'!$E$4:$E$1203,$A11,'ORDENES'!$P$4:$P$1203,J$3,'ORDENES'!$Q$4:$Q$1203,J$4)</f>
        <v/>
      </c>
      <c r="K11" s="11">
        <f>SUMIFS('ORDENES'!$AK$4:$AK$1203,'ORDENES'!$E$4:$E$1203,$A11,'ORDENES'!$P$4:$P$1203,K$3,'ORDENES'!$Q$4:$Q$1203,K$4)</f>
        <v/>
      </c>
      <c r="L11" s="11">
        <f>SUMIFS('ORDENES'!$AK$4:$AK$1203,'ORDENES'!$E$4:$E$1203,$A11,'ORDENES'!$P$4:$P$1203,L$3,'ORDENES'!$Q$4:$Q$1203,L$4)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SUMIFS('ORDENES'!$AK$4:$AK$1203,'ORDENES'!$E$4:$E$1203,$A12,'ORDENES'!$P$4:$P$1203,B$3,'ORDENES'!$Q$4:$Q$1203,B$4)</f>
        <v/>
      </c>
      <c r="C12" s="11">
        <f>SUMIFS('ORDENES'!$AK$4:$AK$1203,'ORDENES'!$E$4:$E$1203,$A12,'ORDENES'!$P$4:$P$1203,C$3,'ORDENES'!$Q$4:$Q$1203,C$4)</f>
        <v/>
      </c>
      <c r="D12" s="11">
        <f>SUMIFS('ORDENES'!$AK$4:$AK$1203,'ORDENES'!$E$4:$E$1203,$A12,'ORDENES'!$P$4:$P$1203,D$3,'ORDENES'!$Q$4:$Q$1203,D$4)</f>
        <v/>
      </c>
      <c r="E12" s="11">
        <f>SUMIFS('ORDENES'!$AK$4:$AK$1203,'ORDENES'!$E$4:$E$1203,$A12,'ORDENES'!$P$4:$P$1203,E$3,'ORDENES'!$Q$4:$Q$1203,E$4)</f>
        <v/>
      </c>
      <c r="F12" s="11">
        <f>SUMIFS('ORDENES'!$AK$4:$AK$1203,'ORDENES'!$E$4:$E$1203,$A12,'ORDENES'!$P$4:$P$1203,F$3,'ORDENES'!$Q$4:$Q$1203,F$4)</f>
        <v/>
      </c>
      <c r="G12" s="11">
        <f>SUMIFS('ORDENES'!$AK$4:$AK$1203,'ORDENES'!$E$4:$E$1203,$A12,'ORDENES'!$P$4:$P$1203,G$3,'ORDENES'!$Q$4:$Q$1203,G$4)</f>
        <v/>
      </c>
      <c r="H12" s="11">
        <f>SUMIFS('ORDENES'!$AK$4:$AK$1203,'ORDENES'!$E$4:$E$1203,$A12,'ORDENES'!$P$4:$P$1203,H$3,'ORDENES'!$Q$4:$Q$1203,H$4)</f>
        <v/>
      </c>
      <c r="I12" s="11">
        <f>SUMIFS('ORDENES'!$AK$4:$AK$1203,'ORDENES'!$E$4:$E$1203,$A12,'ORDENES'!$P$4:$P$1203,I$3,'ORDENES'!$Q$4:$Q$1203,I$4)</f>
        <v/>
      </c>
      <c r="J12" s="11">
        <f>SUMIFS('ORDENES'!$AK$4:$AK$1203,'ORDENES'!$E$4:$E$1203,$A12,'ORDENES'!$P$4:$P$1203,J$3,'ORDENES'!$Q$4:$Q$1203,J$4)</f>
        <v/>
      </c>
      <c r="K12" s="11">
        <f>SUMIFS('ORDENES'!$AK$4:$AK$1203,'ORDENES'!$E$4:$E$1203,$A12,'ORDENES'!$P$4:$P$1203,K$3,'ORDENES'!$Q$4:$Q$1203,K$4)</f>
        <v/>
      </c>
      <c r="L12" s="11">
        <f>SUMIFS('ORDENES'!$AK$4:$AK$1203,'ORDENES'!$E$4:$E$1203,$A12,'ORDENES'!$P$4:$P$1203,L$3,'ORDENES'!$Q$4:$Q$1203,L$4)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SUMIFS('ORDENES'!$AK$4:$AK$1203,'ORDENES'!$E$4:$E$1203,$A13,'ORDENES'!$P$4:$P$1203,B$3,'ORDENES'!$Q$4:$Q$1203,B$4)</f>
        <v/>
      </c>
      <c r="C13" s="11">
        <f>SUMIFS('ORDENES'!$AK$4:$AK$1203,'ORDENES'!$E$4:$E$1203,$A13,'ORDENES'!$P$4:$P$1203,C$3,'ORDENES'!$Q$4:$Q$1203,C$4)</f>
        <v/>
      </c>
      <c r="D13" s="11">
        <f>SUMIFS('ORDENES'!$AK$4:$AK$1203,'ORDENES'!$E$4:$E$1203,$A13,'ORDENES'!$P$4:$P$1203,D$3,'ORDENES'!$Q$4:$Q$1203,D$4)</f>
        <v/>
      </c>
      <c r="E13" s="11">
        <f>SUMIFS('ORDENES'!$AK$4:$AK$1203,'ORDENES'!$E$4:$E$1203,$A13,'ORDENES'!$P$4:$P$1203,E$3,'ORDENES'!$Q$4:$Q$1203,E$4)</f>
        <v/>
      </c>
      <c r="F13" s="11">
        <f>SUMIFS('ORDENES'!$AK$4:$AK$1203,'ORDENES'!$E$4:$E$1203,$A13,'ORDENES'!$P$4:$P$1203,F$3,'ORDENES'!$Q$4:$Q$1203,F$4)</f>
        <v/>
      </c>
      <c r="G13" s="11">
        <f>SUMIFS('ORDENES'!$AK$4:$AK$1203,'ORDENES'!$E$4:$E$1203,$A13,'ORDENES'!$P$4:$P$1203,G$3,'ORDENES'!$Q$4:$Q$1203,G$4)</f>
        <v/>
      </c>
      <c r="H13" s="11">
        <f>SUMIFS('ORDENES'!$AK$4:$AK$1203,'ORDENES'!$E$4:$E$1203,$A13,'ORDENES'!$P$4:$P$1203,H$3,'ORDENES'!$Q$4:$Q$1203,H$4)</f>
        <v/>
      </c>
      <c r="I13" s="11">
        <f>SUMIFS('ORDENES'!$AK$4:$AK$1203,'ORDENES'!$E$4:$E$1203,$A13,'ORDENES'!$P$4:$P$1203,I$3,'ORDENES'!$Q$4:$Q$1203,I$4)</f>
        <v/>
      </c>
      <c r="J13" s="11">
        <f>SUMIFS('ORDENES'!$AK$4:$AK$1203,'ORDENES'!$E$4:$E$1203,$A13,'ORDENES'!$P$4:$P$1203,J$3,'ORDENES'!$Q$4:$Q$1203,J$4)</f>
        <v/>
      </c>
      <c r="K13" s="11">
        <f>SUMIFS('ORDENES'!$AK$4:$AK$1203,'ORDENES'!$E$4:$E$1203,$A13,'ORDENES'!$P$4:$P$1203,K$3,'ORDENES'!$Q$4:$Q$1203,K$4)</f>
        <v/>
      </c>
      <c r="L13" s="11">
        <f>SUMIFS('ORDENES'!$AK$4:$AK$1203,'ORDENES'!$E$4:$E$1203,$A13,'ORDENES'!$P$4:$P$1203,L$3,'ORDENES'!$Q$4:$Q$1203,L$4)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SUMIFS('ORDENES'!$AK$4:$AK$1203,'ORDENES'!$E$4:$E$1203,$A14,'ORDENES'!$P$4:$P$1203,B$3,'ORDENES'!$Q$4:$Q$1203,B$4)</f>
        <v/>
      </c>
      <c r="C14" s="11">
        <f>SUMIFS('ORDENES'!$AK$4:$AK$1203,'ORDENES'!$E$4:$E$1203,$A14,'ORDENES'!$P$4:$P$1203,C$3,'ORDENES'!$Q$4:$Q$1203,C$4)</f>
        <v/>
      </c>
      <c r="D14" s="11">
        <f>SUMIFS('ORDENES'!$AK$4:$AK$1203,'ORDENES'!$E$4:$E$1203,$A14,'ORDENES'!$P$4:$P$1203,D$3,'ORDENES'!$Q$4:$Q$1203,D$4)</f>
        <v/>
      </c>
      <c r="E14" s="11">
        <f>SUMIFS('ORDENES'!$AK$4:$AK$1203,'ORDENES'!$E$4:$E$1203,$A14,'ORDENES'!$P$4:$P$1203,E$3,'ORDENES'!$Q$4:$Q$1203,E$4)</f>
        <v/>
      </c>
      <c r="F14" s="11">
        <f>SUMIFS('ORDENES'!$AK$4:$AK$1203,'ORDENES'!$E$4:$E$1203,$A14,'ORDENES'!$P$4:$P$1203,F$3,'ORDENES'!$Q$4:$Q$1203,F$4)</f>
        <v/>
      </c>
      <c r="G14" s="11">
        <f>SUMIFS('ORDENES'!$AK$4:$AK$1203,'ORDENES'!$E$4:$E$1203,$A14,'ORDENES'!$P$4:$P$1203,G$3,'ORDENES'!$Q$4:$Q$1203,G$4)</f>
        <v/>
      </c>
      <c r="H14" s="11">
        <f>SUMIFS('ORDENES'!$AK$4:$AK$1203,'ORDENES'!$E$4:$E$1203,$A14,'ORDENES'!$P$4:$P$1203,H$3,'ORDENES'!$Q$4:$Q$1203,H$4)</f>
        <v/>
      </c>
      <c r="I14" s="11">
        <f>SUMIFS('ORDENES'!$AK$4:$AK$1203,'ORDENES'!$E$4:$E$1203,$A14,'ORDENES'!$P$4:$P$1203,I$3,'ORDENES'!$Q$4:$Q$1203,I$4)</f>
        <v/>
      </c>
      <c r="J14" s="11">
        <f>SUMIFS('ORDENES'!$AK$4:$AK$1203,'ORDENES'!$E$4:$E$1203,$A14,'ORDENES'!$P$4:$P$1203,J$3,'ORDENES'!$Q$4:$Q$1203,J$4)</f>
        <v/>
      </c>
      <c r="K14" s="11">
        <f>SUMIFS('ORDENES'!$AK$4:$AK$1203,'ORDENES'!$E$4:$E$1203,$A14,'ORDENES'!$P$4:$P$1203,K$3,'ORDENES'!$Q$4:$Q$1203,K$4)</f>
        <v/>
      </c>
      <c r="L14" s="11">
        <f>SUMIFS('ORDENES'!$AK$4:$AK$1203,'ORDENES'!$E$4:$E$1203,$A14,'ORDENES'!$P$4:$P$1203,L$3,'ORDENES'!$Q$4:$Q$1203,L$4)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SUMIFS('ORDENES'!$AK$4:$AK$1203,'ORDENES'!$E$4:$E$1203,$A15,'ORDENES'!$P$4:$P$1203,B$3,'ORDENES'!$Q$4:$Q$1203,B$4)</f>
        <v/>
      </c>
      <c r="C15" s="11">
        <f>SUMIFS('ORDENES'!$AK$4:$AK$1203,'ORDENES'!$E$4:$E$1203,$A15,'ORDENES'!$P$4:$P$1203,C$3,'ORDENES'!$Q$4:$Q$1203,C$4)</f>
        <v/>
      </c>
      <c r="D15" s="11">
        <f>SUMIFS('ORDENES'!$AK$4:$AK$1203,'ORDENES'!$E$4:$E$1203,$A15,'ORDENES'!$P$4:$P$1203,D$3,'ORDENES'!$Q$4:$Q$1203,D$4)</f>
        <v/>
      </c>
      <c r="E15" s="11">
        <f>SUMIFS('ORDENES'!$AK$4:$AK$1203,'ORDENES'!$E$4:$E$1203,$A15,'ORDENES'!$P$4:$P$1203,E$3,'ORDENES'!$Q$4:$Q$1203,E$4)</f>
        <v/>
      </c>
      <c r="F15" s="11">
        <f>SUMIFS('ORDENES'!$AK$4:$AK$1203,'ORDENES'!$E$4:$E$1203,$A15,'ORDENES'!$P$4:$P$1203,F$3,'ORDENES'!$Q$4:$Q$1203,F$4)</f>
        <v/>
      </c>
      <c r="G15" s="11">
        <f>SUMIFS('ORDENES'!$AK$4:$AK$1203,'ORDENES'!$E$4:$E$1203,$A15,'ORDENES'!$P$4:$P$1203,G$3,'ORDENES'!$Q$4:$Q$1203,G$4)</f>
        <v/>
      </c>
      <c r="H15" s="11">
        <f>SUMIFS('ORDENES'!$AK$4:$AK$1203,'ORDENES'!$E$4:$E$1203,$A15,'ORDENES'!$P$4:$P$1203,H$3,'ORDENES'!$Q$4:$Q$1203,H$4)</f>
        <v/>
      </c>
      <c r="I15" s="11">
        <f>SUMIFS('ORDENES'!$AK$4:$AK$1203,'ORDENES'!$E$4:$E$1203,$A15,'ORDENES'!$P$4:$P$1203,I$3,'ORDENES'!$Q$4:$Q$1203,I$4)</f>
        <v/>
      </c>
      <c r="J15" s="11">
        <f>SUMIFS('ORDENES'!$AK$4:$AK$1203,'ORDENES'!$E$4:$E$1203,$A15,'ORDENES'!$P$4:$P$1203,J$3,'ORDENES'!$Q$4:$Q$1203,J$4)</f>
        <v/>
      </c>
      <c r="K15" s="11">
        <f>SUMIFS('ORDENES'!$AK$4:$AK$1203,'ORDENES'!$E$4:$E$1203,$A15,'ORDENES'!$P$4:$P$1203,K$3,'ORDENES'!$Q$4:$Q$1203,K$4)</f>
        <v/>
      </c>
      <c r="L15" s="11">
        <f>SUMIFS('ORDENES'!$AK$4:$AK$1203,'ORDENES'!$E$4:$E$1203,$A15,'ORDENES'!$P$4:$P$1203,L$3,'ORDENES'!$Q$4:$Q$1203,L$4)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SUMIFS('ORDENES'!$AK$4:$AK$1203,'ORDENES'!$E$4:$E$1203,$A16,'ORDENES'!$P$4:$P$1203,B$3,'ORDENES'!$Q$4:$Q$1203,B$4)</f>
        <v/>
      </c>
      <c r="C16" s="11">
        <f>SUMIFS('ORDENES'!$AK$4:$AK$1203,'ORDENES'!$E$4:$E$1203,$A16,'ORDENES'!$P$4:$P$1203,C$3,'ORDENES'!$Q$4:$Q$1203,C$4)</f>
        <v/>
      </c>
      <c r="D16" s="11">
        <f>SUMIFS('ORDENES'!$AK$4:$AK$1203,'ORDENES'!$E$4:$E$1203,$A16,'ORDENES'!$P$4:$P$1203,D$3,'ORDENES'!$Q$4:$Q$1203,D$4)</f>
        <v/>
      </c>
      <c r="E16" s="11">
        <f>SUMIFS('ORDENES'!$AK$4:$AK$1203,'ORDENES'!$E$4:$E$1203,$A16,'ORDENES'!$P$4:$P$1203,E$3,'ORDENES'!$Q$4:$Q$1203,E$4)</f>
        <v/>
      </c>
      <c r="F16" s="11">
        <f>SUMIFS('ORDENES'!$AK$4:$AK$1203,'ORDENES'!$E$4:$E$1203,$A16,'ORDENES'!$P$4:$P$1203,F$3,'ORDENES'!$Q$4:$Q$1203,F$4)</f>
        <v/>
      </c>
      <c r="G16" s="11">
        <f>SUMIFS('ORDENES'!$AK$4:$AK$1203,'ORDENES'!$E$4:$E$1203,$A16,'ORDENES'!$P$4:$P$1203,G$3,'ORDENES'!$Q$4:$Q$1203,G$4)</f>
        <v/>
      </c>
      <c r="H16" s="11">
        <f>SUMIFS('ORDENES'!$AK$4:$AK$1203,'ORDENES'!$E$4:$E$1203,$A16,'ORDENES'!$P$4:$P$1203,H$3,'ORDENES'!$Q$4:$Q$1203,H$4)</f>
        <v/>
      </c>
      <c r="I16" s="11">
        <f>SUMIFS('ORDENES'!$AK$4:$AK$1203,'ORDENES'!$E$4:$E$1203,$A16,'ORDENES'!$P$4:$P$1203,I$3,'ORDENES'!$Q$4:$Q$1203,I$4)</f>
        <v/>
      </c>
      <c r="J16" s="11">
        <f>SUMIFS('ORDENES'!$AK$4:$AK$1203,'ORDENES'!$E$4:$E$1203,$A16,'ORDENES'!$P$4:$P$1203,J$3,'ORDENES'!$Q$4:$Q$1203,J$4)</f>
        <v/>
      </c>
      <c r="K16" s="11">
        <f>SUMIFS('ORDENES'!$AK$4:$AK$1203,'ORDENES'!$E$4:$E$1203,$A16,'ORDENES'!$P$4:$P$1203,K$3,'ORDENES'!$Q$4:$Q$1203,K$4)</f>
        <v/>
      </c>
      <c r="L16" s="11">
        <f>SUMIFS('ORDENES'!$AK$4:$AK$1203,'ORDENES'!$E$4:$E$1203,$A16,'ORDENES'!$P$4:$P$1203,L$3,'ORDENES'!$Q$4:$Q$1203,L$4)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IF(K8=1,IFERROR(MATCH('ORDENES'!$R4,lista_dias,0),9)*1000000000+IFERROR(MATCH('ORDENES'!$AF4,lista_turnos,0),9)*10000000+IFERROR(MATCH('ORDENES'!$AE4,'TECNICOS'!$B$4:$B$19,0),99)*100000+1,9000000000000+1)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p_factor_productividad*SUMIFS('ASIGNACIONES'!$M$4:$M$451,'ASIGNACIONES'!$C$4:$C$451,AB8,'ASIGNACIONES'!$A$4:$A$451,IF($B$3="(todos)","*",$B$3))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IF(K9=1,IFERROR(MATCH('ORDENES'!$R5,lista_dias,0),9)*1000000000+IFERROR(MATCH('ORDENES'!$AF5,lista_turnos,0),9)*10000000+IFERROR(MATCH('ORDENES'!$AE5,'TECNICOS'!$B$4:$B$19,0),99)*100000+2,9000000000000+2)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p_factor_productividad*SUMIFS('ASIGNACIONES'!$M$4:$M$451,'ASIGNACIONES'!$C$4:$C$451,AB9,'ASIGNACIONES'!$A$4:$A$451,IF($B$3="(todos)","*",$B$3))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IF(K10=1,IFERROR(MATCH('ORDENES'!$R6,lista_dias,0),9)*1000000000+IFERROR(MATCH('ORDENES'!$AF6,lista_turnos,0),9)*10000000+IFERROR(MATCH('ORDENES'!$AE6,'TECNICOS'!$B$4:$B$19,0),99)*100000+3,9000000000000+3)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p_factor_productividad*SUMIFS('ASIGNACIONES'!$M$4:$M$451,'ASIGNACIONES'!$C$4:$C$451,AB10,'ASIGNACIONES'!$A$4:$A$451,IF($B$3="(todos)","*",$B$3))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IF(K11=1,IFERROR(MATCH('ORDENES'!$R7,lista_dias,0),9)*1000000000+IFERROR(MATCH('ORDENES'!$AF7,lista_turnos,0),9)*10000000+IFERROR(MATCH('ORDENES'!$AE7,'TECNICOS'!$B$4:$B$19,0),99)*100000+4,9000000000000+4)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p_factor_productividad*SUMIFS('ASIGNACIONES'!$M$4:$M$451,'ASIGNACIONES'!$C$4:$C$451,AB11,'ASIGNACIONES'!$A$4:$A$451,IF($B$3="(todos)","*",$B$3))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IF(K12=1,IFERROR(MATCH('ORDENES'!$R8,lista_dias,0),9)*1000000000+IFERROR(MATCH('ORDENES'!$AF8,lista_turnos,0),9)*10000000+IFERROR(MATCH('ORDENES'!$AE8,'TECNICOS'!$B$4:$B$19,0),99)*100000+5,9000000000000+5)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p_factor_productividad*SUMIFS('ASIGNACIONES'!$M$4:$M$451,'ASIGNACIONES'!$C$4:$C$451,AB12,'ASIGNACIONES'!$A$4:$A$451,IF($B$3="(todos)","*",$B$3))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IF(K13=1,IFERROR(MATCH('ORDENES'!$R9,lista_dias,0),9)*1000000000+IFERROR(MATCH('ORDENES'!$AF9,lista_turnos,0),9)*10000000+IFERROR(MATCH('ORDENES'!$AE9,'TECNICOS'!$B$4:$B$19,0),99)*100000+6,9000000000000+6)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p_factor_productividad*SUMIFS('ASIGNACIONES'!$M$4:$M$451,'ASIGNACIONES'!$C$4:$C$451,AB13,'ASIGNACIONES'!$A$4:$A$451,IF($B$3="(todos)","*",$B$3))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IF(K14=1,IFERROR(MATCH('ORDENES'!$R10,lista_dias,0),9)*1000000000+IFERROR(MATCH('ORDENES'!$AF10,lista_turnos,0),9)*10000000+IFERROR(MATCH('ORDENES'!$AE10,'TECNICOS'!$B$4:$B$19,0),99)*100000+7,9000000000000+7)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p_factor_productividad*SUMIFS('ASIGNACIONES'!$M$4:$M$451,'ASIGNACIONES'!$C$4:$C$451,AB14,'ASIGNACIONES'!$A$4:$A$451,IF($B$3="(todos)","*",$B$3))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IF(K15=1,IFERROR(MATCH('ORDENES'!$R11,lista_dias,0),9)*1000000000+IFERROR(MATCH('ORDENES'!$AF11,lista_turnos,0),9)*10000000+IFERROR(MATCH('ORDENES'!$AE11,'TECNICOS'!$B$4:$B$19,0),99)*100000+8,9000000000000+8)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p_factor_productividad*SUMIFS('ASIGNACIONES'!$M$4:$M$451,'ASIGNACIONES'!$C$4:$C$451,AB15,'ASIGNACIONES'!$A$4:$A$451,IF($B$3="(todos)","*",$B$3))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IF(K16=1,IFERROR(MATCH('ORDENES'!$R12,lista_dias,0),9)*1000000000+IFERROR(MATCH('ORDENES'!$AF12,lista_turnos,0),9)*10000000+IFERROR(MATCH('ORDENES'!$AE12,'TECNICOS'!$B$4:$B$19,0),99)*100000+9,9000000000000+9)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p_factor_productividad*SUMIFS('ASIGNACIONES'!$M$4:$M$451,'ASIGNACIONES'!$C$4:$C$451,AB16,'ASIGNACIONES'!$A$4:$A$451,IF($B$3="(todos)","*",$B$3))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IF(K17=1,IFERROR(MATCH('ORDENES'!$R13,lista_dias,0),9)*1000000000+IFERROR(MATCH('ORDENES'!$AF13,lista_turnos,0),9)*10000000+IFERROR(MATCH('ORDENES'!$AE13,'TECNICOS'!$B$4:$B$19,0),99)*100000+10,9000000000000+10)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p_factor_productividad*SUMIFS('ASIGNACIONES'!$M$4:$M$451,'ASIGNACIONES'!$C$4:$C$451,AB17,'ASIGNACIONES'!$A$4:$A$451,IF($B$3="(todos)","*",$B$3))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IF(K18=1,IFERROR(MATCH('ORDENES'!$R14,lista_dias,0),9)*1000000000+IFERROR(MATCH('ORDENES'!$AF14,lista_turnos,0),9)*10000000+IFERROR(MATCH('ORDENES'!$AE14,'TECNICOS'!$B$4:$B$19,0),99)*100000+11,9000000000000+11)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p_factor_productividad*SUMIFS('ASIGNACIONES'!$M$4:$M$451,'ASIGNACIONES'!$C$4:$C$451,AB18,'ASIGNACIONES'!$A$4:$A$451,IF($B$3="(todos)","*",$B$3))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IF(K19=1,IFERROR(MATCH('ORDENES'!$R15,lista_dias,0),9)*1000000000+IFERROR(MATCH('ORDENES'!$AF15,lista_turnos,0),9)*10000000+IFERROR(MATCH('ORDENES'!$AE15,'TECNICOS'!$B$4:$B$19,0),99)*100000+12,9000000000000+12)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p_factor_productividad*SUMIFS('ASIGNACIONES'!$M$4:$M$451,'ASIGNACIONES'!$C$4:$C$451,AB19,'ASIGNACIONES'!$A$4:$A$451,IF($B$3="(todos)","*",$B$3))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IF(K20=1,IFERROR(MATCH('ORDENES'!$R16,lista_dias,0),9)*1000000000+IFERROR(MATCH('ORDENES'!$AF16,lista_turnos,0),9)*10000000+IFERROR(MATCH('ORDENES'!$AE16,'TECNICOS'!$B$4:$B$19,0),99)*100000+13,9000000000000+13)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  <c r="AB20" s="3">
        <f>'TECNICOS'!$B$16</f>
        <v/>
      </c>
      <c r="AC20" s="17">
        <f>SUMPRODUCT($N$8:$N$1207,--('ORDENES'!$AE$4:$AE$1203=AB20))</f>
        <v/>
      </c>
      <c r="AD20" s="17">
        <f>p_factor_productividad*SUMIFS('ASIGNACIONES'!$M$4:$M$451,'ASIGNACIONES'!$C$4:$C$451,AB20,'ASIGNACIONES'!$A$4:$A$451,IF($B$3="(todos)","*",$B$3))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IF(SUMPRODUCT($K$8:$K$1207,--('ORDENES'!$AE$4:$AE$1203=AB20))&gt;0,1,0)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IF(K21=1,IFERROR(MATCH('ORDENES'!$R17,lista_dias,0),9)*1000000000+IFERROR(MATCH('ORDENES'!$AF17,lista_turnos,0),9)*10000000+IFERROR(MATCH('ORDENES'!$AE17,'TECNICOS'!$B$4:$B$19,0),99)*100000+14,9000000000000+14)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  <c r="AB21" s="3">
        <f>'TECNICOS'!$B$17</f>
        <v/>
      </c>
      <c r="AC21" s="17">
        <f>SUMPRODUCT($N$8:$N$1207,--('ORDENES'!$AE$4:$AE$1203=AB21))</f>
        <v/>
      </c>
      <c r="AD21" s="17">
        <f>p_factor_productividad*SUMIFS('ASIGNACIONES'!$M$4:$M$451,'ASIGNACIONES'!$C$4:$C$451,AB21,'ASIGNACIONES'!$A$4:$A$451,IF($B$3="(todos)","*",$B$3))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IF(SUMPRODUCT($K$8:$K$1207,--('ORDENES'!$AE$4:$AE$1203=AB21))&gt;0,1,0)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IF(K22=1,IFERROR(MATCH('ORDENES'!$R18,lista_dias,0),9)*1000000000+IFERROR(MATCH('ORDENES'!$AF18,lista_turnos,0),9)*10000000+IFERROR(MATCH('ORDENES'!$AE18,'TECNICOS'!$B$4:$B$19,0),99)*100000+15,9000000000000+15)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  <c r="AB22" s="3">
        <f>'TECNICOS'!$B$18</f>
        <v/>
      </c>
      <c r="AC22" s="17">
        <f>SUMPRODUCT($N$8:$N$1207,--('ORDENES'!$AE$4:$AE$1203=AB22))</f>
        <v/>
      </c>
      <c r="AD22" s="17">
        <f>p_factor_productividad*SUMIFS('ASIGNACIONES'!$M$4:$M$451,'ASIGNACIONES'!$C$4:$C$451,AB22,'ASIGNACIONES'!$A$4:$A$451,IF($B$3="(todos)","*",$B$3))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IF(SUMPRODUCT($K$8:$K$1207,--('ORDENES'!$AE$4:$AE$1203=AB22))&gt;0,1,0)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IF(K23=1,IFERROR(MATCH('ORDENES'!$R19,lista_dias,0),9)*1000000000+IFERROR(MATCH('ORDENES'!$AF19,lista_turnos,0),9)*10000000+IFERROR(MATCH('ORDENES'!$AE19,'TECNICOS'!$B$4:$B$19,0),99)*100000+16,9000000000000+16)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  <c r="AB23" s="3">
        <f>'TECNICOS'!$B$19</f>
        <v/>
      </c>
      <c r="AC23" s="17">
        <f>SUMPRODUCT($N$8:$N$1207,--('ORDENES'!$AE$4:$AE$1203=AB23))</f>
        <v/>
      </c>
      <c r="AD23" s="17">
        <f>p_factor_productividad*SUMIFS('ASIGNACIONES'!$M$4:$M$451,'ASIGNACIONES'!$C$4:$C$451,AB23,'ASIGNACIONES'!$A$4:$A$451,IF($B$3="(todos)","*",$B$3))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IF(SUMPRODUCT($K$8:$K$1207,--('ORDENES'!$AE$4:$AE$1203=AB23))&gt;0,1,0)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IF(K24=1,IFERROR(MATCH('ORDENES'!$R20,lista_dias,0),9)*1000000000+IFERROR(MATCH('ORDENES'!$AF20,lista_turnos,0),9)*10000000+IFERROR(MATCH('ORDENES'!$AE20,'TECNICOS'!$B$4:$B$19,0),99)*100000+17,9000000000000+17)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IF(K25=1,IFERROR(MATCH('ORDENES'!$R21,lista_dias,0),9)*1000000000+IFERROR(MATCH('ORDENES'!$AF21,lista_turnos,0),9)*10000000+IFERROR(MATCH('ORDENES'!$AE21,'TECNICOS'!$B$4:$B$19,0),99)*100000+18,9000000000000+18)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IF(K26=1,IFERROR(MATCH('ORDENES'!$R22,lista_dias,0),9)*1000000000+IFERROR(MATCH('ORDENES'!$AF22,lista_turnos,0),9)*10000000+IFERROR(MATCH('ORDENES'!$AE22,'TECNICOS'!$B$4:$B$19,0),99)*100000+19,9000000000000+19)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IF(K27=1,IFERROR(MATCH('ORDENES'!$R23,lista_dias,0),9)*1000000000+IFERROR(MATCH('ORDENES'!$AF23,lista_turnos,0),9)*10000000+IFERROR(MATCH('ORDENES'!$AE23,'TECNICOS'!$B$4:$B$19,0),99)*100000+20,9000000000000+20)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IF(K28=1,IFERROR(MATCH('ORDENES'!$R24,lista_dias,0),9)*1000000000+IFERROR(MATCH('ORDENES'!$AF24,lista_turnos,0),9)*10000000+IFERROR(MATCH('ORDENES'!$AE24,'TECNICOS'!$B$4:$B$19,0),99)*100000+21,9000000000000+21)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IF(K29=1,IFERROR(MATCH('ORDENES'!$R25,lista_dias,0),9)*1000000000+IFERROR(MATCH('ORDENES'!$AF25,lista_turnos,0),9)*10000000+IFERROR(MATCH('ORDENES'!$AE25,'TECNICOS'!$B$4:$B$19,0),99)*100000+22,9000000000000+22)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IF(K30=1,IFERROR(MATCH('ORDENES'!$R26,lista_dias,0),9)*1000000000+IFERROR(MATCH('ORDENES'!$AF26,lista_turnos,0),9)*10000000+IFERROR(MATCH('ORDENES'!$AE26,'TECNICOS'!$B$4:$B$19,0),99)*100000+23,9000000000000+23)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IF(K31=1,IFERROR(MATCH('ORDENES'!$R27,lista_dias,0),9)*1000000000+IFERROR(MATCH('ORDENES'!$AF27,lista_turnos,0),9)*10000000+IFERROR(MATCH('ORDENES'!$AE27,'TECNICOS'!$B$4:$B$19,0),99)*100000+24,9000000000000+24)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IF(K32=1,IFERROR(MATCH('ORDENES'!$R28,lista_dias,0),9)*1000000000+IFERROR(MATCH('ORDENES'!$AF28,lista_turnos,0),9)*10000000+IFERROR(MATCH('ORDENES'!$AE28,'TECNICOS'!$B$4:$B$19,0),99)*100000+25,9000000000000+25)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IF(K33=1,IFERROR(MATCH('ORDENES'!$R29,lista_dias,0),9)*1000000000+IFERROR(MATCH('ORDENES'!$AF29,lista_turnos,0),9)*10000000+IFERROR(MATCH('ORDENES'!$AE29,'TECNICOS'!$B$4:$B$19,0),99)*100000+26,9000000000000+26)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IF(K34=1,IFERROR(MATCH('ORDENES'!$R30,lista_dias,0),9)*1000000000+IFERROR(MATCH('ORDENES'!$AF30,lista_turnos,0),9)*10000000+IFERROR(MATCH('ORDENES'!$AE30,'TECNICOS'!$B$4:$B$19,0),99)*100000+27,9000000000000+27)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IF(K35=1,IFERROR(MATCH('ORDENES'!$R31,lista_dias,0),9)*1000000000+IFERROR(MATCH('ORDENES'!$AF31,lista_turnos,0),9)*10000000+IFERROR(MATCH('ORDENES'!$AE31,'TECNICOS'!$B$4:$B$19,0),99)*100000+28,9000000000000+28)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IF(K36=1,IFERROR(MATCH('ORDENES'!$R32,lista_dias,0),9)*1000000000+IFERROR(MATCH('ORDENES'!$AF32,lista_turnos,0),9)*10000000+IFERROR(MATCH('ORDENES'!$AE32,'TECNICOS'!$B$4:$B$19,0),99)*100000+29,9000000000000+29)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IF(K37=1,IFERROR(MATCH('ORDENES'!$R33,lista_dias,0),9)*1000000000+IFERROR(MATCH('ORDENES'!$AF33,lista_turnos,0),9)*10000000+IFERROR(MATCH('ORDENES'!$AE33,'TECNICOS'!$B$4:$B$19,0),99)*100000+30,9000000000000+30)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IF(K38=1,IFERROR(MATCH('ORDENES'!$R34,lista_dias,0),9)*1000000000+IFERROR(MATCH('ORDENES'!$AF34,lista_turnos,0),9)*10000000+IFERROR(MATCH('ORDENES'!$AE34,'TECNICOS'!$B$4:$B$19,0),99)*100000+31,9000000000000+31)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IF(K39=1,IFERROR(MATCH('ORDENES'!$R35,lista_dias,0),9)*1000000000+IFERROR(MATCH('ORDENES'!$AF35,lista_turnos,0),9)*10000000+IFERROR(MATCH('ORDENES'!$AE35,'TECNICOS'!$B$4:$B$19,0),99)*100000+32,9000000000000+32)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IF(K40=1,IFERROR(MATCH('ORDENES'!$R36,lista_dias,0),9)*1000000000+IFERROR(MATCH('ORDENES'!$AF36,lista_turnos,0),9)*10000000+IFERROR(MATCH('ORDENES'!$AE36,'TECNICOS'!$B$4:$B$19,0),99)*100000+33,9000000000000+33)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IF(K41=1,IFERROR(MATCH('ORDENES'!$R37,lista_dias,0),9)*1000000000+IFERROR(MATCH('ORDENES'!$AF37,lista_turnos,0),9)*10000000+IFERROR(MATCH('ORDENES'!$AE37,'TECNICOS'!$B$4:$B$19,0),99)*100000+34,9000000000000+34)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IF(K42=1,IFERROR(MATCH('ORDENES'!$R38,lista_dias,0),9)*1000000000+IFERROR(MATCH('ORDENES'!$AF38,lista_turnos,0),9)*10000000+IFERROR(MATCH('ORDENES'!$AE38,'TECNICOS'!$B$4:$B$19,0),99)*100000+35,9000000000000+35)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IF(K43=1,IFERROR(MATCH('ORDENES'!$R39,lista_dias,0),9)*1000000000+IFERROR(MATCH('ORDENES'!$AF39,lista_turnos,0),9)*10000000+IFERROR(MATCH('ORDENES'!$AE39,'TECNICOS'!$B$4:$B$19,0),99)*100000+36,9000000000000+36)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IF(K44=1,IFERROR(MATCH('ORDENES'!$R40,lista_dias,0),9)*1000000000+IFERROR(MATCH('ORDENES'!$AF40,lista_turnos,0),9)*10000000+IFERROR(MATCH('ORDENES'!$AE40,'TECNICOS'!$B$4:$B$19,0),99)*100000+37,9000000000000+37)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IF(K45=1,IFERROR(MATCH('ORDENES'!$R41,lista_dias,0),9)*1000000000+IFERROR(MATCH('ORDENES'!$AF41,lista_turnos,0),9)*10000000+IFERROR(MATCH('ORDENES'!$AE41,'TECNICOS'!$B$4:$B$19,0),99)*100000+38,9000000000000+38)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IF(K46=1,IFERROR(MATCH('ORDENES'!$R42,lista_dias,0),9)*1000000000+IFERROR(MATCH('ORDENES'!$AF42,lista_turnos,0),9)*10000000+IFERROR(MATCH('ORDENES'!$AE42,'TECNICOS'!$B$4:$B$19,0),99)*100000+39,9000000000000+39)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IF(K47=1,IFERROR(MATCH('ORDENES'!$R43,lista_dias,0),9)*1000000000+IFERROR(MATCH('ORDENES'!$AF43,lista_turnos,0),9)*10000000+IFERROR(MATCH('ORDENES'!$AE43,'TECNICOS'!$B$4:$B$19,0),99)*100000+40,9000000000000+40)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IF(K48=1,IFERROR(MATCH('ORDENES'!$R44,lista_dias,0),9)*1000000000+IFERROR(MATCH('ORDENES'!$AF44,lista_turnos,0),9)*10000000+IFERROR(MATCH('ORDENES'!$AE44,'TECNICOS'!$B$4:$B$19,0),99)*100000+41,9000000000000+41)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IF(K49=1,IFERROR(MATCH('ORDENES'!$R45,lista_dias,0),9)*1000000000+IFERROR(MATCH('ORDENES'!$AF45,lista_turnos,0),9)*10000000+IFERROR(MATCH('ORDENES'!$AE45,'TECNICOS'!$B$4:$B$19,0),99)*100000+42,9000000000000+42)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IF(K50=1,IFERROR(MATCH('ORDENES'!$R46,lista_dias,0),9)*1000000000+IFERROR(MATCH('ORDENES'!$AF46,lista_turnos,0),9)*10000000+IFERROR(MATCH('ORDENES'!$AE46,'TECNICOS'!$B$4:$B$19,0),99)*100000+43,9000000000000+43)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IF(K51=1,IFERROR(MATCH('ORDENES'!$R47,lista_dias,0),9)*1000000000+IFERROR(MATCH('ORDENES'!$AF47,lista_turnos,0),9)*10000000+IFERROR(MATCH('ORDENES'!$AE47,'TECNICOS'!$B$4:$B$19,0),99)*100000+44,9000000000000+44)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IF(K52=1,IFERROR(MATCH('ORDENES'!$R48,lista_dias,0),9)*1000000000+IFERROR(MATCH('ORDENES'!$AF48,lista_turnos,0),9)*10000000+IFERROR(MATCH('ORDENES'!$AE48,'TECNICOS'!$B$4:$B$19,0),99)*100000+45,9000000000000+45)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IF(K53=1,IFERROR(MATCH('ORDENES'!$R49,lista_dias,0),9)*1000000000+IFERROR(MATCH('ORDENES'!$AF49,lista_turnos,0),9)*10000000+IFERROR(MATCH('ORDENES'!$AE49,'TECNICOS'!$B$4:$B$19,0),99)*100000+46,9000000000000+46)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IF(K54=1,IFERROR(MATCH('ORDENES'!$R50,lista_dias,0),9)*1000000000+IFERROR(MATCH('ORDENES'!$AF50,lista_turnos,0),9)*10000000+IFERROR(MATCH('ORDENES'!$AE50,'TECNICOS'!$B$4:$B$19,0),99)*100000+47,9000000000000+47)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IF(K55=1,IFERROR(MATCH('ORDENES'!$R51,lista_dias,0),9)*1000000000+IFERROR(MATCH('ORDENES'!$AF51,lista_turnos,0),9)*10000000+IFERROR(MATCH('ORDENES'!$AE51,'TECNICOS'!$B$4:$B$19,0),99)*100000+48,9000000000000+48)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IF(K56=1,IFERROR(MATCH('ORDENES'!$R52,lista_dias,0),9)*1000000000+IFERROR(MATCH('ORDENES'!$AF52,lista_turnos,0),9)*10000000+IFERROR(MATCH('ORDENES'!$AE52,'TECNICOS'!$B$4:$B$19,0),99)*100000+49,9000000000000+49)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IF(K57=1,IFERROR(MATCH('ORDENES'!$R53,lista_dias,0),9)*1000000000+IFERROR(MATCH('ORDENES'!$AF53,lista_turnos,0),9)*10000000+IFERROR(MATCH('ORDENES'!$AE53,'TECNICOS'!$B$4:$B$19,0),99)*100000+50,9000000000000+50)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IF(K58=1,IFERROR(MATCH('ORDENES'!$R54,lista_dias,0),9)*1000000000+IFERROR(MATCH('ORDENES'!$AF54,lista_turnos,0),9)*10000000+IFERROR(MATCH('ORDENES'!$AE54,'TECNICOS'!$B$4:$B$19,0),99)*100000+51,9000000000000+51)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IF(K59=1,IFERROR(MATCH('ORDENES'!$R55,lista_dias,0),9)*1000000000+IFERROR(MATCH('ORDENES'!$AF55,lista_turnos,0),9)*10000000+IFERROR(MATCH('ORDENES'!$AE55,'TECNICOS'!$B$4:$B$19,0),99)*100000+52,9000000000000+52)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IF(K60=1,IFERROR(MATCH('ORDENES'!$R56,lista_dias,0),9)*1000000000+IFERROR(MATCH('ORDENES'!$AF56,lista_turnos,0),9)*10000000+IFERROR(MATCH('ORDENES'!$AE56,'TECNICOS'!$B$4:$B$19,0),99)*100000+53,9000000000000+53)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IF(K61=1,IFERROR(MATCH('ORDENES'!$R57,lista_dias,0),9)*1000000000+IFERROR(MATCH('ORDENES'!$AF57,lista_turnos,0),9)*10000000+IFERROR(MATCH('ORDENES'!$AE57,'TECNICOS'!$B$4:$B$19,0),99)*100000+54,9000000000000+54)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IF(K62=1,IFERROR(MATCH('ORDENES'!$R58,lista_dias,0),9)*1000000000+IFERROR(MATCH('ORDENES'!$AF58,lista_turnos,0),9)*10000000+IFERROR(MATCH('ORDENES'!$AE58,'TECNICOS'!$B$4:$B$19,0),99)*100000+55,9000000000000+55)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IF(K63=1,IFERROR(MATCH('ORDENES'!$R59,lista_dias,0),9)*1000000000+IFERROR(MATCH('ORDENES'!$AF59,lista_turnos,0),9)*10000000+IFERROR(MATCH('ORDENES'!$AE59,'TECNICOS'!$B$4:$B$19,0),99)*100000+56,9000000000000+56)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IF(K64=1,IFERROR(MATCH('ORDENES'!$R60,lista_dias,0),9)*1000000000+IFERROR(MATCH('ORDENES'!$AF60,lista_turnos,0),9)*10000000+IFERROR(MATCH('ORDENES'!$AE60,'TECNICOS'!$B$4:$B$19,0),99)*100000+57,9000000000000+57)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IF(K65=1,IFERROR(MATCH('ORDENES'!$R61,lista_dias,0),9)*1000000000+IFERROR(MATCH('ORDENES'!$AF61,lista_turnos,0),9)*10000000+IFERROR(MATCH('ORDENES'!$AE61,'TECNICOS'!$B$4:$B$19,0),99)*100000+58,9000000000000+58)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IF(K66=1,IFERROR(MATCH('ORDENES'!$R62,lista_dias,0),9)*1000000000+IFERROR(MATCH('ORDENES'!$AF62,lista_turnos,0),9)*10000000+IFERROR(MATCH('ORDENES'!$AE62,'TECNICOS'!$B$4:$B$19,0),99)*100000+59,9000000000000+59)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IF(K67=1,IFERROR(MATCH('ORDENES'!$R63,lista_dias,0),9)*1000000000+IFERROR(MATCH('ORDENES'!$AF63,lista_turnos,0),9)*10000000+IFERROR(MATCH('ORDENES'!$AE63,'TECNICOS'!$B$4:$B$19,0),99)*100000+60,9000000000000+60)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IF(K68=1,IFERROR(MATCH('ORDENES'!$R64,lista_dias,0),9)*1000000000+IFERROR(MATCH('ORDENES'!$AF64,lista_turnos,0),9)*10000000+IFERROR(MATCH('ORDENES'!$AE64,'TECNICOS'!$B$4:$B$19,0),99)*100000+61,9000000000000+61)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IF(K69=1,IFERROR(MATCH('ORDENES'!$R65,lista_dias,0),9)*1000000000+IFERROR(MATCH('ORDENES'!$AF65,lista_turnos,0),9)*10000000+IFERROR(MATCH('ORDENES'!$AE65,'TECNICOS'!$B$4:$B$19,0),99)*100000+62,9000000000000+62)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IF(K70=1,IFERROR(MATCH('ORDENES'!$R66,lista_dias,0),9)*1000000000+IFERROR(MATCH('ORDENES'!$AF66,lista_turnos,0),9)*10000000+IFERROR(MATCH('ORDENES'!$AE66,'TECNICOS'!$B$4:$B$19,0),99)*100000+63,9000000000000+63)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IF(K71=1,IFERROR(MATCH('ORDENES'!$R67,lista_dias,0),9)*1000000000+IFERROR(MATCH('ORDENES'!$AF67,lista_turnos,0),9)*10000000+IFERROR(MATCH('ORDENES'!$AE67,'TECNICOS'!$B$4:$B$19,0),99)*100000+64,9000000000000+64)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IF(K72=1,IFERROR(MATCH('ORDENES'!$R68,lista_dias,0),9)*1000000000+IFERROR(MATCH('ORDENES'!$AF68,lista_turnos,0),9)*10000000+IFERROR(MATCH('ORDENES'!$AE68,'TECNICOS'!$B$4:$B$19,0),99)*100000+65,9000000000000+65)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IF(K73=1,IFERROR(MATCH('ORDENES'!$R69,lista_dias,0),9)*1000000000+IFERROR(MATCH('ORDENES'!$AF69,lista_turnos,0),9)*10000000+IFERROR(MATCH('ORDENES'!$AE69,'TECNICOS'!$B$4:$B$19,0),99)*100000+66,9000000000000+66)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IF(K74=1,IFERROR(MATCH('ORDENES'!$R70,lista_dias,0),9)*1000000000+IFERROR(MATCH('ORDENES'!$AF70,lista_turnos,0),9)*10000000+IFERROR(MATCH('ORDENES'!$AE70,'TECNICOS'!$B$4:$B$19,0),99)*100000+67,9000000000000+67)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IF(K75=1,IFERROR(MATCH('ORDENES'!$R71,lista_dias,0),9)*1000000000+IFERROR(MATCH('ORDENES'!$AF71,lista_turnos,0),9)*10000000+IFERROR(MATCH('ORDENES'!$AE71,'TECNICOS'!$B$4:$B$19,0),99)*100000+68,9000000000000+68)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IF(K76=1,IFERROR(MATCH('ORDENES'!$R72,lista_dias,0),9)*1000000000+IFERROR(MATCH('ORDENES'!$AF72,lista_turnos,0),9)*10000000+IFERROR(MATCH('ORDENES'!$AE72,'TECNICOS'!$B$4:$B$19,0),99)*100000+69,9000000000000+69)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IF(K77=1,IFERROR(MATCH('ORDENES'!$R73,lista_dias,0),9)*1000000000+IFERROR(MATCH('ORDENES'!$AF73,lista_turnos,0),9)*10000000+IFERROR(MATCH('ORDENES'!$AE73,'TECNICOS'!$B$4:$B$19,0),99)*100000+70,9000000000000+70)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IF(K78=1,IFERROR(MATCH('ORDENES'!$R74,lista_dias,0),9)*1000000000+IFERROR(MATCH('ORDENES'!$AF74,lista_turnos,0),9)*10000000+IFERROR(MATCH('ORDENES'!$AE74,'TECNICOS'!$B$4:$B$19,0),99)*100000+71,9000000000000+71)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IF(K79=1,IFERROR(MATCH('ORDENES'!$R75,lista_dias,0),9)*1000000000+IFERROR(MATCH('ORDENES'!$AF75,lista_turnos,0),9)*10000000+IFERROR(MATCH('ORDENES'!$AE75,'TECNICOS'!$B$4:$B$19,0),99)*100000+72,9000000000000+72)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IF(K80=1,IFERROR(MATCH('ORDENES'!$R76,lista_dias,0),9)*1000000000+IFERROR(MATCH('ORDENES'!$AF76,lista_turnos,0),9)*10000000+IFERROR(MATCH('ORDENES'!$AE76,'TECNICOS'!$B$4:$B$19,0),99)*100000+73,9000000000000+73)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IF(K81=1,IFERROR(MATCH('ORDENES'!$R77,lista_dias,0),9)*1000000000+IFERROR(MATCH('ORDENES'!$AF77,lista_turnos,0),9)*10000000+IFERROR(MATCH('ORDENES'!$AE77,'TECNICOS'!$B$4:$B$19,0),99)*100000+74,9000000000000+74)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IF(K82=1,IFERROR(MATCH('ORDENES'!$R78,lista_dias,0),9)*1000000000+IFERROR(MATCH('ORDENES'!$AF78,lista_turnos,0),9)*10000000+IFERROR(MATCH('ORDENES'!$AE78,'TECNICOS'!$B$4:$B$19,0),99)*100000+75,9000000000000+75)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IF(K83=1,IFERROR(MATCH('ORDENES'!$R79,lista_dias,0),9)*1000000000+IFERROR(MATCH('ORDENES'!$AF79,lista_turnos,0),9)*10000000+IFERROR(MATCH('ORDENES'!$AE79,'TECNICOS'!$B$4:$B$19,0),99)*100000+76,9000000000000+76)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IF(K84=1,IFERROR(MATCH('ORDENES'!$R80,lista_dias,0),9)*1000000000+IFERROR(MATCH('ORDENES'!$AF80,lista_turnos,0),9)*10000000+IFERROR(MATCH('ORDENES'!$AE80,'TECNICOS'!$B$4:$B$19,0),99)*100000+77,9000000000000+77)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IF(K85=1,IFERROR(MATCH('ORDENES'!$R81,lista_dias,0),9)*1000000000+IFERROR(MATCH('ORDENES'!$AF81,lista_turnos,0),9)*10000000+IFERROR(MATCH('ORDENES'!$AE81,'TECNICOS'!$B$4:$B$19,0),99)*100000+78,9000000000000+78)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IF(K86=1,IFERROR(MATCH('ORDENES'!$R82,lista_dias,0),9)*1000000000+IFERROR(MATCH('ORDENES'!$AF82,lista_turnos,0),9)*10000000+IFERROR(MATCH('ORDENES'!$AE82,'TECNICOS'!$B$4:$B$19,0),99)*100000+79,9000000000000+79)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IF(K87=1,IFERROR(MATCH('ORDENES'!$R83,lista_dias,0),9)*1000000000+IFERROR(MATCH('ORDENES'!$AF83,lista_turnos,0),9)*10000000+IFERROR(MATCH('ORDENES'!$AE83,'TECNICOS'!$B$4:$B$19,0),99)*100000+80,9000000000000+80)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IF(K88=1,IFERROR(MATCH('ORDENES'!$R84,lista_dias,0),9)*1000000000+IFERROR(MATCH('ORDENES'!$AF84,lista_turnos,0),9)*10000000+IFERROR(MATCH('ORDENES'!$AE84,'TECNICOS'!$B$4:$B$19,0),99)*100000+81,9000000000000+81)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IF(K89=1,IFERROR(MATCH('ORDENES'!$R85,lista_dias,0),9)*1000000000+IFERROR(MATCH('ORDENES'!$AF85,lista_turnos,0),9)*10000000+IFERROR(MATCH('ORDENES'!$AE85,'TECNICOS'!$B$4:$B$19,0),99)*100000+82,9000000000000+82)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IF(K90=1,IFERROR(MATCH('ORDENES'!$R86,lista_dias,0),9)*1000000000+IFERROR(MATCH('ORDENES'!$AF86,lista_turnos,0),9)*10000000+IFERROR(MATCH('ORDENES'!$AE86,'TECNICOS'!$B$4:$B$19,0),99)*100000+83,9000000000000+83)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IF(K91=1,IFERROR(MATCH('ORDENES'!$R87,lista_dias,0),9)*1000000000+IFERROR(MATCH('ORDENES'!$AF87,lista_turnos,0),9)*10000000+IFERROR(MATCH('ORDENES'!$AE87,'TECNICOS'!$B$4:$B$19,0),99)*100000+84,9000000000000+84)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IF(K92=1,IFERROR(MATCH('ORDENES'!$R88,lista_dias,0),9)*1000000000+IFERROR(MATCH('ORDENES'!$AF88,lista_turnos,0),9)*10000000+IFERROR(MATCH('ORDENES'!$AE88,'TECNICOS'!$B$4:$B$19,0),99)*100000+85,9000000000000+85)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IF(K93=1,IFERROR(MATCH('ORDENES'!$R89,lista_dias,0),9)*1000000000+IFERROR(MATCH('ORDENES'!$AF89,lista_turnos,0),9)*10000000+IFERROR(MATCH('ORDENES'!$AE89,'TECNICOS'!$B$4:$B$19,0),99)*100000+86,9000000000000+86)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IF(K94=1,IFERROR(MATCH('ORDENES'!$R90,lista_dias,0),9)*1000000000+IFERROR(MATCH('ORDENES'!$AF90,lista_turnos,0),9)*10000000+IFERROR(MATCH('ORDENES'!$AE90,'TECNICOS'!$B$4:$B$19,0),99)*100000+87,9000000000000+87)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IF(K95=1,IFERROR(MATCH('ORDENES'!$R91,lista_dias,0),9)*1000000000+IFERROR(MATCH('ORDENES'!$AF91,lista_turnos,0),9)*10000000+IFERROR(MATCH('ORDENES'!$AE91,'TECNICOS'!$B$4:$B$19,0),99)*100000+88,9000000000000+88)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IF(K96=1,IFERROR(MATCH('ORDENES'!$R92,lista_dias,0),9)*1000000000+IFERROR(MATCH('ORDENES'!$AF92,lista_turnos,0),9)*10000000+IFERROR(MATCH('ORDENES'!$AE92,'TECNICOS'!$B$4:$B$19,0),99)*100000+89,9000000000000+89)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IF(K97=1,IFERROR(MATCH('ORDENES'!$R93,lista_dias,0),9)*1000000000+IFERROR(MATCH('ORDENES'!$AF93,lista_turnos,0),9)*10000000+IFERROR(MATCH('ORDENES'!$AE93,'TECNICOS'!$B$4:$B$19,0),99)*100000+90,9000000000000+90)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IF(K98=1,IFERROR(MATCH('ORDENES'!$R94,lista_dias,0),9)*1000000000+IFERROR(MATCH('ORDENES'!$AF94,lista_turnos,0),9)*10000000+IFERROR(MATCH('ORDENES'!$AE94,'TECNICOS'!$B$4:$B$19,0),99)*100000+91,9000000000000+91)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IF(K99=1,IFERROR(MATCH('ORDENES'!$R95,lista_dias,0),9)*1000000000+IFERROR(MATCH('ORDENES'!$AF95,lista_turnos,0),9)*10000000+IFERROR(MATCH('ORDENES'!$AE95,'TECNICOS'!$B$4:$B$19,0),99)*100000+92,9000000000000+92)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IF(K100=1,IFERROR(MATCH('ORDENES'!$R96,lista_dias,0),9)*1000000000+IFERROR(MATCH('ORDENES'!$AF96,lista_turnos,0),9)*10000000+IFERROR(MATCH('ORDENES'!$AE96,'TECNICOS'!$B$4:$B$19,0),99)*100000+93,9000000000000+93)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IF(K101=1,IFERROR(MATCH('ORDENES'!$R97,lista_dias,0),9)*1000000000+IFERROR(MATCH('ORDENES'!$AF97,lista_turnos,0),9)*10000000+IFERROR(MATCH('ORDENES'!$AE97,'TECNICOS'!$B$4:$B$19,0),99)*100000+94,9000000000000+94)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IF(K102=1,IFERROR(MATCH('ORDENES'!$R98,lista_dias,0),9)*1000000000+IFERROR(MATCH('ORDENES'!$AF98,lista_turnos,0),9)*10000000+IFERROR(MATCH('ORDENES'!$AE98,'TECNICOS'!$B$4:$B$19,0),99)*100000+95,9000000000000+95)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IF(K103=1,IFERROR(MATCH('ORDENES'!$R99,lista_dias,0),9)*1000000000+IFERROR(MATCH('ORDENES'!$AF99,lista_turnos,0),9)*10000000+IFERROR(MATCH('ORDENES'!$AE99,'TECNICOS'!$B$4:$B$19,0),99)*100000+96,9000000000000+96)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IF(K104=1,IFERROR(MATCH('ORDENES'!$R100,lista_dias,0),9)*1000000000+IFERROR(MATCH('ORDENES'!$AF100,lista_turnos,0),9)*10000000+IFERROR(MATCH('ORDENES'!$AE100,'TECNICOS'!$B$4:$B$19,0),99)*100000+97,9000000000000+97)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IF(K105=1,IFERROR(MATCH('ORDENES'!$R101,lista_dias,0),9)*1000000000+IFERROR(MATCH('ORDENES'!$AF101,lista_turnos,0),9)*10000000+IFERROR(MATCH('ORDENES'!$AE101,'TECNICOS'!$B$4:$B$19,0),99)*100000+98,9000000000000+98)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IF(K106=1,IFERROR(MATCH('ORDENES'!$R102,lista_dias,0),9)*1000000000+IFERROR(MATCH('ORDENES'!$AF102,lista_turnos,0),9)*10000000+IFERROR(MATCH('ORDENES'!$AE102,'TECNICOS'!$B$4:$B$19,0),99)*100000+99,9000000000000+99)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IF('ORDENES'!$AE$4="","",IFERROR(INDEX('ASIGNACIONES'!$J$4:$J$451,MATCH('ORDENES'!$O$4&amp;"|"&amp;'ORDENES'!$R$4&amp;"|"&amp;'ORDENES'!$AE$4,'ASIGNACIONES'!$N$4:$N$451,0)),""))</t>
        </is>
      </c>
      <c r="D15" s="3">
        <f>IF('ORDENES'!$AE$4="","",IFERROR(INDEX('ASIGNACIONES'!$J$4:$J$451,MATCH('ORDENES'!$O$4&amp;"|"&amp;'ORDENES'!$R$4&amp;"|"&amp;'ORDENES'!$AE$4,'ASIGNACIONES'!$N$4:$N$451,0)),""))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2026-07-24T03:56:03Z</dcterms:created>
  <dcterms:modified xsi:type="dcterms:W3CDTF">2026-07-24T03:56:05Z</dcterms:modified>
</cp:coreProperties>
</file>